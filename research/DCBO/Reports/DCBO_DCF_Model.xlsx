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<sst xmlns="http://schemas.openxmlformats.org/spreadsheetml/2006/main" count="157" uniqueCount="128">
  <si>
    <t>DCBO — Docebo Inc. DCF Valuation Model</t>
  </si>
  <si>
    <t>Gray cells are inputs — change them and all downstream values recalculate automatically</t>
  </si>
  <si>
    <t>Valuation date: 2026-06-27  |  Currency: USD  |  Units: millions (shares in millions)</t>
  </si>
  <si>
    <t>KEY INPUTS</t>
  </si>
  <si>
    <t>Current Stock Price (USD)</t>
  </si>
  <si>
    <t>Live price from Yahoo Finance</t>
  </si>
  <si>
    <t>Shares Outstanding (M)</t>
  </si>
  <si>
    <t>Q1-2026 diluted; reduced from 30.3M by SIB + NCIB</t>
  </si>
  <si>
    <t>Cash &amp; Equivalents (M)</t>
  </si>
  <si>
    <t>Q1-2026 balance sheet</t>
  </si>
  <si>
    <t>Total Debt — Revolver (M)</t>
  </si>
  <si>
    <t>NBC credit facility drawdown; finances SIB + 365Talents</t>
  </si>
  <si>
    <t>Net Debt (M) [Debt - Cash]</t>
  </si>
  <si>
    <t>Last Year FCF — FY2025 (M)</t>
  </si>
  <si>
    <t>Base year for projections</t>
  </si>
  <si>
    <t>Last Year Revenue — FY2025 (M)</t>
  </si>
  <si>
    <t>FY2025 actual</t>
  </si>
  <si>
    <t>Last Year Adj. EBITDA — FY2025 (M)</t>
  </si>
  <si>
    <t>FY2025 actual; FY2026 guidance midpoint $55.5M</t>
  </si>
  <si>
    <t>DISCOUNT RATE ASSUMPTIONS (Base Case)</t>
  </si>
  <si>
    <t>WACC (Base Case)</t>
  </si>
  <si>
    <t>Reflects: risk-free 4.5% + ERP 5.5% + beta 1.1 = 10.5%</t>
  </si>
  <si>
    <t>Terminal Growth Rate (Base)</t>
  </si>
  <si>
    <t>Long-run GDP growth; SaaS mission-critical use cases support 2.5%</t>
  </si>
  <si>
    <t>FCF GROWTH RATE ASSUMPTIONS (adjust yellow cells to see valuation change)</t>
  </si>
  <si>
    <t>Scenario</t>
  </si>
  <si>
    <t>Y1 (FY2026E)</t>
  </si>
  <si>
    <t>Y2 (FY2027E)</t>
  </si>
  <si>
    <t>Y3 (FY2028E)</t>
  </si>
  <si>
    <t>Y4 (FY2029E)</t>
  </si>
  <si>
    <t>Y5 (FY2030E)</t>
  </si>
  <si>
    <t>WACC</t>
  </si>
  <si>
    <t>Tg</t>
  </si>
  <si>
    <t>BASE</t>
  </si>
  <si>
    <t>BULL</t>
  </si>
  <si>
    <t>BEAR</t>
  </si>
  <si>
    <t>BASE CASE — PROJECTIONS &amp; VALUATION (all values from formulas)</t>
  </si>
  <si>
    <t>Base Year</t>
  </si>
  <si>
    <t>Free Cash Flow (M)</t>
  </si>
  <si>
    <t>Discount Factor (1/(1+WACC)^n)</t>
  </si>
  <si>
    <t>PV of FCF (M)</t>
  </si>
  <si>
    <t>BASE CASE VALUATION SUMMARY</t>
  </si>
  <si>
    <t>Sum of PV of FCF (M)</t>
  </si>
  <si>
    <t>Terminal FCF — Y5 * (1 + Tg)</t>
  </si>
  <si>
    <t>Terminal Value (perpetuity)</t>
  </si>
  <si>
    <t>PV of Terminal Value</t>
  </si>
  <si>
    <t>Enterprise Value (M)</t>
  </si>
  <si>
    <t>Less: Net Debt (M)</t>
  </si>
  <si>
    <t>Equity Value (M)</t>
  </si>
  <si>
    <t>INTRINSIC VALUE / SHARE</t>
  </si>
  <si>
    <t>Current Price</t>
  </si>
  <si>
    <t>Upside / (Downside) to IV</t>
  </si>
  <si>
    <t>ENTRY PRICE — 15% CAGR to Terminal Value (Base Case)</t>
  </si>
  <si>
    <t>Terminal Value per Share</t>
  </si>
  <si>
    <t>Entry Price for 15% IRR (5 yr)</t>
  </si>
  <si>
    <t>Entry Price vs Current Price</t>
  </si>
  <si>
    <t>DCBO — Scenario Comparison (Base / Bull / Bear)</t>
  </si>
  <si>
    <t>All computed directly from FCF growth rates on this sheet — change a rate and the IV updates</t>
  </si>
  <si>
    <t>SHARED INPUTS (link back to DCF Model or edit directly)</t>
  </si>
  <si>
    <t>Net Debt (M)</t>
  </si>
  <si>
    <t>Base Year FCF (M) — FY2025</t>
  </si>
  <si>
    <t>SCENARIO</t>
  </si>
  <si>
    <t>Terminal Growth</t>
  </si>
  <si>
    <t>FCF Growth Y1</t>
  </si>
  <si>
    <t>FCF Growth Y2</t>
  </si>
  <si>
    <t>FCF Growth Y3</t>
  </si>
  <si>
    <t>FCF Growth Y4</t>
  </si>
  <si>
    <t>FCF Growth Y5</t>
  </si>
  <si>
    <t>COMPUTED RESULTS</t>
  </si>
  <si>
    <t>FCF Y1 (M)</t>
  </si>
  <si>
    <t>FCF Y2 (M)</t>
  </si>
  <si>
    <t>FCF Y3 (M)</t>
  </si>
  <si>
    <t>FCF Y4 (M)</t>
  </si>
  <si>
    <t>FCF Y5 (M)</t>
  </si>
  <si>
    <t>PV FCF Y1 (M)</t>
  </si>
  <si>
    <t>PV FCF Y2 (M)</t>
  </si>
  <si>
    <t>PV FCF Y3 (M)</t>
  </si>
  <si>
    <t>PV FCF Y4 (M)</t>
  </si>
  <si>
    <t>PV FCF Y5 (M)</t>
  </si>
  <si>
    <t>Sum PV FCF (M)</t>
  </si>
  <si>
    <t>Terminal Value (M)</t>
  </si>
  <si>
    <t>PV of Terminal Value (M)</t>
  </si>
  <si>
    <t>Upside / (Downside)</t>
  </si>
  <si>
    <t>PROBABILITY-WEIGHTED INTRINSIC VALUE</t>
  </si>
  <si>
    <t>Probability Weights</t>
  </si>
  <si>
    <t>WEIGHTED INTRINSIC VALUE</t>
  </si>
  <si>
    <t>Weighted Upside / (Downside)</t>
  </si>
  <si>
    <t>SANITY CHECK — IMPLIED MULTIPLES AT INTRINSIC VALUES</t>
  </si>
  <si>
    <t>FY2026E Revenue (M)</t>
  </si>
  <si>
    <t>FY2026E Adj.EBITDA (M)</t>
  </si>
  <si>
    <t>EV/Rev (FY2026E) at IV</t>
  </si>
  <si>
    <t>EV/EBITDA (FY2026E) at IV</t>
  </si>
  <si>
    <t>Peer SaaS range (EV/Rev): 3-6x</t>
  </si>
  <si>
    <t>Peer SaaS range (EV/EBITDA): 15-25x</t>
  </si>
  <si>
    <t>DCBO — Sensitivity: Intrinsic Value by WACC &amp; Terminal Growth (Base Case FCF Growth)</t>
  </si>
  <si>
    <t>Rows = WACC; Columns = Terminal Growth Rate; Base-case FCF growth rates applied</t>
  </si>
  <si>
    <t>WACC \ Term G</t>
  </si>
  <si>
    <t>Current Price reference →</t>
  </si>
  <si>
    <t>Green = &gt;150% of current price</t>
  </si>
  <si>
    <t>Yellow = above current price</t>
  </si>
  <si>
    <t>Red = below current price</t>
  </si>
  <si>
    <t>DCBO — Historical Financials &amp; Growth Context</t>
  </si>
  <si>
    <t>Metric</t>
  </si>
  <si>
    <t>FY2022</t>
  </si>
  <si>
    <t>FY2023</t>
  </si>
  <si>
    <t>FY2024</t>
  </si>
  <si>
    <t>FY2025</t>
  </si>
  <si>
    <t>Q1 2026</t>
  </si>
  <si>
    <t>Revenue (M)</t>
  </si>
  <si>
    <t>Adj. EBITDA (M)</t>
  </si>
  <si>
    <t>—</t>
  </si>
  <si>
    <t>EBITDA Margin (%)</t>
  </si>
  <si>
    <t>FCF Margin (%)</t>
  </si>
  <si>
    <t>ARR (M)</t>
  </si>
  <si>
    <t>ACV ($K)</t>
  </si>
  <si>
    <t>EPS Diluted</t>
  </si>
  <si>
    <t>Shareholders Equity (M)</t>
  </si>
  <si>
    <t>Cash (M)</t>
  </si>
  <si>
    <t>Total Debt (M)</t>
  </si>
  <si>
    <t>Shares Out. (M)</t>
  </si>
  <si>
    <t>GROWTH RATES</t>
  </si>
  <si>
    <t>3yr CAGR</t>
  </si>
  <si>
    <t>2yr CAGR</t>
  </si>
  <si>
    <t>1yr (FY25 YoY)</t>
  </si>
  <si>
    <t>Revenue</t>
  </si>
  <si>
    <t>FCF (from FY23)</t>
  </si>
  <si>
    <t>Equity (FY23-25)</t>
  </si>
  <si>
    <t>Note: Equity CAGR excluded as IV anchor (equity went negative in Q1-2026 after $60M SIB + $61M 365Talents acquisition, largely debt-financed). FCF-based DCF used instead.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</si>
</sst>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#,##0.0"/>
    <numFmt numFmtId="166" formatCode="0.0%"/>
    <numFmt numFmtId="167" formatCode="+0.0%;-0.0%;0.0%"/>
    <numFmt numFmtId="168" formatCode="&quot;$&quot;#,##0"/>
  </numFmts>
  <fonts count="9">
    <font>
      <sz val="11"/>
      <color theme="1"/>
      <name val="Calibri"/>
      <family val="2"/>
      <scheme val="minor"/>
    </font>
    <font>
      <b/>
      <sz val="16"/>
      <color rgb="FF1E272E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E272E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B894"/>
      <name val="Calibri"/>
      <family val="2"/>
      <scheme val="minor"/>
    </font>
    <font>
      <b/>
      <sz val="11"/>
      <color rgb="FFE1705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D3436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E17055"/>
        <bgColor indexed="64"/>
      </patternFill>
    </fill>
    <fill>
      <patternFill patternType="solid">
        <fgColor rgb="FFFDCB6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/>
    <xf numFmtId="164" fontId="0" fillId="3" borderId="3" xfId="0" applyNumberFormat="1" applyFill="1" applyBorder="1"/>
    <xf numFmtId="165" fontId="0" fillId="3" borderId="3" xfId="0" applyNumberFormat="1" applyFill="1" applyBorder="1"/>
    <xf numFmtId="165" fontId="0" fillId="0" borderId="3" xfId="0" applyNumberFormat="1" applyBorder="1"/>
    <xf numFmtId="166" fontId="0" fillId="3" borderId="3" xfId="0" applyNumberFormat="1" applyFill="1" applyBorder="1"/>
    <xf numFmtId="0" fontId="3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64" fontId="5" fillId="4" borderId="3" xfId="0" applyNumberFormat="1" applyFont="1" applyFill="1" applyBorder="1"/>
    <xf numFmtId="164" fontId="0" fillId="0" borderId="3" xfId="0" applyNumberFormat="1" applyBorder="1"/>
    <xf numFmtId="167" fontId="3" fillId="4" borderId="3" xfId="0" applyNumberFormat="1" applyFont="1" applyFill="1" applyBorder="1"/>
    <xf numFmtId="0" fontId="0" fillId="0" borderId="3" xfId="0" applyBorder="1"/>
    <xf numFmtId="166" fontId="3" fillId="2" borderId="3" xfId="0" applyNumberFormat="1" applyFont="1" applyFill="1" applyBorder="1" applyAlignment="1">
      <alignment horizontal="center"/>
    </xf>
    <xf numFmtId="164" fontId="6" fillId="4" borderId="3" xfId="0" applyNumberFormat="1" applyFont="1" applyFill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166" fontId="0" fillId="0" borderId="3" xfId="0" applyNumberFormat="1" applyBorder="1"/>
    <xf numFmtId="168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16.7109375" customWidth="1"/>
    <col min="3" max="3" width="14.7109375" customWidth="1"/>
    <col min="4" max="8" width="13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t="s">
        <v>2</v>
      </c>
    </row>
    <row r="5" spans="1:8">
      <c r="A5" s="3" t="s">
        <v>3</v>
      </c>
      <c r="B5" s="3"/>
      <c r="C5" s="3"/>
      <c r="D5" s="3"/>
      <c r="E5" s="3"/>
      <c r="F5" s="3"/>
      <c r="G5" s="3"/>
      <c r="H5" s="3"/>
    </row>
    <row r="6" spans="1:8">
      <c r="A6" s="4" t="s">
        <v>4</v>
      </c>
      <c r="B6" s="5">
        <v>17.52</v>
      </c>
      <c r="C6" s="2" t="s">
        <v>5</v>
      </c>
    </row>
    <row r="7" spans="1:8">
      <c r="A7" s="4" t="s">
        <v>6</v>
      </c>
      <c r="B7" s="6">
        <v>25.7</v>
      </c>
      <c r="C7" s="2" t="s">
        <v>7</v>
      </c>
    </row>
    <row r="8" spans="1:8">
      <c r="A8" s="4" t="s">
        <v>8</v>
      </c>
      <c r="B8" s="6">
        <v>63.2</v>
      </c>
      <c r="C8" s="2" t="s">
        <v>9</v>
      </c>
    </row>
    <row r="9" spans="1:8">
      <c r="A9" s="4" t="s">
        <v>10</v>
      </c>
      <c r="B9" s="6">
        <v>79.09999999999999</v>
      </c>
      <c r="C9" s="2" t="s">
        <v>11</v>
      </c>
    </row>
    <row r="10" spans="1:8">
      <c r="A10" s="4" t="s">
        <v>12</v>
      </c>
      <c r="B10" s="7">
        <f>B9-B8</f>
        <v>15.9</v>
      </c>
      <c r="C10" s="2"/>
    </row>
    <row r="11" spans="1:8">
      <c r="A11" s="4" t="s">
        <v>13</v>
      </c>
      <c r="B11" s="6">
        <v>38.4</v>
      </c>
      <c r="C11" s="2" t="s">
        <v>14</v>
      </c>
    </row>
    <row r="12" spans="1:8">
      <c r="A12" s="4" t="s">
        <v>15</v>
      </c>
      <c r="B12" s="6">
        <v>242.7</v>
      </c>
      <c r="C12" s="2" t="s">
        <v>16</v>
      </c>
    </row>
    <row r="13" spans="1:8">
      <c r="A13" s="4" t="s">
        <v>17</v>
      </c>
      <c r="B13" s="6">
        <v>43.9</v>
      </c>
      <c r="C13" s="2" t="s">
        <v>18</v>
      </c>
    </row>
    <row r="15" spans="1:8">
      <c r="A15" s="3" t="s">
        <v>19</v>
      </c>
      <c r="B15" s="3"/>
      <c r="C15" s="3"/>
      <c r="D15" s="3"/>
      <c r="E15" s="3"/>
      <c r="F15" s="3"/>
      <c r="G15" s="3"/>
      <c r="H15" s="3"/>
    </row>
    <row r="16" spans="1:8">
      <c r="A16" s="4" t="s">
        <v>20</v>
      </c>
      <c r="B16" s="8">
        <v>0.105</v>
      </c>
      <c r="C16" s="2" t="s">
        <v>21</v>
      </c>
    </row>
    <row r="17" spans="1:8">
      <c r="A17" s="4" t="s">
        <v>22</v>
      </c>
      <c r="B17" s="8">
        <v>0.025</v>
      </c>
      <c r="C17" s="2" t="s">
        <v>23</v>
      </c>
    </row>
    <row r="19" spans="1:8">
      <c r="A19" s="3" t="s">
        <v>24</v>
      </c>
      <c r="B19" s="3"/>
      <c r="C19" s="3"/>
      <c r="D19" s="3"/>
      <c r="E19" s="3"/>
      <c r="F19" s="3"/>
      <c r="G19" s="3"/>
      <c r="H19" s="3"/>
    </row>
    <row r="20" spans="1:8">
      <c r="A20" s="9" t="s">
        <v>25</v>
      </c>
      <c r="B20" s="9" t="s">
        <v>26</v>
      </c>
      <c r="C20" s="9" t="s">
        <v>27</v>
      </c>
      <c r="D20" s="9" t="s">
        <v>28</v>
      </c>
      <c r="E20" s="9" t="s">
        <v>29</v>
      </c>
      <c r="F20" s="9" t="s">
        <v>30</v>
      </c>
      <c r="G20" s="9" t="s">
        <v>31</v>
      </c>
      <c r="H20" s="9" t="s">
        <v>32</v>
      </c>
    </row>
    <row r="21" spans="1:8">
      <c r="A21" s="10" t="s">
        <v>33</v>
      </c>
      <c r="B21" s="8">
        <v>0.22</v>
      </c>
      <c r="C21" s="8">
        <v>0.2</v>
      </c>
      <c r="D21" s="8">
        <v>0.17</v>
      </c>
      <c r="E21" s="8">
        <v>0.13</v>
      </c>
      <c r="F21" s="8">
        <v>0.1</v>
      </c>
      <c r="G21" s="8">
        <v>0.105</v>
      </c>
      <c r="H21" s="8">
        <v>0.025</v>
      </c>
    </row>
    <row r="22" spans="1:8">
      <c r="A22" s="11" t="s">
        <v>34</v>
      </c>
      <c r="B22" s="8">
        <v>0.28</v>
      </c>
      <c r="C22" s="8">
        <v>0.26</v>
      </c>
      <c r="D22" s="8">
        <v>0.22</v>
      </c>
      <c r="E22" s="8">
        <v>0.18</v>
      </c>
      <c r="F22" s="8">
        <v>0.14</v>
      </c>
      <c r="G22" s="8">
        <v>0.095</v>
      </c>
      <c r="H22" s="8">
        <v>0.03</v>
      </c>
    </row>
    <row r="23" spans="1:8">
      <c r="A23" s="12" t="s">
        <v>35</v>
      </c>
      <c r="B23" s="8">
        <v>0.12</v>
      </c>
      <c r="C23" s="8">
        <v>0.09</v>
      </c>
      <c r="D23" s="8">
        <v>0.07000000000000001</v>
      </c>
      <c r="E23" s="8">
        <v>0.05</v>
      </c>
      <c r="F23" s="8">
        <v>0.04</v>
      </c>
      <c r="G23" s="8">
        <v>0.12</v>
      </c>
      <c r="H23" s="8">
        <v>0.02</v>
      </c>
    </row>
    <row r="25" spans="1:8">
      <c r="A25" s="3" t="s">
        <v>36</v>
      </c>
      <c r="B25" s="3"/>
      <c r="C25" s="3"/>
      <c r="D25" s="3"/>
      <c r="E25" s="3"/>
      <c r="F25" s="3"/>
      <c r="G25" s="3"/>
      <c r="H25" s="3"/>
    </row>
    <row r="26" spans="1:8">
      <c r="A26" s="9"/>
      <c r="B26" s="9" t="s">
        <v>37</v>
      </c>
      <c r="C26" s="9" t="s">
        <v>26</v>
      </c>
      <c r="D26" s="9" t="s">
        <v>27</v>
      </c>
      <c r="E26" s="9" t="s">
        <v>28</v>
      </c>
      <c r="F26" s="9" t="s">
        <v>29</v>
      </c>
      <c r="G26" s="9" t="s">
        <v>30</v>
      </c>
    </row>
    <row r="27" spans="1:8">
      <c r="A27" s="4" t="s">
        <v>38</v>
      </c>
      <c r="B27" s="7">
        <f>B11</f>
        <v>38.4</v>
      </c>
      <c r="C27" s="7">
        <f>B27*(1+B21)</f>
        <v>46.848</v>
      </c>
      <c r="D27" s="7">
        <f>C27*(1+C21)</f>
        <v>56.2176</v>
      </c>
      <c r="E27" s="7">
        <f>D27*(1+D21)</f>
        <v>65.774592</v>
      </c>
      <c r="F27" s="7">
        <f>E27*(1+E21)</f>
        <v>74.32528896</v>
      </c>
      <c r="G27" s="7">
        <f>F27*(1+F21)</f>
        <v>81.75781786</v>
      </c>
    </row>
    <row r="28" spans="1:8">
      <c r="A28" s="4" t="s">
        <v>39</v>
      </c>
      <c r="C28" s="7">
        <f>1/(1+B16)^1</f>
        <v>0.9049773756</v>
      </c>
      <c r="D28" s="7">
        <f>1/(1+B16)^2</f>
        <v>0.8189840503</v>
      </c>
      <c r="E28" s="7">
        <f>1/(1+B16)^3</f>
        <v>0.7411620365</v>
      </c>
      <c r="F28" s="7">
        <f>1/(1+B16)^4</f>
        <v>0.6707348746</v>
      </c>
      <c r="G28" s="7">
        <f>1/(1+B16)^5</f>
        <v>0.6069998865</v>
      </c>
    </row>
    <row r="29" spans="1:8">
      <c r="A29" s="4" t="s">
        <v>40</v>
      </c>
      <c r="C29" s="7">
        <f>C27*C28</f>
        <v>42.39638009</v>
      </c>
      <c r="D29" s="7">
        <f>D27*D28</f>
        <v>46.04131775</v>
      </c>
      <c r="E29" s="7">
        <f>E27*E28</f>
        <v>48.74963055</v>
      </c>
      <c r="F29" s="7">
        <f>F27*F28</f>
        <v>49.85256337</v>
      </c>
      <c r="G29" s="7">
        <f>G27*G28</f>
        <v>49.62698616</v>
      </c>
    </row>
    <row r="31" spans="1:8">
      <c r="A31" s="3" t="s">
        <v>41</v>
      </c>
      <c r="B31" s="3"/>
      <c r="C31" s="3"/>
      <c r="D31" s="3"/>
      <c r="E31" s="3"/>
      <c r="F31" s="3"/>
      <c r="G31" s="3"/>
      <c r="H31" s="3"/>
    </row>
    <row r="32" spans="1:8">
      <c r="A32" s="4" t="s">
        <v>42</v>
      </c>
      <c r="B32" s="7">
        <f>SUM(C29:G29)</f>
        <v>236.6668779</v>
      </c>
    </row>
    <row r="33" spans="1:8">
      <c r="A33" s="4" t="s">
        <v>43</v>
      </c>
      <c r="B33" s="7">
        <f>G27*(1+B17)</f>
        <v>83.8017633</v>
      </c>
    </row>
    <row r="34" spans="1:8">
      <c r="A34" s="4" t="s">
        <v>44</v>
      </c>
      <c r="B34" s="7">
        <f>B33/(B16-B17)</f>
        <v>1047.522041</v>
      </c>
    </row>
    <row r="35" spans="1:8">
      <c r="A35" s="4" t="s">
        <v>45</v>
      </c>
      <c r="B35" s="7">
        <f>B34*G28</f>
        <v>635.8457602</v>
      </c>
    </row>
    <row r="36" spans="1:8">
      <c r="A36" s="4" t="s">
        <v>46</v>
      </c>
      <c r="B36" s="7">
        <f>B32+B35</f>
        <v>872.5126381</v>
      </c>
    </row>
    <row r="37" spans="1:8">
      <c r="A37" s="4" t="s">
        <v>47</v>
      </c>
      <c r="B37" s="7">
        <f>B10</f>
        <v>15.9</v>
      </c>
    </row>
    <row r="38" spans="1:8">
      <c r="A38" s="4" t="s">
        <v>48</v>
      </c>
      <c r="B38" s="7">
        <f>B36-B10</f>
        <v>856.6126381</v>
      </c>
    </row>
    <row r="39" spans="1:8">
      <c r="A39" s="4" t="s">
        <v>49</v>
      </c>
      <c r="B39" s="13">
        <f>B38/B7</f>
        <v>33.33123106</v>
      </c>
    </row>
    <row r="40" spans="1:8">
      <c r="A40" s="4" t="s">
        <v>50</v>
      </c>
      <c r="B40" s="14">
        <f>B6</f>
        <v>17.52</v>
      </c>
    </row>
    <row r="41" spans="1:8">
      <c r="A41" s="4" t="s">
        <v>51</v>
      </c>
      <c r="B41" s="15">
        <f>(B39-B6)/B6</f>
        <v>0.902467526</v>
      </c>
    </row>
    <row r="43" spans="1:8">
      <c r="A43" s="3" t="s">
        <v>52</v>
      </c>
      <c r="B43" s="3"/>
      <c r="C43" s="3"/>
      <c r="D43" s="3"/>
      <c r="E43" s="3"/>
      <c r="F43" s="3"/>
      <c r="G43" s="3"/>
      <c r="H43" s="3"/>
    </row>
    <row r="44" spans="1:8">
      <c r="A44" s="4" t="s">
        <v>53</v>
      </c>
      <c r="B44" s="14">
        <f>B34/B7</f>
        <v>40.7596125</v>
      </c>
    </row>
    <row r="45" spans="1:8">
      <c r="A45" s="4" t="s">
        <v>54</v>
      </c>
      <c r="B45" s="13">
        <f>B44/(1.15^5)</f>
        <v>20.26473108</v>
      </c>
    </row>
    <row r="46" spans="1:8">
      <c r="A46" s="4" t="s">
        <v>55</v>
      </c>
      <c r="B46" s="15">
        <f>(B45-B6)/B6</f>
        <v>0.1566627326</v>
      </c>
    </row>
  </sheetData>
  <mergeCells count="8">
    <mergeCell ref="A1:H1"/>
    <mergeCell ref="A2:H2"/>
    <mergeCell ref="A5:H5"/>
    <mergeCell ref="A15:H15"/>
    <mergeCell ref="A19:H19"/>
    <mergeCell ref="A25:H25"/>
    <mergeCell ref="A31:H31"/>
    <mergeCell ref="A43:H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cols>
    <col min="1" max="1" width="32.7109375" customWidth="1"/>
    <col min="2" max="4" width="18.7109375" customWidth="1"/>
  </cols>
  <sheetData>
    <row r="1" spans="1:4">
      <c r="A1" s="1" t="s">
        <v>56</v>
      </c>
      <c r="B1" s="1"/>
      <c r="C1" s="1"/>
      <c r="D1" s="1"/>
    </row>
    <row r="2" spans="1:4">
      <c r="A2" s="2" t="s">
        <v>57</v>
      </c>
    </row>
    <row r="4" spans="1:4">
      <c r="A4" s="3" t="s">
        <v>58</v>
      </c>
      <c r="B4" s="3"/>
      <c r="C4" s="3"/>
      <c r="D4" s="3"/>
    </row>
    <row r="5" spans="1:4">
      <c r="A5" s="4" t="s">
        <v>6</v>
      </c>
      <c r="B5" s="6">
        <v>25.7</v>
      </c>
      <c r="C5" s="16"/>
      <c r="D5" s="16"/>
    </row>
    <row r="6" spans="1:4">
      <c r="A6" s="4" t="s">
        <v>59</v>
      </c>
      <c r="B6" s="6">
        <v>15.9</v>
      </c>
    </row>
    <row r="7" spans="1:4">
      <c r="A7" s="4" t="s">
        <v>60</v>
      </c>
      <c r="B7" s="6">
        <v>38.4</v>
      </c>
    </row>
    <row r="8" spans="1:4">
      <c r="A8" s="4" t="s">
        <v>50</v>
      </c>
      <c r="B8" s="5">
        <v>17.52</v>
      </c>
    </row>
    <row r="10" spans="1:4">
      <c r="A10" s="9" t="s">
        <v>61</v>
      </c>
      <c r="B10" s="10" t="s">
        <v>33</v>
      </c>
      <c r="C10" s="11" t="s">
        <v>34</v>
      </c>
      <c r="D10" s="12" t="s">
        <v>35</v>
      </c>
    </row>
    <row r="11" spans="1:4">
      <c r="A11" s="4" t="s">
        <v>31</v>
      </c>
      <c r="B11" s="8">
        <v>0.105</v>
      </c>
      <c r="C11" s="8">
        <v>0.095</v>
      </c>
      <c r="D11" s="8">
        <v>0.12</v>
      </c>
    </row>
    <row r="12" spans="1:4">
      <c r="A12" s="4" t="s">
        <v>62</v>
      </c>
      <c r="B12" s="8">
        <v>0.025</v>
      </c>
      <c r="C12" s="8">
        <v>0.03</v>
      </c>
      <c r="D12" s="8">
        <v>0.02</v>
      </c>
    </row>
    <row r="13" spans="1:4">
      <c r="A13" s="4" t="s">
        <v>63</v>
      </c>
      <c r="B13" s="8">
        <v>0.22</v>
      </c>
      <c r="C13" s="8">
        <v>0.28</v>
      </c>
      <c r="D13" s="8">
        <v>0.12</v>
      </c>
    </row>
    <row r="14" spans="1:4">
      <c r="A14" s="4" t="s">
        <v>64</v>
      </c>
      <c r="B14" s="8">
        <v>0.2</v>
      </c>
      <c r="C14" s="8">
        <v>0.26</v>
      </c>
      <c r="D14" s="8">
        <v>0.09</v>
      </c>
    </row>
    <row r="15" spans="1:4">
      <c r="A15" s="4" t="s">
        <v>65</v>
      </c>
      <c r="B15" s="8">
        <v>0.17</v>
      </c>
      <c r="C15" s="8">
        <v>0.22</v>
      </c>
      <c r="D15" s="8">
        <v>0.07000000000000001</v>
      </c>
    </row>
    <row r="16" spans="1:4">
      <c r="A16" s="4" t="s">
        <v>66</v>
      </c>
      <c r="B16" s="8">
        <v>0.13</v>
      </c>
      <c r="C16" s="8">
        <v>0.18</v>
      </c>
      <c r="D16" s="8">
        <v>0.05</v>
      </c>
    </row>
    <row r="17" spans="1:4">
      <c r="A17" s="4" t="s">
        <v>67</v>
      </c>
      <c r="B17" s="8">
        <v>0.1</v>
      </c>
      <c r="C17" s="8">
        <v>0.14</v>
      </c>
      <c r="D17" s="8">
        <v>0.04</v>
      </c>
    </row>
    <row r="19" spans="1:4">
      <c r="A19" s="9" t="s">
        <v>68</v>
      </c>
      <c r="B19" s="10" t="s">
        <v>33</v>
      </c>
      <c r="C19" s="11" t="s">
        <v>34</v>
      </c>
      <c r="D19" s="12" t="s">
        <v>35</v>
      </c>
    </row>
    <row r="20" spans="1:4">
      <c r="A20" s="4" t="s">
        <v>69</v>
      </c>
      <c r="B20" s="7">
        <f>B7*(1+B13)</f>
        <v>46.848</v>
      </c>
      <c r="C20" s="7">
        <f>B7*(1+C13)</f>
        <v>49.152</v>
      </c>
      <c r="D20" s="7">
        <f>B7*(1+D13)</f>
        <v>43.008</v>
      </c>
    </row>
    <row r="21" spans="1:4">
      <c r="A21" s="4" t="s">
        <v>70</v>
      </c>
      <c r="B21" s="7">
        <f>B20*(1+B14)</f>
        <v>56.2176</v>
      </c>
      <c r="C21" s="7">
        <f>C20*(1+C14)</f>
        <v>61.93152</v>
      </c>
      <c r="D21" s="7">
        <f>D20*(1+D14)</f>
        <v>46.87872</v>
      </c>
    </row>
    <row r="22" spans="1:4">
      <c r="A22" s="4" t="s">
        <v>71</v>
      </c>
      <c r="B22" s="7">
        <f>B21*(1+B15)</f>
        <v>65.774592</v>
      </c>
      <c r="C22" s="7">
        <f>C21*(1+C15)</f>
        <v>75.5564544</v>
      </c>
      <c r="D22" s="7">
        <f>D21*(1+D15)</f>
        <v>50.1602304</v>
      </c>
    </row>
    <row r="23" spans="1:4">
      <c r="A23" s="4" t="s">
        <v>72</v>
      </c>
      <c r="B23" s="7">
        <f>B22*(1+B16)</f>
        <v>74.32528896</v>
      </c>
      <c r="C23" s="7">
        <f>C22*(1+C16)</f>
        <v>89.15661619</v>
      </c>
      <c r="D23" s="7">
        <f>D22*(1+D16)</f>
        <v>52.66824192</v>
      </c>
    </row>
    <row r="24" spans="1:4">
      <c r="A24" s="4" t="s">
        <v>73</v>
      </c>
      <c r="B24" s="7">
        <f>B23*(1+B17)</f>
        <v>81.75781786</v>
      </c>
      <c r="C24" s="7">
        <f>C23*(1+C17)</f>
        <v>101.6385425</v>
      </c>
      <c r="D24" s="7">
        <f>D23*(1+D17)</f>
        <v>54.7749716</v>
      </c>
    </row>
    <row r="25" spans="1:4">
      <c r="A25" s="4" t="s">
        <v>74</v>
      </c>
      <c r="B25" s="7">
        <f>B20/(1+B11)^1</f>
        <v>42.39638009</v>
      </c>
      <c r="C25" s="7">
        <f>C20/(1+C11)^1</f>
        <v>44.88767123</v>
      </c>
      <c r="D25" s="7">
        <f>D20/(1+D11)^1</f>
        <v>38.4</v>
      </c>
    </row>
    <row r="26" spans="1:4">
      <c r="A26" s="4" t="s">
        <v>75</v>
      </c>
      <c r="B26" s="7">
        <f>B21/(1+B11)^2</f>
        <v>46.04131775</v>
      </c>
      <c r="C26" s="7">
        <f>C21/(1+C11)^2</f>
        <v>51.6515669</v>
      </c>
      <c r="D26" s="7">
        <f>D21/(1+D11)^2</f>
        <v>37.37142857</v>
      </c>
    </row>
    <row r="27" spans="1:4">
      <c r="A27" s="4" t="s">
        <v>76</v>
      </c>
      <c r="B27" s="7">
        <f>B22/(1+B11)^3</f>
        <v>48.74963055</v>
      </c>
      <c r="C27" s="7">
        <f>C22/(1+C11)^3</f>
        <v>57.54786449</v>
      </c>
      <c r="D27" s="7">
        <f>D22/(1+D11)^3</f>
        <v>35.70306122</v>
      </c>
    </row>
    <row r="28" spans="1:4">
      <c r="A28" s="4" t="s">
        <v>77</v>
      </c>
      <c r="B28" s="7">
        <f>B23/(1+B11)^4</f>
        <v>49.85256337</v>
      </c>
      <c r="C28" s="7">
        <f>C23/(1+C11)^4</f>
        <v>62.01505032</v>
      </c>
      <c r="D28" s="7">
        <f>D23/(1+D11)^4</f>
        <v>33.4716199</v>
      </c>
    </row>
    <row r="29" spans="1:4">
      <c r="A29" s="4" t="s">
        <v>78</v>
      </c>
      <c r="B29" s="7">
        <f>B24/(1+B11)^5</f>
        <v>49.62698616</v>
      </c>
      <c r="C29" s="7">
        <f>C24/(1+C11)^5</f>
        <v>64.56361403</v>
      </c>
      <c r="D29" s="7">
        <f>D24/(1+D11)^5</f>
        <v>31.08078991</v>
      </c>
    </row>
    <row r="30" spans="1:4">
      <c r="A30" s="4" t="s">
        <v>79</v>
      </c>
      <c r="B30" s="7">
        <f>B25+B26+B27+B28+B29</f>
        <v>236.6668779</v>
      </c>
      <c r="C30" s="7">
        <f>C25+C26+C27+C28+C29</f>
        <v>280.665767</v>
      </c>
      <c r="D30" s="7">
        <f>D25+D26+D27+D28+D29</f>
        <v>176.0268996</v>
      </c>
    </row>
    <row r="31" spans="1:4">
      <c r="A31" s="4" t="s">
        <v>80</v>
      </c>
      <c r="B31" s="7">
        <f>B24*(1+B12)/(B11-B12)</f>
        <v>1047.522041</v>
      </c>
      <c r="C31" s="7">
        <f>C24*(1+C12)/(C11-C12)</f>
        <v>1610.579981</v>
      </c>
      <c r="D31" s="7">
        <f>D24*(1+D12)/(D11-D12)</f>
        <v>558.7047103</v>
      </c>
    </row>
    <row r="32" spans="1:4">
      <c r="A32" s="4" t="s">
        <v>81</v>
      </c>
      <c r="B32" s="7">
        <f>B31/(1+B11)^5</f>
        <v>635.8457602</v>
      </c>
      <c r="C32" s="7">
        <f>C31/(1+C11)^5</f>
        <v>1023.084961</v>
      </c>
      <c r="D32" s="7">
        <f>D31/(1+D11)^5</f>
        <v>317.024057</v>
      </c>
    </row>
    <row r="33" spans="1:4">
      <c r="A33" s="4" t="s">
        <v>46</v>
      </c>
      <c r="B33" s="7">
        <f>B30+B32</f>
        <v>872.5126381</v>
      </c>
      <c r="C33" s="7">
        <f>C30+C32</f>
        <v>1303.750728</v>
      </c>
      <c r="D33" s="7">
        <f>D30+D32</f>
        <v>493.0509566</v>
      </c>
    </row>
    <row r="34" spans="1:4">
      <c r="A34" s="4" t="s">
        <v>48</v>
      </c>
      <c r="B34" s="7">
        <f>B33-B6</f>
        <v>856.6126381</v>
      </c>
      <c r="C34" s="7">
        <f>C33-B6</f>
        <v>1287.850728</v>
      </c>
      <c r="D34" s="7">
        <f>D33-B6</f>
        <v>477.1509566</v>
      </c>
    </row>
    <row r="35" spans="1:4">
      <c r="A35" s="4" t="s">
        <v>49</v>
      </c>
      <c r="B35" s="13">
        <f>B34/B5</f>
        <v>33.33123106</v>
      </c>
      <c r="C35" s="13">
        <f>C34/B5</f>
        <v>50.11092326</v>
      </c>
      <c r="D35" s="13">
        <f>D34/B5</f>
        <v>18.56618508</v>
      </c>
    </row>
    <row r="36" spans="1:4">
      <c r="A36" s="4" t="s">
        <v>82</v>
      </c>
      <c r="B36" s="15">
        <f>(B35-B8)/B8</f>
        <v>0.902467526</v>
      </c>
      <c r="C36" s="15">
        <f>(C35-B8)/B8</f>
        <v>1.860212515</v>
      </c>
      <c r="D36" s="15">
        <f>(D35-B8)/B8</f>
        <v>0.05971376044</v>
      </c>
    </row>
    <row r="38" spans="1:4">
      <c r="A38" s="3" t="s">
        <v>83</v>
      </c>
      <c r="B38" s="3"/>
      <c r="C38" s="3"/>
      <c r="D38" s="3"/>
    </row>
    <row r="39" spans="1:4">
      <c r="A39" s="4" t="s">
        <v>84</v>
      </c>
      <c r="B39" s="8">
        <v>0.55</v>
      </c>
      <c r="C39" s="8">
        <v>0.2</v>
      </c>
      <c r="D39" s="8">
        <v>0.25</v>
      </c>
    </row>
    <row r="40" spans="1:4">
      <c r="A40" s="4" t="s">
        <v>85</v>
      </c>
      <c r="B40" s="13">
        <f>B35*B39+C35*C39+D35*D39</f>
        <v>32.995908</v>
      </c>
    </row>
    <row r="41" spans="1:4">
      <c r="A41" s="4" t="s">
        <v>86</v>
      </c>
      <c r="B41" s="15">
        <f>(B40-B8)/B8</f>
        <v>0.8833280824</v>
      </c>
    </row>
    <row r="43" spans="1:4">
      <c r="A43" s="3" t="s">
        <v>87</v>
      </c>
      <c r="B43" s="3"/>
      <c r="C43" s="3"/>
      <c r="D43" s="3"/>
    </row>
    <row r="44" spans="1:4">
      <c r="A44" s="4" t="s">
        <v>88</v>
      </c>
      <c r="B44" s="6">
        <v>272</v>
      </c>
      <c r="C44" s="6">
        <v>272</v>
      </c>
      <c r="D44" s="6">
        <v>272</v>
      </c>
    </row>
    <row r="45" spans="1:4">
      <c r="A45" s="4" t="s">
        <v>89</v>
      </c>
      <c r="B45" s="6">
        <v>55.5</v>
      </c>
      <c r="C45" s="6">
        <v>55.5</v>
      </c>
      <c r="D45" s="6">
        <v>55.5</v>
      </c>
    </row>
    <row r="46" spans="1:4">
      <c r="A46" s="4" t="s">
        <v>90</v>
      </c>
      <c r="B46" s="7">
        <f>B33/B44</f>
        <v>3.207767052</v>
      </c>
      <c r="C46" s="7">
        <f>C33/C44</f>
        <v>4.793201205</v>
      </c>
      <c r="D46" s="7">
        <f>D33/D44</f>
        <v>1.812687341</v>
      </c>
    </row>
    <row r="47" spans="1:4">
      <c r="A47" s="4" t="s">
        <v>91</v>
      </c>
      <c r="B47" s="7">
        <f>B33/B45</f>
        <v>15.72094843</v>
      </c>
      <c r="C47" s="7">
        <f>C33/C45</f>
        <v>23.4910041</v>
      </c>
      <c r="D47" s="7">
        <f>D33/D45</f>
        <v>8.88380102</v>
      </c>
    </row>
    <row r="48" spans="1:4">
      <c r="A48" s="2" t="s">
        <v>92</v>
      </c>
      <c r="B48" s="2" t="s">
        <v>93</v>
      </c>
    </row>
  </sheetData>
  <mergeCells count="4">
    <mergeCell ref="A1:D1"/>
    <mergeCell ref="A4:D4"/>
    <mergeCell ref="A38:D38"/>
    <mergeCell ref="A43:D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20.7109375" customWidth="1"/>
    <col min="2" max="7" width="13.7109375" customWidth="1"/>
  </cols>
  <sheetData>
    <row r="1" spans="1:7">
      <c r="A1" s="1" t="s">
        <v>94</v>
      </c>
      <c r="B1" s="1"/>
      <c r="C1" s="1"/>
      <c r="D1" s="1"/>
      <c r="E1" s="1"/>
      <c r="F1" s="1"/>
      <c r="G1" s="1"/>
    </row>
    <row r="2" spans="1:7">
      <c r="A2" s="2" t="s">
        <v>95</v>
      </c>
    </row>
    <row r="4" spans="1:7">
      <c r="A4" s="17" t="s">
        <v>96</v>
      </c>
      <c r="B4" s="17">
        <v>0.015</v>
      </c>
      <c r="C4" s="17">
        <v>0.02</v>
      </c>
      <c r="D4" s="17">
        <v>0.025</v>
      </c>
      <c r="E4" s="17">
        <v>0.03</v>
      </c>
      <c r="F4" s="17">
        <v>0.035</v>
      </c>
    </row>
    <row r="5" spans="1:7">
      <c r="A5" s="17">
        <v>0.08500000000000001</v>
      </c>
      <c r="B5" s="18">
        <v>39.8</v>
      </c>
      <c r="C5" s="18">
        <v>42.33</v>
      </c>
      <c r="D5" s="18">
        <v>45.27</v>
      </c>
      <c r="E5" s="18">
        <v>48.75</v>
      </c>
      <c r="F5" s="18">
        <v>52.92</v>
      </c>
    </row>
    <row r="6" spans="1:7">
      <c r="A6" s="17">
        <v>0.095</v>
      </c>
      <c r="B6" s="18">
        <v>34.49</v>
      </c>
      <c r="C6" s="18">
        <v>36.34</v>
      </c>
      <c r="D6" s="18">
        <v>38.44</v>
      </c>
      <c r="E6" s="18">
        <v>40.87</v>
      </c>
      <c r="F6" s="18">
        <v>43.71</v>
      </c>
    </row>
    <row r="7" spans="1:7">
      <c r="A7" s="17">
        <v>0.105</v>
      </c>
      <c r="B7" s="18">
        <v>30.37</v>
      </c>
      <c r="C7" s="18">
        <v>31.76</v>
      </c>
      <c r="D7" s="18">
        <v>33.33</v>
      </c>
      <c r="E7" s="18">
        <v>35.11</v>
      </c>
      <c r="F7" s="18">
        <v>37.14</v>
      </c>
    </row>
    <row r="8" spans="1:7">
      <c r="A8" s="17">
        <v>0.115</v>
      </c>
      <c r="B8" s="18">
        <v>27.08</v>
      </c>
      <c r="C8" s="18">
        <v>28.16</v>
      </c>
      <c r="D8" s="18">
        <v>29.36</v>
      </c>
      <c r="E8" s="18">
        <v>30.71</v>
      </c>
      <c r="F8" s="18">
        <v>32.22</v>
      </c>
    </row>
    <row r="9" spans="1:7">
      <c r="A9" s="17">
        <v>0.125</v>
      </c>
      <c r="B9" s="19">
        <v>24.39</v>
      </c>
      <c r="C9" s="19">
        <v>25.25</v>
      </c>
      <c r="D9" s="19">
        <v>26.19</v>
      </c>
      <c r="E9" s="18">
        <v>27.24</v>
      </c>
      <c r="F9" s="18">
        <v>28.4</v>
      </c>
    </row>
    <row r="11" spans="1:7">
      <c r="A11" s="20" t="s">
        <v>98</v>
      </c>
    </row>
    <row r="12" spans="1:7">
      <c r="A12" s="21" t="s">
        <v>99</v>
      </c>
    </row>
    <row r="13" spans="1:7">
      <c r="A13" s="21" t="s">
        <v>100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28.7109375" customWidth="1"/>
    <col min="2" max="6" width="14.7109375" customWidth="1"/>
  </cols>
  <sheetData>
    <row r="1" spans="1:6">
      <c r="A1" s="1" t="s">
        <v>101</v>
      </c>
      <c r="B1" s="1"/>
      <c r="C1" s="1"/>
      <c r="D1" s="1"/>
      <c r="E1" s="1"/>
      <c r="F1" s="1"/>
    </row>
    <row r="3" spans="1:6">
      <c r="A3" s="9" t="s">
        <v>102</v>
      </c>
      <c r="B3" s="9" t="s">
        <v>103</v>
      </c>
      <c r="C3" s="9" t="s">
        <v>104</v>
      </c>
      <c r="D3" s="9" t="s">
        <v>105</v>
      </c>
      <c r="E3" s="9" t="s">
        <v>106</v>
      </c>
      <c r="F3" s="9" t="s">
        <v>107</v>
      </c>
    </row>
    <row r="4" spans="1:6">
      <c r="A4" s="4" t="s">
        <v>108</v>
      </c>
      <c r="B4" s="7">
        <v>143.6</v>
      </c>
      <c r="C4" s="7">
        <v>180.8</v>
      </c>
      <c r="D4" s="7">
        <v>216.9</v>
      </c>
      <c r="E4" s="7">
        <v>242.7</v>
      </c>
      <c r="F4" s="7">
        <v>65.59999999999999</v>
      </c>
    </row>
    <row r="5" spans="1:6">
      <c r="A5" s="4" t="s">
        <v>109</v>
      </c>
      <c r="B5" s="16" t="s">
        <v>110</v>
      </c>
      <c r="C5" s="7">
        <v>16.3</v>
      </c>
      <c r="D5" s="7">
        <v>33.6</v>
      </c>
      <c r="E5" s="7">
        <v>43.9</v>
      </c>
      <c r="F5" s="7">
        <v>11</v>
      </c>
    </row>
    <row r="6" spans="1:6">
      <c r="A6" s="4" t="s">
        <v>111</v>
      </c>
      <c r="B6" s="16" t="s">
        <v>110</v>
      </c>
      <c r="C6" s="22">
        <v>0.09</v>
      </c>
      <c r="D6" s="22">
        <v>0.155</v>
      </c>
      <c r="E6" s="22">
        <v>0.181</v>
      </c>
      <c r="F6" s="22">
        <v>0.168</v>
      </c>
    </row>
    <row r="7" spans="1:6">
      <c r="A7" s="4" t="s">
        <v>38</v>
      </c>
      <c r="B7" s="7">
        <v>0.8</v>
      </c>
      <c r="C7" s="7">
        <v>20.1</v>
      </c>
      <c r="D7" s="7">
        <v>32.3</v>
      </c>
      <c r="E7" s="7">
        <v>38.4</v>
      </c>
      <c r="F7" s="7">
        <v>27.6</v>
      </c>
    </row>
    <row r="8" spans="1:6">
      <c r="A8" s="4" t="s">
        <v>112</v>
      </c>
      <c r="B8" s="22">
        <v>0.006</v>
      </c>
      <c r="C8" s="22">
        <v>0.111</v>
      </c>
      <c r="D8" s="22">
        <v>0.149</v>
      </c>
      <c r="E8" s="22">
        <v>0.158</v>
      </c>
      <c r="F8" s="22">
        <v>0.421</v>
      </c>
    </row>
    <row r="9" spans="1:6">
      <c r="A9" s="4" t="s">
        <v>113</v>
      </c>
      <c r="B9" s="7">
        <v>153.3</v>
      </c>
      <c r="C9" s="7">
        <v>194.3</v>
      </c>
      <c r="D9" s="7">
        <v>219.7</v>
      </c>
      <c r="E9" s="7">
        <v>238.1</v>
      </c>
      <c r="F9" s="7">
        <v>248.9</v>
      </c>
    </row>
    <row r="10" spans="1:6">
      <c r="A10" s="4" t="s">
        <v>114</v>
      </c>
      <c r="B10" s="23">
        <v>45200</v>
      </c>
      <c r="C10" s="23">
        <v>51700</v>
      </c>
      <c r="D10" s="23">
        <v>55200</v>
      </c>
      <c r="E10" s="23">
        <v>66500</v>
      </c>
      <c r="F10" s="23">
        <v>71000</v>
      </c>
    </row>
    <row r="11" spans="1:6">
      <c r="A11" s="4" t="s">
        <v>115</v>
      </c>
      <c r="B11" s="7">
        <v>0.04</v>
      </c>
      <c r="C11" s="7">
        <v>0.08</v>
      </c>
      <c r="D11" s="7">
        <v>0.86</v>
      </c>
      <c r="E11" s="7">
        <v>1.28</v>
      </c>
      <c r="F11" s="7">
        <v>-0.06</v>
      </c>
    </row>
    <row r="12" spans="1:6">
      <c r="A12" s="4" t="s">
        <v>116</v>
      </c>
      <c r="B12" s="16" t="s">
        <v>110</v>
      </c>
      <c r="C12" s="7">
        <v>50.7</v>
      </c>
      <c r="D12" s="7">
        <v>57.8</v>
      </c>
      <c r="E12" s="7">
        <v>74.09999999999999</v>
      </c>
      <c r="F12" s="7">
        <v>-0.6</v>
      </c>
    </row>
    <row r="13" spans="1:6">
      <c r="A13" s="4" t="s">
        <v>117</v>
      </c>
      <c r="B13" s="16" t="s">
        <v>110</v>
      </c>
      <c r="C13" s="7">
        <v>72</v>
      </c>
      <c r="D13" s="7">
        <v>92.5</v>
      </c>
      <c r="E13" s="7">
        <v>74</v>
      </c>
      <c r="F13" s="7">
        <v>63.2</v>
      </c>
    </row>
    <row r="14" spans="1:6">
      <c r="A14" s="4" t="s">
        <v>118</v>
      </c>
      <c r="B14" s="16" t="s">
        <v>110</v>
      </c>
      <c r="C14" s="7">
        <v>0</v>
      </c>
      <c r="D14" s="7">
        <v>0</v>
      </c>
      <c r="E14" s="7">
        <v>0</v>
      </c>
      <c r="F14" s="7">
        <v>79.09999999999999</v>
      </c>
    </row>
    <row r="15" spans="1:6">
      <c r="A15" s="4" t="s">
        <v>119</v>
      </c>
      <c r="B15" s="16" t="s">
        <v>110</v>
      </c>
      <c r="C15" s="7">
        <v>30.3</v>
      </c>
      <c r="D15" s="7">
        <v>30.3</v>
      </c>
      <c r="E15" s="7">
        <v>28.7</v>
      </c>
      <c r="F15" s="7">
        <v>25.7</v>
      </c>
    </row>
    <row r="18" spans="1:4">
      <c r="A18" s="3" t="s">
        <v>120</v>
      </c>
    </row>
    <row r="19" spans="1:4">
      <c r="A19" s="9" t="s">
        <v>102</v>
      </c>
      <c r="B19" s="9" t="s">
        <v>121</v>
      </c>
      <c r="C19" s="9" t="s">
        <v>122</v>
      </c>
      <c r="D19" s="9" t="s">
        <v>123</v>
      </c>
    </row>
    <row r="20" spans="1:4">
      <c r="A20" s="4" t="s">
        <v>124</v>
      </c>
      <c r="B20" s="22">
        <v>0.191</v>
      </c>
      <c r="C20" s="22">
        <v>0.159</v>
      </c>
      <c r="D20" s="22">
        <v>0.119</v>
      </c>
    </row>
    <row r="21" spans="1:4">
      <c r="A21" s="4" t="s">
        <v>125</v>
      </c>
      <c r="B21" s="16" t="s">
        <v>110</v>
      </c>
      <c r="C21" s="22">
        <v>0.382</v>
      </c>
      <c r="D21" s="22">
        <v>0.189</v>
      </c>
    </row>
    <row r="22" spans="1:4">
      <c r="A22" s="4" t="s">
        <v>115</v>
      </c>
      <c r="B22" s="16" t="s">
        <v>110</v>
      </c>
      <c r="C22" s="16" t="s">
        <v>110</v>
      </c>
      <c r="D22" s="22">
        <v>0.488</v>
      </c>
    </row>
    <row r="23" spans="1:4">
      <c r="A23" s="4" t="s">
        <v>126</v>
      </c>
      <c r="B23" s="16" t="s">
        <v>110</v>
      </c>
      <c r="C23" s="22">
        <v>0.209</v>
      </c>
      <c r="D23" s="22">
        <v>0.282</v>
      </c>
    </row>
    <row r="25" spans="1:4">
      <c r="A25" s="2" t="s">
        <v>127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Scenarios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2026-06-27T06:13:25Z</dcterms:created>
  <dcterms:modified xsi:type="dcterms:W3CDTF">2026-06-27T06:13:25Z</dcterms:modified>
</cp:coreProperties>
</file>