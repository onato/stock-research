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_Info" sheetId="1" state="visible" r:id="rId3"/>
    <sheet name="Actuals_Data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 fullCalcOnLoad="true" forceFullCalc="true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<sst xmlns="http://schemas.openxmlformats.org/spreadsheetml/2006/main" count="290" uniqueCount="181">
  <si>
    <t xml:space="preserve">DOCEBO (DCBO) - DCF MODEL</t>
  </si>
  <si>
    <t xml:space="preserve">Lineage</t>
  </si>
  <si>
    <t xml:space="preserve">v1.0, built 17-Aug-2026 by Claude (Fable 5, claude.ai chat) at Stephen's request, via the equity-deep-dive -&gt; tech-dcf-workbook skill chain (openpyxl; recalculated in LibreOffice; key outputs hand-checked). Fresh build - no prior DCBO workbook existed.</t>
  </si>
  <si>
    <t xml:space="preserve">DATA VINTAGE</t>
  </si>
  <si>
    <t xml:space="preserve">FY0 anchors (FY2025)</t>
  </si>
  <si>
    <t xml:space="preserve">Revenue $242.7M, adj EBITDA $43.8M (18.0%): Q4/FY25 PR 27-Feb-26 (Business Wire/IR) plus quarterly PRs Q1-Q3 2025 (8.9/9.2/12.4). FY25 SBC ~2.3% is an ESTIMATE: H1-25 actual $2.5M per Q2-26 PR comparatives; H2-25 estimated at similar run-rate. FY25 company FCF $38.4M; NDR 99% (Q4-25 call).</t>
  </si>
  <si>
    <t xml:space="preserve">FY1 guidance (FY2026)</t>
  </si>
  <si>
    <t xml:space="preserve">Raised 3x during 2026: Feb 27 ($267.5-269.5M rev / $52.5-54.5M aEBITDA) -&gt; May 8 ($271-273M) -&gt; Aug 7 ($274.5-276.5M rev, $255.5-257.5M subscription, $54.5-56.5M aEBITDA ~20.1%). Q3-26 guide: $69.5-69.7M rev, $15.9-16.1M aEBITDA (~23%). Source: Q2-26 PR 7-Aug-26.</t>
  </si>
  <si>
    <t xml:space="preserve">Balance sheet / shares</t>
  </si>
  <si>
    <t xml:space="preserve">30-Jun-26 (Q2-26 PR + 6-K interim statements, SEC EDGAR): cash $45.7M, borrowings $88.0M, contingent consideration ~$3.7M -&gt; net debt ~$46M. Book equity ~nil (buyback artifact). Diluted w.a. shares 26.8M (basic 25.5M), down ~14% YoY. Open SIB: up to 3,431,372 sh at $20.40 ($70M), expires 26-Aug-26, funded ~$60M debt/$10M cash - NOT baked into net debt or share count (stock above offer price; treat as sensitivity: full take-up would move net debt to ~-$122M and shares to ~23.4M, roughly value-neutral at $20.40). IFRS-16 choice: treatment (A), leases as debt - lease liabilities (~$6M est) subtracted once in the bridge, no principal deducted from flows, ongoing lease renewal carried inside the 0.5% capex line.</t>
  </si>
  <si>
    <t xml:space="preserve">Price</t>
  </si>
  <si>
    <t xml:space="preserve">US$23.02, NASDAQ regular close Fri 14-Aug-2026 (CNN Markets); market cap ~$585M.</t>
  </si>
  <si>
    <t xml:space="preserve">Owner-margin adjustment</t>
  </si>
  <si>
    <t xml:space="preserve">Row-7 margins are OWNER margins: company adj-EBITDA basis LESS recurring restructuring + acquisition earn-out comp (FY26 ~$10M = ~3.6pts: restructuring ~$6.5-7M expense/$6.3M paid H1, earn-out comp ~$3.5M). Tapering: Base clean by 2028; Bull by 2027; Bear permanent ~1.5pts. Company FCF definition ADDS BACK these items - do not benchmark row 19 against reported FCF without re-adding them.</t>
  </si>
  <si>
    <t xml:space="preserve">Dive context</t>
  </si>
  <si>
    <t xml:space="preserve">Dayforce OEM wind-down 8.4% -&gt; 2.5% of ARR YoY (immaterial by 2027); AWS Skill Builder fully off 31-Dec-25; core ARR growth ex-OEM/FX/acquired 12.5% (Q4-25) -&gt; 13.9% (Q2-26). 365Talents acquired 20-Jan-26 ($54.6M + $5.1M earn-out, ~$9M FY26 revenue); Zive 2-Apr-26 ($7.1M). Intercap ~56.6% post Feb-26 block at $18.77.</t>
  </si>
  <si>
    <t xml:space="preserve">METHODOLOGY</t>
  </si>
  <si>
    <t xml:space="preserve">Owner-FCF basis</t>
  </si>
  <si>
    <t xml:space="preserve">SBC (incl. equity-award taxes) fully expensed, projected explicitly per scenario-year as % of revenue; INTEREST INCOME EXCLUDED from flows (cash pile added separately - including both double-counts); cash tax ramps from the current sheltered rate to a normalized ~21%; D&amp;A and capex as % of revenue; working capital = 20% of the YoY revenue increase (set for this business model); diluted shares held FLAT (SBC expensing substitutes for grant dilution; never do both). TV = Gordon capped at 20x terminal owner FCF. End-of-year discounting. WACC 10.5%. Street-convention values (SBC as non-cash) shown as memos - the house/street pair is the accounting-regime price band.</t>
  </si>
  <si>
    <t xml:space="preserve">Scenario drivers</t>
  </si>
  <si>
    <t xml:space="preserve">Scenario axes, narratives, weights (15/50/35) and driver-path shapes proposed by Claude in the 17-Aug-2026 deep-dive checkpoint and CONFIRMED by Stephen same session, including: net debt basis (SIB as sensitivity, not baked in) and default weights retained despite the flagged Intercap-overhang argument for a lower bull weight. Year-1 columns anchor to the 7-Aug-26 guidance. Later-year paths are checkpoint judgments - do not silently re-judge on update.</t>
  </si>
  <si>
    <t xml:space="preserve">UPDATE INSTRUCTIONS</t>
  </si>
  <si>
    <t xml:space="preserve">Each quarter</t>
  </si>
  <si>
    <t xml:space="preserve">Refresh price, net cash (+date), diluted shares, buyback pace, and the guidance-year driver columns; reassess blue rows 5/7/9/14 per scenario only where new evidence exists; add/extend the Reconciliation tab; increment the version above.</t>
  </si>
  <si>
    <t xml:space="preserve">Conventions</t>
  </si>
  <si>
    <t xml:space="preserve">Blue = hardcoded input. Yellow = key levers. Black = formula. Green = cross-sheet link. Prefilled values are working examples of the expected format.</t>
  </si>
  <si>
    <t xml:space="preserve">DCBO - Reported Actuals, Guidance &amp; Capital-Structure Status</t>
  </si>
  <si>
    <t xml:space="preserve">All values hardcoded (blue). Dollars in millions (USD) unless stated. Source note per row/block.</t>
  </si>
  <si>
    <t xml:space="preserve">Q1-25A</t>
  </si>
  <si>
    <t xml:space="preserve">Q2-25A</t>
  </si>
  <si>
    <t xml:space="preserve">Q3-25A</t>
  </si>
  <si>
    <t xml:space="preserve">Q4-25A</t>
  </si>
  <si>
    <t xml:space="preserve">Q1-26A</t>
  </si>
  <si>
    <t xml:space="preserve">Q2-26A</t>
  </si>
  <si>
    <t xml:space="preserve">FY2025A</t>
  </si>
  <si>
    <t xml:space="preserve">Total revenue</t>
  </si>
  <si>
    <t xml:space="preserve">Quarterly PRs (Docebo IR / Business Wire): 8-May-25, 8-Aug-25, 7-Nov-25, 27-Feb-26, 8-May-26, 7-Aug-26. FY25 adj EBITDA = sum of quarters. Company FCF ADDS BACK restructuring, earn-out and transaction cash (H1-26 add-backs $9.2M) - not the model's owner basis.</t>
  </si>
  <si>
    <t xml:space="preserve">Subscription revenue</t>
  </si>
  <si>
    <t xml:space="preserve">Adjusted EBITDA (company basis)</t>
  </si>
  <si>
    <t xml:space="preserve">Adjusted EBITDA margin</t>
  </si>
  <si>
    <t xml:space="preserve">ARR, end of period</t>
  </si>
  <si>
    <t xml:space="preserve">Company-defined Free Cash Flow</t>
  </si>
  <si>
    <t xml:space="preserve">FY2026 guidance (7-Aug-26)</t>
  </si>
  <si>
    <t xml:space="preserve">Revenue $274.5-276.5M; subscription $255.5-257.5M; adj EBITDA $54.5-56.5M (~20.1%)</t>
  </si>
  <si>
    <t xml:space="preserve">Q2-26 PR. Raised three times in 2026: Feb 27 -&gt; May 8 -&gt; Aug 7.</t>
  </si>
  <si>
    <t xml:space="preserve">Q3-2026 guidance</t>
  </si>
  <si>
    <t xml:space="preserve">Revenue $69.5-69.7M; adj EBITDA $15.9-16.1M (~23% margin)</t>
  </si>
  <si>
    <t xml:space="preserve">Q2-26 PR - implies a steep H2 margin step-up as Q1 restructuring rolls off.</t>
  </si>
  <si>
    <t xml:space="preserve">Cash &amp; equivalents, 30-Jun-26</t>
  </si>
  <si>
    <t xml:space="preserve">Q2-26 PR balance-sheet table.</t>
  </si>
  <si>
    <t xml:space="preserve">Borrowings, 30-Jun-26</t>
  </si>
  <si>
    <t xml:space="preserve">Q2-26 PR; credit facility drawn for 365Talents + buybacks; SIB adds ~$60M debt if taken up.</t>
  </si>
  <si>
    <t xml:space="preserve">Contingent consideration (est.)</t>
  </si>
  <si>
    <t xml:space="preserve">Q2-26 6-K: current portion $3.3M + estimated non-current; 365Talents earn-out (max $5.1M) + Zive holdback ($0.25M).</t>
  </si>
  <si>
    <t xml:space="preserve">Net debt - model basis</t>
  </si>
  <si>
    <t xml:space="preserve">Cash less borrowings less contingent consideration less lease liabilities (~$6M est: current portion $1.9M per Q2-26 WC table + estimated non-current). IFRS-16 treatment (A): leases as debt in bridge, no principal in flows, renewal via capex buffer (0.5% modeled vs ~0.25% actual PP&amp;E). Ties to Assumptions net-cash input.</t>
  </si>
  <si>
    <t xml:space="preserve">Book equity, 30-Jun-26</t>
  </si>
  <si>
    <t xml:space="preserve">Approximately nil (assets $242.7M vs liabilities $243.0M)</t>
  </si>
  <si>
    <t xml:space="preserve">Buyback artifact, not solvency - flagged for leverage framing.</t>
  </si>
  <si>
    <t xml:space="preserve">Weighted-avg shares, Q2-26</t>
  </si>
  <si>
    <t xml:space="preserve">Basic 25.5M / diluted 26.8M - down ~14% YoY</t>
  </si>
  <si>
    <t xml:space="preserve">Q2-26 PR income-statement table (vs 29.6M / 30.2M in Q2-25).</t>
  </si>
  <si>
    <t xml:space="preserve">Buyback history</t>
  </si>
  <si>
    <t xml:space="preserve">Dec-23 SIB $100M at $55.00; Mar-26 SIB $60M at $20.40 (2.94M sh taken up, 3.81M tendered); NCIB ongoing; OPEN SIB up to 3.43M sh ($70M) at $20.40, expires 26-Aug-26</t>
  </si>
  <si>
    <t xml:space="preserve">6-K filings 22-Nov-23, 11-Mar-26, 21-Jul-26 (SEC EDGAR). Stock ($23.02) above open-SIB price - take-up doubtful.</t>
  </si>
  <si>
    <t xml:space="preserve">Ownership</t>
  </si>
  <si>
    <t xml:space="preserve">Intercap Equity ~56.6% incl. Feb-26 block of 3.63M sh at $18.77 ($68.1M); chair Jason Chapnik</t>
  </si>
  <si>
    <t xml:space="preserve">6-K 29-Jan-26 SIB release. Majority-controlled; float ~$250M and shrinking.</t>
  </si>
  <si>
    <t xml:space="preserve">Largest OEM (Dayforce) wind-down</t>
  </si>
  <si>
    <t xml:space="preserve">8.4% of ARR (Jun-25) -&gt; 2.5% (Jun-26); immaterial by 2027. AWS Skill Builder fully off 31-Dec-25</t>
  </si>
  <si>
    <t xml:space="preserve">Q2-26 PR; Q3-25 call (Fool transcript); guidance assumes OEM ~3-4% of FY26 revenue.</t>
  </si>
  <si>
    <t xml:space="preserve">Core ARR growth (ex-OEM/FX/acquired)</t>
  </si>
  <si>
    <t xml:space="preserve">12.5% (Q4-25) -&gt; 13.9% (Q2-26); reported 8.4% -&gt; 9.5%</t>
  </si>
  <si>
    <t xml:space="preserve">Q4-25 and Q2-26 PRs; management expects reported/core convergence as churn comps lap (Canaccord conf 11-Aug-26).</t>
  </si>
  <si>
    <t xml:space="preserve">Retention &amp; mix</t>
  </si>
  <si>
    <t xml:space="preserve">NDR 99% FY2025, improving sequentially; &gt;C$100K cohort ~9pts higher 3-yr avg NDR and 56% of ARR (28% in 2020); 93% of 2025 ARR adds multi-year</t>
  </si>
  <si>
    <t xml:space="preserve">Q4-25 call summary (Quartr); Q2-26 investor deck (Investing.com); Oppenheimer conf Aug-26.</t>
  </si>
  <si>
    <t xml:space="preserve">ACV / customer counts</t>
  </si>
  <si>
    <t xml:space="preserve">ACV $74.8K (+27% YoY); ~3,410 active customers implied; 524 customers &gt;$100K ARR (FY25) vs 171 (FY21)</t>
  </si>
  <si>
    <t xml:space="preserve">Q2-26 PR KPI table; Q2-26 investor deck.</t>
  </si>
  <si>
    <t xml:space="preserve">Acquisitions 2026</t>
  </si>
  <si>
    <t xml:space="preserve">365Talents 20-Jan-26: $54.6M cash + up to $5.1M earn-out, ~$9M FY26 revenue. Zive 2-Apr-26: $7.1M</t>
  </si>
  <si>
    <t xml:space="preserve">Acquisition PR 20-Jan-26; Q2-26 6-K business-combination note.</t>
  </si>
  <si>
    <t xml:space="preserve">SBC run-rate</t>
  </si>
  <si>
    <t xml:space="preserve">H1-26 $3.7M (2.8% of revenue; RSU expense ~2x YoY). FY25 estimated ~$5.5-6M (~2.3%)</t>
  </si>
  <si>
    <t xml:space="preserve">Q2-26 PR reconciliation + 6-K SBC note. FY25 H2 estimated - replace when 20-F/AIF detail is to hand.</t>
  </si>
  <si>
    <t xml:space="preserve">DCBO - Global Assumptions &amp; Scenario Parameters</t>
  </si>
  <si>
    <t xml:space="preserve">Blue = hardcoded input. Yellow = key levers. All $ in millions unless stated.</t>
  </si>
  <si>
    <t xml:space="preserve">Global inputs</t>
  </si>
  <si>
    <t xml:space="preserve">WACC / discount rate</t>
  </si>
  <si>
    <t xml:space="preserve">D&amp;A (% of revenue)</t>
  </si>
  <si>
    <t xml:space="preserve">Capex + capitalized software (% of revenue)</t>
  </si>
  <si>
    <t xml:space="preserve">Working-capital capture (% of YoY revenue incr.)</t>
  </si>
  <si>
    <t xml:space="preserve">Sign/size per business model</t>
  </si>
  <si>
    <t xml:space="preserve">Net cash ($mm)</t>
  </si>
  <si>
    <t xml:space="preserve">30-Jun-26: cash $45.7M less borrowings $88.0M less contingent consideration ~$3.7M less IFRS-16 lease liabilities ~$6.0M est (leases-as-debt treatment; renewal charged via capex buffer). NET DEBT. Open $70M SIB at $20.40 (expires 26-Aug-26) NOT baked in - price above offer, take-up doubtful; see Model_Info</t>
  </si>
  <si>
    <t xml:space="preserve">Fully diluted shares (mm)</t>
  </si>
  <si>
    <t xml:space="preserve">weighted-avg fully diluted, Q2-26 PR 7-Aug-26 (basic w.a. 25.5M). Held FLAT per house rule</t>
  </si>
  <si>
    <t xml:space="preserve">Current share price</t>
  </si>
  <si>
    <t xml:space="preserve">NASDAQ regular-session close Fri 14-Aug-26 (CNN Markets)</t>
  </si>
  <si>
    <t xml:space="preserve">Terminal value cap (x terminal-year owner FCF)</t>
  </si>
  <si>
    <t xml:space="preserve">Scenario parameters</t>
  </si>
  <si>
    <t xml:space="preserve">Bear</t>
  </si>
  <si>
    <t xml:space="preserve">Base</t>
  </si>
  <si>
    <t xml:space="preserve">Bull</t>
  </si>
  <si>
    <t xml:space="preserve">Terminal growth rate</t>
  </si>
  <si>
    <t xml:space="preserve">Probability weight</t>
  </si>
  <si>
    <t xml:space="preserve">must sum to 100%</t>
  </si>
  <si>
    <t xml:space="preserve">Scenario narratives</t>
  </si>
  <si>
    <t xml:space="preserve">AI-era repricing and Workday/Sana suite bundling bite once the OEM comps lap: core growth fades from 13.9% to ~5-6% by 2028 with another large-logo loss; 'restructuring' proves permanent (~1.5pts charged in margin forever), so owner EBITDA stalls ~19-20% (company-adj ~21%); SBC creeps to 4% to retain talent; levered buybacks continue but no longer below value. Terminal growth 1.5%.</t>
  </si>
  <si>
    <t xml:space="preserve">Reported growth converges to core as Dayforce/AWS comps lap: ~12.5% in 2027 fading to ~8% by 2030 (government + healthcare verticals offset SMB/AI drag); company-adj EBITDA follows the +2pts/yr path toward ~27% by 2029-30 with restructuring tapering by 2028 (owner margin 16.5% -&gt; 28%); SBC held ~3.5%; owner-FCF margin reaches ~20% terminal. Terminal growth 3.0%.</t>
  </si>
  <si>
    <t xml:space="preserve">365Talents/Zive attach lifts NDR above 105 and ACV keeps compounding: ARR holds 14-15% through 2029 with $1M+ deals (excluded from guidance) landing; restructurings genuinely end in 2026; company-adj EBITDA reaches ~30% and owner margin matches it by 2030; SBC disciplined at ~3%. Take-out optionality (Cornerstone private at ~5x revenue vs DCBO ~2.3x) is a kicker, not modeled. Terminal growth 3.5%.</t>
  </si>
  <si>
    <t xml:space="preserve">DCBO DCF - Bear - Third thesis dies; AI-era repricing</t>
  </si>
  <si>
    <t xml:space="preserve">Owner-FCF basis: SBC fully expensed, interest income excluded, share count flat. Blue rows = per-year drivers (edit).</t>
  </si>
  <si>
    <t xml:space="preserve">2025A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</si>
  <si>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</si>
  <si>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</si>
  <si>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</si>
  <si>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</si>
  <si>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</si>
  <si>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2031E</t>
  </si>
  <si>
    <t xml:space="preserve">2032E</t>
  </si>
  <si>
    <t xml:space="preserve">2033E</t>
  </si>
  <si>
    <t xml:space="preserve">2034E</t>
  </si>
  <si>
    <t xml:space="preserve">2035E</t>
  </si>
  <si>
    <t xml:space="preserve">Year index (for discounting)</t>
  </si>
  <si>
    <t xml:space="preserve">Revenue growth YoY</t>
  </si>
  <si>
    <t xml:space="preserve">Revenue</t>
  </si>
  <si>
    <t xml:space="preserve">Adj EBITDA margin</t>
  </si>
  <si>
    <t xml:space="preserve">Adjusted EBITDA</t>
  </si>
  <si>
    <t xml:space="preserve">SBC (% of revenue)</t>
  </si>
  <si>
    <t xml:space="preserve">SBC (incl. equity-award taxes)</t>
  </si>
  <si>
    <t xml:space="preserve">EBITDA less SBC ('owner EBITDA')</t>
  </si>
  <si>
    <t xml:space="preserve">D&amp;A</t>
  </si>
  <si>
    <t xml:space="preserve">EBIT (SBC expensed)</t>
  </si>
  <si>
    <t xml:space="preserve">Cash tax rate (neg = benefit)</t>
  </si>
  <si>
    <t xml:space="preserve">NOPAT</t>
  </si>
  <si>
    <t xml:space="preserve">add: D&amp;A</t>
  </si>
  <si>
    <t xml:space="preserve">less: capex + capitalized software</t>
  </si>
  <si>
    <t xml:space="preserve">add: working capital</t>
  </si>
  <si>
    <t xml:space="preserve">Unlevered owner FCF</t>
  </si>
  <si>
    <t xml:space="preserve">Discount factor</t>
  </si>
  <si>
    <t xml:space="preserve">PV of FCF</t>
  </si>
  <si>
    <t xml:space="preserve">Memo: FCF before SBC (company-style)</t>
  </si>
  <si>
    <t xml:space="preserve">Memo: implied owner FCF margin</t>
  </si>
  <si>
    <t xml:space="preserve">Valuation</t>
  </si>
  <si>
    <t xml:space="preserve">PV of FCF, explicit years</t>
  </si>
  <si>
    <t xml:space="preserve">Terminal-year owner FCF x (1+g)</t>
  </si>
  <si>
    <t xml:space="preserve">Terminal value - Gordon</t>
  </si>
  <si>
    <t xml:space="preserve">Terminal value - cap</t>
  </si>
  <si>
    <t xml:space="preserve">Terminal value used (lower of the two, floored at 0)</t>
  </si>
  <si>
    <t xml:space="preserve">Implied exit multiple</t>
  </si>
  <si>
    <t xml:space="preserve">PV of terminal value</t>
  </si>
  <si>
    <t xml:space="preserve">Enterprise value</t>
  </si>
  <si>
    <t xml:space="preserve">add: net cash</t>
  </si>
  <si>
    <t xml:space="preserve">Equity value</t>
  </si>
  <si>
    <t xml:space="preserve">Value per share</t>
  </si>
  <si>
    <t xml:space="preserve">Upside / (downside) vs current price</t>
  </si>
  <si>
    <t xml:space="preserve">Memo: value if SBC treated as non-cash</t>
  </si>
  <si>
    <t xml:space="preserve">  plus PV of terminal SBC</t>
  </si>
  <si>
    <t xml:space="preserve">  Value per share, SBC as non-cash</t>
  </si>
  <si>
    <t xml:space="preserve">DCBO DCF - Base - Convergence; slower compounder</t>
  </si>
  <si>
    <t xml:space="preserve">DCBO DCF - Bull - Skills+knowledge loop re-rates the franchise</t>
  </si>
  <si>
    <t xml:space="preserve">DCBO - Valuation Summary &amp; Sensitivity</t>
  </si>
  <si>
    <t xml:space="preserve">Owner-FCF basis (SBC expensed) unless marked street. Green = links.</t>
  </si>
  <si>
    <t xml:space="preserve">Upside / (downside) vs price</t>
  </si>
  <si>
    <t xml:space="preserve">Probability</t>
  </si>
  <si>
    <t xml:space="preserve">Value per share, SBC as non-cash (street)</t>
  </si>
  <si>
    <t xml:space="preserve">Probability-weighted value per share</t>
  </si>
  <si>
    <t xml:space="preserve">Current price</t>
  </si>
  <si>
    <t xml:space="preserve">Margin of safety vs weighted value</t>
  </si>
  <si>
    <t xml:space="preserve">Weighted value, SBC as non-cash (street)</t>
  </si>
  <si>
    <t xml:space="preserve">Band position (0%=house, 100%=street)</t>
  </si>
  <si>
    <t xml:space="preserve">Base case - value per share at different required returns</t>
  </si>
  <si>
    <t xml:space="preserve">Required return</t>
  </si>
  <si>
    <t xml:space="preserve">Value / share</t>
  </si>
  <si>
    <t xml:space="preserve">15%-hurdle entry per scenario + weighted</t>
  </si>
  <si>
    <t xml:space="preserve">model buy-below price at a 15% hurdle</t>
  </si>
  <si>
    <t xml:space="preserve">  same, street basis</t>
  </si>
  <si>
    <t xml:space="preserve">Base case - value per share: WACC x terminal growth</t>
  </si>
  <si>
    <t xml:space="preserve">WACC \ g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</si>
</sst>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;\(\$#,##0.0\);\$0.0"/>
    <numFmt numFmtId="166" formatCode="0.0%"/>
    <numFmt numFmtId="167" formatCode="#,##0.0"/>
    <numFmt numFmtId="168" formatCode="\$#,##0.00;\(\$#,##0.00\);\$0.00"/>
    <numFmt numFmtId="169" formatCode="0\x"/>
    <numFmt numFmtId="170" formatCode="\$#,##0;\(\$#,##0\);\$0"/>
    <numFmt numFmtId="171" formatCode="0.000"/>
    <numFmt numFmtId="172" formatCode="0.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2"/>
  </cols>
  <sheetData>
    <row r="1" customFormat="false" ht="16.15" hidden="false" customHeight="false" outlineLevel="0" collapsed="false">
      <c r="A1" s="1" t="s">
        <v>0</v>
      </c>
    </row>
    <row r="3" customFormat="false" ht="22.35" hidden="false" customHeight="false" outlineLevel="0" collapsed="false">
      <c r="A3" s="2" t="s">
        <v>1</v>
      </c>
      <c r="B3" s="3" t="s">
        <v>2</v>
      </c>
    </row>
    <row r="5" customFormat="false" ht="15" hidden="false" customHeight="false" outlineLevel="0" collapsed="false">
      <c r="A5" s="4" t="s">
        <v>3</v>
      </c>
    </row>
    <row r="6" customFormat="false" ht="32.8" hidden="false" customHeight="false" outlineLevel="0" collapsed="false">
      <c r="A6" s="2" t="s">
        <v>4</v>
      </c>
      <c r="B6" s="3" t="s">
        <v>5</v>
      </c>
    </row>
    <row r="7" customFormat="false" ht="22.35" hidden="false" customHeight="false" outlineLevel="0" collapsed="false">
      <c r="A7" s="2" t="s">
        <v>6</v>
      </c>
      <c r="B7" s="3" t="s">
        <v>7</v>
      </c>
    </row>
    <row r="8" customFormat="false" ht="53.7" hidden="false" customHeight="false" outlineLevel="0" collapsed="false">
      <c r="A8" s="2" t="s">
        <v>8</v>
      </c>
      <c r="B8" s="3" t="s">
        <v>9</v>
      </c>
    </row>
    <row r="9" customFormat="false" ht="15" hidden="false" customHeight="false" outlineLevel="0" collapsed="false">
      <c r="A9" s="2" t="s">
        <v>10</v>
      </c>
      <c r="B9" s="3" t="s">
        <v>11</v>
      </c>
    </row>
    <row r="10" customFormat="false" ht="32.8" hidden="false" customHeight="false" outlineLevel="0" collapsed="false">
      <c r="A10" s="2" t="s">
        <v>12</v>
      </c>
      <c r="B10" s="3" t="s">
        <v>13</v>
      </c>
    </row>
    <row r="11" customFormat="false" ht="32.8" hidden="false" customHeight="false" outlineLevel="0" collapsed="false">
      <c r="A11" s="2" t="s">
        <v>14</v>
      </c>
      <c r="B11" s="3" t="s">
        <v>15</v>
      </c>
    </row>
    <row r="13" customFormat="false" ht="15" hidden="false" customHeight="false" outlineLevel="0" collapsed="false">
      <c r="A13" s="4" t="s">
        <v>16</v>
      </c>
    </row>
    <row r="14" customFormat="false" ht="53.7" hidden="false" customHeight="false" outlineLevel="0" collapsed="false">
      <c r="A14" s="2" t="s">
        <v>17</v>
      </c>
      <c r="B14" s="3" t="s">
        <v>18</v>
      </c>
    </row>
    <row r="15" customFormat="false" ht="43.25" hidden="false" customHeight="false" outlineLevel="0" collapsed="false">
      <c r="A15" s="2" t="s">
        <v>19</v>
      </c>
      <c r="B15" s="3" t="s">
        <v>20</v>
      </c>
    </row>
    <row r="17" customFormat="false" ht="15" hidden="false" customHeight="false" outlineLevel="0" collapsed="false">
      <c r="A17" s="4" t="s">
        <v>21</v>
      </c>
    </row>
    <row r="18" customFormat="false" ht="22.35" hidden="false" customHeight="false" outlineLevel="0" collapsed="false">
      <c r="A18" s="2" t="s">
        <v>22</v>
      </c>
      <c r="B18" s="3" t="s">
        <v>23</v>
      </c>
    </row>
    <row r="19" customFormat="false" ht="15" hidden="false" customHeight="false" outlineLevel="0" collapsed="false">
      <c r="A19" s="2" t="s">
        <v>24</v>
      </c>
      <c r="B19" s="3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8" min="2" style="0" width="11"/>
    <col collapsed="false" customWidth="true" hidden="false" outlineLevel="0" max="9" min="9" style="0" width="96"/>
  </cols>
  <sheetData>
    <row r="1" customFormat="false" ht="16.15" hidden="false" customHeight="false" outlineLevel="0" collapsed="false">
      <c r="A1" s="1" t="s">
        <v>26</v>
      </c>
    </row>
    <row r="2" customFormat="false" ht="15" hidden="false" customHeight="false" outlineLevel="0" collapsed="false">
      <c r="A2" s="5" t="s">
        <v>27</v>
      </c>
    </row>
    <row r="4" customFormat="false" ht="15" hidden="false" customHeight="false" outlineLevel="0" collapsed="false">
      <c r="B4" s="6" t="s">
        <v>28</v>
      </c>
      <c r="C4" s="6" t="s">
        <v>29</v>
      </c>
      <c r="D4" s="6" t="s">
        <v>30</v>
      </c>
      <c r="E4" s="6" t="s">
        <v>31</v>
      </c>
      <c r="F4" s="6" t="s">
        <v>32</v>
      </c>
      <c r="G4" s="6" t="s">
        <v>33</v>
      </c>
      <c r="H4" s="6" t="s">
        <v>34</v>
      </c>
    </row>
    <row r="5" customFormat="false" ht="32.8" hidden="false" customHeight="false" outlineLevel="0" collapsed="false">
      <c r="A5" s="2" t="s">
        <v>35</v>
      </c>
      <c r="B5" s="7" t="n">
        <v>57.3</v>
      </c>
      <c r="C5" s="7" t="n">
        <v>60.7</v>
      </c>
      <c r="D5" s="7" t="n">
        <v>61.6</v>
      </c>
      <c r="E5" s="7" t="n">
        <v>63</v>
      </c>
      <c r="F5" s="7" t="n">
        <v>65.6</v>
      </c>
      <c r="G5" s="7" t="n">
        <v>68.65</v>
      </c>
      <c r="H5" s="7" t="n">
        <v>242.7</v>
      </c>
      <c r="I5" s="3" t="s">
        <v>36</v>
      </c>
    </row>
    <row r="6" customFormat="false" ht="15" hidden="false" customHeight="false" outlineLevel="0" collapsed="false">
      <c r="A6" s="2" t="s">
        <v>37</v>
      </c>
      <c r="B6" s="7" t="n">
        <v>54.2</v>
      </c>
      <c r="C6" s="7" t="n">
        <v>57.1</v>
      </c>
      <c r="D6" s="7" t="n">
        <v>58</v>
      </c>
      <c r="E6" s="7" t="n">
        <v>59.1</v>
      </c>
      <c r="F6" s="7" t="n">
        <v>60.6</v>
      </c>
      <c r="G6" s="7" t="n">
        <v>63.8</v>
      </c>
      <c r="H6" s="7" t="n">
        <v>228.4</v>
      </c>
    </row>
    <row r="7" customFormat="false" ht="15" hidden="false" customHeight="false" outlineLevel="0" collapsed="false">
      <c r="A7" s="2" t="s">
        <v>38</v>
      </c>
      <c r="B7" s="7" t="n">
        <v>8.9</v>
      </c>
      <c r="C7" s="7" t="n">
        <v>9.2</v>
      </c>
      <c r="D7" s="7" t="n">
        <v>12.4</v>
      </c>
      <c r="E7" s="7" t="n">
        <v>13.3</v>
      </c>
      <c r="F7" s="7" t="n">
        <v>11</v>
      </c>
      <c r="G7" s="7" t="n">
        <v>11.2</v>
      </c>
      <c r="H7" s="7" t="n">
        <v>43.8</v>
      </c>
    </row>
    <row r="8" customFormat="false" ht="15" hidden="false" customHeight="false" outlineLevel="0" collapsed="false">
      <c r="A8" s="2" t="s">
        <v>39</v>
      </c>
      <c r="B8" s="8" t="n">
        <v>0.156</v>
      </c>
      <c r="C8" s="8" t="n">
        <v>0.152</v>
      </c>
      <c r="D8" s="8" t="n">
        <v>0.201</v>
      </c>
      <c r="E8" s="8" t="n">
        <v>0.212</v>
      </c>
      <c r="F8" s="8" t="n">
        <v>0.168</v>
      </c>
      <c r="G8" s="8" t="n">
        <v>0.164</v>
      </c>
      <c r="H8" s="8" t="n">
        <v>0.18</v>
      </c>
    </row>
    <row r="9" customFormat="false" ht="15" hidden="false" customHeight="false" outlineLevel="0" collapsed="false">
      <c r="A9" s="2" t="s">
        <v>40</v>
      </c>
      <c r="B9" s="7" t="n">
        <v>225.1</v>
      </c>
      <c r="C9" s="7" t="n">
        <v>233</v>
      </c>
      <c r="D9" s="7" t="n">
        <v>235.6</v>
      </c>
      <c r="E9" s="7" t="n">
        <v>238.1</v>
      </c>
      <c r="F9" s="7" t="n">
        <v>248.9</v>
      </c>
      <c r="G9" s="7" t="n">
        <v>255.1</v>
      </c>
      <c r="H9" s="7" t="n">
        <v>238.1</v>
      </c>
    </row>
    <row r="10" customFormat="false" ht="15" hidden="false" customHeight="false" outlineLevel="0" collapsed="false">
      <c r="A10" s="2" t="s">
        <v>41</v>
      </c>
      <c r="B10" s="7" t="n">
        <v>9</v>
      </c>
      <c r="C10" s="7" t="n">
        <v>11.4</v>
      </c>
      <c r="D10" s="7" t="n">
        <v>5.7</v>
      </c>
      <c r="E10" s="7" t="n">
        <v>12.3</v>
      </c>
      <c r="F10" s="7" t="n">
        <v>27.6</v>
      </c>
      <c r="G10" s="7" t="n">
        <v>3.1</v>
      </c>
      <c r="H10" s="7" t="n">
        <v>38.4</v>
      </c>
    </row>
    <row r="12" customFormat="false" ht="25.5" hidden="false" customHeight="true" outlineLevel="0" collapsed="false">
      <c r="A12" s="2" t="s">
        <v>42</v>
      </c>
      <c r="B12" s="9" t="s">
        <v>43</v>
      </c>
      <c r="C12" s="9"/>
      <c r="D12" s="9"/>
      <c r="E12" s="9"/>
      <c r="F12" s="9"/>
      <c r="G12" s="9"/>
      <c r="H12" s="9"/>
      <c r="I12" s="3" t="s">
        <v>44</v>
      </c>
    </row>
    <row r="13" customFormat="false" ht="25.5" hidden="false" customHeight="true" outlineLevel="0" collapsed="false">
      <c r="A13" s="2" t="s">
        <v>45</v>
      </c>
      <c r="B13" s="9" t="s">
        <v>46</v>
      </c>
      <c r="C13" s="9"/>
      <c r="D13" s="9"/>
      <c r="E13" s="9"/>
      <c r="F13" s="9"/>
      <c r="G13" s="9"/>
      <c r="H13" s="9"/>
      <c r="I13" s="3" t="s">
        <v>47</v>
      </c>
    </row>
    <row r="14" customFormat="false" ht="15" hidden="false" customHeight="false" outlineLevel="0" collapsed="false">
      <c r="A14" s="2" t="s">
        <v>48</v>
      </c>
      <c r="B14" s="7" t="n">
        <v>45.7</v>
      </c>
      <c r="I14" s="3" t="s">
        <v>49</v>
      </c>
    </row>
    <row r="15" customFormat="false" ht="15" hidden="false" customHeight="false" outlineLevel="0" collapsed="false">
      <c r="A15" s="2" t="s">
        <v>50</v>
      </c>
      <c r="B15" s="7" t="n">
        <v>88</v>
      </c>
      <c r="I15" s="3" t="s">
        <v>51</v>
      </c>
    </row>
    <row r="16" customFormat="false" ht="15" hidden="false" customHeight="false" outlineLevel="0" collapsed="false">
      <c r="A16" s="2" t="s">
        <v>52</v>
      </c>
      <c r="B16" s="7" t="n">
        <v>3.7</v>
      </c>
      <c r="I16" s="3" t="s">
        <v>53</v>
      </c>
    </row>
    <row r="17" customFormat="false" ht="32.8" hidden="false" customHeight="false" outlineLevel="0" collapsed="false">
      <c r="A17" s="2" t="s">
        <v>54</v>
      </c>
      <c r="B17" s="7" t="n">
        <v>-52</v>
      </c>
      <c r="I17" s="3" t="s">
        <v>55</v>
      </c>
    </row>
    <row r="18" customFormat="false" ht="25.5" hidden="false" customHeight="true" outlineLevel="0" collapsed="false">
      <c r="A18" s="2" t="s">
        <v>56</v>
      </c>
      <c r="B18" s="9" t="s">
        <v>57</v>
      </c>
      <c r="C18" s="9"/>
      <c r="D18" s="9"/>
      <c r="E18" s="9"/>
      <c r="F18" s="9"/>
      <c r="G18" s="9"/>
      <c r="H18" s="9"/>
      <c r="I18" s="3" t="s">
        <v>58</v>
      </c>
    </row>
    <row r="19" customFormat="false" ht="25.5" hidden="false" customHeight="true" outlineLevel="0" collapsed="false">
      <c r="A19" s="2" t="s">
        <v>59</v>
      </c>
      <c r="B19" s="9" t="s">
        <v>60</v>
      </c>
      <c r="C19" s="9"/>
      <c r="D19" s="9"/>
      <c r="E19" s="9"/>
      <c r="F19" s="9"/>
      <c r="G19" s="9"/>
      <c r="H19" s="9"/>
      <c r="I19" s="3" t="s">
        <v>61</v>
      </c>
    </row>
    <row r="20" customFormat="false" ht="25.5" hidden="false" customHeight="true" outlineLevel="0" collapsed="false">
      <c r="A20" s="2" t="s">
        <v>62</v>
      </c>
      <c r="B20" s="9" t="s">
        <v>63</v>
      </c>
      <c r="C20" s="9"/>
      <c r="D20" s="9"/>
      <c r="E20" s="9"/>
      <c r="F20" s="9"/>
      <c r="G20" s="9"/>
      <c r="H20" s="9"/>
      <c r="I20" s="3" t="s">
        <v>64</v>
      </c>
    </row>
    <row r="21" customFormat="false" ht="25.5" hidden="false" customHeight="true" outlineLevel="0" collapsed="false">
      <c r="A21" s="2" t="s">
        <v>65</v>
      </c>
      <c r="B21" s="9" t="s">
        <v>66</v>
      </c>
      <c r="C21" s="9"/>
      <c r="D21" s="9"/>
      <c r="E21" s="9"/>
      <c r="F21" s="9"/>
      <c r="G21" s="9"/>
      <c r="H21" s="9"/>
      <c r="I21" s="3" t="s">
        <v>67</v>
      </c>
    </row>
    <row r="22" customFormat="false" ht="25.5" hidden="false" customHeight="true" outlineLevel="0" collapsed="false">
      <c r="A22" s="2" t="s">
        <v>68</v>
      </c>
      <c r="B22" s="9" t="s">
        <v>69</v>
      </c>
      <c r="C22" s="9"/>
      <c r="D22" s="9"/>
      <c r="E22" s="9"/>
      <c r="F22" s="9"/>
      <c r="G22" s="9"/>
      <c r="H22" s="9"/>
      <c r="I22" s="3" t="s">
        <v>70</v>
      </c>
    </row>
    <row r="23" customFormat="false" ht="25.5" hidden="false" customHeight="true" outlineLevel="0" collapsed="false">
      <c r="A23" s="2" t="s">
        <v>71</v>
      </c>
      <c r="B23" s="9" t="s">
        <v>72</v>
      </c>
      <c r="C23" s="9"/>
      <c r="D23" s="9"/>
      <c r="E23" s="9"/>
      <c r="F23" s="9"/>
      <c r="G23" s="9"/>
      <c r="H23" s="9"/>
      <c r="I23" s="3" t="s">
        <v>73</v>
      </c>
    </row>
    <row r="24" customFormat="false" ht="25.5" hidden="false" customHeight="true" outlineLevel="0" collapsed="false">
      <c r="A24" s="2" t="s">
        <v>74</v>
      </c>
      <c r="B24" s="9" t="s">
        <v>75</v>
      </c>
      <c r="C24" s="9"/>
      <c r="D24" s="9"/>
      <c r="E24" s="9"/>
      <c r="F24" s="9"/>
      <c r="G24" s="9"/>
      <c r="H24" s="9"/>
      <c r="I24" s="3" t="s">
        <v>76</v>
      </c>
    </row>
    <row r="25" customFormat="false" ht="25.5" hidden="false" customHeight="true" outlineLevel="0" collapsed="false">
      <c r="A25" s="2" t="s">
        <v>77</v>
      </c>
      <c r="B25" s="9" t="s">
        <v>78</v>
      </c>
      <c r="C25" s="9"/>
      <c r="D25" s="9"/>
      <c r="E25" s="9"/>
      <c r="F25" s="9"/>
      <c r="G25" s="9"/>
      <c r="H25" s="9"/>
      <c r="I25" s="3" t="s">
        <v>79</v>
      </c>
    </row>
    <row r="26" customFormat="false" ht="25.5" hidden="false" customHeight="true" outlineLevel="0" collapsed="false">
      <c r="A26" s="2" t="s">
        <v>80</v>
      </c>
      <c r="B26" s="9" t="s">
        <v>81</v>
      </c>
      <c r="C26" s="9"/>
      <c r="D26" s="9"/>
      <c r="E26" s="9"/>
      <c r="F26" s="9"/>
      <c r="G26" s="9"/>
      <c r="H26" s="9"/>
      <c r="I26" s="3" t="s">
        <v>82</v>
      </c>
    </row>
    <row r="27" customFormat="false" ht="25.5" hidden="false" customHeight="true" outlineLevel="0" collapsed="false">
      <c r="A27" s="2" t="s">
        <v>83</v>
      </c>
      <c r="B27" s="9" t="s">
        <v>84</v>
      </c>
      <c r="C27" s="9"/>
      <c r="D27" s="9"/>
      <c r="E27" s="9"/>
      <c r="F27" s="9"/>
      <c r="G27" s="9"/>
      <c r="H27" s="9"/>
      <c r="I27" s="3" t="s">
        <v>85</v>
      </c>
    </row>
  </sheetData>
  <mergeCells count="12">
    <mergeCell ref="B12:H12"/>
    <mergeCell ref="B13:H13"/>
    <mergeCell ref="B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3"/>
    <col collapsed="false" customWidth="true" hidden="false" outlineLevel="0" max="8" min="8" style="0" width="62"/>
  </cols>
  <sheetData>
    <row r="1" customFormat="false" ht="16.15" hidden="false" customHeight="false" outlineLevel="0" collapsed="false">
      <c r="A1" s="1" t="s">
        <v>86</v>
      </c>
    </row>
    <row r="2" customFormat="false" ht="15" hidden="false" customHeight="false" outlineLevel="0" collapsed="false">
      <c r="A2" s="5" t="s">
        <v>87</v>
      </c>
    </row>
    <row r="4" customFormat="false" ht="15" hidden="false" customHeight="false" outlineLevel="0" collapsed="false">
      <c r="A4" s="4" t="s">
        <v>88</v>
      </c>
    </row>
    <row r="5" customFormat="false" ht="15" hidden="false" customHeight="false" outlineLevel="0" collapsed="false">
      <c r="A5" s="2" t="s">
        <v>89</v>
      </c>
      <c r="B5" s="10" t="n">
        <v>0.105</v>
      </c>
      <c r="H5" s="5"/>
    </row>
    <row r="6" customFormat="false" ht="15" hidden="false" customHeight="false" outlineLevel="0" collapsed="false">
      <c r="A6" s="2" t="s">
        <v>90</v>
      </c>
      <c r="B6" s="10" t="n">
        <v>0.008</v>
      </c>
      <c r="H6" s="5"/>
    </row>
    <row r="7" customFormat="false" ht="15" hidden="false" customHeight="false" outlineLevel="0" collapsed="false">
      <c r="A7" s="2" t="s">
        <v>91</v>
      </c>
      <c r="B7" s="10" t="n">
        <v>0.005</v>
      </c>
      <c r="H7" s="5"/>
    </row>
    <row r="8" customFormat="false" ht="15" hidden="false" customHeight="false" outlineLevel="0" collapsed="false">
      <c r="A8" s="2" t="s">
        <v>92</v>
      </c>
      <c r="B8" s="10" t="n">
        <v>0.2</v>
      </c>
      <c r="H8" s="5" t="s">
        <v>93</v>
      </c>
    </row>
    <row r="9" customFormat="false" ht="15" hidden="false" customHeight="false" outlineLevel="0" collapsed="false">
      <c r="A9" s="2" t="s">
        <v>94</v>
      </c>
      <c r="B9" s="11" t="n">
        <v>-52</v>
      </c>
      <c r="H9" s="5" t="s">
        <v>95</v>
      </c>
    </row>
    <row r="10" customFormat="false" ht="15" hidden="false" customHeight="false" outlineLevel="0" collapsed="false">
      <c r="A10" s="2" t="s">
        <v>96</v>
      </c>
      <c r="B10" s="12" t="n">
        <v>26.8</v>
      </c>
      <c r="H10" s="5" t="s">
        <v>97</v>
      </c>
    </row>
    <row r="11" customFormat="false" ht="15" hidden="false" customHeight="false" outlineLevel="0" collapsed="false">
      <c r="A11" s="2" t="s">
        <v>98</v>
      </c>
      <c r="B11" s="13" t="n">
        <v>23.02</v>
      </c>
      <c r="H11" s="5" t="s">
        <v>99</v>
      </c>
    </row>
    <row r="12" customFormat="false" ht="15" hidden="false" customHeight="false" outlineLevel="0" collapsed="false">
      <c r="A12" s="2" t="s">
        <v>100</v>
      </c>
      <c r="B12" s="14" t="n">
        <v>20</v>
      </c>
      <c r="H12" s="5"/>
    </row>
    <row r="14" customFormat="false" ht="15" hidden="false" customHeight="false" outlineLevel="0" collapsed="false">
      <c r="A14" s="4" t="s">
        <v>101</v>
      </c>
      <c r="C14" s="6" t="s">
        <v>102</v>
      </c>
      <c r="D14" s="6" t="s">
        <v>103</v>
      </c>
      <c r="E14" s="6" t="s">
        <v>104</v>
      </c>
    </row>
    <row r="15" customFormat="false" ht="15" hidden="false" customHeight="false" outlineLevel="0" collapsed="false">
      <c r="A15" s="2" t="s">
        <v>105</v>
      </c>
      <c r="C15" s="10" t="n">
        <v>0.015</v>
      </c>
      <c r="D15" s="10" t="n">
        <v>0.03</v>
      </c>
      <c r="E15" s="10" t="n">
        <v>0.035</v>
      </c>
    </row>
    <row r="16" customFormat="false" ht="15" hidden="false" customHeight="false" outlineLevel="0" collapsed="false">
      <c r="A16" s="2" t="s">
        <v>106</v>
      </c>
      <c r="C16" s="10" t="n">
        <v>0.15</v>
      </c>
      <c r="D16" s="10" t="n">
        <v>0.5</v>
      </c>
      <c r="E16" s="10" t="n">
        <v>0.35</v>
      </c>
      <c r="F16" s="15" t="n">
        <f aca="false">SUM(C16:E16)</f>
        <v>1</v>
      </c>
      <c r="G16" s="5" t="s">
        <v>107</v>
      </c>
    </row>
    <row r="18" customFormat="false" ht="15" hidden="false" customHeight="false" outlineLevel="0" collapsed="false">
      <c r="A18" s="4" t="s">
        <v>108</v>
      </c>
    </row>
    <row r="19" customFormat="false" ht="25.5" hidden="false" customHeight="true" outlineLevel="0" collapsed="false">
      <c r="A19" s="2" t="s">
        <v>102</v>
      </c>
      <c r="B19" s="16" t="s">
        <v>109</v>
      </c>
      <c r="C19" s="16"/>
      <c r="D19" s="16"/>
      <c r="E19" s="16"/>
      <c r="F19" s="16"/>
      <c r="G19" s="16"/>
      <c r="H19" s="16"/>
    </row>
    <row r="20" customFormat="false" ht="25.5" hidden="false" customHeight="true" outlineLevel="0" collapsed="false">
      <c r="A20" s="2" t="s">
        <v>103</v>
      </c>
      <c r="B20" s="16" t="s">
        <v>110</v>
      </c>
      <c r="C20" s="16"/>
      <c r="D20" s="16"/>
      <c r="E20" s="16"/>
      <c r="F20" s="16"/>
      <c r="G20" s="16"/>
      <c r="H20" s="16"/>
    </row>
    <row r="21" customFormat="false" ht="25.5" hidden="false" customHeight="true" outlineLevel="0" collapsed="false">
      <c r="A21" s="2" t="s">
        <v>104</v>
      </c>
      <c r="B21" s="16" t="s">
        <v>111</v>
      </c>
      <c r="C21" s="16"/>
      <c r="D21" s="16"/>
      <c r="E21" s="16"/>
      <c r="F21" s="16"/>
      <c r="G21" s="16"/>
      <c r="H21" s="16"/>
    </row>
  </sheetData>
  <mergeCells count="3">
    <mergeCell ref="B19:H19"/>
    <mergeCell ref="B20:H20"/>
    <mergeCell ref="B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2" min="2" style="0" width="10.51"/>
  </cols>
  <sheetData>
    <row r="1" customFormat="false" ht="16.15" hidden="false" customHeight="false" outlineLevel="0" collapsed="false">
      <c r="A1" s="1" t="s">
        <v>112</v>
      </c>
    </row>
    <row r="2" customFormat="false" ht="15" hidden="false" customHeight="false" outlineLevel="0" collapsed="false">
      <c r="A2" s="5" t="s">
        <v>113</v>
      </c>
    </row>
    <row r="3" customFormat="false" ht="15" hidden="false" customHeight="false" outlineLevel="0" collapsed="false">
      <c r="B3" s="6" t="s">
        <v>114</v>
      </c>
      <c r="C3" s="6" t="s">
        <v>115</v>
      </c>
      <c r="D3" s="6" t="s">
        <v>116</v>
      </c>
      <c r="E3" s="6" t="s">
        <v>117</v>
      </c>
      <c r="F3" s="6" t="s">
        <v>118</v>
      </c>
      <c r="G3" s="6" t="s">
        <v>119</v>
      </c>
      <c r="H3" s="6" t="s">
        <v>120</v>
      </c>
      <c r="I3" s="6" t="s">
        <v>121</v>
      </c>
      <c r="J3" s="6" t="s">
        <v>122</v>
      </c>
      <c r="K3" s="6" t="s">
        <v>123</v>
      </c>
      <c r="L3" s="6" t="s">
        <v>124</v>
      </c>
    </row>
    <row r="4" customFormat="false" ht="15" hidden="false" customHeight="false" outlineLevel="0" collapsed="false">
      <c r="A4" s="17" t="s">
        <v>125</v>
      </c>
      <c r="B4" s="17" t="n">
        <v>0</v>
      </c>
      <c r="C4" s="17" t="n">
        <v>1</v>
      </c>
      <c r="D4" s="17" t="n">
        <v>2</v>
      </c>
      <c r="E4" s="17" t="n">
        <v>3</v>
      </c>
      <c r="F4" s="17" t="n">
        <v>4</v>
      </c>
      <c r="G4" s="17" t="n">
        <v>5</v>
      </c>
      <c r="H4" s="17" t="n">
        <v>6</v>
      </c>
      <c r="I4" s="17" t="n">
        <v>7</v>
      </c>
      <c r="J4" s="17" t="n">
        <v>8</v>
      </c>
      <c r="K4" s="17" t="n">
        <v>9</v>
      </c>
      <c r="L4" s="17" t="n">
        <v>10</v>
      </c>
    </row>
    <row r="5" customFormat="false" ht="15" hidden="false" customHeight="false" outlineLevel="0" collapsed="false">
      <c r="A5" s="2" t="s">
        <v>126</v>
      </c>
      <c r="C5" s="10" t="n">
        <v>0.125</v>
      </c>
      <c r="D5" s="10" t="n">
        <v>0.075</v>
      </c>
      <c r="E5" s="10" t="n">
        <v>0.055</v>
      </c>
      <c r="F5" s="10" t="n">
        <v>0.04</v>
      </c>
      <c r="G5" s="10" t="n">
        <v>0.03</v>
      </c>
      <c r="H5" s="10" t="n">
        <v>0.025</v>
      </c>
      <c r="I5" s="10" t="n">
        <v>0.02</v>
      </c>
      <c r="J5" s="10" t="n">
        <v>0.015</v>
      </c>
      <c r="K5" s="10" t="n">
        <v>0.01</v>
      </c>
      <c r="L5" s="10" t="n">
        <v>0.01</v>
      </c>
    </row>
    <row r="6" customFormat="false" ht="15" hidden="false" customHeight="false" outlineLevel="0" collapsed="false">
      <c r="A6" s="2" t="s">
        <v>127</v>
      </c>
      <c r="B6" s="18" t="n">
        <v>242.7</v>
      </c>
      <c r="C6" s="19" t="n">
        <f aca="false">B6*(1+C5)</f>
        <v>273.0375</v>
      </c>
      <c r="D6" s="19" t="n">
        <f aca="false">C6*(1+D5)</f>
        <v>293.5153125</v>
      </c>
      <c r="E6" s="19" t="n">
        <f aca="false">D6*(1+E5)</f>
        <v>309.6586546875</v>
      </c>
      <c r="F6" s="19" t="n">
        <f aca="false">E6*(1+F5)</f>
        <v>322.045000875</v>
      </c>
      <c r="G6" s="19" t="n">
        <f aca="false">F6*(1+G5)</f>
        <v>331.70635090125</v>
      </c>
      <c r="H6" s="19" t="n">
        <f aca="false">G6*(1+H5)</f>
        <v>339.999009673781</v>
      </c>
      <c r="I6" s="19" t="n">
        <f aca="false">H6*(1+I5)</f>
        <v>346.798989867257</v>
      </c>
      <c r="J6" s="19" t="n">
        <f aca="false">I6*(1+J5)</f>
        <v>352.000974715266</v>
      </c>
      <c r="K6" s="19" t="n">
        <f aca="false">J6*(1+K5)</f>
        <v>355.520984462418</v>
      </c>
      <c r="L6" s="19" t="n">
        <f aca="false">K6*(1+L5)</f>
        <v>359.076194307042</v>
      </c>
    </row>
    <row r="7" customFormat="false" ht="15" hidden="false" customHeight="false" outlineLevel="0" collapsed="false">
      <c r="A7" s="2" t="s">
        <v>128</v>
      </c>
      <c r="B7" s="8" t="n">
        <v>0.18</v>
      </c>
      <c r="C7" s="10" t="n">
        <v>0.16</v>
      </c>
      <c r="D7" s="10" t="n">
        <v>0.185</v>
      </c>
      <c r="E7" s="10" t="n">
        <v>0.19</v>
      </c>
      <c r="F7" s="10" t="n">
        <v>0.19</v>
      </c>
      <c r="G7" s="10" t="n">
        <v>0.195</v>
      </c>
      <c r="H7" s="10" t="n">
        <v>0.195</v>
      </c>
      <c r="I7" s="10" t="n">
        <v>0.2</v>
      </c>
      <c r="J7" s="10" t="n">
        <v>0.2</v>
      </c>
      <c r="K7" s="10" t="n">
        <v>0.2</v>
      </c>
      <c r="L7" s="10" t="n">
        <v>0.2</v>
      </c>
    </row>
    <row r="8" customFormat="false" ht="15" hidden="false" customHeight="false" outlineLevel="0" collapsed="false">
      <c r="A8" s="2" t="s">
        <v>129</v>
      </c>
      <c r="C8" s="19" t="n">
        <f aca="false">C6*C7</f>
        <v>43.686</v>
      </c>
      <c r="D8" s="19" t="n">
        <f aca="false">D6*D7</f>
        <v>54.3003328125</v>
      </c>
      <c r="E8" s="19" t="n">
        <f aca="false">E6*E7</f>
        <v>58.835144390625</v>
      </c>
      <c r="F8" s="19" t="n">
        <f aca="false">F6*F7</f>
        <v>61.18855016625</v>
      </c>
      <c r="G8" s="19" t="n">
        <f aca="false">G6*G7</f>
        <v>64.6827384257437</v>
      </c>
      <c r="H8" s="19" t="n">
        <f aca="false">H6*H7</f>
        <v>66.2998068863873</v>
      </c>
      <c r="I8" s="19" t="n">
        <f aca="false">I6*I7</f>
        <v>69.3597979734514</v>
      </c>
      <c r="J8" s="19" t="n">
        <f aca="false">J6*J7</f>
        <v>70.4001949430531</v>
      </c>
      <c r="K8" s="19" t="n">
        <f aca="false">K6*K7</f>
        <v>71.1041968924837</v>
      </c>
      <c r="L8" s="19" t="n">
        <f aca="false">L6*L7</f>
        <v>71.8152388614085</v>
      </c>
    </row>
    <row r="9" customFormat="false" ht="15" hidden="false" customHeight="false" outlineLevel="0" collapsed="false">
      <c r="A9" s="2" t="s">
        <v>130</v>
      </c>
      <c r="B9" s="8" t="n">
        <v>0.023</v>
      </c>
      <c r="C9" s="10" t="n">
        <v>0.03</v>
      </c>
      <c r="D9" s="10" t="n">
        <v>0.035</v>
      </c>
      <c r="E9" s="10" t="n">
        <v>0.04</v>
      </c>
      <c r="F9" s="10" t="n">
        <v>0.04</v>
      </c>
      <c r="G9" s="10" t="n">
        <v>0.04</v>
      </c>
      <c r="H9" s="10" t="n">
        <v>0.04</v>
      </c>
      <c r="I9" s="10" t="n">
        <v>0.04</v>
      </c>
      <c r="J9" s="10" t="n">
        <v>0.04</v>
      </c>
      <c r="K9" s="10" t="n">
        <v>0.04</v>
      </c>
      <c r="L9" s="10" t="n">
        <v>0.04</v>
      </c>
    </row>
    <row r="10" customFormat="false" ht="15" hidden="false" customHeight="false" outlineLevel="0" collapsed="false">
      <c r="A10" s="2" t="s">
        <v>131</v>
      </c>
      <c r="C10" s="19" t="n">
        <f aca="false">-C6*C9</f>
        <v>-8.191125</v>
      </c>
      <c r="D10" s="19" t="n">
        <f aca="false">-D6*D9</f>
        <v>-10.2730359375</v>
      </c>
      <c r="E10" s="19" t="n">
        <f aca="false">-E6*E9</f>
        <v>-12.3863461875</v>
      </c>
      <c r="F10" s="19" t="n">
        <f aca="false">-F6*F9</f>
        <v>-12.881800035</v>
      </c>
      <c r="G10" s="19" t="n">
        <f aca="false">-G6*G9</f>
        <v>-13.26825403605</v>
      </c>
      <c r="H10" s="19" t="n">
        <f aca="false">-H6*H9</f>
        <v>-13.5999603869512</v>
      </c>
      <c r="I10" s="19" t="n">
        <f aca="false">-I6*I9</f>
        <v>-13.8719595946903</v>
      </c>
      <c r="J10" s="19" t="n">
        <f aca="false">-J6*J9</f>
        <v>-14.0800389886106</v>
      </c>
      <c r="K10" s="19" t="n">
        <f aca="false">-K6*K9</f>
        <v>-14.2208393784967</v>
      </c>
      <c r="L10" s="19" t="n">
        <f aca="false">-L6*L9</f>
        <v>-14.3630477722817</v>
      </c>
    </row>
    <row r="11" customFormat="false" ht="15" hidden="false" customHeight="false" outlineLevel="0" collapsed="false">
      <c r="A11" s="2" t="s">
        <v>132</v>
      </c>
      <c r="C11" s="19" t="n">
        <f aca="false">C8+C10</f>
        <v>35.494875</v>
      </c>
      <c r="D11" s="19" t="n">
        <f aca="false">D8+D10</f>
        <v>44.027296875</v>
      </c>
      <c r="E11" s="19" t="n">
        <f aca="false">E8+E10</f>
        <v>46.448798203125</v>
      </c>
      <c r="F11" s="19" t="n">
        <f aca="false">F8+F10</f>
        <v>48.30675013125</v>
      </c>
      <c r="G11" s="19" t="n">
        <f aca="false">G8+G10</f>
        <v>51.4144843896937</v>
      </c>
      <c r="H11" s="19" t="n">
        <f aca="false">H8+H10</f>
        <v>52.6998464994361</v>
      </c>
      <c r="I11" s="19" t="n">
        <f aca="false">I8+I10</f>
        <v>55.4878383787611</v>
      </c>
      <c r="J11" s="19" t="n">
        <f aca="false">J8+J10</f>
        <v>56.3201559544425</v>
      </c>
      <c r="K11" s="19" t="n">
        <f aca="false">K8+K10</f>
        <v>56.8833575139869</v>
      </c>
      <c r="L11" s="19" t="n">
        <f aca="false">L8+L10</f>
        <v>57.4521910891268</v>
      </c>
    </row>
    <row r="12" customFormat="false" ht="15" hidden="false" customHeight="false" outlineLevel="0" collapsed="false">
      <c r="A12" s="2" t="s">
        <v>133</v>
      </c>
      <c r="C12" s="20" t="n">
        <f aca="false">-C6*Assumptions!$B$6</f>
        <v>-2.1843</v>
      </c>
      <c r="D12" s="20" t="n">
        <f aca="false">-D6*Assumptions!$B$6</f>
        <v>-2.3481225</v>
      </c>
      <c r="E12" s="20" t="n">
        <f aca="false">-E6*Assumptions!$B$6</f>
        <v>-2.4772692375</v>
      </c>
      <c r="F12" s="20" t="n">
        <f aca="false">-F6*Assumptions!$B$6</f>
        <v>-2.576360007</v>
      </c>
      <c r="G12" s="20" t="n">
        <f aca="false">-G6*Assumptions!$B$6</f>
        <v>-2.65365080721</v>
      </c>
      <c r="H12" s="20" t="n">
        <f aca="false">-H6*Assumptions!$B$6</f>
        <v>-2.71999207739025</v>
      </c>
      <c r="I12" s="20" t="n">
        <f aca="false">-I6*Assumptions!$B$6</f>
        <v>-2.77439191893805</v>
      </c>
      <c r="J12" s="20" t="n">
        <f aca="false">-J6*Assumptions!$B$6</f>
        <v>-2.81600779772213</v>
      </c>
      <c r="K12" s="20" t="n">
        <f aca="false">-K6*Assumptions!$B$6</f>
        <v>-2.84416787569935</v>
      </c>
      <c r="L12" s="20" t="n">
        <f aca="false">-L6*Assumptions!$B$6</f>
        <v>-2.87260955445634</v>
      </c>
    </row>
    <row r="13" customFormat="false" ht="15" hidden="false" customHeight="false" outlineLevel="0" collapsed="false">
      <c r="A13" s="2" t="s">
        <v>134</v>
      </c>
      <c r="C13" s="19" t="n">
        <f aca="false">C11+C12</f>
        <v>33.310575</v>
      </c>
      <c r="D13" s="19" t="n">
        <f aca="false">D11+D12</f>
        <v>41.679174375</v>
      </c>
      <c r="E13" s="19" t="n">
        <f aca="false">E11+E12</f>
        <v>43.971528965625</v>
      </c>
      <c r="F13" s="19" t="n">
        <f aca="false">F11+F12</f>
        <v>45.73039012425</v>
      </c>
      <c r="G13" s="19" t="n">
        <f aca="false">G11+G12</f>
        <v>48.7608335824837</v>
      </c>
      <c r="H13" s="19" t="n">
        <f aca="false">H11+H12</f>
        <v>49.9798544220458</v>
      </c>
      <c r="I13" s="19" t="n">
        <f aca="false">I11+I12</f>
        <v>52.713446459823</v>
      </c>
      <c r="J13" s="19" t="n">
        <f aca="false">J11+J12</f>
        <v>53.5041481567204</v>
      </c>
      <c r="K13" s="19" t="n">
        <f aca="false">K11+K12</f>
        <v>54.0391896382876</v>
      </c>
      <c r="L13" s="19" t="n">
        <f aca="false">L11+L12</f>
        <v>54.5795815346705</v>
      </c>
    </row>
    <row r="14" customFormat="false" ht="15" hidden="false" customHeight="false" outlineLevel="0" collapsed="false">
      <c r="A14" s="2" t="s">
        <v>135</v>
      </c>
      <c r="C14" s="10" t="n">
        <v>0.1</v>
      </c>
      <c r="D14" s="10" t="n">
        <v>0.14</v>
      </c>
      <c r="E14" s="10" t="n">
        <v>0.18</v>
      </c>
      <c r="F14" s="10" t="n">
        <v>0.21</v>
      </c>
      <c r="G14" s="10" t="n">
        <v>0.21</v>
      </c>
      <c r="H14" s="10" t="n">
        <v>0.21</v>
      </c>
      <c r="I14" s="10" t="n">
        <v>0.21</v>
      </c>
      <c r="J14" s="10" t="n">
        <v>0.21</v>
      </c>
      <c r="K14" s="10" t="n">
        <v>0.21</v>
      </c>
      <c r="L14" s="10" t="n">
        <v>0.21</v>
      </c>
    </row>
    <row r="15" customFormat="false" ht="15" hidden="false" customHeight="false" outlineLevel="0" collapsed="false">
      <c r="A15" s="2" t="s">
        <v>136</v>
      </c>
      <c r="C15" s="19" t="n">
        <f aca="false">C13*(1-C14)</f>
        <v>29.9795175</v>
      </c>
      <c r="D15" s="19" t="n">
        <f aca="false">D13*(1-D14)</f>
        <v>35.8440899625</v>
      </c>
      <c r="E15" s="19" t="n">
        <f aca="false">E13*(1-E14)</f>
        <v>36.0566537518125</v>
      </c>
      <c r="F15" s="19" t="n">
        <f aca="false">F13*(1-F14)</f>
        <v>36.1270081981575</v>
      </c>
      <c r="G15" s="19" t="n">
        <f aca="false">G13*(1-G14)</f>
        <v>38.5210585301622</v>
      </c>
      <c r="H15" s="19" t="n">
        <f aca="false">H13*(1-H14)</f>
        <v>39.4840849934162</v>
      </c>
      <c r="I15" s="19" t="n">
        <f aca="false">I13*(1-I14)</f>
        <v>41.6436227032602</v>
      </c>
      <c r="J15" s="19" t="n">
        <f aca="false">J13*(1-J14)</f>
        <v>42.2682770438091</v>
      </c>
      <c r="K15" s="19" t="n">
        <f aca="false">K13*(1-K14)</f>
        <v>42.6909598142472</v>
      </c>
      <c r="L15" s="19" t="n">
        <f aca="false">L13*(1-L14)</f>
        <v>43.1178694123897</v>
      </c>
    </row>
    <row r="16" customFormat="false" ht="15" hidden="false" customHeight="false" outlineLevel="0" collapsed="false">
      <c r="A16" s="2" t="s">
        <v>137</v>
      </c>
      <c r="C16" s="19" t="n">
        <f aca="false">-C12</f>
        <v>2.1843</v>
      </c>
      <c r="D16" s="19" t="n">
        <f aca="false">-D12</f>
        <v>2.3481225</v>
      </c>
      <c r="E16" s="19" t="n">
        <f aca="false">-E12</f>
        <v>2.4772692375</v>
      </c>
      <c r="F16" s="19" t="n">
        <f aca="false">-F12</f>
        <v>2.576360007</v>
      </c>
      <c r="G16" s="19" t="n">
        <f aca="false">-G12</f>
        <v>2.65365080721</v>
      </c>
      <c r="H16" s="19" t="n">
        <f aca="false">-H12</f>
        <v>2.71999207739025</v>
      </c>
      <c r="I16" s="19" t="n">
        <f aca="false">-I12</f>
        <v>2.77439191893805</v>
      </c>
      <c r="J16" s="19" t="n">
        <f aca="false">-J12</f>
        <v>2.81600779772213</v>
      </c>
      <c r="K16" s="19" t="n">
        <f aca="false">-K12</f>
        <v>2.84416787569935</v>
      </c>
      <c r="L16" s="19" t="n">
        <f aca="false">-L12</f>
        <v>2.87260955445634</v>
      </c>
    </row>
    <row r="17" customFormat="false" ht="15" hidden="false" customHeight="false" outlineLevel="0" collapsed="false">
      <c r="A17" s="2" t="s">
        <v>138</v>
      </c>
      <c r="C17" s="20" t="n">
        <f aca="false">-C6*Assumptions!$B$7</f>
        <v>-1.3651875</v>
      </c>
      <c r="D17" s="20" t="n">
        <f aca="false">-D6*Assumptions!$B$7</f>
        <v>-1.4675765625</v>
      </c>
      <c r="E17" s="20" t="n">
        <f aca="false">-E6*Assumptions!$B$7</f>
        <v>-1.5482932734375</v>
      </c>
      <c r="F17" s="20" t="n">
        <f aca="false">-F6*Assumptions!$B$7</f>
        <v>-1.610225004375</v>
      </c>
      <c r="G17" s="20" t="n">
        <f aca="false">-G6*Assumptions!$B$7</f>
        <v>-1.65853175450625</v>
      </c>
      <c r="H17" s="20" t="n">
        <f aca="false">-H6*Assumptions!$B$7</f>
        <v>-1.69999504836891</v>
      </c>
      <c r="I17" s="20" t="n">
        <f aca="false">-I6*Assumptions!$B$7</f>
        <v>-1.73399494933628</v>
      </c>
      <c r="J17" s="20" t="n">
        <f aca="false">-J6*Assumptions!$B$7</f>
        <v>-1.76000487357633</v>
      </c>
      <c r="K17" s="20" t="n">
        <f aca="false">-K6*Assumptions!$B$7</f>
        <v>-1.77760492231209</v>
      </c>
      <c r="L17" s="20" t="n">
        <f aca="false">-L6*Assumptions!$B$7</f>
        <v>-1.79538097153521</v>
      </c>
    </row>
    <row r="18" customFormat="false" ht="15" hidden="false" customHeight="false" outlineLevel="0" collapsed="false">
      <c r="A18" s="2" t="s">
        <v>139</v>
      </c>
      <c r="C18" s="20" t="n">
        <f aca="false">Assumptions!$B$8*(C6-B6)</f>
        <v>6.0675</v>
      </c>
      <c r="D18" s="20" t="n">
        <f aca="false">Assumptions!$B$8*(D6-C6)</f>
        <v>4.09556249999999</v>
      </c>
      <c r="E18" s="20" t="n">
        <f aca="false">Assumptions!$B$8*(E6-D6)</f>
        <v>3.22866843749999</v>
      </c>
      <c r="F18" s="20" t="n">
        <f aca="false">Assumptions!$B$8*(F6-E6)</f>
        <v>2.4772692375</v>
      </c>
      <c r="G18" s="20" t="n">
        <f aca="false">Assumptions!$B$8*(G6-F6)</f>
        <v>1.93227000525001</v>
      </c>
      <c r="H18" s="20" t="n">
        <f aca="false">Assumptions!$B$8*(H6-G6)</f>
        <v>1.65853175450625</v>
      </c>
      <c r="I18" s="20" t="n">
        <f aca="false">Assumptions!$B$8*(I6-H6)</f>
        <v>1.35999603869512</v>
      </c>
      <c r="J18" s="20" t="n">
        <f aca="false">Assumptions!$B$8*(J6-I6)</f>
        <v>1.04039696960176</v>
      </c>
      <c r="K18" s="20" t="n">
        <f aca="false">Assumptions!$B$8*(K6-J6)</f>
        <v>0.704001949430528</v>
      </c>
      <c r="L18" s="20" t="n">
        <f aca="false">Assumptions!$B$8*(L6-K6)</f>
        <v>0.711041968924838</v>
      </c>
    </row>
    <row r="19" customFormat="false" ht="15" hidden="false" customHeight="false" outlineLevel="0" collapsed="false">
      <c r="A19" s="2" t="s">
        <v>140</v>
      </c>
      <c r="C19" s="21" t="n">
        <f aca="false">C15+C16+C17+C18</f>
        <v>36.86613</v>
      </c>
      <c r="D19" s="21" t="n">
        <f aca="false">D15+D16+D17+D18</f>
        <v>40.8201984</v>
      </c>
      <c r="E19" s="21" t="n">
        <f aca="false">E15+E16+E17+E18</f>
        <v>40.214298153375</v>
      </c>
      <c r="F19" s="21" t="n">
        <f aca="false">F15+F16+F17+F18</f>
        <v>39.5704124382825</v>
      </c>
      <c r="G19" s="21" t="n">
        <f aca="false">G15+G16+G17+G18</f>
        <v>41.4484475881159</v>
      </c>
      <c r="H19" s="21" t="n">
        <f aca="false">H15+H16+H17+H18</f>
        <v>42.1626137769438</v>
      </c>
      <c r="I19" s="21" t="n">
        <f aca="false">I15+I16+I17+I18</f>
        <v>44.0440157115571</v>
      </c>
      <c r="J19" s="21" t="n">
        <f aca="false">J15+J16+J17+J18</f>
        <v>44.3646769375567</v>
      </c>
      <c r="K19" s="21" t="n">
        <f aca="false">K15+K16+K17+K18</f>
        <v>44.461524717065</v>
      </c>
      <c r="L19" s="21" t="n">
        <f aca="false">L15+L16+L17+L18</f>
        <v>44.9061399642356</v>
      </c>
    </row>
    <row r="20" customFormat="false" ht="15" hidden="false" customHeight="false" outlineLevel="0" collapsed="false">
      <c r="A20" s="2" t="s">
        <v>141</v>
      </c>
      <c r="C20" s="22" t="n">
        <f aca="false">1/(1+Assumptions!$B$5)^C4</f>
        <v>0.904977375565611</v>
      </c>
      <c r="D20" s="22" t="n">
        <f aca="false">1/(1+Assumptions!$B$5)^D4</f>
        <v>0.818984050285621</v>
      </c>
      <c r="E20" s="22" t="n">
        <f aca="false">1/(1+Assumptions!$B$5)^E4</f>
        <v>0.741162036457575</v>
      </c>
      <c r="F20" s="22" t="n">
        <f aca="false">1/(1+Assumptions!$B$5)^F4</f>
        <v>0.67073487462224</v>
      </c>
      <c r="G20" s="22" t="n">
        <f aca="false">1/(1+Assumptions!$B$5)^G4</f>
        <v>0.606999886535964</v>
      </c>
      <c r="H20" s="22" t="n">
        <f aca="false">1/(1+Assumptions!$B$5)^H4</f>
        <v>0.54932116428594</v>
      </c>
      <c r="I20" s="22" t="n">
        <f aca="false">1/(1+Assumptions!$B$5)^I4</f>
        <v>0.497123225598136</v>
      </c>
      <c r="J20" s="22" t="n">
        <f aca="false">1/(1+Assumptions!$B$5)^J4</f>
        <v>0.449885272034512</v>
      </c>
      <c r="K20" s="22" t="n">
        <f aca="false">1/(1+Assumptions!$B$5)^K4</f>
        <v>0.407135992791414</v>
      </c>
      <c r="L20" s="22" t="n">
        <f aca="false">1/(1+Assumptions!$B$5)^L4</f>
        <v>0.368448862254673</v>
      </c>
    </row>
    <row r="21" customFormat="false" ht="15" hidden="false" customHeight="false" outlineLevel="0" collapsed="false">
      <c r="A21" s="2" t="s">
        <v>142</v>
      </c>
      <c r="C21" s="19" t="n">
        <f aca="false">C19*C20</f>
        <v>33.3630135746606</v>
      </c>
      <c r="D21" s="19" t="n">
        <f aca="false">D19*D20</f>
        <v>33.4310914190946</v>
      </c>
      <c r="E21" s="19" t="n">
        <f aca="false">E19*E20</f>
        <v>29.8053111140675</v>
      </c>
      <c r="F21" s="19" t="n">
        <f aca="false">F19*F20</f>
        <v>26.5412556255417</v>
      </c>
      <c r="G21" s="19" t="n">
        <f aca="false">G19*G20</f>
        <v>25.1592029830782</v>
      </c>
      <c r="H21" s="19" t="n">
        <f aca="false">H19*H20</f>
        <v>23.1608160892892</v>
      </c>
      <c r="I21" s="19" t="n">
        <f aca="false">I19*I20</f>
        <v>21.8953031588242</v>
      </c>
      <c r="J21" s="19" t="n">
        <f aca="false">J19*J20</f>
        <v>19.9590147527759</v>
      </c>
      <c r="K21" s="19" t="n">
        <f aca="false">K19*K20</f>
        <v>18.1018870067022</v>
      </c>
      <c r="L21" s="19" t="n">
        <f aca="false">L19*L20</f>
        <v>16.5456161780717</v>
      </c>
    </row>
    <row r="23" customFormat="false" ht="15" hidden="false" customHeight="false" outlineLevel="0" collapsed="false">
      <c r="A23" s="2" t="s">
        <v>143</v>
      </c>
      <c r="C23" s="19" t="n">
        <f aca="false">C19-C10</f>
        <v>45.057255</v>
      </c>
      <c r="D23" s="19" t="n">
        <f aca="false">D19-D10</f>
        <v>51.0932343375</v>
      </c>
      <c r="E23" s="19" t="n">
        <f aca="false">E19-E10</f>
        <v>52.600644340875</v>
      </c>
      <c r="F23" s="19" t="n">
        <f aca="false">F19-F10</f>
        <v>52.4522124732825</v>
      </c>
      <c r="G23" s="19" t="n">
        <f aca="false">G19-G10</f>
        <v>54.7167016241659</v>
      </c>
      <c r="H23" s="19" t="n">
        <f aca="false">H19-H10</f>
        <v>55.7625741638951</v>
      </c>
      <c r="I23" s="19" t="n">
        <f aca="false">I19-I10</f>
        <v>57.9159753062474</v>
      </c>
      <c r="J23" s="19" t="n">
        <f aca="false">J19-J10</f>
        <v>58.4447159261673</v>
      </c>
      <c r="K23" s="19" t="n">
        <f aca="false">K19-K10</f>
        <v>58.6823640955617</v>
      </c>
      <c r="L23" s="19" t="n">
        <f aca="false">L19-L10</f>
        <v>59.2691877365173</v>
      </c>
    </row>
    <row r="24" customFormat="false" ht="15" hidden="false" customHeight="false" outlineLevel="0" collapsed="false">
      <c r="A24" s="2" t="s">
        <v>144</v>
      </c>
      <c r="C24" s="15" t="n">
        <f aca="false">C19/C6</f>
        <v>0.135022222222222</v>
      </c>
      <c r="D24" s="15" t="n">
        <f aca="false">D19/D6</f>
        <v>0.139073488372093</v>
      </c>
      <c r="E24" s="15" t="n">
        <f aca="false">E19/E6</f>
        <v>0.12986654028436</v>
      </c>
      <c r="F24" s="15" t="n">
        <f aca="false">F19/F6</f>
        <v>0.122872307692308</v>
      </c>
      <c r="G24" s="15" t="n">
        <f aca="false">G19/G6</f>
        <v>0.124955242718447</v>
      </c>
      <c r="H24" s="15" t="n">
        <f aca="false">H19/H6</f>
        <v>0.124008048780488</v>
      </c>
      <c r="I24" s="15" t="n">
        <f aca="false">I19/I6</f>
        <v>0.127001568627451</v>
      </c>
      <c r="J24" s="15" t="n">
        <f aca="false">J19/J6</f>
        <v>0.126035665024631</v>
      </c>
      <c r="K24" s="15" t="n">
        <f aca="false">K19/K6</f>
        <v>0.125060198019802</v>
      </c>
      <c r="L24" s="15" t="n">
        <f aca="false">L19/L6</f>
        <v>0.125060198019802</v>
      </c>
    </row>
    <row r="25" customFormat="false" ht="15" hidden="false" customHeight="false" outlineLevel="0" collapsed="false">
      <c r="A25" s="4" t="s">
        <v>145</v>
      </c>
    </row>
    <row r="26" customFormat="false" ht="15" hidden="false" customHeight="false" outlineLevel="0" collapsed="false">
      <c r="A26" s="2" t="s">
        <v>146</v>
      </c>
      <c r="B26" s="19" t="n">
        <f aca="false">SUM(C21:L21)</f>
        <v>247.962511902106</v>
      </c>
    </row>
    <row r="27" customFormat="false" ht="15" hidden="false" customHeight="false" outlineLevel="0" collapsed="false">
      <c r="A27" s="2" t="s">
        <v>105</v>
      </c>
      <c r="B27" s="23" t="n">
        <f aca="false">Assumptions!$C$15</f>
        <v>0.015</v>
      </c>
    </row>
    <row r="28" customFormat="false" ht="15" hidden="false" customHeight="false" outlineLevel="0" collapsed="false">
      <c r="A28" s="2" t="s">
        <v>147</v>
      </c>
      <c r="B28" s="19" t="n">
        <f aca="false">L19*(1+B27)</f>
        <v>45.5797320636992</v>
      </c>
    </row>
    <row r="29" customFormat="false" ht="15" hidden="false" customHeight="false" outlineLevel="0" collapsed="false">
      <c r="A29" s="2" t="s">
        <v>148</v>
      </c>
      <c r="B29" s="19" t="n">
        <f aca="false">B28/(Assumptions!$B$5-B27)</f>
        <v>506.441467374435</v>
      </c>
    </row>
    <row r="30" customFormat="false" ht="15" hidden="false" customHeight="false" outlineLevel="0" collapsed="false">
      <c r="A30" s="2" t="s">
        <v>149</v>
      </c>
      <c r="B30" s="20" t="n">
        <f aca="false">Assumptions!$B$12*L19</f>
        <v>898.122799284713</v>
      </c>
    </row>
    <row r="31" customFormat="false" ht="15" hidden="false" customHeight="false" outlineLevel="0" collapsed="false">
      <c r="A31" s="2" t="s">
        <v>150</v>
      </c>
      <c r="B31" s="19" t="n">
        <f aca="false">MAX(0,MIN(B29,B30))</f>
        <v>506.441467374435</v>
      </c>
    </row>
    <row r="32" customFormat="false" ht="15" hidden="false" customHeight="false" outlineLevel="0" collapsed="false">
      <c r="A32" s="2" t="s">
        <v>151</v>
      </c>
      <c r="B32" s="24" t="n">
        <f aca="false">B31/L19</f>
        <v>11.2777777777778</v>
      </c>
    </row>
    <row r="33" customFormat="false" ht="15" hidden="false" customHeight="false" outlineLevel="0" collapsed="false">
      <c r="A33" s="2" t="s">
        <v>152</v>
      </c>
      <c r="B33" s="19" t="n">
        <f aca="false">B31*L20</f>
        <v>186.597782452698</v>
      </c>
    </row>
    <row r="34" customFormat="false" ht="15" hidden="false" customHeight="false" outlineLevel="0" collapsed="false">
      <c r="A34" s="2" t="s">
        <v>153</v>
      </c>
      <c r="B34" s="19" t="n">
        <f aca="false">B26+B33</f>
        <v>434.560294354804</v>
      </c>
    </row>
    <row r="35" customFormat="false" ht="15" hidden="false" customHeight="false" outlineLevel="0" collapsed="false">
      <c r="A35" s="2" t="s">
        <v>154</v>
      </c>
      <c r="B35" s="20" t="n">
        <f aca="false">Assumptions!$B$9</f>
        <v>-52</v>
      </c>
    </row>
    <row r="36" customFormat="false" ht="15" hidden="false" customHeight="false" outlineLevel="0" collapsed="false">
      <c r="A36" s="2" t="s">
        <v>155</v>
      </c>
      <c r="B36" s="19" t="n">
        <f aca="false">B34+B35</f>
        <v>382.560294354804</v>
      </c>
    </row>
    <row r="37" customFormat="false" ht="15" hidden="false" customHeight="false" outlineLevel="0" collapsed="false">
      <c r="A37" s="2" t="s">
        <v>96</v>
      </c>
      <c r="B37" s="25" t="n">
        <f aca="false">Assumptions!$B$10</f>
        <v>26.8</v>
      </c>
    </row>
    <row r="38" customFormat="false" ht="15" hidden="false" customHeight="false" outlineLevel="0" collapsed="false">
      <c r="A38" s="2" t="s">
        <v>156</v>
      </c>
      <c r="B38" s="26" t="n">
        <f aca="false">B36/B37</f>
        <v>14.2746378490598</v>
      </c>
    </row>
    <row r="39" customFormat="false" ht="15" hidden="false" customHeight="false" outlineLevel="0" collapsed="false">
      <c r="A39" s="2" t="s">
        <v>157</v>
      </c>
      <c r="B39" s="15" t="n">
        <f aca="false">B38/Assumptions!$B$11-1</f>
        <v>-0.379902786748052</v>
      </c>
    </row>
    <row r="41" customFormat="false" ht="15" hidden="false" customHeight="false" outlineLevel="0" collapsed="false">
      <c r="A41" s="2" t="s">
        <v>158</v>
      </c>
      <c r="B41" s="19" t="n">
        <f aca="false">SUMPRODUCT(-C10:L10/(1+Assumptions!$B$5)^C4:L4)</f>
        <v>73.4837118892746</v>
      </c>
    </row>
    <row r="42" customFormat="false" ht="15" hidden="false" customHeight="false" outlineLevel="0" collapsed="false">
      <c r="A42" s="2" t="s">
        <v>159</v>
      </c>
      <c r="B42" s="19" t="n">
        <f aca="false">(-L10*(1+B27)/(Assumptions!$B$5-B27))*L20</f>
        <v>59.682548215109</v>
      </c>
    </row>
    <row r="43" customFormat="false" ht="15" hidden="false" customHeight="false" outlineLevel="0" collapsed="false">
      <c r="A43" s="2" t="s">
        <v>160</v>
      </c>
      <c r="B43" s="27" t="n">
        <f aca="false">(B36+B41+B42)/B37</f>
        <v>19.2435281514622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2" min="2" style="0" width="10.51"/>
  </cols>
  <sheetData>
    <row r="1" customFormat="false" ht="16.15" hidden="false" customHeight="false" outlineLevel="0" collapsed="false">
      <c r="A1" s="1" t="s">
        <v>161</v>
      </c>
    </row>
    <row r="2" customFormat="false" ht="15" hidden="false" customHeight="false" outlineLevel="0" collapsed="false">
      <c r="A2" s="5" t="s">
        <v>113</v>
      </c>
    </row>
    <row r="3" customFormat="false" ht="15" hidden="false" customHeight="false" outlineLevel="0" collapsed="false">
      <c r="B3" s="6" t="s">
        <v>114</v>
      </c>
      <c r="C3" s="6" t="s">
        <v>115</v>
      </c>
      <c r="D3" s="6" t="s">
        <v>116</v>
      </c>
      <c r="E3" s="6" t="s">
        <v>117</v>
      </c>
      <c r="F3" s="6" t="s">
        <v>118</v>
      </c>
      <c r="G3" s="6" t="s">
        <v>119</v>
      </c>
      <c r="H3" s="6" t="s">
        <v>120</v>
      </c>
      <c r="I3" s="6" t="s">
        <v>121</v>
      </c>
      <c r="J3" s="6" t="s">
        <v>122</v>
      </c>
      <c r="K3" s="6" t="s">
        <v>123</v>
      </c>
      <c r="L3" s="6" t="s">
        <v>124</v>
      </c>
    </row>
    <row r="4" customFormat="false" ht="15" hidden="false" customHeight="false" outlineLevel="0" collapsed="false">
      <c r="A4" s="17" t="s">
        <v>125</v>
      </c>
      <c r="B4" s="17" t="n">
        <v>0</v>
      </c>
      <c r="C4" s="17" t="n">
        <v>1</v>
      </c>
      <c r="D4" s="17" t="n">
        <v>2</v>
      </c>
      <c r="E4" s="17" t="n">
        <v>3</v>
      </c>
      <c r="F4" s="17" t="n">
        <v>4</v>
      </c>
      <c r="G4" s="17" t="n">
        <v>5</v>
      </c>
      <c r="H4" s="17" t="n">
        <v>6</v>
      </c>
      <c r="I4" s="17" t="n">
        <v>7</v>
      </c>
      <c r="J4" s="17" t="n">
        <v>8</v>
      </c>
      <c r="K4" s="17" t="n">
        <v>9</v>
      </c>
      <c r="L4" s="17" t="n">
        <v>10</v>
      </c>
    </row>
    <row r="5" customFormat="false" ht="15" hidden="false" customHeight="false" outlineLevel="0" collapsed="false">
      <c r="A5" s="2" t="s">
        <v>126</v>
      </c>
      <c r="C5" s="10" t="n">
        <v>0.135</v>
      </c>
      <c r="D5" s="10" t="n">
        <v>0.125</v>
      </c>
      <c r="E5" s="10" t="n">
        <v>0.11</v>
      </c>
      <c r="F5" s="10" t="n">
        <v>0.095</v>
      </c>
      <c r="G5" s="10" t="n">
        <v>0.08</v>
      </c>
      <c r="H5" s="10" t="n">
        <v>0.075</v>
      </c>
      <c r="I5" s="10" t="n">
        <v>0.07</v>
      </c>
      <c r="J5" s="10" t="n">
        <v>0.065</v>
      </c>
      <c r="K5" s="10" t="n">
        <v>0.06</v>
      </c>
      <c r="L5" s="10" t="n">
        <v>0.055</v>
      </c>
    </row>
    <row r="6" customFormat="false" ht="15" hidden="false" customHeight="false" outlineLevel="0" collapsed="false">
      <c r="A6" s="2" t="s">
        <v>127</v>
      </c>
      <c r="B6" s="18" t="n">
        <v>242.7</v>
      </c>
      <c r="C6" s="19" t="n">
        <f aca="false">B6*(1+C5)</f>
        <v>275.4645</v>
      </c>
      <c r="D6" s="19" t="n">
        <f aca="false">C6*(1+D5)</f>
        <v>309.8975625</v>
      </c>
      <c r="E6" s="19" t="n">
        <f aca="false">D6*(1+E5)</f>
        <v>343.986294375</v>
      </c>
      <c r="F6" s="19" t="n">
        <f aca="false">E6*(1+F5)</f>
        <v>376.664992340625</v>
      </c>
      <c r="G6" s="19" t="n">
        <f aca="false">F6*(1+G5)</f>
        <v>406.798191727875</v>
      </c>
      <c r="H6" s="19" t="n">
        <f aca="false">G6*(1+H5)</f>
        <v>437.308056107466</v>
      </c>
      <c r="I6" s="19" t="n">
        <f aca="false">H6*(1+I5)</f>
        <v>467.919620034988</v>
      </c>
      <c r="J6" s="19" t="n">
        <f aca="false">I6*(1+J5)</f>
        <v>498.334395337263</v>
      </c>
      <c r="K6" s="19" t="n">
        <f aca="false">J6*(1+K5)</f>
        <v>528.234459057498</v>
      </c>
      <c r="L6" s="19" t="n">
        <f aca="false">K6*(1+L5)</f>
        <v>557.287354305661</v>
      </c>
    </row>
    <row r="7" customFormat="false" ht="15" hidden="false" customHeight="false" outlineLevel="0" collapsed="false">
      <c r="A7" s="2" t="s">
        <v>128</v>
      </c>
      <c r="B7" s="8" t="n">
        <v>0.18</v>
      </c>
      <c r="C7" s="10" t="n">
        <v>0.165</v>
      </c>
      <c r="D7" s="10" t="n">
        <v>0.21</v>
      </c>
      <c r="E7" s="10" t="n">
        <v>0.24</v>
      </c>
      <c r="F7" s="10" t="n">
        <v>0.258</v>
      </c>
      <c r="G7" s="10" t="n">
        <v>0.268</v>
      </c>
      <c r="H7" s="10" t="n">
        <v>0.272</v>
      </c>
      <c r="I7" s="10" t="n">
        <v>0.275</v>
      </c>
      <c r="J7" s="10" t="n">
        <v>0.278</v>
      </c>
      <c r="K7" s="10" t="n">
        <v>0.28</v>
      </c>
      <c r="L7" s="10" t="n">
        <v>0.28</v>
      </c>
    </row>
    <row r="8" customFormat="false" ht="15" hidden="false" customHeight="false" outlineLevel="0" collapsed="false">
      <c r="A8" s="2" t="s">
        <v>129</v>
      </c>
      <c r="C8" s="19" t="n">
        <f aca="false">C6*C7</f>
        <v>45.4516425</v>
      </c>
      <c r="D8" s="19" t="n">
        <f aca="false">D6*D7</f>
        <v>65.078488125</v>
      </c>
      <c r="E8" s="19" t="n">
        <f aca="false">E6*E7</f>
        <v>82.55671065</v>
      </c>
      <c r="F8" s="19" t="n">
        <f aca="false">F6*F7</f>
        <v>97.1795680238813</v>
      </c>
      <c r="G8" s="19" t="n">
        <f aca="false">G6*G7</f>
        <v>109.021915383071</v>
      </c>
      <c r="H8" s="19" t="n">
        <f aca="false">H6*H7</f>
        <v>118.947791261231</v>
      </c>
      <c r="I8" s="19" t="n">
        <f aca="false">I6*I7</f>
        <v>128.677895509622</v>
      </c>
      <c r="J8" s="19" t="n">
        <f aca="false">J6*J7</f>
        <v>138.536961903759</v>
      </c>
      <c r="K8" s="19" t="n">
        <f aca="false">K6*K7</f>
        <v>147.9056485361</v>
      </c>
      <c r="L8" s="19" t="n">
        <f aca="false">L6*L7</f>
        <v>156.040459205585</v>
      </c>
    </row>
    <row r="9" customFormat="false" ht="15" hidden="false" customHeight="false" outlineLevel="0" collapsed="false">
      <c r="A9" s="2" t="s">
        <v>130</v>
      </c>
      <c r="B9" s="8" t="n">
        <v>0.023</v>
      </c>
      <c r="C9" s="10" t="n">
        <v>0.03</v>
      </c>
      <c r="D9" s="10" t="n">
        <v>0.035</v>
      </c>
      <c r="E9" s="10" t="n">
        <v>0.035</v>
      </c>
      <c r="F9" s="10" t="n">
        <v>0.035</v>
      </c>
      <c r="G9" s="10" t="n">
        <v>0.035</v>
      </c>
      <c r="H9" s="10" t="n">
        <v>0.035</v>
      </c>
      <c r="I9" s="10" t="n">
        <v>0.035</v>
      </c>
      <c r="J9" s="10" t="n">
        <v>0.035</v>
      </c>
      <c r="K9" s="10" t="n">
        <v>0.035</v>
      </c>
      <c r="L9" s="10" t="n">
        <v>0.035</v>
      </c>
    </row>
    <row r="10" customFormat="false" ht="15" hidden="false" customHeight="false" outlineLevel="0" collapsed="false">
      <c r="A10" s="2" t="s">
        <v>131</v>
      </c>
      <c r="C10" s="19" t="n">
        <f aca="false">-C6*C9</f>
        <v>-8.263935</v>
      </c>
      <c r="D10" s="19" t="n">
        <f aca="false">-D6*D9</f>
        <v>-10.8464146875</v>
      </c>
      <c r="E10" s="19" t="n">
        <f aca="false">-E6*E9</f>
        <v>-12.039520303125</v>
      </c>
      <c r="F10" s="19" t="n">
        <f aca="false">-F6*F9</f>
        <v>-13.1832747319219</v>
      </c>
      <c r="G10" s="19" t="n">
        <f aca="false">-G6*G9</f>
        <v>-14.2379367104756</v>
      </c>
      <c r="H10" s="19" t="n">
        <f aca="false">-H6*H9</f>
        <v>-15.3057819637613</v>
      </c>
      <c r="I10" s="19" t="n">
        <f aca="false">-I6*I9</f>
        <v>-16.3771867012246</v>
      </c>
      <c r="J10" s="19" t="n">
        <f aca="false">-J6*J9</f>
        <v>-17.4417038368042</v>
      </c>
      <c r="K10" s="19" t="n">
        <f aca="false">-K6*K9</f>
        <v>-18.4882060670124</v>
      </c>
      <c r="L10" s="19" t="n">
        <f aca="false">-L6*L9</f>
        <v>-19.5050574006981</v>
      </c>
    </row>
    <row r="11" customFormat="false" ht="15" hidden="false" customHeight="false" outlineLevel="0" collapsed="false">
      <c r="A11" s="2" t="s">
        <v>132</v>
      </c>
      <c r="C11" s="19" t="n">
        <f aca="false">C8+C10</f>
        <v>37.1877075</v>
      </c>
      <c r="D11" s="19" t="n">
        <f aca="false">D8+D10</f>
        <v>54.2320734375</v>
      </c>
      <c r="E11" s="19" t="n">
        <f aca="false">E8+E10</f>
        <v>70.517190346875</v>
      </c>
      <c r="F11" s="19" t="n">
        <f aca="false">F8+F10</f>
        <v>83.9962932919594</v>
      </c>
      <c r="G11" s="19" t="n">
        <f aca="false">G8+G10</f>
        <v>94.7839786725949</v>
      </c>
      <c r="H11" s="19" t="n">
        <f aca="false">H8+H10</f>
        <v>103.642009297469</v>
      </c>
      <c r="I11" s="19" t="n">
        <f aca="false">I8+I10</f>
        <v>112.300708808397</v>
      </c>
      <c r="J11" s="19" t="n">
        <f aca="false">J8+J10</f>
        <v>121.095258066955</v>
      </c>
      <c r="K11" s="19" t="n">
        <f aca="false">K8+K10</f>
        <v>129.417442469087</v>
      </c>
      <c r="L11" s="19" t="n">
        <f aca="false">L8+L10</f>
        <v>136.535401804887</v>
      </c>
    </row>
    <row r="12" customFormat="false" ht="15" hidden="false" customHeight="false" outlineLevel="0" collapsed="false">
      <c r="A12" s="2" t="s">
        <v>133</v>
      </c>
      <c r="C12" s="20" t="n">
        <f aca="false">-C6*Assumptions!$B$6</f>
        <v>-2.203716</v>
      </c>
      <c r="D12" s="20" t="n">
        <f aca="false">-D6*Assumptions!$B$6</f>
        <v>-2.4791805</v>
      </c>
      <c r="E12" s="20" t="n">
        <f aca="false">-E6*Assumptions!$B$6</f>
        <v>-2.751890355</v>
      </c>
      <c r="F12" s="20" t="n">
        <f aca="false">-F6*Assumptions!$B$6</f>
        <v>-3.013319938725</v>
      </c>
      <c r="G12" s="20" t="n">
        <f aca="false">-G6*Assumptions!$B$6</f>
        <v>-3.254385533823</v>
      </c>
      <c r="H12" s="20" t="n">
        <f aca="false">-H6*Assumptions!$B$6</f>
        <v>-3.49846444885973</v>
      </c>
      <c r="I12" s="20" t="n">
        <f aca="false">-I6*Assumptions!$B$6</f>
        <v>-3.74335696027991</v>
      </c>
      <c r="J12" s="20" t="n">
        <f aca="false">-J6*Assumptions!$B$6</f>
        <v>-3.9866751626981</v>
      </c>
      <c r="K12" s="20" t="n">
        <f aca="false">-K6*Assumptions!$B$6</f>
        <v>-4.22587567245999</v>
      </c>
      <c r="L12" s="20" t="n">
        <f aca="false">-L6*Assumptions!$B$6</f>
        <v>-4.45829883444529</v>
      </c>
    </row>
    <row r="13" customFormat="false" ht="15" hidden="false" customHeight="false" outlineLevel="0" collapsed="false">
      <c r="A13" s="2" t="s">
        <v>134</v>
      </c>
      <c r="C13" s="19" t="n">
        <f aca="false">C11+C12</f>
        <v>34.9839915</v>
      </c>
      <c r="D13" s="19" t="n">
        <f aca="false">D11+D12</f>
        <v>51.7528929375</v>
      </c>
      <c r="E13" s="19" t="n">
        <f aca="false">E11+E12</f>
        <v>67.765299991875</v>
      </c>
      <c r="F13" s="19" t="n">
        <f aca="false">F11+F12</f>
        <v>80.9829733532344</v>
      </c>
      <c r="G13" s="19" t="n">
        <f aca="false">G11+G12</f>
        <v>91.5295931387719</v>
      </c>
      <c r="H13" s="19" t="n">
        <f aca="false">H11+H12</f>
        <v>100.14354484861</v>
      </c>
      <c r="I13" s="19" t="n">
        <f aca="false">I11+I12</f>
        <v>108.557351848117</v>
      </c>
      <c r="J13" s="19" t="n">
        <f aca="false">J11+J12</f>
        <v>117.108582904257</v>
      </c>
      <c r="K13" s="19" t="n">
        <f aca="false">K11+K12</f>
        <v>125.191566796627</v>
      </c>
      <c r="L13" s="19" t="n">
        <f aca="false">L11+L12</f>
        <v>132.077102970442</v>
      </c>
    </row>
    <row r="14" customFormat="false" ht="15" hidden="false" customHeight="false" outlineLevel="0" collapsed="false">
      <c r="A14" s="2" t="s">
        <v>135</v>
      </c>
      <c r="C14" s="10" t="n">
        <v>0.1</v>
      </c>
      <c r="D14" s="10" t="n">
        <v>0.14</v>
      </c>
      <c r="E14" s="10" t="n">
        <v>0.18</v>
      </c>
      <c r="F14" s="10" t="n">
        <v>0.21</v>
      </c>
      <c r="G14" s="10" t="n">
        <v>0.21</v>
      </c>
      <c r="H14" s="10" t="n">
        <v>0.21</v>
      </c>
      <c r="I14" s="10" t="n">
        <v>0.21</v>
      </c>
      <c r="J14" s="10" t="n">
        <v>0.21</v>
      </c>
      <c r="K14" s="10" t="n">
        <v>0.21</v>
      </c>
      <c r="L14" s="10" t="n">
        <v>0.21</v>
      </c>
    </row>
    <row r="15" customFormat="false" ht="15" hidden="false" customHeight="false" outlineLevel="0" collapsed="false">
      <c r="A15" s="2" t="s">
        <v>136</v>
      </c>
      <c r="C15" s="19" t="n">
        <f aca="false">C13*(1-C14)</f>
        <v>31.48559235</v>
      </c>
      <c r="D15" s="19" t="n">
        <f aca="false">D13*(1-D14)</f>
        <v>44.50748792625</v>
      </c>
      <c r="E15" s="19" t="n">
        <f aca="false">E13*(1-E14)</f>
        <v>55.5675459933375</v>
      </c>
      <c r="F15" s="19" t="n">
        <f aca="false">F13*(1-F14)</f>
        <v>63.9765489490552</v>
      </c>
      <c r="G15" s="19" t="n">
        <f aca="false">G13*(1-G14)</f>
        <v>72.3083785796298</v>
      </c>
      <c r="H15" s="19" t="n">
        <f aca="false">H13*(1-H14)</f>
        <v>79.1134004304016</v>
      </c>
      <c r="I15" s="19" t="n">
        <f aca="false">I13*(1-I14)</f>
        <v>85.7603079600127</v>
      </c>
      <c r="J15" s="19" t="n">
        <f aca="false">J13*(1-J14)</f>
        <v>92.5157804943628</v>
      </c>
      <c r="K15" s="19" t="n">
        <f aca="false">K13*(1-K14)</f>
        <v>98.9013377693354</v>
      </c>
      <c r="L15" s="19" t="n">
        <f aca="false">L13*(1-L14)</f>
        <v>104.340911346649</v>
      </c>
    </row>
    <row r="16" customFormat="false" ht="15" hidden="false" customHeight="false" outlineLevel="0" collapsed="false">
      <c r="A16" s="2" t="s">
        <v>137</v>
      </c>
      <c r="C16" s="19" t="n">
        <f aca="false">-C12</f>
        <v>2.203716</v>
      </c>
      <c r="D16" s="19" t="n">
        <f aca="false">-D12</f>
        <v>2.4791805</v>
      </c>
      <c r="E16" s="19" t="n">
        <f aca="false">-E12</f>
        <v>2.751890355</v>
      </c>
      <c r="F16" s="19" t="n">
        <f aca="false">-F12</f>
        <v>3.013319938725</v>
      </c>
      <c r="G16" s="19" t="n">
        <f aca="false">-G12</f>
        <v>3.254385533823</v>
      </c>
      <c r="H16" s="19" t="n">
        <f aca="false">-H12</f>
        <v>3.49846444885973</v>
      </c>
      <c r="I16" s="19" t="n">
        <f aca="false">-I12</f>
        <v>3.74335696027991</v>
      </c>
      <c r="J16" s="19" t="n">
        <f aca="false">-J12</f>
        <v>3.9866751626981</v>
      </c>
      <c r="K16" s="19" t="n">
        <f aca="false">-K12</f>
        <v>4.22587567245999</v>
      </c>
      <c r="L16" s="19" t="n">
        <f aca="false">-L12</f>
        <v>4.45829883444529</v>
      </c>
    </row>
    <row r="17" customFormat="false" ht="15" hidden="false" customHeight="false" outlineLevel="0" collapsed="false">
      <c r="A17" s="2" t="s">
        <v>138</v>
      </c>
      <c r="C17" s="20" t="n">
        <f aca="false">-C6*Assumptions!$B$7</f>
        <v>-1.3773225</v>
      </c>
      <c r="D17" s="20" t="n">
        <f aca="false">-D6*Assumptions!$B$7</f>
        <v>-1.5494878125</v>
      </c>
      <c r="E17" s="20" t="n">
        <f aca="false">-E6*Assumptions!$B$7</f>
        <v>-1.719931471875</v>
      </c>
      <c r="F17" s="20" t="n">
        <f aca="false">-F6*Assumptions!$B$7</f>
        <v>-1.88332496170313</v>
      </c>
      <c r="G17" s="20" t="n">
        <f aca="false">-G6*Assumptions!$B$7</f>
        <v>-2.03399095863938</v>
      </c>
      <c r="H17" s="20" t="n">
        <f aca="false">-H6*Assumptions!$B$7</f>
        <v>-2.18654028053733</v>
      </c>
      <c r="I17" s="20" t="n">
        <f aca="false">-I6*Assumptions!$B$7</f>
        <v>-2.33959810017494</v>
      </c>
      <c r="J17" s="20" t="n">
        <f aca="false">-J6*Assumptions!$B$7</f>
        <v>-2.49167197668631</v>
      </c>
      <c r="K17" s="20" t="n">
        <f aca="false">-K6*Assumptions!$B$7</f>
        <v>-2.64117229528749</v>
      </c>
      <c r="L17" s="20" t="n">
        <f aca="false">-L6*Assumptions!$B$7</f>
        <v>-2.7864367715283</v>
      </c>
    </row>
    <row r="18" customFormat="false" ht="15" hidden="false" customHeight="false" outlineLevel="0" collapsed="false">
      <c r="A18" s="2" t="s">
        <v>139</v>
      </c>
      <c r="C18" s="20" t="n">
        <f aca="false">Assumptions!$B$8*(C6-B6)</f>
        <v>6.5529</v>
      </c>
      <c r="D18" s="20" t="n">
        <f aca="false">Assumptions!$B$8*(D6-C6)</f>
        <v>6.8866125</v>
      </c>
      <c r="E18" s="20" t="n">
        <f aca="false">Assumptions!$B$8*(E6-D6)</f>
        <v>6.817746375</v>
      </c>
      <c r="F18" s="20" t="n">
        <f aca="false">Assumptions!$B$8*(F6-E6)</f>
        <v>6.53573959312499</v>
      </c>
      <c r="G18" s="20" t="n">
        <f aca="false">Assumptions!$B$8*(G6-F6)</f>
        <v>6.02663987745001</v>
      </c>
      <c r="H18" s="20" t="n">
        <f aca="false">Assumptions!$B$8*(H6-G6)</f>
        <v>6.10197287591813</v>
      </c>
      <c r="I18" s="20" t="n">
        <f aca="false">Assumptions!$B$8*(I6-H6)</f>
        <v>6.12231278550453</v>
      </c>
      <c r="J18" s="20" t="n">
        <f aca="false">Assumptions!$B$8*(J6-I6)</f>
        <v>6.08295506045485</v>
      </c>
      <c r="K18" s="20" t="n">
        <f aca="false">Assumptions!$B$8*(K6-J6)</f>
        <v>5.98001274404716</v>
      </c>
      <c r="L18" s="20" t="n">
        <f aca="false">Assumptions!$B$8*(L6-K6)</f>
        <v>5.81057904963248</v>
      </c>
    </row>
    <row r="19" customFormat="false" ht="15" hidden="false" customHeight="false" outlineLevel="0" collapsed="false">
      <c r="A19" s="2" t="s">
        <v>140</v>
      </c>
      <c r="C19" s="21" t="n">
        <f aca="false">C15+C16+C17+C18</f>
        <v>38.86488585</v>
      </c>
      <c r="D19" s="21" t="n">
        <f aca="false">D15+D16+D17+D18</f>
        <v>52.32379311375</v>
      </c>
      <c r="E19" s="21" t="n">
        <f aca="false">E15+E16+E17+E18</f>
        <v>63.4172512514625</v>
      </c>
      <c r="F19" s="21" t="n">
        <f aca="false">F15+F16+F17+F18</f>
        <v>71.642283519202</v>
      </c>
      <c r="G19" s="21" t="n">
        <f aca="false">G15+G16+G17+G18</f>
        <v>79.5554130322634</v>
      </c>
      <c r="H19" s="21" t="n">
        <f aca="false">H15+H16+H17+H18</f>
        <v>86.5272974746421</v>
      </c>
      <c r="I19" s="21" t="n">
        <f aca="false">I15+I16+I17+I18</f>
        <v>93.2863796056222</v>
      </c>
      <c r="J19" s="21" t="n">
        <f aca="false">J15+J16+J17+J18</f>
        <v>100.093738740829</v>
      </c>
      <c r="K19" s="21" t="n">
        <f aca="false">K15+K16+K17+K18</f>
        <v>106.466053890555</v>
      </c>
      <c r="L19" s="21" t="n">
        <f aca="false">L15+L16+L17+L18</f>
        <v>111.823352459198</v>
      </c>
    </row>
    <row r="20" customFormat="false" ht="15" hidden="false" customHeight="false" outlineLevel="0" collapsed="false">
      <c r="A20" s="2" t="s">
        <v>141</v>
      </c>
      <c r="C20" s="22" t="n">
        <f aca="false">1/(1+Assumptions!$B$5)^C4</f>
        <v>0.904977375565611</v>
      </c>
      <c r="D20" s="22" t="n">
        <f aca="false">1/(1+Assumptions!$B$5)^D4</f>
        <v>0.818984050285621</v>
      </c>
      <c r="E20" s="22" t="n">
        <f aca="false">1/(1+Assumptions!$B$5)^E4</f>
        <v>0.741162036457575</v>
      </c>
      <c r="F20" s="22" t="n">
        <f aca="false">1/(1+Assumptions!$B$5)^F4</f>
        <v>0.67073487462224</v>
      </c>
      <c r="G20" s="22" t="n">
        <f aca="false">1/(1+Assumptions!$B$5)^G4</f>
        <v>0.606999886535964</v>
      </c>
      <c r="H20" s="22" t="n">
        <f aca="false">1/(1+Assumptions!$B$5)^H4</f>
        <v>0.54932116428594</v>
      </c>
      <c r="I20" s="22" t="n">
        <f aca="false">1/(1+Assumptions!$B$5)^I4</f>
        <v>0.497123225598136</v>
      </c>
      <c r="J20" s="22" t="n">
        <f aca="false">1/(1+Assumptions!$B$5)^J4</f>
        <v>0.449885272034512</v>
      </c>
      <c r="K20" s="22" t="n">
        <f aca="false">1/(1+Assumptions!$B$5)^K4</f>
        <v>0.407135992791414</v>
      </c>
      <c r="L20" s="22" t="n">
        <f aca="false">1/(1+Assumptions!$B$5)^L4</f>
        <v>0.368448862254673</v>
      </c>
    </row>
    <row r="21" customFormat="false" ht="15" hidden="false" customHeight="false" outlineLevel="0" collapsed="false">
      <c r="A21" s="2" t="s">
        <v>142</v>
      </c>
      <c r="C21" s="19" t="n">
        <f aca="false">C19*C20</f>
        <v>35.1718423981901</v>
      </c>
      <c r="D21" s="19" t="n">
        <f aca="false">D19*D20</f>
        <v>42.8523520106058</v>
      </c>
      <c r="E21" s="19" t="n">
        <f aca="false">E19*E20</f>
        <v>47.0024590840757</v>
      </c>
      <c r="F21" s="19" t="n">
        <f aca="false">F19*F20</f>
        <v>48.052978053903</v>
      </c>
      <c r="G21" s="19" t="n">
        <f aca="false">G19*G20</f>
        <v>48.2901266839056</v>
      </c>
      <c r="H21" s="19" t="n">
        <f aca="false">H19*H20</f>
        <v>47.5312757912863</v>
      </c>
      <c r="I21" s="19" t="n">
        <f aca="false">I19*I20</f>
        <v>46.3748259339191</v>
      </c>
      <c r="J21" s="19" t="n">
        <f aca="false">J19*J20</f>
        <v>45.0306988823695</v>
      </c>
      <c r="K21" s="19" t="n">
        <f aca="false">K19*K20</f>
        <v>43.3461625493153</v>
      </c>
      <c r="L21" s="19" t="n">
        <f aca="false">L19*L20</f>
        <v>41.2011869870949</v>
      </c>
    </row>
    <row r="23" customFormat="false" ht="15" hidden="false" customHeight="false" outlineLevel="0" collapsed="false">
      <c r="A23" s="2" t="s">
        <v>143</v>
      </c>
      <c r="C23" s="19" t="n">
        <f aca="false">C19-C10</f>
        <v>47.12882085</v>
      </c>
      <c r="D23" s="19" t="n">
        <f aca="false">D19-D10</f>
        <v>63.17020780125</v>
      </c>
      <c r="E23" s="19" t="n">
        <f aca="false">E19-E10</f>
        <v>75.4567715545875</v>
      </c>
      <c r="F23" s="19" t="n">
        <f aca="false">F19-F10</f>
        <v>84.8255582511239</v>
      </c>
      <c r="G23" s="19" t="n">
        <f aca="false">G19-G10</f>
        <v>93.793349742739</v>
      </c>
      <c r="H23" s="19" t="n">
        <f aca="false">H19-H10</f>
        <v>101.833079438403</v>
      </c>
      <c r="I23" s="19" t="n">
        <f aca="false">I19-I10</f>
        <v>109.663566306847</v>
      </c>
      <c r="J23" s="19" t="n">
        <f aca="false">J19-J10</f>
        <v>117.535442577634</v>
      </c>
      <c r="K23" s="19" t="n">
        <f aca="false">K19-K10</f>
        <v>124.954259957568</v>
      </c>
      <c r="L23" s="19" t="n">
        <f aca="false">L19-L10</f>
        <v>131.328409859896</v>
      </c>
    </row>
    <row r="24" customFormat="false" ht="15" hidden="false" customHeight="false" outlineLevel="0" collapsed="false">
      <c r="A24" s="2" t="s">
        <v>144</v>
      </c>
      <c r="C24" s="15" t="n">
        <f aca="false">C19/C6</f>
        <v>0.141088546255507</v>
      </c>
      <c r="D24" s="15" t="n">
        <f aca="false">D19/D6</f>
        <v>0.168842222222222</v>
      </c>
      <c r="E24" s="15" t="n">
        <f aca="false">E19/E6</f>
        <v>0.18435981981982</v>
      </c>
      <c r="F24" s="15" t="n">
        <f aca="false">F19/F6</f>
        <v>0.190201598173516</v>
      </c>
      <c r="G24" s="15" t="n">
        <f aca="false">G19/G6</f>
        <v>0.195564814814815</v>
      </c>
      <c r="H24" s="15" t="n">
        <f aca="false">H19/H6</f>
        <v>0.197863488372093</v>
      </c>
      <c r="I24" s="15" t="n">
        <f aca="false">I19/I6</f>
        <v>0.199364112149533</v>
      </c>
      <c r="J24" s="15" t="n">
        <f aca="false">J19/J6</f>
        <v>0.200856572769953</v>
      </c>
      <c r="K24" s="15" t="n">
        <f aca="false">K19/K6</f>
        <v>0.201550754716981</v>
      </c>
      <c r="L24" s="15" t="n">
        <f aca="false">L19/L6</f>
        <v>0.20065654028436</v>
      </c>
    </row>
    <row r="25" customFormat="false" ht="15" hidden="false" customHeight="false" outlineLevel="0" collapsed="false">
      <c r="A25" s="4" t="s">
        <v>145</v>
      </c>
    </row>
    <row r="26" customFormat="false" ht="15" hidden="false" customHeight="false" outlineLevel="0" collapsed="false">
      <c r="A26" s="2" t="s">
        <v>146</v>
      </c>
      <c r="B26" s="19" t="n">
        <f aca="false">SUM(C21:L21)</f>
        <v>444.853908374665</v>
      </c>
    </row>
    <row r="27" customFormat="false" ht="15" hidden="false" customHeight="false" outlineLevel="0" collapsed="false">
      <c r="A27" s="2" t="s">
        <v>105</v>
      </c>
      <c r="B27" s="23" t="n">
        <f aca="false">Assumptions!$D$15</f>
        <v>0.03</v>
      </c>
    </row>
    <row r="28" customFormat="false" ht="15" hidden="false" customHeight="false" outlineLevel="0" collapsed="false">
      <c r="A28" s="2" t="s">
        <v>147</v>
      </c>
      <c r="B28" s="19" t="n">
        <f aca="false">L19*(1+B27)</f>
        <v>115.178053032974</v>
      </c>
    </row>
    <row r="29" customFormat="false" ht="15" hidden="false" customHeight="false" outlineLevel="0" collapsed="false">
      <c r="A29" s="2" t="s">
        <v>148</v>
      </c>
      <c r="B29" s="19" t="n">
        <f aca="false">B28/(Assumptions!$B$5-B27)</f>
        <v>1535.70737377299</v>
      </c>
    </row>
    <row r="30" customFormat="false" ht="15" hidden="false" customHeight="false" outlineLevel="0" collapsed="false">
      <c r="A30" s="2" t="s">
        <v>149</v>
      </c>
      <c r="B30" s="20" t="n">
        <f aca="false">Assumptions!$B$12*L19</f>
        <v>2236.46704918397</v>
      </c>
    </row>
    <row r="31" customFormat="false" ht="15" hidden="false" customHeight="false" outlineLevel="0" collapsed="false">
      <c r="A31" s="2" t="s">
        <v>150</v>
      </c>
      <c r="B31" s="19" t="n">
        <f aca="false">MAX(0,MIN(B29,B30))</f>
        <v>1535.70737377299</v>
      </c>
    </row>
    <row r="32" customFormat="false" ht="15" hidden="false" customHeight="false" outlineLevel="0" collapsed="false">
      <c r="A32" s="2" t="s">
        <v>151</v>
      </c>
      <c r="B32" s="24" t="n">
        <f aca="false">B31/L19</f>
        <v>13.7333333333333</v>
      </c>
    </row>
    <row r="33" customFormat="false" ht="15" hidden="false" customHeight="false" outlineLevel="0" collapsed="false">
      <c r="A33" s="2" t="s">
        <v>152</v>
      </c>
      <c r="B33" s="19" t="n">
        <f aca="false">B31*L20</f>
        <v>565.82963462277</v>
      </c>
    </row>
    <row r="34" customFormat="false" ht="15" hidden="false" customHeight="false" outlineLevel="0" collapsed="false">
      <c r="A34" s="2" t="s">
        <v>153</v>
      </c>
      <c r="B34" s="19" t="n">
        <f aca="false">B26+B33</f>
        <v>1010.68354299744</v>
      </c>
    </row>
    <row r="35" customFormat="false" ht="15" hidden="false" customHeight="false" outlineLevel="0" collapsed="false">
      <c r="A35" s="2" t="s">
        <v>154</v>
      </c>
      <c r="B35" s="20" t="n">
        <f aca="false">Assumptions!$B$9</f>
        <v>-52</v>
      </c>
    </row>
    <row r="36" customFormat="false" ht="15" hidden="false" customHeight="false" outlineLevel="0" collapsed="false">
      <c r="A36" s="2" t="s">
        <v>155</v>
      </c>
      <c r="B36" s="19" t="n">
        <f aca="false">B34+B35</f>
        <v>958.683542997435</v>
      </c>
    </row>
    <row r="37" customFormat="false" ht="15" hidden="false" customHeight="false" outlineLevel="0" collapsed="false">
      <c r="A37" s="2" t="s">
        <v>96</v>
      </c>
      <c r="B37" s="25" t="n">
        <f aca="false">Assumptions!$B$10</f>
        <v>26.8</v>
      </c>
    </row>
    <row r="38" customFormat="false" ht="15" hidden="false" customHeight="false" outlineLevel="0" collapsed="false">
      <c r="A38" s="2" t="s">
        <v>156</v>
      </c>
      <c r="B38" s="26" t="n">
        <f aca="false">B36/B37</f>
        <v>35.7717739924416</v>
      </c>
    </row>
    <row r="39" customFormat="false" ht="15" hidden="false" customHeight="false" outlineLevel="0" collapsed="false">
      <c r="A39" s="2" t="s">
        <v>157</v>
      </c>
      <c r="B39" s="15" t="n">
        <f aca="false">B38/Assumptions!$B$11-1</f>
        <v>0.553943266396248</v>
      </c>
    </row>
    <row r="41" customFormat="false" ht="15" hidden="false" customHeight="false" outlineLevel="0" collapsed="false">
      <c r="A41" s="2" t="s">
        <v>158</v>
      </c>
      <c r="B41" s="19" t="n">
        <f aca="false">SUMPRODUCT(-C10:L10/(1+Assumptions!$B$5)^C4:L4)</f>
        <v>81.879724180685</v>
      </c>
    </row>
    <row r="42" customFormat="false" ht="15" hidden="false" customHeight="false" outlineLevel="0" collapsed="false">
      <c r="A42" s="2" t="s">
        <v>159</v>
      </c>
      <c r="B42" s="19" t="n">
        <f aca="false">(-L10*(1+B27)/(Assumptions!$B$5-B27))*L20</f>
        <v>98.6961959163239</v>
      </c>
    </row>
    <row r="43" customFormat="false" ht="15" hidden="false" customHeight="false" outlineLevel="0" collapsed="false">
      <c r="A43" s="2" t="s">
        <v>160</v>
      </c>
      <c r="B43" s="27" t="n">
        <f aca="false">(B36+B41+B42)/B37</f>
        <v>42.5096814587479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2" min="2" style="0" width="10.51"/>
  </cols>
  <sheetData>
    <row r="1" customFormat="false" ht="16.15" hidden="false" customHeight="false" outlineLevel="0" collapsed="false">
      <c r="A1" s="1" t="s">
        <v>162</v>
      </c>
    </row>
    <row r="2" customFormat="false" ht="15" hidden="false" customHeight="false" outlineLevel="0" collapsed="false">
      <c r="A2" s="5" t="s">
        <v>113</v>
      </c>
    </row>
    <row r="3" customFormat="false" ht="15" hidden="false" customHeight="false" outlineLevel="0" collapsed="false">
      <c r="B3" s="6" t="s">
        <v>114</v>
      </c>
      <c r="C3" s="6" t="s">
        <v>115</v>
      </c>
      <c r="D3" s="6" t="s">
        <v>116</v>
      </c>
      <c r="E3" s="6" t="s">
        <v>117</v>
      </c>
      <c r="F3" s="6" t="s">
        <v>118</v>
      </c>
      <c r="G3" s="6" t="s">
        <v>119</v>
      </c>
      <c r="H3" s="6" t="s">
        <v>120</v>
      </c>
      <c r="I3" s="6" t="s">
        <v>121</v>
      </c>
      <c r="J3" s="6" t="s">
        <v>122</v>
      </c>
      <c r="K3" s="6" t="s">
        <v>123</v>
      </c>
      <c r="L3" s="6" t="s">
        <v>124</v>
      </c>
    </row>
    <row r="4" customFormat="false" ht="15" hidden="false" customHeight="false" outlineLevel="0" collapsed="false">
      <c r="A4" s="17" t="s">
        <v>125</v>
      </c>
      <c r="B4" s="17" t="n">
        <v>0</v>
      </c>
      <c r="C4" s="17" t="n">
        <v>1</v>
      </c>
      <c r="D4" s="17" t="n">
        <v>2</v>
      </c>
      <c r="E4" s="17" t="n">
        <v>3</v>
      </c>
      <c r="F4" s="17" t="n">
        <v>4</v>
      </c>
      <c r="G4" s="17" t="n">
        <v>5</v>
      </c>
      <c r="H4" s="17" t="n">
        <v>6</v>
      </c>
      <c r="I4" s="17" t="n">
        <v>7</v>
      </c>
      <c r="J4" s="17" t="n">
        <v>8</v>
      </c>
      <c r="K4" s="17" t="n">
        <v>9</v>
      </c>
      <c r="L4" s="17" t="n">
        <v>10</v>
      </c>
    </row>
    <row r="5" customFormat="false" ht="15" hidden="false" customHeight="false" outlineLevel="0" collapsed="false">
      <c r="A5" s="2" t="s">
        <v>126</v>
      </c>
      <c r="C5" s="10" t="n">
        <v>0.14</v>
      </c>
      <c r="D5" s="10" t="n">
        <v>0.145</v>
      </c>
      <c r="E5" s="10" t="n">
        <v>0.145</v>
      </c>
      <c r="F5" s="10" t="n">
        <v>0.14</v>
      </c>
      <c r="G5" s="10" t="n">
        <v>0.13</v>
      </c>
      <c r="H5" s="10" t="n">
        <v>0.12</v>
      </c>
      <c r="I5" s="10" t="n">
        <v>0.11</v>
      </c>
      <c r="J5" s="10" t="n">
        <v>0.1</v>
      </c>
      <c r="K5" s="10" t="n">
        <v>0.09</v>
      </c>
      <c r="L5" s="10" t="n">
        <v>0.08</v>
      </c>
    </row>
    <row r="6" customFormat="false" ht="15" hidden="false" customHeight="false" outlineLevel="0" collapsed="false">
      <c r="A6" s="2" t="s">
        <v>127</v>
      </c>
      <c r="B6" s="18" t="n">
        <v>242.7</v>
      </c>
      <c r="C6" s="19" t="n">
        <f aca="false">B6*(1+C5)</f>
        <v>276.678</v>
      </c>
      <c r="D6" s="19" t="n">
        <f aca="false">C6*(1+D5)</f>
        <v>316.79631</v>
      </c>
      <c r="E6" s="19" t="n">
        <f aca="false">D6*(1+E5)</f>
        <v>362.73177495</v>
      </c>
      <c r="F6" s="19" t="n">
        <f aca="false">E6*(1+F5)</f>
        <v>413.514223443</v>
      </c>
      <c r="G6" s="19" t="n">
        <f aca="false">F6*(1+G5)</f>
        <v>467.27107249059</v>
      </c>
      <c r="H6" s="19" t="n">
        <f aca="false">G6*(1+H5)</f>
        <v>523.343601189461</v>
      </c>
      <c r="I6" s="19" t="n">
        <f aca="false">H6*(1+I5)</f>
        <v>580.911397320302</v>
      </c>
      <c r="J6" s="19" t="n">
        <f aca="false">I6*(1+J5)</f>
        <v>639.002537052332</v>
      </c>
      <c r="K6" s="19" t="n">
        <f aca="false">J6*(1+K5)</f>
        <v>696.512765387042</v>
      </c>
      <c r="L6" s="19" t="n">
        <f aca="false">K6*(1+L5)</f>
        <v>752.233786618005</v>
      </c>
    </row>
    <row r="7" customFormat="false" ht="15" hidden="false" customHeight="false" outlineLevel="0" collapsed="false">
      <c r="A7" s="2" t="s">
        <v>128</v>
      </c>
      <c r="B7" s="8" t="n">
        <v>0.18</v>
      </c>
      <c r="C7" s="10" t="n">
        <v>0.17</v>
      </c>
      <c r="D7" s="10" t="n">
        <v>0.23</v>
      </c>
      <c r="E7" s="10" t="n">
        <v>0.26</v>
      </c>
      <c r="F7" s="10" t="n">
        <v>0.28</v>
      </c>
      <c r="G7" s="10" t="n">
        <v>0.295</v>
      </c>
      <c r="H7" s="10" t="n">
        <v>0.3</v>
      </c>
      <c r="I7" s="10" t="n">
        <v>0.3</v>
      </c>
      <c r="J7" s="10" t="n">
        <v>0.3</v>
      </c>
      <c r="K7" s="10" t="n">
        <v>0.3</v>
      </c>
      <c r="L7" s="10" t="n">
        <v>0.3</v>
      </c>
    </row>
    <row r="8" customFormat="false" ht="15" hidden="false" customHeight="false" outlineLevel="0" collapsed="false">
      <c r="A8" s="2" t="s">
        <v>129</v>
      </c>
      <c r="C8" s="19" t="n">
        <f aca="false">C6*C7</f>
        <v>47.03526</v>
      </c>
      <c r="D8" s="19" t="n">
        <f aca="false">D6*D7</f>
        <v>72.8631513</v>
      </c>
      <c r="E8" s="19" t="n">
        <f aca="false">E6*E7</f>
        <v>94.310261487</v>
      </c>
      <c r="F8" s="19" t="n">
        <f aca="false">F6*F7</f>
        <v>115.78398256404</v>
      </c>
      <c r="G8" s="19" t="n">
        <f aca="false">G6*G7</f>
        <v>137.844966384724</v>
      </c>
      <c r="H8" s="19" t="n">
        <f aca="false">H6*H7</f>
        <v>157.003080356838</v>
      </c>
      <c r="I8" s="19" t="n">
        <f aca="false">I6*I7</f>
        <v>174.273419196091</v>
      </c>
      <c r="J8" s="19" t="n">
        <f aca="false">J6*J7</f>
        <v>191.7007611157</v>
      </c>
      <c r="K8" s="19" t="n">
        <f aca="false">K6*K7</f>
        <v>208.953829616113</v>
      </c>
      <c r="L8" s="19" t="n">
        <f aca="false">L6*L7</f>
        <v>225.670135985402</v>
      </c>
    </row>
    <row r="9" customFormat="false" ht="15" hidden="false" customHeight="false" outlineLevel="0" collapsed="false">
      <c r="A9" s="2" t="s">
        <v>130</v>
      </c>
      <c r="B9" s="8" t="n">
        <v>0.023</v>
      </c>
      <c r="C9" s="10" t="n">
        <v>0.03</v>
      </c>
      <c r="D9" s="10" t="n">
        <v>0.033</v>
      </c>
      <c r="E9" s="10" t="n">
        <v>0.035</v>
      </c>
      <c r="F9" s="10" t="n">
        <v>0.035</v>
      </c>
      <c r="G9" s="10" t="n">
        <v>0.035</v>
      </c>
      <c r="H9" s="10" t="n">
        <v>0.033</v>
      </c>
      <c r="I9" s="10" t="n">
        <v>0.032</v>
      </c>
      <c r="J9" s="10" t="n">
        <v>0.03</v>
      </c>
      <c r="K9" s="10" t="n">
        <v>0.03</v>
      </c>
      <c r="L9" s="10" t="n">
        <v>0.03</v>
      </c>
    </row>
    <row r="10" customFormat="false" ht="15" hidden="false" customHeight="false" outlineLevel="0" collapsed="false">
      <c r="A10" s="2" t="s">
        <v>131</v>
      </c>
      <c r="C10" s="19" t="n">
        <f aca="false">-C6*C9</f>
        <v>-8.30034</v>
      </c>
      <c r="D10" s="19" t="n">
        <f aca="false">-D6*D9</f>
        <v>-10.45427823</v>
      </c>
      <c r="E10" s="19" t="n">
        <f aca="false">-E6*E9</f>
        <v>-12.69561212325</v>
      </c>
      <c r="F10" s="19" t="n">
        <f aca="false">-F6*F9</f>
        <v>-14.472997820505</v>
      </c>
      <c r="G10" s="19" t="n">
        <f aca="false">-G6*G9</f>
        <v>-16.3544875371707</v>
      </c>
      <c r="H10" s="19" t="n">
        <f aca="false">-H6*H9</f>
        <v>-17.2703388392522</v>
      </c>
      <c r="I10" s="19" t="n">
        <f aca="false">-I6*I9</f>
        <v>-18.5891647142497</v>
      </c>
      <c r="J10" s="19" t="n">
        <f aca="false">-J6*J9</f>
        <v>-19.17007611157</v>
      </c>
      <c r="K10" s="19" t="n">
        <f aca="false">-K6*K9</f>
        <v>-20.8953829616113</v>
      </c>
      <c r="L10" s="19" t="n">
        <f aca="false">-L6*L9</f>
        <v>-22.5670135985402</v>
      </c>
    </row>
    <row r="11" customFormat="false" ht="15" hidden="false" customHeight="false" outlineLevel="0" collapsed="false">
      <c r="A11" s="2" t="s">
        <v>132</v>
      </c>
      <c r="C11" s="19" t="n">
        <f aca="false">C8+C10</f>
        <v>38.73492</v>
      </c>
      <c r="D11" s="19" t="n">
        <f aca="false">D8+D10</f>
        <v>62.40887307</v>
      </c>
      <c r="E11" s="19" t="n">
        <f aca="false">E8+E10</f>
        <v>81.61464936375</v>
      </c>
      <c r="F11" s="19" t="n">
        <f aca="false">F8+F10</f>
        <v>101.310984743535</v>
      </c>
      <c r="G11" s="19" t="n">
        <f aca="false">G8+G10</f>
        <v>121.490478847553</v>
      </c>
      <c r="H11" s="19" t="n">
        <f aca="false">H8+H10</f>
        <v>139.732741517586</v>
      </c>
      <c r="I11" s="19" t="n">
        <f aca="false">I8+I10</f>
        <v>155.684254481841</v>
      </c>
      <c r="J11" s="19" t="n">
        <f aca="false">J8+J10</f>
        <v>172.53068500413</v>
      </c>
      <c r="K11" s="19" t="n">
        <f aca="false">K8+K10</f>
        <v>188.058446654501</v>
      </c>
      <c r="L11" s="19" t="n">
        <f aca="false">L8+L10</f>
        <v>203.103122386861</v>
      </c>
    </row>
    <row r="12" customFormat="false" ht="15" hidden="false" customHeight="false" outlineLevel="0" collapsed="false">
      <c r="A12" s="2" t="s">
        <v>133</v>
      </c>
      <c r="C12" s="20" t="n">
        <f aca="false">-C6*Assumptions!$B$6</f>
        <v>-2.213424</v>
      </c>
      <c r="D12" s="20" t="n">
        <f aca="false">-D6*Assumptions!$B$6</f>
        <v>-2.53437048</v>
      </c>
      <c r="E12" s="20" t="n">
        <f aca="false">-E6*Assumptions!$B$6</f>
        <v>-2.9018541996</v>
      </c>
      <c r="F12" s="20" t="n">
        <f aca="false">-F6*Assumptions!$B$6</f>
        <v>-3.308113787544</v>
      </c>
      <c r="G12" s="20" t="n">
        <f aca="false">-G6*Assumptions!$B$6</f>
        <v>-3.73816857992472</v>
      </c>
      <c r="H12" s="20" t="n">
        <f aca="false">-H6*Assumptions!$B$6</f>
        <v>-4.18674880951569</v>
      </c>
      <c r="I12" s="20" t="n">
        <f aca="false">-I6*Assumptions!$B$6</f>
        <v>-4.64729117856241</v>
      </c>
      <c r="J12" s="20" t="n">
        <f aca="false">-J6*Assumptions!$B$6</f>
        <v>-5.11202029641866</v>
      </c>
      <c r="K12" s="20" t="n">
        <f aca="false">-K6*Assumptions!$B$6</f>
        <v>-5.57210212309633</v>
      </c>
      <c r="L12" s="20" t="n">
        <f aca="false">-L6*Assumptions!$B$6</f>
        <v>-6.01787029294404</v>
      </c>
    </row>
    <row r="13" customFormat="false" ht="15" hidden="false" customHeight="false" outlineLevel="0" collapsed="false">
      <c r="A13" s="2" t="s">
        <v>134</v>
      </c>
      <c r="C13" s="19" t="n">
        <f aca="false">C11+C12</f>
        <v>36.521496</v>
      </c>
      <c r="D13" s="19" t="n">
        <f aca="false">D11+D12</f>
        <v>59.87450259</v>
      </c>
      <c r="E13" s="19" t="n">
        <f aca="false">E11+E12</f>
        <v>78.71279516415</v>
      </c>
      <c r="F13" s="19" t="n">
        <f aca="false">F11+F12</f>
        <v>98.002870955991</v>
      </c>
      <c r="G13" s="19" t="n">
        <f aca="false">G11+G12</f>
        <v>117.752310267629</v>
      </c>
      <c r="H13" s="19" t="n">
        <f aca="false">H11+H12</f>
        <v>135.54599270807</v>
      </c>
      <c r="I13" s="19" t="n">
        <f aca="false">I11+I12</f>
        <v>151.036963303278</v>
      </c>
      <c r="J13" s="19" t="n">
        <f aca="false">J11+J12</f>
        <v>167.418664707711</v>
      </c>
      <c r="K13" s="19" t="n">
        <f aca="false">K11+K12</f>
        <v>182.486344531405</v>
      </c>
      <c r="L13" s="19" t="n">
        <f aca="false">L11+L12</f>
        <v>197.085252093917</v>
      </c>
    </row>
    <row r="14" customFormat="false" ht="15" hidden="false" customHeight="false" outlineLevel="0" collapsed="false">
      <c r="A14" s="2" t="s">
        <v>135</v>
      </c>
      <c r="C14" s="10" t="n">
        <v>0.1</v>
      </c>
      <c r="D14" s="10" t="n">
        <v>0.14</v>
      </c>
      <c r="E14" s="10" t="n">
        <v>0.18</v>
      </c>
      <c r="F14" s="10" t="n">
        <v>0.21</v>
      </c>
      <c r="G14" s="10" t="n">
        <v>0.21</v>
      </c>
      <c r="H14" s="10" t="n">
        <v>0.21</v>
      </c>
      <c r="I14" s="10" t="n">
        <v>0.21</v>
      </c>
      <c r="J14" s="10" t="n">
        <v>0.21</v>
      </c>
      <c r="K14" s="10" t="n">
        <v>0.21</v>
      </c>
      <c r="L14" s="10" t="n">
        <v>0.21</v>
      </c>
    </row>
    <row r="15" customFormat="false" ht="15" hidden="false" customHeight="false" outlineLevel="0" collapsed="false">
      <c r="A15" s="2" t="s">
        <v>136</v>
      </c>
      <c r="C15" s="19" t="n">
        <f aca="false">C13*(1-C14)</f>
        <v>32.8693464</v>
      </c>
      <c r="D15" s="19" t="n">
        <f aca="false">D13*(1-D14)</f>
        <v>51.4920722274</v>
      </c>
      <c r="E15" s="19" t="n">
        <f aca="false">E13*(1-E14)</f>
        <v>64.544492034603</v>
      </c>
      <c r="F15" s="19" t="n">
        <f aca="false">F13*(1-F14)</f>
        <v>77.4222680552329</v>
      </c>
      <c r="G15" s="19" t="n">
        <f aca="false">G13*(1-G14)</f>
        <v>93.0243251114267</v>
      </c>
      <c r="H15" s="19" t="n">
        <f aca="false">H13*(1-H14)</f>
        <v>107.081334239376</v>
      </c>
      <c r="I15" s="19" t="n">
        <f aca="false">I13*(1-I14)</f>
        <v>119.31920100959</v>
      </c>
      <c r="J15" s="19" t="n">
        <f aca="false">J13*(1-J14)</f>
        <v>132.260745119092</v>
      </c>
      <c r="K15" s="19" t="n">
        <f aca="false">K13*(1-K14)</f>
        <v>144.16421217981</v>
      </c>
      <c r="L15" s="19" t="n">
        <f aca="false">L13*(1-L14)</f>
        <v>155.697349154195</v>
      </c>
    </row>
    <row r="16" customFormat="false" ht="15" hidden="false" customHeight="false" outlineLevel="0" collapsed="false">
      <c r="A16" s="2" t="s">
        <v>137</v>
      </c>
      <c r="C16" s="19" t="n">
        <f aca="false">-C12</f>
        <v>2.213424</v>
      </c>
      <c r="D16" s="19" t="n">
        <f aca="false">-D12</f>
        <v>2.53437048</v>
      </c>
      <c r="E16" s="19" t="n">
        <f aca="false">-E12</f>
        <v>2.9018541996</v>
      </c>
      <c r="F16" s="19" t="n">
        <f aca="false">-F12</f>
        <v>3.308113787544</v>
      </c>
      <c r="G16" s="19" t="n">
        <f aca="false">-G12</f>
        <v>3.73816857992472</v>
      </c>
      <c r="H16" s="19" t="n">
        <f aca="false">-H12</f>
        <v>4.18674880951569</v>
      </c>
      <c r="I16" s="19" t="n">
        <f aca="false">-I12</f>
        <v>4.64729117856241</v>
      </c>
      <c r="J16" s="19" t="n">
        <f aca="false">-J12</f>
        <v>5.11202029641866</v>
      </c>
      <c r="K16" s="19" t="n">
        <f aca="false">-K12</f>
        <v>5.57210212309633</v>
      </c>
      <c r="L16" s="19" t="n">
        <f aca="false">-L12</f>
        <v>6.01787029294404</v>
      </c>
    </row>
    <row r="17" customFormat="false" ht="15" hidden="false" customHeight="false" outlineLevel="0" collapsed="false">
      <c r="A17" s="2" t="s">
        <v>138</v>
      </c>
      <c r="C17" s="20" t="n">
        <f aca="false">-C6*Assumptions!$B$7</f>
        <v>-1.38339</v>
      </c>
      <c r="D17" s="20" t="n">
        <f aca="false">-D6*Assumptions!$B$7</f>
        <v>-1.58398155</v>
      </c>
      <c r="E17" s="20" t="n">
        <f aca="false">-E6*Assumptions!$B$7</f>
        <v>-1.81365887475</v>
      </c>
      <c r="F17" s="20" t="n">
        <f aca="false">-F6*Assumptions!$B$7</f>
        <v>-2.067571117215</v>
      </c>
      <c r="G17" s="20" t="n">
        <f aca="false">-G6*Assumptions!$B$7</f>
        <v>-2.33635536245295</v>
      </c>
      <c r="H17" s="20" t="n">
        <f aca="false">-H6*Assumptions!$B$7</f>
        <v>-2.6167180059473</v>
      </c>
      <c r="I17" s="20" t="n">
        <f aca="false">-I6*Assumptions!$B$7</f>
        <v>-2.90455698660151</v>
      </c>
      <c r="J17" s="20" t="n">
        <f aca="false">-J6*Assumptions!$B$7</f>
        <v>-3.19501268526166</v>
      </c>
      <c r="K17" s="20" t="n">
        <f aca="false">-K6*Assumptions!$B$7</f>
        <v>-3.48256382693521</v>
      </c>
      <c r="L17" s="20" t="n">
        <f aca="false">-L6*Assumptions!$B$7</f>
        <v>-3.76116893309003</v>
      </c>
    </row>
    <row r="18" customFormat="false" ht="15" hidden="false" customHeight="false" outlineLevel="0" collapsed="false">
      <c r="A18" s="2" t="s">
        <v>139</v>
      </c>
      <c r="C18" s="20" t="n">
        <f aca="false">Assumptions!$B$8*(C6-B6)</f>
        <v>6.7956</v>
      </c>
      <c r="D18" s="20" t="n">
        <f aca="false">Assumptions!$B$8*(D6-C6)</f>
        <v>8.023662</v>
      </c>
      <c r="E18" s="20" t="n">
        <f aca="false">Assumptions!$B$8*(E6-D6)</f>
        <v>9.18709299</v>
      </c>
      <c r="F18" s="20" t="n">
        <f aca="false">Assumptions!$B$8*(F6-E6)</f>
        <v>10.1564896986</v>
      </c>
      <c r="G18" s="20" t="n">
        <f aca="false">Assumptions!$B$8*(G6-F6)</f>
        <v>10.751369809518</v>
      </c>
      <c r="H18" s="20" t="n">
        <f aca="false">Assumptions!$B$8*(H6-G6)</f>
        <v>11.2145057397742</v>
      </c>
      <c r="I18" s="20" t="n">
        <f aca="false">Assumptions!$B$8*(I6-H6)</f>
        <v>11.5135592261682</v>
      </c>
      <c r="J18" s="20" t="n">
        <f aca="false">Assumptions!$B$8*(J6-I6)</f>
        <v>11.618227946406</v>
      </c>
      <c r="K18" s="20" t="n">
        <f aca="false">Assumptions!$B$8*(K6-J6)</f>
        <v>11.502045666942</v>
      </c>
      <c r="L18" s="20" t="n">
        <f aca="false">Assumptions!$B$8*(L6-K6)</f>
        <v>11.1442042461927</v>
      </c>
    </row>
    <row r="19" customFormat="false" ht="15" hidden="false" customHeight="false" outlineLevel="0" collapsed="false">
      <c r="A19" s="2" t="s">
        <v>140</v>
      </c>
      <c r="C19" s="21" t="n">
        <f aca="false">C15+C16+C17+C18</f>
        <v>40.4949804</v>
      </c>
      <c r="D19" s="21" t="n">
        <f aca="false">D15+D16+D17+D18</f>
        <v>60.4661231574</v>
      </c>
      <c r="E19" s="21" t="n">
        <f aca="false">E15+E16+E17+E18</f>
        <v>74.819780349453</v>
      </c>
      <c r="F19" s="21" t="n">
        <f aca="false">F15+F16+F17+F18</f>
        <v>88.8193004241619</v>
      </c>
      <c r="G19" s="21" t="n">
        <f aca="false">G15+G16+G17+G18</f>
        <v>105.177508138416</v>
      </c>
      <c r="H19" s="21" t="n">
        <f aca="false">H15+H16+H17+H18</f>
        <v>119.865870782718</v>
      </c>
      <c r="I19" s="21" t="n">
        <f aca="false">I15+I16+I17+I18</f>
        <v>132.575494427719</v>
      </c>
      <c r="J19" s="21" t="n">
        <f aca="false">J15+J16+J17+J18</f>
        <v>145.795980676655</v>
      </c>
      <c r="K19" s="21" t="n">
        <f aca="false">K15+K16+K17+K18</f>
        <v>157.755796142913</v>
      </c>
      <c r="L19" s="21" t="n">
        <f aca="false">L15+L16+L17+L18</f>
        <v>169.098254760241</v>
      </c>
    </row>
    <row r="20" customFormat="false" ht="15" hidden="false" customHeight="false" outlineLevel="0" collapsed="false">
      <c r="A20" s="2" t="s">
        <v>141</v>
      </c>
      <c r="C20" s="22" t="n">
        <f aca="false">1/(1+Assumptions!$B$5)^C4</f>
        <v>0.904977375565611</v>
      </c>
      <c r="D20" s="22" t="n">
        <f aca="false">1/(1+Assumptions!$B$5)^D4</f>
        <v>0.818984050285621</v>
      </c>
      <c r="E20" s="22" t="n">
        <f aca="false">1/(1+Assumptions!$B$5)^E4</f>
        <v>0.741162036457575</v>
      </c>
      <c r="F20" s="22" t="n">
        <f aca="false">1/(1+Assumptions!$B$5)^F4</f>
        <v>0.67073487462224</v>
      </c>
      <c r="G20" s="22" t="n">
        <f aca="false">1/(1+Assumptions!$B$5)^G4</f>
        <v>0.606999886535964</v>
      </c>
      <c r="H20" s="22" t="n">
        <f aca="false">1/(1+Assumptions!$B$5)^H4</f>
        <v>0.54932116428594</v>
      </c>
      <c r="I20" s="22" t="n">
        <f aca="false">1/(1+Assumptions!$B$5)^I4</f>
        <v>0.497123225598136</v>
      </c>
      <c r="J20" s="22" t="n">
        <f aca="false">1/(1+Assumptions!$B$5)^J4</f>
        <v>0.449885272034512</v>
      </c>
      <c r="K20" s="22" t="n">
        <f aca="false">1/(1+Assumptions!$B$5)^K4</f>
        <v>0.407135992791414</v>
      </c>
      <c r="L20" s="22" t="n">
        <f aca="false">1/(1+Assumptions!$B$5)^L4</f>
        <v>0.368448862254673</v>
      </c>
    </row>
    <row r="21" customFormat="false" ht="15" hidden="false" customHeight="false" outlineLevel="0" collapsed="false">
      <c r="A21" s="2" t="s">
        <v>142</v>
      </c>
      <c r="C21" s="19" t="n">
        <f aca="false">C19*C20</f>
        <v>36.6470410859729</v>
      </c>
      <c r="D21" s="19" t="n">
        <f aca="false">D19*D20</f>
        <v>49.5207904485166</v>
      </c>
      <c r="E21" s="19" t="n">
        <f aca="false">E19*E20</f>
        <v>55.4535807711091</v>
      </c>
      <c r="F21" s="19" t="n">
        <f aca="false">F19*F20</f>
        <v>59.5742023340353</v>
      </c>
      <c r="G21" s="19" t="n">
        <f aca="false">G19*G20</f>
        <v>63.8427355061542</v>
      </c>
      <c r="H21" s="19" t="n">
        <f aca="false">H19*H20</f>
        <v>65.8448596965108</v>
      </c>
      <c r="I21" s="19" t="n">
        <f aca="false">I19*I20</f>
        <v>65.9063574251754</v>
      </c>
      <c r="J21" s="19" t="n">
        <f aca="false">J19*J20</f>
        <v>65.5914644282553</v>
      </c>
      <c r="K21" s="19" t="n">
        <f aca="false">K19*K20</f>
        <v>64.2280626812448</v>
      </c>
      <c r="L21" s="19" t="n">
        <f aca="false">L19*L20</f>
        <v>62.3040595756618</v>
      </c>
    </row>
    <row r="23" customFormat="false" ht="15" hidden="false" customHeight="false" outlineLevel="0" collapsed="false">
      <c r="A23" s="2" t="s">
        <v>143</v>
      </c>
      <c r="C23" s="19" t="n">
        <f aca="false">C19-C10</f>
        <v>48.7953204</v>
      </c>
      <c r="D23" s="19" t="n">
        <f aca="false">D19-D10</f>
        <v>70.9204013874</v>
      </c>
      <c r="E23" s="19" t="n">
        <f aca="false">E19-E10</f>
        <v>87.515392472703</v>
      </c>
      <c r="F23" s="19" t="n">
        <f aca="false">F19-F10</f>
        <v>103.292298244667</v>
      </c>
      <c r="G23" s="19" t="n">
        <f aca="false">G19-G10</f>
        <v>121.531995675587</v>
      </c>
      <c r="H23" s="19" t="n">
        <f aca="false">H19-H10</f>
        <v>137.13620962197</v>
      </c>
      <c r="I23" s="19" t="n">
        <f aca="false">I19-I10</f>
        <v>151.164659141969</v>
      </c>
      <c r="J23" s="19" t="n">
        <f aca="false">J19-J10</f>
        <v>164.966056788225</v>
      </c>
      <c r="K23" s="19" t="n">
        <f aca="false">K19-K10</f>
        <v>178.651179104524</v>
      </c>
      <c r="L23" s="19" t="n">
        <f aca="false">L19-L10</f>
        <v>191.665268358782</v>
      </c>
    </row>
    <row r="24" customFormat="false" ht="15" hidden="false" customHeight="false" outlineLevel="0" collapsed="false">
      <c r="A24" s="2" t="s">
        <v>144</v>
      </c>
      <c r="C24" s="15" t="n">
        <f aca="false">C19/C6</f>
        <v>0.146361403508772</v>
      </c>
      <c r="D24" s="15" t="n">
        <f aca="false">D19/D6</f>
        <v>0.190867510917031</v>
      </c>
      <c r="E24" s="15" t="n">
        <f aca="false">E19/E6</f>
        <v>0.206267510917031</v>
      </c>
      <c r="F24" s="15" t="n">
        <f aca="false">F19/F6</f>
        <v>0.214791403508772</v>
      </c>
      <c r="G24" s="15" t="n">
        <f aca="false">G19/G6</f>
        <v>0.225088849557522</v>
      </c>
      <c r="H24" s="15" t="n">
        <f aca="false">H19/H6</f>
        <v>0.229038571428571</v>
      </c>
      <c r="I24" s="15" t="n">
        <f aca="false">I19/I6</f>
        <v>0.22821981981982</v>
      </c>
      <c r="J24" s="15" t="n">
        <f aca="false">J19/J6</f>
        <v>0.228161818181818</v>
      </c>
      <c r="K24" s="15" t="n">
        <f aca="false">K19/K6</f>
        <v>0.22649376146789</v>
      </c>
      <c r="L24" s="15" t="n">
        <f aca="false">L19/L6</f>
        <v>0.224794814814815</v>
      </c>
    </row>
    <row r="25" customFormat="false" ht="15" hidden="false" customHeight="false" outlineLevel="0" collapsed="false">
      <c r="A25" s="4" t="s">
        <v>145</v>
      </c>
    </row>
    <row r="26" customFormat="false" ht="15" hidden="false" customHeight="false" outlineLevel="0" collapsed="false">
      <c r="A26" s="2" t="s">
        <v>146</v>
      </c>
      <c r="B26" s="19" t="n">
        <f aca="false">SUM(C21:L21)</f>
        <v>588.913153952636</v>
      </c>
    </row>
    <row r="27" customFormat="false" ht="15" hidden="false" customHeight="false" outlineLevel="0" collapsed="false">
      <c r="A27" s="2" t="s">
        <v>105</v>
      </c>
      <c r="B27" s="23" t="n">
        <f aca="false">Assumptions!$E$15</f>
        <v>0.035</v>
      </c>
    </row>
    <row r="28" customFormat="false" ht="15" hidden="false" customHeight="false" outlineLevel="0" collapsed="false">
      <c r="A28" s="2" t="s">
        <v>147</v>
      </c>
      <c r="B28" s="19" t="n">
        <f aca="false">L19*(1+B27)</f>
        <v>175.01669367685</v>
      </c>
    </row>
    <row r="29" customFormat="false" ht="15" hidden="false" customHeight="false" outlineLevel="0" collapsed="false">
      <c r="A29" s="2" t="s">
        <v>148</v>
      </c>
      <c r="B29" s="19" t="n">
        <f aca="false">B28/(Assumptions!$B$5-B27)</f>
        <v>2500.23848109786</v>
      </c>
    </row>
    <row r="30" customFormat="false" ht="15" hidden="false" customHeight="false" outlineLevel="0" collapsed="false">
      <c r="A30" s="2" t="s">
        <v>149</v>
      </c>
      <c r="B30" s="20" t="n">
        <f aca="false">Assumptions!$B$12*L19</f>
        <v>3381.96509520483</v>
      </c>
    </row>
    <row r="31" customFormat="false" ht="15" hidden="false" customHeight="false" outlineLevel="0" collapsed="false">
      <c r="A31" s="2" t="s">
        <v>150</v>
      </c>
      <c r="B31" s="19" t="n">
        <f aca="false">MAX(0,MIN(B29,B30))</f>
        <v>2500.23848109786</v>
      </c>
    </row>
    <row r="32" customFormat="false" ht="15" hidden="false" customHeight="false" outlineLevel="0" collapsed="false">
      <c r="A32" s="2" t="s">
        <v>151</v>
      </c>
      <c r="B32" s="24" t="n">
        <f aca="false">B31/L19</f>
        <v>14.7857142857143</v>
      </c>
    </row>
    <row r="33" customFormat="false" ht="15" hidden="false" customHeight="false" outlineLevel="0" collapsed="false">
      <c r="A33" s="2" t="s">
        <v>152</v>
      </c>
      <c r="B33" s="19" t="n">
        <f aca="false">B31*L20</f>
        <v>921.210023725857</v>
      </c>
    </row>
    <row r="34" customFormat="false" ht="15" hidden="false" customHeight="false" outlineLevel="0" collapsed="false">
      <c r="A34" s="2" t="s">
        <v>153</v>
      </c>
      <c r="B34" s="19" t="n">
        <f aca="false">B26+B33</f>
        <v>1510.12317767849</v>
      </c>
    </row>
    <row r="35" customFormat="false" ht="15" hidden="false" customHeight="false" outlineLevel="0" collapsed="false">
      <c r="A35" s="2" t="s">
        <v>154</v>
      </c>
      <c r="B35" s="20" t="n">
        <f aca="false">Assumptions!$B$9</f>
        <v>-52</v>
      </c>
    </row>
    <row r="36" customFormat="false" ht="15" hidden="false" customHeight="false" outlineLevel="0" collapsed="false">
      <c r="A36" s="2" t="s">
        <v>155</v>
      </c>
      <c r="B36" s="19" t="n">
        <f aca="false">B34+B35</f>
        <v>1458.12317767849</v>
      </c>
    </row>
    <row r="37" customFormat="false" ht="15" hidden="false" customHeight="false" outlineLevel="0" collapsed="false">
      <c r="A37" s="2" t="s">
        <v>96</v>
      </c>
      <c r="B37" s="25" t="n">
        <f aca="false">Assumptions!$B$10</f>
        <v>26.8</v>
      </c>
    </row>
    <row r="38" customFormat="false" ht="15" hidden="false" customHeight="false" outlineLevel="0" collapsed="false">
      <c r="A38" s="2" t="s">
        <v>156</v>
      </c>
      <c r="B38" s="26" t="n">
        <f aca="false">B36/B37</f>
        <v>54.4075812566602</v>
      </c>
    </row>
    <row r="39" customFormat="false" ht="15" hidden="false" customHeight="false" outlineLevel="0" collapsed="false">
      <c r="A39" s="2" t="s">
        <v>157</v>
      </c>
      <c r="B39" s="15" t="n">
        <f aca="false">B38/Assumptions!$B$11-1</f>
        <v>1.36349180089749</v>
      </c>
    </row>
    <row r="41" customFormat="false" ht="15" hidden="false" customHeight="false" outlineLevel="0" collapsed="false">
      <c r="A41" s="2" t="s">
        <v>158</v>
      </c>
      <c r="B41" s="19" t="n">
        <f aca="false">SUMPRODUCT(-C10:L10/(1+Assumptions!$B$5)^C4:L4)</f>
        <v>89.2921852712145</v>
      </c>
    </row>
    <row r="42" customFormat="false" ht="15" hidden="false" customHeight="false" outlineLevel="0" collapsed="false">
      <c r="A42" s="2" t="s">
        <v>159</v>
      </c>
      <c r="B42" s="19" t="n">
        <f aca="false">(-L10*(1+B27)/(Assumptions!$B$5-B27))*L20</f>
        <v>122.940116454832</v>
      </c>
    </row>
    <row r="43" customFormat="false" ht="15" hidden="false" customHeight="false" outlineLevel="0" collapsed="false">
      <c r="A43" s="2" t="s">
        <v>160</v>
      </c>
      <c r="B43" s="27" t="n">
        <f aca="false">(B36+B41+B42)/B37</f>
        <v>62.3266969927067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3"/>
    <col collapsed="false" customWidth="true" hidden="false" outlineLevel="0" max="7" min="7" style="0" width="40"/>
  </cols>
  <sheetData>
    <row r="1" customFormat="false" ht="16.15" hidden="false" customHeight="false" outlineLevel="0" collapsed="false">
      <c r="A1" s="1" t="s">
        <v>163</v>
      </c>
    </row>
    <row r="2" customFormat="false" ht="15" hidden="false" customHeight="false" outlineLevel="0" collapsed="false">
      <c r="A2" s="5" t="s">
        <v>164</v>
      </c>
    </row>
    <row r="4" customFormat="false" ht="15" hidden="false" customHeight="false" outlineLevel="0" collapsed="false">
      <c r="B4" s="6" t="s">
        <v>102</v>
      </c>
      <c r="C4" s="6" t="s">
        <v>103</v>
      </c>
      <c r="D4" s="6" t="s">
        <v>104</v>
      </c>
    </row>
    <row r="5" customFormat="false" ht="15" hidden="false" customHeight="false" outlineLevel="0" collapsed="false">
      <c r="A5" s="2" t="s">
        <v>156</v>
      </c>
      <c r="B5" s="28" t="n">
        <f aca="false">DCF_Bear!$B$38</f>
        <v>14.2746378490598</v>
      </c>
      <c r="C5" s="28" t="n">
        <f aca="false">DCF_Base!$B$38</f>
        <v>35.7717739924416</v>
      </c>
      <c r="D5" s="28" t="n">
        <f aca="false">DCF_Bull!$B$38</f>
        <v>54.4075812566602</v>
      </c>
    </row>
    <row r="6" customFormat="false" ht="15" hidden="false" customHeight="false" outlineLevel="0" collapsed="false">
      <c r="A6" s="2" t="s">
        <v>165</v>
      </c>
      <c r="B6" s="15" t="n">
        <f aca="false">B5/Assumptions!$B$11-1</f>
        <v>-0.379902786748052</v>
      </c>
      <c r="C6" s="15" t="n">
        <f aca="false">C5/Assumptions!$B$11-1</f>
        <v>0.553943266396248</v>
      </c>
      <c r="D6" s="15" t="n">
        <f aca="false">D5/Assumptions!$B$11-1</f>
        <v>1.36349180089749</v>
      </c>
    </row>
    <row r="7" customFormat="false" ht="15" hidden="false" customHeight="false" outlineLevel="0" collapsed="false">
      <c r="A7" s="2" t="s">
        <v>166</v>
      </c>
      <c r="B7" s="23" t="n">
        <f aca="false">Assumptions!$C$16</f>
        <v>0.15</v>
      </c>
      <c r="C7" s="23" t="n">
        <f aca="false">Assumptions!$D$16</f>
        <v>0.5</v>
      </c>
      <c r="D7" s="23" t="n">
        <f aca="false">Assumptions!$E$16</f>
        <v>0.35</v>
      </c>
    </row>
    <row r="8" customFormat="false" ht="15" hidden="false" customHeight="false" outlineLevel="0" collapsed="false">
      <c r="A8" s="2" t="s">
        <v>167</v>
      </c>
      <c r="B8" s="28" t="n">
        <f aca="false">DCF_Bear!$B$43</f>
        <v>19.2435281514622</v>
      </c>
      <c r="C8" s="28" t="n">
        <f aca="false">DCF_Base!$B$43</f>
        <v>42.5096814587479</v>
      </c>
      <c r="D8" s="28" t="n">
        <f aca="false">DCF_Bull!$B$43</f>
        <v>62.3266969927067</v>
      </c>
    </row>
    <row r="10" customFormat="false" ht="15" hidden="false" customHeight="false" outlineLevel="0" collapsed="false">
      <c r="A10" s="2" t="s">
        <v>168</v>
      </c>
      <c r="B10" s="26" t="n">
        <f aca="false">SUMPRODUCT(B5:D5,B7:D7)</f>
        <v>39.0697361134108</v>
      </c>
    </row>
    <row r="11" customFormat="false" ht="15" hidden="false" customHeight="false" outlineLevel="0" collapsed="false">
      <c r="A11" s="2" t="s">
        <v>169</v>
      </c>
      <c r="B11" s="28" t="n">
        <f aca="false">Assumptions!$B$11</f>
        <v>23.02</v>
      </c>
    </row>
    <row r="12" customFormat="false" ht="15" hidden="false" customHeight="false" outlineLevel="0" collapsed="false">
      <c r="A12" s="2" t="s">
        <v>170</v>
      </c>
      <c r="B12" s="15" t="n">
        <f aca="false">1-B11/B10</f>
        <v>0.410797146589933</v>
      </c>
    </row>
    <row r="13" customFormat="false" ht="15" hidden="false" customHeight="false" outlineLevel="0" collapsed="false">
      <c r="A13" s="2" t="s">
        <v>171</v>
      </c>
      <c r="B13" s="27" t="n">
        <f aca="false">SUMPRODUCT(B8:D8,B7:D7)</f>
        <v>45.9557138995406</v>
      </c>
    </row>
    <row r="14" customFormat="false" ht="15" hidden="false" customHeight="false" outlineLevel="0" collapsed="false">
      <c r="A14" s="2" t="s">
        <v>172</v>
      </c>
      <c r="B14" s="15" t="n">
        <f aca="false">IF(ABS(B13-B10)&lt;0.005,"n/a - SBC=0 so house=street",(Assumptions!$B$11-B10)/(B13-B10))</f>
        <v>-2.33078534550886</v>
      </c>
    </row>
    <row r="17" customFormat="false" ht="15" hidden="false" customHeight="false" outlineLevel="0" collapsed="false">
      <c r="A17" s="4" t="s">
        <v>173</v>
      </c>
    </row>
    <row r="18" customFormat="false" ht="15" hidden="false" customHeight="false" outlineLevel="0" collapsed="false">
      <c r="A18" s="6" t="s">
        <v>174</v>
      </c>
      <c r="B18" s="6" t="s">
        <v>175</v>
      </c>
    </row>
    <row r="19" customFormat="false" ht="15" hidden="false" customHeight="false" outlineLevel="0" collapsed="false">
      <c r="A19" s="8" t="n">
        <v>0.09</v>
      </c>
      <c r="B19" s="27" t="n">
        <f aca="false">(SUMPRODUCT(DCF_Base!$C$19:$L$19/(1+$A19)^DCF_Base!$C$4:$L$4)+MAX(0,MIN(DCF_Base!$L$19*(1+Assumptions!$D$15)/($A19-Assumptions!$D$15),Assumptions!$B$12*DCF_Base!$L$19))/(1+$A19)^10+Assumptions!$B$9)/Assumptions!$B$10</f>
        <v>46.2355126388375</v>
      </c>
    </row>
    <row r="20" customFormat="false" ht="15" hidden="false" customHeight="false" outlineLevel="0" collapsed="false">
      <c r="A20" s="8" t="n">
        <v>0.1</v>
      </c>
      <c r="B20" s="27" t="n">
        <f aca="false">(SUMPRODUCT(DCF_Base!$C$19:$L$19/(1+$A20)^DCF_Base!$C$4:$L$4)+MAX(0,MIN(DCF_Base!$L$19*(1+Assumptions!$D$15)/($A20-Assumptions!$D$15),Assumptions!$B$12*DCF_Base!$L$19))/(1+$A20)^10+Assumptions!$B$9)/Assumptions!$B$10</f>
        <v>38.7536056766428</v>
      </c>
    </row>
    <row r="21" customFormat="false" ht="15" hidden="false" customHeight="false" outlineLevel="0" collapsed="false">
      <c r="A21" s="8" t="n">
        <v>0.105</v>
      </c>
      <c r="B21" s="27" t="n">
        <f aca="false">(SUMPRODUCT(DCF_Base!$C$19:$L$19/(1+$A21)^DCF_Base!$C$4:$L$4)+MAX(0,MIN(DCF_Base!$L$19*(1+Assumptions!$D$15)/($A21-Assumptions!$D$15),Assumptions!$B$12*DCF_Base!$L$19))/(1+$A21)^10+Assumptions!$B$9)/Assumptions!$B$10</f>
        <v>35.7717739924416</v>
      </c>
    </row>
    <row r="22" customFormat="false" ht="15" hidden="false" customHeight="false" outlineLevel="0" collapsed="false">
      <c r="A22" s="8" t="n">
        <v>0.11</v>
      </c>
      <c r="B22" s="27" t="n">
        <f aca="false">(SUMPRODUCT(DCF_Base!$C$19:$L$19/(1+$A22)^DCF_Base!$C$4:$L$4)+MAX(0,MIN(DCF_Base!$L$19*(1+Assumptions!$D$15)/($A22-Assumptions!$D$15),Assumptions!$B$12*DCF_Base!$L$19))/(1+$A22)^10+Assumptions!$B$9)/Assumptions!$B$10</f>
        <v>33.1691865546224</v>
      </c>
    </row>
    <row r="23" customFormat="false" ht="15" hidden="false" customHeight="false" outlineLevel="0" collapsed="false">
      <c r="A23" s="8" t="n">
        <v>0.12</v>
      </c>
      <c r="B23" s="27" t="n">
        <f aca="false">(SUMPRODUCT(DCF_Base!$C$19:$L$19/(1+$A23)^DCF_Base!$C$4:$L$4)+MAX(0,MIN(DCF_Base!$L$19*(1+Assumptions!$D$15)/($A23-Assumptions!$D$15),Assumptions!$B$12*DCF_Base!$L$19))/(1+$A23)^10+Assumptions!$B$9)/Assumptions!$B$10</f>
        <v>28.8481229556063</v>
      </c>
    </row>
    <row r="24" customFormat="false" ht="15" hidden="false" customHeight="false" outlineLevel="0" collapsed="false">
      <c r="A24" s="8" t="n">
        <v>0.15</v>
      </c>
      <c r="B24" s="27" t="n">
        <f aca="false">(SUMPRODUCT(DCF_Base!$C$19:$L$19/(1+$A24)^DCF_Base!$C$4:$L$4)+MAX(0,MIN(DCF_Base!$L$19*(1+Assumptions!$D$15)/($A24-Assumptions!$D$15),Assumptions!$B$12*DCF_Base!$L$19))/(1+$A24)^10+Assumptions!$B$9)/Assumptions!$B$10</f>
        <v>20.2958482411692</v>
      </c>
    </row>
    <row r="25" customFormat="false" ht="15" hidden="false" customHeight="false" outlineLevel="0" collapsed="false">
      <c r="A25" s="2" t="s">
        <v>176</v>
      </c>
      <c r="B25" s="27" t="n">
        <f aca="false">(SUMPRODUCT(DCF_Bear!$C$19:$L$19/(1+0.15)^DCF_Bear!$C$4:$L$4)+MAX(0,MIN(DCF_Bear!$L$19*(1+Assumptions!$C$15)/(0.15-Assumptions!$C$15),Assumptions!$B$12*DCF_Bear!$L$19))/(1+0.15)^10+Assumptions!$B$9)/Assumptions!$B$10</f>
        <v>8.84629401721896</v>
      </c>
      <c r="C25" s="27" t="n">
        <f aca="false">(SUMPRODUCT(DCF_Base!$C$19:$L$19/(1+0.15)^DCF_Base!$C$4:$L$4)+MAX(0,MIN(DCF_Base!$L$19*(1+Assumptions!$D$15)/(0.15-Assumptions!$D$15),Assumptions!$B$12*DCF_Base!$L$19))/(1+0.15)^10+Assumptions!$B$9)/Assumptions!$B$10</f>
        <v>20.2958482411692</v>
      </c>
      <c r="D25" s="27" t="n">
        <f aca="false">(SUMPRODUCT(DCF_Bull!$C$19:$L$19/(1+0.15)^DCF_Bull!$C$4:$L$4)+MAX(0,MIN(DCF_Bull!$L$19*(1+Assumptions!$E$15)/(0.15-Assumptions!$E$15),Assumptions!$B$12*DCF_Bull!$L$19))/(1+0.15)^10+Assumptions!$B$9)/Assumptions!$B$10</f>
        <v>29.6028078599912</v>
      </c>
      <c r="E25" s="26" t="n">
        <f aca="false">SUMPRODUCT(B25:D25,$B$7:$D$7)</f>
        <v>21.8358509741643</v>
      </c>
      <c r="G25" s="5" t="s">
        <v>177</v>
      </c>
    </row>
    <row r="26" customFormat="false" ht="15" hidden="false" customHeight="false" outlineLevel="0" collapsed="false">
      <c r="A26" s="2" t="s">
        <v>178</v>
      </c>
      <c r="B26" s="27" t="n">
        <f aca="false">B25+(SUMPRODUCT(-DCF_Bear!$C$10:$L$10/(1+0.15)^DCF_Bear!$C$4:$L$4)+(-DCF_Bear!$L$10*(1+Assumptions!$C$15)/(0.15-Assumptions!$C$15))/(1+0.15)^10)/Assumptions!$B$10</f>
        <v>12.0918196649009</v>
      </c>
      <c r="C26" s="27" t="n">
        <f aca="false">C25+(SUMPRODUCT(-DCF_Base!$C$10:$L$10/(1+0.15)^DCF_Base!$C$4:$L$4)+(-DCF_Base!$L$10*(1+Assumptions!$D$15)/(0.15-Assumptions!$D$15))/(1+0.15)^10)/Assumptions!$B$10</f>
        <v>24.320316914023</v>
      </c>
      <c r="D26" s="27" t="n">
        <f aca="false">D25+(SUMPRODUCT(-DCF_Bull!$C$10:$L$10/(1+0.15)^DCF_Bull!$C$4:$L$4)+(-DCF_Bull!$L$10*(1+Assumptions!$E$15)/(0.15-Assumptions!$E$15))/(1+0.15)^10)/Assumptions!$B$10</f>
        <v>34.1669779422914</v>
      </c>
      <c r="E26" s="27" t="n">
        <f aca="false">SUMPRODUCT(B26:D26,$B$7:$D$7)</f>
        <v>25.9323736865486</v>
      </c>
    </row>
    <row r="28" customFormat="false" ht="15" hidden="false" customHeight="false" outlineLevel="0" collapsed="false">
      <c r="A28" s="4" t="s">
        <v>179</v>
      </c>
    </row>
    <row r="29" customFormat="false" ht="15" hidden="false" customHeight="false" outlineLevel="0" collapsed="false">
      <c r="A29" s="6" t="s">
        <v>180</v>
      </c>
      <c r="B29" s="29" t="n">
        <v>0.02</v>
      </c>
      <c r="C29" s="29" t="n">
        <v>0.025</v>
      </c>
      <c r="D29" s="29" t="n">
        <v>0.03</v>
      </c>
      <c r="E29" s="29" t="n">
        <v>0.035</v>
      </c>
      <c r="F29" s="29" t="n">
        <v>0.04</v>
      </c>
    </row>
    <row r="30" customFormat="false" ht="15" hidden="false" customHeight="false" outlineLevel="0" collapsed="false">
      <c r="A30" s="29" t="n">
        <v>0.095</v>
      </c>
      <c r="B30" s="27" t="n">
        <f aca="false">IF($A30&gt;B$29,(SUMPRODUCT(DCF_Base!$C$19:$L$19/(1+$A30)^DCF_Base!$C$4:$L$4)+MAX(0,MIN(DCF_Base!$L$19*(1+B$29)/($A30-B$29),Assumptions!$B$12*DCF_Base!$L$19))/(1+$A30)^10+Assumptions!$B$9)/Assumptions!$B$10,"n/a")</f>
        <v>38.420710709775</v>
      </c>
      <c r="C30" s="27" t="n">
        <f aca="false">IF($A30&gt;C$29,(SUMPRODUCT(DCF_Base!$C$19:$L$19/(1+$A30)^DCF_Base!$C$4:$L$4)+MAX(0,MIN(DCF_Base!$L$19*(1+C$29)/($A30-C$29),Assumptions!$B$12*DCF_Base!$L$19))/(1+$A30)^10+Assumptions!$B$9)/Assumptions!$B$10,"n/a")</f>
        <v>40.176536171503</v>
      </c>
      <c r="D30" s="27" t="n">
        <f aca="false">IF($A30&gt;D$29,(SUMPRODUCT(DCF_Base!$C$19:$L$19/(1+$A30)^DCF_Base!$C$4:$L$4)+MAX(0,MIN(DCF_Base!$L$19*(1+D$29)/($A30-D$29),Assumptions!$B$12*DCF_Base!$L$19))/(1+$A30)^10+Assumptions!$B$9)/Assumptions!$B$10,"n/a")</f>
        <v>42.202488627343</v>
      </c>
      <c r="E30" s="27" t="n">
        <f aca="false">IF($A30&gt;E$29,(SUMPRODUCT(DCF_Base!$C$19:$L$19/(1+$A30)^DCF_Base!$C$4:$L$4)+MAX(0,MIN(DCF_Base!$L$19*(1+E$29)/($A30-E$29),Assumptions!$B$12*DCF_Base!$L$19))/(1+$A30)^10+Assumptions!$B$9)/Assumptions!$B$10,"n/a")</f>
        <v>44.5660998258231</v>
      </c>
      <c r="F30" s="27" t="n">
        <f aca="false">IF($A30&gt;F$29,(SUMPRODUCT(DCF_Base!$C$19:$L$19/(1+$A30)^DCF_Base!$C$4:$L$4)+MAX(0,MIN(DCF_Base!$L$19*(1+F$29)/($A30-F$29),Assumptions!$B$12*DCF_Base!$L$19))/(1+$A30)^10+Assumptions!$B$9)/Assumptions!$B$10,"n/a")</f>
        <v>47.3594585149358</v>
      </c>
    </row>
    <row r="31" customFormat="false" ht="15" hidden="false" customHeight="false" outlineLevel="0" collapsed="false">
      <c r="A31" s="29" t="n">
        <v>0.1</v>
      </c>
      <c r="B31" s="27" t="n">
        <f aca="false">IF($A31&gt;B$29,(SUMPRODUCT(DCF_Base!$C$19:$L$19/(1+$A31)^DCF_Base!$C$4:$L$4)+MAX(0,MIN(DCF_Base!$L$19*(1+B$29)/($A31-B$29),Assumptions!$B$12*DCF_Base!$L$19))/(1+$A31)^10+Assumptions!$B$9)/Assumptions!$B$10,"n/a")</f>
        <v>35.5936898013514</v>
      </c>
      <c r="C31" s="27" t="n">
        <f aca="false">IF($A31&gt;C$29,(SUMPRODUCT(DCF_Base!$C$19:$L$19/(1+$A31)^DCF_Base!$C$4:$L$4)+MAX(0,MIN(DCF_Base!$L$19*(1+C$29)/($A31-C$29),Assumptions!$B$12*DCF_Base!$L$19))/(1+$A31)^10+Assumptions!$B$9)/Assumptions!$B$10,"n/a")</f>
        <v>37.0683172098207</v>
      </c>
      <c r="D31" s="27" t="n">
        <f aca="false">IF($A31&gt;D$29,(SUMPRODUCT(DCF_Base!$C$19:$L$19/(1+$A31)^DCF_Base!$C$4:$L$4)+MAX(0,MIN(DCF_Base!$L$19*(1+D$29)/($A31-D$29),Assumptions!$B$12*DCF_Base!$L$19))/(1+$A31)^10+Assumptions!$B$9)/Assumptions!$B$10,"n/a")</f>
        <v>38.7536056766428</v>
      </c>
      <c r="E31" s="27" t="n">
        <f aca="false">IF($A31&gt;E$29,(SUMPRODUCT(DCF_Base!$C$19:$L$19/(1+$A31)^DCF_Base!$C$4:$L$4)+MAX(0,MIN(DCF_Base!$L$19*(1+E$29)/($A31-E$29),Assumptions!$B$12*DCF_Base!$L$19))/(1+$A31)^10+Assumptions!$B$9)/Assumptions!$B$10,"n/a")</f>
        <v>40.6981692922067</v>
      </c>
      <c r="F31" s="27" t="n">
        <f aca="false">IF($A31&gt;F$29,(SUMPRODUCT(DCF_Base!$C$19:$L$19/(1+$A31)^DCF_Base!$C$4:$L$4)+MAX(0,MIN(DCF_Base!$L$19*(1+F$29)/($A31-F$29),Assumptions!$B$12*DCF_Base!$L$19))/(1+$A31)^10+Assumptions!$B$9)/Assumptions!$B$10,"n/a")</f>
        <v>42.9668268436979</v>
      </c>
    </row>
    <row r="32" customFormat="false" ht="15" hidden="false" customHeight="false" outlineLevel="0" collapsed="false">
      <c r="A32" s="29" t="n">
        <v>0.105</v>
      </c>
      <c r="B32" s="27" t="n">
        <f aca="false">IF($A32&gt;B$29,(SUMPRODUCT(DCF_Base!$C$19:$L$19/(1+$A32)^DCF_Base!$C$4:$L$4)+MAX(0,MIN(DCF_Base!$L$19*(1+B$29)/($A32-B$29),Assumptions!$B$12*DCF_Base!$L$19))/(1+$A32)^10+Assumptions!$B$9)/Assumptions!$B$10,"n/a")</f>
        <v>33.1070206052166</v>
      </c>
      <c r="C32" s="27" t="n">
        <f aca="false">IF($A32&gt;C$29,(SUMPRODUCT(DCF_Base!$C$19:$L$19/(1+$A32)^DCF_Base!$C$4:$L$4)+MAX(0,MIN(DCF_Base!$L$19*(1+C$29)/($A32-C$29),Assumptions!$B$12*DCF_Base!$L$19))/(1+$A32)^10+Assumptions!$B$9)/Assumptions!$B$10,"n/a")</f>
        <v>34.3561237554783</v>
      </c>
      <c r="D32" s="26" t="n">
        <f aca="false">IF($A32&gt;D$29,(SUMPRODUCT(DCF_Base!$C$19:$L$19/(1+$A32)^DCF_Base!$C$4:$L$4)+MAX(0,MIN(DCF_Base!$L$19*(1+D$29)/($A32-D$29),Assumptions!$B$12*DCF_Base!$L$19))/(1+$A32)^10+Assumptions!$B$9)/Assumptions!$B$10,"n/a")</f>
        <v>35.7717739924416</v>
      </c>
      <c r="E32" s="27" t="n">
        <f aca="false">IF($A32&gt;E$29,(SUMPRODUCT(DCF_Base!$C$19:$L$19/(1+$A32)^DCF_Base!$C$4:$L$4)+MAX(0,MIN(DCF_Base!$L$19*(1+E$29)/($A32-E$29),Assumptions!$B$12*DCF_Base!$L$19))/(1+$A32)^10+Assumptions!$B$9)/Assumptions!$B$10,"n/a")</f>
        <v>37.3896599775425</v>
      </c>
      <c r="F32" s="27" t="n">
        <f aca="false">IF($A32&gt;F$29,(SUMPRODUCT(DCF_Base!$C$19:$L$19/(1+$A32)^DCF_Base!$C$4:$L$4)+MAX(0,MIN(DCF_Base!$L$19*(1+F$29)/($A32-F$29),Assumptions!$B$12*DCF_Base!$L$19))/(1+$A32)^10+Assumptions!$B$9)/Assumptions!$B$10,"n/a")</f>
        <v>39.2564514988128</v>
      </c>
    </row>
    <row r="33" customFormat="false" ht="15" hidden="false" customHeight="false" outlineLevel="0" collapsed="false">
      <c r="A33" s="29" t="n">
        <v>0.11</v>
      </c>
      <c r="B33" s="27" t="n">
        <f aca="false">IF($A33&gt;B$29,(SUMPRODUCT(DCF_Base!$C$19:$L$19/(1+$A33)^DCF_Base!$C$4:$L$4)+MAX(0,MIN(DCF_Base!$L$19*(1+B$29)/($A33-B$29),Assumptions!$B$12*DCF_Base!$L$19))/(1+$A33)^10+Assumptions!$B$9)/Assumptions!$B$10,"n/a")</f>
        <v>30.9037160684217</v>
      </c>
      <c r="C33" s="27" t="n">
        <f aca="false">IF($A33&gt;C$29,(SUMPRODUCT(DCF_Base!$C$19:$L$19/(1+$A33)^DCF_Base!$C$4:$L$4)+MAX(0,MIN(DCF_Base!$L$19*(1+C$29)/($A33-C$29),Assumptions!$B$12*DCF_Base!$L$19))/(1+$A33)^10+Assumptions!$B$9)/Assumptions!$B$10,"n/a")</f>
        <v>31.9698198266338</v>
      </c>
      <c r="D33" s="27" t="n">
        <f aca="false">IF($A33&gt;D$29,(SUMPRODUCT(DCF_Base!$C$19:$L$19/(1+$A33)^DCF_Base!$C$4:$L$4)+MAX(0,MIN(DCF_Base!$L$19*(1+D$29)/($A33-D$29),Assumptions!$B$12*DCF_Base!$L$19))/(1+$A33)^10+Assumptions!$B$9)/Assumptions!$B$10,"n/a")</f>
        <v>33.1691865546224</v>
      </c>
      <c r="E33" s="27" t="n">
        <f aca="false">IF($A33&gt;E$29,(SUMPRODUCT(DCF_Base!$C$19:$L$19/(1+$A33)^DCF_Base!$C$4:$L$4)+MAX(0,MIN(DCF_Base!$L$19*(1+E$29)/($A33-E$29),Assumptions!$B$12*DCF_Base!$L$19))/(1+$A33)^10+Assumptions!$B$9)/Assumptions!$B$10,"n/a")</f>
        <v>34.5284688463428</v>
      </c>
      <c r="F33" s="27" t="n">
        <f aca="false">IF($A33&gt;F$29,(SUMPRODUCT(DCF_Base!$C$19:$L$19/(1+$A33)^DCF_Base!$C$4:$L$4)+MAX(0,MIN(DCF_Base!$L$19*(1+F$29)/($A33-F$29),Assumptions!$B$12*DCF_Base!$L$19))/(1+$A33)^10+Assumptions!$B$9)/Assumptions!$B$10,"n/a")</f>
        <v>36.0819343225947</v>
      </c>
    </row>
    <row r="34" customFormat="false" ht="15" hidden="false" customHeight="false" outlineLevel="0" collapsed="false">
      <c r="A34" s="29" t="n">
        <v>0.115</v>
      </c>
      <c r="B34" s="27" t="n">
        <f aca="false">IF($A34&gt;B$29,(SUMPRODUCT(DCF_Base!$C$19:$L$19/(1+$A34)^DCF_Base!$C$4:$L$4)+MAX(0,MIN(DCF_Base!$L$19*(1+B$29)/($A34-B$29),Assumptions!$B$12*DCF_Base!$L$19))/(1+$A34)^10+Assumptions!$B$9)/Assumptions!$B$10,"n/a")</f>
        <v>28.9387969842199</v>
      </c>
      <c r="C34" s="27" t="n">
        <f aca="false">IF($A34&gt;C$29,(SUMPRODUCT(DCF_Base!$C$19:$L$19/(1+$A34)^DCF_Base!$C$4:$L$4)+MAX(0,MIN(DCF_Base!$L$19*(1+C$29)/($A34-C$29),Assumptions!$B$12*DCF_Base!$L$19))/(1+$A34)^10+Assumptions!$B$9)/Assumptions!$B$10,"n/a")</f>
        <v>29.8548651628709</v>
      </c>
      <c r="D34" s="27" t="n">
        <f aca="false">IF($A34&gt;D$29,(SUMPRODUCT(DCF_Base!$C$19:$L$19/(1+$A34)^DCF_Base!$C$4:$L$4)+MAX(0,MIN(DCF_Base!$L$19*(1+D$29)/($A34-D$29),Assumptions!$B$12*DCF_Base!$L$19))/(1+$A34)^10+Assumptions!$B$9)/Assumptions!$B$10,"n/a")</f>
        <v>30.8787060684221</v>
      </c>
      <c r="E34" s="27" t="n">
        <f aca="false">IF($A34&gt;E$29,(SUMPRODUCT(DCF_Base!$C$19:$L$19/(1+$A34)^DCF_Base!$C$4:$L$4)+MAX(0,MIN(DCF_Base!$L$19*(1+E$29)/($A34-E$29),Assumptions!$B$12*DCF_Base!$L$19))/(1+$A34)^10+Assumptions!$B$9)/Assumptions!$B$10,"n/a")</f>
        <v>32.0305270871671</v>
      </c>
      <c r="F34" s="27" t="n">
        <f aca="false">IF($A34&gt;F$29,(SUMPRODUCT(DCF_Base!$C$19:$L$19/(1+$A34)^DCF_Base!$C$4:$L$4)+MAX(0,MIN(DCF_Base!$L$19*(1+F$29)/($A34-F$29),Assumptions!$B$12*DCF_Base!$L$19))/(1+$A34)^10+Assumptions!$B$9)/Assumptions!$B$10,"n/a")</f>
        <v>33.3359242417448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2026-08-17T10:49:53Z</dcterms:created>
  <dc:creator>openpyxl</dc:creator>
  <dc:description/>
  <dc:language>en-US</dc:language>
  <cp:lastModifiedBy/>
  <dcterms:modified xsi:type="dcterms:W3CDTF">2026-08-17T10:49:53Z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