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<sst xmlns="http://schemas.openxmlformats.org/spreadsheetml/2006/main" count="387" uniqueCount="175">
  <si>
    <t xml:space="preserve">Ticker</t>
  </si>
  <si>
    <t xml:space="preserve">BRO</t>
  </si>
  <si>
    <t xml:space="preserve">Company</t>
  </si>
  <si>
    <t xml:space="preserve">Brown &amp; Brown,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</si>
  <si>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</si>
  <si>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</si>
  <si>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</si>
  <si>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</si>
  <si>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2026-09-25T20:00:03Z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</si>
  <si>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</si>
  <si>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</si>
  <si>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</si>
  <si>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</si>
  <si>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</si>
  <si>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</si>
  <si>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</si>
  <si>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</si>
  <si>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</si>
  <si>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</si>
  <si>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</si>
  <si>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</si>
  <si>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2026-09-25T23:45:32Z</t>
  </si>
  <si>
    <t xml:space="preserve">Drivers file</t>
  </si>
  <si>
    <t xml:space="preserve">BRO_Drivers.json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</si>
  <si>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</si>
  <si>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</si>
  <si>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</si>
  <si>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Brown &amp; Brown is valued on a standard owner-FCF operating-company DCF, using a normalized FY0 revenue base (2x H1-2026 actual, $7,154M) rather than reported FY2025 revenue, because the ~$9.825B Accession/RSC Topco acquisition closed 2025-08-01 and FY2025 contains only five months of the combined company -- using it directly would understate the current run-rate of revenue, D&amp;A and financing costs alike. The model separates two effects the market appears to be conflating: (1) a real, evidenced deceleration in organic growth (0% then -0.7% over the last two reported quarters, against a soft commercial P&amp;C pricing cycle that has turned negative industry-wide for the first time in seven years) and (2) a mechanical, favorable D&amp;A tailwind as BRO's own disclosed acquired-intangible amortization schedule runs off from $450M in 2026 to $395M by 2030, expanding the owner-FCF margin over the explicit horizon even before any assumed EBITDA margin recovery. A 10-year horizon is used because the margin is still visibly maturing under this schedule; capitalizing a 5-year, still-depressed margin would understate the business. Net debt (~$6.8B, ~2.9x EBITDA) is subtracted once at the end from an unlevered, EBIT-based flow that never double-counts interest expense inside the projections.
key_risks_to_valuation: Organic growth does not stabilize at the guided H2-2026 ranges and the soft P&amp;C cycle persists multiple years, compounding with elevated post-Accession leverage; Accession/Risk Strategies/One80 integration takes longer than management's guidance to complete, with synergies undershooting the $30-40M FY2026 target and further margin compression beyond the Q2-2026 print; The disclosed forward amortization schedule is the single largest driver of margin expansion in the model over the explicit horizon; any further M&amp;A that resets the intangible amortization clock (a real possibility given BRO's 625-deal history) would delay this tailwind; Unexplained Retail-segment leadership departure (Barrett Brown) during the integration window is a soft governance/succession signal not yet resolved; Interest-rate environment affects both the cost of BRO's largely floating/refinanced acquisition debt and the fiduciary-fund investment income embedded in 'Investment income and other income'</t>
  </si>
  <si>
    <t xml:space="preserve">Data sources</t>
  </si>
  <si>
    <t xml:space="preserve">price: Yahoo Finance chart API at inputs.price_as_of; 52-week range 53.81-96.55
financials: SEC XBRL via BRO_Metrics.csv (core_metrics, FY2008-Q2 2026); BRO 10-K FY2025 and 10-Q Q2-2026 (BeautifulSoup-extracted text) for EBITDAC reconciliation, disclosed forward amortization schedule, balance sheet detail (total debt, cash, diluted shares) and effective tax rate
qualitative: ./research/BRO/Reports/BRO_Analysis.json</t>
  </si>
  <si>
    <t xml:space="preserve">Scenario narrative: bear</t>
  </si>
  <si>
    <t xml:space="preserve">The soft P&amp;C cycle persists for years rather than bottoming in 2026, BRO continues underperforming large-cap peers on organic growth (raising genuine share-loss questions, not just market softness), the largest integration in company history disappoints on synergies and margin, and elevated acquisition leverage combined with weak growth pressures the equity story; the unexplained Retail-segment leadership departure is read as an early strain signal.</t>
  </si>
  <si>
    <t xml:space="preserve">Scenario narrative: base</t>
  </si>
  <si>
    <t xml:space="preserve">Organic growth stabilizes near BRO's own guided ranges as the soft cat-property cycle bottoms and E&amp;S casualty strength partially offsets it, blended with continued tuck-in M&amp;A; margin recovers gradually from the current integration-cost trough to a mid-cycle ~38% as the $30-40M of FY2026 synergies land and acquired-intangible amortization runs off per BRO's own disclosed schedule.</t>
  </si>
  <si>
    <t xml:space="preserve">Scenario narrative: bull</t>
  </si>
  <si>
    <t xml:space="preserve">E&amp;S/specialty strength outruns property softness, cross-sell within the newly combined Retail/Specialty Distribution/Risk Strategies structure exceeds plan, synergies land ahead of schedule, and BRO resumes larger tuck-in M&amp;A funded by strong post-integration FCF, pushing margin toward the high-30s/low-40s peers like Gallagher already achieve.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</si>
  <si>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</si>
  <si>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</si>
  <si>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</si>
  <si>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</si>
  <si>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</si>
  <si>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</si>
  <si>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</si>
  <si>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</si>
  <si>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</si>
  <si>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</si>
  <si>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</si>
  <si>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</si>
  <si>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</si>
  <si>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</si>
  <si>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</si>
  <si>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</si>
  <si>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</si>
  <si>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</si>
  <si>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</si>
  <si>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</si>
  <si>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</si>
  <si>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</si>
  <si>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</si>
  <si>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</si>
  <si>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</si>
  <si>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</si>
  <si>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</si>
  <si>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</si>
  <si>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</si>
  <si>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</si>
  <si>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</si>
  <si>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</si>
  <si>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</si>
  <si>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</si>
  <si>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</si>
  <si>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</si>
  <si>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</si>
  <si>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</si>
  <si>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</si>
  <si>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</si>
  <si>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</si>
  <si>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</si>
  <si>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</si>
  <si>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</si>
  <si>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</si>
  <si>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</si>
  <si>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</si>
  <si>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</si>
  <si>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</si>
  <si>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</si>
  <si>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</si>
  <si>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</si>
  <si>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</si>
  <si>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</si>
  <si>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</si>
  <si>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(run-rate)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</si>
  <si>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</si>
  <si>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</si>
  <si>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</si>
  <si>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</si>
  <si>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</si>
  <si>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</si>
  <si>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</si>
  <si>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</si>
  <si>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</si>
  <si>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</si>
  <si>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</si>
  <si>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</si>
  <si>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</si>
  <si>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</si>
  <si>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</si>
  <si>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</si>
  <si>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</si>
  <si>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</si>
  <si>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</si>
  <si>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</si>
  <si>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</si>
  <si>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</si>
  <si>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</si>
  <si>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</si>
  <si>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</si>
  <si>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</si>
  <si>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</si>
  <si>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</si>
  <si>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BRO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</si>
  <si>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</si>
  <si>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</si>
  <si>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</si>
  <si>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</si>
  <si>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</si>
  <si>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</si>
  <si>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</si>
  <si>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</si>
  <si>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</si>
  <si>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</si>
  <si>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</si>
  <si>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</si>
  <si>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</si>
  <si>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</si>
  <si>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</si>
  <si>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</si>
  <si>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</si>
  <si>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</si>
  <si>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</si>
  <si>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</si>
  <si>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</si>
  <si>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</si>
  <si>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</si>
  <si>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</si>
  <si>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</si>
  <si>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</si>
  <si>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</si>
  <si>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</si>
  <si>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</si>
  <si>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</si>
  <si>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BRO owner-FCF component DCF: base case (millions, USD)</t>
  </si>
  <si>
    <t xml:space="preserve">BRO owner-FCF component DCF: bull case (millions, USD)</t>
  </si>
  <si>
    <t xml:space="preserve">BRO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</si>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</sst>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60.82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1097.458</v>
      </c>
      <c r="S2" s="0" t="n">
        <v>38.234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977.554</v>
      </c>
      <c r="I3" s="0" t="n">
        <v>166.124</v>
      </c>
      <c r="J3" s="0" t="n">
        <v>16.9938438183466</v>
      </c>
      <c r="K3" s="0" t="n">
        <v>1.18</v>
      </c>
      <c r="L3" s="0" t="n">
        <v>341.753</v>
      </c>
      <c r="M3" s="0" t="n">
        <v>14.115</v>
      </c>
      <c r="N3" s="0" t="n">
        <v>327.638</v>
      </c>
      <c r="O3" s="0" t="n">
        <v>1241.741</v>
      </c>
      <c r="S3" s="0" t="n">
        <v>78.557</v>
      </c>
      <c r="T3" s="0" t="n">
        <v>136.884</v>
      </c>
      <c r="U3" s="0" t="n">
        <v>7.314</v>
      </c>
      <c r="V3" s="0" t="n">
        <v>0.285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967.877</v>
      </c>
      <c r="I4" s="0" t="n">
        <v>153.294</v>
      </c>
      <c r="J4" s="0" t="n">
        <v>15.8381695194741</v>
      </c>
      <c r="K4" s="0" t="n">
        <v>1.08</v>
      </c>
      <c r="L4" s="0" t="n">
        <v>221.585</v>
      </c>
      <c r="M4" s="0" t="n">
        <v>11.31</v>
      </c>
      <c r="N4" s="0" t="n">
        <v>210.275</v>
      </c>
      <c r="O4" s="0" t="n">
        <v>1369.874</v>
      </c>
      <c r="P4" s="0" t="n">
        <v>2224.226</v>
      </c>
      <c r="R4" s="0" t="n">
        <v>267.333</v>
      </c>
      <c r="S4" s="0" t="n">
        <v>197.113</v>
      </c>
      <c r="T4" s="0" t="n">
        <v>142.076</v>
      </c>
      <c r="U4" s="0" t="n">
        <v>7.358</v>
      </c>
      <c r="V4" s="0" t="n">
        <v>0.3025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973.492</v>
      </c>
      <c r="I5" s="0" t="n">
        <v>161.752</v>
      </c>
      <c r="J5" s="0" t="n">
        <v>16.6156475862154</v>
      </c>
      <c r="K5" s="0" t="n">
        <v>1.14</v>
      </c>
      <c r="L5" s="0" t="n">
        <v>296.052</v>
      </c>
      <c r="M5" s="0" t="n">
        <v>10.454</v>
      </c>
      <c r="N5" s="0" t="n">
        <v>285.598</v>
      </c>
      <c r="O5" s="0" t="n">
        <v>1506.344</v>
      </c>
      <c r="P5" s="0" t="n">
        <v>2400.814</v>
      </c>
      <c r="R5" s="0" t="n">
        <v>253.391</v>
      </c>
      <c r="S5" s="0" t="n">
        <v>272.984</v>
      </c>
      <c r="T5" s="0" t="n">
        <v>142.795</v>
      </c>
      <c r="U5" s="0" t="n">
        <v>6.845</v>
      </c>
      <c r="V5" s="0" t="n">
        <v>0.3125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1013.542</v>
      </c>
      <c r="I6" s="0" t="n">
        <v>163.995</v>
      </c>
      <c r="J6" s="0" t="n">
        <v>16.180385223306</v>
      </c>
      <c r="K6" s="0" t="n">
        <v>1.15</v>
      </c>
      <c r="L6" s="0" t="n">
        <v>237.531</v>
      </c>
      <c r="M6" s="0" t="n">
        <v>13.608</v>
      </c>
      <c r="N6" s="0" t="n">
        <v>223.923</v>
      </c>
      <c r="O6" s="0" t="n">
        <v>1643.963</v>
      </c>
      <c r="P6" s="0" t="n">
        <v>2607.011</v>
      </c>
      <c r="R6" s="0" t="n">
        <v>252.487</v>
      </c>
      <c r="S6" s="0" t="n">
        <v>286.305</v>
      </c>
      <c r="T6" s="0" t="n">
        <v>143.352</v>
      </c>
      <c r="U6" s="0" t="n">
        <v>11.194</v>
      </c>
      <c r="V6" s="0" t="n">
        <v>0.325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1200.032</v>
      </c>
      <c r="I7" s="0" t="n">
        <v>184.045</v>
      </c>
      <c r="J7" s="0" t="n">
        <v>15.3366743553505</v>
      </c>
      <c r="K7" s="0" t="n">
        <v>1.28</v>
      </c>
      <c r="L7" s="0" t="n">
        <v>220.315</v>
      </c>
      <c r="M7" s="0" t="n">
        <v>24.028</v>
      </c>
      <c r="N7" s="0" t="n">
        <v>196.287</v>
      </c>
      <c r="O7" s="0" t="n">
        <v>1807.333</v>
      </c>
      <c r="P7" s="0" t="n">
        <v>3128.058</v>
      </c>
      <c r="R7" s="0" t="n">
        <v>450.186</v>
      </c>
      <c r="S7" s="0" t="n">
        <v>202.952</v>
      </c>
      <c r="T7" s="0" t="n">
        <v>143.878</v>
      </c>
      <c r="U7" s="0" t="n">
        <v>15.865</v>
      </c>
      <c r="V7" s="0" t="n">
        <v>0.35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1363.279</v>
      </c>
      <c r="I8" s="0" t="n">
        <v>217.112</v>
      </c>
      <c r="J8" s="0" t="n">
        <v>15.9257202670913</v>
      </c>
      <c r="K8" s="0" t="n">
        <v>1.5</v>
      </c>
      <c r="L8" s="0" t="n">
        <v>389.374</v>
      </c>
      <c r="M8" s="0" t="n">
        <v>16.366</v>
      </c>
      <c r="N8" s="0" t="n">
        <v>373.008</v>
      </c>
      <c r="O8" s="0" t="n">
        <v>2007.141</v>
      </c>
      <c r="P8" s="0" t="n">
        <v>3649.508</v>
      </c>
      <c r="R8" s="0" t="n">
        <v>580</v>
      </c>
      <c r="S8" s="0" t="n">
        <v>202.952</v>
      </c>
      <c r="T8" s="0" t="n">
        <v>145.419</v>
      </c>
      <c r="U8" s="0" t="n">
        <v>22.603</v>
      </c>
      <c r="V8" s="0" t="n">
        <v>0.37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1575.796</v>
      </c>
      <c r="I9" s="0" t="n">
        <v>206.896</v>
      </c>
      <c r="J9" s="0" t="n">
        <v>13.1296183008461</v>
      </c>
      <c r="K9" s="0" t="n">
        <v>1.43</v>
      </c>
      <c r="M9" s="0" t="n">
        <v>24.923</v>
      </c>
      <c r="O9" s="0" t="n">
        <v>2113.745</v>
      </c>
      <c r="P9" s="0" t="n">
        <v>4946.56</v>
      </c>
      <c r="R9" s="0" t="n">
        <v>1244.096</v>
      </c>
      <c r="S9" s="0" t="n">
        <v>470.048</v>
      </c>
      <c r="T9" s="0" t="n">
        <v>143.486</v>
      </c>
      <c r="U9" s="0" t="n">
        <v>19.363</v>
      </c>
      <c r="V9" s="0" t="n">
        <v>0.41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1660.509</v>
      </c>
      <c r="I10" s="0" t="n">
        <v>243.318</v>
      </c>
      <c r="J10" s="0" t="n">
        <v>14.6532177784041</v>
      </c>
      <c r="K10" s="0" t="n">
        <v>1.72</v>
      </c>
      <c r="M10" s="0" t="n">
        <v>18.375</v>
      </c>
      <c r="O10" s="0" t="n">
        <v>2149.776</v>
      </c>
      <c r="P10" s="0" t="n">
        <v>4979.844</v>
      </c>
      <c r="R10" s="0" t="n">
        <v>1217.868</v>
      </c>
      <c r="S10" s="0" t="n">
        <v>443.42</v>
      </c>
      <c r="T10" s="0" t="n">
        <v>140.112</v>
      </c>
      <c r="U10" s="0" t="n">
        <v>15.513</v>
      </c>
      <c r="V10" s="0" t="n">
        <v>0.45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1766.629</v>
      </c>
      <c r="I11" s="0" t="n">
        <v>257.491</v>
      </c>
      <c r="J11" s="0" t="n">
        <v>14.5752730199719</v>
      </c>
      <c r="K11" s="0" t="n">
        <v>0.92</v>
      </c>
      <c r="M11" s="0" t="n">
        <v>17.765</v>
      </c>
      <c r="O11" s="0" t="n">
        <v>2360.211</v>
      </c>
      <c r="P11" s="0" t="n">
        <v>5262.734</v>
      </c>
      <c r="R11" s="0" t="n">
        <v>1129.372</v>
      </c>
      <c r="S11" s="0" t="n">
        <v>515.646</v>
      </c>
      <c r="T11" s="0" t="n">
        <v>140.103841</v>
      </c>
      <c r="U11" s="0" t="n">
        <v>16.052</v>
      </c>
      <c r="V11" s="0" t="n">
        <v>0.25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1881.347</v>
      </c>
      <c r="I12" s="0" t="n">
        <v>399.63</v>
      </c>
      <c r="J12" s="0" t="n">
        <v>21.2416954448063</v>
      </c>
      <c r="K12" s="0" t="n">
        <v>1.43</v>
      </c>
      <c r="L12" s="0" t="n">
        <v>441.975</v>
      </c>
      <c r="M12" s="0" t="n">
        <v>24.192</v>
      </c>
      <c r="N12" s="0" t="n">
        <v>417.783</v>
      </c>
      <c r="O12" s="0" t="n">
        <v>2582.699</v>
      </c>
      <c r="P12" s="0" t="n">
        <v>5747.55</v>
      </c>
      <c r="R12" s="0" t="n">
        <v>1096.141</v>
      </c>
      <c r="S12" s="0" t="n">
        <v>573.383</v>
      </c>
      <c r="T12" s="0" t="n">
        <v>277.586</v>
      </c>
      <c r="U12" s="0" t="n">
        <v>30.631</v>
      </c>
      <c r="V12" s="0" t="n">
        <v>0.28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2014.246</v>
      </c>
      <c r="I13" s="0" t="n">
        <v>344.255</v>
      </c>
      <c r="J13" s="0" t="n">
        <v>17.0910107305662</v>
      </c>
      <c r="K13" s="0" t="n">
        <v>1.24</v>
      </c>
      <c r="L13" s="0" t="n">
        <v>567.529</v>
      </c>
      <c r="M13" s="0" t="n">
        <v>41.52</v>
      </c>
      <c r="N13" s="0" t="n">
        <v>526.009</v>
      </c>
      <c r="O13" s="0" t="n">
        <v>3000.568</v>
      </c>
      <c r="P13" s="0" t="n">
        <v>6688.668</v>
      </c>
      <c r="Q13" s="0" t="n">
        <v>3688.1</v>
      </c>
      <c r="R13" s="0" t="n">
        <v>1556.99</v>
      </c>
      <c r="S13" s="0" t="n">
        <v>438.961</v>
      </c>
      <c r="T13" s="0" t="n">
        <v>279.583</v>
      </c>
      <c r="U13" s="0" t="n">
        <v>33.519</v>
      </c>
      <c r="V13" s="0" t="n">
        <v>0.31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2392.171</v>
      </c>
      <c r="I14" s="0" t="n">
        <v>398.514</v>
      </c>
      <c r="J14" s="0" t="n">
        <v>16.659093350768</v>
      </c>
      <c r="K14" s="0" t="n">
        <v>1.42</v>
      </c>
      <c r="L14" s="0" t="n">
        <v>678.18</v>
      </c>
      <c r="M14" s="0" t="n">
        <v>73.108</v>
      </c>
      <c r="N14" s="0" t="n">
        <v>605.072</v>
      </c>
      <c r="O14" s="0" t="n">
        <v>3350.4</v>
      </c>
      <c r="P14" s="0" t="n">
        <v>7622.821</v>
      </c>
      <c r="Q14" s="0" t="n">
        <v>3863.4</v>
      </c>
      <c r="R14" s="0" t="n">
        <v>1610.343</v>
      </c>
      <c r="S14" s="0" t="n">
        <v>542.174</v>
      </c>
      <c r="T14" s="0" t="n">
        <v>281.655</v>
      </c>
      <c r="U14" s="0" t="n">
        <v>46.994</v>
      </c>
      <c r="V14" s="0" t="n">
        <v>0.33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2613.4</v>
      </c>
      <c r="I15" s="0" t="n">
        <v>480.5</v>
      </c>
      <c r="J15" s="0" t="n">
        <v>18.3860105609551</v>
      </c>
      <c r="K15" s="0" t="n">
        <v>1.7</v>
      </c>
      <c r="L15" s="0" t="n">
        <v>713</v>
      </c>
      <c r="M15" s="0" t="n">
        <v>70.7</v>
      </c>
      <c r="N15" s="0" t="n">
        <v>642.3</v>
      </c>
      <c r="O15" s="0" t="n">
        <v>3754.4</v>
      </c>
      <c r="P15" s="0" t="n">
        <v>8966.5</v>
      </c>
      <c r="R15" s="0" t="n">
        <v>2165.906</v>
      </c>
      <c r="S15" s="0" t="n">
        <v>656.2</v>
      </c>
      <c r="T15" s="0" t="n">
        <v>283.004</v>
      </c>
      <c r="U15" s="0" t="n">
        <v>59.7</v>
      </c>
      <c r="V15" s="0" t="n">
        <v>0.35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3051.4</v>
      </c>
      <c r="I16" s="0" t="n">
        <v>587.1</v>
      </c>
      <c r="J16" s="0" t="n">
        <v>19.2403486924035</v>
      </c>
      <c r="K16" s="0" t="n">
        <v>2.08</v>
      </c>
      <c r="L16" s="0" t="n">
        <v>808.8</v>
      </c>
      <c r="M16" s="0" t="n">
        <v>45</v>
      </c>
      <c r="N16" s="0" t="n">
        <v>763.8</v>
      </c>
      <c r="O16" s="0" t="n">
        <v>4197</v>
      </c>
      <c r="P16" s="0" t="n">
        <v>9795.4</v>
      </c>
      <c r="R16" s="0" t="n">
        <v>2065.4</v>
      </c>
      <c r="S16" s="0" t="n">
        <v>693.2</v>
      </c>
      <c r="T16" s="0" t="n">
        <v>282.5</v>
      </c>
      <c r="U16" s="0" t="n">
        <v>61</v>
      </c>
      <c r="V16" s="0" t="n">
        <v>0.38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3573</v>
      </c>
      <c r="I17" s="0" t="n">
        <v>672</v>
      </c>
      <c r="J17" s="0" t="n">
        <v>18.8077246011755</v>
      </c>
      <c r="K17" s="0" t="n">
        <v>2.38</v>
      </c>
      <c r="L17" s="0" t="n">
        <v>881</v>
      </c>
      <c r="M17" s="0" t="n">
        <v>52</v>
      </c>
      <c r="N17" s="0" t="n">
        <v>829</v>
      </c>
      <c r="O17" s="0" t="n">
        <v>4606</v>
      </c>
      <c r="P17" s="0" t="n">
        <v>13973.5</v>
      </c>
      <c r="R17" s="0" t="n">
        <v>4192.7</v>
      </c>
      <c r="S17" s="0" t="n">
        <v>650</v>
      </c>
      <c r="T17" s="0" t="n">
        <v>283.2</v>
      </c>
      <c r="U17" s="0" t="n">
        <v>66</v>
      </c>
      <c r="V17" s="0" t="n">
        <v>0.42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4257</v>
      </c>
      <c r="I18" s="0" t="n">
        <v>871</v>
      </c>
      <c r="J18" s="0" t="n">
        <v>20.4604181348367</v>
      </c>
      <c r="K18" s="0" t="n">
        <v>3.07</v>
      </c>
      <c r="L18" s="0" t="n">
        <v>1010</v>
      </c>
      <c r="M18" s="0" t="n">
        <v>69</v>
      </c>
      <c r="N18" s="0" t="n">
        <v>941</v>
      </c>
      <c r="O18" s="0" t="n">
        <v>5579</v>
      </c>
      <c r="P18" s="0" t="n">
        <v>14883</v>
      </c>
      <c r="R18" s="0" t="n">
        <v>4365</v>
      </c>
      <c r="S18" s="0" t="n">
        <v>700</v>
      </c>
      <c r="T18" s="0" t="n">
        <v>285</v>
      </c>
      <c r="U18" s="0" t="n">
        <v>89</v>
      </c>
      <c r="V18" s="0" t="n">
        <v>0.48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4805</v>
      </c>
      <c r="I19" s="0" t="n">
        <v>1002</v>
      </c>
      <c r="J19" s="0" t="n">
        <v>20.8532778355879</v>
      </c>
      <c r="K19" s="0" t="n">
        <v>3.48</v>
      </c>
      <c r="L19" s="0" t="n">
        <v>1174</v>
      </c>
      <c r="M19" s="0" t="n">
        <v>82</v>
      </c>
      <c r="N19" s="0" t="n">
        <v>1092</v>
      </c>
      <c r="O19" s="0" t="n">
        <v>6437</v>
      </c>
      <c r="P19" s="0" t="n">
        <v>17612</v>
      </c>
      <c r="R19" s="0" t="n">
        <v>4049</v>
      </c>
      <c r="S19" s="0" t="n">
        <v>675</v>
      </c>
      <c r="T19" s="0" t="n">
        <v>286</v>
      </c>
      <c r="U19" s="0" t="n">
        <v>101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5902</v>
      </c>
      <c r="I20" s="0" t="n">
        <v>1067</v>
      </c>
      <c r="J20" s="0" t="n">
        <v>18.0786174178245</v>
      </c>
      <c r="K20" s="0" t="n">
        <v>3.37</v>
      </c>
      <c r="L20" s="0" t="n">
        <v>1450</v>
      </c>
      <c r="M20" s="0" t="n">
        <v>68</v>
      </c>
      <c r="N20" s="0" t="n">
        <v>1382</v>
      </c>
      <c r="O20" s="0" t="n">
        <v>12573</v>
      </c>
      <c r="P20" s="0" t="n">
        <v>29991</v>
      </c>
      <c r="R20" s="0" t="n">
        <v>8332</v>
      </c>
      <c r="S20" s="0" t="n">
        <v>1079</v>
      </c>
      <c r="T20" s="0" t="n">
        <v>336</v>
      </c>
      <c r="U20" s="0" t="n">
        <v>93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60.82</v>
      </c>
    </row>
    <row r="3" customFormat="false" ht="15" hidden="false" customHeight="false" outlineLevel="0" collapsed="false">
      <c r="A3" s="0" t="s">
        <v>85</v>
      </c>
      <c r="B3" s="3" t="n">
        <v>335</v>
      </c>
    </row>
    <row r="4" customFormat="false" ht="15" hidden="false" customHeight="false" outlineLevel="0" collapsed="false">
      <c r="A4" s="0" t="s">
        <v>86</v>
      </c>
      <c r="B4" s="3" t="n">
        <v>6841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7154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</v>
      </c>
      <c r="D13" s="3" t="n">
        <v>1.5</v>
      </c>
      <c r="E13" s="3" t="n">
        <v>2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33.5</v>
      </c>
      <c r="D14" s="3" t="n">
        <v>32.5</v>
      </c>
      <c r="E14" s="3" t="n">
        <v>33</v>
      </c>
      <c r="F14" s="3" t="n">
        <v>33.5</v>
      </c>
      <c r="G14" s="3" t="n">
        <v>34</v>
      </c>
      <c r="H14" s="3" t="n">
        <v>34</v>
      </c>
      <c r="I14" s="3" t="n">
        <v>34.5</v>
      </c>
      <c r="J14" s="3" t="n">
        <v>34.5</v>
      </c>
      <c r="K14" s="3" t="n">
        <v>35</v>
      </c>
      <c r="L14" s="3" t="n">
        <v>35</v>
      </c>
    </row>
    <row r="15" customFormat="false" ht="15" hidden="false" customHeight="false" outlineLevel="0" collapsed="false">
      <c r="A15" s="0" t="s">
        <v>108</v>
      </c>
      <c r="C15" s="3" t="n">
        <v>1.45</v>
      </c>
      <c r="D15" s="3" t="n">
        <v>1.45</v>
      </c>
      <c r="E15" s="3" t="n">
        <v>1.4</v>
      </c>
      <c r="F15" s="3" t="n">
        <v>1.4</v>
      </c>
      <c r="G15" s="3" t="n">
        <v>1.4</v>
      </c>
      <c r="H15" s="3" t="n">
        <v>1.35</v>
      </c>
      <c r="I15" s="3" t="n">
        <v>1.35</v>
      </c>
      <c r="J15" s="3" t="n">
        <v>1.35</v>
      </c>
      <c r="K15" s="3" t="n">
        <v>1.3</v>
      </c>
      <c r="L15" s="3" t="n">
        <v>1.3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7.1</v>
      </c>
      <c r="D17" s="3" t="n">
        <v>6.6</v>
      </c>
      <c r="E17" s="3" t="n">
        <v>6.3</v>
      </c>
      <c r="F17" s="3" t="n">
        <v>5.9</v>
      </c>
      <c r="G17" s="3" t="n">
        <v>5.6</v>
      </c>
      <c r="H17" s="3" t="n">
        <v>5.1</v>
      </c>
      <c r="I17" s="3" t="n">
        <v>4.7</v>
      </c>
      <c r="J17" s="3" t="n">
        <v>4.3</v>
      </c>
      <c r="K17" s="3" t="n">
        <v>4</v>
      </c>
      <c r="L17" s="3" t="n">
        <v>3.7</v>
      </c>
    </row>
    <row r="18" customFormat="false" ht="15" hidden="false" customHeight="false" outlineLevel="0" collapsed="false">
      <c r="A18" s="0" t="s">
        <v>111</v>
      </c>
      <c r="C18" s="3" t="n">
        <v>1.15</v>
      </c>
      <c r="D18" s="3" t="n">
        <v>1.15</v>
      </c>
      <c r="E18" s="3" t="n">
        <v>1.1</v>
      </c>
      <c r="F18" s="3" t="n">
        <v>1.1</v>
      </c>
      <c r="G18" s="3" t="n">
        <v>1.1</v>
      </c>
      <c r="H18" s="3" t="n">
        <v>1.1</v>
      </c>
      <c r="I18" s="3" t="n">
        <v>1.1</v>
      </c>
      <c r="J18" s="3" t="n">
        <v>1.1</v>
      </c>
      <c r="K18" s="3" t="n">
        <v>1.1</v>
      </c>
      <c r="L18" s="3" t="n">
        <v>1.1</v>
      </c>
    </row>
    <row r="19" customFormat="false" ht="15" hidden="false" customHeight="false" outlineLevel="0" collapsed="false">
      <c r="A19" s="0" t="s">
        <v>112</v>
      </c>
      <c r="C19" s="3" t="n">
        <v>23.5</v>
      </c>
      <c r="D19" s="3" t="n">
        <v>23.5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9.5</v>
      </c>
    </row>
    <row r="21" customFormat="false" ht="15" hidden="false" customHeight="false" outlineLevel="0" collapsed="false">
      <c r="A21" s="0" t="s">
        <v>114</v>
      </c>
      <c r="B21" s="3" t="n">
        <v>3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-4</v>
      </c>
    </row>
    <row r="24" customFormat="false" ht="15" hidden="false" customHeight="false" outlineLevel="0" collapsed="false">
      <c r="A24" s="0" t="s">
        <v>117</v>
      </c>
      <c r="B24" s="3" t="n">
        <v>0.3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4</v>
      </c>
      <c r="D27" s="3" t="n">
        <v>4.5</v>
      </c>
      <c r="E27" s="3" t="n">
        <v>5</v>
      </c>
      <c r="F27" s="3" t="n">
        <v>5</v>
      </c>
      <c r="G27" s="3" t="n">
        <v>5</v>
      </c>
      <c r="H27" s="3" t="n">
        <v>4.5</v>
      </c>
      <c r="I27" s="3" t="n">
        <v>4</v>
      </c>
      <c r="J27" s="3" t="n">
        <v>4</v>
      </c>
      <c r="K27" s="3" t="n">
        <v>3.5</v>
      </c>
      <c r="L27" s="3" t="n">
        <v>3.5</v>
      </c>
    </row>
    <row r="28" customFormat="false" ht="15" hidden="false" customHeight="false" outlineLevel="0" collapsed="false">
      <c r="A28" s="0" t="s">
        <v>107</v>
      </c>
      <c r="C28" s="3" t="n">
        <v>35.5</v>
      </c>
      <c r="D28" s="3" t="n">
        <v>35.5</v>
      </c>
      <c r="E28" s="3" t="n">
        <v>36</v>
      </c>
      <c r="F28" s="3" t="n">
        <v>36.5</v>
      </c>
      <c r="G28" s="3" t="n">
        <v>37</v>
      </c>
      <c r="H28" s="3" t="n">
        <v>37</v>
      </c>
      <c r="I28" s="3" t="n">
        <v>37.5</v>
      </c>
      <c r="J28" s="3" t="n">
        <v>37.5</v>
      </c>
      <c r="K28" s="3" t="n">
        <v>38</v>
      </c>
      <c r="L28" s="3" t="n">
        <v>38</v>
      </c>
    </row>
    <row r="29" customFormat="false" ht="15" hidden="false" customHeight="false" outlineLevel="0" collapsed="false">
      <c r="A29" s="0" t="s">
        <v>108</v>
      </c>
      <c r="C29" s="3" t="n">
        <v>1.37</v>
      </c>
      <c r="D29" s="3" t="n">
        <v>1.35</v>
      </c>
      <c r="E29" s="3" t="n">
        <v>1.3</v>
      </c>
      <c r="F29" s="3" t="n">
        <v>1.3</v>
      </c>
      <c r="G29" s="3" t="n">
        <v>1.25</v>
      </c>
      <c r="H29" s="3" t="n">
        <v>1.25</v>
      </c>
      <c r="I29" s="3" t="n">
        <v>1.2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6.99</v>
      </c>
      <c r="D31" s="3" t="n">
        <v>6.47</v>
      </c>
      <c r="E31" s="3" t="n">
        <v>6.1</v>
      </c>
      <c r="F31" s="3" t="n">
        <v>5.63</v>
      </c>
      <c r="G31" s="3" t="n">
        <v>5.26</v>
      </c>
      <c r="H31" s="3" t="n">
        <v>4.77</v>
      </c>
      <c r="I31" s="3" t="n">
        <v>4.35</v>
      </c>
      <c r="J31" s="3" t="n">
        <v>3.97</v>
      </c>
      <c r="K31" s="3" t="n">
        <v>3.65</v>
      </c>
      <c r="L31" s="3" t="n">
        <v>3.36</v>
      </c>
    </row>
    <row r="32" customFormat="false" ht="15" hidden="false" customHeight="false" outlineLevel="0" collapsed="false">
      <c r="A32" s="0" t="s">
        <v>111</v>
      </c>
      <c r="C32" s="3" t="n">
        <v>1.06</v>
      </c>
      <c r="D32" s="3" t="n">
        <v>1.05</v>
      </c>
      <c r="E32" s="3" t="n">
        <v>1.05</v>
      </c>
      <c r="F32" s="3" t="n">
        <v>1</v>
      </c>
      <c r="G32" s="3" t="n">
        <v>1</v>
      </c>
      <c r="H32" s="3" t="n">
        <v>1</v>
      </c>
      <c r="I32" s="3" t="n">
        <v>1</v>
      </c>
      <c r="J32" s="3" t="n">
        <v>1</v>
      </c>
      <c r="K32" s="3" t="n">
        <v>1</v>
      </c>
      <c r="L32" s="3" t="n">
        <v>1</v>
      </c>
    </row>
    <row r="33" customFormat="false" ht="15" hidden="false" customHeight="false" outlineLevel="0" collapsed="false">
      <c r="A33" s="0" t="s">
        <v>112</v>
      </c>
      <c r="C33" s="3" t="n">
        <v>22.5</v>
      </c>
      <c r="D33" s="3" t="n">
        <v>22.5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9.5</v>
      </c>
    </row>
    <row r="35" customFormat="false" ht="15" hidden="false" customHeight="false" outlineLevel="0" collapsed="false">
      <c r="A35" s="0" t="s">
        <v>114</v>
      </c>
      <c r="B35" s="3" t="n">
        <v>4</v>
      </c>
    </row>
    <row r="36" customFormat="false" ht="15" hidden="false" customHeight="false" outlineLevel="0" collapsed="false">
      <c r="A36" s="0" t="s">
        <v>115</v>
      </c>
      <c r="B36" s="3" t="n">
        <v>16</v>
      </c>
    </row>
    <row r="37" customFormat="false" ht="15" hidden="false" customHeight="false" outlineLevel="0" collapsed="false">
      <c r="A37" s="0" t="s">
        <v>116</v>
      </c>
      <c r="B37" s="3" t="n">
        <v>-3</v>
      </c>
    </row>
    <row r="38" customFormat="false" ht="15" hidden="false" customHeight="false" outlineLevel="0" collapsed="false">
      <c r="A38" s="0" t="s">
        <v>117</v>
      </c>
      <c r="B38" s="3" t="n">
        <v>0.45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7</v>
      </c>
      <c r="D41" s="3" t="n">
        <v>8</v>
      </c>
      <c r="E41" s="3" t="n">
        <v>8</v>
      </c>
      <c r="F41" s="3" t="n">
        <v>7.5</v>
      </c>
      <c r="G41" s="3" t="n">
        <v>7</v>
      </c>
      <c r="H41" s="3" t="n">
        <v>6.5</v>
      </c>
      <c r="I41" s="3" t="n">
        <v>6</v>
      </c>
      <c r="J41" s="3" t="n">
        <v>5.5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107</v>
      </c>
      <c r="C42" s="3" t="n">
        <v>36.5</v>
      </c>
      <c r="D42" s="3" t="n">
        <v>37.5</v>
      </c>
      <c r="E42" s="3" t="n">
        <v>38.5</v>
      </c>
      <c r="F42" s="3" t="n">
        <v>39</v>
      </c>
      <c r="G42" s="3" t="n">
        <v>39.5</v>
      </c>
      <c r="H42" s="3" t="n">
        <v>40</v>
      </c>
      <c r="I42" s="3" t="n">
        <v>40</v>
      </c>
      <c r="J42" s="3" t="n">
        <v>40.5</v>
      </c>
      <c r="K42" s="3" t="n">
        <v>40.5</v>
      </c>
      <c r="L42" s="3" t="n">
        <v>41</v>
      </c>
    </row>
    <row r="43" customFormat="false" ht="15" hidden="false" customHeight="false" outlineLevel="0" collapsed="false">
      <c r="A43" s="0" t="s">
        <v>108</v>
      </c>
      <c r="C43" s="3" t="n">
        <v>1.3</v>
      </c>
      <c r="D43" s="3" t="n">
        <v>1.25</v>
      </c>
      <c r="E43" s="3" t="n">
        <v>1.2</v>
      </c>
      <c r="F43" s="3" t="n">
        <v>1.2</v>
      </c>
      <c r="G43" s="3" t="n">
        <v>1.15</v>
      </c>
      <c r="H43" s="3" t="n">
        <v>1.15</v>
      </c>
      <c r="I43" s="3" t="n">
        <v>1.1</v>
      </c>
      <c r="J43" s="3" t="n">
        <v>1.1</v>
      </c>
      <c r="K43" s="3" t="n">
        <v>1.1</v>
      </c>
      <c r="L43" s="3" t="n">
        <v>1.1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6.9</v>
      </c>
      <c r="D45" s="3" t="n">
        <v>6.35</v>
      </c>
      <c r="E45" s="3" t="n">
        <v>5.95</v>
      </c>
      <c r="F45" s="3" t="n">
        <v>5.45</v>
      </c>
      <c r="G45" s="3" t="n">
        <v>5.05</v>
      </c>
      <c r="H45" s="3" t="n">
        <v>4.55</v>
      </c>
      <c r="I45" s="3" t="n">
        <v>4.1</v>
      </c>
      <c r="J45" s="3" t="n">
        <v>3.7</v>
      </c>
      <c r="K45" s="3" t="n">
        <v>3.4</v>
      </c>
      <c r="L45" s="3" t="n">
        <v>3.1</v>
      </c>
    </row>
    <row r="46" customFormat="false" ht="15" hidden="false" customHeight="false" outlineLevel="0" collapsed="false">
      <c r="A46" s="0" t="s">
        <v>111</v>
      </c>
      <c r="C46" s="3" t="n">
        <v>1</v>
      </c>
      <c r="D46" s="3" t="n">
        <v>1</v>
      </c>
      <c r="E46" s="3" t="n">
        <v>1</v>
      </c>
      <c r="F46" s="3" t="n">
        <v>0.95</v>
      </c>
      <c r="G46" s="3" t="n">
        <v>0.95</v>
      </c>
      <c r="H46" s="3" t="n">
        <v>0.95</v>
      </c>
      <c r="I46" s="3" t="n">
        <v>0.95</v>
      </c>
      <c r="J46" s="3" t="n">
        <v>0.95</v>
      </c>
      <c r="K46" s="3" t="n">
        <v>0.95</v>
      </c>
      <c r="L46" s="3" t="n">
        <v>0.95</v>
      </c>
    </row>
    <row r="47" customFormat="false" ht="15" hidden="false" customHeight="false" outlineLevel="0" collapsed="false">
      <c r="A47" s="0" t="s">
        <v>112</v>
      </c>
      <c r="C47" s="3" t="n">
        <v>22</v>
      </c>
      <c r="D47" s="3" t="n">
        <v>22</v>
      </c>
      <c r="E47" s="3" t="n">
        <v>22.5</v>
      </c>
      <c r="F47" s="3" t="n">
        <v>22.5</v>
      </c>
      <c r="G47" s="3" t="n">
        <v>22.5</v>
      </c>
      <c r="H47" s="3" t="n">
        <v>22.5</v>
      </c>
      <c r="I47" s="3" t="n">
        <v>22.5</v>
      </c>
      <c r="J47" s="3" t="n">
        <v>22.5</v>
      </c>
      <c r="K47" s="3" t="n">
        <v>22.5</v>
      </c>
      <c r="L47" s="3" t="n">
        <v>22.5</v>
      </c>
    </row>
    <row r="48" customFormat="false" ht="15" hidden="false" customHeight="false" outlineLevel="0" collapsed="false">
      <c r="A48" s="0" t="s">
        <v>113</v>
      </c>
      <c r="B48" s="3" t="n">
        <v>9.5</v>
      </c>
    </row>
    <row r="49" customFormat="false" ht="15" hidden="false" customHeight="false" outlineLevel="0" collapsed="false">
      <c r="A49" s="0" t="s">
        <v>114</v>
      </c>
      <c r="B49" s="3" t="n">
        <v>4.5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-2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</v>
      </c>
      <c r="D5" s="4" t="n">
        <f aca="false">Assumptions!D13</f>
        <v>1.5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7154</v>
      </c>
      <c r="C6" s="0" t="n">
        <f aca="false">B6*(1+C5/100)</f>
        <v>7225.54</v>
      </c>
      <c r="D6" s="0" t="n">
        <f aca="false">C6*(1+D5/100)</f>
        <v>7333.9231</v>
      </c>
      <c r="E6" s="0" t="n">
        <f aca="false">D6*(1+E5/100)</f>
        <v>7480.601562</v>
      </c>
      <c r="F6" s="0" t="n">
        <f aca="false">E6*(1+F5/100)</f>
        <v>7630.21359324</v>
      </c>
      <c r="G6" s="0" t="n">
        <f aca="false">F6*(1+G5/100)</f>
        <v>7820.968933071</v>
      </c>
      <c r="H6" s="0" t="n">
        <f aca="false">G6*(1+H5/100)</f>
        <v>8016.49315639777</v>
      </c>
      <c r="I6" s="0" t="n">
        <f aca="false">H6*(1+I5/100)</f>
        <v>8216.90548530772</v>
      </c>
      <c r="J6" s="0" t="n">
        <f aca="false">I6*(1+J5/100)</f>
        <v>8422.32812244041</v>
      </c>
      <c r="K6" s="0" t="n">
        <f aca="false">J6*(1+K5/100)</f>
        <v>8632.88632550142</v>
      </c>
      <c r="L6" s="0" t="n">
        <f aca="false">K6*(1+L5/100)</f>
        <v>8848.70848363895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33.5</v>
      </c>
      <c r="D7" s="4" t="n">
        <f aca="false">Assumptions!D14</f>
        <v>32.5</v>
      </c>
      <c r="E7" s="4" t="n">
        <f aca="false">Assumptions!E14</f>
        <v>33</v>
      </c>
      <c r="F7" s="4" t="n">
        <f aca="false">Assumptions!F14</f>
        <v>33.5</v>
      </c>
      <c r="G7" s="4" t="n">
        <f aca="false">Assumptions!G14</f>
        <v>34</v>
      </c>
      <c r="H7" s="4" t="n">
        <f aca="false">Assumptions!H14</f>
        <v>34</v>
      </c>
      <c r="I7" s="4" t="n">
        <f aca="false">Assumptions!I14</f>
        <v>34.5</v>
      </c>
      <c r="J7" s="4" t="n">
        <f aca="false">Assumptions!J14</f>
        <v>34.5</v>
      </c>
      <c r="K7" s="4" t="n">
        <f aca="false">Assumptions!K14</f>
        <v>35</v>
      </c>
      <c r="L7" s="4" t="n">
        <f aca="false">Assumptions!L14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2420.5559</v>
      </c>
      <c r="D8" s="0" t="n">
        <f aca="false">D6*D7/100</f>
        <v>2383.5250075</v>
      </c>
      <c r="E8" s="0" t="n">
        <f aca="false">E6*E7/100</f>
        <v>2468.59851546</v>
      </c>
      <c r="F8" s="0" t="n">
        <f aca="false">F6*F7/100</f>
        <v>2556.1215537354</v>
      </c>
      <c r="G8" s="0" t="n">
        <f aca="false">G6*G7/100</f>
        <v>2659.12943724414</v>
      </c>
      <c r="H8" s="0" t="n">
        <f aca="false">H6*H7/100</f>
        <v>2725.60767317524</v>
      </c>
      <c r="I8" s="0" t="n">
        <f aca="false">I6*I7/100</f>
        <v>2834.83239243116</v>
      </c>
      <c r="J8" s="0" t="n">
        <f aca="false">J6*J7/100</f>
        <v>2905.70320224194</v>
      </c>
      <c r="K8" s="0" t="n">
        <f aca="false">K6*K7/100</f>
        <v>3021.5102139255</v>
      </c>
      <c r="L8" s="0" t="n">
        <f aca="false">L6*L7/100</f>
        <v>3097.04796927363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1.45</v>
      </c>
      <c r="D9" s="4" t="n">
        <f aca="false">Assumptions!D15</f>
        <v>1.45</v>
      </c>
      <c r="E9" s="4" t="n">
        <f aca="false">Assumptions!E15</f>
        <v>1.4</v>
      </c>
      <c r="F9" s="4" t="n">
        <f aca="false">Assumptions!F15</f>
        <v>1.4</v>
      </c>
      <c r="G9" s="4" t="n">
        <f aca="false">Assumptions!G15</f>
        <v>1.4</v>
      </c>
      <c r="H9" s="4" t="n">
        <f aca="false">Assumptions!H15</f>
        <v>1.35</v>
      </c>
      <c r="I9" s="4" t="n">
        <f aca="false">Assumptions!I15</f>
        <v>1.35</v>
      </c>
      <c r="J9" s="4" t="n">
        <f aca="false">Assumptions!J15</f>
        <v>1.35</v>
      </c>
      <c r="K9" s="4" t="n">
        <f aca="false">Assumptions!K15</f>
        <v>1.3</v>
      </c>
      <c r="L9" s="4" t="n">
        <f aca="false">Assumptions!L15</f>
        <v>1.3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-104.77033</v>
      </c>
      <c r="D10" s="0" t="n">
        <f aca="false">-D6*D9/100</f>
        <v>-106.34188495</v>
      </c>
      <c r="E10" s="0" t="n">
        <f aca="false">-E6*E9/100</f>
        <v>-104.728421868</v>
      </c>
      <c r="F10" s="0" t="n">
        <f aca="false">-F6*F9/100</f>
        <v>-106.82299030536</v>
      </c>
      <c r="G10" s="0" t="n">
        <f aca="false">-G6*G9/100</f>
        <v>-109.493565062994</v>
      </c>
      <c r="H10" s="0" t="n">
        <f aca="false">-H6*H9/100</f>
        <v>-108.22265761137</v>
      </c>
      <c r="I10" s="0" t="n">
        <f aca="false">-I6*I9/100</f>
        <v>-110.928224051654</v>
      </c>
      <c r="J10" s="0" t="n">
        <f aca="false">-J6*J9/100</f>
        <v>-113.701429652945</v>
      </c>
      <c r="K10" s="0" t="n">
        <f aca="false">-K6*K9/100</f>
        <v>-112.227522231518</v>
      </c>
      <c r="L10" s="0" t="n">
        <f aca="false">-L6*L9/100</f>
        <v>-115.033210287306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2315.78557</v>
      </c>
      <c r="D11" s="0" t="n">
        <f aca="false">D8+D10+D24</f>
        <v>2277.18312255</v>
      </c>
      <c r="E11" s="0" t="n">
        <f aca="false">E8+E10+E24</f>
        <v>2363.870093592</v>
      </c>
      <c r="F11" s="0" t="n">
        <f aca="false">F8+F10+F24</f>
        <v>2449.29856343004</v>
      </c>
      <c r="G11" s="0" t="n">
        <f aca="false">G8+G10+G24</f>
        <v>2549.63587218115</v>
      </c>
      <c r="H11" s="0" t="n">
        <f aca="false">H8+H10+H24</f>
        <v>2617.38501556387</v>
      </c>
      <c r="I11" s="0" t="n">
        <f aca="false">I8+I10+I24</f>
        <v>2723.90416837951</v>
      </c>
      <c r="J11" s="0" t="n">
        <f aca="false">J8+J10+J24</f>
        <v>2792.00177258899</v>
      </c>
      <c r="K11" s="0" t="n">
        <f aca="false">K8+K10+K24</f>
        <v>2909.28269169398</v>
      </c>
      <c r="L11" s="0" t="n">
        <f aca="false">L8+L10+L24</f>
        <v>2982.01475898633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-513.01334</v>
      </c>
      <c r="D12" s="4" t="n">
        <f aca="false">-D6*Assumptions!D17/100</f>
        <v>-484.0389246</v>
      </c>
      <c r="E12" s="4" t="n">
        <f aca="false">-E6*Assumptions!E17/100</f>
        <v>-471.277898406</v>
      </c>
      <c r="F12" s="4" t="n">
        <f aca="false">-F6*Assumptions!F17/100</f>
        <v>-450.18260200116</v>
      </c>
      <c r="G12" s="4" t="n">
        <f aca="false">-G6*Assumptions!G17/100</f>
        <v>-437.974260251976</v>
      </c>
      <c r="H12" s="4" t="n">
        <f aca="false">-H6*Assumptions!H17/100</f>
        <v>-408.841150976286</v>
      </c>
      <c r="I12" s="4" t="n">
        <f aca="false">-I6*Assumptions!I17/100</f>
        <v>-386.194557809463</v>
      </c>
      <c r="J12" s="4" t="n">
        <f aca="false">-J6*Assumptions!J17/100</f>
        <v>-362.160109264938</v>
      </c>
      <c r="K12" s="4" t="n">
        <f aca="false">-K6*Assumptions!K17/100</f>
        <v>-345.315453020057</v>
      </c>
      <c r="L12" s="4" t="n">
        <f aca="false">-L6*Assumptions!L17/100</f>
        <v>-327.402213894641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1802.77223</v>
      </c>
      <c r="D13" s="0" t="n">
        <f aca="false">D11+D12</f>
        <v>1793.14419795</v>
      </c>
      <c r="E13" s="0" t="n">
        <f aca="false">E11+E12</f>
        <v>1892.592195186</v>
      </c>
      <c r="F13" s="0" t="n">
        <f aca="false">F11+F12</f>
        <v>1999.11596142888</v>
      </c>
      <c r="G13" s="0" t="n">
        <f aca="false">G11+G12</f>
        <v>2111.66161192917</v>
      </c>
      <c r="H13" s="0" t="n">
        <f aca="false">H11+H12</f>
        <v>2208.54386458759</v>
      </c>
      <c r="I13" s="0" t="n">
        <f aca="false">I11+I12</f>
        <v>2337.70961057005</v>
      </c>
      <c r="J13" s="0" t="n">
        <f aca="false">J11+J12</f>
        <v>2429.84166332406</v>
      </c>
      <c r="K13" s="0" t="n">
        <f aca="false">K11+K12</f>
        <v>2563.96723867392</v>
      </c>
      <c r="L13" s="0" t="n">
        <f aca="false">L11+L12</f>
        <v>2654.61254509169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23.5</v>
      </c>
      <c r="D14" s="4" t="n">
        <f aca="false">Assumptions!D19</f>
        <v>23.5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1379.12075595</v>
      </c>
      <c r="D15" s="0" t="n">
        <f aca="false">D13-MAX(0,D13)*D14/100</f>
        <v>1371.75531143175</v>
      </c>
      <c r="E15" s="0" t="n">
        <f aca="false">E13-MAX(0,E13)*E14/100</f>
        <v>1438.37006834136</v>
      </c>
      <c r="F15" s="0" t="n">
        <f aca="false">F13-MAX(0,F13)*F14/100</f>
        <v>1519.32813068595</v>
      </c>
      <c r="G15" s="0" t="n">
        <f aca="false">G13-MAX(0,G13)*G14/100</f>
        <v>1604.86282506617</v>
      </c>
      <c r="H15" s="0" t="n">
        <f aca="false">H13-MAX(0,H13)*H14/100</f>
        <v>1678.49333708657</v>
      </c>
      <c r="I15" s="0" t="n">
        <f aca="false">I13-MAX(0,I13)*I14/100</f>
        <v>1776.65930403323</v>
      </c>
      <c r="J15" s="0" t="n">
        <f aca="false">J13-MAX(0,J13)*J14/100</f>
        <v>1846.67966412628</v>
      </c>
      <c r="K15" s="0" t="n">
        <f aca="false">K13-MAX(0,K13)*K14/100</f>
        <v>1948.61510139218</v>
      </c>
      <c r="L15" s="0" t="n">
        <f aca="false">L13-MAX(0,L13)*L14/100</f>
        <v>2017.50553426968</v>
      </c>
    </row>
    <row r="16" customFormat="false" ht="15" hidden="false" customHeight="false" outlineLevel="0" collapsed="false">
      <c r="A16" s="0" t="s">
        <v>128</v>
      </c>
      <c r="C16" s="0" t="n">
        <f aca="false">-C12</f>
        <v>513.01334</v>
      </c>
      <c r="D16" s="0" t="n">
        <f aca="false">-D12</f>
        <v>484.0389246</v>
      </c>
      <c r="E16" s="0" t="n">
        <f aca="false">-E12</f>
        <v>471.277898406</v>
      </c>
      <c r="F16" s="0" t="n">
        <f aca="false">-F12</f>
        <v>450.18260200116</v>
      </c>
      <c r="G16" s="0" t="n">
        <f aca="false">-G12</f>
        <v>437.974260251976</v>
      </c>
      <c r="H16" s="0" t="n">
        <f aca="false">-H12</f>
        <v>408.841150976286</v>
      </c>
      <c r="I16" s="0" t="n">
        <f aca="false">-I12</f>
        <v>386.194557809463</v>
      </c>
      <c r="J16" s="0" t="n">
        <f aca="false">-J12</f>
        <v>362.160109264938</v>
      </c>
      <c r="K16" s="0" t="n">
        <f aca="false">-K12</f>
        <v>345.315453020057</v>
      </c>
      <c r="L16" s="0" t="n">
        <f aca="false">-L12</f>
        <v>327.402213894641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-83.09371</v>
      </c>
      <c r="D17" s="4" t="n">
        <f aca="false">-D6*Assumptions!D18/100</f>
        <v>-84.34011565</v>
      </c>
      <c r="E17" s="4" t="n">
        <f aca="false">-E6*Assumptions!E18/100</f>
        <v>-82.286617182</v>
      </c>
      <c r="F17" s="4" t="n">
        <f aca="false">-F6*Assumptions!F18/100</f>
        <v>-83.93234952564</v>
      </c>
      <c r="G17" s="4" t="n">
        <f aca="false">-G6*Assumptions!G18/100</f>
        <v>-86.030658263781</v>
      </c>
      <c r="H17" s="4" t="n">
        <f aca="false">-H6*Assumptions!H18/100</f>
        <v>-88.1814247203755</v>
      </c>
      <c r="I17" s="4" t="n">
        <f aca="false">-I6*Assumptions!I18/100</f>
        <v>-90.3859603383849</v>
      </c>
      <c r="J17" s="4" t="n">
        <f aca="false">-J6*Assumptions!J18/100</f>
        <v>-92.6456093468445</v>
      </c>
      <c r="K17" s="4" t="n">
        <f aca="false">-K6*Assumptions!K18/100</f>
        <v>-94.9617495805156</v>
      </c>
      <c r="L17" s="4" t="n">
        <f aca="false">-L6*Assumptions!L18/100</f>
        <v>-97.3357933200285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-2.8616</v>
      </c>
      <c r="D18" s="4" t="n">
        <f aca="false">(D6-C6)*Assumptions!$B$23/100</f>
        <v>-4.33532399999996</v>
      </c>
      <c r="E18" s="4" t="n">
        <f aca="false">(E6-D6)*Assumptions!$B$23/100</f>
        <v>-5.86713847999999</v>
      </c>
      <c r="F18" s="4" t="n">
        <f aca="false">(F6-E6)*Assumptions!$B$23/100</f>
        <v>-5.98448124959999</v>
      </c>
      <c r="G18" s="4" t="n">
        <f aca="false">(G6-F6)*Assumptions!$B$23/100</f>
        <v>-7.63021359323997</v>
      </c>
      <c r="H18" s="4" t="n">
        <f aca="false">(H6-G6)*Assumptions!$B$23/100</f>
        <v>-7.82096893307098</v>
      </c>
      <c r="I18" s="4" t="n">
        <f aca="false">(I6-H6)*Assumptions!$B$23/100</f>
        <v>-8.01649315639774</v>
      </c>
      <c r="J18" s="4" t="n">
        <f aca="false">(J6-I6)*Assumptions!$B$23/100</f>
        <v>-8.21690548530765</v>
      </c>
      <c r="K18" s="4" t="n">
        <f aca="false">(K6-J6)*Assumptions!$B$23/100</f>
        <v>-8.42232812244038</v>
      </c>
      <c r="L18" s="4" t="n">
        <f aca="false">(L6-K6)*Assumptions!$B$23/100</f>
        <v>-8.63288632550139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1806.17878595</v>
      </c>
      <c r="D19" s="0" t="n">
        <f aca="false">D15+D16+D17+D18</f>
        <v>1767.11879638175</v>
      </c>
      <c r="E19" s="0" t="n">
        <f aca="false">E15+E16+E17+E18</f>
        <v>1821.49421108536</v>
      </c>
      <c r="F19" s="0" t="n">
        <f aca="false">F15+F16+F17+F18</f>
        <v>1879.59390191187</v>
      </c>
      <c r="G19" s="0" t="n">
        <f aca="false">G15+G16+G17+G18</f>
        <v>1949.17621346112</v>
      </c>
      <c r="H19" s="0" t="n">
        <f aca="false">H15+H16+H17+H18</f>
        <v>1991.33209440941</v>
      </c>
      <c r="I19" s="0" t="n">
        <f aca="false">I15+I16+I17+I18</f>
        <v>2064.45140834791</v>
      </c>
      <c r="J19" s="0" t="n">
        <f aca="false">J15+J16+J17+J18</f>
        <v>2107.97725855907</v>
      </c>
      <c r="K19" s="0" t="n">
        <f aca="false">K15+K16+K17+K18</f>
        <v>2190.54647670928</v>
      </c>
      <c r="L19" s="0" t="n">
        <f aca="false">L15+L16+L17+L18</f>
        <v>2238.93906851879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1649.47834333333</v>
      </c>
      <c r="D21" s="0" t="n">
        <f aca="false">D19*D20</f>
        <v>1473.79645660578</v>
      </c>
      <c r="E21" s="0" t="n">
        <f aca="false">E19*E20</f>
        <v>1387.34808111146</v>
      </c>
      <c r="F21" s="0" t="n">
        <f aca="false">F19*F20</f>
        <v>1307.3972003585</v>
      </c>
      <c r="G21" s="0" t="n">
        <f aca="false">G19*G20</f>
        <v>1238.17065529985</v>
      </c>
      <c r="H21" s="0" t="n">
        <f aca="false">H19*H20</f>
        <v>1155.20478276943</v>
      </c>
      <c r="I21" s="0" t="n">
        <f aca="false">I19*I20</f>
        <v>1093.7191870167</v>
      </c>
      <c r="J21" s="0" t="n">
        <f aca="false">J19*J20</f>
        <v>1019.88914122232</v>
      </c>
      <c r="K21" s="0" t="n">
        <f aca="false">K19*K20</f>
        <v>967.88865517041</v>
      </c>
      <c r="L21" s="0" t="n">
        <f aca="false">L19*L20</f>
        <v>903.44367739253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12196.3361802803</v>
      </c>
    </row>
    <row r="31" customFormat="false" ht="15" hidden="false" customHeight="false" outlineLevel="0" collapsed="false">
      <c r="A31" s="0" t="s">
        <v>137</v>
      </c>
      <c r="B31" s="0" t="n">
        <f aca="false">L19</f>
        <v>2238.93906851879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35478.5729319132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29106.2078907443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29106.2078907443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11744.7678061029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23941.1039863832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17100.1039863832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51.0450865265171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-0.160718735177293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680.560987992199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735.539357938819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55.2722517382514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19217.5603381196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22.5663239585317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4</v>
      </c>
      <c r="D5" s="4" t="n">
        <f aca="false">Assumptions!D27</f>
        <v>4.5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7154</v>
      </c>
      <c r="C6" s="0" t="n">
        <f aca="false">B6*(1+C5/100)</f>
        <v>7440.16</v>
      </c>
      <c r="D6" s="0" t="n">
        <f aca="false">C6*(1+D5/100)</f>
        <v>7774.9672</v>
      </c>
      <c r="E6" s="0" t="n">
        <f aca="false">D6*(1+E5/100)</f>
        <v>8163.71556</v>
      </c>
      <c r="F6" s="0" t="n">
        <f aca="false">E6*(1+F5/100)</f>
        <v>8571.901338</v>
      </c>
      <c r="G6" s="0" t="n">
        <f aca="false">F6*(1+G5/100)</f>
        <v>9000.4964049</v>
      </c>
      <c r="H6" s="0" t="n">
        <f aca="false">G6*(1+H5/100)</f>
        <v>9405.5187431205</v>
      </c>
      <c r="I6" s="0" t="n">
        <f aca="false">H6*(1+I5/100)</f>
        <v>9781.73949284532</v>
      </c>
      <c r="J6" s="0" t="n">
        <f aca="false">I6*(1+J5/100)</f>
        <v>10173.0090725591</v>
      </c>
      <c r="K6" s="0" t="n">
        <f aca="false">J6*(1+K5/100)</f>
        <v>10529.0643900987</v>
      </c>
      <c r="L6" s="0" t="n">
        <f aca="false">K6*(1+L5/100)</f>
        <v>10897.5816437522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35.5</v>
      </c>
      <c r="D7" s="4" t="n">
        <f aca="false">Assumptions!D28</f>
        <v>35.5</v>
      </c>
      <c r="E7" s="4" t="n">
        <f aca="false">Assumptions!E28</f>
        <v>36</v>
      </c>
      <c r="F7" s="4" t="n">
        <f aca="false">Assumptions!F28</f>
        <v>36.5</v>
      </c>
      <c r="G7" s="4" t="n">
        <f aca="false">Assumptions!G28</f>
        <v>37</v>
      </c>
      <c r="H7" s="4" t="n">
        <f aca="false">Assumptions!H28</f>
        <v>37</v>
      </c>
      <c r="I7" s="4" t="n">
        <f aca="false">Assumptions!I28</f>
        <v>37.5</v>
      </c>
      <c r="J7" s="4" t="n">
        <f aca="false">Assumptions!J28</f>
        <v>37.5</v>
      </c>
      <c r="K7" s="4" t="n">
        <f aca="false">Assumptions!K28</f>
        <v>38</v>
      </c>
      <c r="L7" s="4" t="n">
        <f aca="false">Assumptions!L28</f>
        <v>38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2641.2568</v>
      </c>
      <c r="D8" s="0" t="n">
        <f aca="false">D6*D7/100</f>
        <v>2760.113356</v>
      </c>
      <c r="E8" s="0" t="n">
        <f aca="false">E6*E7/100</f>
        <v>2938.9376016</v>
      </c>
      <c r="F8" s="0" t="n">
        <f aca="false">F6*F7/100</f>
        <v>3128.74398837</v>
      </c>
      <c r="G8" s="0" t="n">
        <f aca="false">G6*G7/100</f>
        <v>3330.183669813</v>
      </c>
      <c r="H8" s="0" t="n">
        <f aca="false">H6*H7/100</f>
        <v>3480.04193495458</v>
      </c>
      <c r="I8" s="0" t="n">
        <f aca="false">I6*I7/100</f>
        <v>3668.15230981699</v>
      </c>
      <c r="J8" s="0" t="n">
        <f aca="false">J6*J7/100</f>
        <v>3814.87840220967</v>
      </c>
      <c r="K8" s="0" t="n">
        <f aca="false">K6*K7/100</f>
        <v>4001.04446823751</v>
      </c>
      <c r="L8" s="0" t="n">
        <f aca="false">L6*L7/100</f>
        <v>4141.08102462582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1.37</v>
      </c>
      <c r="D9" s="4" t="n">
        <f aca="false">Assumptions!D29</f>
        <v>1.35</v>
      </c>
      <c r="E9" s="4" t="n">
        <f aca="false">Assumptions!E29</f>
        <v>1.3</v>
      </c>
      <c r="F9" s="4" t="n">
        <f aca="false">Assumptions!F29</f>
        <v>1.3</v>
      </c>
      <c r="G9" s="4" t="n">
        <f aca="false">Assumptions!G29</f>
        <v>1.25</v>
      </c>
      <c r="H9" s="4" t="n">
        <f aca="false">Assumptions!H29</f>
        <v>1.25</v>
      </c>
      <c r="I9" s="4" t="n">
        <f aca="false">Assumptions!I29</f>
        <v>1.2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-101.930192</v>
      </c>
      <c r="D10" s="0" t="n">
        <f aca="false">-D6*D9/100</f>
        <v>-104.9620572</v>
      </c>
      <c r="E10" s="0" t="n">
        <f aca="false">-E6*E9/100</f>
        <v>-106.12830228</v>
      </c>
      <c r="F10" s="0" t="n">
        <f aca="false">-F6*F9/100</f>
        <v>-111.434717394</v>
      </c>
      <c r="G10" s="0" t="n">
        <f aca="false">-G6*G9/100</f>
        <v>-112.50620506125</v>
      </c>
      <c r="H10" s="0" t="n">
        <f aca="false">-H6*H9/100</f>
        <v>-117.568984289006</v>
      </c>
      <c r="I10" s="0" t="n">
        <f aca="false">-I6*I9/100</f>
        <v>-117.380873914144</v>
      </c>
      <c r="J10" s="0" t="n">
        <f aca="false">-J6*J9/100</f>
        <v>-122.07610887071</v>
      </c>
      <c r="K10" s="0" t="n">
        <f aca="false">-K6*K9/100</f>
        <v>-126.348772681184</v>
      </c>
      <c r="L10" s="0" t="n">
        <f aca="false">-L6*L9/100</f>
        <v>-130.770979725026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2539.326608</v>
      </c>
      <c r="D11" s="0" t="n">
        <f aca="false">D8+D10+D24</f>
        <v>2655.1512988</v>
      </c>
      <c r="E11" s="0" t="n">
        <f aca="false">E8+E10+E24</f>
        <v>2832.80929932</v>
      </c>
      <c r="F11" s="0" t="n">
        <f aca="false">F8+F10+F24</f>
        <v>3017.309270976</v>
      </c>
      <c r="G11" s="0" t="n">
        <f aca="false">G8+G10+G24</f>
        <v>3217.67746475175</v>
      </c>
      <c r="H11" s="0" t="n">
        <f aca="false">H8+H10+H24</f>
        <v>3362.47295066558</v>
      </c>
      <c r="I11" s="0" t="n">
        <f aca="false">I8+I10+I24</f>
        <v>3550.77143590285</v>
      </c>
      <c r="J11" s="0" t="n">
        <f aca="false">J8+J10+J24</f>
        <v>3692.80229333897</v>
      </c>
      <c r="K11" s="0" t="n">
        <f aca="false">K8+K10+K24</f>
        <v>3874.69569555632</v>
      </c>
      <c r="L11" s="0" t="n">
        <f aca="false">L8+L10+L24</f>
        <v>4010.31004490079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-520.067184</v>
      </c>
      <c r="D12" s="4" t="n">
        <f aca="false">-D6*Assumptions!D31/100</f>
        <v>-503.04037784</v>
      </c>
      <c r="E12" s="4" t="n">
        <f aca="false">-E6*Assumptions!E31/100</f>
        <v>-497.98664916</v>
      </c>
      <c r="F12" s="4" t="n">
        <f aca="false">-F6*Assumptions!F31/100</f>
        <v>-482.5980453294</v>
      </c>
      <c r="G12" s="4" t="n">
        <f aca="false">-G6*Assumptions!G31/100</f>
        <v>-473.42611089774</v>
      </c>
      <c r="H12" s="4" t="n">
        <f aca="false">-H6*Assumptions!H31/100</f>
        <v>-448.643244046848</v>
      </c>
      <c r="I12" s="4" t="n">
        <f aca="false">-I6*Assumptions!I31/100</f>
        <v>-425.505667938771</v>
      </c>
      <c r="J12" s="4" t="n">
        <f aca="false">-J6*Assumptions!J31/100</f>
        <v>-403.868460180598</v>
      </c>
      <c r="K12" s="4" t="n">
        <f aca="false">-K6*Assumptions!K31/100</f>
        <v>-384.310850238603</v>
      </c>
      <c r="L12" s="4" t="n">
        <f aca="false">-L6*Assumptions!L31/100</f>
        <v>-366.158743230072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2019.259424</v>
      </c>
      <c r="D13" s="0" t="n">
        <f aca="false">D11+D12</f>
        <v>2152.11092096</v>
      </c>
      <c r="E13" s="0" t="n">
        <f aca="false">E11+E12</f>
        <v>2334.82265016</v>
      </c>
      <c r="F13" s="0" t="n">
        <f aca="false">F11+F12</f>
        <v>2534.7112256466</v>
      </c>
      <c r="G13" s="0" t="n">
        <f aca="false">G11+G12</f>
        <v>2744.25135385401</v>
      </c>
      <c r="H13" s="0" t="n">
        <f aca="false">H11+H12</f>
        <v>2913.82970661873</v>
      </c>
      <c r="I13" s="0" t="n">
        <f aca="false">I11+I12</f>
        <v>3125.26576796408</v>
      </c>
      <c r="J13" s="0" t="n">
        <f aca="false">J11+J12</f>
        <v>3288.93383315837</v>
      </c>
      <c r="K13" s="0" t="n">
        <f aca="false">K11+K12</f>
        <v>3490.38484531772</v>
      </c>
      <c r="L13" s="0" t="n">
        <f aca="false">L11+L12</f>
        <v>3644.15130167072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22.5</v>
      </c>
      <c r="D14" s="4" t="n">
        <f aca="false">Assumptions!D33</f>
        <v>22.5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1564.9260536</v>
      </c>
      <c r="D15" s="0" t="n">
        <f aca="false">D13-MAX(0,D13)*D14/100</f>
        <v>1667.885963744</v>
      </c>
      <c r="E15" s="0" t="n">
        <f aca="false">E13-MAX(0,E13)*E14/100</f>
        <v>1797.8134406232</v>
      </c>
      <c r="F15" s="0" t="n">
        <f aca="false">F13-MAX(0,F13)*F14/100</f>
        <v>1951.72764374788</v>
      </c>
      <c r="G15" s="0" t="n">
        <f aca="false">G13-MAX(0,G13)*G14/100</f>
        <v>2113.07354246759</v>
      </c>
      <c r="H15" s="0" t="n">
        <f aca="false">H13-MAX(0,H13)*H14/100</f>
        <v>2243.64887409642</v>
      </c>
      <c r="I15" s="0" t="n">
        <f aca="false">I13-MAX(0,I13)*I14/100</f>
        <v>2406.45464133234</v>
      </c>
      <c r="J15" s="0" t="n">
        <f aca="false">J13-MAX(0,J13)*J14/100</f>
        <v>2532.47905153194</v>
      </c>
      <c r="K15" s="0" t="n">
        <f aca="false">K13-MAX(0,K13)*K14/100</f>
        <v>2687.59633089464</v>
      </c>
      <c r="L15" s="0" t="n">
        <f aca="false">L13-MAX(0,L13)*L14/100</f>
        <v>2805.99650228646</v>
      </c>
    </row>
    <row r="16" customFormat="false" ht="15" hidden="false" customHeight="false" outlineLevel="0" collapsed="false">
      <c r="A16" s="0" t="s">
        <v>128</v>
      </c>
      <c r="C16" s="0" t="n">
        <f aca="false">-C12</f>
        <v>520.067184</v>
      </c>
      <c r="D16" s="0" t="n">
        <f aca="false">-D12</f>
        <v>503.04037784</v>
      </c>
      <c r="E16" s="0" t="n">
        <f aca="false">-E12</f>
        <v>497.98664916</v>
      </c>
      <c r="F16" s="0" t="n">
        <f aca="false">-F12</f>
        <v>482.5980453294</v>
      </c>
      <c r="G16" s="0" t="n">
        <f aca="false">-G12</f>
        <v>473.42611089774</v>
      </c>
      <c r="H16" s="0" t="n">
        <f aca="false">-H12</f>
        <v>448.643244046848</v>
      </c>
      <c r="I16" s="0" t="n">
        <f aca="false">-I12</f>
        <v>425.505667938771</v>
      </c>
      <c r="J16" s="0" t="n">
        <f aca="false">-J12</f>
        <v>403.868460180598</v>
      </c>
      <c r="K16" s="0" t="n">
        <f aca="false">-K12</f>
        <v>384.310850238603</v>
      </c>
      <c r="L16" s="0" t="n">
        <f aca="false">-L12</f>
        <v>366.158743230072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-78.865696</v>
      </c>
      <c r="D17" s="4" t="n">
        <f aca="false">-D6*Assumptions!D32/100</f>
        <v>-81.6371556</v>
      </c>
      <c r="E17" s="4" t="n">
        <f aca="false">-E6*Assumptions!E32/100</f>
        <v>-85.71901338</v>
      </c>
      <c r="F17" s="4" t="n">
        <f aca="false">-F6*Assumptions!F32/100</f>
        <v>-85.71901338</v>
      </c>
      <c r="G17" s="4" t="n">
        <f aca="false">-G6*Assumptions!G32/100</f>
        <v>-90.004964049</v>
      </c>
      <c r="H17" s="4" t="n">
        <f aca="false">-H6*Assumptions!H32/100</f>
        <v>-94.055187431205</v>
      </c>
      <c r="I17" s="4" t="n">
        <f aca="false">-I6*Assumptions!I32/100</f>
        <v>-97.8173949284532</v>
      </c>
      <c r="J17" s="4" t="n">
        <f aca="false">-J6*Assumptions!J32/100</f>
        <v>-101.730090725591</v>
      </c>
      <c r="K17" s="4" t="n">
        <f aca="false">-K6*Assumptions!K32/100</f>
        <v>-105.290643900987</v>
      </c>
      <c r="L17" s="4" t="n">
        <f aca="false">-L6*Assumptions!L32/100</f>
        <v>-108.975816437522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-8.5848</v>
      </c>
      <c r="D18" s="4" t="n">
        <f aca="false">(D6-C6)*Assumptions!$B$37/100</f>
        <v>-10.044216</v>
      </c>
      <c r="E18" s="4" t="n">
        <f aca="false">(E6-D6)*Assumptions!$B$37/100</f>
        <v>-11.6624508</v>
      </c>
      <c r="F18" s="4" t="n">
        <f aca="false">(F6-E6)*Assumptions!$B$37/100</f>
        <v>-12.24557334</v>
      </c>
      <c r="G18" s="4" t="n">
        <f aca="false">(G6-F6)*Assumptions!$B$37/100</f>
        <v>-12.857852007</v>
      </c>
      <c r="H18" s="4" t="n">
        <f aca="false">(H6-G6)*Assumptions!$B$37/100</f>
        <v>-12.150670146615</v>
      </c>
      <c r="I18" s="4" t="n">
        <f aca="false">(I6-H6)*Assumptions!$B$37/100</f>
        <v>-11.2866224917446</v>
      </c>
      <c r="J18" s="4" t="n">
        <f aca="false">(J6-I6)*Assumptions!$B$37/100</f>
        <v>-11.7380873914144</v>
      </c>
      <c r="K18" s="4" t="n">
        <f aca="false">(K6-J6)*Assumptions!$B$37/100</f>
        <v>-10.6816595261871</v>
      </c>
      <c r="L18" s="4" t="n">
        <f aca="false">(L6-K6)*Assumptions!$B$37/100</f>
        <v>-11.0555176096036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1997.5427416</v>
      </c>
      <c r="D19" s="0" t="n">
        <f aca="false">D15+D16+D17+D18</f>
        <v>2079.244969984</v>
      </c>
      <c r="E19" s="0" t="n">
        <f aca="false">E15+E16+E17+E18</f>
        <v>2198.4186256032</v>
      </c>
      <c r="F19" s="0" t="n">
        <f aca="false">F15+F16+F17+F18</f>
        <v>2336.36110235728</v>
      </c>
      <c r="G19" s="0" t="n">
        <f aca="false">G15+G16+G17+G18</f>
        <v>2483.63683730933</v>
      </c>
      <c r="H19" s="0" t="n">
        <f aca="false">H15+H16+H17+H18</f>
        <v>2586.08626056545</v>
      </c>
      <c r="I19" s="0" t="n">
        <f aca="false">I15+I16+I17+I18</f>
        <v>2722.85629185091</v>
      </c>
      <c r="J19" s="0" t="n">
        <f aca="false">J15+J16+J17+J18</f>
        <v>2822.87933359554</v>
      </c>
      <c r="K19" s="0" t="n">
        <f aca="false">K15+K16+K17+K18</f>
        <v>2955.93487770607</v>
      </c>
      <c r="L19" s="0" t="n">
        <f aca="false">L15+L16+L17+L18</f>
        <v>3052.1239114694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1824.23994666667</v>
      </c>
      <c r="D21" s="0" t="n">
        <f aca="false">D19*D20</f>
        <v>1734.11310855403</v>
      </c>
      <c r="E21" s="0" t="n">
        <f aca="false">E19*E20</f>
        <v>1674.43401310231</v>
      </c>
      <c r="F21" s="0" t="n">
        <f aca="false">F19*F20</f>
        <v>1625.11272309482</v>
      </c>
      <c r="G21" s="0" t="n">
        <f aca="false">G19*G20</f>
        <v>1577.67482957203</v>
      </c>
      <c r="H21" s="0" t="n">
        <f aca="false">H19*H20</f>
        <v>1500.23154111095</v>
      </c>
      <c r="I21" s="0" t="n">
        <f aca="false">I19*I20</f>
        <v>1442.53342938678</v>
      </c>
      <c r="J21" s="0" t="n">
        <f aca="false">J19*J20</f>
        <v>1365.77563520917</v>
      </c>
      <c r="K21" s="0" t="n">
        <f aca="false">K19*K20</f>
        <v>1306.0740157644</v>
      </c>
      <c r="L21" s="0" t="n">
        <f aca="false">L19*L20</f>
        <v>1231.57529796459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4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15281.7645404258</v>
      </c>
    </row>
    <row r="31" customFormat="false" ht="15" hidden="false" customHeight="false" outlineLevel="0" collapsed="false">
      <c r="A31" s="0" t="s">
        <v>137</v>
      </c>
      <c r="B31" s="0" t="n">
        <f aca="false">L19</f>
        <v>3052.1239114694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57712.8885077851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48833.9825835104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48833.9825835104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19705.2047674334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34986.9693078592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28145.9693078592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84.0178188294304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0.381417606534534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708.486414126094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997.793879166887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89.1111928392601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28856.4442538925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36.6458522671953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7</v>
      </c>
      <c r="D5" s="4" t="n">
        <f aca="false">Assumptions!D41</f>
        <v>8</v>
      </c>
      <c r="E5" s="4" t="n">
        <f aca="false">Assumptions!E41</f>
        <v>8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5.5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7154</v>
      </c>
      <c r="C6" s="0" t="n">
        <f aca="false">B6*(1+C5/100)</f>
        <v>7654.78</v>
      </c>
      <c r="D6" s="0" t="n">
        <f aca="false">C6*(1+D5/100)</f>
        <v>8267.1624</v>
      </c>
      <c r="E6" s="0" t="n">
        <f aca="false">D6*(1+E5/100)</f>
        <v>8928.535392</v>
      </c>
      <c r="F6" s="0" t="n">
        <f aca="false">E6*(1+F5/100)</f>
        <v>9598.1755464</v>
      </c>
      <c r="G6" s="0" t="n">
        <f aca="false">F6*(1+G5/100)</f>
        <v>10270.047834648</v>
      </c>
      <c r="H6" s="0" t="n">
        <f aca="false">G6*(1+H5/100)</f>
        <v>10937.6009439001</v>
      </c>
      <c r="I6" s="0" t="n">
        <f aca="false">H6*(1+I5/100)</f>
        <v>11593.8570005341</v>
      </c>
      <c r="J6" s="0" t="n">
        <f aca="false">I6*(1+J5/100)</f>
        <v>12231.5191355635</v>
      </c>
      <c r="K6" s="0" t="n">
        <f aca="false">J6*(1+K5/100)</f>
        <v>12843.0950923417</v>
      </c>
      <c r="L6" s="0" t="n">
        <f aca="false">K6*(1+L5/100)</f>
        <v>13421.0343714971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36.5</v>
      </c>
      <c r="D7" s="4" t="n">
        <f aca="false">Assumptions!D42</f>
        <v>37.5</v>
      </c>
      <c r="E7" s="4" t="n">
        <f aca="false">Assumptions!E42</f>
        <v>38.5</v>
      </c>
      <c r="F7" s="4" t="n">
        <f aca="false">Assumptions!F42</f>
        <v>39</v>
      </c>
      <c r="G7" s="4" t="n">
        <f aca="false">Assumptions!G42</f>
        <v>39.5</v>
      </c>
      <c r="H7" s="4" t="n">
        <f aca="false">Assumptions!H42</f>
        <v>40</v>
      </c>
      <c r="I7" s="4" t="n">
        <f aca="false">Assumptions!I42</f>
        <v>40</v>
      </c>
      <c r="J7" s="4" t="n">
        <f aca="false">Assumptions!J42</f>
        <v>40.5</v>
      </c>
      <c r="K7" s="4" t="n">
        <f aca="false">Assumptions!K42</f>
        <v>40.5</v>
      </c>
      <c r="L7" s="4" t="n">
        <f aca="false">Assumptions!L42</f>
        <v>41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2793.9947</v>
      </c>
      <c r="D8" s="0" t="n">
        <f aca="false">D6*D7/100</f>
        <v>3100.1859</v>
      </c>
      <c r="E8" s="0" t="n">
        <f aca="false">E6*E7/100</f>
        <v>3437.48612592</v>
      </c>
      <c r="F8" s="0" t="n">
        <f aca="false">F6*F7/100</f>
        <v>3743.288463096</v>
      </c>
      <c r="G8" s="0" t="n">
        <f aca="false">G6*G7/100</f>
        <v>4056.66889468596</v>
      </c>
      <c r="H8" s="0" t="n">
        <f aca="false">H6*H7/100</f>
        <v>4375.04037756005</v>
      </c>
      <c r="I8" s="0" t="n">
        <f aca="false">I6*I7/100</f>
        <v>4637.54280021365</v>
      </c>
      <c r="J8" s="0" t="n">
        <f aca="false">J6*J7/100</f>
        <v>4953.76524990322</v>
      </c>
      <c r="K8" s="0" t="n">
        <f aca="false">K6*K7/100</f>
        <v>5201.45351239838</v>
      </c>
      <c r="L8" s="0" t="n">
        <f aca="false">L6*L7/100</f>
        <v>5502.62409231379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1.3</v>
      </c>
      <c r="D9" s="4" t="n">
        <f aca="false">Assumptions!D43</f>
        <v>1.25</v>
      </c>
      <c r="E9" s="4" t="n">
        <f aca="false">Assumptions!E43</f>
        <v>1.2</v>
      </c>
      <c r="F9" s="4" t="n">
        <f aca="false">Assumptions!F43</f>
        <v>1.2</v>
      </c>
      <c r="G9" s="4" t="n">
        <f aca="false">Assumptions!G43</f>
        <v>1.15</v>
      </c>
      <c r="H9" s="4" t="n">
        <f aca="false">Assumptions!H43</f>
        <v>1.15</v>
      </c>
      <c r="I9" s="4" t="n">
        <f aca="false">Assumptions!I43</f>
        <v>1.1</v>
      </c>
      <c r="J9" s="4" t="n">
        <f aca="false">Assumptions!J43</f>
        <v>1.1</v>
      </c>
      <c r="K9" s="4" t="n">
        <f aca="false">Assumptions!K43</f>
        <v>1.1</v>
      </c>
      <c r="L9" s="4" t="n">
        <f aca="false">Assumptions!L43</f>
        <v>1.1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-99.51214</v>
      </c>
      <c r="D10" s="0" t="n">
        <f aca="false">-D6*D9/100</f>
        <v>-103.33953</v>
      </c>
      <c r="E10" s="0" t="n">
        <f aca="false">-E6*E9/100</f>
        <v>-107.142424704</v>
      </c>
      <c r="F10" s="0" t="n">
        <f aca="false">-F6*F9/100</f>
        <v>-115.1781065568</v>
      </c>
      <c r="G10" s="0" t="n">
        <f aca="false">-G6*G9/100</f>
        <v>-118.105550098452</v>
      </c>
      <c r="H10" s="0" t="n">
        <f aca="false">-H6*H9/100</f>
        <v>-125.782410854851</v>
      </c>
      <c r="I10" s="0" t="n">
        <f aca="false">-I6*I9/100</f>
        <v>-127.532427005875</v>
      </c>
      <c r="J10" s="0" t="n">
        <f aca="false">-J6*J9/100</f>
        <v>-134.546710491199</v>
      </c>
      <c r="K10" s="0" t="n">
        <f aca="false">-K6*K9/100</f>
        <v>-141.274046015759</v>
      </c>
      <c r="L10" s="0" t="n">
        <f aca="false">-L6*L9/100</f>
        <v>-147.631378086468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2694.48256</v>
      </c>
      <c r="D11" s="0" t="n">
        <f aca="false">D8+D10+D24</f>
        <v>2996.84637</v>
      </c>
      <c r="E11" s="0" t="n">
        <f aca="false">E8+E10+E24</f>
        <v>3330.343701216</v>
      </c>
      <c r="F11" s="0" t="n">
        <f aca="false">F8+F10+F24</f>
        <v>3628.1103565392</v>
      </c>
      <c r="G11" s="0" t="n">
        <f aca="false">G8+G10+G24</f>
        <v>3938.56334458751</v>
      </c>
      <c r="H11" s="0" t="n">
        <f aca="false">H8+H10+H24</f>
        <v>4249.2579667052</v>
      </c>
      <c r="I11" s="0" t="n">
        <f aca="false">I8+I10+I24</f>
        <v>4510.01037320778</v>
      </c>
      <c r="J11" s="0" t="n">
        <f aca="false">J8+J10+J24</f>
        <v>4819.21853941202</v>
      </c>
      <c r="K11" s="0" t="n">
        <f aca="false">K8+K10+K24</f>
        <v>5060.17946638262</v>
      </c>
      <c r="L11" s="0" t="n">
        <f aca="false">L8+L10+L24</f>
        <v>5354.99271422733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-528.17982</v>
      </c>
      <c r="D12" s="4" t="n">
        <f aca="false">-D6*Assumptions!D45/100</f>
        <v>-524.9648124</v>
      </c>
      <c r="E12" s="4" t="n">
        <f aca="false">-E6*Assumptions!E45/100</f>
        <v>-531.247855824</v>
      </c>
      <c r="F12" s="4" t="n">
        <f aca="false">-F6*Assumptions!F45/100</f>
        <v>-523.1005672788</v>
      </c>
      <c r="G12" s="4" t="n">
        <f aca="false">-G6*Assumptions!G45/100</f>
        <v>-518.637415649724</v>
      </c>
      <c r="H12" s="4" t="n">
        <f aca="false">-H6*Assumptions!H45/100</f>
        <v>-497.660842947456</v>
      </c>
      <c r="I12" s="4" t="n">
        <f aca="false">-I6*Assumptions!I45/100</f>
        <v>-475.348137021899</v>
      </c>
      <c r="J12" s="4" t="n">
        <f aca="false">-J6*Assumptions!J45/100</f>
        <v>-452.56620801585</v>
      </c>
      <c r="K12" s="4" t="n">
        <f aca="false">-K6*Assumptions!K45/100</f>
        <v>-436.665233139617</v>
      </c>
      <c r="L12" s="4" t="n">
        <f aca="false">-L6*Assumptions!L45/100</f>
        <v>-416.052065516409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2166.30274</v>
      </c>
      <c r="D13" s="0" t="n">
        <f aca="false">D11+D12</f>
        <v>2471.8815576</v>
      </c>
      <c r="E13" s="0" t="n">
        <f aca="false">E11+E12</f>
        <v>2799.095845392</v>
      </c>
      <c r="F13" s="0" t="n">
        <f aca="false">F11+F12</f>
        <v>3105.0097892604</v>
      </c>
      <c r="G13" s="0" t="n">
        <f aca="false">G11+G12</f>
        <v>3419.92592893779</v>
      </c>
      <c r="H13" s="0" t="n">
        <f aca="false">H11+H12</f>
        <v>3751.59712375774</v>
      </c>
      <c r="I13" s="0" t="n">
        <f aca="false">I11+I12</f>
        <v>4034.66223618588</v>
      </c>
      <c r="J13" s="0" t="n">
        <f aca="false">J11+J12</f>
        <v>4366.65233139617</v>
      </c>
      <c r="K13" s="0" t="n">
        <f aca="false">K11+K12</f>
        <v>4623.51423324301</v>
      </c>
      <c r="L13" s="0" t="n">
        <f aca="false">L11+L12</f>
        <v>4938.94064871092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22.5</v>
      </c>
      <c r="F14" s="4" t="n">
        <f aca="false">Assumptions!F47</f>
        <v>22.5</v>
      </c>
      <c r="G14" s="4" t="n">
        <f aca="false">Assumptions!G47</f>
        <v>22.5</v>
      </c>
      <c r="H14" s="4" t="n">
        <f aca="false">Assumptions!H47</f>
        <v>22.5</v>
      </c>
      <c r="I14" s="4" t="n">
        <f aca="false">Assumptions!I47</f>
        <v>22.5</v>
      </c>
      <c r="J14" s="4" t="n">
        <f aca="false">Assumptions!J47</f>
        <v>22.5</v>
      </c>
      <c r="K14" s="4" t="n">
        <f aca="false">Assumptions!K47</f>
        <v>22.5</v>
      </c>
      <c r="L14" s="4" t="n">
        <f aca="false">Assumptions!L47</f>
        <v>22.5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1689.7161372</v>
      </c>
      <c r="D15" s="0" t="n">
        <f aca="false">D13-MAX(0,D13)*D14/100</f>
        <v>1928.067614928</v>
      </c>
      <c r="E15" s="0" t="n">
        <f aca="false">E13-MAX(0,E13)*E14/100</f>
        <v>2169.2992801788</v>
      </c>
      <c r="F15" s="0" t="n">
        <f aca="false">F13-MAX(0,F13)*F14/100</f>
        <v>2406.38258667681</v>
      </c>
      <c r="G15" s="0" t="n">
        <f aca="false">G13-MAX(0,G13)*G14/100</f>
        <v>2650.44259492678</v>
      </c>
      <c r="H15" s="0" t="n">
        <f aca="false">H13-MAX(0,H13)*H14/100</f>
        <v>2907.48777091225</v>
      </c>
      <c r="I15" s="0" t="n">
        <f aca="false">I13-MAX(0,I13)*I14/100</f>
        <v>3126.86323304406</v>
      </c>
      <c r="J15" s="0" t="n">
        <f aca="false">J13-MAX(0,J13)*J14/100</f>
        <v>3384.15555683203</v>
      </c>
      <c r="K15" s="0" t="n">
        <f aca="false">K13-MAX(0,K13)*K14/100</f>
        <v>3583.22353076333</v>
      </c>
      <c r="L15" s="0" t="n">
        <f aca="false">L13-MAX(0,L13)*L14/100</f>
        <v>3827.67900275096</v>
      </c>
    </row>
    <row r="16" customFormat="false" ht="15" hidden="false" customHeight="false" outlineLevel="0" collapsed="false">
      <c r="A16" s="0" t="s">
        <v>128</v>
      </c>
      <c r="C16" s="0" t="n">
        <f aca="false">-C12</f>
        <v>528.17982</v>
      </c>
      <c r="D16" s="0" t="n">
        <f aca="false">-D12</f>
        <v>524.9648124</v>
      </c>
      <c r="E16" s="0" t="n">
        <f aca="false">-E12</f>
        <v>531.247855824</v>
      </c>
      <c r="F16" s="0" t="n">
        <f aca="false">-F12</f>
        <v>523.1005672788</v>
      </c>
      <c r="G16" s="0" t="n">
        <f aca="false">-G12</f>
        <v>518.637415649724</v>
      </c>
      <c r="H16" s="0" t="n">
        <f aca="false">-H12</f>
        <v>497.660842947456</v>
      </c>
      <c r="I16" s="0" t="n">
        <f aca="false">-I12</f>
        <v>475.348137021899</v>
      </c>
      <c r="J16" s="0" t="n">
        <f aca="false">-J12</f>
        <v>452.56620801585</v>
      </c>
      <c r="K16" s="0" t="n">
        <f aca="false">-K12</f>
        <v>436.665233139617</v>
      </c>
      <c r="L16" s="0" t="n">
        <f aca="false">-L12</f>
        <v>416.052065516409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-76.5478</v>
      </c>
      <c r="D17" s="4" t="n">
        <f aca="false">-D6*Assumptions!D46/100</f>
        <v>-82.671624</v>
      </c>
      <c r="E17" s="4" t="n">
        <f aca="false">-E6*Assumptions!E46/100</f>
        <v>-89.28535392</v>
      </c>
      <c r="F17" s="4" t="n">
        <f aca="false">-F6*Assumptions!F46/100</f>
        <v>-91.1826676908</v>
      </c>
      <c r="G17" s="4" t="n">
        <f aca="false">-G6*Assumptions!G46/100</f>
        <v>-97.565454429156</v>
      </c>
      <c r="H17" s="4" t="n">
        <f aca="false">-H6*Assumptions!H46/100</f>
        <v>-103.907208967051</v>
      </c>
      <c r="I17" s="4" t="n">
        <f aca="false">-I6*Assumptions!I46/100</f>
        <v>-110.141641505074</v>
      </c>
      <c r="J17" s="4" t="n">
        <f aca="false">-J6*Assumptions!J46/100</f>
        <v>-116.199431787853</v>
      </c>
      <c r="K17" s="4" t="n">
        <f aca="false">-K6*Assumptions!K46/100</f>
        <v>-122.009403377246</v>
      </c>
      <c r="L17" s="4" t="n">
        <f aca="false">-L6*Assumptions!L46/100</f>
        <v>-127.499826529222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-10.0156</v>
      </c>
      <c r="D18" s="4" t="n">
        <f aca="false">(D6-C6)*Assumptions!$B$51/100</f>
        <v>-12.247648</v>
      </c>
      <c r="E18" s="4" t="n">
        <f aca="false">(E6-D6)*Assumptions!$B$51/100</f>
        <v>-13.22745984</v>
      </c>
      <c r="F18" s="4" t="n">
        <f aca="false">(F6-E6)*Assumptions!$B$51/100</f>
        <v>-13.392803088</v>
      </c>
      <c r="G18" s="4" t="n">
        <f aca="false">(G6-F6)*Assumptions!$B$51/100</f>
        <v>-13.43744576496</v>
      </c>
      <c r="H18" s="4" t="n">
        <f aca="false">(H6-G6)*Assumptions!$B$51/100</f>
        <v>-13.3510621850424</v>
      </c>
      <c r="I18" s="4" t="n">
        <f aca="false">(I6-H6)*Assumptions!$B$51/100</f>
        <v>-13.1251211326801</v>
      </c>
      <c r="J18" s="4" t="n">
        <f aca="false">(J6-I6)*Assumptions!$B$51/100</f>
        <v>-12.7532427005875</v>
      </c>
      <c r="K18" s="4" t="n">
        <f aca="false">(K6-J6)*Assumptions!$B$51/100</f>
        <v>-12.2315191355635</v>
      </c>
      <c r="L18" s="4" t="n">
        <f aca="false">(L6-K6)*Assumptions!$B$51/100</f>
        <v>-11.5587855831075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2131.3325572</v>
      </c>
      <c r="D19" s="0" t="n">
        <f aca="false">D15+D16+D17+D18</f>
        <v>2358.113155328</v>
      </c>
      <c r="E19" s="0" t="n">
        <f aca="false">E15+E16+E17+E18</f>
        <v>2598.0343222428</v>
      </c>
      <c r="F19" s="0" t="n">
        <f aca="false">F15+F16+F17+F18</f>
        <v>2824.90768317681</v>
      </c>
      <c r="G19" s="0" t="n">
        <f aca="false">G15+G16+G17+G18</f>
        <v>3058.07711038239</v>
      </c>
      <c r="H19" s="0" t="n">
        <f aca="false">H15+H16+H17+H18</f>
        <v>3287.89034270761</v>
      </c>
      <c r="I19" s="0" t="n">
        <f aca="false">I15+I16+I17+I18</f>
        <v>3478.9446074282</v>
      </c>
      <c r="J19" s="0" t="n">
        <f aca="false">J15+J16+J17+J18</f>
        <v>3707.76909035944</v>
      </c>
      <c r="K19" s="0" t="n">
        <f aca="false">K15+K16+K17+K18</f>
        <v>3885.64784139014</v>
      </c>
      <c r="L19" s="0" t="n">
        <f aca="false">L15+L16+L17+L18</f>
        <v>4104.67245615504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1946.42242666667</v>
      </c>
      <c r="D21" s="0" t="n">
        <f aca="false">D19*D20</f>
        <v>1966.69223354642</v>
      </c>
      <c r="E21" s="0" t="n">
        <f aca="false">E19*E20</f>
        <v>1978.80284751361</v>
      </c>
      <c r="F21" s="0" t="n">
        <f aca="false">F19*F20</f>
        <v>1964.93316588221</v>
      </c>
      <c r="G21" s="0" t="n">
        <f aca="false">G19*G20</f>
        <v>1942.57518308011</v>
      </c>
      <c r="H21" s="0" t="n">
        <f aca="false">H19*H20</f>
        <v>1907.35973159903</v>
      </c>
      <c r="I21" s="0" t="n">
        <f aca="false">I19*I20</f>
        <v>1843.09906851111</v>
      </c>
      <c r="J21" s="0" t="n">
        <f aca="false">J19*J20</f>
        <v>1793.90618094346</v>
      </c>
      <c r="K21" s="0" t="n">
        <f aca="false">K19*K20</f>
        <v>1716.86586139849</v>
      </c>
      <c r="L21" s="0" t="n">
        <f aca="false">L19*L20</f>
        <v>1656.2935679772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4.5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18716.9502671183</v>
      </c>
    </row>
    <row r="31" customFormat="false" ht="15" hidden="false" customHeight="false" outlineLevel="0" collapsed="false">
      <c r="A31" s="0" t="s">
        <v>137</v>
      </c>
      <c r="B31" s="0" t="n">
        <f aca="false">L19</f>
        <v>4104.67245615504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85787.6543336403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73884.1042107907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73884.1042107907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29813.2842235896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48530.2344907079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41689.2344907079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124.445476091665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1.046127525348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741.432604574023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1245.04132923489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130.375249028408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40851.2639684002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53.1270429148028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51.0450865265171</v>
      </c>
      <c r="C4" s="0" t="n">
        <f aca="false">B4/Assumptions!$B$2-1</f>
        <v>-0.160718735177293</v>
      </c>
      <c r="D4" s="4" t="n">
        <f aca="false">Assumptions!$B$24</f>
        <v>0.3</v>
      </c>
      <c r="E4" s="4" t="n">
        <f aca="false">DCF_Bear!$B$43</f>
        <v>55.2722517382514</v>
      </c>
      <c r="F4" s="4" t="n">
        <f aca="false">DCF_Bear!$B$47</f>
        <v>22.5663239585317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84.0178188294304</v>
      </c>
      <c r="C5" s="0" t="n">
        <f aca="false">B5/Assumptions!$B$2-1</f>
        <v>0.381417606534534</v>
      </c>
      <c r="D5" s="4" t="n">
        <f aca="false">Assumptions!$B$38</f>
        <v>0.45</v>
      </c>
      <c r="E5" s="4" t="n">
        <f aca="false">DCF_Base!$B$43</f>
        <v>89.1111928392601</v>
      </c>
      <c r="F5" s="4" t="n">
        <f aca="false">DCF_Base!$B$47</f>
        <v>36.6458522671953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124.445476091665</v>
      </c>
      <c r="C6" s="0" t="n">
        <f aca="false">B6/Assumptions!$B$2-1</f>
        <v>1.046127525348</v>
      </c>
      <c r="D6" s="4" t="n">
        <f aca="false">Assumptions!$B$52</f>
        <v>0.25</v>
      </c>
      <c r="E6" s="4" t="n">
        <f aca="false">DCF_Bull!$B$43</f>
        <v>130.375249028408</v>
      </c>
      <c r="F6" s="4" t="n">
        <f aca="false">DCF_Bull!$B$47</f>
        <v>53.1270429148028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84.2329134541151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89.2755245562446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0.277954453835543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-464.301390290199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36.5422914364981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87.8657584073652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84.0178188294304</v>
      </c>
      <c r="C16" s="3" t="n">
        <v>9.5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80.3427434509422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69.8094387143014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58.4021272671989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36.6458522671953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3</v>
      </c>
      <c r="C23" s="3" t="n">
        <v>3.5</v>
      </c>
      <c r="D23" s="3" t="n">
        <v>4</v>
      </c>
      <c r="E23" s="3" t="n">
        <v>4.5</v>
      </c>
      <c r="F23" s="3" t="n">
        <v>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100.542716149156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100.542716149156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100.542716149156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100.542716149156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100.542716149156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91.8958757692678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91.8958757692678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91.8958757692678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91.8958757692678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91.8958757692678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83.4522274181952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84.0178188294304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84.0178188294304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84.0178188294304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84.0178188294304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69.2228348769256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72.7555413412284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76.8317411077317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76.8317411077317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76.8317411077317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58.3594360734519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60.8744745842693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63.7248515631956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66.9824252533971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70.2692148511341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2026-09-25T23:45:32Z</dcterms:created>
  <dc:creator>openpyxl</dc:creator>
  <dc:description/>
  <dc:language>en-NZ</dc:language>
  <cp:lastModifiedBy/>
  <dcterms:modified xsi:type="dcterms:W3CDTF">2026-09-25T23:45:32Z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