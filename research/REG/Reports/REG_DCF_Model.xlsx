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<sst xmlns="http://schemas.openxmlformats.org/spreadsheetml/2006/main" count="381" uniqueCount="172">
  <si>
    <t xml:space="preserve">Ticker</t>
  </si>
  <si>
    <t xml:space="preserve">REG</t>
  </si>
  <si>
    <t xml:space="preserve">Company</t>
  </si>
  <si>
    <t xml:space="preserve">Regency Centers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</si>
  <si>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</si>
  <si>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</si>
  <si>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</si>
  <si>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</si>
  <si>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 (Yahoo chart API)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</si>
  <si>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</si>
  <si>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</si>
  <si>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</si>
  <si>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</si>
  <si>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</si>
  <si>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</si>
  <si>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</si>
  <si>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</si>
  <si>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</si>
  <si>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</si>
  <si>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</si>
  <si>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</si>
  <si>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2026-10-02T07:52:49Z</t>
  </si>
  <si>
    <t xml:space="preserve">Drivers file</t>
  </si>
  <si>
    <t xml:space="preserve">REG_Drivers.json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</si>
  <si>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</si>
  <si>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</si>
  <si>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</si>
  <si>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Regency is valued as a stream of house-basis AFFO to common (Core Operating Earnings less operating capex, SBC and equity-award withholding), capitalised at a 9.25% cost of equity. Debt and preferreds are inside the flow, so nothing is deducted afterwards. Growth includes development, and the equity-funded share of development spend is deducted, so growth is never counted without being paid for.
key_risks_to_valuation: Cost of equity: the 10-year Treasury at ~5.24% drives the 9.25% CoE; +/-50bp moves base IV by roughly +/-9%.; Occupancy at a cyclical peak (96.9% leased): the commencement tailwind in 2026-27 reverses if a major grocer or shop-space cohort fails.; Refinancing: ~$5.4B of pro-rata debt at ~4.5% WAIR rolls into higher coupons; each +100bp on a year's ~$600M of maturities costs ~$6M of COE.; Development yield vs. cost of capital: the bull case depends on ~9% yields holding against construction-cost inflation.; Year 1 is discounted a full year although FY2026 is three-quarters elapsed (house convention), a slight understatement.</t>
  </si>
  <si>
    <t xml:space="preserve">Data sources</t>
  </si>
  <si>
    <t xml:space="preserve">price: Yahoo Finance chart API at inputs.price_as_of; 52-week range 66.86-83.66
financials: SEC XBRL (Metrics.csv through Q1-2026); Core Operating Earnings, AFFO, operating capex and SBC add-back from earnings 8-K ex99.1 for Q4-2023, Q4-2024, Q4-2025 and Q2-2026 (Extracted/REG_8K_*.txt); capitalization table, preferreds and development spend from the Q2-2026 Quarterly Supplemental (8-K 2026-07-29 ex99.2).
qualitative: REG_Analysis.json (2026-10-02); FY2026 guidance raised 2026-07-29.
screen: info.json stockanalysis.com snapshot 2026-09-22 (P/E 24.57 is GAAP and not meaningful for a REIT).</t>
  </si>
  <si>
    <t xml:space="preserve">Scenario narrative: bear</t>
  </si>
  <si>
    <t xml:space="preserve">Occupancy mean-reverts from a 96.9%-leased peak: a grocer bankruptcy or consolidation (Kroger/Albertsons-style store rationalisation, ~20% of ABR from grocers) and shop-space tenant failures in a consumer slowdown reverse the commencement tailwind; spreads compress to low single digits. Higher-for-longer rates reprice $5.4B of debt and $225M of callable preferreds, compressing the COE margin ~1.5pp by 2030, and development starts are cut back (lower capex, lower growth). FY2026 still delivers near guidance (three quarters done), then aggregate COE growth slows to ~2-3%.</t>
  </si>
  <si>
    <t xml:space="preserve">Scenario narrative: base</t>
  </si>
  <si>
    <t xml:space="preserve">FY2026 lands at the raised guidance midpoint (COE ~$4.64/share, same-property NOI +3.7-4.1%). The ~240bp leased-vs-commenced gap closes over 2027-28, cash leasing spreads settle from ~10% toward high single digits, and the $680M in-process pipeline (80% leased, ~9% yield) delivers on schedule, so aggregate COE grows 5-5.5% in 2027-28 before fading to rent-escalator growth (2.5%) as development shrinks relative to the rent roll. Refinancing ~4.5%-coupon debt into a ~5.5-6% market absorbs the operating leverage from occupancy, holding the COE margin flat. Development is paid for: the equity-funded share is deducted every year.</t>
  </si>
  <si>
    <t xml:space="preserve">Scenario narrative: bull</t>
  </si>
  <si>
    <t xml:space="preserve">Near-zero new shopping-centre supply keeps pricing power intact: cash spreads stay double-digit, occupancy pushes past prior peaks, and the ~$1B 2026-28 starts programme is executed and extended at ~9% yields well above the ~6% cap rates the market pays for grocery-anchored centres. Rates ease or credit spreads stay tight, so refinancing is benign and the COE margin widens ~1.3pp. Aggregate COE compounds 6-6.5% through 2028 and ~4-5% to 2031, with a 3.0% terminal rent growth for an infill, supply-constrained portfolio.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</si>
  <si>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</si>
  <si>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</si>
  <si>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</si>
  <si>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</si>
  <si>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</si>
  <si>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</si>
  <si>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</si>
  <si>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</si>
  <si>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</si>
  <si>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</si>
  <si>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</si>
  <si>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</si>
  <si>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</si>
  <si>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</si>
  <si>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</si>
  <si>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</si>
  <si>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</si>
  <si>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</si>
  <si>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</si>
  <si>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</si>
  <si>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</si>
  <si>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</si>
  <si>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</si>
  <si>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</si>
  <si>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</si>
  <si>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</si>
  <si>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</si>
  <si>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</si>
  <si>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</si>
  <si>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</si>
  <si>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</si>
  <si>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</si>
  <si>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</si>
  <si>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</si>
  <si>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</si>
  <si>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</si>
  <si>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</si>
  <si>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</si>
  <si>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</si>
  <si>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</si>
  <si>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</si>
  <si>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</si>
  <si>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</si>
  <si>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</si>
  <si>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</si>
  <si>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</si>
  <si>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</si>
  <si>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</si>
  <si>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</si>
  <si>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</si>
  <si>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</si>
  <si>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</si>
  <si>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</si>
  <si>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</si>
  <si>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</si>
  <si>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</si>
  <si>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</si>
  <si>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</si>
  <si>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</si>
  <si>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</si>
  <si>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</si>
  <si>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</si>
  <si>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</si>
  <si>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</si>
  <si>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</si>
  <si>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</si>
  <si>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</si>
  <si>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</si>
  <si>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</si>
  <si>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</si>
  <si>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</si>
  <si>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</si>
  <si>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</si>
  <si>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</si>
  <si>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</si>
  <si>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</si>
  <si>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</si>
  <si>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</si>
  <si>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</si>
  <si>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</si>
  <si>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</si>
  <si>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REG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</si>
  <si>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</si>
  <si>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</si>
  <si>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</si>
  <si>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</si>
  <si>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</si>
  <si>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</si>
  <si>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</si>
  <si>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</si>
  <si>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</si>
  <si>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</si>
  <si>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</si>
  <si>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</si>
  <si>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</si>
  <si>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</si>
  <si>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</si>
  <si>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</si>
  <si>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</si>
  <si>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</si>
  <si>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</si>
  <si>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</si>
  <si>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</si>
  <si>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</si>
  <si>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</si>
  <si>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</si>
  <si>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</si>
  <si>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</si>
  <si>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</si>
  <si>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</si>
  <si>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</si>
  <si>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</si>
  <si>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REG owner-FCF component DCF: base case (millions, USD)</t>
  </si>
  <si>
    <t xml:space="preserve">REG owner-FCF component DCF: bull case (millions, USD)</t>
  </si>
  <si>
    <t xml:space="preserve">REG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</si>
  <si>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</si>
  <si>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</si>
  <si>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</si>
  <si>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</si>
  <si>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</si>
  <si>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</si>
  <si>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</si>
  <si>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</si>
  <si>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</si>
  <si>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</si>
  <si>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</si>
  <si>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</si>
  <si>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</si>
  <si>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</si>
  <si>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</si>
  <si>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9.25%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</si>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</sst>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71.8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46.2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U2" s="0" t="n">
        <v>3.932</v>
      </c>
      <c r="V2" s="0" t="n">
        <v>2.11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R3" s="0" t="n">
        <v>2094.469</v>
      </c>
      <c r="U3" s="0" t="n">
        <v>6.615</v>
      </c>
      <c r="V3" s="0" t="n">
        <v>1.85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R4" s="0" t="n">
        <v>1982.44</v>
      </c>
      <c r="U4" s="0" t="n">
        <v>9.824</v>
      </c>
      <c r="V4" s="0" t="n">
        <v>1.85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R5" s="0" t="n">
        <v>1941.891</v>
      </c>
      <c r="U5" s="0" t="n">
        <v>9.806</v>
      </c>
      <c r="V5" s="0" t="n">
        <v>1.85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O6" s="0" t="n">
        <v>1861.134</v>
      </c>
      <c r="R6" s="0" t="n">
        <v>1854.697</v>
      </c>
      <c r="V6" s="0" t="n">
        <v>1.85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I7" s="0" t="n">
        <v>188.847</v>
      </c>
      <c r="O7" s="0" t="n">
        <v>1936.482</v>
      </c>
      <c r="R7" s="0" t="n">
        <v>2021.357</v>
      </c>
      <c r="V7" s="0" t="n">
        <v>1.88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I8" s="0" t="n">
        <v>152.543</v>
      </c>
      <c r="O8" s="0" t="n">
        <v>2082.62</v>
      </c>
      <c r="R8" s="0" t="n">
        <v>1864.285</v>
      </c>
      <c r="V8" s="0" t="n">
        <v>1.94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I9" s="0" t="n">
        <v>166.992</v>
      </c>
      <c r="O9" s="0" t="n">
        <v>2624.502</v>
      </c>
      <c r="R9" s="0" t="n">
        <v>1642.42</v>
      </c>
      <c r="S9" s="0" t="n">
        <v>13.256</v>
      </c>
      <c r="V9" s="0" t="n">
        <v>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984.326</v>
      </c>
      <c r="I10" s="0" t="n">
        <v>178.98</v>
      </c>
      <c r="J10" s="0" t="n">
        <v>18.1830003474459</v>
      </c>
      <c r="L10" s="0" t="n">
        <v>469.784</v>
      </c>
      <c r="O10" s="0" t="n">
        <v>6733.054</v>
      </c>
      <c r="R10" s="0" t="n">
        <v>3594.977</v>
      </c>
      <c r="T10" s="0" t="n">
        <v>159.96</v>
      </c>
      <c r="U10" s="0" t="n">
        <v>20.549</v>
      </c>
      <c r="V10" s="0" t="n">
        <v>2.1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1120.975</v>
      </c>
      <c r="I11" s="0" t="n">
        <v>252.325</v>
      </c>
      <c r="J11" s="0" t="n">
        <v>22.5094226008609</v>
      </c>
      <c r="L11" s="0" t="n">
        <v>610.327</v>
      </c>
      <c r="O11" s="0" t="n">
        <v>6450.168</v>
      </c>
      <c r="P11" s="0" t="n">
        <v>10944.663</v>
      </c>
      <c r="Q11" s="0" t="n">
        <v>4494.495</v>
      </c>
      <c r="R11" s="0" t="n">
        <v>3715.212</v>
      </c>
      <c r="T11" s="0" t="n">
        <v>170.1</v>
      </c>
      <c r="U11" s="0" t="n">
        <v>13.635</v>
      </c>
      <c r="V11" s="0" t="n">
        <v>2.22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1133.138</v>
      </c>
      <c r="I12" s="0" t="n">
        <v>243.258</v>
      </c>
      <c r="J12" s="0" t="n">
        <v>21.4676411875694</v>
      </c>
      <c r="L12" s="0" t="n">
        <v>621.271</v>
      </c>
      <c r="O12" s="0" t="n">
        <v>6289.961</v>
      </c>
      <c r="P12" s="0" t="n">
        <v>11132.253</v>
      </c>
      <c r="Q12" s="0" t="n">
        <v>4842.292</v>
      </c>
      <c r="R12" s="0" t="n">
        <v>3919.544</v>
      </c>
      <c r="T12" s="0" t="n">
        <v>167.771</v>
      </c>
      <c r="U12" s="0" t="n">
        <v>14.339</v>
      </c>
      <c r="V12" s="0" t="n">
        <v>2.34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1016.175</v>
      </c>
      <c r="I13" s="0" t="n">
        <v>47.317</v>
      </c>
      <c r="J13" s="0" t="n">
        <v>4.65638300489581</v>
      </c>
      <c r="L13" s="0" t="n">
        <v>499.118</v>
      </c>
      <c r="O13" s="0" t="n">
        <v>6058.147</v>
      </c>
      <c r="P13" s="0" t="n">
        <v>10936.904</v>
      </c>
      <c r="Q13" s="0" t="n">
        <v>4878.757</v>
      </c>
      <c r="R13" s="0" t="n">
        <v>3923.084</v>
      </c>
      <c r="T13" s="0" t="n">
        <v>169.46</v>
      </c>
      <c r="U13" s="0" t="n">
        <v>13.581</v>
      </c>
      <c r="V13" s="0" t="n">
        <v>2.38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1166.161</v>
      </c>
      <c r="I14" s="0" t="n">
        <v>366.288</v>
      </c>
      <c r="J14" s="0" t="n">
        <v>31.4097281593193</v>
      </c>
      <c r="L14" s="0" t="n">
        <v>659.388</v>
      </c>
      <c r="O14" s="0" t="n">
        <v>6109.932</v>
      </c>
      <c r="P14" s="0" t="n">
        <v>10792.563</v>
      </c>
      <c r="Q14" s="0" t="n">
        <v>4682.631</v>
      </c>
      <c r="R14" s="0" t="n">
        <v>3718.944</v>
      </c>
      <c r="U14" s="0" t="n">
        <v>12.515</v>
      </c>
      <c r="V14" s="0" t="n">
        <v>2.41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1224.022</v>
      </c>
      <c r="F15" s="0" t="n">
        <v>896.786</v>
      </c>
      <c r="G15" s="0" t="n">
        <v>73.2655132015601</v>
      </c>
      <c r="H15" s="0" t="n">
        <v>1216.483</v>
      </c>
      <c r="I15" s="0" t="n">
        <v>488.035</v>
      </c>
      <c r="J15" s="0" t="n">
        <v>39.8714238796362</v>
      </c>
      <c r="L15" s="0" t="n">
        <v>655.815</v>
      </c>
      <c r="O15" s="0" t="n">
        <v>6178.039</v>
      </c>
      <c r="P15" s="0" t="n">
        <v>10860.22</v>
      </c>
      <c r="Q15" s="0" t="n">
        <v>4682.181</v>
      </c>
      <c r="R15" s="0" t="n">
        <v>3726.754</v>
      </c>
      <c r="U15" s="0" t="n">
        <v>16.521</v>
      </c>
      <c r="V15" s="0" t="n">
        <v>2.525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1322.466</v>
      </c>
      <c r="F16" s="0" t="n">
        <v>951.288</v>
      </c>
      <c r="G16" s="0" t="n">
        <v>71.9328890118914</v>
      </c>
      <c r="H16" s="0" t="n">
        <v>1303.57</v>
      </c>
      <c r="I16" s="0" t="n">
        <v>370.867</v>
      </c>
      <c r="J16" s="0" t="n">
        <v>28.0435943154682</v>
      </c>
      <c r="L16" s="0" t="n">
        <v>719.591</v>
      </c>
      <c r="O16" s="0" t="n">
        <v>7191.935</v>
      </c>
      <c r="P16" s="0" t="n">
        <v>12426.913</v>
      </c>
      <c r="Q16" s="0" t="n">
        <v>5234.978</v>
      </c>
      <c r="R16" s="0" t="n">
        <v>4153.949</v>
      </c>
      <c r="T16" s="0" t="n">
        <v>184.58107</v>
      </c>
      <c r="U16" s="0" t="n">
        <v>20.075</v>
      </c>
      <c r="V16" s="0" t="n">
        <v>2.62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1453.904</v>
      </c>
      <c r="F17" s="0" t="n">
        <v>1047.368</v>
      </c>
      <c r="G17" s="0" t="n">
        <v>72.0383188986343</v>
      </c>
      <c r="H17" s="0" t="n">
        <v>1442.082</v>
      </c>
      <c r="I17" s="0" t="n">
        <v>409.84</v>
      </c>
      <c r="J17" s="0" t="n">
        <v>28.1889313187116</v>
      </c>
      <c r="L17" s="0" t="n">
        <v>790.198</v>
      </c>
      <c r="O17" s="0" t="n">
        <v>6900.307</v>
      </c>
      <c r="P17" s="0" t="n">
        <v>12391.961</v>
      </c>
      <c r="Q17" s="0" t="n">
        <v>5491.654</v>
      </c>
      <c r="R17" s="0" t="n">
        <v>4408.7</v>
      </c>
      <c r="T17" s="0" t="n">
        <v>181.361454</v>
      </c>
      <c r="U17" s="0" t="n">
        <v>23.504</v>
      </c>
      <c r="V17" s="0" t="n">
        <v>2.715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1553.524</v>
      </c>
      <c r="F18" s="0" t="n">
        <v>1123.441</v>
      </c>
      <c r="G18" s="0" t="n">
        <v>72.3156513835641</v>
      </c>
      <c r="H18" s="0" t="n">
        <v>1528.485</v>
      </c>
      <c r="I18" s="0" t="n">
        <v>540.951</v>
      </c>
      <c r="J18" s="0" t="n">
        <v>34.8208975207335</v>
      </c>
      <c r="L18" s="0" t="n">
        <v>827.692</v>
      </c>
      <c r="O18" s="0" t="n">
        <v>7181.606</v>
      </c>
      <c r="P18" s="0" t="n">
        <v>13001.283</v>
      </c>
      <c r="Q18" s="0" t="n">
        <v>5819.677</v>
      </c>
      <c r="R18" s="0" t="n">
        <v>4739.301</v>
      </c>
      <c r="T18" s="0" t="n">
        <v>182.902234</v>
      </c>
      <c r="U18" s="0" t="n">
        <v>19.459</v>
      </c>
      <c r="V18" s="0" t="n">
        <v>2.87</v>
      </c>
      <c r="AA18" s="0" t="s">
        <v>17</v>
      </c>
      <c r="AB1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71.8</v>
      </c>
    </row>
    <row r="3" customFormat="false" ht="15" hidden="false" customHeight="false" outlineLevel="0" collapsed="false">
      <c r="A3" s="0" t="s">
        <v>83</v>
      </c>
      <c r="B3" s="3" t="n">
        <v>187.19</v>
      </c>
    </row>
    <row r="4" customFormat="false" ht="15" hidden="false" customHeight="false" outlineLevel="0" collapsed="false">
      <c r="A4" s="0" t="s">
        <v>84</v>
      </c>
      <c r="B4" s="3" t="n">
        <v>0</v>
      </c>
    </row>
    <row r="5" customFormat="false" ht="15" hidden="false" customHeight="false" outlineLevel="0" collapsed="false">
      <c r="A5" s="0" t="s">
        <v>85</v>
      </c>
      <c r="B5" s="3" t="n">
        <v>0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1553.524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6</v>
      </c>
      <c r="D13" s="3" t="n">
        <v>3</v>
      </c>
      <c r="E13" s="3" t="n">
        <v>2.5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54</v>
      </c>
      <c r="D14" s="3" t="n">
        <v>53.6</v>
      </c>
      <c r="E14" s="3" t="n">
        <v>53.2</v>
      </c>
      <c r="F14" s="3" t="n">
        <v>52.8</v>
      </c>
      <c r="G14" s="3" t="n">
        <v>52.5</v>
      </c>
      <c r="H14" s="3" t="n">
        <v>52.5</v>
      </c>
      <c r="I14" s="3" t="n">
        <v>52.5</v>
      </c>
      <c r="J14" s="3" t="n">
        <v>52.5</v>
      </c>
      <c r="K14" s="3" t="n">
        <v>52.5</v>
      </c>
      <c r="L14" s="3" t="n">
        <v>52.5</v>
      </c>
    </row>
    <row r="15" customFormat="false" ht="15" hidden="false" customHeight="false" outlineLevel="0" collapsed="false">
      <c r="A15" s="0" t="s">
        <v>105</v>
      </c>
      <c r="C15" s="3" t="n">
        <v>1.8</v>
      </c>
      <c r="D15" s="3" t="n">
        <v>1.8</v>
      </c>
      <c r="E15" s="3" t="n">
        <v>1.8</v>
      </c>
      <c r="F15" s="3" t="n">
        <v>1.8</v>
      </c>
      <c r="G15" s="3" t="n">
        <v>1.8</v>
      </c>
      <c r="H15" s="3" t="n">
        <v>1.8</v>
      </c>
      <c r="I15" s="3" t="n">
        <v>1.8</v>
      </c>
      <c r="J15" s="3" t="n">
        <v>1.8</v>
      </c>
      <c r="K15" s="3" t="n">
        <v>1.8</v>
      </c>
      <c r="L15" s="3" t="n">
        <v>1.8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108</v>
      </c>
      <c r="C18" s="3" t="n">
        <v>19</v>
      </c>
      <c r="D18" s="3" t="n">
        <v>16</v>
      </c>
      <c r="E18" s="3" t="n">
        <v>14</v>
      </c>
      <c r="F18" s="3" t="n">
        <v>12.5</v>
      </c>
      <c r="G18" s="3" t="n">
        <v>11.5</v>
      </c>
      <c r="H18" s="3" t="n">
        <v>11</v>
      </c>
      <c r="I18" s="3" t="n">
        <v>10.5</v>
      </c>
      <c r="J18" s="3" t="n">
        <v>10.5</v>
      </c>
      <c r="K18" s="3" t="n">
        <v>10.5</v>
      </c>
      <c r="L18" s="3" t="n">
        <v>10.5</v>
      </c>
    </row>
    <row r="19" customFormat="false" ht="15" hidden="false" customHeight="false" outlineLevel="0" collapsed="false">
      <c r="A19" s="0" t="s">
        <v>109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110</v>
      </c>
      <c r="B20" s="3" t="n">
        <v>9.25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18</v>
      </c>
    </row>
    <row r="23" customFormat="false" ht="15" hidden="false" customHeight="false" outlineLevel="0" collapsed="false">
      <c r="A23" s="0" t="s">
        <v>113</v>
      </c>
      <c r="B23" s="3" t="n">
        <v>0</v>
      </c>
    </row>
    <row r="24" customFormat="false" ht="15" hidden="false" customHeight="false" outlineLevel="0" collapsed="false">
      <c r="A24" s="0" t="s">
        <v>114</v>
      </c>
      <c r="B24" s="3" t="n">
        <v>0.2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7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3.25</v>
      </c>
      <c r="J27" s="3" t="n">
        <v>3</v>
      </c>
      <c r="K27" s="3" t="n">
        <v>2.75</v>
      </c>
      <c r="L27" s="3" t="n">
        <v>2.5</v>
      </c>
    </row>
    <row r="28" customFormat="false" ht="15" hidden="false" customHeight="false" outlineLevel="0" collapsed="false">
      <c r="A28" s="0" t="s">
        <v>104</v>
      </c>
      <c r="C28" s="3" t="n">
        <v>54.2</v>
      </c>
      <c r="D28" s="3" t="n">
        <v>54.2</v>
      </c>
      <c r="E28" s="3" t="n">
        <v>54.2</v>
      </c>
      <c r="F28" s="3" t="n">
        <v>54.2</v>
      </c>
      <c r="G28" s="3" t="n">
        <v>54.2</v>
      </c>
      <c r="H28" s="3" t="n">
        <v>54.2</v>
      </c>
      <c r="I28" s="3" t="n">
        <v>54.2</v>
      </c>
      <c r="J28" s="3" t="n">
        <v>54.2</v>
      </c>
      <c r="K28" s="3" t="n">
        <v>54.2</v>
      </c>
      <c r="L28" s="3" t="n">
        <v>54.2</v>
      </c>
    </row>
    <row r="29" customFormat="false" ht="15" hidden="false" customHeight="false" outlineLevel="0" collapsed="false">
      <c r="A29" s="0" t="s">
        <v>105</v>
      </c>
      <c r="C29" s="3" t="n">
        <v>1.8</v>
      </c>
      <c r="D29" s="3" t="n">
        <v>1.8</v>
      </c>
      <c r="E29" s="3" t="n">
        <v>1.8</v>
      </c>
      <c r="F29" s="3" t="n">
        <v>1.8</v>
      </c>
      <c r="G29" s="3" t="n">
        <v>1.8</v>
      </c>
      <c r="H29" s="3" t="n">
        <v>1.8</v>
      </c>
      <c r="I29" s="3" t="n">
        <v>1.8</v>
      </c>
      <c r="J29" s="3" t="n">
        <v>1.8</v>
      </c>
      <c r="K29" s="3" t="n">
        <v>1.8</v>
      </c>
      <c r="L29" s="3" t="n">
        <v>1.8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108</v>
      </c>
      <c r="C32" s="3" t="n">
        <v>20</v>
      </c>
      <c r="D32" s="3" t="n">
        <v>19.5</v>
      </c>
      <c r="E32" s="3" t="n">
        <v>18.5</v>
      </c>
      <c r="F32" s="3" t="n">
        <v>17</v>
      </c>
      <c r="G32" s="3" t="n">
        <v>15.5</v>
      </c>
      <c r="H32" s="3" t="n">
        <v>14</v>
      </c>
      <c r="I32" s="3" t="n">
        <v>13</v>
      </c>
      <c r="J32" s="3" t="n">
        <v>12</v>
      </c>
      <c r="K32" s="3" t="n">
        <v>11.5</v>
      </c>
      <c r="L32" s="3" t="n">
        <v>11</v>
      </c>
    </row>
    <row r="33" customFormat="false" ht="15" hidden="false" customHeight="false" outlineLevel="0" collapsed="false">
      <c r="A33" s="0" t="s">
        <v>109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110</v>
      </c>
      <c r="B34" s="3" t="n">
        <v>9.25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18</v>
      </c>
    </row>
    <row r="37" customFormat="false" ht="15" hidden="false" customHeight="false" outlineLevel="0" collapsed="false">
      <c r="A37" s="0" t="s">
        <v>113</v>
      </c>
      <c r="B37" s="3" t="n">
        <v>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7.5</v>
      </c>
      <c r="D41" s="3" t="n">
        <v>6.5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3.25</v>
      </c>
      <c r="L41" s="3" t="n">
        <v>3</v>
      </c>
    </row>
    <row r="42" customFormat="false" ht="15" hidden="false" customHeight="false" outlineLevel="0" collapsed="false">
      <c r="A42" s="0" t="s">
        <v>104</v>
      </c>
      <c r="C42" s="3" t="n">
        <v>54.3</v>
      </c>
      <c r="D42" s="3" t="n">
        <v>54.6</v>
      </c>
      <c r="E42" s="3" t="n">
        <v>54.9</v>
      </c>
      <c r="F42" s="3" t="n">
        <v>55.2</v>
      </c>
      <c r="G42" s="3" t="n">
        <v>55.5</v>
      </c>
      <c r="H42" s="3" t="n">
        <v>55.5</v>
      </c>
      <c r="I42" s="3" t="n">
        <v>55.5</v>
      </c>
      <c r="J42" s="3" t="n">
        <v>55.5</v>
      </c>
      <c r="K42" s="3" t="n">
        <v>55.5</v>
      </c>
      <c r="L42" s="3" t="n">
        <v>55.5</v>
      </c>
    </row>
    <row r="43" customFormat="false" ht="15" hidden="false" customHeight="false" outlineLevel="0" collapsed="false">
      <c r="A43" s="0" t="s">
        <v>105</v>
      </c>
      <c r="C43" s="3" t="n">
        <v>1.8</v>
      </c>
      <c r="D43" s="3" t="n">
        <v>1.8</v>
      </c>
      <c r="E43" s="3" t="n">
        <v>1.8</v>
      </c>
      <c r="F43" s="3" t="n">
        <v>1.8</v>
      </c>
      <c r="G43" s="3" t="n">
        <v>1.8</v>
      </c>
      <c r="H43" s="3" t="n">
        <v>1.8</v>
      </c>
      <c r="I43" s="3" t="n">
        <v>1.8</v>
      </c>
      <c r="J43" s="3" t="n">
        <v>1.8</v>
      </c>
      <c r="K43" s="3" t="n">
        <v>1.8</v>
      </c>
      <c r="L43" s="3" t="n">
        <v>1.8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108</v>
      </c>
      <c r="C46" s="3" t="n">
        <v>20</v>
      </c>
      <c r="D46" s="3" t="n">
        <v>20</v>
      </c>
      <c r="E46" s="3" t="n">
        <v>19</v>
      </c>
      <c r="F46" s="3" t="n">
        <v>17.5</v>
      </c>
      <c r="G46" s="3" t="n">
        <v>16</v>
      </c>
      <c r="H46" s="3" t="n">
        <v>14.5</v>
      </c>
      <c r="I46" s="3" t="n">
        <v>13.5</v>
      </c>
      <c r="J46" s="3" t="n">
        <v>12.5</v>
      </c>
      <c r="K46" s="3" t="n">
        <v>12</v>
      </c>
      <c r="L46" s="3" t="n">
        <v>11.5</v>
      </c>
    </row>
    <row r="47" customFormat="false" ht="15" hidden="false" customHeight="false" outlineLevel="0" collapsed="false">
      <c r="A47" s="0" t="s">
        <v>109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110</v>
      </c>
      <c r="B48" s="3" t="n">
        <v>9.25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18</v>
      </c>
    </row>
    <row r="51" customFormat="false" ht="15" hidden="false" customHeight="false" outlineLevel="0" collapsed="false">
      <c r="A51" s="0" t="s">
        <v>113</v>
      </c>
      <c r="B51" s="3" t="n">
        <v>0</v>
      </c>
    </row>
    <row r="52" customFormat="false" ht="15" hidden="false" customHeight="false" outlineLevel="0" collapsed="false">
      <c r="A52" s="0" t="s">
        <v>114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6</v>
      </c>
      <c r="D5" s="4" t="n">
        <f aca="false">Assumptions!D13</f>
        <v>3</v>
      </c>
      <c r="E5" s="4" t="n">
        <f aca="false">Assumptions!E13</f>
        <v>2.5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1553.524</v>
      </c>
      <c r="C6" s="0" t="n">
        <f aca="false">B6*(1+C5/100)</f>
        <v>1646.73544</v>
      </c>
      <c r="D6" s="0" t="n">
        <f aca="false">C6*(1+D5/100)</f>
        <v>1696.1375032</v>
      </c>
      <c r="E6" s="0" t="n">
        <f aca="false">D6*(1+E5/100)</f>
        <v>1738.54094078</v>
      </c>
      <c r="F6" s="0" t="n">
        <f aca="false">E6*(1+F5/100)</f>
        <v>1773.3117595956</v>
      </c>
      <c r="G6" s="0" t="n">
        <f aca="false">F6*(1+G5/100)</f>
        <v>1808.77799478751</v>
      </c>
      <c r="H6" s="0" t="n">
        <f aca="false">G6*(1+H5/100)</f>
        <v>1844.95355468326</v>
      </c>
      <c r="I6" s="0" t="n">
        <f aca="false">H6*(1+I5/100)</f>
        <v>1881.85262577693</v>
      </c>
      <c r="J6" s="0" t="n">
        <f aca="false">I6*(1+J5/100)</f>
        <v>1919.48967829247</v>
      </c>
      <c r="K6" s="0" t="n">
        <f aca="false">J6*(1+K5/100)</f>
        <v>1957.87947185832</v>
      </c>
      <c r="L6" s="0" t="n">
        <f aca="false">K6*(1+L5/100)</f>
        <v>1997.03706129548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54</v>
      </c>
      <c r="D7" s="4" t="n">
        <f aca="false">Assumptions!D14</f>
        <v>53.6</v>
      </c>
      <c r="E7" s="4" t="n">
        <f aca="false">Assumptions!E14</f>
        <v>53.2</v>
      </c>
      <c r="F7" s="4" t="n">
        <f aca="false">Assumptions!F14</f>
        <v>52.8</v>
      </c>
      <c r="G7" s="4" t="n">
        <f aca="false">Assumptions!G14</f>
        <v>52.5</v>
      </c>
      <c r="H7" s="4" t="n">
        <f aca="false">Assumptions!H14</f>
        <v>52.5</v>
      </c>
      <c r="I7" s="4" t="n">
        <f aca="false">Assumptions!I14</f>
        <v>52.5</v>
      </c>
      <c r="J7" s="4" t="n">
        <f aca="false">Assumptions!J14</f>
        <v>52.5</v>
      </c>
      <c r="K7" s="4" t="n">
        <f aca="false">Assumptions!K14</f>
        <v>52.5</v>
      </c>
      <c r="L7" s="4" t="n">
        <f aca="false">Assumptions!L14</f>
        <v>52.5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889.2371376</v>
      </c>
      <c r="D8" s="0" t="n">
        <f aca="false">D6*D7/100</f>
        <v>909.1297017152</v>
      </c>
      <c r="E8" s="0" t="n">
        <f aca="false">E6*E7/100</f>
        <v>924.90378049496</v>
      </c>
      <c r="F8" s="0" t="n">
        <f aca="false">F6*F7/100</f>
        <v>936.308609066477</v>
      </c>
      <c r="G8" s="0" t="n">
        <f aca="false">G6*G7/100</f>
        <v>949.608447263444</v>
      </c>
      <c r="H8" s="0" t="n">
        <f aca="false">H6*H7/100</f>
        <v>968.600616208713</v>
      </c>
      <c r="I8" s="0" t="n">
        <f aca="false">I6*I7/100</f>
        <v>987.972628532887</v>
      </c>
      <c r="J8" s="0" t="n">
        <f aca="false">J6*J7/100</f>
        <v>1007.73208110354</v>
      </c>
      <c r="K8" s="0" t="n">
        <f aca="false">K6*K7/100</f>
        <v>1027.88672272562</v>
      </c>
      <c r="L8" s="0" t="n">
        <f aca="false">L6*L7/100</f>
        <v>1048.44445718013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1.8</v>
      </c>
      <c r="D9" s="4" t="n">
        <f aca="false">Assumptions!D15</f>
        <v>1.8</v>
      </c>
      <c r="E9" s="4" t="n">
        <f aca="false">Assumptions!E15</f>
        <v>1.8</v>
      </c>
      <c r="F9" s="4" t="n">
        <f aca="false">Assumptions!F15</f>
        <v>1.8</v>
      </c>
      <c r="G9" s="4" t="n">
        <f aca="false">Assumptions!G15</f>
        <v>1.8</v>
      </c>
      <c r="H9" s="4" t="n">
        <f aca="false">Assumptions!H15</f>
        <v>1.8</v>
      </c>
      <c r="I9" s="4" t="n">
        <f aca="false">Assumptions!I15</f>
        <v>1.8</v>
      </c>
      <c r="J9" s="4" t="n">
        <f aca="false">Assumptions!J15</f>
        <v>1.8</v>
      </c>
      <c r="K9" s="4" t="n">
        <f aca="false">Assumptions!K15</f>
        <v>1.8</v>
      </c>
      <c r="L9" s="4" t="n">
        <f aca="false">Assumptions!L15</f>
        <v>1.8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-29.64123792</v>
      </c>
      <c r="D10" s="0" t="n">
        <f aca="false">-D6*D9/100</f>
        <v>-30.5304750576</v>
      </c>
      <c r="E10" s="0" t="n">
        <f aca="false">-E6*E9/100</f>
        <v>-31.29373693404</v>
      </c>
      <c r="F10" s="0" t="n">
        <f aca="false">-F6*F9/100</f>
        <v>-31.9196116727208</v>
      </c>
      <c r="G10" s="0" t="n">
        <f aca="false">-G6*G9/100</f>
        <v>-32.5580039061752</v>
      </c>
      <c r="H10" s="0" t="n">
        <f aca="false">-H6*H9/100</f>
        <v>-33.2091639842987</v>
      </c>
      <c r="I10" s="0" t="n">
        <f aca="false">-I6*I9/100</f>
        <v>-33.8733472639847</v>
      </c>
      <c r="J10" s="0" t="n">
        <f aca="false">-J6*J9/100</f>
        <v>-34.5508142092644</v>
      </c>
      <c r="K10" s="0" t="n">
        <f aca="false">-K6*K9/100</f>
        <v>-35.2418304934497</v>
      </c>
      <c r="L10" s="0" t="n">
        <f aca="false">-L6*L9/100</f>
        <v>-35.9466671033187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859.59589968</v>
      </c>
      <c r="D11" s="0" t="n">
        <f aca="false">D8+D10+D24</f>
        <v>878.5992266576</v>
      </c>
      <c r="E11" s="0" t="n">
        <f aca="false">E8+E10+E24</f>
        <v>893.61004356092</v>
      </c>
      <c r="F11" s="0" t="n">
        <f aca="false">F8+F10+F24</f>
        <v>904.388997393756</v>
      </c>
      <c r="G11" s="0" t="n">
        <f aca="false">G8+G10+G24</f>
        <v>917.050443357269</v>
      </c>
      <c r="H11" s="0" t="n">
        <f aca="false">H8+H10+H24</f>
        <v>935.391452224414</v>
      </c>
      <c r="I11" s="0" t="n">
        <f aca="false">I8+I10+I24</f>
        <v>954.099281268902</v>
      </c>
      <c r="J11" s="0" t="n">
        <f aca="false">J8+J10+J24</f>
        <v>973.18126689428</v>
      </c>
      <c r="K11" s="0" t="n">
        <f aca="false">K8+K10+K24</f>
        <v>992.644892232166</v>
      </c>
      <c r="L11" s="0" t="n">
        <f aca="false">L8+L10+L24</f>
        <v>1012.49779007681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859.59589968</v>
      </c>
      <c r="D13" s="0" t="n">
        <f aca="false">D11+D12</f>
        <v>878.5992266576</v>
      </c>
      <c r="E13" s="0" t="n">
        <f aca="false">E11+E12</f>
        <v>893.61004356092</v>
      </c>
      <c r="F13" s="0" t="n">
        <f aca="false">F11+F12</f>
        <v>904.388997393756</v>
      </c>
      <c r="G13" s="0" t="n">
        <f aca="false">G11+G12</f>
        <v>917.050443357269</v>
      </c>
      <c r="H13" s="0" t="n">
        <f aca="false">H11+H12</f>
        <v>935.391452224414</v>
      </c>
      <c r="I13" s="0" t="n">
        <f aca="false">I11+I12</f>
        <v>954.099281268902</v>
      </c>
      <c r="J13" s="0" t="n">
        <f aca="false">J11+J12</f>
        <v>973.18126689428</v>
      </c>
      <c r="K13" s="0" t="n">
        <f aca="false">K11+K12</f>
        <v>992.644892232166</v>
      </c>
      <c r="L13" s="0" t="n">
        <f aca="false">L11+L12</f>
        <v>1012.49779007681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859.59589968</v>
      </c>
      <c r="D15" s="0" t="n">
        <f aca="false">D13-MAX(0,D13)*D14/100</f>
        <v>878.5992266576</v>
      </c>
      <c r="E15" s="0" t="n">
        <f aca="false">E13-MAX(0,E13)*E14/100</f>
        <v>893.61004356092</v>
      </c>
      <c r="F15" s="0" t="n">
        <f aca="false">F13-MAX(0,F13)*F14/100</f>
        <v>904.388997393756</v>
      </c>
      <c r="G15" s="0" t="n">
        <f aca="false">G13-MAX(0,G13)*G14/100</f>
        <v>917.050443357269</v>
      </c>
      <c r="H15" s="0" t="n">
        <f aca="false">H13-MAX(0,H13)*H14/100</f>
        <v>935.391452224414</v>
      </c>
      <c r="I15" s="0" t="n">
        <f aca="false">I13-MAX(0,I13)*I14/100</f>
        <v>954.099281268902</v>
      </c>
      <c r="J15" s="0" t="n">
        <f aca="false">J13-MAX(0,J13)*J14/100</f>
        <v>973.18126689428</v>
      </c>
      <c r="K15" s="0" t="n">
        <f aca="false">K13-MAX(0,K13)*K14/100</f>
        <v>992.644892232166</v>
      </c>
      <c r="L15" s="0" t="n">
        <f aca="false">L13-MAX(0,L13)*L14/100</f>
        <v>1012.49779007681</v>
      </c>
    </row>
    <row r="16" customFormat="false" ht="15" hidden="false" customHeight="false" outlineLevel="0" collapsed="false">
      <c r="A16" s="0" t="s">
        <v>125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-312.8797336</v>
      </c>
      <c r="D17" s="4" t="n">
        <f aca="false">-D6*Assumptions!D18/100</f>
        <v>-271.382000512</v>
      </c>
      <c r="E17" s="4" t="n">
        <f aca="false">-E6*Assumptions!E18/100</f>
        <v>-243.3957317092</v>
      </c>
      <c r="F17" s="4" t="n">
        <f aca="false">-F6*Assumptions!F18/100</f>
        <v>-221.66396994945</v>
      </c>
      <c r="G17" s="4" t="n">
        <f aca="false">-G6*Assumptions!G18/100</f>
        <v>-208.009469400564</v>
      </c>
      <c r="H17" s="4" t="n">
        <f aca="false">-H6*Assumptions!H18/100</f>
        <v>-202.944891015159</v>
      </c>
      <c r="I17" s="4" t="n">
        <f aca="false">-I6*Assumptions!I18/100</f>
        <v>-197.594525706577</v>
      </c>
      <c r="J17" s="4" t="n">
        <f aca="false">-J6*Assumptions!J18/100</f>
        <v>-201.546416220709</v>
      </c>
      <c r="K17" s="4" t="n">
        <f aca="false">-K6*Assumptions!K18/100</f>
        <v>-205.577344545123</v>
      </c>
      <c r="L17" s="4" t="n">
        <f aca="false">-L6*Assumptions!L18/100</f>
        <v>-209.688891436026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546.71616608</v>
      </c>
      <c r="D19" s="0" t="n">
        <f aca="false">D15+D16+D17+D18</f>
        <v>607.2172261456</v>
      </c>
      <c r="E19" s="0" t="n">
        <f aca="false">E15+E16+E17+E18</f>
        <v>650.21431185172</v>
      </c>
      <c r="F19" s="0" t="n">
        <f aca="false">F15+F16+F17+F18</f>
        <v>682.725027444306</v>
      </c>
      <c r="G19" s="0" t="n">
        <f aca="false">G15+G16+G17+G18</f>
        <v>709.040973956705</v>
      </c>
      <c r="H19" s="0" t="n">
        <f aca="false">H15+H16+H17+H18</f>
        <v>732.446561209255</v>
      </c>
      <c r="I19" s="0" t="n">
        <f aca="false">I15+I16+I17+I18</f>
        <v>756.504755562325</v>
      </c>
      <c r="J19" s="0" t="n">
        <f aca="false">J15+J16+J17+J18</f>
        <v>771.634850673571</v>
      </c>
      <c r="K19" s="0" t="n">
        <f aca="false">K15+K16+K17+K18</f>
        <v>787.067547687043</v>
      </c>
      <c r="L19" s="0" t="n">
        <f aca="false">L15+L16+L17+L18</f>
        <v>802.808898640784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0.91533180778032</v>
      </c>
      <c r="D20" s="0" t="n">
        <f aca="false">1/(1+$B$27/100)^D4</f>
        <v>0.837832318334389</v>
      </c>
      <c r="E20" s="0" t="n">
        <f aca="false">1/(1+$B$27/100)^E4</f>
        <v>0.766894570557793</v>
      </c>
      <c r="F20" s="0" t="n">
        <f aca="false">1/(1+$B$27/100)^F4</f>
        <v>0.701962993645578</v>
      </c>
      <c r="G20" s="0" t="n">
        <f aca="false">1/(1+$B$27/100)^G4</f>
        <v>0.642529055968492</v>
      </c>
      <c r="H20" s="0" t="n">
        <f aca="false">1/(1+$B$27/100)^H4</f>
        <v>0.588127282351022</v>
      </c>
      <c r="I20" s="0" t="n">
        <f aca="false">1/(1+$B$27/100)^I4</f>
        <v>0.538331608559288</v>
      </c>
      <c r="J20" s="0" t="n">
        <f aca="false">1/(1+$B$27/100)^J4</f>
        <v>0.492752044447861</v>
      </c>
      <c r="K20" s="0" t="n">
        <f aca="false">1/(1+$B$27/100)^K4</f>
        <v>0.451031619631909</v>
      </c>
      <c r="L20" s="0" t="n">
        <f aca="false">1/(1+$B$27/100)^L4</f>
        <v>0.412843587763762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500.426696640732</v>
      </c>
      <c r="D21" s="0" t="n">
        <f aca="false">D19*D20</f>
        <v>508.746216314145</v>
      </c>
      <c r="E21" s="0" t="n">
        <f aca="false">E19*E20</f>
        <v>498.645825458056</v>
      </c>
      <c r="F21" s="0" t="n">
        <f aca="false">F19*F20</f>
        <v>479.247704101564</v>
      </c>
      <c r="G21" s="0" t="n">
        <f aca="false">G19*G20</f>
        <v>455.579427639382</v>
      </c>
      <c r="H21" s="0" t="n">
        <f aca="false">H19*H20</f>
        <v>430.771805511351</v>
      </c>
      <c r="I21" s="0" t="n">
        <f aca="false">I19*I20</f>
        <v>407.250421944617</v>
      </c>
      <c r="J21" s="0" t="n">
        <f aca="false">J19*J20</f>
        <v>380.224650236622</v>
      </c>
      <c r="K21" s="0" t="n">
        <f aca="false">K19*K20</f>
        <v>354.992350793002</v>
      </c>
      <c r="L21" s="0" t="n">
        <f aca="false">L19*L20</f>
        <v>331.434506003535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9.25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4347.31960464301</v>
      </c>
    </row>
    <row r="31" customFormat="false" ht="15" hidden="false" customHeight="false" outlineLevel="0" collapsed="false">
      <c r="A31" s="0" t="s">
        <v>134</v>
      </c>
      <c r="B31" s="0" t="n">
        <f aca="false">L19</f>
        <v>802.808898640784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11294.6907119117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14450.5601755341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11294.6907119117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4662.94063618767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9010.26024083067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9010.26024083067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48.1343033326068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-0.329605803167036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205.562657337973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208.78838669497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50.3478352735916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6298.96212779692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26.376574272602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7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3.25</v>
      </c>
      <c r="J5" s="4" t="n">
        <f aca="false">Assumptions!J27</f>
        <v>3</v>
      </c>
      <c r="K5" s="4" t="n">
        <f aca="false">Assumptions!K27</f>
        <v>2.75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1553.524</v>
      </c>
      <c r="C6" s="0" t="n">
        <f aca="false">B6*(1+C5/100)</f>
        <v>1662.27068</v>
      </c>
      <c r="D6" s="0" t="n">
        <f aca="false">C6*(1+D5/100)</f>
        <v>1753.6955674</v>
      </c>
      <c r="E6" s="0" t="n">
        <f aca="false">D6*(1+E5/100)</f>
        <v>1841.38034577</v>
      </c>
      <c r="F6" s="0" t="n">
        <f aca="false">E6*(1+F5/100)</f>
        <v>1924.24246132965</v>
      </c>
      <c r="G6" s="0" t="n">
        <f aca="false">F6*(1+G5/100)</f>
        <v>2001.21215978284</v>
      </c>
      <c r="H6" s="0" t="n">
        <f aca="false">G6*(1+H5/100)</f>
        <v>2071.25458537524</v>
      </c>
      <c r="I6" s="0" t="n">
        <f aca="false">H6*(1+I5/100)</f>
        <v>2138.57035939993</v>
      </c>
      <c r="J6" s="0" t="n">
        <f aca="false">I6*(1+J5/100)</f>
        <v>2202.72747018193</v>
      </c>
      <c r="K6" s="0" t="n">
        <f aca="false">J6*(1+K5/100)</f>
        <v>2263.30247561193</v>
      </c>
      <c r="L6" s="0" t="n">
        <f aca="false">K6*(1+L5/100)</f>
        <v>2319.88503750223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54.2</v>
      </c>
      <c r="D7" s="4" t="n">
        <f aca="false">Assumptions!D28</f>
        <v>54.2</v>
      </c>
      <c r="E7" s="4" t="n">
        <f aca="false">Assumptions!E28</f>
        <v>54.2</v>
      </c>
      <c r="F7" s="4" t="n">
        <f aca="false">Assumptions!F28</f>
        <v>54.2</v>
      </c>
      <c r="G7" s="4" t="n">
        <f aca="false">Assumptions!G28</f>
        <v>54.2</v>
      </c>
      <c r="H7" s="4" t="n">
        <f aca="false">Assumptions!H28</f>
        <v>54.2</v>
      </c>
      <c r="I7" s="4" t="n">
        <f aca="false">Assumptions!I28</f>
        <v>54.2</v>
      </c>
      <c r="J7" s="4" t="n">
        <f aca="false">Assumptions!J28</f>
        <v>54.2</v>
      </c>
      <c r="K7" s="4" t="n">
        <f aca="false">Assumptions!K28</f>
        <v>54.2</v>
      </c>
      <c r="L7" s="4" t="n">
        <f aca="false">Assumptions!L28</f>
        <v>54.2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900.95070856</v>
      </c>
      <c r="D8" s="0" t="n">
        <f aca="false">D6*D7/100</f>
        <v>950.5029975308</v>
      </c>
      <c r="E8" s="0" t="n">
        <f aca="false">E6*E7/100</f>
        <v>998.02814740734</v>
      </c>
      <c r="F8" s="0" t="n">
        <f aca="false">F6*F7/100</f>
        <v>1042.93941404067</v>
      </c>
      <c r="G8" s="0" t="n">
        <f aca="false">G6*G7/100</f>
        <v>1084.6569906023</v>
      </c>
      <c r="H8" s="0" t="n">
        <f aca="false">H6*H7/100</f>
        <v>1122.61998527338</v>
      </c>
      <c r="I8" s="0" t="n">
        <f aca="false">I6*I7/100</f>
        <v>1159.10513479476</v>
      </c>
      <c r="J8" s="0" t="n">
        <f aca="false">J6*J7/100</f>
        <v>1193.87828883861</v>
      </c>
      <c r="K8" s="0" t="n">
        <f aca="false">K6*K7/100</f>
        <v>1226.70994178167</v>
      </c>
      <c r="L8" s="0" t="n">
        <f aca="false">L6*L7/100</f>
        <v>1257.37769032621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1.8</v>
      </c>
      <c r="D9" s="4" t="n">
        <f aca="false">Assumptions!D29</f>
        <v>1.8</v>
      </c>
      <c r="E9" s="4" t="n">
        <f aca="false">Assumptions!E29</f>
        <v>1.8</v>
      </c>
      <c r="F9" s="4" t="n">
        <f aca="false">Assumptions!F29</f>
        <v>1.8</v>
      </c>
      <c r="G9" s="4" t="n">
        <f aca="false">Assumptions!G29</f>
        <v>1.8</v>
      </c>
      <c r="H9" s="4" t="n">
        <f aca="false">Assumptions!H29</f>
        <v>1.8</v>
      </c>
      <c r="I9" s="4" t="n">
        <f aca="false">Assumptions!I29</f>
        <v>1.8</v>
      </c>
      <c r="J9" s="4" t="n">
        <f aca="false">Assumptions!J29</f>
        <v>1.8</v>
      </c>
      <c r="K9" s="4" t="n">
        <f aca="false">Assumptions!K29</f>
        <v>1.8</v>
      </c>
      <c r="L9" s="4" t="n">
        <f aca="false">Assumptions!L29</f>
        <v>1.8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-29.92087224</v>
      </c>
      <c r="D10" s="0" t="n">
        <f aca="false">-D6*D9/100</f>
        <v>-31.5665202132</v>
      </c>
      <c r="E10" s="0" t="n">
        <f aca="false">-E6*E9/100</f>
        <v>-33.14484622386</v>
      </c>
      <c r="F10" s="0" t="n">
        <f aca="false">-F6*F9/100</f>
        <v>-34.6363643039337</v>
      </c>
      <c r="G10" s="0" t="n">
        <f aca="false">-G6*G9/100</f>
        <v>-36.0218188760911</v>
      </c>
      <c r="H10" s="0" t="n">
        <f aca="false">-H6*H9/100</f>
        <v>-37.2825825367542</v>
      </c>
      <c r="I10" s="0" t="n">
        <f aca="false">-I6*I9/100</f>
        <v>-38.4942664691988</v>
      </c>
      <c r="J10" s="0" t="n">
        <f aca="false">-J6*J9/100</f>
        <v>-39.6490944632747</v>
      </c>
      <c r="K10" s="0" t="n">
        <f aca="false">-K6*K9/100</f>
        <v>-40.7394445610148</v>
      </c>
      <c r="L10" s="0" t="n">
        <f aca="false">-L6*L9/100</f>
        <v>-41.7579306750401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871.02983632</v>
      </c>
      <c r="D11" s="0" t="n">
        <f aca="false">D8+D10+D24</f>
        <v>918.9364773176</v>
      </c>
      <c r="E11" s="0" t="n">
        <f aca="false">E8+E10+E24</f>
        <v>964.88330118348</v>
      </c>
      <c r="F11" s="0" t="n">
        <f aca="false">F8+F10+F24</f>
        <v>1008.30304973674</v>
      </c>
      <c r="G11" s="0" t="n">
        <f aca="false">G8+G10+G24</f>
        <v>1048.63517172621</v>
      </c>
      <c r="H11" s="0" t="n">
        <f aca="false">H8+H10+H24</f>
        <v>1085.33740273662</v>
      </c>
      <c r="I11" s="0" t="n">
        <f aca="false">I8+I10+I24</f>
        <v>1120.61086832556</v>
      </c>
      <c r="J11" s="0" t="n">
        <f aca="false">J8+J10+J24</f>
        <v>1154.22919437533</v>
      </c>
      <c r="K11" s="0" t="n">
        <f aca="false">K8+K10+K24</f>
        <v>1185.97049722065</v>
      </c>
      <c r="L11" s="0" t="n">
        <f aca="false">L8+L10+L24</f>
        <v>1215.61975965117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871.02983632</v>
      </c>
      <c r="D13" s="0" t="n">
        <f aca="false">D11+D12</f>
        <v>918.9364773176</v>
      </c>
      <c r="E13" s="0" t="n">
        <f aca="false">E11+E12</f>
        <v>964.88330118348</v>
      </c>
      <c r="F13" s="0" t="n">
        <f aca="false">F11+F12</f>
        <v>1008.30304973674</v>
      </c>
      <c r="G13" s="0" t="n">
        <f aca="false">G11+G12</f>
        <v>1048.63517172621</v>
      </c>
      <c r="H13" s="0" t="n">
        <f aca="false">H11+H12</f>
        <v>1085.33740273662</v>
      </c>
      <c r="I13" s="0" t="n">
        <f aca="false">I11+I12</f>
        <v>1120.61086832556</v>
      </c>
      <c r="J13" s="0" t="n">
        <f aca="false">J11+J12</f>
        <v>1154.22919437533</v>
      </c>
      <c r="K13" s="0" t="n">
        <f aca="false">K11+K12</f>
        <v>1185.97049722065</v>
      </c>
      <c r="L13" s="0" t="n">
        <f aca="false">L11+L12</f>
        <v>1215.61975965117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871.02983632</v>
      </c>
      <c r="D15" s="0" t="n">
        <f aca="false">D13-MAX(0,D13)*D14/100</f>
        <v>918.9364773176</v>
      </c>
      <c r="E15" s="0" t="n">
        <f aca="false">E13-MAX(0,E13)*E14/100</f>
        <v>964.88330118348</v>
      </c>
      <c r="F15" s="0" t="n">
        <f aca="false">F13-MAX(0,F13)*F14/100</f>
        <v>1008.30304973674</v>
      </c>
      <c r="G15" s="0" t="n">
        <f aca="false">G13-MAX(0,G13)*G14/100</f>
        <v>1048.63517172621</v>
      </c>
      <c r="H15" s="0" t="n">
        <f aca="false">H13-MAX(0,H13)*H14/100</f>
        <v>1085.33740273662</v>
      </c>
      <c r="I15" s="0" t="n">
        <f aca="false">I13-MAX(0,I13)*I14/100</f>
        <v>1120.61086832556</v>
      </c>
      <c r="J15" s="0" t="n">
        <f aca="false">J13-MAX(0,J13)*J14/100</f>
        <v>1154.22919437533</v>
      </c>
      <c r="K15" s="0" t="n">
        <f aca="false">K13-MAX(0,K13)*K14/100</f>
        <v>1185.97049722065</v>
      </c>
      <c r="L15" s="0" t="n">
        <f aca="false">L13-MAX(0,L13)*L14/100</f>
        <v>1215.61975965117</v>
      </c>
    </row>
    <row r="16" customFormat="false" ht="15" hidden="false" customHeight="false" outlineLevel="0" collapsed="false">
      <c r="A16" s="0" t="s">
        <v>125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-332.454136</v>
      </c>
      <c r="D17" s="4" t="n">
        <f aca="false">-D6*Assumptions!D32/100</f>
        <v>-341.970635643</v>
      </c>
      <c r="E17" s="4" t="n">
        <f aca="false">-E6*Assumptions!E32/100</f>
        <v>-340.65536396745</v>
      </c>
      <c r="F17" s="4" t="n">
        <f aca="false">-F6*Assumptions!F32/100</f>
        <v>-327.121218426041</v>
      </c>
      <c r="G17" s="4" t="n">
        <f aca="false">-G6*Assumptions!G32/100</f>
        <v>-310.18788476634</v>
      </c>
      <c r="H17" s="4" t="n">
        <f aca="false">-H6*Assumptions!H32/100</f>
        <v>-289.975641952533</v>
      </c>
      <c r="I17" s="4" t="n">
        <f aca="false">-I6*Assumptions!I32/100</f>
        <v>-278.014146721991</v>
      </c>
      <c r="J17" s="4" t="n">
        <f aca="false">-J6*Assumptions!J32/100</f>
        <v>-264.327296421832</v>
      </c>
      <c r="K17" s="4" t="n">
        <f aca="false">-K6*Assumptions!K32/100</f>
        <v>-260.279784695372</v>
      </c>
      <c r="L17" s="4" t="n">
        <f aca="false">-L6*Assumptions!L32/100</f>
        <v>-255.187354125245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538.57570032</v>
      </c>
      <c r="D19" s="0" t="n">
        <f aca="false">D15+D16+D17+D18</f>
        <v>576.9658416746</v>
      </c>
      <c r="E19" s="0" t="n">
        <f aca="false">E15+E16+E17+E18</f>
        <v>624.22793721603</v>
      </c>
      <c r="F19" s="0" t="n">
        <f aca="false">F15+F16+F17+F18</f>
        <v>681.181831310696</v>
      </c>
      <c r="G19" s="0" t="n">
        <f aca="false">G15+G16+G17+G18</f>
        <v>738.447286959867</v>
      </c>
      <c r="H19" s="0" t="n">
        <f aca="false">H15+H16+H17+H18</f>
        <v>795.361760784091</v>
      </c>
      <c r="I19" s="0" t="n">
        <f aca="false">I15+I16+I17+I18</f>
        <v>842.596721603573</v>
      </c>
      <c r="J19" s="0" t="n">
        <f aca="false">J15+J16+J17+J18</f>
        <v>889.901897953499</v>
      </c>
      <c r="K19" s="0" t="n">
        <f aca="false">K15+K16+K17+K18</f>
        <v>925.69071252528</v>
      </c>
      <c r="L19" s="0" t="n">
        <f aca="false">L15+L16+L17+L18</f>
        <v>960.432405525923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0.91533180778032</v>
      </c>
      <c r="D20" s="0" t="n">
        <f aca="false">1/(1+$B$27/100)^D4</f>
        <v>0.837832318334389</v>
      </c>
      <c r="E20" s="0" t="n">
        <f aca="false">1/(1+$B$27/100)^E4</f>
        <v>0.766894570557793</v>
      </c>
      <c r="F20" s="0" t="n">
        <f aca="false">1/(1+$B$27/100)^F4</f>
        <v>0.701962993645578</v>
      </c>
      <c r="G20" s="0" t="n">
        <f aca="false">1/(1+$B$27/100)^G4</f>
        <v>0.642529055968492</v>
      </c>
      <c r="H20" s="0" t="n">
        <f aca="false">1/(1+$B$27/100)^H4</f>
        <v>0.588127282351022</v>
      </c>
      <c r="I20" s="0" t="n">
        <f aca="false">1/(1+$B$27/100)^I4</f>
        <v>0.538331608559288</v>
      </c>
      <c r="J20" s="0" t="n">
        <f aca="false">1/(1+$B$27/100)^J4</f>
        <v>0.492752044447861</v>
      </c>
      <c r="K20" s="0" t="n">
        <f aca="false">1/(1+$B$27/100)^K4</f>
        <v>0.451031619631909</v>
      </c>
      <c r="L20" s="0" t="n">
        <f aca="false">1/(1+$B$27/100)^L4</f>
        <v>0.412843587763762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492.975469400458</v>
      </c>
      <c r="D21" s="0" t="n">
        <f aca="false">D19*D20</f>
        <v>483.400628729982</v>
      </c>
      <c r="E21" s="0" t="n">
        <f aca="false">E19*E20</f>
        <v>478.717015841465</v>
      </c>
      <c r="F21" s="0" t="n">
        <f aca="false">F19*F20</f>
        <v>478.164437523833</v>
      </c>
      <c r="G21" s="0" t="n">
        <f aca="false">G19*G20</f>
        <v>474.473838172817</v>
      </c>
      <c r="H21" s="0" t="n">
        <f aca="false">H19*H20</f>
        <v>467.773950855871</v>
      </c>
      <c r="I21" s="0" t="n">
        <f aca="false">I19*I20</f>
        <v>453.596448507634</v>
      </c>
      <c r="J21" s="0" t="n">
        <f aca="false">J19*J20</f>
        <v>438.500979574619</v>
      </c>
      <c r="K21" s="0" t="n">
        <f aca="false">K19*K20</f>
        <v>417.515781348493</v>
      </c>
      <c r="L21" s="0" t="n">
        <f aca="false">L19*L20</f>
        <v>396.508360101902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9.25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4581.62691005707</v>
      </c>
    </row>
    <row r="31" customFormat="false" ht="15" hidden="false" customHeight="false" outlineLevel="0" collapsed="false">
      <c r="A31" s="0" t="s">
        <v>134</v>
      </c>
      <c r="B31" s="0" t="n">
        <f aca="false">L19</f>
        <v>960.432405525923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14584.343935764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17287.7832994666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14584.343935764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6021.05287562148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10602.6797856785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10602.6797856785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56.6412724273655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-0.211124339451734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224.513119026401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261.784907635716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59.2391570721762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7875.54572531257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29.223948371293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7.5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3.25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1553.524</v>
      </c>
      <c r="C6" s="0" t="n">
        <f aca="false">B6*(1+C5/100)</f>
        <v>1670.0383</v>
      </c>
      <c r="D6" s="0" t="n">
        <f aca="false">C6*(1+D5/100)</f>
        <v>1778.5907895</v>
      </c>
      <c r="E6" s="0" t="n">
        <f aca="false">D6*(1+E5/100)</f>
        <v>1885.30623687</v>
      </c>
      <c r="F6" s="0" t="n">
        <f aca="false">E6*(1+F5/100)</f>
        <v>1988.99807989785</v>
      </c>
      <c r="G6" s="0" t="n">
        <f aca="false">F6*(1+G5/100)</f>
        <v>2088.44798389274</v>
      </c>
      <c r="H6" s="0" t="n">
        <f aca="false">G6*(1+H5/100)</f>
        <v>2182.42814316792</v>
      </c>
      <c r="I6" s="0" t="n">
        <f aca="false">H6*(1+I5/100)</f>
        <v>2269.72526889463</v>
      </c>
      <c r="J6" s="0" t="n">
        <f aca="false">I6*(1+J5/100)</f>
        <v>2349.16565330594</v>
      </c>
      <c r="K6" s="0" t="n">
        <f aca="false">J6*(1+K5/100)</f>
        <v>2425.51353703839</v>
      </c>
      <c r="L6" s="0" t="n">
        <f aca="false">K6*(1+L5/100)</f>
        <v>2498.27894314954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54.3</v>
      </c>
      <c r="D7" s="4" t="n">
        <f aca="false">Assumptions!D42</f>
        <v>54.6</v>
      </c>
      <c r="E7" s="4" t="n">
        <f aca="false">Assumptions!E42</f>
        <v>54.9</v>
      </c>
      <c r="F7" s="4" t="n">
        <f aca="false">Assumptions!F42</f>
        <v>55.2</v>
      </c>
      <c r="G7" s="4" t="n">
        <f aca="false">Assumptions!G42</f>
        <v>55.5</v>
      </c>
      <c r="H7" s="4" t="n">
        <f aca="false">Assumptions!H42</f>
        <v>55.5</v>
      </c>
      <c r="I7" s="4" t="n">
        <f aca="false">Assumptions!I42</f>
        <v>55.5</v>
      </c>
      <c r="J7" s="4" t="n">
        <f aca="false">Assumptions!J42</f>
        <v>55.5</v>
      </c>
      <c r="K7" s="4" t="n">
        <f aca="false">Assumptions!K42</f>
        <v>55.5</v>
      </c>
      <c r="L7" s="4" t="n">
        <f aca="false">Assumptions!L42</f>
        <v>55.5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906.8307969</v>
      </c>
      <c r="D8" s="0" t="n">
        <f aca="false">D6*D7/100</f>
        <v>971.110571067</v>
      </c>
      <c r="E8" s="0" t="n">
        <f aca="false">E6*E7/100</f>
        <v>1035.03312404163</v>
      </c>
      <c r="F8" s="0" t="n">
        <f aca="false">F6*F7/100</f>
        <v>1097.92694010361</v>
      </c>
      <c r="G8" s="0" t="n">
        <f aca="false">G6*G7/100</f>
        <v>1159.08863106047</v>
      </c>
      <c r="H8" s="0" t="n">
        <f aca="false">H6*H7/100</f>
        <v>1211.24761945819</v>
      </c>
      <c r="I8" s="0" t="n">
        <f aca="false">I6*I7/100</f>
        <v>1259.69752423652</v>
      </c>
      <c r="J8" s="0" t="n">
        <f aca="false">J6*J7/100</f>
        <v>1303.7869375848</v>
      </c>
      <c r="K8" s="0" t="n">
        <f aca="false">K6*K7/100</f>
        <v>1346.16001305631</v>
      </c>
      <c r="L8" s="0" t="n">
        <f aca="false">L6*L7/100</f>
        <v>1386.54481344799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1.8</v>
      </c>
      <c r="D9" s="4" t="n">
        <f aca="false">Assumptions!D43</f>
        <v>1.8</v>
      </c>
      <c r="E9" s="4" t="n">
        <f aca="false">Assumptions!E43</f>
        <v>1.8</v>
      </c>
      <c r="F9" s="4" t="n">
        <f aca="false">Assumptions!F43</f>
        <v>1.8</v>
      </c>
      <c r="G9" s="4" t="n">
        <f aca="false">Assumptions!G43</f>
        <v>1.8</v>
      </c>
      <c r="H9" s="4" t="n">
        <f aca="false">Assumptions!H43</f>
        <v>1.8</v>
      </c>
      <c r="I9" s="4" t="n">
        <f aca="false">Assumptions!I43</f>
        <v>1.8</v>
      </c>
      <c r="J9" s="4" t="n">
        <f aca="false">Assumptions!J43</f>
        <v>1.8</v>
      </c>
      <c r="K9" s="4" t="n">
        <f aca="false">Assumptions!K43</f>
        <v>1.8</v>
      </c>
      <c r="L9" s="4" t="n">
        <f aca="false">Assumptions!L43</f>
        <v>1.8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-30.0606894</v>
      </c>
      <c r="D10" s="0" t="n">
        <f aca="false">-D6*D9/100</f>
        <v>-32.014634211</v>
      </c>
      <c r="E10" s="0" t="n">
        <f aca="false">-E6*E9/100</f>
        <v>-33.93551226366</v>
      </c>
      <c r="F10" s="0" t="n">
        <f aca="false">-F6*F9/100</f>
        <v>-35.8019654381613</v>
      </c>
      <c r="G10" s="0" t="n">
        <f aca="false">-G6*G9/100</f>
        <v>-37.5920637100694</v>
      </c>
      <c r="H10" s="0" t="n">
        <f aca="false">-H6*H9/100</f>
        <v>-39.2837065770225</v>
      </c>
      <c r="I10" s="0" t="n">
        <f aca="false">-I6*I9/100</f>
        <v>-40.8550548401034</v>
      </c>
      <c r="J10" s="0" t="n">
        <f aca="false">-J6*J9/100</f>
        <v>-42.284981759507</v>
      </c>
      <c r="K10" s="0" t="n">
        <f aca="false">-K6*K9/100</f>
        <v>-43.659243666691</v>
      </c>
      <c r="L10" s="0" t="n">
        <f aca="false">-L6*L9/100</f>
        <v>-44.9690209766917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876.7701075</v>
      </c>
      <c r="D11" s="0" t="n">
        <f aca="false">D8+D10+D24</f>
        <v>939.095936856</v>
      </c>
      <c r="E11" s="0" t="n">
        <f aca="false">E8+E10+E24</f>
        <v>1001.09761177797</v>
      </c>
      <c r="F11" s="0" t="n">
        <f aca="false">F8+F10+F24</f>
        <v>1062.12497466545</v>
      </c>
      <c r="G11" s="0" t="n">
        <f aca="false">G8+G10+G24</f>
        <v>1121.4965673504</v>
      </c>
      <c r="H11" s="0" t="n">
        <f aca="false">H8+H10+H24</f>
        <v>1171.96391288117</v>
      </c>
      <c r="I11" s="0" t="n">
        <f aca="false">I8+I10+I24</f>
        <v>1218.84246939642</v>
      </c>
      <c r="J11" s="0" t="n">
        <f aca="false">J8+J10+J24</f>
        <v>1261.50195582529</v>
      </c>
      <c r="K11" s="0" t="n">
        <f aca="false">K8+K10+K24</f>
        <v>1302.50076938961</v>
      </c>
      <c r="L11" s="0" t="n">
        <f aca="false">L8+L10+L24</f>
        <v>1341.5757924713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876.7701075</v>
      </c>
      <c r="D13" s="0" t="n">
        <f aca="false">D11+D12</f>
        <v>939.095936856</v>
      </c>
      <c r="E13" s="0" t="n">
        <f aca="false">E11+E12</f>
        <v>1001.09761177797</v>
      </c>
      <c r="F13" s="0" t="n">
        <f aca="false">F11+F12</f>
        <v>1062.12497466545</v>
      </c>
      <c r="G13" s="0" t="n">
        <f aca="false">G11+G12</f>
        <v>1121.4965673504</v>
      </c>
      <c r="H13" s="0" t="n">
        <f aca="false">H11+H12</f>
        <v>1171.96391288117</v>
      </c>
      <c r="I13" s="0" t="n">
        <f aca="false">I11+I12</f>
        <v>1218.84246939642</v>
      </c>
      <c r="J13" s="0" t="n">
        <f aca="false">J11+J12</f>
        <v>1261.50195582529</v>
      </c>
      <c r="K13" s="0" t="n">
        <f aca="false">K11+K12</f>
        <v>1302.50076938961</v>
      </c>
      <c r="L13" s="0" t="n">
        <f aca="false">L11+L12</f>
        <v>1341.5757924713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876.7701075</v>
      </c>
      <c r="D15" s="0" t="n">
        <f aca="false">D13-MAX(0,D13)*D14/100</f>
        <v>939.095936856</v>
      </c>
      <c r="E15" s="0" t="n">
        <f aca="false">E13-MAX(0,E13)*E14/100</f>
        <v>1001.09761177797</v>
      </c>
      <c r="F15" s="0" t="n">
        <f aca="false">F13-MAX(0,F13)*F14/100</f>
        <v>1062.12497466545</v>
      </c>
      <c r="G15" s="0" t="n">
        <f aca="false">G13-MAX(0,G13)*G14/100</f>
        <v>1121.4965673504</v>
      </c>
      <c r="H15" s="0" t="n">
        <f aca="false">H13-MAX(0,H13)*H14/100</f>
        <v>1171.96391288117</v>
      </c>
      <c r="I15" s="0" t="n">
        <f aca="false">I13-MAX(0,I13)*I14/100</f>
        <v>1218.84246939642</v>
      </c>
      <c r="J15" s="0" t="n">
        <f aca="false">J13-MAX(0,J13)*J14/100</f>
        <v>1261.50195582529</v>
      </c>
      <c r="K15" s="0" t="n">
        <f aca="false">K13-MAX(0,K13)*K14/100</f>
        <v>1302.50076938961</v>
      </c>
      <c r="L15" s="0" t="n">
        <f aca="false">L13-MAX(0,L13)*L14/100</f>
        <v>1341.5757924713</v>
      </c>
    </row>
    <row r="16" customFormat="false" ht="15" hidden="false" customHeight="false" outlineLevel="0" collapsed="false">
      <c r="A16" s="0" t="s">
        <v>125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-334.00766</v>
      </c>
      <c r="D17" s="4" t="n">
        <f aca="false">-D6*Assumptions!D46/100</f>
        <v>-355.7181579</v>
      </c>
      <c r="E17" s="4" t="n">
        <f aca="false">-E6*Assumptions!E46/100</f>
        <v>-358.2081850053</v>
      </c>
      <c r="F17" s="4" t="n">
        <f aca="false">-F6*Assumptions!F46/100</f>
        <v>-348.074663982124</v>
      </c>
      <c r="G17" s="4" t="n">
        <f aca="false">-G6*Assumptions!G46/100</f>
        <v>-334.151677422839</v>
      </c>
      <c r="H17" s="4" t="n">
        <f aca="false">-H6*Assumptions!H46/100</f>
        <v>-316.452080759348</v>
      </c>
      <c r="I17" s="4" t="n">
        <f aca="false">-I6*Assumptions!I46/100</f>
        <v>-306.412911300775</v>
      </c>
      <c r="J17" s="4" t="n">
        <f aca="false">-J6*Assumptions!J46/100</f>
        <v>-293.645706663243</v>
      </c>
      <c r="K17" s="4" t="n">
        <f aca="false">-K6*Assumptions!K46/100</f>
        <v>-291.061624444607</v>
      </c>
      <c r="L17" s="4" t="n">
        <f aca="false">-L6*Assumptions!L46/100</f>
        <v>-287.302078462197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542.7624475</v>
      </c>
      <c r="D19" s="0" t="n">
        <f aca="false">D15+D16+D17+D18</f>
        <v>583.377778956</v>
      </c>
      <c r="E19" s="0" t="n">
        <f aca="false">E15+E16+E17+E18</f>
        <v>642.88942677267</v>
      </c>
      <c r="F19" s="0" t="n">
        <f aca="false">F15+F16+F17+F18</f>
        <v>714.050310683328</v>
      </c>
      <c r="G19" s="0" t="n">
        <f aca="false">G15+G16+G17+G18</f>
        <v>787.344889927564</v>
      </c>
      <c r="H19" s="0" t="n">
        <f aca="false">H15+H16+H17+H18</f>
        <v>855.511832121823</v>
      </c>
      <c r="I19" s="0" t="n">
        <f aca="false">I15+I16+I17+I18</f>
        <v>912.429558095642</v>
      </c>
      <c r="J19" s="0" t="n">
        <f aca="false">J15+J16+J17+J18</f>
        <v>967.856249162049</v>
      </c>
      <c r="K19" s="0" t="n">
        <f aca="false">K15+K16+K17+K18</f>
        <v>1011.43914494501</v>
      </c>
      <c r="L19" s="0" t="n">
        <f aca="false">L15+L16+L17+L18</f>
        <v>1054.27371400911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0.91533180778032</v>
      </c>
      <c r="D20" s="0" t="n">
        <f aca="false">1/(1+$B$27/100)^D4</f>
        <v>0.837832318334389</v>
      </c>
      <c r="E20" s="0" t="n">
        <f aca="false">1/(1+$B$27/100)^E4</f>
        <v>0.766894570557793</v>
      </c>
      <c r="F20" s="0" t="n">
        <f aca="false">1/(1+$B$27/100)^F4</f>
        <v>0.701962993645578</v>
      </c>
      <c r="G20" s="0" t="n">
        <f aca="false">1/(1+$B$27/100)^G4</f>
        <v>0.642529055968492</v>
      </c>
      <c r="H20" s="0" t="n">
        <f aca="false">1/(1+$B$27/100)^H4</f>
        <v>0.588127282351022</v>
      </c>
      <c r="I20" s="0" t="n">
        <f aca="false">1/(1+$B$27/100)^I4</f>
        <v>0.538331608559288</v>
      </c>
      <c r="J20" s="0" t="n">
        <f aca="false">1/(1+$B$27/100)^J4</f>
        <v>0.492752044447861</v>
      </c>
      <c r="K20" s="0" t="n">
        <f aca="false">1/(1+$B$27/100)^K4</f>
        <v>0.451031619631909</v>
      </c>
      <c r="L20" s="0" t="n">
        <f aca="false">1/(1+$B$27/100)^L4</f>
        <v>0.412843587763762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496.807732265446</v>
      </c>
      <c r="D21" s="0" t="n">
        <f aca="false">D19*D20</f>
        <v>488.772757007472</v>
      </c>
      <c r="E21" s="0" t="n">
        <f aca="false">E19*E20</f>
        <v>493.028410860973</v>
      </c>
      <c r="F21" s="0" t="n">
        <f aca="false">F19*F20</f>
        <v>501.236893700824</v>
      </c>
      <c r="G21" s="0" t="n">
        <f aca="false">G19*G20</f>
        <v>505.891968846774</v>
      </c>
      <c r="H21" s="0" t="n">
        <f aca="false">H19*H20</f>
        <v>503.149848844952</v>
      </c>
      <c r="I21" s="0" t="n">
        <f aca="false">I19*I20</f>
        <v>491.189671706667</v>
      </c>
      <c r="J21" s="0" t="n">
        <f aca="false">J19*J20</f>
        <v>476.913145506238</v>
      </c>
      <c r="K21" s="0" t="n">
        <f aca="false">K19*K20</f>
        <v>456.19103570366</v>
      </c>
      <c r="L21" s="0" t="n">
        <f aca="false">L19*L20</f>
        <v>435.250142576545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9.25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4848.43160701955</v>
      </c>
    </row>
    <row r="31" customFormat="false" ht="15" hidden="false" customHeight="false" outlineLevel="0" collapsed="false">
      <c r="A31" s="0" t="s">
        <v>134</v>
      </c>
      <c r="B31" s="0" t="n">
        <f aca="false">L19</f>
        <v>1054.27371400911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17374.4308068701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18976.9268521639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17374.4308068701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7172.92234966146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12021.353956681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12021.353956681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64.2200649430045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-0.105570126141999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233.839278054499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305.954033871816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67.1037302666132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9049.18271191149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31.7843396611169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48.1343033326068</v>
      </c>
      <c r="C4" s="0" t="n">
        <f aca="false">B4/Assumptions!$B$2-1</f>
        <v>-0.329605803167036</v>
      </c>
      <c r="D4" s="4" t="n">
        <f aca="false">Assumptions!$B$24</f>
        <v>0.2</v>
      </c>
      <c r="E4" s="4" t="n">
        <f aca="false">DCF_Bear!$B$43</f>
        <v>50.3478352735916</v>
      </c>
      <c r="F4" s="4" t="n">
        <f aca="false">DCF_Bear!$B$47</f>
        <v>26.376574272602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56.6412724273655</v>
      </c>
      <c r="C5" s="0" t="n">
        <f aca="false">B5/Assumptions!$B$2-1</f>
        <v>-0.211124339451734</v>
      </c>
      <c r="D5" s="4" t="n">
        <f aca="false">Assumptions!$B$38</f>
        <v>0.5</v>
      </c>
      <c r="E5" s="4" t="n">
        <f aca="false">DCF_Base!$B$43</f>
        <v>59.2391570721762</v>
      </c>
      <c r="F5" s="4" t="n">
        <f aca="false">DCF_Base!$B$47</f>
        <v>29.223948371293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64.2200649430045</v>
      </c>
      <c r="C6" s="0" t="n">
        <f aca="false">B6/Assumptions!$B$2-1</f>
        <v>-0.105570126141999</v>
      </c>
      <c r="D6" s="4" t="n">
        <f aca="false">Assumptions!$B$52</f>
        <v>0.3</v>
      </c>
      <c r="E6" s="4" t="n">
        <f aca="false">DCF_Bull!$B$43</f>
        <v>67.1037302666132</v>
      </c>
      <c r="F6" s="4" t="n">
        <f aca="false">DCF_Bull!$B$47</f>
        <v>31.7843396611169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57.2135163631055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59.8202646707904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-0.254948210914383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559.566245574699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29.422590938502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58.9533722224231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56.6412724273655</v>
      </c>
      <c r="C16" s="3" t="n">
        <v>9.25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50.6393569389922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44.3031310227132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39.3188175563469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29.223948371293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72.0221470707247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72.9084318747539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72.9084318747539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72.9084318747539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72.9084318747539</v>
      </c>
    </row>
    <row r="25" customFormat="false" ht="15" hidden="false" customHeight="false" outlineLevel="0" collapsed="false">
      <c r="A25" s="3" t="n">
        <v>8.25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60.6321520314368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63.6114862840836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67.1089656241473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67.5128315987504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67.5128315987504</v>
      </c>
    </row>
    <row r="26" customFormat="false" ht="15" hidden="false" customHeight="false" outlineLevel="0" collapsed="false">
      <c r="A26" s="3" t="n">
        <v>9.25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52.2175723498363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54.2768810066172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56.6412724273655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59.3839664754336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62.603650792731</v>
      </c>
    </row>
    <row r="27" customFormat="false" ht="15" hidden="false" customHeight="false" outlineLevel="0" collapsed="false">
      <c r="A27" s="3" t="n">
        <v>10.25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45.7559662532993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47.2326407698509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48.8998539336995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50.7970275339411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52.975263889774</v>
      </c>
    </row>
    <row r="28" customFormat="false" ht="15" hidden="false" customHeight="false" outlineLevel="0" collapsed="false">
      <c r="A28" s="3" t="n">
        <v>11.25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40.6445290799338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41.7342308082329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42.948469876909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44.3098894387581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45.8469760408456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2026-10-02T07:52:49Z</dcterms:created>
  <dc:creator>openpyxl</dc:creator>
  <dc:description/>
  <dc:language>en-NZ</dc:language>
  <cp:lastModifiedBy/>
  <dcterms:modified xsi:type="dcterms:W3CDTF">2026-10-02T07:52:49Z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