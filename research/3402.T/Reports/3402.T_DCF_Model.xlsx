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<sst xmlns="http://schemas.openxmlformats.org/spreadsheetml/2006/main" count="363" uniqueCount="166">
  <si>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</si>
  <si>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3402.T</t>
  </si>
  <si>
    <t xml:space="preserve">Company</t>
  </si>
  <si>
    <t xml:space="preserve">Toray Industries,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</si>
  <si>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</si>
  <si>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</si>
  <si>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</si>
  <si>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</si>
  <si>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Friday 30 Oct 15:30 JST;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</si>
  <si>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</si>
  <si>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</si>
  <si>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</si>
  <si>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</si>
  <si>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</si>
  <si>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</si>
  <si>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</si>
  <si>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</si>
  <si>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</si>
  <si>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</si>
  <si>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</si>
  <si>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</si>
  <si>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2026-10-30T22:02:51Z</t>
  </si>
  <si>
    <t xml:space="preserve">Drivers file</t>
  </si>
  <si>
    <t xml:space="preserve">3402.T_Drivers.json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</si>
  <si>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</si>
  <si>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</si>
  <si>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</si>
  <si>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Toray is valued as a mid-cycle cash generator, not on its core-operating-income narrative: EBITDA of ~10-10.5% of revenue converts to only ~2.5% owner FCF after lease cost, capex at ~1.15x D&amp;A, 29% cash tax and working capital that grows with revenue. The house DCF discounts those flows at a JPY WACC of 6.5%, caps the terminal at 12-15x FCF for a cyclical, and adds the equity-method and cross-shareholding portfolios (whose income is outside the flows) while deducting NCI and JPY602bn of net debt. The market, by contrast, prices Toray at ~0.95x book and ~8.5x core EBITDA; the gap between that and the FCF-based value is the price of a re-rating thesis (ROIC reform under IGNITION 2028) that the cash flows have not yet earned.
no_re_rate_memo: At Toray's own historical EV/EBITDA of ~7-9x applied to terminal EBITDA (~JPY350bn), the terminal value would be roughly 2.5x the house 14x-FCF terminal and the per-share value would sit near JPY1,000 -- close to the current price. That is the multiple the market extends to a Japanese conglomerate on book value and reform hope; the house basis is the cash the business produces at a 6.5% discount rate.
key_risks_to_valuation: FCF conversion: a 1pt change in mature EBITDA margin moves owner FCF by ~0.7% of revenue, roughly a quarter of the terminal FCF; Capex/D&amp;A ratio: capex has averaged 5.9% of revenue over ten years vs 5.3% assumed at maturity; reverting to 5.9% removes most of the terminal FCF; Yen: FY2027 guidance assumes USD/JPY 150-155; ~45-50% of revenue is overseas, so a 10% stronger yen is roughly -5% revenue and more on translated profit; Recurring impairments: the gap between core and reported operating income (JPY15-45bn/yr in FY2025-26) is treated as a real 0.5pt cost; if structural-reform write-downs grow, so does the gap; Bridge items: equity-method investments (JPY192bn) at book and cross-shareholdings (JPY127bn est.) at fair value are 22% of the house equity value; their realisability is a judgment; Terminal multiple: Gordon at 6.5%/2% implies 22.7x FCF; the 14x cap is what keeps the value honest for a cyclical and is itself a judgment</t>
  </si>
  <si>
    <t xml:space="preserve">Data sources</t>
  </si>
  <si>
    <t xml:space="preserve">price: Yahoo Finance chart API (query1.finance.yahoo.com v8 chart, 3402.T) at inputs.price_as_of; 52-week range 913.7-1395.0 JPY
financials: research/3402.T/Reports/3402.T_Metrics.csv (FY2016-FY2026 annual + interims; IFRS from FY2020 restated, J-GAAP before); 3402.T_Quarterly_Q1-2026.txt (= Q1 FY2027, three months to 30 June 2026: balance sheet, share counts, FY2027 forecast); 3402.T_Annual_FY2026.txt (income statement, diluted-share table, cash flow); 3402.T_SecuritiesReport_FY2026.txt (Note 16 other financial assets, tax-rate reconciliation, Note 32 share-based payments)
qualitative: research/3402.T/Reports/3402.T_Analysis.json (2026-10-31)</t>
  </si>
  <si>
    <t xml:space="preserve">Scenario narrative: bear</t>
  </si>
  <si>
    <t xml:space="preserve">Yen reversal and a FY2028 auto/industrial downcycle with another impairment; margin troughs at 8.4% and recovers only to 9%. No solvency question (net debt/EBITDA ~2.3x, JPY debt at 2%), so this is an earnings-and-multiple bear, not a survival one.</t>
  </si>
  <si>
    <t xml:space="preserve">Scenario narrative: base</t>
  </si>
  <si>
    <t xml:space="preserve">Guidance-anchored FY2027 (+9.5% revenue, ~10% EBITDA margin net of recurring non-core charges), fading to 2% nominal growth and a 10.5% mature margin as IGNITION 2028 prunes the portfolio. Owner FCF margin matures at ~2.6% of revenue, consistent with the 10-year unlevered history (~2.7%). The axes are the aerospace carbon-fiber cycle, Performance Chemicals' exposure to auto and China, and whether the ROIC programme converts into cash rather than more impairments.</t>
  </si>
  <si>
    <t xml:space="preserve">Scenario narrative: bull</t>
  </si>
  <si>
    <t xml:space="preserve">Aerospace ramp plus AI-related films plus genuine exits from structural-reform businesses lift the mature EBITDA margin to 12%; FY2027 beats and growth stays above 4% for three years. Needs three independent things to go right (aero, electronics cycle, Darwin execution).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</si>
  <si>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</si>
  <si>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</si>
  <si>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</si>
  <si>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</si>
  <si>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</si>
  <si>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</si>
  <si>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</si>
  <si>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</si>
  <si>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</si>
  <si>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</si>
  <si>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</si>
  <si>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</si>
  <si>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</si>
  <si>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</si>
  <si>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</si>
  <si>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</si>
  <si>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</si>
  <si>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</si>
  <si>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</si>
  <si>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</si>
  <si>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</si>
  <si>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</si>
  <si>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</si>
  <si>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</si>
  <si>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</si>
  <si>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</si>
  <si>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</si>
  <si>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</si>
  <si>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</si>
  <si>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</si>
  <si>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</si>
  <si>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</si>
  <si>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</si>
  <si>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</si>
  <si>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</si>
  <si>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</si>
  <si>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</si>
  <si>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</si>
  <si>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</si>
  <si>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</si>
  <si>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</si>
  <si>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</si>
  <si>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</si>
  <si>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</si>
  <si>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</si>
  <si>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</si>
  <si>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</si>
  <si>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</si>
  <si>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</si>
  <si>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</si>
  <si>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</si>
  <si>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</si>
  <si>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</si>
  <si>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</si>
  <si>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</si>
  <si>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</si>
  <si>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</si>
  <si>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</si>
  <si>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</si>
  <si>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</si>
  <si>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</si>
  <si>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</si>
  <si>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</si>
  <si>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</si>
  <si>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</si>
  <si>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</si>
  <si>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</si>
  <si>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</si>
  <si>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</si>
  <si>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</si>
  <si>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</si>
  <si>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</si>
  <si>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</si>
  <si>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</si>
  <si>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</si>
  <si>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3402.T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</si>
  <si>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</si>
  <si>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</si>
  <si>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</si>
  <si>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</si>
  <si>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</si>
  <si>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</si>
  <si>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</si>
  <si>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</si>
  <si>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</si>
  <si>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</si>
  <si>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</si>
  <si>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</si>
  <si>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</si>
  <si>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</si>
  <si>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</si>
  <si>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</si>
  <si>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</si>
  <si>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</si>
  <si>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</si>
  <si>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</si>
  <si>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</si>
  <si>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</si>
  <si>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</si>
  <si>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</si>
  <si>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</si>
  <si>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</si>
  <si>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</si>
  <si>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</si>
  <si>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</si>
  <si>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</si>
  <si>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3402.T owner-FCF component DCF: base case (millions, JPY)</t>
  </si>
  <si>
    <t xml:space="preserve">3402.T owner-FCF component DCF: bull case (millions, JPY)</t>
  </si>
  <si>
    <t xml:space="preserve">3402.T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</si>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</sst>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2104430</v>
      </c>
      <c r="F2" s="0" t="n">
        <v>154480</v>
      </c>
      <c r="G2" s="0" t="n">
        <v>7.3</v>
      </c>
      <c r="H2" s="0" t="n">
        <v>245648</v>
      </c>
      <c r="I2" s="0" t="n">
        <v>90132</v>
      </c>
      <c r="J2" s="0" t="n">
        <v>4.3</v>
      </c>
      <c r="K2" s="0" t="n">
        <v>56.31</v>
      </c>
      <c r="L2" s="0" t="n">
        <v>196142</v>
      </c>
      <c r="M2" s="0" t="n">
        <v>136556</v>
      </c>
      <c r="N2" s="0" t="n">
        <v>59586</v>
      </c>
      <c r="O2" s="0" t="n">
        <v>945568</v>
      </c>
      <c r="P2" s="0" t="n">
        <v>2278386</v>
      </c>
      <c r="Q2" s="0" t="n">
        <v>1253477</v>
      </c>
      <c r="R2" s="0" t="n">
        <v>704253</v>
      </c>
      <c r="S2" s="0" t="n">
        <v>109800</v>
      </c>
      <c r="V2" s="0" t="n">
        <v>13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2026470</v>
      </c>
      <c r="F3" s="0" t="n">
        <v>146893</v>
      </c>
      <c r="G3" s="0" t="n">
        <v>7.2</v>
      </c>
      <c r="H3" s="0" t="n">
        <v>235966</v>
      </c>
      <c r="I3" s="0" t="n">
        <v>99418</v>
      </c>
      <c r="J3" s="0" t="n">
        <v>4.9</v>
      </c>
      <c r="K3" s="0" t="n">
        <v>62.1</v>
      </c>
      <c r="L3" s="0" t="n">
        <v>173958</v>
      </c>
      <c r="M3" s="0" t="n">
        <v>152039</v>
      </c>
      <c r="N3" s="0" t="n">
        <v>21919</v>
      </c>
      <c r="O3" s="0" t="n">
        <v>1021272</v>
      </c>
      <c r="P3" s="0" t="n">
        <v>2396785</v>
      </c>
      <c r="R3" s="0" t="n">
        <v>716399</v>
      </c>
      <c r="S3" s="0" t="n">
        <v>131400</v>
      </c>
      <c r="V3" s="0" t="n">
        <v>14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2204858</v>
      </c>
      <c r="F4" s="0" t="n">
        <v>156464</v>
      </c>
      <c r="G4" s="0" t="n">
        <v>7.1</v>
      </c>
      <c r="H4" s="0" t="n">
        <v>252279</v>
      </c>
      <c r="I4" s="0" t="n">
        <v>95915</v>
      </c>
      <c r="J4" s="0" t="n">
        <v>4.4</v>
      </c>
      <c r="K4" s="0" t="n">
        <v>59.9</v>
      </c>
      <c r="L4" s="0" t="n">
        <v>129180</v>
      </c>
      <c r="M4" s="0" t="n">
        <v>153324</v>
      </c>
      <c r="N4" s="0" t="n">
        <v>-24144</v>
      </c>
      <c r="O4" s="0" t="n">
        <v>1090695</v>
      </c>
      <c r="P4" s="0" t="n">
        <v>2575910</v>
      </c>
      <c r="Q4" s="0" t="n">
        <v>1406722</v>
      </c>
      <c r="R4" s="0" t="n">
        <v>816325</v>
      </c>
      <c r="S4" s="0" t="n">
        <v>134300</v>
      </c>
      <c r="V4" s="0" t="n">
        <v>15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2388848</v>
      </c>
      <c r="F5" s="0" t="n">
        <v>141469</v>
      </c>
      <c r="G5" s="0" t="n">
        <v>5.9</v>
      </c>
      <c r="H5" s="0" t="n">
        <v>243180</v>
      </c>
      <c r="I5" s="0" t="n">
        <v>79373</v>
      </c>
      <c r="J5" s="0" t="n">
        <v>3.3</v>
      </c>
      <c r="K5" s="0" t="n">
        <v>49.56</v>
      </c>
      <c r="L5" s="0" t="n">
        <v>176239</v>
      </c>
      <c r="M5" s="0" t="n">
        <v>172696</v>
      </c>
      <c r="N5" s="0" t="n">
        <v>3543</v>
      </c>
      <c r="O5" s="0" t="n">
        <v>1131033</v>
      </c>
      <c r="P5" s="0" t="n">
        <v>2788351</v>
      </c>
      <c r="Q5" s="0" t="n">
        <v>1574407</v>
      </c>
      <c r="R5" s="0" t="n">
        <v>976251</v>
      </c>
      <c r="S5" s="0" t="n">
        <v>173100</v>
      </c>
      <c r="V5" s="0" t="n">
        <v>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2091166</v>
      </c>
      <c r="F6" s="0" t="n">
        <v>114700</v>
      </c>
      <c r="G6" s="0" t="n">
        <v>5.5</v>
      </c>
      <c r="H6" s="0" t="n">
        <v>229425</v>
      </c>
      <c r="I6" s="0" t="n">
        <v>84230</v>
      </c>
      <c r="J6" s="0" t="n">
        <v>4</v>
      </c>
      <c r="K6" s="0" t="n">
        <v>52.26</v>
      </c>
      <c r="L6" s="0" t="n">
        <v>238262</v>
      </c>
      <c r="M6" s="0" t="n">
        <v>140738</v>
      </c>
      <c r="N6" s="0" t="n">
        <v>97524</v>
      </c>
      <c r="O6" s="0" t="n">
        <v>1116075</v>
      </c>
      <c r="P6" s="0" t="n">
        <v>2733520</v>
      </c>
      <c r="Q6" s="0" t="n">
        <v>1532674</v>
      </c>
      <c r="R6" s="0" t="n">
        <v>991024</v>
      </c>
      <c r="S6" s="0" t="n">
        <v>183703</v>
      </c>
      <c r="V6" s="0" t="n">
        <v>16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1883600</v>
      </c>
      <c r="C7" s="0" t="n">
        <v>1506100</v>
      </c>
      <c r="D7" s="0" t="n">
        <v>377500</v>
      </c>
      <c r="E7" s="0" t="n">
        <v>20</v>
      </c>
      <c r="F7" s="0" t="n">
        <v>55879</v>
      </c>
      <c r="G7" s="0" t="n">
        <v>3</v>
      </c>
      <c r="H7" s="0" t="n">
        <v>171698</v>
      </c>
      <c r="I7" s="0" t="n">
        <v>45794</v>
      </c>
      <c r="J7" s="0" t="n">
        <v>2.4</v>
      </c>
      <c r="K7" s="0" t="n">
        <v>28.57</v>
      </c>
      <c r="L7" s="0" t="n">
        <v>211591</v>
      </c>
      <c r="M7" s="0" t="n">
        <v>122483</v>
      </c>
      <c r="N7" s="0" t="n">
        <v>89108</v>
      </c>
      <c r="O7" s="0" t="n">
        <v>1237851</v>
      </c>
      <c r="P7" s="0" t="n">
        <v>2848839</v>
      </c>
      <c r="Q7" s="0" t="n">
        <v>1526564</v>
      </c>
      <c r="R7" s="0" t="n">
        <v>973927</v>
      </c>
      <c r="S7" s="0" t="n">
        <v>236354</v>
      </c>
      <c r="T7" s="0" t="n">
        <v>1602.804</v>
      </c>
      <c r="U7" s="0" t="n">
        <v>355</v>
      </c>
      <c r="V7" s="0" t="n">
        <v>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2228523</v>
      </c>
      <c r="C8" s="0" t="n">
        <v>1792554</v>
      </c>
      <c r="D8" s="0" t="n">
        <v>435969</v>
      </c>
      <c r="E8" s="0" t="n">
        <v>19.6</v>
      </c>
      <c r="F8" s="0" t="n">
        <v>100565</v>
      </c>
      <c r="G8" s="0" t="n">
        <v>4.5</v>
      </c>
      <c r="H8" s="0" t="n">
        <v>220934</v>
      </c>
      <c r="I8" s="0" t="n">
        <v>84235</v>
      </c>
      <c r="J8" s="0" t="n">
        <v>3.8</v>
      </c>
      <c r="K8" s="0" t="n">
        <v>52.19</v>
      </c>
      <c r="L8" s="0" t="n">
        <v>138286</v>
      </c>
      <c r="M8" s="0" t="n">
        <v>92195</v>
      </c>
      <c r="N8" s="0" t="n">
        <v>46091</v>
      </c>
      <c r="O8" s="0" t="n">
        <v>1405591</v>
      </c>
      <c r="P8" s="0" t="n">
        <v>3043881</v>
      </c>
      <c r="Q8" s="0" t="n">
        <v>1544232</v>
      </c>
      <c r="R8" s="0" t="n">
        <v>935658</v>
      </c>
      <c r="S8" s="0" t="n">
        <v>230355</v>
      </c>
      <c r="T8" s="0" t="n">
        <v>1613.856</v>
      </c>
      <c r="U8" s="0" t="n">
        <v>384</v>
      </c>
      <c r="V8" s="0" t="n">
        <v>16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2489330</v>
      </c>
      <c r="C9" s="0" t="n">
        <v>2068495</v>
      </c>
      <c r="D9" s="0" t="n">
        <v>420835</v>
      </c>
      <c r="E9" s="0" t="n">
        <v>16.9</v>
      </c>
      <c r="F9" s="0" t="n">
        <v>109001</v>
      </c>
      <c r="G9" s="0" t="n">
        <v>4.4</v>
      </c>
      <c r="H9" s="0" t="n">
        <v>235376</v>
      </c>
      <c r="I9" s="0" t="n">
        <v>72823</v>
      </c>
      <c r="J9" s="0" t="n">
        <v>2.9</v>
      </c>
      <c r="K9" s="0" t="n">
        <v>45.4</v>
      </c>
      <c r="L9" s="0" t="n">
        <v>145213</v>
      </c>
      <c r="M9" s="0" t="n">
        <v>102216</v>
      </c>
      <c r="N9" s="0" t="n">
        <v>42997</v>
      </c>
      <c r="O9" s="0" t="n">
        <v>1535028</v>
      </c>
      <c r="P9" s="0" t="n">
        <v>3194041</v>
      </c>
      <c r="Q9" s="0" t="n">
        <v>1558231</v>
      </c>
      <c r="R9" s="0" t="n">
        <v>950093</v>
      </c>
      <c r="S9" s="0" t="n">
        <v>223995</v>
      </c>
      <c r="T9" s="0" t="n">
        <v>1604.065</v>
      </c>
      <c r="U9" s="0" t="n">
        <v>403</v>
      </c>
      <c r="V9" s="0" t="n">
        <v>18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2464596</v>
      </c>
      <c r="C10" s="0" t="n">
        <v>2021073</v>
      </c>
      <c r="D10" s="0" t="n">
        <v>443523</v>
      </c>
      <c r="E10" s="0" t="n">
        <v>18</v>
      </c>
      <c r="F10" s="0" t="n">
        <v>57651</v>
      </c>
      <c r="G10" s="0" t="n">
        <v>2.3</v>
      </c>
      <c r="H10" s="0" t="n">
        <v>186845</v>
      </c>
      <c r="I10" s="0" t="n">
        <v>21897</v>
      </c>
      <c r="J10" s="0" t="n">
        <v>0.9</v>
      </c>
      <c r="K10" s="0" t="n">
        <v>13.65</v>
      </c>
      <c r="L10" s="0" t="n">
        <v>185680</v>
      </c>
      <c r="M10" s="0" t="n">
        <v>134130</v>
      </c>
      <c r="N10" s="0" t="n">
        <v>51550</v>
      </c>
      <c r="O10" s="0" t="n">
        <v>1736034</v>
      </c>
      <c r="P10" s="0" t="n">
        <v>3466518</v>
      </c>
      <c r="Q10" s="0" t="n">
        <v>1620156</v>
      </c>
      <c r="R10" s="0" t="n">
        <v>949684</v>
      </c>
      <c r="S10" s="0" t="n">
        <v>235887</v>
      </c>
      <c r="T10" s="0" t="n">
        <v>1604.642</v>
      </c>
      <c r="U10" s="0" t="n">
        <v>386</v>
      </c>
      <c r="V10" s="0" t="n">
        <v>18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2563280</v>
      </c>
      <c r="C11" s="0" t="n">
        <v>2057385</v>
      </c>
      <c r="D11" s="0" t="n">
        <v>505895</v>
      </c>
      <c r="E11" s="0" t="n">
        <v>19.7</v>
      </c>
      <c r="F11" s="0" t="n">
        <v>127453</v>
      </c>
      <c r="G11" s="0" t="n">
        <v>5</v>
      </c>
      <c r="H11" s="0" t="n">
        <v>256548</v>
      </c>
      <c r="I11" s="0" t="n">
        <v>77911</v>
      </c>
      <c r="J11" s="0" t="n">
        <v>3</v>
      </c>
      <c r="K11" s="0" t="n">
        <v>48.84</v>
      </c>
      <c r="L11" s="0" t="n">
        <v>255033</v>
      </c>
      <c r="M11" s="0" t="n">
        <v>179248</v>
      </c>
      <c r="N11" s="0" t="n">
        <v>75785</v>
      </c>
      <c r="O11" s="0" t="n">
        <v>1708984</v>
      </c>
      <c r="P11" s="0" t="n">
        <v>3292597</v>
      </c>
      <c r="Q11" s="0" t="n">
        <v>1472025</v>
      </c>
      <c r="R11" s="0" t="n">
        <v>842659</v>
      </c>
      <c r="S11" s="0" t="n">
        <v>237295</v>
      </c>
      <c r="T11" s="0" t="n">
        <v>1595.256</v>
      </c>
      <c r="U11" s="0" t="n">
        <v>355</v>
      </c>
      <c r="V11" s="0" t="n">
        <v>18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2585077</v>
      </c>
      <c r="C12" s="0" t="n">
        <v>2065029</v>
      </c>
      <c r="D12" s="0" t="n">
        <v>520048</v>
      </c>
      <c r="E12" s="0" t="n">
        <v>20.1</v>
      </c>
      <c r="F12" s="0" t="n">
        <v>97221</v>
      </c>
      <c r="G12" s="0" t="n">
        <v>3.8</v>
      </c>
      <c r="H12" s="0" t="n">
        <v>228836</v>
      </c>
      <c r="I12" s="0" t="n">
        <v>79521</v>
      </c>
      <c r="J12" s="0" t="n">
        <v>3.1</v>
      </c>
      <c r="K12" s="0" t="n">
        <v>52.87</v>
      </c>
      <c r="L12" s="0" t="n">
        <v>211763</v>
      </c>
      <c r="M12" s="0" t="n">
        <v>146501</v>
      </c>
      <c r="N12" s="0" t="n">
        <v>65262</v>
      </c>
      <c r="O12" s="0" t="n">
        <v>1800058</v>
      </c>
      <c r="P12" s="0" t="n">
        <v>3476976</v>
      </c>
      <c r="Q12" s="0" t="n">
        <v>1549140</v>
      </c>
      <c r="R12" s="0" t="n">
        <v>905559</v>
      </c>
      <c r="S12" s="0" t="n">
        <v>265295</v>
      </c>
      <c r="T12" s="0" t="n">
        <v>1504.027</v>
      </c>
      <c r="U12" s="0" t="n">
        <v>370</v>
      </c>
      <c r="V12" s="0" t="n">
        <v>20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1179</v>
      </c>
    </row>
    <row r="3" customFormat="false" ht="15" hidden="false" customHeight="false" outlineLevel="0" collapsed="false">
      <c r="A3" s="0" t="s">
        <v>77</v>
      </c>
      <c r="B3" s="3" t="n">
        <v>1459.1</v>
      </c>
    </row>
    <row r="4" customFormat="false" ht="15" hidden="false" customHeight="false" outlineLevel="0" collapsed="false">
      <c r="A4" s="0" t="s">
        <v>78</v>
      </c>
      <c r="B4" s="3" t="n">
        <v>601948</v>
      </c>
    </row>
    <row r="5" customFormat="false" ht="15" hidden="false" customHeight="false" outlineLevel="0" collapsed="false">
      <c r="A5" s="0" t="s">
        <v>79</v>
      </c>
      <c r="B5" s="3" t="n">
        <v>188099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2585077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6</v>
      </c>
      <c r="D13" s="3" t="n">
        <v>-4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9.4</v>
      </c>
      <c r="D14" s="3" t="n">
        <v>8.4</v>
      </c>
      <c r="E14" s="3" t="n">
        <v>8.8</v>
      </c>
      <c r="F14" s="3" t="n">
        <v>9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0.55</v>
      </c>
      <c r="D16" s="3" t="n">
        <v>0.55</v>
      </c>
      <c r="E16" s="3" t="n">
        <v>0.55</v>
      </c>
      <c r="F16" s="3" t="n">
        <v>0.55</v>
      </c>
      <c r="G16" s="3" t="n">
        <v>0.55</v>
      </c>
      <c r="H16" s="3" t="n">
        <v>0.55</v>
      </c>
      <c r="I16" s="3" t="n">
        <v>0.55</v>
      </c>
      <c r="J16" s="3" t="n">
        <v>0.55</v>
      </c>
      <c r="K16" s="3" t="n">
        <v>0.55</v>
      </c>
      <c r="L16" s="3" t="n">
        <v>0.55</v>
      </c>
    </row>
    <row r="17" customFormat="false" ht="15" hidden="false" customHeight="false" outlineLevel="0" collapsed="false">
      <c r="A17" s="0" t="s">
        <v>101</v>
      </c>
      <c r="C17" s="3" t="n">
        <v>4.6</v>
      </c>
      <c r="D17" s="3" t="n">
        <v>4.6</v>
      </c>
      <c r="E17" s="3" t="n">
        <v>4.6</v>
      </c>
      <c r="F17" s="3" t="n">
        <v>4.6</v>
      </c>
      <c r="G17" s="3" t="n">
        <v>4.6</v>
      </c>
      <c r="H17" s="3" t="n">
        <v>4.6</v>
      </c>
      <c r="I17" s="3" t="n">
        <v>4.6</v>
      </c>
      <c r="J17" s="3" t="n">
        <v>4.6</v>
      </c>
      <c r="K17" s="3" t="n">
        <v>4.6</v>
      </c>
      <c r="L17" s="3" t="n">
        <v>4.6</v>
      </c>
    </row>
    <row r="18" customFormat="false" ht="15" hidden="false" customHeight="false" outlineLevel="0" collapsed="false">
      <c r="A18" s="0" t="s">
        <v>102</v>
      </c>
      <c r="C18" s="3" t="n">
        <v>5.8</v>
      </c>
      <c r="D18" s="3" t="n">
        <v>5.6</v>
      </c>
      <c r="E18" s="3" t="n">
        <v>5.6</v>
      </c>
      <c r="F18" s="3" t="n">
        <v>5.6</v>
      </c>
      <c r="G18" s="3" t="n">
        <v>5.6</v>
      </c>
      <c r="H18" s="3" t="n">
        <v>5.6</v>
      </c>
      <c r="I18" s="3" t="n">
        <v>5.6</v>
      </c>
      <c r="J18" s="3" t="n">
        <v>5.6</v>
      </c>
      <c r="K18" s="3" t="n">
        <v>5.6</v>
      </c>
      <c r="L18" s="3" t="n">
        <v>5.6</v>
      </c>
    </row>
    <row r="19" customFormat="false" ht="15" hidden="false" customHeight="false" outlineLevel="0" collapsed="false">
      <c r="A19" s="0" t="s">
        <v>103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6.5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-25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9.5</v>
      </c>
      <c r="D27" s="3" t="n">
        <v>3.5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10</v>
      </c>
      <c r="D28" s="3" t="n">
        <v>10.1</v>
      </c>
      <c r="E28" s="3" t="n">
        <v>10.2</v>
      </c>
      <c r="F28" s="3" t="n">
        <v>10.3</v>
      </c>
      <c r="G28" s="3" t="n">
        <v>10.4</v>
      </c>
      <c r="H28" s="3" t="n">
        <v>10.5</v>
      </c>
      <c r="I28" s="3" t="n">
        <v>10.5</v>
      </c>
      <c r="J28" s="3" t="n">
        <v>10.5</v>
      </c>
      <c r="K28" s="3" t="n">
        <v>10.5</v>
      </c>
      <c r="L28" s="3" t="n">
        <v>10.5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0.55</v>
      </c>
      <c r="D30" s="3" t="n">
        <v>0.55</v>
      </c>
      <c r="E30" s="3" t="n">
        <v>0.55</v>
      </c>
      <c r="F30" s="3" t="n">
        <v>0.55</v>
      </c>
      <c r="G30" s="3" t="n">
        <v>0.55</v>
      </c>
      <c r="H30" s="3" t="n">
        <v>0.55</v>
      </c>
      <c r="I30" s="3" t="n">
        <v>0.55</v>
      </c>
      <c r="J30" s="3" t="n">
        <v>0.55</v>
      </c>
      <c r="K30" s="3" t="n">
        <v>0.55</v>
      </c>
      <c r="L30" s="3" t="n">
        <v>0.55</v>
      </c>
    </row>
    <row r="31" customFormat="false" ht="15" hidden="false" customHeight="false" outlineLevel="0" collapsed="false">
      <c r="A31" s="0" t="s">
        <v>101</v>
      </c>
      <c r="C31" s="3" t="n">
        <v>4.6</v>
      </c>
      <c r="D31" s="3" t="n">
        <v>4.6</v>
      </c>
      <c r="E31" s="3" t="n">
        <v>4.6</v>
      </c>
      <c r="F31" s="3" t="n">
        <v>4.6</v>
      </c>
      <c r="G31" s="3" t="n">
        <v>4.6</v>
      </c>
      <c r="H31" s="3" t="n">
        <v>4.6</v>
      </c>
      <c r="I31" s="3" t="n">
        <v>4.6</v>
      </c>
      <c r="J31" s="3" t="n">
        <v>4.6</v>
      </c>
      <c r="K31" s="3" t="n">
        <v>4.6</v>
      </c>
      <c r="L31" s="3" t="n">
        <v>4.6</v>
      </c>
    </row>
    <row r="32" customFormat="false" ht="15" hidden="false" customHeight="false" outlineLevel="0" collapsed="false">
      <c r="A32" s="0" t="s">
        <v>102</v>
      </c>
      <c r="C32" s="3" t="n">
        <v>5.7</v>
      </c>
      <c r="D32" s="3" t="n">
        <v>5.6</v>
      </c>
      <c r="E32" s="3" t="n">
        <v>5.6</v>
      </c>
      <c r="F32" s="3" t="n">
        <v>5.5</v>
      </c>
      <c r="G32" s="3" t="n">
        <v>5.5</v>
      </c>
      <c r="H32" s="3" t="n">
        <v>5.4</v>
      </c>
      <c r="I32" s="3" t="n">
        <v>5.4</v>
      </c>
      <c r="J32" s="3" t="n">
        <v>5.3</v>
      </c>
      <c r="K32" s="3" t="n">
        <v>5.3</v>
      </c>
      <c r="L32" s="3" t="n">
        <v>5.3</v>
      </c>
    </row>
    <row r="33" customFormat="false" ht="15" hidden="false" customHeight="false" outlineLevel="0" collapsed="false">
      <c r="A33" s="0" t="s">
        <v>103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104</v>
      </c>
      <c r="B34" s="3" t="n">
        <v>6.5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-20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11</v>
      </c>
      <c r="D41" s="3" t="n">
        <v>6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10.4</v>
      </c>
      <c r="D42" s="3" t="n">
        <v>10.8</v>
      </c>
      <c r="E42" s="3" t="n">
        <v>11.2</v>
      </c>
      <c r="F42" s="3" t="n">
        <v>11.5</v>
      </c>
      <c r="G42" s="3" t="n">
        <v>11.8</v>
      </c>
      <c r="H42" s="3" t="n">
        <v>12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0.55</v>
      </c>
      <c r="D44" s="3" t="n">
        <v>0.55</v>
      </c>
      <c r="E44" s="3" t="n">
        <v>0.55</v>
      </c>
      <c r="F44" s="3" t="n">
        <v>0.55</v>
      </c>
      <c r="G44" s="3" t="n">
        <v>0.55</v>
      </c>
      <c r="H44" s="3" t="n">
        <v>0.55</v>
      </c>
      <c r="I44" s="3" t="n">
        <v>0.55</v>
      </c>
      <c r="J44" s="3" t="n">
        <v>0.55</v>
      </c>
      <c r="K44" s="3" t="n">
        <v>0.55</v>
      </c>
      <c r="L44" s="3" t="n">
        <v>0.55</v>
      </c>
    </row>
    <row r="45" customFormat="false" ht="15" hidden="false" customHeight="false" outlineLevel="0" collapsed="false">
      <c r="A45" s="0" t="s">
        <v>101</v>
      </c>
      <c r="C45" s="3" t="n">
        <v>4.6</v>
      </c>
      <c r="D45" s="3" t="n">
        <v>4.6</v>
      </c>
      <c r="E45" s="3" t="n">
        <v>4.6</v>
      </c>
      <c r="F45" s="3" t="n">
        <v>4.6</v>
      </c>
      <c r="G45" s="3" t="n">
        <v>4.6</v>
      </c>
      <c r="H45" s="3" t="n">
        <v>4.6</v>
      </c>
      <c r="I45" s="3" t="n">
        <v>4.6</v>
      </c>
      <c r="J45" s="3" t="n">
        <v>4.6</v>
      </c>
      <c r="K45" s="3" t="n">
        <v>4.6</v>
      </c>
      <c r="L45" s="3" t="n">
        <v>4.6</v>
      </c>
    </row>
    <row r="46" customFormat="false" ht="15" hidden="false" customHeight="false" outlineLevel="0" collapsed="false">
      <c r="A46" s="0" t="s">
        <v>102</v>
      </c>
      <c r="C46" s="3" t="n">
        <v>5.6</v>
      </c>
      <c r="D46" s="3" t="n">
        <v>5.5</v>
      </c>
      <c r="E46" s="3" t="n">
        <v>5.5</v>
      </c>
      <c r="F46" s="3" t="n">
        <v>5.4</v>
      </c>
      <c r="G46" s="3" t="n">
        <v>5.3</v>
      </c>
      <c r="H46" s="3" t="n">
        <v>5.2</v>
      </c>
      <c r="I46" s="3" t="n">
        <v>5.2</v>
      </c>
      <c r="J46" s="3" t="n">
        <v>5.1</v>
      </c>
      <c r="K46" s="3" t="n">
        <v>5.1</v>
      </c>
      <c r="L46" s="3" t="n">
        <v>5.1</v>
      </c>
    </row>
    <row r="47" customFormat="false" ht="15" hidden="false" customHeight="false" outlineLevel="0" collapsed="false">
      <c r="A47" s="0" t="s">
        <v>103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104</v>
      </c>
      <c r="B48" s="3" t="n">
        <v>6.5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6</v>
      </c>
      <c r="D5" s="4" t="n">
        <f aca="false">Assumptions!D13</f>
        <v>-4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2585077</v>
      </c>
      <c r="C6" s="0" t="n">
        <f aca="false">B6*(1+C5/100)</f>
        <v>2740181.62</v>
      </c>
      <c r="D6" s="0" t="n">
        <f aca="false">C6*(1+D5/100)</f>
        <v>2630574.3552</v>
      </c>
      <c r="E6" s="0" t="n">
        <f aca="false">D6*(1+E5/100)</f>
        <v>2656880.098752</v>
      </c>
      <c r="F6" s="0" t="n">
        <f aca="false">E6*(1+F5/100)</f>
        <v>2710017.70072704</v>
      </c>
      <c r="G6" s="0" t="n">
        <f aca="false">F6*(1+G5/100)</f>
        <v>2764218.05474158</v>
      </c>
      <c r="H6" s="0" t="n">
        <f aca="false">G6*(1+H5/100)</f>
        <v>2819502.41583641</v>
      </c>
      <c r="I6" s="0" t="n">
        <f aca="false">H6*(1+I5/100)</f>
        <v>2861794.95207396</v>
      </c>
      <c r="J6" s="0" t="n">
        <f aca="false">I6*(1+J5/100)</f>
        <v>2904721.87635507</v>
      </c>
      <c r="K6" s="0" t="n">
        <f aca="false">J6*(1+K5/100)</f>
        <v>2948292.70450039</v>
      </c>
      <c r="L6" s="0" t="n">
        <f aca="false">K6*(1+L5/100)</f>
        <v>2992517.0950679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9.4</v>
      </c>
      <c r="D7" s="4" t="n">
        <f aca="false">Assumptions!D14</f>
        <v>8.4</v>
      </c>
      <c r="E7" s="4" t="n">
        <f aca="false">Assumptions!E14</f>
        <v>8.8</v>
      </c>
      <c r="F7" s="4" t="n">
        <f aca="false">Assumptions!F14</f>
        <v>9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257577.07228</v>
      </c>
      <c r="D8" s="0" t="n">
        <f aca="false">D6*D7/100</f>
        <v>220968.2458368</v>
      </c>
      <c r="E8" s="0" t="n">
        <f aca="false">E6*E7/100</f>
        <v>233805.448690176</v>
      </c>
      <c r="F8" s="0" t="n">
        <f aca="false">F6*F7/100</f>
        <v>243901.593065434</v>
      </c>
      <c r="G8" s="0" t="n">
        <f aca="false">G6*G7/100</f>
        <v>248779.624926742</v>
      </c>
      <c r="H8" s="0" t="n">
        <f aca="false">H6*H7/100</f>
        <v>253755.217425277</v>
      </c>
      <c r="I8" s="0" t="n">
        <f aca="false">I6*I7/100</f>
        <v>257561.545686656</v>
      </c>
      <c r="J8" s="0" t="n">
        <f aca="false">J6*J7/100</f>
        <v>261424.968871956</v>
      </c>
      <c r="K8" s="0" t="n">
        <f aca="false">K6*K7/100</f>
        <v>265346.343405035</v>
      </c>
      <c r="L8" s="0" t="n">
        <f aca="false">L6*L7/100</f>
        <v>269326.538556111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242506.07337</v>
      </c>
      <c r="D11" s="0" t="n">
        <f aca="false">D8+D10+D24</f>
        <v>206500.0868832</v>
      </c>
      <c r="E11" s="0" t="n">
        <f aca="false">E8+E10+E24</f>
        <v>219192.60814704</v>
      </c>
      <c r="F11" s="0" t="n">
        <f aca="false">F8+F10+F24</f>
        <v>228996.495711435</v>
      </c>
      <c r="G11" s="0" t="n">
        <f aca="false">G8+G10+G24</f>
        <v>233576.425625664</v>
      </c>
      <c r="H11" s="0" t="n">
        <f aca="false">H8+H10+H24</f>
        <v>238247.954138177</v>
      </c>
      <c r="I11" s="0" t="n">
        <f aca="false">I8+I10+I24</f>
        <v>241821.673450249</v>
      </c>
      <c r="J11" s="0" t="n">
        <f aca="false">J8+J10+J24</f>
        <v>245448.998552003</v>
      </c>
      <c r="K11" s="0" t="n">
        <f aca="false">K8+K10+K24</f>
        <v>249130.733530283</v>
      </c>
      <c r="L11" s="0" t="n">
        <f aca="false">L8+L10+L24</f>
        <v>252867.694533237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-126048.35452</v>
      </c>
      <c r="D12" s="4" t="n">
        <f aca="false">-D6*Assumptions!D17/100</f>
        <v>-121006.4203392</v>
      </c>
      <c r="E12" s="4" t="n">
        <f aca="false">-E6*Assumptions!E17/100</f>
        <v>-122216.484542592</v>
      </c>
      <c r="F12" s="4" t="n">
        <f aca="false">-F6*Assumptions!F17/100</f>
        <v>-124660.814233444</v>
      </c>
      <c r="G12" s="4" t="n">
        <f aca="false">-G6*Assumptions!G17/100</f>
        <v>-127154.030518113</v>
      </c>
      <c r="H12" s="4" t="n">
        <f aca="false">-H6*Assumptions!H17/100</f>
        <v>-129697.111128475</v>
      </c>
      <c r="I12" s="4" t="n">
        <f aca="false">-I6*Assumptions!I17/100</f>
        <v>-131642.567795402</v>
      </c>
      <c r="J12" s="4" t="n">
        <f aca="false">-J6*Assumptions!J17/100</f>
        <v>-133617.206312333</v>
      </c>
      <c r="K12" s="4" t="n">
        <f aca="false">-K6*Assumptions!K17/100</f>
        <v>-135621.464407018</v>
      </c>
      <c r="L12" s="4" t="n">
        <f aca="false">-L6*Assumptions!L17/100</f>
        <v>-137655.786373123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116457.71885</v>
      </c>
      <c r="D13" s="0" t="n">
        <f aca="false">D11+D12</f>
        <v>85493.666544</v>
      </c>
      <c r="E13" s="0" t="n">
        <f aca="false">E11+E12</f>
        <v>96976.123604448</v>
      </c>
      <c r="F13" s="0" t="n">
        <f aca="false">F11+F12</f>
        <v>104335.681477991</v>
      </c>
      <c r="G13" s="0" t="n">
        <f aca="false">G11+G12</f>
        <v>106422.395107551</v>
      </c>
      <c r="H13" s="0" t="n">
        <f aca="false">H11+H12</f>
        <v>108550.843009702</v>
      </c>
      <c r="I13" s="0" t="n">
        <f aca="false">I11+I12</f>
        <v>110179.105654847</v>
      </c>
      <c r="J13" s="0" t="n">
        <f aca="false">J11+J12</f>
        <v>111831.79223967</v>
      </c>
      <c r="K13" s="0" t="n">
        <f aca="false">K11+K12</f>
        <v>113509.269123265</v>
      </c>
      <c r="L13" s="0" t="n">
        <f aca="false">L11+L12</f>
        <v>115211.908160114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81520.4031950001</v>
      </c>
      <c r="D15" s="0" t="n">
        <f aca="false">D13-MAX(0,D13)*D14/100</f>
        <v>59845.5665808</v>
      </c>
      <c r="E15" s="0" t="n">
        <f aca="false">E13-MAX(0,E13)*E14/100</f>
        <v>67883.2865231136</v>
      </c>
      <c r="F15" s="0" t="n">
        <f aca="false">F13-MAX(0,F13)*F14/100</f>
        <v>73034.9770345937</v>
      </c>
      <c r="G15" s="0" t="n">
        <f aca="false">G13-MAX(0,G13)*G14/100</f>
        <v>74495.6765752856</v>
      </c>
      <c r="H15" s="0" t="n">
        <f aca="false">H13-MAX(0,H13)*H14/100</f>
        <v>75985.5901067913</v>
      </c>
      <c r="I15" s="0" t="n">
        <f aca="false">I13-MAX(0,I13)*I14/100</f>
        <v>77125.3739583932</v>
      </c>
      <c r="J15" s="0" t="n">
        <f aca="false">J13-MAX(0,J13)*J14/100</f>
        <v>78282.2545677691</v>
      </c>
      <c r="K15" s="0" t="n">
        <f aca="false">K13-MAX(0,K13)*K14/100</f>
        <v>79456.4883862856</v>
      </c>
      <c r="L15" s="0" t="n">
        <f aca="false">L13-MAX(0,L13)*L14/100</f>
        <v>80648.3357120799</v>
      </c>
    </row>
    <row r="16" customFormat="false" ht="15" hidden="false" customHeight="false" outlineLevel="0" collapsed="false">
      <c r="A16" s="0" t="s">
        <v>119</v>
      </c>
      <c r="C16" s="0" t="n">
        <f aca="false">-C12</f>
        <v>126048.35452</v>
      </c>
      <c r="D16" s="0" t="n">
        <f aca="false">-D12</f>
        <v>121006.4203392</v>
      </c>
      <c r="E16" s="0" t="n">
        <f aca="false">-E12</f>
        <v>122216.484542592</v>
      </c>
      <c r="F16" s="0" t="n">
        <f aca="false">-F12</f>
        <v>124660.814233444</v>
      </c>
      <c r="G16" s="0" t="n">
        <f aca="false">-G12</f>
        <v>127154.030518113</v>
      </c>
      <c r="H16" s="0" t="n">
        <f aca="false">-H12</f>
        <v>129697.111128475</v>
      </c>
      <c r="I16" s="0" t="n">
        <f aca="false">-I12</f>
        <v>131642.567795402</v>
      </c>
      <c r="J16" s="0" t="n">
        <f aca="false">-J12</f>
        <v>133617.206312333</v>
      </c>
      <c r="K16" s="0" t="n">
        <f aca="false">-K12</f>
        <v>135621.464407018</v>
      </c>
      <c r="L16" s="0" t="n">
        <f aca="false">-L12</f>
        <v>137655.786373123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-158930.53396</v>
      </c>
      <c r="D17" s="4" t="n">
        <f aca="false">-D6*Assumptions!D18/100</f>
        <v>-147312.1638912</v>
      </c>
      <c r="E17" s="4" t="n">
        <f aca="false">-E6*Assumptions!E18/100</f>
        <v>-148785.285530112</v>
      </c>
      <c r="F17" s="4" t="n">
        <f aca="false">-F6*Assumptions!F18/100</f>
        <v>-151760.991240714</v>
      </c>
      <c r="G17" s="4" t="n">
        <f aca="false">-G6*Assumptions!G18/100</f>
        <v>-154796.211065529</v>
      </c>
      <c r="H17" s="4" t="n">
        <f aca="false">-H6*Assumptions!H18/100</f>
        <v>-157892.135286839</v>
      </c>
      <c r="I17" s="4" t="n">
        <f aca="false">-I6*Assumptions!I18/100</f>
        <v>-160260.517316142</v>
      </c>
      <c r="J17" s="4" t="n">
        <f aca="false">-J6*Assumptions!J18/100</f>
        <v>-162664.425075884</v>
      </c>
      <c r="K17" s="4" t="n">
        <f aca="false">-K6*Assumptions!K18/100</f>
        <v>-165104.391452022</v>
      </c>
      <c r="L17" s="4" t="n">
        <f aca="false">-L6*Assumptions!L18/100</f>
        <v>-167580.957323802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-38776.155</v>
      </c>
      <c r="D18" s="4" t="n">
        <f aca="false">(D6-C6)*Assumptions!$B$23/100</f>
        <v>27401.8162</v>
      </c>
      <c r="E18" s="4" t="n">
        <f aca="false">(E6-D6)*Assumptions!$B$23/100</f>
        <v>-6576.43588799995</v>
      </c>
      <c r="F18" s="4" t="n">
        <f aca="false">(F6-E6)*Assumptions!$B$23/100</f>
        <v>-13284.40049376</v>
      </c>
      <c r="G18" s="4" t="n">
        <f aca="false">(G6-F6)*Assumptions!$B$23/100</f>
        <v>-13550.0885036353</v>
      </c>
      <c r="H18" s="4" t="n">
        <f aca="false">(H6-G6)*Assumptions!$B$23/100</f>
        <v>-13821.0902737079</v>
      </c>
      <c r="I18" s="4" t="n">
        <f aca="false">(I6-H6)*Assumptions!$B$23/100</f>
        <v>-10573.1340593864</v>
      </c>
      <c r="J18" s="4" t="n">
        <f aca="false">(J6-I6)*Assumptions!$B$23/100</f>
        <v>-10731.7310702773</v>
      </c>
      <c r="K18" s="4" t="n">
        <f aca="false">(K6-J6)*Assumptions!$B$23/100</f>
        <v>-10892.7070363314</v>
      </c>
      <c r="L18" s="4" t="n">
        <f aca="false">(L6-K6)*Assumptions!$B$23/100</f>
        <v>-11056.0976418764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9862.06875500002</v>
      </c>
      <c r="D19" s="0" t="n">
        <f aca="false">D15+D16+D17+D18</f>
        <v>60941.6392288</v>
      </c>
      <c r="E19" s="0" t="n">
        <f aca="false">E15+E16+E17+E18</f>
        <v>34738.0496475937</v>
      </c>
      <c r="F19" s="0" t="n">
        <f aca="false">F15+F16+F17+F18</f>
        <v>32650.3995335633</v>
      </c>
      <c r="G19" s="0" t="n">
        <f aca="false">G15+G16+G17+G18</f>
        <v>33303.4075242345</v>
      </c>
      <c r="H19" s="0" t="n">
        <f aca="false">H15+H16+H17+H18</f>
        <v>33969.4756747193</v>
      </c>
      <c r="I19" s="0" t="n">
        <f aca="false">I15+I16+I17+I18</f>
        <v>37934.2903782672</v>
      </c>
      <c r="J19" s="0" t="n">
        <f aca="false">J15+J16+J17+J18</f>
        <v>38503.3047339411</v>
      </c>
      <c r="K19" s="0" t="n">
        <f aca="false">K15+K16+K17+K18</f>
        <v>39080.8543049503</v>
      </c>
      <c r="L19" s="0" t="n">
        <f aca="false">L15+L16+L17+L18</f>
        <v>39667.0671195245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9260.15845539907</v>
      </c>
      <c r="D21" s="0" t="n">
        <f aca="false">D19*D20</f>
        <v>53729.7619333025</v>
      </c>
      <c r="E21" s="0" t="n">
        <f aca="false">E19*E20</f>
        <v>28757.8628517672</v>
      </c>
      <c r="F21" s="0" t="n">
        <f aca="false">F19*F20</f>
        <v>25379.9094843801</v>
      </c>
      <c r="G21" s="0" t="n">
        <f aca="false">G19*G20</f>
        <v>24307.5189427866</v>
      </c>
      <c r="H21" s="0" t="n">
        <f aca="false">H19*H20</f>
        <v>23280.4406775985</v>
      </c>
      <c r="I21" s="0" t="n">
        <f aca="false">I19*I20</f>
        <v>24410.9516137613</v>
      </c>
      <c r="J21" s="0" t="n">
        <f aca="false">J19*J20</f>
        <v>23264.8975473875</v>
      </c>
      <c r="K21" s="0" t="n">
        <f aca="false">K19*K20</f>
        <v>22172.6488362426</v>
      </c>
      <c r="L21" s="0" t="n">
        <f aca="false">L19*L20</f>
        <v>21131.679407311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0.55</v>
      </c>
      <c r="D23" s="4" t="n">
        <f aca="false">Assumptions!D16</f>
        <v>0.55</v>
      </c>
      <c r="E23" s="4" t="n">
        <f aca="false">Assumptions!E16</f>
        <v>0.55</v>
      </c>
      <c r="F23" s="4" t="n">
        <f aca="false">Assumptions!F16</f>
        <v>0.55</v>
      </c>
      <c r="G23" s="4" t="n">
        <f aca="false">Assumptions!G16</f>
        <v>0.55</v>
      </c>
      <c r="H23" s="4" t="n">
        <f aca="false">Assumptions!H16</f>
        <v>0.55</v>
      </c>
      <c r="I23" s="4" t="n">
        <f aca="false">Assumptions!I16</f>
        <v>0.55</v>
      </c>
      <c r="J23" s="4" t="n">
        <f aca="false">Assumptions!J16</f>
        <v>0.55</v>
      </c>
      <c r="K23" s="4" t="n">
        <f aca="false">Assumptions!K16</f>
        <v>0.55</v>
      </c>
      <c r="L23" s="4" t="n">
        <f aca="false">Assumptions!L16</f>
        <v>0.55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-15070.99891</v>
      </c>
      <c r="D24" s="0" t="n">
        <f aca="false">-D6*D23/100</f>
        <v>-14468.1589536</v>
      </c>
      <c r="E24" s="0" t="n">
        <f aca="false">-E6*E23/100</f>
        <v>-14612.840543136</v>
      </c>
      <c r="F24" s="0" t="n">
        <f aca="false">-F6*F23/100</f>
        <v>-14905.0973539987</v>
      </c>
      <c r="G24" s="0" t="n">
        <f aca="false">-G6*G23/100</f>
        <v>-15203.1993010787</v>
      </c>
      <c r="H24" s="0" t="n">
        <f aca="false">-H6*H23/100</f>
        <v>-15507.2632871003</v>
      </c>
      <c r="I24" s="0" t="n">
        <f aca="false">-I6*I23/100</f>
        <v>-15739.8722364068</v>
      </c>
      <c r="J24" s="0" t="n">
        <f aca="false">-J6*J23/100</f>
        <v>-15975.9703199529</v>
      </c>
      <c r="K24" s="0" t="n">
        <f aca="false">-K6*K23/100</f>
        <v>-16215.6098747522</v>
      </c>
      <c r="L24" s="0" t="n">
        <f aca="false">-L6*L23/100</f>
        <v>-16458.8440228734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255695.829749936</v>
      </c>
    </row>
    <row r="31" customFormat="false" ht="15" hidden="false" customHeight="false" outlineLevel="0" collapsed="false">
      <c r="A31" s="0" t="s">
        <v>128</v>
      </c>
      <c r="B31" s="0" t="n">
        <f aca="false">L19</f>
        <v>39667.0671195245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805241.462526347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476004.805434294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476004.805434294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253580.152887732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509275.982637668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95426.9826376683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65.4012628590695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-0.944528190959229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65.4012628590695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298237.578713462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-113.054929005825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9.5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2585077</v>
      </c>
      <c r="C6" s="0" t="n">
        <f aca="false">B6*(1+C5/100)</f>
        <v>2830659.315</v>
      </c>
      <c r="D6" s="0" t="n">
        <f aca="false">C6*(1+D5/100)</f>
        <v>2929732.391025</v>
      </c>
      <c r="E6" s="0" t="n">
        <f aca="false">D6*(1+E5/100)</f>
        <v>3017624.36275575</v>
      </c>
      <c r="F6" s="0" t="n">
        <f aca="false">E6*(1+F5/100)</f>
        <v>3108153.09363842</v>
      </c>
      <c r="G6" s="0" t="n">
        <f aca="false">F6*(1+G5/100)</f>
        <v>3201397.68644758</v>
      </c>
      <c r="H6" s="0" t="n">
        <f aca="false">G6*(1+H5/100)</f>
        <v>3281432.62860876</v>
      </c>
      <c r="I6" s="0" t="n">
        <f aca="false">H6*(1+I5/100)</f>
        <v>3363468.44432398</v>
      </c>
      <c r="J6" s="0" t="n">
        <f aca="false">I6*(1+J5/100)</f>
        <v>3447555.15543208</v>
      </c>
      <c r="K6" s="0" t="n">
        <f aca="false">J6*(1+K5/100)</f>
        <v>3516506.25854072</v>
      </c>
      <c r="L6" s="0" t="n">
        <f aca="false">K6*(1+L5/100)</f>
        <v>3586836.38371154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10</v>
      </c>
      <c r="D7" s="4" t="n">
        <f aca="false">Assumptions!D28</f>
        <v>10.1</v>
      </c>
      <c r="E7" s="4" t="n">
        <f aca="false">Assumptions!E28</f>
        <v>10.2</v>
      </c>
      <c r="F7" s="4" t="n">
        <f aca="false">Assumptions!F28</f>
        <v>10.3</v>
      </c>
      <c r="G7" s="4" t="n">
        <f aca="false">Assumptions!G28</f>
        <v>10.4</v>
      </c>
      <c r="H7" s="4" t="n">
        <f aca="false">Assumptions!H28</f>
        <v>10.5</v>
      </c>
      <c r="I7" s="4" t="n">
        <f aca="false">Assumptions!I28</f>
        <v>10.5</v>
      </c>
      <c r="J7" s="4" t="n">
        <f aca="false">Assumptions!J28</f>
        <v>10.5</v>
      </c>
      <c r="K7" s="4" t="n">
        <f aca="false">Assumptions!K28</f>
        <v>10.5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283065.9315</v>
      </c>
      <c r="D8" s="0" t="n">
        <f aca="false">D6*D7/100</f>
        <v>295902.971493525</v>
      </c>
      <c r="E8" s="0" t="n">
        <f aca="false">E6*E7/100</f>
        <v>307797.685001086</v>
      </c>
      <c r="F8" s="0" t="n">
        <f aca="false">F6*F7/100</f>
        <v>320139.768644758</v>
      </c>
      <c r="G8" s="0" t="n">
        <f aca="false">G6*G7/100</f>
        <v>332945.359390548</v>
      </c>
      <c r="H8" s="0" t="n">
        <f aca="false">H6*H7/100</f>
        <v>344550.42600392</v>
      </c>
      <c r="I8" s="0" t="n">
        <f aca="false">I6*I7/100</f>
        <v>353164.186654018</v>
      </c>
      <c r="J8" s="0" t="n">
        <f aca="false">J6*J7/100</f>
        <v>361993.291320369</v>
      </c>
      <c r="K8" s="0" t="n">
        <f aca="false">K6*K7/100</f>
        <v>369233.157146776</v>
      </c>
      <c r="L8" s="0" t="n">
        <f aca="false">L6*L7/100</f>
        <v>376617.820289712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267497.3052675</v>
      </c>
      <c r="D11" s="0" t="n">
        <f aca="false">D8+D10+D24</f>
        <v>279789.443342887</v>
      </c>
      <c r="E11" s="0" t="n">
        <f aca="false">E8+E10+E24</f>
        <v>291200.75100593</v>
      </c>
      <c r="F11" s="0" t="n">
        <f aca="false">F8+F10+F24</f>
        <v>303044.926629746</v>
      </c>
      <c r="G11" s="0" t="n">
        <f aca="false">G8+G10+G24</f>
        <v>315337.672115086</v>
      </c>
      <c r="H11" s="0" t="n">
        <f aca="false">H8+H10+H24</f>
        <v>326502.546546572</v>
      </c>
      <c r="I11" s="0" t="n">
        <f aca="false">I8+I10+I24</f>
        <v>334665.110210236</v>
      </c>
      <c r="J11" s="0" t="n">
        <f aca="false">J8+J10+J24</f>
        <v>343031.737965492</v>
      </c>
      <c r="K11" s="0" t="n">
        <f aca="false">K8+K10+K24</f>
        <v>349892.372724802</v>
      </c>
      <c r="L11" s="0" t="n">
        <f aca="false">L8+L10+L24</f>
        <v>356890.220179298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-130210.32849</v>
      </c>
      <c r="D12" s="4" t="n">
        <f aca="false">-D6*Assumptions!D31/100</f>
        <v>-134767.68998715</v>
      </c>
      <c r="E12" s="4" t="n">
        <f aca="false">-E6*Assumptions!E31/100</f>
        <v>-138810.720686764</v>
      </c>
      <c r="F12" s="4" t="n">
        <f aca="false">-F6*Assumptions!F31/100</f>
        <v>-142975.042307367</v>
      </c>
      <c r="G12" s="4" t="n">
        <f aca="false">-G6*Assumptions!G31/100</f>
        <v>-147264.293576588</v>
      </c>
      <c r="H12" s="4" t="n">
        <f aca="false">-H6*Assumptions!H31/100</f>
        <v>-150945.900916003</v>
      </c>
      <c r="I12" s="4" t="n">
        <f aca="false">-I6*Assumptions!I31/100</f>
        <v>-154719.548438903</v>
      </c>
      <c r="J12" s="4" t="n">
        <f aca="false">-J6*Assumptions!J31/100</f>
        <v>-158587.537149876</v>
      </c>
      <c r="K12" s="4" t="n">
        <f aca="false">-K6*Assumptions!K31/100</f>
        <v>-161759.287892873</v>
      </c>
      <c r="L12" s="4" t="n">
        <f aca="false">-L6*Assumptions!L31/100</f>
        <v>-164994.473650731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137286.9767775</v>
      </c>
      <c r="D13" s="0" t="n">
        <f aca="false">D11+D12</f>
        <v>145021.753355737</v>
      </c>
      <c r="E13" s="0" t="n">
        <f aca="false">E11+E12</f>
        <v>152390.030319165</v>
      </c>
      <c r="F13" s="0" t="n">
        <f aca="false">F11+F12</f>
        <v>160069.884322379</v>
      </c>
      <c r="G13" s="0" t="n">
        <f aca="false">G11+G12</f>
        <v>168073.378538498</v>
      </c>
      <c r="H13" s="0" t="n">
        <f aca="false">H11+H12</f>
        <v>175556.645630569</v>
      </c>
      <c r="I13" s="0" t="n">
        <f aca="false">I11+I12</f>
        <v>179945.561771333</v>
      </c>
      <c r="J13" s="0" t="n">
        <f aca="false">J11+J12</f>
        <v>184444.200815616</v>
      </c>
      <c r="K13" s="0" t="n">
        <f aca="false">K11+K12</f>
        <v>188133.084831929</v>
      </c>
      <c r="L13" s="0" t="n">
        <f aca="false">L11+L12</f>
        <v>191895.746528567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97473.753512025</v>
      </c>
      <c r="D15" s="0" t="n">
        <f aca="false">D13-MAX(0,D13)*D14/100</f>
        <v>102965.444882574</v>
      </c>
      <c r="E15" s="0" t="n">
        <f aca="false">E13-MAX(0,E13)*E14/100</f>
        <v>108196.921526607</v>
      </c>
      <c r="F15" s="0" t="n">
        <f aca="false">F13-MAX(0,F13)*F14/100</f>
        <v>113649.617868889</v>
      </c>
      <c r="G15" s="0" t="n">
        <f aca="false">G13-MAX(0,G13)*G14/100</f>
        <v>119332.098762333</v>
      </c>
      <c r="H15" s="0" t="n">
        <f aca="false">H13-MAX(0,H13)*H14/100</f>
        <v>124645.218397704</v>
      </c>
      <c r="I15" s="0" t="n">
        <f aca="false">I13-MAX(0,I13)*I14/100</f>
        <v>127761.348857647</v>
      </c>
      <c r="J15" s="0" t="n">
        <f aca="false">J13-MAX(0,J13)*J14/100</f>
        <v>130955.382579088</v>
      </c>
      <c r="K15" s="0" t="n">
        <f aca="false">K13-MAX(0,K13)*K14/100</f>
        <v>133574.490230669</v>
      </c>
      <c r="L15" s="0" t="n">
        <f aca="false">L13-MAX(0,L13)*L14/100</f>
        <v>136245.980035283</v>
      </c>
    </row>
    <row r="16" customFormat="false" ht="15" hidden="false" customHeight="false" outlineLevel="0" collapsed="false">
      <c r="A16" s="0" t="s">
        <v>119</v>
      </c>
      <c r="C16" s="0" t="n">
        <f aca="false">-C12</f>
        <v>130210.32849</v>
      </c>
      <c r="D16" s="0" t="n">
        <f aca="false">-D12</f>
        <v>134767.68998715</v>
      </c>
      <c r="E16" s="0" t="n">
        <f aca="false">-E12</f>
        <v>138810.720686764</v>
      </c>
      <c r="F16" s="0" t="n">
        <f aca="false">-F12</f>
        <v>142975.042307367</v>
      </c>
      <c r="G16" s="0" t="n">
        <f aca="false">-G12</f>
        <v>147264.293576588</v>
      </c>
      <c r="H16" s="0" t="n">
        <f aca="false">-H12</f>
        <v>150945.900916003</v>
      </c>
      <c r="I16" s="0" t="n">
        <f aca="false">-I12</f>
        <v>154719.548438903</v>
      </c>
      <c r="J16" s="0" t="n">
        <f aca="false">-J12</f>
        <v>158587.537149876</v>
      </c>
      <c r="K16" s="0" t="n">
        <f aca="false">-K12</f>
        <v>161759.287892873</v>
      </c>
      <c r="L16" s="0" t="n">
        <f aca="false">-L12</f>
        <v>164994.473650731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-161347.580955</v>
      </c>
      <c r="D17" s="4" t="n">
        <f aca="false">-D6*Assumptions!D32/100</f>
        <v>-164065.0138974</v>
      </c>
      <c r="E17" s="4" t="n">
        <f aca="false">-E6*Assumptions!E32/100</f>
        <v>-168986.964314322</v>
      </c>
      <c r="F17" s="4" t="n">
        <f aca="false">-F6*Assumptions!F32/100</f>
        <v>-170948.420150113</v>
      </c>
      <c r="G17" s="4" t="n">
        <f aca="false">-G6*Assumptions!G32/100</f>
        <v>-176076.872754617</v>
      </c>
      <c r="H17" s="4" t="n">
        <f aca="false">-H6*Assumptions!H32/100</f>
        <v>-177197.361944873</v>
      </c>
      <c r="I17" s="4" t="n">
        <f aca="false">-I6*Assumptions!I32/100</f>
        <v>-181627.295993495</v>
      </c>
      <c r="J17" s="4" t="n">
        <f aca="false">-J6*Assumptions!J32/100</f>
        <v>-182720.4232379</v>
      </c>
      <c r="K17" s="4" t="n">
        <f aca="false">-K6*Assumptions!K32/100</f>
        <v>-186374.831702658</v>
      </c>
      <c r="L17" s="4" t="n">
        <f aca="false">-L6*Assumptions!L32/100</f>
        <v>-190102.328336712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-49116.463</v>
      </c>
      <c r="D18" s="4" t="n">
        <f aca="false">(D6-C6)*Assumptions!$B$37/100</f>
        <v>-19814.615205</v>
      </c>
      <c r="E18" s="4" t="n">
        <f aca="false">(E6-D6)*Assumptions!$B$37/100</f>
        <v>-17578.39434615</v>
      </c>
      <c r="F18" s="4" t="n">
        <f aca="false">(F6-E6)*Assumptions!$B$37/100</f>
        <v>-18105.7461765345</v>
      </c>
      <c r="G18" s="4" t="n">
        <f aca="false">(G6-F6)*Assumptions!$B$37/100</f>
        <v>-18648.9185618306</v>
      </c>
      <c r="H18" s="4" t="n">
        <f aca="false">(H6-G6)*Assumptions!$B$37/100</f>
        <v>-16006.9884322378</v>
      </c>
      <c r="I18" s="4" t="n">
        <f aca="false">(I6-H6)*Assumptions!$B$37/100</f>
        <v>-16407.1631430438</v>
      </c>
      <c r="J18" s="4" t="n">
        <f aca="false">(J6-I6)*Assumptions!$B$37/100</f>
        <v>-16817.3422216198</v>
      </c>
      <c r="K18" s="4" t="n">
        <f aca="false">(K6-J6)*Assumptions!$B$37/100</f>
        <v>-13790.2206217283</v>
      </c>
      <c r="L18" s="4" t="n">
        <f aca="false">(L6-K6)*Assumptions!$B$37/100</f>
        <v>-14066.0250341629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17220.038047025</v>
      </c>
      <c r="D19" s="0" t="n">
        <f aca="false">D15+D16+D17+D18</f>
        <v>53853.5057673236</v>
      </c>
      <c r="E19" s="0" t="n">
        <f aca="false">E15+E16+E17+E18</f>
        <v>60442.2835528999</v>
      </c>
      <c r="F19" s="0" t="n">
        <f aca="false">F15+F16+F17+F18</f>
        <v>67570.4938496087</v>
      </c>
      <c r="G19" s="0" t="n">
        <f aca="false">G15+G16+G17+G18</f>
        <v>71870.6010224746</v>
      </c>
      <c r="H19" s="0" t="n">
        <f aca="false">H15+H16+H17+H18</f>
        <v>82386.7689365959</v>
      </c>
      <c r="I19" s="0" t="n">
        <f aca="false">I15+I16+I17+I18</f>
        <v>84446.4381600109</v>
      </c>
      <c r="J19" s="0" t="n">
        <f aca="false">J15+J16+J17+J18</f>
        <v>90005.1542694432</v>
      </c>
      <c r="K19" s="0" t="n">
        <f aca="false">K15+K16+K17+K18</f>
        <v>95168.725799156</v>
      </c>
      <c r="L19" s="0" t="n">
        <f aca="false">L15+L16+L17+L18</f>
        <v>97072.1003151392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16169.0498094131</v>
      </c>
      <c r="D21" s="0" t="n">
        <f aca="false">D19*D20</f>
        <v>47480.443269478</v>
      </c>
      <c r="E21" s="0" t="n">
        <f aca="false">E19*E20</f>
        <v>50037.0895457664</v>
      </c>
      <c r="F21" s="0" t="n">
        <f aca="false">F19*F20</f>
        <v>52524.105132467</v>
      </c>
      <c r="G21" s="0" t="n">
        <f aca="false">G19*G20</f>
        <v>52456.9743955476</v>
      </c>
      <c r="H21" s="0" t="n">
        <f aca="false">H19*H20</f>
        <v>56462.4636898603</v>
      </c>
      <c r="I21" s="0" t="n">
        <f aca="false">I19*I20</f>
        <v>54341.8077766262</v>
      </c>
      <c r="J21" s="0" t="n">
        <f aca="false">J19*J20</f>
        <v>54383.9212577915</v>
      </c>
      <c r="K21" s="0" t="n">
        <f aca="false">K19*K20</f>
        <v>53994.2837705588</v>
      </c>
      <c r="L21" s="0" t="n">
        <f aca="false">L19*L20</f>
        <v>51712.8351605352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0.55</v>
      </c>
      <c r="D23" s="4" t="n">
        <f aca="false">Assumptions!D30</f>
        <v>0.55</v>
      </c>
      <c r="E23" s="4" t="n">
        <f aca="false">Assumptions!E30</f>
        <v>0.55</v>
      </c>
      <c r="F23" s="4" t="n">
        <f aca="false">Assumptions!F30</f>
        <v>0.55</v>
      </c>
      <c r="G23" s="4" t="n">
        <f aca="false">Assumptions!G30</f>
        <v>0.55</v>
      </c>
      <c r="H23" s="4" t="n">
        <f aca="false">Assumptions!H30</f>
        <v>0.55</v>
      </c>
      <c r="I23" s="4" t="n">
        <f aca="false">Assumptions!I30</f>
        <v>0.55</v>
      </c>
      <c r="J23" s="4" t="n">
        <f aca="false">Assumptions!J30</f>
        <v>0.55</v>
      </c>
      <c r="K23" s="4" t="n">
        <f aca="false">Assumptions!K30</f>
        <v>0.55</v>
      </c>
      <c r="L23" s="4" t="n">
        <f aca="false">Assumptions!L30</f>
        <v>0.55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-15568.6262325</v>
      </c>
      <c r="D24" s="0" t="n">
        <f aca="false">-D6*D23/100</f>
        <v>-16113.5281506375</v>
      </c>
      <c r="E24" s="0" t="n">
        <f aca="false">-E6*E23/100</f>
        <v>-16596.9339951566</v>
      </c>
      <c r="F24" s="0" t="n">
        <f aca="false">-F6*F23/100</f>
        <v>-17094.8420150113</v>
      </c>
      <c r="G24" s="0" t="n">
        <f aca="false">-G6*G23/100</f>
        <v>-17607.6872754617</v>
      </c>
      <c r="H24" s="0" t="n">
        <f aca="false">-H6*H23/100</f>
        <v>-18047.8794573482</v>
      </c>
      <c r="I24" s="0" t="n">
        <f aca="false">-I6*I23/100</f>
        <v>-18499.0764437819</v>
      </c>
      <c r="J24" s="0" t="n">
        <f aca="false">-J6*J23/100</f>
        <v>-18961.5533548765</v>
      </c>
      <c r="K24" s="0" t="n">
        <f aca="false">-K6*K23/100</f>
        <v>-19340.784421974</v>
      </c>
      <c r="L24" s="0" t="n">
        <f aca="false">-L6*L23/100</f>
        <v>-19727.6001104135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489562.973808044</v>
      </c>
    </row>
    <row r="31" customFormat="false" ht="15" hidden="false" customHeight="false" outlineLevel="0" collapsed="false">
      <c r="A31" s="0" t="s">
        <v>128</v>
      </c>
      <c r="B31" s="0" t="n">
        <f aca="false">L19</f>
        <v>97072.1003151392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2200300.94047649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1359009.40441195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1359009.40441195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723979.692247492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1213542.66605554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799693.666055536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548.073241077059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-0.535137200104276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548.073241077059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761642.633241861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63.0904385678755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11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2585077</v>
      </c>
      <c r="C6" s="0" t="n">
        <f aca="false">B6*(1+C5/100)</f>
        <v>2869435.47</v>
      </c>
      <c r="D6" s="0" t="n">
        <f aca="false">C6*(1+D5/100)</f>
        <v>3041601.5982</v>
      </c>
      <c r="E6" s="0" t="n">
        <f aca="false">D6*(1+E5/100)</f>
        <v>3193681.67811</v>
      </c>
      <c r="F6" s="0" t="n">
        <f aca="false">E6*(1+F5/100)</f>
        <v>3337397.35362495</v>
      </c>
      <c r="G6" s="0" t="n">
        <f aca="false">F6*(1+G5/100)</f>
        <v>3470893.24776995</v>
      </c>
      <c r="H6" s="0" t="n">
        <f aca="false">G6*(1+H5/100)</f>
        <v>3592374.5114419</v>
      </c>
      <c r="I6" s="0" t="n">
        <f aca="false">H6*(1+I5/100)</f>
        <v>3700145.74678515</v>
      </c>
      <c r="J6" s="0" t="n">
        <f aca="false">I6*(1+J5/100)</f>
        <v>3811150.11918871</v>
      </c>
      <c r="K6" s="0" t="n">
        <f aca="false">J6*(1+K5/100)</f>
        <v>3906428.87216843</v>
      </c>
      <c r="L6" s="0" t="n">
        <f aca="false">K6*(1+L5/100)</f>
        <v>4004089.59397264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10.4</v>
      </c>
      <c r="D7" s="4" t="n">
        <f aca="false">Assumptions!D42</f>
        <v>10.8</v>
      </c>
      <c r="E7" s="4" t="n">
        <f aca="false">Assumptions!E42</f>
        <v>11.2</v>
      </c>
      <c r="F7" s="4" t="n">
        <f aca="false">Assumptions!F42</f>
        <v>11.5</v>
      </c>
      <c r="G7" s="4" t="n">
        <f aca="false">Assumptions!G42</f>
        <v>11.8</v>
      </c>
      <c r="H7" s="4" t="n">
        <f aca="false">Assumptions!H42</f>
        <v>12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298421.28888</v>
      </c>
      <c r="D8" s="0" t="n">
        <f aca="false">D6*D7/100</f>
        <v>328492.9726056</v>
      </c>
      <c r="E8" s="0" t="n">
        <f aca="false">E6*E7/100</f>
        <v>357692.34794832</v>
      </c>
      <c r="F8" s="0" t="n">
        <f aca="false">F6*F7/100</f>
        <v>383800.695666869</v>
      </c>
      <c r="G8" s="0" t="n">
        <f aca="false">G6*G7/100</f>
        <v>409565.403236854</v>
      </c>
      <c r="H8" s="0" t="n">
        <f aca="false">H6*H7/100</f>
        <v>431084.941373028</v>
      </c>
      <c r="I8" s="0" t="n">
        <f aca="false">I6*I7/100</f>
        <v>444017.489614219</v>
      </c>
      <c r="J8" s="0" t="n">
        <f aca="false">J6*J7/100</f>
        <v>457338.014302645</v>
      </c>
      <c r="K8" s="0" t="n">
        <f aca="false">K6*K7/100</f>
        <v>468771.464660211</v>
      </c>
      <c r="L8" s="0" t="n">
        <f aca="false">L6*L7/100</f>
        <v>480490.751276716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282639.393795</v>
      </c>
      <c r="D11" s="0" t="n">
        <f aca="false">D8+D10+D24</f>
        <v>311764.1638155</v>
      </c>
      <c r="E11" s="0" t="n">
        <f aca="false">E8+E10+E24</f>
        <v>340127.098718715</v>
      </c>
      <c r="F11" s="0" t="n">
        <f aca="false">F8+F10+F24</f>
        <v>365445.010221932</v>
      </c>
      <c r="G11" s="0" t="n">
        <f aca="false">G8+G10+G24</f>
        <v>390475.490374119</v>
      </c>
      <c r="H11" s="0" t="n">
        <f aca="false">H8+H10+H24</f>
        <v>411326.881560097</v>
      </c>
      <c r="I11" s="0" t="n">
        <f aca="false">I8+I10+I24</f>
        <v>423666.6880069</v>
      </c>
      <c r="J11" s="0" t="n">
        <f aca="false">J8+J10+J24</f>
        <v>436376.688647107</v>
      </c>
      <c r="K11" s="0" t="n">
        <f aca="false">K8+K10+K24</f>
        <v>447286.105863285</v>
      </c>
      <c r="L11" s="0" t="n">
        <f aca="false">L8+L10+L24</f>
        <v>458468.258509867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-131994.03162</v>
      </c>
      <c r="D12" s="4" t="n">
        <f aca="false">-D6*Assumptions!D45/100</f>
        <v>-139913.6735172</v>
      </c>
      <c r="E12" s="4" t="n">
        <f aca="false">-E6*Assumptions!E45/100</f>
        <v>-146909.35719306</v>
      </c>
      <c r="F12" s="4" t="n">
        <f aca="false">-F6*Assumptions!F45/100</f>
        <v>-153520.278266748</v>
      </c>
      <c r="G12" s="4" t="n">
        <f aca="false">-G6*Assumptions!G45/100</f>
        <v>-159661.089397418</v>
      </c>
      <c r="H12" s="4" t="n">
        <f aca="false">-H6*Assumptions!H45/100</f>
        <v>-165249.227526327</v>
      </c>
      <c r="I12" s="4" t="n">
        <f aca="false">-I6*Assumptions!I45/100</f>
        <v>-170206.704352117</v>
      </c>
      <c r="J12" s="4" t="n">
        <f aca="false">-J6*Assumptions!J45/100</f>
        <v>-175312.905482681</v>
      </c>
      <c r="K12" s="4" t="n">
        <f aca="false">-K6*Assumptions!K45/100</f>
        <v>-179695.728119748</v>
      </c>
      <c r="L12" s="4" t="n">
        <f aca="false">-L6*Assumptions!L45/100</f>
        <v>-184188.121322741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150645.362175</v>
      </c>
      <c r="D13" s="0" t="n">
        <f aca="false">D11+D12</f>
        <v>171850.4902983</v>
      </c>
      <c r="E13" s="0" t="n">
        <f aca="false">E11+E12</f>
        <v>193217.741525655</v>
      </c>
      <c r="F13" s="0" t="n">
        <f aca="false">F11+F12</f>
        <v>211924.731955184</v>
      </c>
      <c r="G13" s="0" t="n">
        <f aca="false">G11+G12</f>
        <v>230814.400976702</v>
      </c>
      <c r="H13" s="0" t="n">
        <f aca="false">H11+H12</f>
        <v>246077.65403377</v>
      </c>
      <c r="I13" s="0" t="n">
        <f aca="false">I11+I12</f>
        <v>253459.983654783</v>
      </c>
      <c r="J13" s="0" t="n">
        <f aca="false">J11+J12</f>
        <v>261063.783164427</v>
      </c>
      <c r="K13" s="0" t="n">
        <f aca="false">K11+K12</f>
        <v>267590.377743537</v>
      </c>
      <c r="L13" s="0" t="n">
        <f aca="false">L11+L12</f>
        <v>274280.137187126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108464.660766</v>
      </c>
      <c r="D15" s="0" t="n">
        <f aca="false">D13-MAX(0,D13)*D14/100</f>
        <v>123732.353014776</v>
      </c>
      <c r="E15" s="0" t="n">
        <f aca="false">E13-MAX(0,E13)*E14/100</f>
        <v>139116.773898472</v>
      </c>
      <c r="F15" s="0" t="n">
        <f aca="false">F13-MAX(0,F13)*F14/100</f>
        <v>152585.807007733</v>
      </c>
      <c r="G15" s="0" t="n">
        <f aca="false">G13-MAX(0,G13)*G14/100</f>
        <v>166186.368703225</v>
      </c>
      <c r="H15" s="0" t="n">
        <f aca="false">H13-MAX(0,H13)*H14/100</f>
        <v>177175.910904314</v>
      </c>
      <c r="I15" s="0" t="n">
        <f aca="false">I13-MAX(0,I13)*I14/100</f>
        <v>182491.188231444</v>
      </c>
      <c r="J15" s="0" t="n">
        <f aca="false">J13-MAX(0,J13)*J14/100</f>
        <v>187965.923878387</v>
      </c>
      <c r="K15" s="0" t="n">
        <f aca="false">K13-MAX(0,K13)*K14/100</f>
        <v>192665.071975347</v>
      </c>
      <c r="L15" s="0" t="n">
        <f aca="false">L13-MAX(0,L13)*L14/100</f>
        <v>197481.69877473</v>
      </c>
    </row>
    <row r="16" customFormat="false" ht="15" hidden="false" customHeight="false" outlineLevel="0" collapsed="false">
      <c r="A16" s="0" t="s">
        <v>119</v>
      </c>
      <c r="C16" s="0" t="n">
        <f aca="false">-C12</f>
        <v>131994.03162</v>
      </c>
      <c r="D16" s="0" t="n">
        <f aca="false">-D12</f>
        <v>139913.6735172</v>
      </c>
      <c r="E16" s="0" t="n">
        <f aca="false">-E12</f>
        <v>146909.35719306</v>
      </c>
      <c r="F16" s="0" t="n">
        <f aca="false">-F12</f>
        <v>153520.278266748</v>
      </c>
      <c r="G16" s="0" t="n">
        <f aca="false">-G12</f>
        <v>159661.089397418</v>
      </c>
      <c r="H16" s="0" t="n">
        <f aca="false">-H12</f>
        <v>165249.227526327</v>
      </c>
      <c r="I16" s="0" t="n">
        <f aca="false">-I12</f>
        <v>170206.704352117</v>
      </c>
      <c r="J16" s="0" t="n">
        <f aca="false">-J12</f>
        <v>175312.905482681</v>
      </c>
      <c r="K16" s="0" t="n">
        <f aca="false">-K12</f>
        <v>179695.728119748</v>
      </c>
      <c r="L16" s="0" t="n">
        <f aca="false">-L12</f>
        <v>184188.121322741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-160688.38632</v>
      </c>
      <c r="D17" s="4" t="n">
        <f aca="false">-D6*Assumptions!D46/100</f>
        <v>-167288.087901</v>
      </c>
      <c r="E17" s="4" t="n">
        <f aca="false">-E6*Assumptions!E46/100</f>
        <v>-175652.49229605</v>
      </c>
      <c r="F17" s="4" t="n">
        <f aca="false">-F6*Assumptions!F46/100</f>
        <v>-180219.457095747</v>
      </c>
      <c r="G17" s="4" t="n">
        <f aca="false">-G6*Assumptions!G46/100</f>
        <v>-183957.342131807</v>
      </c>
      <c r="H17" s="4" t="n">
        <f aca="false">-H6*Assumptions!H46/100</f>
        <v>-186803.474594979</v>
      </c>
      <c r="I17" s="4" t="n">
        <f aca="false">-I6*Assumptions!I46/100</f>
        <v>-192407.578832828</v>
      </c>
      <c r="J17" s="4" t="n">
        <f aca="false">-J6*Assumptions!J46/100</f>
        <v>-194368.656078624</v>
      </c>
      <c r="K17" s="4" t="n">
        <f aca="false">-K6*Assumptions!K46/100</f>
        <v>-199227.87248059</v>
      </c>
      <c r="L17" s="4" t="n">
        <f aca="false">-L6*Assumptions!L46/100</f>
        <v>-204208.569292604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-51184.5246</v>
      </c>
      <c r="D18" s="4" t="n">
        <f aca="false">(D6-C6)*Assumptions!$B$51/100</f>
        <v>-30989.903076</v>
      </c>
      <c r="E18" s="4" t="n">
        <f aca="false">(E6-D6)*Assumptions!$B$51/100</f>
        <v>-27374.4143838001</v>
      </c>
      <c r="F18" s="4" t="n">
        <f aca="false">(F6-E6)*Assumptions!$B$51/100</f>
        <v>-25868.821592691</v>
      </c>
      <c r="G18" s="4" t="n">
        <f aca="false">(G6-F6)*Assumptions!$B$51/100</f>
        <v>-24029.2609460996</v>
      </c>
      <c r="H18" s="4" t="n">
        <f aca="false">(H6-G6)*Assumptions!$B$51/100</f>
        <v>-21866.6274609507</v>
      </c>
      <c r="I18" s="4" t="n">
        <f aca="false">(I6-H6)*Assumptions!$B$51/100</f>
        <v>-19398.8223617863</v>
      </c>
      <c r="J18" s="4" t="n">
        <f aca="false">(J6-I6)*Assumptions!$B$51/100</f>
        <v>-19980.7870326398</v>
      </c>
      <c r="K18" s="4" t="n">
        <f aca="false">(K6-J6)*Assumptions!$B$51/100</f>
        <v>-17150.1755363491</v>
      </c>
      <c r="L18" s="4" t="n">
        <f aca="false">(L6-K6)*Assumptions!$B$51/100</f>
        <v>-17578.9299247579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28585.781466</v>
      </c>
      <c r="D19" s="0" t="n">
        <f aca="false">D15+D16+D17+D18</f>
        <v>65368.035554976</v>
      </c>
      <c r="E19" s="0" t="n">
        <f aca="false">E15+E16+E17+E18</f>
        <v>82999.2244116815</v>
      </c>
      <c r="F19" s="0" t="n">
        <f aca="false">F15+F16+F17+F18</f>
        <v>100017.806586042</v>
      </c>
      <c r="G19" s="0" t="n">
        <f aca="false">G15+G16+G17+G18</f>
        <v>117860.855022736</v>
      </c>
      <c r="H19" s="0" t="n">
        <f aca="false">H15+H16+H17+H18</f>
        <v>133755.036374712</v>
      </c>
      <c r="I19" s="0" t="n">
        <f aca="false">I15+I16+I17+I18</f>
        <v>140891.491388947</v>
      </c>
      <c r="J19" s="0" t="n">
        <f aca="false">J15+J16+J17+J18</f>
        <v>148929.386249804</v>
      </c>
      <c r="K19" s="0" t="n">
        <f aca="false">K15+K16+K17+K18</f>
        <v>155982.752078156</v>
      </c>
      <c r="L19" s="0" t="n">
        <f aca="false">L15+L16+L17+L18</f>
        <v>159882.320880109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26841.1093577465</v>
      </c>
      <c r="D21" s="0" t="n">
        <f aca="false">D19*D20</f>
        <v>57632.3353434954</v>
      </c>
      <c r="E21" s="0" t="n">
        <f aca="false">E19*E20</f>
        <v>68710.8325495622</v>
      </c>
      <c r="F21" s="0" t="n">
        <f aca="false">F19*F20</f>
        <v>77746.1505599823</v>
      </c>
      <c r="G21" s="0" t="n">
        <f aca="false">G19*G20</f>
        <v>86024.3794570694</v>
      </c>
      <c r="H21" s="0" t="n">
        <f aca="false">H19*H20</f>
        <v>91666.8899887942</v>
      </c>
      <c r="I21" s="0" t="n">
        <f aca="false">I19*I20</f>
        <v>90664.5503261252</v>
      </c>
      <c r="J21" s="0" t="n">
        <f aca="false">J19*J20</f>
        <v>89987.7799279578</v>
      </c>
      <c r="K21" s="0" t="n">
        <f aca="false">K19*K20</f>
        <v>88497.3178772489</v>
      </c>
      <c r="L21" s="0" t="n">
        <f aca="false">L19*L20</f>
        <v>85173.4749522817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0.55</v>
      </c>
      <c r="D23" s="4" t="n">
        <f aca="false">Assumptions!D44</f>
        <v>0.55</v>
      </c>
      <c r="E23" s="4" t="n">
        <f aca="false">Assumptions!E44</f>
        <v>0.55</v>
      </c>
      <c r="F23" s="4" t="n">
        <f aca="false">Assumptions!F44</f>
        <v>0.55</v>
      </c>
      <c r="G23" s="4" t="n">
        <f aca="false">Assumptions!G44</f>
        <v>0.55</v>
      </c>
      <c r="H23" s="4" t="n">
        <f aca="false">Assumptions!H44</f>
        <v>0.55</v>
      </c>
      <c r="I23" s="4" t="n">
        <f aca="false">Assumptions!I44</f>
        <v>0.55</v>
      </c>
      <c r="J23" s="4" t="n">
        <f aca="false">Assumptions!J44</f>
        <v>0.55</v>
      </c>
      <c r="K23" s="4" t="n">
        <f aca="false">Assumptions!K44</f>
        <v>0.55</v>
      </c>
      <c r="L23" s="4" t="n">
        <f aca="false">Assumptions!L44</f>
        <v>0.55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-15781.895085</v>
      </c>
      <c r="D24" s="0" t="n">
        <f aca="false">-D6*D23/100</f>
        <v>-16728.8087901</v>
      </c>
      <c r="E24" s="0" t="n">
        <f aca="false">-E6*E23/100</f>
        <v>-17565.249229605</v>
      </c>
      <c r="F24" s="0" t="n">
        <f aca="false">-F6*F23/100</f>
        <v>-18355.6854449372</v>
      </c>
      <c r="G24" s="0" t="n">
        <f aca="false">-G6*G23/100</f>
        <v>-19089.9128627347</v>
      </c>
      <c r="H24" s="0" t="n">
        <f aca="false">-H6*H23/100</f>
        <v>-19758.0598129304</v>
      </c>
      <c r="I24" s="0" t="n">
        <f aca="false">-I6*I23/100</f>
        <v>-20350.8016073183</v>
      </c>
      <c r="J24" s="0" t="n">
        <f aca="false">-J6*J23/100</f>
        <v>-20961.3256555379</v>
      </c>
      <c r="K24" s="0" t="n">
        <f aca="false">-K6*K23/100</f>
        <v>-21485.3587969263</v>
      </c>
      <c r="L24" s="0" t="n">
        <f aca="false">-L6*L23/100</f>
        <v>-22022.4927668495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762944.820340264</v>
      </c>
    </row>
    <row r="31" customFormat="false" ht="15" hidden="false" customHeight="false" outlineLevel="0" collapsed="false">
      <c r="A31" s="0" t="s">
        <v>128</v>
      </c>
      <c r="B31" s="0" t="n">
        <f aca="false">L19</f>
        <v>159882.320880109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4096984.4725528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2398234.81320164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2398234.81320164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1277602.12428423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2040546.94462449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1626697.94462449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1114.86391928208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-0.05439871138076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1114.86391928208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1311035.0312169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272.906761852219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65.4012628590695</v>
      </c>
      <c r="C4" s="0" t="n">
        <f aca="false">B4/Assumptions!$B$2-1</f>
        <v>-0.944528190959229</v>
      </c>
      <c r="D4" s="4" t="n">
        <f aca="false">Assumptions!$B$24</f>
        <v>0.25</v>
      </c>
      <c r="E4" s="4" t="n">
        <f aca="false">DCF_Bear!$B$43</f>
        <v>65.4012628590695</v>
      </c>
      <c r="F4" s="4" t="n">
        <f aca="false">DCF_Bear!$B$47</f>
        <v>-113.054929005825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548.073241077059</v>
      </c>
      <c r="C5" s="0" t="n">
        <f aca="false">B5/Assumptions!$B$2-1</f>
        <v>-0.535137200104276</v>
      </c>
      <c r="D5" s="4" t="n">
        <f aca="false">Assumptions!$B$38</f>
        <v>0.5</v>
      </c>
      <c r="E5" s="4" t="n">
        <f aca="false">DCF_Base!$B$43</f>
        <v>548.073241077059</v>
      </c>
      <c r="F5" s="4" t="n">
        <f aca="false">DCF_Base!$B$47</f>
        <v>63.0904385678755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1114.86391928208</v>
      </c>
      <c r="C6" s="0" t="n">
        <f aca="false">B6/Assumptions!$B$2-1</f>
        <v>-0.05439871138076</v>
      </c>
      <c r="D6" s="4" t="n">
        <f aca="false">Assumptions!$B$52</f>
        <v>0.25</v>
      </c>
      <c r="E6" s="4" t="n">
        <f aca="false">DCF_Bull!$B$43</f>
        <v>1114.86391928208</v>
      </c>
      <c r="F6" s="4" t="n">
        <f aca="false">DCF_Bull!$B$47</f>
        <v>272.906761852219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569.102916073818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569.102916073818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-1.071681530177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71.5081774955361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548.073241077059</v>
      </c>
      <c r="C15" s="3" t="n">
        <v>6.5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402.920858302548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321.630029569548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246.285331840087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186.32307406303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63.0904385678755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691.867459465614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691.867459465614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691.867459465614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691.867459465614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691.867459465614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616.49608267626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616.49608267626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616.49608267626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616.49608267626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616.49608267626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548.073241077059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548.073241077059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548.073241077059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548.073241077059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548.073241077059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485.884305467488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485.884305467488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485.884305467488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485.884305467488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485.884305467488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413.601540406461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429.294711695204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429.294711695204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429.294711695204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429.294711695204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2026-10-30T22:02:51Z</dcterms:created>
  <dc:creator>openpyxl</dc:creator>
  <dc:description/>
  <dc:language>en-NZ</dc:language>
  <cp:lastModifiedBy/>
  <dcterms:modified xsi:type="dcterms:W3CDTF">2026-10-30T22:02:51Z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