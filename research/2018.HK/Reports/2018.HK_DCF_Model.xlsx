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<sst xmlns="http://schemas.openxmlformats.org/spreadsheetml/2006/main" count="357" uniqueCount="165">
  <si>
    <t xml:space="preserve">Ticker</t>
  </si>
  <si>
    <t xml:space="preserve">2018.HK</t>
  </si>
  <si>
    <t xml:space="preserve">Company</t>
  </si>
  <si>
    <t xml:space="preserve">AAC Technologies Holdings Inc.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</si>
  <si>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</si>
  <si>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</si>
  <si>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</si>
  <si>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</si>
  <si>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regular close (HKEX)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</si>
  <si>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</si>
  <si>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</si>
  <si>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</si>
  <si>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</si>
  <si>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</si>
  <si>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</si>
  <si>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</si>
  <si>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</si>
  <si>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</si>
  <si>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</si>
  <si>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</si>
  <si>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</si>
  <si>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</si>
  <si>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2026-10-17T01:40:19Z</t>
  </si>
  <si>
    <t xml:space="preserve">Drivers file</t>
  </si>
  <si>
    <t xml:space="preserve">2018.HK_Drivers.json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</si>
  <si>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</si>
  <si>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</si>
  <si>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</si>
  <si>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Mid-cycle owner-FCF valuation of a cyclical, customer-concentrated precision-components maker. Year-1 owner FCF is built from components at ~8% of revenue rather than FY2025's 14% reported margin, which included working-capital releases that cannot recur and follows years in which equipment deposits made FCF negative. Risk is charged in the flows and weights, once.
key_risks_to_valuation: Customer concentration: loss of share at the largest smartphone customer; Smartphone unit decline and memory-cost squeeze on handset BOMs (1H 2026 IDC -4.1%/-6.7%); Capex cycle relapse: FY2017-21 capex ran 14-23% of revenue; Automotive acoustics price war compressing PSS margins (1H 2026 GM -3.2ppts); CNY/HKD rate: per-share HKD values move one-for-one with CNYHKD; Geopolitics/tariffs and rare-earth magnet supply</t>
  </si>
  <si>
    <t xml:space="preserve">Data sources</t>
  </si>
  <si>
    <t xml:space="preserve">price: Yahoo Finance chart API at inputs.price_as_of; 52-week range HK$31.20-50.35
financials: 2018.HK_Metrics.csv (core_metrics, FY2017-FY2025 + H1 FY2023-26); H1 FY2026 interim report balance sheet, cash flow and EPS note; FY2025 annual report cash flow statement and lease note
qualitative: H1 FY2026 interim report business review and outlook (segment growth and margins, new-business tracks)
fx: Yahoo Finance CNYHKD=X, 2026-10-16</t>
  </si>
  <si>
    <t xml:space="preserve">Scenario narrative: bear</t>
  </si>
  <si>
    <t xml:space="preserve">Customer concentration bites: the largest customer re-sources or squeezes price as memory costs eat handset BOMs, optics keeps shrinking, auto price war compresses PSS margins, and the group is left a low-growth, capex-heavy supplier at ~16.5% EBITDA margin.</t>
  </si>
  <si>
    <t xml:space="preserve">Scenario narrative: base</t>
  </si>
  <si>
    <t xml:space="preserve">Handset components plateau (optics and casings under ASP/volume pressure) while acoustics/EM drives share gains, automotive acoustics (PSS) and the heat-dissipation ramp carry mid-single-digit group growth; margins hold near the FY2022-25 ~20% EBITDA band, capex stays disciplined at ~8.5% of revenue.</t>
  </si>
  <si>
    <t xml:space="preserve">Scenario narrative: bull</t>
  </si>
  <si>
    <t xml:space="preserve">AAC's materials/precision platform converts into the new tracks management sizes at RMB10bn-scale -- flagship VC and active cooling, data-centre liquid cooling, robotics actuators, AR waveguides, WLG for CPO -- so revenue compounds ~10% and mix pushes EBITDA margin toward 23%.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</si>
  <si>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</si>
  <si>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</si>
  <si>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</si>
  <si>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</si>
  <si>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</si>
  <si>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</si>
  <si>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</si>
  <si>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</si>
  <si>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</si>
  <si>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</si>
  <si>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</si>
  <si>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</si>
  <si>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</si>
  <si>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</si>
  <si>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</si>
  <si>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</si>
  <si>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</si>
  <si>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</si>
  <si>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</si>
  <si>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</si>
  <si>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</si>
  <si>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</si>
  <si>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</si>
  <si>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</si>
  <si>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</si>
  <si>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</si>
  <si>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</si>
  <si>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</si>
  <si>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</si>
  <si>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</si>
  <si>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</si>
  <si>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</si>
  <si>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</si>
  <si>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</si>
  <si>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</si>
  <si>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</si>
  <si>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</si>
  <si>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</si>
  <si>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</si>
  <si>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</si>
  <si>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</si>
  <si>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</si>
  <si>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</si>
  <si>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</si>
  <si>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</si>
  <si>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</si>
  <si>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</si>
  <si>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</si>
  <si>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</si>
  <si>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</si>
  <si>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</si>
  <si>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</si>
  <si>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</si>
  <si>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</si>
  <si>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</si>
  <si>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</si>
  <si>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</si>
  <si>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</si>
  <si>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</si>
  <si>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</si>
  <si>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</si>
  <si>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</si>
  <si>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</si>
  <si>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</si>
  <si>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</si>
  <si>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</si>
  <si>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</si>
  <si>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</si>
  <si>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</si>
  <si>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</si>
  <si>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</si>
  <si>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</si>
  <si>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</si>
  <si>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2018.HK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</si>
  <si>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</si>
  <si>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</si>
  <si>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</si>
  <si>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</si>
  <si>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</si>
  <si>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</si>
  <si>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</si>
  <si>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</si>
  <si>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</si>
  <si>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</si>
  <si>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</si>
  <si>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</si>
  <si>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</si>
  <si>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</si>
  <si>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</si>
  <si>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</si>
  <si>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</si>
  <si>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</si>
  <si>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</si>
  <si>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</si>
  <si>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</si>
  <si>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</si>
  <si>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</si>
  <si>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</si>
  <si>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</si>
  <si>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</si>
  <si>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</si>
  <si>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</si>
  <si>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</si>
  <si>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</si>
  <si>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2018.HK owner-FCF component DCF: base case (millions, CNY)</t>
  </si>
  <si>
    <t xml:space="preserve">2018.HK owner-FCF component DCF: bull case (millions, CNY)</t>
  </si>
  <si>
    <t xml:space="preserve">2018.HK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</si>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</sst>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35.7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21118.566</v>
      </c>
      <c r="C2" s="0" t="n">
        <v>12398.639</v>
      </c>
      <c r="D2" s="0" t="n">
        <v>8719.927</v>
      </c>
      <c r="E2" s="0" t="n">
        <v>41.3</v>
      </c>
      <c r="F2" s="0" t="n">
        <v>6161.008</v>
      </c>
      <c r="G2" s="0" t="n">
        <v>29.2</v>
      </c>
      <c r="H2" s="0" t="n">
        <v>7477.054</v>
      </c>
      <c r="I2" s="0" t="n">
        <v>5324.579</v>
      </c>
      <c r="J2" s="0" t="n">
        <v>25.2</v>
      </c>
      <c r="K2" s="0" t="n">
        <v>4.35</v>
      </c>
      <c r="L2" s="0" t="n">
        <v>5286.997</v>
      </c>
      <c r="M2" s="0" t="n">
        <v>4905.06</v>
      </c>
      <c r="N2" s="0" t="n">
        <v>381.937</v>
      </c>
      <c r="O2" s="0" t="n">
        <v>17550.94</v>
      </c>
      <c r="P2" s="0" t="n">
        <v>30721.946</v>
      </c>
      <c r="Q2" s="0" t="n">
        <v>13171.006</v>
      </c>
      <c r="R2" s="0" t="n">
        <v>6289.914</v>
      </c>
      <c r="S2" s="0" t="n">
        <v>4034.082</v>
      </c>
      <c r="U2" s="0" t="n">
        <v>0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18131.153</v>
      </c>
      <c r="C3" s="0" t="n">
        <v>11388.078</v>
      </c>
      <c r="D3" s="0" t="n">
        <v>6743.075</v>
      </c>
      <c r="E3" s="0" t="n">
        <v>37.2</v>
      </c>
      <c r="F3" s="0" t="n">
        <v>4528.19</v>
      </c>
      <c r="G3" s="0" t="n">
        <v>25</v>
      </c>
      <c r="H3" s="0" t="n">
        <v>6291.817</v>
      </c>
      <c r="I3" s="0" t="n">
        <v>3795.885</v>
      </c>
      <c r="J3" s="0" t="n">
        <v>20.9</v>
      </c>
      <c r="K3" s="0" t="n">
        <v>3.11</v>
      </c>
      <c r="L3" s="0" t="n">
        <v>6789.3</v>
      </c>
      <c r="M3" s="0" t="n">
        <v>4028.115</v>
      </c>
      <c r="N3" s="0" t="n">
        <v>2761.185</v>
      </c>
      <c r="O3" s="0" t="n">
        <v>18934.098</v>
      </c>
      <c r="P3" s="0" t="n">
        <v>29869.166</v>
      </c>
      <c r="Q3" s="0" t="n">
        <v>10935.068</v>
      </c>
      <c r="R3" s="0" t="n">
        <v>5920.361</v>
      </c>
      <c r="S3" s="0" t="n">
        <v>4126.494</v>
      </c>
      <c r="T3" s="0" t="n">
        <v>1221.392</v>
      </c>
      <c r="U3" s="0" t="n">
        <v>0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17883.757</v>
      </c>
      <c r="C4" s="0" t="n">
        <v>12776.765</v>
      </c>
      <c r="D4" s="0" t="n">
        <v>5106.992</v>
      </c>
      <c r="E4" s="0" t="n">
        <v>28.6</v>
      </c>
      <c r="F4" s="0" t="n">
        <v>2800.632</v>
      </c>
      <c r="G4" s="0" t="n">
        <v>15.7</v>
      </c>
      <c r="H4" s="0" t="n">
        <v>4976.938</v>
      </c>
      <c r="I4" s="0" t="n">
        <v>2222.375</v>
      </c>
      <c r="J4" s="0" t="n">
        <v>12.4</v>
      </c>
      <c r="K4" s="0" t="n">
        <v>1.84</v>
      </c>
      <c r="L4" s="0" t="n">
        <v>3843.492</v>
      </c>
      <c r="M4" s="0" t="n">
        <v>2901.269</v>
      </c>
      <c r="N4" s="0" t="n">
        <v>942.223</v>
      </c>
      <c r="O4" s="0" t="n">
        <v>19351.193</v>
      </c>
      <c r="P4" s="0" t="n">
        <v>34207.292</v>
      </c>
      <c r="Q4" s="0" t="n">
        <v>14846.3</v>
      </c>
      <c r="R4" s="0" t="n">
        <v>8411.174</v>
      </c>
      <c r="S4" s="0" t="n">
        <v>5511.974</v>
      </c>
      <c r="T4" s="0" t="n">
        <v>1210.173</v>
      </c>
      <c r="U4" s="0" t="n">
        <v>0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17140.219</v>
      </c>
      <c r="C5" s="0" t="n">
        <v>12912.734</v>
      </c>
      <c r="D5" s="0" t="n">
        <v>4227.485</v>
      </c>
      <c r="E5" s="0" t="n">
        <v>24.7</v>
      </c>
      <c r="F5" s="0" t="n">
        <v>2000.157</v>
      </c>
      <c r="G5" s="0" t="n">
        <v>11.7</v>
      </c>
      <c r="H5" s="0" t="n">
        <v>4477.686</v>
      </c>
      <c r="I5" s="0" t="n">
        <v>1506.707</v>
      </c>
      <c r="J5" s="0" t="n">
        <v>8.8</v>
      </c>
      <c r="K5" s="0" t="n">
        <v>1.25</v>
      </c>
      <c r="L5" s="0" t="n">
        <v>3592.604</v>
      </c>
      <c r="M5" s="0" t="n">
        <v>4251.239</v>
      </c>
      <c r="N5" s="0" t="n">
        <v>-658.635</v>
      </c>
      <c r="O5" s="0" t="n">
        <v>21158.741</v>
      </c>
      <c r="P5" s="0" t="n">
        <v>38911.308</v>
      </c>
      <c r="Q5" s="0" t="n">
        <v>17090.473</v>
      </c>
      <c r="R5" s="0" t="n">
        <v>8403.244</v>
      </c>
      <c r="S5" s="0" t="n">
        <v>7540.33</v>
      </c>
      <c r="T5" s="0" t="n">
        <v>1208.5</v>
      </c>
      <c r="U5" s="0" t="n">
        <v>0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17666.967</v>
      </c>
      <c r="C6" s="0" t="n">
        <v>13302.032</v>
      </c>
      <c r="D6" s="0" t="n">
        <v>4364.935</v>
      </c>
      <c r="E6" s="0" t="n">
        <v>24.7</v>
      </c>
      <c r="F6" s="0" t="n">
        <v>1828.341</v>
      </c>
      <c r="G6" s="0" t="n">
        <v>10.3</v>
      </c>
      <c r="H6" s="0" t="n">
        <v>4530.502</v>
      </c>
      <c r="I6" s="0" t="n">
        <v>1316.279</v>
      </c>
      <c r="J6" s="0" t="n">
        <v>7.5</v>
      </c>
      <c r="K6" s="0" t="n">
        <v>1.09</v>
      </c>
      <c r="L6" s="0" t="n">
        <v>2196.073</v>
      </c>
      <c r="M6" s="0" t="n">
        <v>3404.157</v>
      </c>
      <c r="N6" s="0" t="n">
        <v>-1208.084</v>
      </c>
      <c r="O6" s="0" t="n">
        <v>21810.666</v>
      </c>
      <c r="P6" s="0" t="n">
        <v>42022.068</v>
      </c>
      <c r="Q6" s="0" t="n">
        <v>19520.068</v>
      </c>
      <c r="R6" s="0" t="n">
        <v>9805.571</v>
      </c>
      <c r="S6" s="0" t="n">
        <v>6051.372</v>
      </c>
      <c r="T6" s="0" t="n">
        <v>1206.381</v>
      </c>
      <c r="U6" s="0" t="n">
        <v>50.203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20625.092</v>
      </c>
      <c r="C7" s="0" t="n">
        <v>16850.062</v>
      </c>
      <c r="D7" s="0" t="n">
        <v>3775.03</v>
      </c>
      <c r="E7" s="0" t="n">
        <v>18.3</v>
      </c>
      <c r="F7" s="0" t="n">
        <v>1263.763</v>
      </c>
      <c r="G7" s="0" t="n">
        <v>6.1</v>
      </c>
      <c r="H7" s="0" t="n">
        <v>4250.762</v>
      </c>
      <c r="I7" s="0" t="n">
        <v>821.305</v>
      </c>
      <c r="J7" s="0" t="n">
        <v>4</v>
      </c>
      <c r="K7" s="0" t="n">
        <v>0.66</v>
      </c>
      <c r="L7" s="0" t="n">
        <v>4372.009</v>
      </c>
      <c r="M7" s="0" t="n">
        <v>1915.12</v>
      </c>
      <c r="N7" s="0" t="n">
        <v>2456.889</v>
      </c>
      <c r="O7" s="0" t="n">
        <v>21656.245</v>
      </c>
      <c r="P7" s="0" t="n">
        <v>40343.258</v>
      </c>
      <c r="Q7" s="0" t="n">
        <v>18147.643</v>
      </c>
      <c r="R7" s="0" t="n">
        <v>9647.648</v>
      </c>
      <c r="S7" s="0" t="n">
        <v>7154.99</v>
      </c>
      <c r="T7" s="0" t="n">
        <v>1201.305</v>
      </c>
      <c r="U7" s="0" t="n">
        <v>122.479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20419.072</v>
      </c>
      <c r="C8" s="0" t="n">
        <v>16967.406</v>
      </c>
      <c r="D8" s="0" t="n">
        <v>3451.666</v>
      </c>
      <c r="E8" s="0" t="n">
        <v>16.9</v>
      </c>
      <c r="F8" s="0" t="n">
        <v>1213.685</v>
      </c>
      <c r="G8" s="0" t="n">
        <v>5.9</v>
      </c>
      <c r="H8" s="0" t="n">
        <v>4182.502</v>
      </c>
      <c r="I8" s="0" t="n">
        <v>740.37</v>
      </c>
      <c r="J8" s="0" t="n">
        <v>3.6</v>
      </c>
      <c r="K8" s="0" t="n">
        <v>0.6</v>
      </c>
      <c r="L8" s="0" t="n">
        <v>4632.535</v>
      </c>
      <c r="M8" s="0" t="n">
        <v>1539.873</v>
      </c>
      <c r="N8" s="0" t="n">
        <v>3092.662</v>
      </c>
      <c r="O8" s="0" t="n">
        <v>21881.452</v>
      </c>
      <c r="P8" s="0" t="n">
        <v>38910.783</v>
      </c>
      <c r="Q8" s="0" t="n">
        <v>16539.514</v>
      </c>
      <c r="R8" s="0" t="n">
        <v>8809.58</v>
      </c>
      <c r="S8" s="0" t="n">
        <v>6824.525</v>
      </c>
      <c r="T8" s="0" t="n">
        <v>1182.981</v>
      </c>
      <c r="U8" s="0" t="n">
        <v>12.531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27328.304</v>
      </c>
      <c r="C9" s="0" t="n">
        <v>21286.405</v>
      </c>
      <c r="D9" s="0" t="n">
        <v>6041.899</v>
      </c>
      <c r="E9" s="0" t="n">
        <v>22.1</v>
      </c>
      <c r="F9" s="0" t="n">
        <v>2407.656</v>
      </c>
      <c r="G9" s="0" t="n">
        <v>8.8</v>
      </c>
      <c r="H9" s="0" t="n">
        <v>5553.38</v>
      </c>
      <c r="I9" s="0" t="n">
        <v>1797.23</v>
      </c>
      <c r="J9" s="0" t="n">
        <v>6.6</v>
      </c>
      <c r="K9" s="0" t="n">
        <v>1.53</v>
      </c>
      <c r="L9" s="0" t="n">
        <v>5202.752</v>
      </c>
      <c r="M9" s="0" t="n">
        <v>2210.038</v>
      </c>
      <c r="N9" s="0" t="n">
        <v>2992.714</v>
      </c>
      <c r="O9" s="0" t="n">
        <v>22754.472</v>
      </c>
      <c r="P9" s="0" t="n">
        <v>46699.93</v>
      </c>
      <c r="Q9" s="0" t="n">
        <v>23583.051</v>
      </c>
      <c r="R9" s="0" t="n">
        <v>9331.613</v>
      </c>
      <c r="S9" s="0" t="n">
        <v>7538.204</v>
      </c>
      <c r="T9" s="0" t="n">
        <v>1175.893</v>
      </c>
      <c r="U9" s="0" t="n">
        <v>-5.061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31816.988</v>
      </c>
      <c r="C10" s="0" t="n">
        <v>24801.248</v>
      </c>
      <c r="D10" s="0" t="n">
        <v>7015.74</v>
      </c>
      <c r="E10" s="0" t="n">
        <v>22.1</v>
      </c>
      <c r="F10" s="0" t="n">
        <v>3281.914</v>
      </c>
      <c r="G10" s="0" t="n">
        <v>10.3</v>
      </c>
      <c r="H10" s="0" t="n">
        <v>6324.143</v>
      </c>
      <c r="I10" s="0" t="n">
        <v>2511.978</v>
      </c>
      <c r="J10" s="0" t="n">
        <v>7.9</v>
      </c>
      <c r="K10" s="0" t="n">
        <v>2.18</v>
      </c>
      <c r="L10" s="0" t="n">
        <v>7183.014</v>
      </c>
      <c r="M10" s="0" t="n">
        <v>2681.921</v>
      </c>
      <c r="N10" s="0" t="n">
        <v>4501.093</v>
      </c>
      <c r="O10" s="0" t="n">
        <v>24356.832</v>
      </c>
      <c r="P10" s="0" t="n">
        <v>48978.494</v>
      </c>
      <c r="Q10" s="0" t="n">
        <v>24035.127</v>
      </c>
      <c r="R10" s="0" t="n">
        <v>9616.838</v>
      </c>
      <c r="S10" s="0" t="n">
        <v>8612.298</v>
      </c>
      <c r="T10" s="0" t="n">
        <v>1154.908</v>
      </c>
      <c r="U10" s="0" t="n">
        <v>16.422</v>
      </c>
      <c r="AA10" s="0" t="s">
        <v>18</v>
      </c>
      <c r="AB1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35.7</v>
      </c>
    </row>
    <row r="3" customFormat="false" ht="15" hidden="false" customHeight="false" outlineLevel="0" collapsed="false">
      <c r="A3" s="0" t="s">
        <v>76</v>
      </c>
      <c r="B3" s="3" t="n">
        <v>1143.491</v>
      </c>
    </row>
    <row r="4" customFormat="false" ht="15" hidden="false" customHeight="false" outlineLevel="0" collapsed="false">
      <c r="A4" s="0" t="s">
        <v>77</v>
      </c>
      <c r="B4" s="3" t="n">
        <v>2241.6</v>
      </c>
    </row>
    <row r="5" customFormat="false" ht="15" hidden="false" customHeight="false" outlineLevel="0" collapsed="false">
      <c r="A5" s="0" t="s">
        <v>78</v>
      </c>
      <c r="B5" s="3" t="n">
        <v>-90.9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31816.988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1.1724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2</v>
      </c>
      <c r="D13" s="3" t="n">
        <v>-3</v>
      </c>
      <c r="E13" s="3" t="n">
        <v>1</v>
      </c>
      <c r="F13" s="3" t="n">
        <v>3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97</v>
      </c>
      <c r="C14" s="3" t="n">
        <v>18.5</v>
      </c>
      <c r="D14" s="3" t="n">
        <v>17</v>
      </c>
      <c r="E14" s="3" t="n">
        <v>16.5</v>
      </c>
      <c r="F14" s="3" t="n">
        <v>16.5</v>
      </c>
      <c r="G14" s="3" t="n">
        <v>16.5</v>
      </c>
      <c r="H14" s="3" t="n">
        <v>16.5</v>
      </c>
      <c r="I14" s="3" t="n">
        <v>16.5</v>
      </c>
      <c r="J14" s="3" t="n">
        <v>16.5</v>
      </c>
      <c r="K14" s="3" t="n">
        <v>16.5</v>
      </c>
      <c r="L14" s="3" t="n">
        <v>16.5</v>
      </c>
    </row>
    <row r="15" customFormat="false" ht="15" hidden="false" customHeight="false" outlineLevel="0" collapsed="false">
      <c r="A15" s="0" t="s">
        <v>98</v>
      </c>
      <c r="C15" s="3" t="n">
        <v>0.05</v>
      </c>
      <c r="D15" s="3" t="n">
        <v>0.05</v>
      </c>
      <c r="E15" s="3" t="n">
        <v>0.05</v>
      </c>
      <c r="F15" s="3" t="n">
        <v>0.05</v>
      </c>
      <c r="G15" s="3" t="n">
        <v>0.05</v>
      </c>
      <c r="H15" s="3" t="n">
        <v>0.05</v>
      </c>
      <c r="I15" s="3" t="n">
        <v>0.05</v>
      </c>
      <c r="J15" s="3" t="n">
        <v>0.05</v>
      </c>
      <c r="K15" s="3" t="n">
        <v>0.05</v>
      </c>
      <c r="L15" s="3" t="n">
        <v>0.05</v>
      </c>
    </row>
    <row r="16" customFormat="false" ht="15" hidden="false" customHeight="false" outlineLevel="0" collapsed="false">
      <c r="A16" s="0" t="s">
        <v>99</v>
      </c>
      <c r="C16" s="3" t="n">
        <v>0.8</v>
      </c>
      <c r="D16" s="3" t="n">
        <v>0.8</v>
      </c>
      <c r="E16" s="3" t="n">
        <v>0.8</v>
      </c>
      <c r="F16" s="3" t="n">
        <v>0.8</v>
      </c>
      <c r="G16" s="3" t="n">
        <v>0.8</v>
      </c>
      <c r="H16" s="3" t="n">
        <v>0.8</v>
      </c>
      <c r="I16" s="3" t="n">
        <v>0.8</v>
      </c>
      <c r="J16" s="3" t="n">
        <v>0.8</v>
      </c>
      <c r="K16" s="3" t="n">
        <v>0.8</v>
      </c>
      <c r="L16" s="3" t="n">
        <v>0.8</v>
      </c>
    </row>
    <row r="17" customFormat="false" ht="15" hidden="false" customHeight="false" outlineLevel="0" collapsed="false">
      <c r="A17" s="0" t="s">
        <v>100</v>
      </c>
      <c r="C17" s="3" t="n">
        <v>9.3</v>
      </c>
      <c r="D17" s="3" t="n">
        <v>9.4</v>
      </c>
      <c r="E17" s="3" t="n">
        <v>9.3</v>
      </c>
      <c r="F17" s="3" t="n">
        <v>9.2</v>
      </c>
      <c r="G17" s="3" t="n">
        <v>9</v>
      </c>
      <c r="H17" s="3" t="n">
        <v>8.9</v>
      </c>
      <c r="I17" s="3" t="n">
        <v>8.8</v>
      </c>
      <c r="J17" s="3" t="n">
        <v>8.7</v>
      </c>
      <c r="K17" s="3" t="n">
        <v>8.6</v>
      </c>
      <c r="L17" s="3" t="n">
        <v>8.6</v>
      </c>
    </row>
    <row r="18" customFormat="false" ht="15" hidden="false" customHeight="false" outlineLevel="0" collapsed="false">
      <c r="A18" s="0" t="s">
        <v>101</v>
      </c>
      <c r="C18" s="3" t="n">
        <v>8.8</v>
      </c>
      <c r="D18" s="3" t="n">
        <v>8.8</v>
      </c>
      <c r="E18" s="3" t="n">
        <v>8.8</v>
      </c>
      <c r="F18" s="3" t="n">
        <v>8.8</v>
      </c>
      <c r="G18" s="3" t="n">
        <v>8.8</v>
      </c>
      <c r="H18" s="3" t="n">
        <v>8.8</v>
      </c>
      <c r="I18" s="3" t="n">
        <v>8.8</v>
      </c>
      <c r="J18" s="3" t="n">
        <v>8.8</v>
      </c>
      <c r="K18" s="3" t="n">
        <v>8.8</v>
      </c>
      <c r="L18" s="3" t="n">
        <v>8.8</v>
      </c>
    </row>
    <row r="19" customFormat="false" ht="15" hidden="false" customHeight="false" outlineLevel="0" collapsed="false">
      <c r="A19" s="0" t="s">
        <v>102</v>
      </c>
      <c r="C19" s="3" t="n">
        <v>15</v>
      </c>
      <c r="D19" s="3" t="n">
        <v>15</v>
      </c>
      <c r="E19" s="3" t="n">
        <v>15</v>
      </c>
      <c r="F19" s="3" t="n">
        <v>15</v>
      </c>
      <c r="G19" s="3" t="n">
        <v>15</v>
      </c>
      <c r="H19" s="3" t="n">
        <v>15</v>
      </c>
      <c r="I19" s="3" t="n">
        <v>15</v>
      </c>
      <c r="J19" s="3" t="n">
        <v>15</v>
      </c>
      <c r="K19" s="3" t="n">
        <v>15</v>
      </c>
      <c r="L19" s="3" t="n">
        <v>15</v>
      </c>
    </row>
    <row r="20" customFormat="false" ht="15" hidden="false" customHeight="false" outlineLevel="0" collapsed="false">
      <c r="A20" s="0" t="s">
        <v>103</v>
      </c>
      <c r="B20" s="3" t="n">
        <v>9.5</v>
      </c>
    </row>
    <row r="21" customFormat="false" ht="15" hidden="false" customHeight="false" outlineLevel="0" collapsed="false">
      <c r="A21" s="0" t="s">
        <v>104</v>
      </c>
      <c r="B21" s="3" t="n">
        <v>1.5</v>
      </c>
    </row>
    <row r="22" customFormat="false" ht="15" hidden="false" customHeight="false" outlineLevel="0" collapsed="false">
      <c r="A22" s="0" t="s">
        <v>105</v>
      </c>
      <c r="B22" s="3" t="n">
        <v>12</v>
      </c>
    </row>
    <row r="23" customFormat="false" ht="15" hidden="false" customHeight="false" outlineLevel="0" collapsed="false">
      <c r="A23" s="0" t="s">
        <v>106</v>
      </c>
      <c r="B23" s="3" t="n">
        <v>-8</v>
      </c>
    </row>
    <row r="24" customFormat="false" ht="15" hidden="false" customHeight="false" outlineLevel="0" collapsed="false">
      <c r="A24" s="0" t="s">
        <v>107</v>
      </c>
      <c r="B24" s="3" t="n">
        <v>0.25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8</v>
      </c>
      <c r="D27" s="3" t="n">
        <v>7</v>
      </c>
      <c r="E27" s="3" t="n">
        <v>6</v>
      </c>
      <c r="F27" s="3" t="n">
        <v>5</v>
      </c>
      <c r="G27" s="3" t="n">
        <v>5</v>
      </c>
      <c r="H27" s="3" t="n">
        <v>4</v>
      </c>
      <c r="I27" s="3" t="n">
        <v>4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97</v>
      </c>
      <c r="C28" s="3" t="n">
        <v>19.5</v>
      </c>
      <c r="D28" s="3" t="n">
        <v>19.8</v>
      </c>
      <c r="E28" s="3" t="n">
        <v>20</v>
      </c>
      <c r="F28" s="3" t="n">
        <v>20.2</v>
      </c>
      <c r="G28" s="3" t="n">
        <v>20.3</v>
      </c>
      <c r="H28" s="3" t="n">
        <v>20.4</v>
      </c>
      <c r="I28" s="3" t="n">
        <v>20.5</v>
      </c>
      <c r="J28" s="3" t="n">
        <v>20.5</v>
      </c>
      <c r="K28" s="3" t="n">
        <v>20.5</v>
      </c>
      <c r="L28" s="3" t="n">
        <v>20.5</v>
      </c>
    </row>
    <row r="29" customFormat="false" ht="15" hidden="false" customHeight="false" outlineLevel="0" collapsed="false">
      <c r="A29" s="0" t="s">
        <v>98</v>
      </c>
      <c r="C29" s="3" t="n">
        <v>0.05</v>
      </c>
      <c r="D29" s="3" t="n">
        <v>0.05</v>
      </c>
      <c r="E29" s="3" t="n">
        <v>0.05</v>
      </c>
      <c r="F29" s="3" t="n">
        <v>0.05</v>
      </c>
      <c r="G29" s="3" t="n">
        <v>0.05</v>
      </c>
      <c r="H29" s="3" t="n">
        <v>0.05</v>
      </c>
      <c r="I29" s="3" t="n">
        <v>0.05</v>
      </c>
      <c r="J29" s="3" t="n">
        <v>0.05</v>
      </c>
      <c r="K29" s="3" t="n">
        <v>0.05</v>
      </c>
      <c r="L29" s="3" t="n">
        <v>0.05</v>
      </c>
    </row>
    <row r="30" customFormat="false" ht="15" hidden="false" customHeight="false" outlineLevel="0" collapsed="false">
      <c r="A30" s="0" t="s">
        <v>99</v>
      </c>
      <c r="C30" s="3" t="n">
        <v>0.8</v>
      </c>
      <c r="D30" s="3" t="n">
        <v>0.8</v>
      </c>
      <c r="E30" s="3" t="n">
        <v>0.8</v>
      </c>
      <c r="F30" s="3" t="n">
        <v>0.8</v>
      </c>
      <c r="G30" s="3" t="n">
        <v>0.8</v>
      </c>
      <c r="H30" s="3" t="n">
        <v>0.8</v>
      </c>
      <c r="I30" s="3" t="n">
        <v>0.8</v>
      </c>
      <c r="J30" s="3" t="n">
        <v>0.8</v>
      </c>
      <c r="K30" s="3" t="n">
        <v>0.8</v>
      </c>
      <c r="L30" s="3" t="n">
        <v>0.8</v>
      </c>
    </row>
    <row r="31" customFormat="false" ht="15" hidden="false" customHeight="false" outlineLevel="0" collapsed="false">
      <c r="A31" s="0" t="s">
        <v>100</v>
      </c>
      <c r="C31" s="3" t="n">
        <v>9</v>
      </c>
      <c r="D31" s="3" t="n">
        <v>8.9</v>
      </c>
      <c r="E31" s="3" t="n">
        <v>8.8</v>
      </c>
      <c r="F31" s="3" t="n">
        <v>8.7</v>
      </c>
      <c r="G31" s="3" t="n">
        <v>8.6</v>
      </c>
      <c r="H31" s="3" t="n">
        <v>8.5</v>
      </c>
      <c r="I31" s="3" t="n">
        <v>8.4</v>
      </c>
      <c r="J31" s="3" t="n">
        <v>8.3</v>
      </c>
      <c r="K31" s="3" t="n">
        <v>8.2</v>
      </c>
      <c r="L31" s="3" t="n">
        <v>8.2</v>
      </c>
    </row>
    <row r="32" customFormat="false" ht="15" hidden="false" customHeight="false" outlineLevel="0" collapsed="false">
      <c r="A32" s="0" t="s">
        <v>101</v>
      </c>
      <c r="C32" s="3" t="n">
        <v>8.8</v>
      </c>
      <c r="D32" s="3" t="n">
        <v>8.7</v>
      </c>
      <c r="E32" s="3" t="n">
        <v>8.6</v>
      </c>
      <c r="F32" s="3" t="n">
        <v>8.6</v>
      </c>
      <c r="G32" s="3" t="n">
        <v>8.5</v>
      </c>
      <c r="H32" s="3" t="n">
        <v>8.5</v>
      </c>
      <c r="I32" s="3" t="n">
        <v>8.5</v>
      </c>
      <c r="J32" s="3" t="n">
        <v>8.4</v>
      </c>
      <c r="K32" s="3" t="n">
        <v>8.4</v>
      </c>
      <c r="L32" s="3" t="n">
        <v>8.4</v>
      </c>
    </row>
    <row r="33" customFormat="false" ht="15" hidden="false" customHeight="false" outlineLevel="0" collapsed="false">
      <c r="A33" s="0" t="s">
        <v>102</v>
      </c>
      <c r="C33" s="3" t="n">
        <v>15</v>
      </c>
      <c r="D33" s="3" t="n">
        <v>15</v>
      </c>
      <c r="E33" s="3" t="n">
        <v>15.5</v>
      </c>
      <c r="F33" s="3" t="n">
        <v>16</v>
      </c>
      <c r="G33" s="3" t="n">
        <v>16</v>
      </c>
      <c r="H33" s="3" t="n">
        <v>16.5</v>
      </c>
      <c r="I33" s="3" t="n">
        <v>17</v>
      </c>
      <c r="J33" s="3" t="n">
        <v>17</v>
      </c>
      <c r="K33" s="3" t="n">
        <v>17</v>
      </c>
      <c r="L33" s="3" t="n">
        <v>17</v>
      </c>
    </row>
    <row r="34" customFormat="false" ht="15" hidden="false" customHeight="false" outlineLevel="0" collapsed="false">
      <c r="A34" s="0" t="s">
        <v>103</v>
      </c>
      <c r="B34" s="3" t="n">
        <v>9.5</v>
      </c>
    </row>
    <row r="35" customFormat="false" ht="15" hidden="false" customHeight="false" outlineLevel="0" collapsed="false">
      <c r="A35" s="0" t="s">
        <v>104</v>
      </c>
      <c r="B35" s="3" t="n">
        <v>2.5</v>
      </c>
    </row>
    <row r="36" customFormat="false" ht="15" hidden="false" customHeight="false" outlineLevel="0" collapsed="false">
      <c r="A36" s="0" t="s">
        <v>105</v>
      </c>
      <c r="B36" s="3" t="n">
        <v>12</v>
      </c>
    </row>
    <row r="37" customFormat="false" ht="15" hidden="false" customHeight="false" outlineLevel="0" collapsed="false">
      <c r="A37" s="0" t="s">
        <v>106</v>
      </c>
      <c r="B37" s="3" t="n">
        <v>-8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12</v>
      </c>
      <c r="D41" s="3" t="n">
        <v>12</v>
      </c>
      <c r="E41" s="3" t="n">
        <v>11</v>
      </c>
      <c r="F41" s="3" t="n">
        <v>10</v>
      </c>
      <c r="G41" s="3" t="n">
        <v>9</v>
      </c>
      <c r="H41" s="3" t="n">
        <v>8</v>
      </c>
      <c r="I41" s="3" t="n">
        <v>7</v>
      </c>
      <c r="J41" s="3" t="n">
        <v>6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97</v>
      </c>
      <c r="C42" s="3" t="n">
        <v>20</v>
      </c>
      <c r="D42" s="3" t="n">
        <v>20.8</v>
      </c>
      <c r="E42" s="3" t="n">
        <v>21.5</v>
      </c>
      <c r="F42" s="3" t="n">
        <v>22</v>
      </c>
      <c r="G42" s="3" t="n">
        <v>22.5</v>
      </c>
      <c r="H42" s="3" t="n">
        <v>22.8</v>
      </c>
      <c r="I42" s="3" t="n">
        <v>23</v>
      </c>
      <c r="J42" s="3" t="n">
        <v>23</v>
      </c>
      <c r="K42" s="3" t="n">
        <v>23</v>
      </c>
      <c r="L42" s="3" t="n">
        <v>23</v>
      </c>
    </row>
    <row r="43" customFormat="false" ht="15" hidden="false" customHeight="false" outlineLevel="0" collapsed="false">
      <c r="A43" s="0" t="s">
        <v>98</v>
      </c>
      <c r="C43" s="3" t="n">
        <v>0.05</v>
      </c>
      <c r="D43" s="3" t="n">
        <v>0.05</v>
      </c>
      <c r="E43" s="3" t="n">
        <v>0.05</v>
      </c>
      <c r="F43" s="3" t="n">
        <v>0.05</v>
      </c>
      <c r="G43" s="3" t="n">
        <v>0.05</v>
      </c>
      <c r="H43" s="3" t="n">
        <v>0.05</v>
      </c>
      <c r="I43" s="3" t="n">
        <v>0.05</v>
      </c>
      <c r="J43" s="3" t="n">
        <v>0.05</v>
      </c>
      <c r="K43" s="3" t="n">
        <v>0.05</v>
      </c>
      <c r="L43" s="3" t="n">
        <v>0.05</v>
      </c>
    </row>
    <row r="44" customFormat="false" ht="15" hidden="false" customHeight="false" outlineLevel="0" collapsed="false">
      <c r="A44" s="0" t="s">
        <v>99</v>
      </c>
      <c r="C44" s="3" t="n">
        <v>0.8</v>
      </c>
      <c r="D44" s="3" t="n">
        <v>0.8</v>
      </c>
      <c r="E44" s="3" t="n">
        <v>0.8</v>
      </c>
      <c r="F44" s="3" t="n">
        <v>0.8</v>
      </c>
      <c r="G44" s="3" t="n">
        <v>0.8</v>
      </c>
      <c r="H44" s="3" t="n">
        <v>0.8</v>
      </c>
      <c r="I44" s="3" t="n">
        <v>0.8</v>
      </c>
      <c r="J44" s="3" t="n">
        <v>0.8</v>
      </c>
      <c r="K44" s="3" t="n">
        <v>0.8</v>
      </c>
      <c r="L44" s="3" t="n">
        <v>0.8</v>
      </c>
    </row>
    <row r="45" customFormat="false" ht="15" hidden="false" customHeight="false" outlineLevel="0" collapsed="false">
      <c r="A45" s="0" t="s">
        <v>100</v>
      </c>
      <c r="C45" s="3" t="n">
        <v>9</v>
      </c>
      <c r="D45" s="3" t="n">
        <v>8.9</v>
      </c>
      <c r="E45" s="3" t="n">
        <v>8.8</v>
      </c>
      <c r="F45" s="3" t="n">
        <v>8.7</v>
      </c>
      <c r="G45" s="3" t="n">
        <v>8.6</v>
      </c>
      <c r="H45" s="3" t="n">
        <v>8.5</v>
      </c>
      <c r="I45" s="3" t="n">
        <v>8.4</v>
      </c>
      <c r="J45" s="3" t="n">
        <v>8.3</v>
      </c>
      <c r="K45" s="3" t="n">
        <v>8.2</v>
      </c>
      <c r="L45" s="3" t="n">
        <v>8.2</v>
      </c>
    </row>
    <row r="46" customFormat="false" ht="15" hidden="false" customHeight="false" outlineLevel="0" collapsed="false">
      <c r="A46" s="0" t="s">
        <v>101</v>
      </c>
      <c r="C46" s="3" t="n">
        <v>9.2</v>
      </c>
      <c r="D46" s="3" t="n">
        <v>9.2</v>
      </c>
      <c r="E46" s="3" t="n">
        <v>9</v>
      </c>
      <c r="F46" s="3" t="n">
        <v>9</v>
      </c>
      <c r="G46" s="3" t="n">
        <v>8.8</v>
      </c>
      <c r="H46" s="3" t="n">
        <v>8.8</v>
      </c>
      <c r="I46" s="3" t="n">
        <v>8.6</v>
      </c>
      <c r="J46" s="3" t="n">
        <v>8.6</v>
      </c>
      <c r="K46" s="3" t="n">
        <v>8.5</v>
      </c>
      <c r="L46" s="3" t="n">
        <v>8.5</v>
      </c>
    </row>
    <row r="47" customFormat="false" ht="15" hidden="false" customHeight="false" outlineLevel="0" collapsed="false">
      <c r="A47" s="0" t="s">
        <v>102</v>
      </c>
      <c r="C47" s="3" t="n">
        <v>15</v>
      </c>
      <c r="D47" s="3" t="n">
        <v>15</v>
      </c>
      <c r="E47" s="3" t="n">
        <v>15.5</v>
      </c>
      <c r="F47" s="3" t="n">
        <v>16</v>
      </c>
      <c r="G47" s="3" t="n">
        <v>16</v>
      </c>
      <c r="H47" s="3" t="n">
        <v>16.5</v>
      </c>
      <c r="I47" s="3" t="n">
        <v>17</v>
      </c>
      <c r="J47" s="3" t="n">
        <v>17</v>
      </c>
      <c r="K47" s="3" t="n">
        <v>17</v>
      </c>
      <c r="L47" s="3" t="n">
        <v>17</v>
      </c>
    </row>
    <row r="48" customFormat="false" ht="15" hidden="false" customHeight="false" outlineLevel="0" collapsed="false">
      <c r="A48" s="0" t="s">
        <v>103</v>
      </c>
      <c r="B48" s="3" t="n">
        <v>9.5</v>
      </c>
    </row>
    <row r="49" customFormat="false" ht="15" hidden="false" customHeight="false" outlineLevel="0" collapsed="false">
      <c r="A49" s="0" t="s">
        <v>104</v>
      </c>
      <c r="B49" s="3" t="n">
        <v>3</v>
      </c>
    </row>
    <row r="50" customFormat="false" ht="15" hidden="false" customHeight="false" outlineLevel="0" collapsed="false">
      <c r="A50" s="0" t="s">
        <v>105</v>
      </c>
      <c r="B50" s="3" t="n">
        <v>12</v>
      </c>
    </row>
    <row r="51" customFormat="false" ht="15" hidden="false" customHeight="false" outlineLevel="0" collapsed="false">
      <c r="A51" s="0" t="s">
        <v>106</v>
      </c>
      <c r="B51" s="3" t="n">
        <v>-8</v>
      </c>
    </row>
    <row r="52" customFormat="false" ht="15" hidden="false" customHeight="false" outlineLevel="0" collapsed="false">
      <c r="A52" s="0" t="s">
        <v>107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2</v>
      </c>
      <c r="D5" s="4" t="n">
        <f aca="false">Assumptions!D13</f>
        <v>-3</v>
      </c>
      <c r="E5" s="4" t="n">
        <f aca="false">Assumptions!E13</f>
        <v>1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31816.988</v>
      </c>
      <c r="C6" s="0" t="n">
        <f aca="false">B6*(1+C5/100)</f>
        <v>32453.32776</v>
      </c>
      <c r="D6" s="0" t="n">
        <f aca="false">C6*(1+D5/100)</f>
        <v>31479.7279272</v>
      </c>
      <c r="E6" s="0" t="n">
        <f aca="false">D6*(1+E5/100)</f>
        <v>31794.525206472</v>
      </c>
      <c r="F6" s="0" t="n">
        <f aca="false">E6*(1+F5/100)</f>
        <v>32748.3609626662</v>
      </c>
      <c r="G6" s="0" t="n">
        <f aca="false">F6*(1+G5/100)</f>
        <v>33730.8117915461</v>
      </c>
      <c r="H6" s="0" t="n">
        <f aca="false">G6*(1+H5/100)</f>
        <v>34742.7361452925</v>
      </c>
      <c r="I6" s="0" t="n">
        <f aca="false">H6*(1+I5/100)</f>
        <v>35611.3045489248</v>
      </c>
      <c r="J6" s="0" t="n">
        <f aca="false">I6*(1+J5/100)</f>
        <v>36501.587162648</v>
      </c>
      <c r="K6" s="0" t="n">
        <f aca="false">J6*(1+K5/100)</f>
        <v>37231.6189059009</v>
      </c>
      <c r="L6" s="0" t="n">
        <f aca="false">K6*(1+L5/100)</f>
        <v>37976.2512840189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18.5</v>
      </c>
      <c r="D7" s="4" t="n">
        <f aca="false">Assumptions!D14</f>
        <v>17</v>
      </c>
      <c r="E7" s="4" t="n">
        <f aca="false">Assumptions!E14</f>
        <v>16.5</v>
      </c>
      <c r="F7" s="4" t="n">
        <f aca="false">Assumptions!F14</f>
        <v>16.5</v>
      </c>
      <c r="G7" s="4" t="n">
        <f aca="false">Assumptions!G14</f>
        <v>16.5</v>
      </c>
      <c r="H7" s="4" t="n">
        <f aca="false">Assumptions!H14</f>
        <v>16.5</v>
      </c>
      <c r="I7" s="4" t="n">
        <f aca="false">Assumptions!I14</f>
        <v>16.5</v>
      </c>
      <c r="J7" s="4" t="n">
        <f aca="false">Assumptions!J14</f>
        <v>16.5</v>
      </c>
      <c r="K7" s="4" t="n">
        <f aca="false">Assumptions!K14</f>
        <v>16.5</v>
      </c>
      <c r="L7" s="4" t="n">
        <f aca="false">Assumptions!L14</f>
        <v>16.5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6003.8656356</v>
      </c>
      <c r="D8" s="0" t="n">
        <f aca="false">D6*D7/100</f>
        <v>5351.553747624</v>
      </c>
      <c r="E8" s="0" t="n">
        <f aca="false">E6*E7/100</f>
        <v>5246.09665906788</v>
      </c>
      <c r="F8" s="0" t="n">
        <f aca="false">F6*F7/100</f>
        <v>5403.47955883992</v>
      </c>
      <c r="G8" s="0" t="n">
        <f aca="false">G6*G7/100</f>
        <v>5565.58394560511</v>
      </c>
      <c r="H8" s="0" t="n">
        <f aca="false">H6*H7/100</f>
        <v>5732.55146397327</v>
      </c>
      <c r="I8" s="0" t="n">
        <f aca="false">I6*I7/100</f>
        <v>5875.8652505726</v>
      </c>
      <c r="J8" s="0" t="n">
        <f aca="false">J6*J7/100</f>
        <v>6022.76188183691</v>
      </c>
      <c r="K8" s="0" t="n">
        <f aca="false">K6*K7/100</f>
        <v>6143.21711947365</v>
      </c>
      <c r="L8" s="0" t="n">
        <f aca="false">L6*L7/100</f>
        <v>6266.08146186312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0.05</v>
      </c>
      <c r="D9" s="4" t="n">
        <f aca="false">Assumptions!D15</f>
        <v>0.05</v>
      </c>
      <c r="E9" s="4" t="n">
        <f aca="false">Assumptions!E15</f>
        <v>0.05</v>
      </c>
      <c r="F9" s="4" t="n">
        <f aca="false">Assumptions!F15</f>
        <v>0.05</v>
      </c>
      <c r="G9" s="4" t="n">
        <f aca="false">Assumptions!G15</f>
        <v>0.05</v>
      </c>
      <c r="H9" s="4" t="n">
        <f aca="false">Assumptions!H15</f>
        <v>0.05</v>
      </c>
      <c r="I9" s="4" t="n">
        <f aca="false">Assumptions!I15</f>
        <v>0.05</v>
      </c>
      <c r="J9" s="4" t="n">
        <f aca="false">Assumptions!J15</f>
        <v>0.05</v>
      </c>
      <c r="K9" s="4" t="n">
        <f aca="false">Assumptions!K15</f>
        <v>0.05</v>
      </c>
      <c r="L9" s="4" t="n">
        <f aca="false">Assumptions!L15</f>
        <v>0.05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-16.22666388</v>
      </c>
      <c r="D10" s="0" t="n">
        <f aca="false">-D6*D9/100</f>
        <v>-15.7398639636</v>
      </c>
      <c r="E10" s="0" t="n">
        <f aca="false">-E6*E9/100</f>
        <v>-15.897262603236</v>
      </c>
      <c r="F10" s="0" t="n">
        <f aca="false">-F6*F9/100</f>
        <v>-16.3741804813331</v>
      </c>
      <c r="G10" s="0" t="n">
        <f aca="false">-G6*G9/100</f>
        <v>-16.8654058957731</v>
      </c>
      <c r="H10" s="0" t="n">
        <f aca="false">-H6*H9/100</f>
        <v>-17.3713680726463</v>
      </c>
      <c r="I10" s="0" t="n">
        <f aca="false">-I6*I9/100</f>
        <v>-17.8056522744624</v>
      </c>
      <c r="J10" s="0" t="n">
        <f aca="false">-J6*J9/100</f>
        <v>-18.250793581324</v>
      </c>
      <c r="K10" s="0" t="n">
        <f aca="false">-K6*K9/100</f>
        <v>-18.6158094529505</v>
      </c>
      <c r="L10" s="0" t="n">
        <f aca="false">-L6*L9/100</f>
        <v>-18.9881256420095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5728.01234964</v>
      </c>
      <c r="D11" s="0" t="n">
        <f aca="false">D8+D10+D24</f>
        <v>5083.9760602428</v>
      </c>
      <c r="E11" s="0" t="n">
        <f aca="false">E8+E10+E24</f>
        <v>4975.84319481287</v>
      </c>
      <c r="F11" s="0" t="n">
        <f aca="false">F8+F10+F24</f>
        <v>5125.11849065725</v>
      </c>
      <c r="G11" s="0" t="n">
        <f aca="false">G8+G10+G24</f>
        <v>5278.87204537697</v>
      </c>
      <c r="H11" s="0" t="n">
        <f aca="false">H8+H10+H24</f>
        <v>5437.23820673828</v>
      </c>
      <c r="I11" s="0" t="n">
        <f aca="false">I8+I10+I24</f>
        <v>5573.16916190674</v>
      </c>
      <c r="J11" s="0" t="n">
        <f aca="false">J8+J10+J24</f>
        <v>5712.4983909544</v>
      </c>
      <c r="K11" s="0" t="n">
        <f aca="false">K8+K10+K24</f>
        <v>5826.74835877349</v>
      </c>
      <c r="L11" s="0" t="n">
        <f aca="false">L8+L10+L24</f>
        <v>5943.28332594896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-3018.15948168</v>
      </c>
      <c r="D12" s="4" t="n">
        <f aca="false">-D6*Assumptions!D17/100</f>
        <v>-2959.0944251568</v>
      </c>
      <c r="E12" s="4" t="n">
        <f aca="false">-E6*Assumptions!E17/100</f>
        <v>-2956.8908442019</v>
      </c>
      <c r="F12" s="4" t="n">
        <f aca="false">-F6*Assumptions!F17/100</f>
        <v>-3012.84920856529</v>
      </c>
      <c r="G12" s="4" t="n">
        <f aca="false">-G6*Assumptions!G17/100</f>
        <v>-3035.77306123915</v>
      </c>
      <c r="H12" s="4" t="n">
        <f aca="false">-H6*Assumptions!H17/100</f>
        <v>-3092.10351693104</v>
      </c>
      <c r="I12" s="4" t="n">
        <f aca="false">-I6*Assumptions!I17/100</f>
        <v>-3133.79480030539</v>
      </c>
      <c r="J12" s="4" t="n">
        <f aca="false">-J6*Assumptions!J17/100</f>
        <v>-3175.63808315037</v>
      </c>
      <c r="K12" s="4" t="n">
        <f aca="false">-K6*Assumptions!K17/100</f>
        <v>-3201.91922590748</v>
      </c>
      <c r="L12" s="4" t="n">
        <f aca="false">-L6*Assumptions!L17/100</f>
        <v>-3265.95761042563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2709.85286796</v>
      </c>
      <c r="D13" s="0" t="n">
        <f aca="false">D11+D12</f>
        <v>2124.881635086</v>
      </c>
      <c r="E13" s="0" t="n">
        <f aca="false">E11+E12</f>
        <v>2018.95235061097</v>
      </c>
      <c r="F13" s="0" t="n">
        <f aca="false">F11+F12</f>
        <v>2112.26928209197</v>
      </c>
      <c r="G13" s="0" t="n">
        <f aca="false">G11+G12</f>
        <v>2243.09898413782</v>
      </c>
      <c r="H13" s="0" t="n">
        <f aca="false">H11+H12</f>
        <v>2345.13468980725</v>
      </c>
      <c r="I13" s="0" t="n">
        <f aca="false">I11+I12</f>
        <v>2439.37436160135</v>
      </c>
      <c r="J13" s="0" t="n">
        <f aca="false">J11+J12</f>
        <v>2536.86030780403</v>
      </c>
      <c r="K13" s="0" t="n">
        <f aca="false">K11+K12</f>
        <v>2624.82913286602</v>
      </c>
      <c r="L13" s="0" t="n">
        <f aca="false">L11+L12</f>
        <v>2677.32571552333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15</v>
      </c>
      <c r="D14" s="4" t="n">
        <f aca="false">Assumptions!D19</f>
        <v>15</v>
      </c>
      <c r="E14" s="4" t="n">
        <f aca="false">Assumptions!E19</f>
        <v>15</v>
      </c>
      <c r="F14" s="4" t="n">
        <f aca="false">Assumptions!F19</f>
        <v>15</v>
      </c>
      <c r="G14" s="4" t="n">
        <f aca="false">Assumptions!G19</f>
        <v>15</v>
      </c>
      <c r="H14" s="4" t="n">
        <f aca="false">Assumptions!H19</f>
        <v>15</v>
      </c>
      <c r="I14" s="4" t="n">
        <f aca="false">Assumptions!I19</f>
        <v>15</v>
      </c>
      <c r="J14" s="4" t="n">
        <f aca="false">Assumptions!J19</f>
        <v>15</v>
      </c>
      <c r="K14" s="4" t="n">
        <f aca="false">Assumptions!K19</f>
        <v>15</v>
      </c>
      <c r="L14" s="4" t="n">
        <f aca="false">Assumptions!L19</f>
        <v>15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2303.374937766</v>
      </c>
      <c r="D15" s="0" t="n">
        <f aca="false">D13-MAX(0,D13)*D14/100</f>
        <v>1806.1493898231</v>
      </c>
      <c r="E15" s="0" t="n">
        <f aca="false">E13-MAX(0,E13)*E14/100</f>
        <v>1716.10949801933</v>
      </c>
      <c r="F15" s="0" t="n">
        <f aca="false">F13-MAX(0,F13)*F14/100</f>
        <v>1795.42888977817</v>
      </c>
      <c r="G15" s="0" t="n">
        <f aca="false">G13-MAX(0,G13)*G14/100</f>
        <v>1906.63413651715</v>
      </c>
      <c r="H15" s="0" t="n">
        <f aca="false">H13-MAX(0,H13)*H14/100</f>
        <v>1993.36448633616</v>
      </c>
      <c r="I15" s="0" t="n">
        <f aca="false">I13-MAX(0,I13)*I14/100</f>
        <v>2073.46820736115</v>
      </c>
      <c r="J15" s="0" t="n">
        <f aca="false">J13-MAX(0,J13)*J14/100</f>
        <v>2156.33126163343</v>
      </c>
      <c r="K15" s="0" t="n">
        <f aca="false">K13-MAX(0,K13)*K14/100</f>
        <v>2231.10476293611</v>
      </c>
      <c r="L15" s="0" t="n">
        <f aca="false">L13-MAX(0,L13)*L14/100</f>
        <v>2275.72685819483</v>
      </c>
    </row>
    <row r="16" customFormat="false" ht="15" hidden="false" customHeight="false" outlineLevel="0" collapsed="false">
      <c r="A16" s="0" t="s">
        <v>118</v>
      </c>
      <c r="C16" s="0" t="n">
        <f aca="false">-C12</f>
        <v>3018.15948168</v>
      </c>
      <c r="D16" s="0" t="n">
        <f aca="false">-D12</f>
        <v>2959.0944251568</v>
      </c>
      <c r="E16" s="0" t="n">
        <f aca="false">-E12</f>
        <v>2956.8908442019</v>
      </c>
      <c r="F16" s="0" t="n">
        <f aca="false">-F12</f>
        <v>3012.84920856529</v>
      </c>
      <c r="G16" s="0" t="n">
        <f aca="false">-G12</f>
        <v>3035.77306123915</v>
      </c>
      <c r="H16" s="0" t="n">
        <f aca="false">-H12</f>
        <v>3092.10351693104</v>
      </c>
      <c r="I16" s="0" t="n">
        <f aca="false">-I12</f>
        <v>3133.79480030539</v>
      </c>
      <c r="J16" s="0" t="n">
        <f aca="false">-J12</f>
        <v>3175.63808315037</v>
      </c>
      <c r="K16" s="0" t="n">
        <f aca="false">-K12</f>
        <v>3201.91922590748</v>
      </c>
      <c r="L16" s="0" t="n">
        <f aca="false">-L12</f>
        <v>3265.95761042563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-2855.89284288</v>
      </c>
      <c r="D17" s="4" t="n">
        <f aca="false">-D6*Assumptions!D18/100</f>
        <v>-2770.2160575936</v>
      </c>
      <c r="E17" s="4" t="n">
        <f aca="false">-E6*Assumptions!E18/100</f>
        <v>-2797.91821816954</v>
      </c>
      <c r="F17" s="4" t="n">
        <f aca="false">-F6*Assumptions!F18/100</f>
        <v>-2881.85576471462</v>
      </c>
      <c r="G17" s="4" t="n">
        <f aca="false">-G6*Assumptions!G18/100</f>
        <v>-2968.31143765606</v>
      </c>
      <c r="H17" s="4" t="n">
        <f aca="false">-H6*Assumptions!H18/100</f>
        <v>-3057.36078078574</v>
      </c>
      <c r="I17" s="4" t="n">
        <f aca="false">-I6*Assumptions!I18/100</f>
        <v>-3133.79480030539</v>
      </c>
      <c r="J17" s="4" t="n">
        <f aca="false">-J6*Assumptions!J18/100</f>
        <v>-3212.13967031302</v>
      </c>
      <c r="K17" s="4" t="n">
        <f aca="false">-K6*Assumptions!K18/100</f>
        <v>-3276.38246371928</v>
      </c>
      <c r="L17" s="4" t="n">
        <f aca="false">-L6*Assumptions!L18/100</f>
        <v>-3341.91011299367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-50.9071807999999</v>
      </c>
      <c r="D18" s="4" t="n">
        <f aca="false">(D6-C6)*Assumptions!$B$23/100</f>
        <v>77.8879866240002</v>
      </c>
      <c r="E18" s="4" t="n">
        <f aca="false">(E6-D6)*Assumptions!$B$23/100</f>
        <v>-25.1837823417599</v>
      </c>
      <c r="F18" s="4" t="n">
        <f aca="false">(F6-E6)*Assumptions!$B$23/100</f>
        <v>-76.3068604955328</v>
      </c>
      <c r="G18" s="4" t="n">
        <f aca="false">(G6-F6)*Assumptions!$B$23/100</f>
        <v>-78.5960663103987</v>
      </c>
      <c r="H18" s="4" t="n">
        <f aca="false">(H6-G6)*Assumptions!$B$23/100</f>
        <v>-80.9539482997108</v>
      </c>
      <c r="I18" s="4" t="n">
        <f aca="false">(I6-H6)*Assumptions!$B$23/100</f>
        <v>-69.4854722905846</v>
      </c>
      <c r="J18" s="4" t="n">
        <f aca="false">(J6-I6)*Assumptions!$B$23/100</f>
        <v>-71.2226090978493</v>
      </c>
      <c r="K18" s="4" t="n">
        <f aca="false">(K6-J6)*Assumptions!$B$23/100</f>
        <v>-58.402539460237</v>
      </c>
      <c r="L18" s="4" t="n">
        <f aca="false">(L6-K6)*Assumptions!$B$23/100</f>
        <v>-59.5705902494414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2414.734395766</v>
      </c>
      <c r="D19" s="0" t="n">
        <f aca="false">D15+D16+D17+D18</f>
        <v>2072.9157440103</v>
      </c>
      <c r="E19" s="0" t="n">
        <f aca="false">E15+E16+E17+E18</f>
        <v>1849.89834170993</v>
      </c>
      <c r="F19" s="0" t="n">
        <f aca="false">F15+F16+F17+F18</f>
        <v>1850.1154731333</v>
      </c>
      <c r="G19" s="0" t="n">
        <f aca="false">G15+G16+G17+G18</f>
        <v>1895.49969378984</v>
      </c>
      <c r="H19" s="0" t="n">
        <f aca="false">H15+H16+H17+H18</f>
        <v>1947.15327418174</v>
      </c>
      <c r="I19" s="0" t="n">
        <f aca="false">I15+I16+I17+I18</f>
        <v>2003.98273507056</v>
      </c>
      <c r="J19" s="0" t="n">
        <f aca="false">J15+J16+J17+J18</f>
        <v>2048.60706537293</v>
      </c>
      <c r="K19" s="0" t="n">
        <f aca="false">K15+K16+K17+K18</f>
        <v>2098.23898566407</v>
      </c>
      <c r="L19" s="0" t="n">
        <f aca="false">L15+L16+L17+L18</f>
        <v>2140.20376537735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2205.2368911105</v>
      </c>
      <c r="D21" s="0" t="n">
        <f aca="false">D19*D20</f>
        <v>1728.8344646778</v>
      </c>
      <c r="E21" s="0" t="n">
        <f aca="false">E19*E20</f>
        <v>1408.98219659632</v>
      </c>
      <c r="F21" s="0" t="n">
        <f aca="false">F19*F20</f>
        <v>1286.89276308784</v>
      </c>
      <c r="G21" s="0" t="n">
        <f aca="false">G19*G20</f>
        <v>1204.0738450286</v>
      </c>
      <c r="H21" s="0" t="n">
        <f aca="false">H19*H20</f>
        <v>1129.57591625973</v>
      </c>
      <c r="I21" s="0" t="n">
        <f aca="false">I19*I20</f>
        <v>1061.68367970979</v>
      </c>
      <c r="J21" s="0" t="n">
        <f aca="false">J19*J20</f>
        <v>991.164440755581</v>
      </c>
      <c r="K21" s="0" t="n">
        <f aca="false">K19*K20</f>
        <v>927.102771684333</v>
      </c>
      <c r="L21" s="0" t="n">
        <f aca="false">L19*L20</f>
        <v>863.60258184294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0.8</v>
      </c>
      <c r="D23" s="4" t="n">
        <f aca="false">Assumptions!D16</f>
        <v>0.8</v>
      </c>
      <c r="E23" s="4" t="n">
        <f aca="false">Assumptions!E16</f>
        <v>0.8</v>
      </c>
      <c r="F23" s="4" t="n">
        <f aca="false">Assumptions!F16</f>
        <v>0.8</v>
      </c>
      <c r="G23" s="4" t="n">
        <f aca="false">Assumptions!G16</f>
        <v>0.8</v>
      </c>
      <c r="H23" s="4" t="n">
        <f aca="false">Assumptions!H16</f>
        <v>0.8</v>
      </c>
      <c r="I23" s="4" t="n">
        <f aca="false">Assumptions!I16</f>
        <v>0.8</v>
      </c>
      <c r="J23" s="4" t="n">
        <f aca="false">Assumptions!J16</f>
        <v>0.8</v>
      </c>
      <c r="K23" s="4" t="n">
        <f aca="false">Assumptions!K16</f>
        <v>0.8</v>
      </c>
      <c r="L23" s="4" t="n">
        <f aca="false">Assumptions!L16</f>
        <v>0.8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-259.62662208</v>
      </c>
      <c r="D24" s="0" t="n">
        <f aca="false">-D6*D23/100</f>
        <v>-251.8378234176</v>
      </c>
      <c r="E24" s="0" t="n">
        <f aca="false">-E6*E23/100</f>
        <v>-254.356201651776</v>
      </c>
      <c r="F24" s="0" t="n">
        <f aca="false">-F6*F23/100</f>
        <v>-261.986887701329</v>
      </c>
      <c r="G24" s="0" t="n">
        <f aca="false">-G6*G23/100</f>
        <v>-269.846494332369</v>
      </c>
      <c r="H24" s="0" t="n">
        <f aca="false">-H6*H23/100</f>
        <v>-277.94188916234</v>
      </c>
      <c r="I24" s="0" t="n">
        <f aca="false">-I6*I23/100</f>
        <v>-284.890436391399</v>
      </c>
      <c r="J24" s="0" t="n">
        <f aca="false">-J6*J23/100</f>
        <v>-292.012697301184</v>
      </c>
      <c r="K24" s="0" t="n">
        <f aca="false">-K6*K23/100</f>
        <v>-297.852951247207</v>
      </c>
      <c r="L24" s="0" t="n">
        <f aca="false">-L6*L23/100</f>
        <v>-303.810010272151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12807.1495507534</v>
      </c>
    </row>
    <row r="31" customFormat="false" ht="15" hidden="false" customHeight="false" outlineLevel="0" collapsed="false">
      <c r="A31" s="0" t="s">
        <v>127</v>
      </c>
      <c r="B31" s="0" t="n">
        <f aca="false">L19</f>
        <v>2140.20376537735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27153.8352732252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25682.4451845283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25682.4451845283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10363.2309821153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23170.3805328687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20837.8805328687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21.3646903532562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-0.401549289824756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106.385253558456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97.2113468410496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21.5734341512471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16091.1616433927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12.2204054564749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8</v>
      </c>
      <c r="D5" s="4" t="n">
        <f aca="false">Assumptions!D27</f>
        <v>7</v>
      </c>
      <c r="E5" s="4" t="n">
        <f aca="false">Assumptions!E27</f>
        <v>6</v>
      </c>
      <c r="F5" s="4" t="n">
        <f aca="false">Assumptions!F27</f>
        <v>5</v>
      </c>
      <c r="G5" s="4" t="n">
        <f aca="false">Assumptions!G27</f>
        <v>5</v>
      </c>
      <c r="H5" s="4" t="n">
        <f aca="false">Assumptions!H27</f>
        <v>4</v>
      </c>
      <c r="I5" s="4" t="n">
        <f aca="false">Assumptions!I27</f>
        <v>4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31816.988</v>
      </c>
      <c r="C6" s="0" t="n">
        <f aca="false">B6*(1+C5/100)</f>
        <v>34362.34704</v>
      </c>
      <c r="D6" s="0" t="n">
        <f aca="false">C6*(1+D5/100)</f>
        <v>36767.7113328</v>
      </c>
      <c r="E6" s="0" t="n">
        <f aca="false">D6*(1+E5/100)</f>
        <v>38973.774012768</v>
      </c>
      <c r="F6" s="0" t="n">
        <f aca="false">E6*(1+F5/100)</f>
        <v>40922.4627134064</v>
      </c>
      <c r="G6" s="0" t="n">
        <f aca="false">F6*(1+G5/100)</f>
        <v>42968.5858490767</v>
      </c>
      <c r="H6" s="0" t="n">
        <f aca="false">G6*(1+H5/100)</f>
        <v>44687.3292830398</v>
      </c>
      <c r="I6" s="0" t="n">
        <f aca="false">H6*(1+I5/100)</f>
        <v>46474.8224543614</v>
      </c>
      <c r="J6" s="0" t="n">
        <f aca="false">I6*(1+J5/100)</f>
        <v>47869.0671279922</v>
      </c>
      <c r="K6" s="0" t="n">
        <f aca="false">J6*(1+K5/100)</f>
        <v>49305.139141832</v>
      </c>
      <c r="L6" s="0" t="n">
        <f aca="false">K6*(1+L5/100)</f>
        <v>50784.293316087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19.5</v>
      </c>
      <c r="D7" s="4" t="n">
        <f aca="false">Assumptions!D28</f>
        <v>19.8</v>
      </c>
      <c r="E7" s="4" t="n">
        <f aca="false">Assumptions!E28</f>
        <v>20</v>
      </c>
      <c r="F7" s="4" t="n">
        <f aca="false">Assumptions!F28</f>
        <v>20.2</v>
      </c>
      <c r="G7" s="4" t="n">
        <f aca="false">Assumptions!G28</f>
        <v>20.3</v>
      </c>
      <c r="H7" s="4" t="n">
        <f aca="false">Assumptions!H28</f>
        <v>20.4</v>
      </c>
      <c r="I7" s="4" t="n">
        <f aca="false">Assumptions!I28</f>
        <v>20.5</v>
      </c>
      <c r="J7" s="4" t="n">
        <f aca="false">Assumptions!J28</f>
        <v>20.5</v>
      </c>
      <c r="K7" s="4" t="n">
        <f aca="false">Assumptions!K28</f>
        <v>20.5</v>
      </c>
      <c r="L7" s="4" t="n">
        <f aca="false">Assumptions!L28</f>
        <v>20.5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6700.6576728</v>
      </c>
      <c r="D8" s="0" t="n">
        <f aca="false">D6*D7/100</f>
        <v>7280.0068438944</v>
      </c>
      <c r="E8" s="0" t="n">
        <f aca="false">E6*E7/100</f>
        <v>7794.7548025536</v>
      </c>
      <c r="F8" s="0" t="n">
        <f aca="false">F6*F7/100</f>
        <v>8266.33746810809</v>
      </c>
      <c r="G8" s="0" t="n">
        <f aca="false">G6*G7/100</f>
        <v>8722.62292736258</v>
      </c>
      <c r="H8" s="0" t="n">
        <f aca="false">H6*H7/100</f>
        <v>9116.21517374012</v>
      </c>
      <c r="I8" s="0" t="n">
        <f aca="false">I6*I7/100</f>
        <v>9527.33860314409</v>
      </c>
      <c r="J8" s="0" t="n">
        <f aca="false">J6*J7/100</f>
        <v>9813.15876123841</v>
      </c>
      <c r="K8" s="0" t="n">
        <f aca="false">K6*K7/100</f>
        <v>10107.5535240756</v>
      </c>
      <c r="L8" s="0" t="n">
        <f aca="false">L6*L7/100</f>
        <v>10410.7801297978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0.05</v>
      </c>
      <c r="D9" s="4" t="n">
        <f aca="false">Assumptions!D29</f>
        <v>0.05</v>
      </c>
      <c r="E9" s="4" t="n">
        <f aca="false">Assumptions!E29</f>
        <v>0.05</v>
      </c>
      <c r="F9" s="4" t="n">
        <f aca="false">Assumptions!F29</f>
        <v>0.05</v>
      </c>
      <c r="G9" s="4" t="n">
        <f aca="false">Assumptions!G29</f>
        <v>0.05</v>
      </c>
      <c r="H9" s="4" t="n">
        <f aca="false">Assumptions!H29</f>
        <v>0.05</v>
      </c>
      <c r="I9" s="4" t="n">
        <f aca="false">Assumptions!I29</f>
        <v>0.05</v>
      </c>
      <c r="J9" s="4" t="n">
        <f aca="false">Assumptions!J29</f>
        <v>0.05</v>
      </c>
      <c r="K9" s="4" t="n">
        <f aca="false">Assumptions!K29</f>
        <v>0.05</v>
      </c>
      <c r="L9" s="4" t="n">
        <f aca="false">Assumptions!L29</f>
        <v>0.05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-17.18117352</v>
      </c>
      <c r="D10" s="0" t="n">
        <f aca="false">-D6*D9/100</f>
        <v>-18.3838556664</v>
      </c>
      <c r="E10" s="0" t="n">
        <f aca="false">-E6*E9/100</f>
        <v>-19.486887006384</v>
      </c>
      <c r="F10" s="0" t="n">
        <f aca="false">-F6*F9/100</f>
        <v>-20.4612313567032</v>
      </c>
      <c r="G10" s="0" t="n">
        <f aca="false">-G6*G9/100</f>
        <v>-21.4842929245384</v>
      </c>
      <c r="H10" s="0" t="n">
        <f aca="false">-H6*H9/100</f>
        <v>-22.3436646415199</v>
      </c>
      <c r="I10" s="0" t="n">
        <f aca="false">-I6*I9/100</f>
        <v>-23.2374112271807</v>
      </c>
      <c r="J10" s="0" t="n">
        <f aca="false">-J6*J9/100</f>
        <v>-23.9345335639961</v>
      </c>
      <c r="K10" s="0" t="n">
        <f aca="false">-K6*K9/100</f>
        <v>-24.652569570916</v>
      </c>
      <c r="L10" s="0" t="n">
        <f aca="false">-L6*L9/100</f>
        <v>-25.3921466580435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6408.57772296</v>
      </c>
      <c r="D11" s="0" t="n">
        <f aca="false">D8+D10+D24</f>
        <v>6967.4812975656</v>
      </c>
      <c r="E11" s="0" t="n">
        <f aca="false">E8+E10+E24</f>
        <v>7463.47772344507</v>
      </c>
      <c r="F11" s="0" t="n">
        <f aca="false">F8+F10+F24</f>
        <v>7918.49653504414</v>
      </c>
      <c r="G11" s="0" t="n">
        <f aca="false">G8+G10+G24</f>
        <v>8357.38994764542</v>
      </c>
      <c r="H11" s="0" t="n">
        <f aca="false">H8+H10+H24</f>
        <v>8736.37287483428</v>
      </c>
      <c r="I11" s="0" t="n">
        <f aca="false">I8+I10+I24</f>
        <v>9132.30261228201</v>
      </c>
      <c r="J11" s="0" t="n">
        <f aca="false">J8+J10+J24</f>
        <v>9406.27169065048</v>
      </c>
      <c r="K11" s="0" t="n">
        <f aca="false">K8+K10+K24</f>
        <v>9688.45984136999</v>
      </c>
      <c r="L11" s="0" t="n">
        <f aca="false">L8+L10+L24</f>
        <v>9979.11363661109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-3092.6112336</v>
      </c>
      <c r="D12" s="4" t="n">
        <f aca="false">-D6*Assumptions!D31/100</f>
        <v>-3272.3263086192</v>
      </c>
      <c r="E12" s="4" t="n">
        <f aca="false">-E6*Assumptions!E31/100</f>
        <v>-3429.69211312359</v>
      </c>
      <c r="F12" s="4" t="n">
        <f aca="false">-F6*Assumptions!F31/100</f>
        <v>-3560.25425606636</v>
      </c>
      <c r="G12" s="4" t="n">
        <f aca="false">-G6*Assumptions!G31/100</f>
        <v>-3695.2983830206</v>
      </c>
      <c r="H12" s="4" t="n">
        <f aca="false">-H6*Assumptions!H31/100</f>
        <v>-3798.42298905838</v>
      </c>
      <c r="I12" s="4" t="n">
        <f aca="false">-I6*Assumptions!I31/100</f>
        <v>-3903.88508616636</v>
      </c>
      <c r="J12" s="4" t="n">
        <f aca="false">-J6*Assumptions!J31/100</f>
        <v>-3973.13257162336</v>
      </c>
      <c r="K12" s="4" t="n">
        <f aca="false">-K6*Assumptions!K31/100</f>
        <v>-4043.02140963022</v>
      </c>
      <c r="L12" s="4" t="n">
        <f aca="false">-L6*Assumptions!L31/100</f>
        <v>-4164.31205191913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3315.96648936</v>
      </c>
      <c r="D13" s="0" t="n">
        <f aca="false">D11+D12</f>
        <v>3695.1549889464</v>
      </c>
      <c r="E13" s="0" t="n">
        <f aca="false">E11+E12</f>
        <v>4033.78561032149</v>
      </c>
      <c r="F13" s="0" t="n">
        <f aca="false">F11+F12</f>
        <v>4358.24227897778</v>
      </c>
      <c r="G13" s="0" t="n">
        <f aca="false">G11+G12</f>
        <v>4662.09156462482</v>
      </c>
      <c r="H13" s="0" t="n">
        <f aca="false">H11+H12</f>
        <v>4937.9498857759</v>
      </c>
      <c r="I13" s="0" t="n">
        <f aca="false">I11+I12</f>
        <v>5228.41752611566</v>
      </c>
      <c r="J13" s="0" t="n">
        <f aca="false">J11+J12</f>
        <v>5433.13911902712</v>
      </c>
      <c r="K13" s="0" t="n">
        <f aca="false">K11+K12</f>
        <v>5645.43843173976</v>
      </c>
      <c r="L13" s="0" t="n">
        <f aca="false">L11+L12</f>
        <v>5814.80158469196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15</v>
      </c>
      <c r="D14" s="4" t="n">
        <f aca="false">Assumptions!D33</f>
        <v>15</v>
      </c>
      <c r="E14" s="4" t="n">
        <f aca="false">Assumptions!E33</f>
        <v>15.5</v>
      </c>
      <c r="F14" s="4" t="n">
        <f aca="false">Assumptions!F33</f>
        <v>16</v>
      </c>
      <c r="G14" s="4" t="n">
        <f aca="false">Assumptions!G33</f>
        <v>16</v>
      </c>
      <c r="H14" s="4" t="n">
        <f aca="false">Assumptions!H33</f>
        <v>16.5</v>
      </c>
      <c r="I14" s="4" t="n">
        <f aca="false">Assumptions!I33</f>
        <v>17</v>
      </c>
      <c r="J14" s="4" t="n">
        <f aca="false">Assumptions!J33</f>
        <v>17</v>
      </c>
      <c r="K14" s="4" t="n">
        <f aca="false">Assumptions!K33</f>
        <v>17</v>
      </c>
      <c r="L14" s="4" t="n">
        <f aca="false">Assumptions!L33</f>
        <v>17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2818.571515956</v>
      </c>
      <c r="D15" s="0" t="n">
        <f aca="false">D13-MAX(0,D13)*D14/100</f>
        <v>3140.88174060444</v>
      </c>
      <c r="E15" s="0" t="n">
        <f aca="false">E13-MAX(0,E13)*E14/100</f>
        <v>3408.54884072166</v>
      </c>
      <c r="F15" s="0" t="n">
        <f aca="false">F13-MAX(0,F13)*F14/100</f>
        <v>3660.92351434134</v>
      </c>
      <c r="G15" s="0" t="n">
        <f aca="false">G13-MAX(0,G13)*G14/100</f>
        <v>3916.15691428485</v>
      </c>
      <c r="H15" s="0" t="n">
        <f aca="false">H13-MAX(0,H13)*H14/100</f>
        <v>4123.18815462287</v>
      </c>
      <c r="I15" s="0" t="n">
        <f aca="false">I13-MAX(0,I13)*I14/100</f>
        <v>4339.586546676</v>
      </c>
      <c r="J15" s="0" t="n">
        <f aca="false">J13-MAX(0,J13)*J14/100</f>
        <v>4509.50546879251</v>
      </c>
      <c r="K15" s="0" t="n">
        <f aca="false">K13-MAX(0,K13)*K14/100</f>
        <v>4685.713898344</v>
      </c>
      <c r="L15" s="0" t="n">
        <f aca="false">L13-MAX(0,L13)*L14/100</f>
        <v>4826.28531529433</v>
      </c>
    </row>
    <row r="16" customFormat="false" ht="15" hidden="false" customHeight="false" outlineLevel="0" collapsed="false">
      <c r="A16" s="0" t="s">
        <v>118</v>
      </c>
      <c r="C16" s="0" t="n">
        <f aca="false">-C12</f>
        <v>3092.6112336</v>
      </c>
      <c r="D16" s="0" t="n">
        <f aca="false">-D12</f>
        <v>3272.3263086192</v>
      </c>
      <c r="E16" s="0" t="n">
        <f aca="false">-E12</f>
        <v>3429.69211312359</v>
      </c>
      <c r="F16" s="0" t="n">
        <f aca="false">-F12</f>
        <v>3560.25425606636</v>
      </c>
      <c r="G16" s="0" t="n">
        <f aca="false">-G12</f>
        <v>3695.2983830206</v>
      </c>
      <c r="H16" s="0" t="n">
        <f aca="false">-H12</f>
        <v>3798.42298905838</v>
      </c>
      <c r="I16" s="0" t="n">
        <f aca="false">-I12</f>
        <v>3903.88508616636</v>
      </c>
      <c r="J16" s="0" t="n">
        <f aca="false">-J12</f>
        <v>3973.13257162336</v>
      </c>
      <c r="K16" s="0" t="n">
        <f aca="false">-K12</f>
        <v>4043.02140963022</v>
      </c>
      <c r="L16" s="0" t="n">
        <f aca="false">-L12</f>
        <v>4164.31205191913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-3023.88653952</v>
      </c>
      <c r="D17" s="4" t="n">
        <f aca="false">-D6*Assumptions!D32/100</f>
        <v>-3198.7908859536</v>
      </c>
      <c r="E17" s="4" t="n">
        <f aca="false">-E6*Assumptions!E32/100</f>
        <v>-3351.74456509805</v>
      </c>
      <c r="F17" s="4" t="n">
        <f aca="false">-F6*Assumptions!F32/100</f>
        <v>-3519.33179335295</v>
      </c>
      <c r="G17" s="4" t="n">
        <f aca="false">-G6*Assumptions!G32/100</f>
        <v>-3652.32979717152</v>
      </c>
      <c r="H17" s="4" t="n">
        <f aca="false">-H6*Assumptions!H32/100</f>
        <v>-3798.42298905838</v>
      </c>
      <c r="I17" s="4" t="n">
        <f aca="false">-I6*Assumptions!I32/100</f>
        <v>-3950.35990862072</v>
      </c>
      <c r="J17" s="4" t="n">
        <f aca="false">-J6*Assumptions!J32/100</f>
        <v>-4021.00163875135</v>
      </c>
      <c r="K17" s="4" t="n">
        <f aca="false">-K6*Assumptions!K32/100</f>
        <v>-4141.63168791389</v>
      </c>
      <c r="L17" s="4" t="n">
        <f aca="false">-L6*Assumptions!L32/100</f>
        <v>-4265.8806385513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-203.6287232</v>
      </c>
      <c r="D18" s="4" t="n">
        <f aca="false">(D6-C6)*Assumptions!$B$37/100</f>
        <v>-192.429143424</v>
      </c>
      <c r="E18" s="4" t="n">
        <f aca="false">(E6-D6)*Assumptions!$B$37/100</f>
        <v>-176.48501439744</v>
      </c>
      <c r="F18" s="4" t="n">
        <f aca="false">(F6-E6)*Assumptions!$B$37/100</f>
        <v>-155.895096051072</v>
      </c>
      <c r="G18" s="4" t="n">
        <f aca="false">(G6-F6)*Assumptions!$B$37/100</f>
        <v>-163.689850853626</v>
      </c>
      <c r="H18" s="4" t="n">
        <f aca="false">(H6-G6)*Assumptions!$B$37/100</f>
        <v>-137.499474717046</v>
      </c>
      <c r="I18" s="4" t="n">
        <f aca="false">(I6-H6)*Assumptions!$B$37/100</f>
        <v>-142.999453705727</v>
      </c>
      <c r="J18" s="4" t="n">
        <f aca="false">(J6-I6)*Assumptions!$B$37/100</f>
        <v>-111.539573890467</v>
      </c>
      <c r="K18" s="4" t="n">
        <f aca="false">(K6-J6)*Assumptions!$B$37/100</f>
        <v>-114.885761107181</v>
      </c>
      <c r="L18" s="4" t="n">
        <f aca="false">(L6-K6)*Assumptions!$B$37/100</f>
        <v>-118.332333940397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2683.667486836</v>
      </c>
      <c r="D19" s="0" t="n">
        <f aca="false">D15+D16+D17+D18</f>
        <v>3021.98801984604</v>
      </c>
      <c r="E19" s="0" t="n">
        <f aca="false">E15+E16+E17+E18</f>
        <v>3310.01137434975</v>
      </c>
      <c r="F19" s="0" t="n">
        <f aca="false">F15+F16+F17+F18</f>
        <v>3545.95088100367</v>
      </c>
      <c r="G19" s="0" t="n">
        <f aca="false">G15+G16+G17+G18</f>
        <v>3795.4356492803</v>
      </c>
      <c r="H19" s="0" t="n">
        <f aca="false">H15+H16+H17+H18</f>
        <v>3985.68867990583</v>
      </c>
      <c r="I19" s="0" t="n">
        <f aca="false">I15+I16+I17+I18</f>
        <v>4150.11227051591</v>
      </c>
      <c r="J19" s="0" t="n">
        <f aca="false">J15+J16+J17+J18</f>
        <v>4350.09682777405</v>
      </c>
      <c r="K19" s="0" t="n">
        <f aca="false">K15+K16+K17+K18</f>
        <v>4472.21785895316</v>
      </c>
      <c r="L19" s="0" t="n">
        <f aca="false">L15+L16+L17+L18</f>
        <v>4606.38439472175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2450.83788752146</v>
      </c>
      <c r="D21" s="0" t="n">
        <f aca="false">D19*D20</f>
        <v>2520.37115143224</v>
      </c>
      <c r="E21" s="0" t="n">
        <f aca="false">E19*E20</f>
        <v>2521.08291133407</v>
      </c>
      <c r="F21" s="0" t="n">
        <f aca="false">F19*F20</f>
        <v>2466.47227878181</v>
      </c>
      <c r="G21" s="0" t="n">
        <f aca="false">G19*G20</f>
        <v>2410.96572621987</v>
      </c>
      <c r="H21" s="0" t="n">
        <f aca="false">H19*H20</f>
        <v>2312.16412299262</v>
      </c>
      <c r="I21" s="0" t="n">
        <f aca="false">I19*I20</f>
        <v>2198.67486354115</v>
      </c>
      <c r="J21" s="0" t="n">
        <f aca="false">J19*J20</f>
        <v>2104.6794977974</v>
      </c>
      <c r="K21" s="0" t="n">
        <f aca="false">K19*K20</f>
        <v>1976.04067074343</v>
      </c>
      <c r="L21" s="0" t="n">
        <f aca="false">L19*L20</f>
        <v>1858.74145284542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0.8</v>
      </c>
      <c r="D23" s="4" t="n">
        <f aca="false">Assumptions!D30</f>
        <v>0.8</v>
      </c>
      <c r="E23" s="4" t="n">
        <f aca="false">Assumptions!E30</f>
        <v>0.8</v>
      </c>
      <c r="F23" s="4" t="n">
        <f aca="false">Assumptions!F30</f>
        <v>0.8</v>
      </c>
      <c r="G23" s="4" t="n">
        <f aca="false">Assumptions!G30</f>
        <v>0.8</v>
      </c>
      <c r="H23" s="4" t="n">
        <f aca="false">Assumptions!H30</f>
        <v>0.8</v>
      </c>
      <c r="I23" s="4" t="n">
        <f aca="false">Assumptions!I30</f>
        <v>0.8</v>
      </c>
      <c r="J23" s="4" t="n">
        <f aca="false">Assumptions!J30</f>
        <v>0.8</v>
      </c>
      <c r="K23" s="4" t="n">
        <f aca="false">Assumptions!K30</f>
        <v>0.8</v>
      </c>
      <c r="L23" s="4" t="n">
        <f aca="false">Assumptions!L30</f>
        <v>0.8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-274.89877632</v>
      </c>
      <c r="D24" s="0" t="n">
        <f aca="false">-D6*D23/100</f>
        <v>-294.1416906624</v>
      </c>
      <c r="E24" s="0" t="n">
        <f aca="false">-E6*E23/100</f>
        <v>-311.790192102144</v>
      </c>
      <c r="F24" s="0" t="n">
        <f aca="false">-F6*F23/100</f>
        <v>-327.379701707251</v>
      </c>
      <c r="G24" s="0" t="n">
        <f aca="false">-G6*G23/100</f>
        <v>-343.748686792614</v>
      </c>
      <c r="H24" s="0" t="n">
        <f aca="false">-H6*H23/100</f>
        <v>-357.498634264318</v>
      </c>
      <c r="I24" s="0" t="n">
        <f aca="false">-I6*I23/100</f>
        <v>-371.798579634891</v>
      </c>
      <c r="J24" s="0" t="n">
        <f aca="false">-J6*J23/100</f>
        <v>-382.952537023938</v>
      </c>
      <c r="K24" s="0" t="n">
        <f aca="false">-K6*K23/100</f>
        <v>-394.441113134656</v>
      </c>
      <c r="L24" s="0" t="n">
        <f aca="false">-L6*L23/100</f>
        <v>-406.274346528696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22820.0305632095</v>
      </c>
    </row>
    <row r="31" customFormat="false" ht="15" hidden="false" customHeight="false" outlineLevel="0" collapsed="false">
      <c r="A31" s="0" t="s">
        <v>127</v>
      </c>
      <c r="B31" s="0" t="n">
        <f aca="false">L19</f>
        <v>4606.38439472175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67450.6286369971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55276.612736661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55276.612736661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22304.897434145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45124.9279973545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42792.4279973545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43.8742784893789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0.228971386257113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131.736571124672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150.032052764234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44.1631706054055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37772.3520367184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25.4567065046604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12</v>
      </c>
      <c r="D5" s="4" t="n">
        <f aca="false">Assumptions!D41</f>
        <v>12</v>
      </c>
      <c r="E5" s="4" t="n">
        <f aca="false">Assumptions!E41</f>
        <v>11</v>
      </c>
      <c r="F5" s="4" t="n">
        <f aca="false">Assumptions!F41</f>
        <v>10</v>
      </c>
      <c r="G5" s="4" t="n">
        <f aca="false">Assumptions!G41</f>
        <v>9</v>
      </c>
      <c r="H5" s="4" t="n">
        <f aca="false">Assumptions!H41</f>
        <v>8</v>
      </c>
      <c r="I5" s="4" t="n">
        <f aca="false">Assumptions!I41</f>
        <v>7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38</v>
      </c>
      <c r="B6" s="3" t="n">
        <v>31816.988</v>
      </c>
      <c r="C6" s="0" t="n">
        <f aca="false">B6*(1+C5/100)</f>
        <v>35635.02656</v>
      </c>
      <c r="D6" s="0" t="n">
        <f aca="false">C6*(1+D5/100)</f>
        <v>39911.2297472</v>
      </c>
      <c r="E6" s="0" t="n">
        <f aca="false">D6*(1+E5/100)</f>
        <v>44301.465019392</v>
      </c>
      <c r="F6" s="0" t="n">
        <f aca="false">E6*(1+F5/100)</f>
        <v>48731.6115213312</v>
      </c>
      <c r="G6" s="0" t="n">
        <f aca="false">F6*(1+G5/100)</f>
        <v>53117.456558251</v>
      </c>
      <c r="H6" s="0" t="n">
        <f aca="false">G6*(1+H5/100)</f>
        <v>57366.8530829111</v>
      </c>
      <c r="I6" s="0" t="n">
        <f aca="false">H6*(1+I5/100)</f>
        <v>61382.5327987149</v>
      </c>
      <c r="J6" s="0" t="n">
        <f aca="false">I6*(1+J5/100)</f>
        <v>65065.4847666378</v>
      </c>
      <c r="K6" s="0" t="n">
        <f aca="false">J6*(1+K5/100)</f>
        <v>68318.7590049697</v>
      </c>
      <c r="L6" s="0" t="n">
        <f aca="false">K6*(1+L5/100)</f>
        <v>71051.5093651685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20</v>
      </c>
      <c r="D7" s="4" t="n">
        <f aca="false">Assumptions!D42</f>
        <v>20.8</v>
      </c>
      <c r="E7" s="4" t="n">
        <f aca="false">Assumptions!E42</f>
        <v>21.5</v>
      </c>
      <c r="F7" s="4" t="n">
        <f aca="false">Assumptions!F42</f>
        <v>22</v>
      </c>
      <c r="G7" s="4" t="n">
        <f aca="false">Assumptions!G42</f>
        <v>22.5</v>
      </c>
      <c r="H7" s="4" t="n">
        <f aca="false">Assumptions!H42</f>
        <v>22.8</v>
      </c>
      <c r="I7" s="4" t="n">
        <f aca="false">Assumptions!I42</f>
        <v>23</v>
      </c>
      <c r="J7" s="4" t="n">
        <f aca="false">Assumptions!J42</f>
        <v>23</v>
      </c>
      <c r="K7" s="4" t="n">
        <f aca="false">Assumptions!K42</f>
        <v>23</v>
      </c>
      <c r="L7" s="4" t="n">
        <f aca="false">Assumptions!L42</f>
        <v>23</v>
      </c>
    </row>
    <row r="8" customFormat="false" ht="15" hidden="false" customHeight="false" outlineLevel="0" collapsed="false">
      <c r="A8" s="0" t="s">
        <v>44</v>
      </c>
      <c r="C8" s="0" t="n">
        <f aca="false">C6*C7/100</f>
        <v>7127.005312</v>
      </c>
      <c r="D8" s="0" t="n">
        <f aca="false">D6*D7/100</f>
        <v>8301.5357874176</v>
      </c>
      <c r="E8" s="0" t="n">
        <f aca="false">E6*E7/100</f>
        <v>9524.81497916928</v>
      </c>
      <c r="F8" s="0" t="n">
        <f aca="false">F6*F7/100</f>
        <v>10720.9545346929</v>
      </c>
      <c r="G8" s="0" t="n">
        <f aca="false">G6*G7/100</f>
        <v>11951.4277256065</v>
      </c>
      <c r="H8" s="0" t="n">
        <f aca="false">H6*H7/100</f>
        <v>13079.6425029037</v>
      </c>
      <c r="I8" s="0" t="n">
        <f aca="false">I6*I7/100</f>
        <v>14117.9825437044</v>
      </c>
      <c r="J8" s="0" t="n">
        <f aca="false">J6*J7/100</f>
        <v>14965.0614963267</v>
      </c>
      <c r="K8" s="0" t="n">
        <f aca="false">K6*K7/100</f>
        <v>15713.314571143</v>
      </c>
      <c r="L8" s="0" t="n">
        <f aca="false">L6*L7/100</f>
        <v>16341.8471539887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0.05</v>
      </c>
      <c r="D9" s="4" t="n">
        <f aca="false">Assumptions!D43</f>
        <v>0.05</v>
      </c>
      <c r="E9" s="4" t="n">
        <f aca="false">Assumptions!E43</f>
        <v>0.05</v>
      </c>
      <c r="F9" s="4" t="n">
        <f aca="false">Assumptions!F43</f>
        <v>0.05</v>
      </c>
      <c r="G9" s="4" t="n">
        <f aca="false">Assumptions!G43</f>
        <v>0.05</v>
      </c>
      <c r="H9" s="4" t="n">
        <f aca="false">Assumptions!H43</f>
        <v>0.05</v>
      </c>
      <c r="I9" s="4" t="n">
        <f aca="false">Assumptions!I43</f>
        <v>0.05</v>
      </c>
      <c r="J9" s="4" t="n">
        <f aca="false">Assumptions!J43</f>
        <v>0.05</v>
      </c>
      <c r="K9" s="4" t="n">
        <f aca="false">Assumptions!K43</f>
        <v>0.05</v>
      </c>
      <c r="L9" s="4" t="n">
        <f aca="false">Assumptions!L43</f>
        <v>0.05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-17.81751328</v>
      </c>
      <c r="D10" s="0" t="n">
        <f aca="false">-D6*D9/100</f>
        <v>-19.9556148736</v>
      </c>
      <c r="E10" s="0" t="n">
        <f aca="false">-E6*E9/100</f>
        <v>-22.150732509696</v>
      </c>
      <c r="F10" s="0" t="n">
        <f aca="false">-F6*F9/100</f>
        <v>-24.3658057606656</v>
      </c>
      <c r="G10" s="0" t="n">
        <f aca="false">-G6*G9/100</f>
        <v>-26.5587282791255</v>
      </c>
      <c r="H10" s="0" t="n">
        <f aca="false">-H6*H9/100</f>
        <v>-28.6834265414556</v>
      </c>
      <c r="I10" s="0" t="n">
        <f aca="false">-I6*I9/100</f>
        <v>-30.6912663993575</v>
      </c>
      <c r="J10" s="0" t="n">
        <f aca="false">-J6*J9/100</f>
        <v>-32.5327423833189</v>
      </c>
      <c r="K10" s="0" t="n">
        <f aca="false">-K6*K9/100</f>
        <v>-34.1593795024848</v>
      </c>
      <c r="L10" s="0" t="n">
        <f aca="false">-L6*L9/100</f>
        <v>-35.5257546825842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6824.10758624</v>
      </c>
      <c r="D11" s="0" t="n">
        <f aca="false">D8+D10+D24</f>
        <v>7962.29033456641</v>
      </c>
      <c r="E11" s="0" t="n">
        <f aca="false">E8+E10+E24</f>
        <v>9148.25252650445</v>
      </c>
      <c r="F11" s="0" t="n">
        <f aca="false">F8+F10+F24</f>
        <v>10306.7358367616</v>
      </c>
      <c r="G11" s="0" t="n">
        <f aca="false">G8+G10+G24</f>
        <v>11499.9293448613</v>
      </c>
      <c r="H11" s="0" t="n">
        <f aca="false">H8+H10+H24</f>
        <v>12592.024251699</v>
      </c>
      <c r="I11" s="0" t="n">
        <f aca="false">I8+I10+I24</f>
        <v>13596.2310149153</v>
      </c>
      <c r="J11" s="0" t="n">
        <f aca="false">J8+J10+J24</f>
        <v>14412.0048758103</v>
      </c>
      <c r="K11" s="0" t="n">
        <f aca="false">K8+K10+K24</f>
        <v>15132.6051196008</v>
      </c>
      <c r="L11" s="0" t="n">
        <f aca="false">L8+L10+L24</f>
        <v>15737.9093243848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-3207.1523904</v>
      </c>
      <c r="D12" s="4" t="n">
        <f aca="false">-D6*Assumptions!D45/100</f>
        <v>-3552.0994475008</v>
      </c>
      <c r="E12" s="4" t="n">
        <f aca="false">-E6*Assumptions!E45/100</f>
        <v>-3898.5289217065</v>
      </c>
      <c r="F12" s="4" t="n">
        <f aca="false">-F6*Assumptions!F45/100</f>
        <v>-4239.65020235582</v>
      </c>
      <c r="G12" s="4" t="n">
        <f aca="false">-G6*Assumptions!G45/100</f>
        <v>-4568.10126400959</v>
      </c>
      <c r="H12" s="4" t="n">
        <f aca="false">-H6*Assumptions!H45/100</f>
        <v>-4876.18251204745</v>
      </c>
      <c r="I12" s="4" t="n">
        <f aca="false">-I6*Assumptions!I45/100</f>
        <v>-5156.13275509205</v>
      </c>
      <c r="J12" s="4" t="n">
        <f aca="false">-J6*Assumptions!J45/100</f>
        <v>-5400.43523563094</v>
      </c>
      <c r="K12" s="4" t="n">
        <f aca="false">-K6*Assumptions!K45/100</f>
        <v>-5602.13823840751</v>
      </c>
      <c r="L12" s="4" t="n">
        <f aca="false">-L6*Assumptions!L45/100</f>
        <v>-5826.22376794381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3616.95519584</v>
      </c>
      <c r="D13" s="0" t="n">
        <f aca="false">D11+D12</f>
        <v>4410.1908870656</v>
      </c>
      <c r="E13" s="0" t="n">
        <f aca="false">E11+E12</f>
        <v>5249.72360479795</v>
      </c>
      <c r="F13" s="0" t="n">
        <f aca="false">F11+F12</f>
        <v>6067.08563440574</v>
      </c>
      <c r="G13" s="0" t="n">
        <f aca="false">G11+G12</f>
        <v>6931.82808085176</v>
      </c>
      <c r="H13" s="0" t="n">
        <f aca="false">H11+H12</f>
        <v>7715.84173965155</v>
      </c>
      <c r="I13" s="0" t="n">
        <f aca="false">I11+I12</f>
        <v>8440.0982598233</v>
      </c>
      <c r="J13" s="0" t="n">
        <f aca="false">J11+J12</f>
        <v>9011.56964017933</v>
      </c>
      <c r="K13" s="0" t="n">
        <f aca="false">K11+K12</f>
        <v>9530.46688119327</v>
      </c>
      <c r="L13" s="0" t="n">
        <f aca="false">L11+L12</f>
        <v>9911.685556441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15</v>
      </c>
      <c r="D14" s="4" t="n">
        <f aca="false">Assumptions!D47</f>
        <v>15</v>
      </c>
      <c r="E14" s="4" t="n">
        <f aca="false">Assumptions!E47</f>
        <v>15.5</v>
      </c>
      <c r="F14" s="4" t="n">
        <f aca="false">Assumptions!F47</f>
        <v>16</v>
      </c>
      <c r="G14" s="4" t="n">
        <f aca="false">Assumptions!G47</f>
        <v>16</v>
      </c>
      <c r="H14" s="4" t="n">
        <f aca="false">Assumptions!H47</f>
        <v>16.5</v>
      </c>
      <c r="I14" s="4" t="n">
        <f aca="false">Assumptions!I47</f>
        <v>17</v>
      </c>
      <c r="J14" s="4" t="n">
        <f aca="false">Assumptions!J47</f>
        <v>17</v>
      </c>
      <c r="K14" s="4" t="n">
        <f aca="false">Assumptions!K47</f>
        <v>17</v>
      </c>
      <c r="L14" s="4" t="n">
        <f aca="false">Assumptions!L47</f>
        <v>17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3074.411916464</v>
      </c>
      <c r="D15" s="0" t="n">
        <f aca="false">D13-MAX(0,D13)*D14/100</f>
        <v>3748.66225400576</v>
      </c>
      <c r="E15" s="0" t="n">
        <f aca="false">E13-MAX(0,E13)*E14/100</f>
        <v>4436.01644605427</v>
      </c>
      <c r="F15" s="0" t="n">
        <f aca="false">F13-MAX(0,F13)*F14/100</f>
        <v>5096.35193290082</v>
      </c>
      <c r="G15" s="0" t="n">
        <f aca="false">G13-MAX(0,G13)*G14/100</f>
        <v>5822.73558791548</v>
      </c>
      <c r="H15" s="0" t="n">
        <f aca="false">H13-MAX(0,H13)*H14/100</f>
        <v>6442.72785260904</v>
      </c>
      <c r="I15" s="0" t="n">
        <f aca="false">I13-MAX(0,I13)*I14/100</f>
        <v>7005.28155565334</v>
      </c>
      <c r="J15" s="0" t="n">
        <f aca="false">J13-MAX(0,J13)*J14/100</f>
        <v>7479.60280134885</v>
      </c>
      <c r="K15" s="0" t="n">
        <f aca="false">K13-MAX(0,K13)*K14/100</f>
        <v>7910.28751139042</v>
      </c>
      <c r="L15" s="0" t="n">
        <f aca="false">L13-MAX(0,L13)*L14/100</f>
        <v>8226.69901184603</v>
      </c>
    </row>
    <row r="16" customFormat="false" ht="15" hidden="false" customHeight="false" outlineLevel="0" collapsed="false">
      <c r="A16" s="0" t="s">
        <v>118</v>
      </c>
      <c r="C16" s="0" t="n">
        <f aca="false">-C12</f>
        <v>3207.1523904</v>
      </c>
      <c r="D16" s="0" t="n">
        <f aca="false">-D12</f>
        <v>3552.0994475008</v>
      </c>
      <c r="E16" s="0" t="n">
        <f aca="false">-E12</f>
        <v>3898.5289217065</v>
      </c>
      <c r="F16" s="0" t="n">
        <f aca="false">-F12</f>
        <v>4239.65020235582</v>
      </c>
      <c r="G16" s="0" t="n">
        <f aca="false">-G12</f>
        <v>4568.10126400959</v>
      </c>
      <c r="H16" s="0" t="n">
        <f aca="false">-H12</f>
        <v>4876.18251204745</v>
      </c>
      <c r="I16" s="0" t="n">
        <f aca="false">-I12</f>
        <v>5156.13275509205</v>
      </c>
      <c r="J16" s="0" t="n">
        <f aca="false">-J12</f>
        <v>5400.43523563094</v>
      </c>
      <c r="K16" s="0" t="n">
        <f aca="false">-K12</f>
        <v>5602.13823840751</v>
      </c>
      <c r="L16" s="0" t="n">
        <f aca="false">-L12</f>
        <v>5826.22376794381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-3278.42244352</v>
      </c>
      <c r="D17" s="4" t="n">
        <f aca="false">-D6*Assumptions!D46/100</f>
        <v>-3671.8331367424</v>
      </c>
      <c r="E17" s="4" t="n">
        <f aca="false">-E6*Assumptions!E46/100</f>
        <v>-3987.13185174528</v>
      </c>
      <c r="F17" s="4" t="n">
        <f aca="false">-F6*Assumptions!F46/100</f>
        <v>-4385.84503691981</v>
      </c>
      <c r="G17" s="4" t="n">
        <f aca="false">-G6*Assumptions!G46/100</f>
        <v>-4674.33617712609</v>
      </c>
      <c r="H17" s="4" t="n">
        <f aca="false">-H6*Assumptions!H46/100</f>
        <v>-5048.28307129618</v>
      </c>
      <c r="I17" s="4" t="n">
        <f aca="false">-I6*Assumptions!I46/100</f>
        <v>-5278.89782068948</v>
      </c>
      <c r="J17" s="4" t="n">
        <f aca="false">-J6*Assumptions!J46/100</f>
        <v>-5595.63168993085</v>
      </c>
      <c r="K17" s="4" t="n">
        <f aca="false">-K6*Assumptions!K46/100</f>
        <v>-5807.09451542242</v>
      </c>
      <c r="L17" s="4" t="n">
        <f aca="false">-L6*Assumptions!L46/100</f>
        <v>-6039.37829603932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-305.4430848</v>
      </c>
      <c r="D18" s="4" t="n">
        <f aca="false">(D6-C6)*Assumptions!$B$51/100</f>
        <v>-342.096254976001</v>
      </c>
      <c r="E18" s="4" t="n">
        <f aca="false">(E6-D6)*Assumptions!$B$51/100</f>
        <v>-351.21882177536</v>
      </c>
      <c r="F18" s="4" t="n">
        <f aca="false">(F6-E6)*Assumptions!$B$51/100</f>
        <v>-354.411720155136</v>
      </c>
      <c r="G18" s="4" t="n">
        <f aca="false">(G6-F6)*Assumptions!$B$51/100</f>
        <v>-350.867602953585</v>
      </c>
      <c r="H18" s="4" t="n">
        <f aca="false">(H6-G6)*Assumptions!$B$51/100</f>
        <v>-339.951721972807</v>
      </c>
      <c r="I18" s="4" t="n">
        <f aca="false">(I6-H6)*Assumptions!$B$51/100</f>
        <v>-321.254377264302</v>
      </c>
      <c r="J18" s="4" t="n">
        <f aca="false">(J6-I6)*Assumptions!$B$51/100</f>
        <v>-294.636157433832</v>
      </c>
      <c r="K18" s="4" t="n">
        <f aca="false">(K6-J6)*Assumptions!$B$51/100</f>
        <v>-260.261939066551</v>
      </c>
      <c r="L18" s="4" t="n">
        <f aca="false">(L6-K6)*Assumptions!$B$51/100</f>
        <v>-218.620028815903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2697.698778544</v>
      </c>
      <c r="D19" s="0" t="n">
        <f aca="false">D15+D16+D17+D18</f>
        <v>3286.83230978816</v>
      </c>
      <c r="E19" s="0" t="n">
        <f aca="false">E15+E16+E17+E18</f>
        <v>3996.19469424013</v>
      </c>
      <c r="F19" s="0" t="n">
        <f aca="false">F15+F16+F17+F18</f>
        <v>4595.74537818169</v>
      </c>
      <c r="G19" s="0" t="n">
        <f aca="false">G15+G16+G17+G18</f>
        <v>5365.63307184539</v>
      </c>
      <c r="H19" s="0" t="n">
        <f aca="false">H15+H16+H17+H18</f>
        <v>5930.6755713875</v>
      </c>
      <c r="I19" s="0" t="n">
        <f aca="false">I15+I16+I17+I18</f>
        <v>6561.26211279161</v>
      </c>
      <c r="J19" s="0" t="n">
        <f aca="false">J15+J16+J17+J18</f>
        <v>6989.7701896151</v>
      </c>
      <c r="K19" s="0" t="n">
        <f aca="false">K15+K16+K17+K18</f>
        <v>7445.06929530896</v>
      </c>
      <c r="L19" s="0" t="n">
        <f aca="false">L15+L16+L17+L18</f>
        <v>7794.92445493462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2463.6518525516</v>
      </c>
      <c r="D21" s="0" t="n">
        <f aca="false">D19*D20</f>
        <v>2741.25419385598</v>
      </c>
      <c r="E21" s="0" t="n">
        <f aca="false">E19*E20</f>
        <v>3043.71707967071</v>
      </c>
      <c r="F21" s="0" t="n">
        <f aca="false">F19*F20</f>
        <v>3196.68234445943</v>
      </c>
      <c r="G21" s="0" t="n">
        <f aca="false">G19*G20</f>
        <v>3408.39856898749</v>
      </c>
      <c r="H21" s="0" t="n">
        <f aca="false">H19*H20</f>
        <v>3440.48328470927</v>
      </c>
      <c r="I21" s="0" t="n">
        <f aca="false">I19*I20</f>
        <v>3476.07031814261</v>
      </c>
      <c r="J21" s="0" t="n">
        <f aca="false">J19*J20</f>
        <v>3381.81576062206</v>
      </c>
      <c r="K21" s="0" t="n">
        <f aca="false">K19*K20</f>
        <v>3289.58923469737</v>
      </c>
      <c r="L21" s="0" t="n">
        <f aca="false">L19*L20</f>
        <v>3145.36260212835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0.8</v>
      </c>
      <c r="D23" s="4" t="n">
        <f aca="false">Assumptions!D44</f>
        <v>0.8</v>
      </c>
      <c r="E23" s="4" t="n">
        <f aca="false">Assumptions!E44</f>
        <v>0.8</v>
      </c>
      <c r="F23" s="4" t="n">
        <f aca="false">Assumptions!F44</f>
        <v>0.8</v>
      </c>
      <c r="G23" s="4" t="n">
        <f aca="false">Assumptions!G44</f>
        <v>0.8</v>
      </c>
      <c r="H23" s="4" t="n">
        <f aca="false">Assumptions!H44</f>
        <v>0.8</v>
      </c>
      <c r="I23" s="4" t="n">
        <f aca="false">Assumptions!I44</f>
        <v>0.8</v>
      </c>
      <c r="J23" s="4" t="n">
        <f aca="false">Assumptions!J44</f>
        <v>0.8</v>
      </c>
      <c r="K23" s="4" t="n">
        <f aca="false">Assumptions!K44</f>
        <v>0.8</v>
      </c>
      <c r="L23" s="4" t="n">
        <f aca="false">Assumptions!L44</f>
        <v>0.8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-285.08021248</v>
      </c>
      <c r="D24" s="0" t="n">
        <f aca="false">-D6*D23/100</f>
        <v>-319.2898379776</v>
      </c>
      <c r="E24" s="0" t="n">
        <f aca="false">-E6*E23/100</f>
        <v>-354.411720155136</v>
      </c>
      <c r="F24" s="0" t="n">
        <f aca="false">-F6*F23/100</f>
        <v>-389.85289217065</v>
      </c>
      <c r="G24" s="0" t="n">
        <f aca="false">-G6*G23/100</f>
        <v>-424.939652466008</v>
      </c>
      <c r="H24" s="0" t="n">
        <f aca="false">-H6*H23/100</f>
        <v>-458.934824663289</v>
      </c>
      <c r="I24" s="0" t="n">
        <f aca="false">-I6*I23/100</f>
        <v>-491.060262389719</v>
      </c>
      <c r="J24" s="0" t="n">
        <f aca="false">-J6*J23/100</f>
        <v>-520.523878133102</v>
      </c>
      <c r="K24" s="0" t="n">
        <f aca="false">-K6*K23/100</f>
        <v>-546.550072039758</v>
      </c>
      <c r="L24" s="0" t="n">
        <f aca="false">-L6*L23/100</f>
        <v>-568.412074921348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31587.0252398249</v>
      </c>
    </row>
    <row r="31" customFormat="false" ht="15" hidden="false" customHeight="false" outlineLevel="0" collapsed="false">
      <c r="A31" s="0" t="s">
        <v>127</v>
      </c>
      <c r="B31" s="0" t="n">
        <f aca="false">L19</f>
        <v>7794.92445493462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123519.572132041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93539.0934592155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93539.0934592155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37744.3512255402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69331.3764653651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66998.8764653651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68.6926987339595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0.924165230643122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161.673230867441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227.156929066453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69.0913590465518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66906.4349048555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39.2872199238639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21.3646903532562</v>
      </c>
      <c r="C4" s="0" t="n">
        <f aca="false">B4/Assumptions!$B$2-1</f>
        <v>-0.401549289824756</v>
      </c>
      <c r="D4" s="4" t="n">
        <f aca="false">Assumptions!$B$24</f>
        <v>0.25</v>
      </c>
      <c r="E4" s="4" t="n">
        <f aca="false">DCF_Bear!$B$43</f>
        <v>21.5734341512471</v>
      </c>
      <c r="F4" s="4" t="n">
        <f aca="false">DCF_Bear!$B$47</f>
        <v>12.2204054564749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43.8742784893789</v>
      </c>
      <c r="C5" s="0" t="n">
        <f aca="false">B5/Assumptions!$B$2-1</f>
        <v>0.228971386257113</v>
      </c>
      <c r="D5" s="4" t="n">
        <f aca="false">Assumptions!$B$38</f>
        <v>0.5</v>
      </c>
      <c r="E5" s="4" t="n">
        <f aca="false">DCF_Base!$B$43</f>
        <v>44.1631706054055</v>
      </c>
      <c r="F5" s="4" t="n">
        <f aca="false">DCF_Base!$B$47</f>
        <v>25.4567065046604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68.6926987339595</v>
      </c>
      <c r="C6" s="0" t="n">
        <f aca="false">B6/Assumptions!$B$2-1</f>
        <v>0.924165230643122</v>
      </c>
      <c r="D6" s="4" t="n">
        <f aca="false">Assumptions!$B$52</f>
        <v>0.25</v>
      </c>
      <c r="E6" s="4" t="n">
        <f aca="false">DCF_Bull!$B$43</f>
        <v>69.0913590465518</v>
      </c>
      <c r="F6" s="4" t="n">
        <f aca="false">DCF_Bull!$B$47</f>
        <v>39.2872199238639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44.4514865164934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44.7477836021525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0.196877252085736</v>
      </c>
    </row>
    <row r="11" customFormat="false" ht="15" hidden="false" customHeight="false" outlineLevel="0" collapsed="false">
      <c r="A11" s="0" t="s">
        <v>154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25.6052595974149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45.5144865165351</v>
      </c>
      <c r="C15" s="3" t="n">
        <v>9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43.8742784893789</v>
      </c>
      <c r="C16" s="3" t="n">
        <v>9.5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42.3063343475801</v>
      </c>
      <c r="C17" s="3" t="n">
        <v>10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39.3729069031321</v>
      </c>
      <c r="C18" s="3" t="n">
        <v>11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34.8467232799748</v>
      </c>
      <c r="C19" s="3" t="n">
        <v>12</v>
      </c>
    </row>
    <row r="20" customFormat="false" ht="15" hidden="false" customHeight="false" outlineLevel="0" collapsed="false">
      <c r="A20" s="0" t="s">
        <v>163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25.4567065046604</v>
      </c>
      <c r="C20" s="3" t="n">
        <v>15</v>
      </c>
    </row>
    <row r="22" customFormat="false" ht="15" hidden="false" customHeight="false" outlineLevel="0" collapsed="false">
      <c r="A22" s="2" t="s">
        <v>164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50.9083212928394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50.9083212928394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50.9083212928394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50.9083212928394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50.9083212928394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47.2308056660626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47.2308056660626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47.2308056660626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47.2308056660626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47.2308056660626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43.8742784893789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43.8742784893789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43.8742784893789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43.8742784893789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43.8742784893789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39.5502640971824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40.8070210663668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40.8070210663668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40.8070210663668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40.8070210663668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35.0588602551744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35.9920626138992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37.0289541235934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38.0007493053247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38.0007493053247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2026-10-17T01:40:19Z</dcterms:created>
  <dc:creator>openpyxl</dc:creator>
  <dc:description/>
  <dc:language>en-NZ</dc:language>
  <cp:lastModifiedBy/>
  <dcterms:modified xsi:type="dcterms:W3CDTF">2026-10-17T01:40:19Z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