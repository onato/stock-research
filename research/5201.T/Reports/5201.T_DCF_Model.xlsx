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<sst xmlns="http://schemas.openxmlformats.org/spreadsheetml/2006/main" count="369" uniqueCount="170">
  <si>
    <t xml:space="preserve">Ticker</t>
  </si>
  <si>
    <t xml:space="preserve">5201.T</t>
  </si>
  <si>
    <t xml:space="preserve">Company</t>
  </si>
  <si>
    <t xml:space="preserve">AGC Inc.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</si>
  <si>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</si>
  <si>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</si>
  <si>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</si>
  <si>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</si>
  <si>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15:30 JST)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</si>
  <si>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</si>
  <si>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</si>
  <si>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</si>
  <si>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</si>
  <si>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</si>
  <si>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</si>
  <si>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</si>
  <si>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</si>
  <si>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</si>
  <si>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</si>
  <si>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</si>
  <si>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</si>
  <si>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2026-10-31T07:40:41Z</t>
  </si>
  <si>
    <t xml:space="preserve">Drivers file</t>
  </si>
  <si>
    <t xml:space="preserve">5201.T_Drivers.json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</si>
  <si>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</si>
  <si>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</si>
  <si>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</si>
  <si>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AGC is a world-scale, asset-heavy, cyclical materials group whose reported EBITDA (~15-17% of revenue) converts to owner free cash flow at only 20-25% because capex has run 1.2-1.7x D&amp;A for a decade and working capital absorbs ~15-30% of every yen of growth. The house owner-FCF DCF therefore values the equity well below a price that the market sets on book value and EV/EBITDA (0.77x book, ~6x trailing EBITDA). The 15x terminal cap binds in all three scenarios against a 7%/2% Gordon of 20.4x; even uncapped, the base case does not reach the current price. The gap to the market is the sum of (i) a terminal multiple of ~6x EBITDA that the market has always granted AGC's asset base, (ii) a margin recovery to Vision 2030 levels (the bull case), and (iii) faith that capex really does fall to ~1x D&amp;A. House and street bases coincide (SBC-zero), so the valuation does not depend on SBC treatment at all; it depends on the capex/D&amp;A ratio, the terminal cap and the NCI leakage. Entry prices at a 15% hurdle are far below intrinsic value, as expected for an asset discounted at 7%.
key_risks_to_valuation: Terminal cap: the 15x FCF cap (cyclical) implies a terminal EV/EBITDA of only ~3-4x against AGC's own 5-7x historical range; at AGC's historical ~6x EBITDA the base value would sit above the current price. The cap is the house's cyclical discipline, not a market forecast.; Capex/D&amp;A: the base assumes ~1.0x ex-lease from 2027 on management's word; the 10-year history is 1.17-1.74x. Every 0.1x of capex/D&amp;A is ~JPY18bn/yr of owner FCF, roughly JPY1,000/share at the cap.; NCI leakage modelled as 13% of post-tax profit in the flows; if NCI is instead deducted at book (JPY229bn) the base value is a few hundred yen lower in the bear and higher in the bull.; Yen: ~two-thirds of sales are outside Japan; FY2024-25 growth was largely translation. A stronger yen cuts reported revenue and the yen value of foreign-currency debt (EUR/USD/THB) alike.; Pension liability (JPY49.5bn) and FVOCI debt instruments (JPY7bn) are left out of the bridge; adding both would net roughly -JPY200/share.; The bear case sits near the DCF floor: with ~JPY586bn net debt ahead of the equity, a 15x multiple on JPY40-60bn of owner FCF leaves little equity value, which is a finding about financial structure and FCF conversion, not a solvency call.</t>
  </si>
  <si>
    <t xml:space="preserve">Data sources</t>
  </si>
  <si>
    <t xml:space="preserve">price: Yahoo Finance chart API (query1.finance.yahoo.com, 5201.T) at inputs.price_as_of; 52-week range 4,765-8,315.
financials: 5201.T_Metrics.csv (FY2014-H1 FY2026, millions JPY, IFRS); H1 FY2026 tanshin (balance sheet 2026-06-30, share count, FY2026 forecast); FY2025 yuho (income statement, cash-flow interest/tax lines, debt and lease notes, IFRS 2 note, note 26 financial instruments); FY2024 results presentation (AGC plus-2026 targets, capex/EBITDA outlook).
qualitative: 5201.T_Analysis.json (2026-10-31): segment mix, moat, bull/bear cases, guidance table.</t>
  </si>
  <si>
    <t xml:space="preserve">Scenario narrative: bear</t>
  </si>
  <si>
    <t xml:space="preserve">H2 FY2026 misses (H1 EBITDA margin was 14.8% against a 15.7% full-year implied), then a 2027-28 downturn in European construction and global auto production coincides with yen appreciation as the BOJ normalises, removing the translation tailwind that drove FY2024-25 reported growth. Chinese float and automotive glass capacity (Xinyi, Fuyao) keeps architectural and auto pricing under pressure, caustic soda/PVC stays oversupplied, and the CDMO business disappoints again with further write-downs. Margins trough at 13.5% and recover only to the FY2023-25 band of ~15%; fixed yen-denominated D&amp;A rises against a smaller revenue base; the medium-term targets are cut a second time. No solvency issue (D/E 0.4x, A-rated), but with net debt plus NCI claims of ~JPY815bn ahead of the equity, owner FCF of JPY40-60bn capitalised at 15x leaves little for shareholders: this scenario sits near the floor of the DCF and the share is worth its asset-liquidation optionality more than its cash flows.</t>
  </si>
  <si>
    <t xml:space="preserve">Scenario narrative: base</t>
  </si>
  <si>
    <t xml:space="preserve">AGC delivers its maintained FY2026 guidance (net sales JPY2,200bn, OP JPY150bn), then grinds OP margin from 6.8% toward ~8.3% by 2030 as the strategic businesses (EUV mask blanks and optoelectronic materials riding leading-edge semiconductor capex, performance fluorochemicals, the Thailand chlor-alkali expansion contributing from 2026, Life Science CDMO reaching breakeven around 2027) outgrow flat architectural glass and a commoditised display business. Capex intensity falls to ~1.0x D&amp;A as management says, but working capital at 30% of revenue and a decade of sub-cost-of-capital ROE (4.7% in FY2025, 7% targeted) mean owner FCF stays at 3-4% of revenue. Revenue growth fades to 2% JPY nominal. Management's Vision 2030 (OP JPY300bn+, ROE 10%+) is not reached in this case; the once-cut AGC plus-2026 target is the pattern.</t>
  </si>
  <si>
    <t xml:space="preserve">Scenario narrative: bull</t>
  </si>
  <si>
    <t xml:space="preserve">The AI/leading-edge semiconductor cycle keeps EUV blank and electronic-materials demand compounding, performance chemicals capacity fills, Southeast Asian caustic soda/PVC pricing recovers from the Chinese oversupply trough, and the biopharma CDMO sites (Boulder, Copenhagen) finally hit the utilisation that justified the &gt;JPY120bn of impairments. OP margin reaches ~10% (Vision 2030's JPY300bn delivered), Life Science losses stop leaking unsheltered tax, capex settles at ~1.05x D&amp;A and the group finally earns above its cost of equity, which is what a re-rating from 0.77x book would require. Revenue grows 5-8% through 2029 on volume rather than yen weakness.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</si>
  <si>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</si>
  <si>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</si>
  <si>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</si>
  <si>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</si>
  <si>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</si>
  <si>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</si>
  <si>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</si>
  <si>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</si>
  <si>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</si>
  <si>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</si>
  <si>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</si>
  <si>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</si>
  <si>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</si>
  <si>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</si>
  <si>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</si>
  <si>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</si>
  <si>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</si>
  <si>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</si>
  <si>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</si>
  <si>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</si>
  <si>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</si>
  <si>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</si>
  <si>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</si>
  <si>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</si>
  <si>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</si>
  <si>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</si>
  <si>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</si>
  <si>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</si>
  <si>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SegmentOperatingIncomeElectronics</t>
  </si>
  <si>
    <t xml:space="preserve">SegmentRevenueElectronics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</si>
  <si>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</si>
  <si>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</si>
  <si>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</si>
  <si>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</si>
  <si>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</si>
  <si>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</si>
  <si>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</si>
  <si>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</si>
  <si>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</si>
  <si>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</si>
  <si>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</si>
  <si>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</si>
  <si>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</si>
  <si>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</si>
  <si>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</si>
  <si>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</si>
  <si>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</si>
  <si>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</si>
  <si>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</si>
  <si>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</si>
  <si>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</si>
  <si>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</si>
  <si>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</si>
  <si>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</si>
  <si>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</si>
  <si>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</si>
  <si>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</si>
  <si>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</si>
  <si>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</si>
  <si>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</si>
  <si>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</si>
  <si>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</si>
  <si>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</si>
  <si>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</si>
  <si>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</si>
  <si>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</si>
  <si>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</si>
  <si>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</si>
  <si>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</si>
  <si>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</si>
  <si>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</si>
  <si>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</si>
  <si>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</si>
  <si>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</si>
  <si>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</si>
  <si>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</si>
  <si>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</si>
  <si>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</si>
  <si>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</si>
  <si>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5201.T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</si>
  <si>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</si>
  <si>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</si>
  <si>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</si>
  <si>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</si>
  <si>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</si>
  <si>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</si>
  <si>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</si>
  <si>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</si>
  <si>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</si>
  <si>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</si>
  <si>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</si>
  <si>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</si>
  <si>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</si>
  <si>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</si>
  <si>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</si>
  <si>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</si>
  <si>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</si>
  <si>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</si>
  <si>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</si>
  <si>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</si>
  <si>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</si>
  <si>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</si>
  <si>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</si>
  <si>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</si>
  <si>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</si>
  <si>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</si>
  <si>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</si>
  <si>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</si>
  <si>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</si>
  <si>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</si>
  <si>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5201.T owner-FCF component DCF: base case (millions, JPY)</t>
  </si>
  <si>
    <t xml:space="preserve">5201.T owner-FCF component DCF: bull case (millions, JPY)</t>
  </si>
  <si>
    <t xml:space="preserve">5201.T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</si>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</sst>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5420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</row>
    <row r="2" customFormat="false" ht="15" hidden="false" customHeight="false" outlineLevel="0" collapsed="false">
      <c r="A2" s="0" t="s">
        <v>66</v>
      </c>
      <c r="B2" s="0" t="n">
        <v>1348308</v>
      </c>
      <c r="C2" s="0" t="n">
        <v>1016479</v>
      </c>
      <c r="D2" s="0" t="n">
        <v>331829</v>
      </c>
      <c r="E2" s="0" t="n">
        <v>24.6</v>
      </c>
      <c r="F2" s="0" t="n">
        <v>62131</v>
      </c>
      <c r="G2" s="0" t="n">
        <v>4.6</v>
      </c>
      <c r="H2" s="0" t="n">
        <v>199330</v>
      </c>
      <c r="I2" s="0" t="n">
        <v>15913</v>
      </c>
      <c r="J2" s="0" t="n">
        <v>1.2</v>
      </c>
      <c r="K2" s="0" t="n">
        <v>67.9</v>
      </c>
      <c r="L2" s="0" t="n">
        <v>135790</v>
      </c>
      <c r="M2" s="0" t="n">
        <v>113966</v>
      </c>
      <c r="N2" s="0" t="n">
        <v>21824</v>
      </c>
      <c r="O2" s="0" t="n">
        <v>1113126</v>
      </c>
      <c r="P2" s="0" t="n">
        <v>2077338</v>
      </c>
      <c r="Q2" s="0" t="n">
        <v>896847</v>
      </c>
      <c r="R2" s="0" t="n">
        <v>499256</v>
      </c>
      <c r="S2" s="0" t="n">
        <v>69655</v>
      </c>
      <c r="T2" s="0" t="n">
        <v>234.359</v>
      </c>
      <c r="AA2" s="0" t="s">
        <v>17</v>
      </c>
      <c r="AB2" s="0" t="s">
        <v>14</v>
      </c>
      <c r="AC2" s="0" t="n">
        <v>68.85</v>
      </c>
    </row>
    <row r="3" customFormat="false" ht="15" hidden="false" customHeight="false" outlineLevel="0" collapsed="false">
      <c r="A3" s="0" t="s">
        <v>67</v>
      </c>
      <c r="B3" s="0" t="n">
        <v>1326293</v>
      </c>
      <c r="C3" s="0" t="n">
        <v>992728</v>
      </c>
      <c r="D3" s="0" t="n">
        <v>333565</v>
      </c>
      <c r="E3" s="0" t="n">
        <v>25.2</v>
      </c>
      <c r="F3" s="0" t="n">
        <v>71172</v>
      </c>
      <c r="G3" s="0" t="n">
        <v>5.4</v>
      </c>
      <c r="H3" s="0" t="n">
        <v>208553</v>
      </c>
      <c r="I3" s="0" t="n">
        <v>42906</v>
      </c>
      <c r="J3" s="0" t="n">
        <v>3.2</v>
      </c>
      <c r="K3" s="0" t="n">
        <v>184.85</v>
      </c>
      <c r="L3" s="0" t="n">
        <v>187170</v>
      </c>
      <c r="M3" s="0" t="n">
        <v>126491</v>
      </c>
      <c r="N3" s="0" t="n">
        <v>60679</v>
      </c>
      <c r="O3" s="0" t="n">
        <v>1094172</v>
      </c>
      <c r="P3" s="0" t="n">
        <v>1991262</v>
      </c>
      <c r="Q3" s="0" t="n">
        <v>827495</v>
      </c>
      <c r="R3" s="0" t="n">
        <v>468732</v>
      </c>
      <c r="S3" s="0" t="n">
        <v>104831</v>
      </c>
      <c r="T3" s="0" t="n">
        <v>232.113</v>
      </c>
      <c r="AA3" s="0" t="s">
        <v>17</v>
      </c>
      <c r="AB3" s="0" t="s">
        <v>14</v>
      </c>
      <c r="AC3" s="0" t="n">
        <v>185.6</v>
      </c>
    </row>
    <row r="4" customFormat="false" ht="15" hidden="false" customHeight="false" outlineLevel="0" collapsed="false">
      <c r="A4" s="0" t="s">
        <v>68</v>
      </c>
      <c r="B4" s="0" t="n">
        <v>1282570</v>
      </c>
      <c r="C4" s="0" t="n">
        <v>933623</v>
      </c>
      <c r="D4" s="0" t="n">
        <v>348946</v>
      </c>
      <c r="E4" s="0" t="n">
        <v>27.2</v>
      </c>
      <c r="F4" s="0" t="n">
        <v>96292</v>
      </c>
      <c r="G4" s="0" t="n">
        <v>7.5</v>
      </c>
      <c r="H4" s="0" t="n">
        <v>218095</v>
      </c>
      <c r="I4" s="0" t="n">
        <v>47438</v>
      </c>
      <c r="J4" s="0" t="n">
        <v>3.7</v>
      </c>
      <c r="K4" s="0" t="n">
        <v>204.26</v>
      </c>
      <c r="L4" s="0" t="n">
        <v>203637</v>
      </c>
      <c r="M4" s="0" t="n">
        <v>118379</v>
      </c>
      <c r="N4" s="0" t="n">
        <v>85258</v>
      </c>
      <c r="O4" s="0" t="n">
        <v>1095438</v>
      </c>
      <c r="P4" s="0" t="n">
        <v>1981451</v>
      </c>
      <c r="Q4" s="0" t="n">
        <v>812707</v>
      </c>
      <c r="R4" s="0" t="n">
        <v>433967</v>
      </c>
      <c r="S4" s="0" t="n">
        <v>147325</v>
      </c>
      <c r="T4" s="0" t="n">
        <v>232.243</v>
      </c>
      <c r="AA4" s="0" t="s">
        <v>17</v>
      </c>
      <c r="AB4" s="0" t="s">
        <v>14</v>
      </c>
      <c r="AC4" s="0" t="n">
        <v>205.14</v>
      </c>
      <c r="AD4" s="0" t="n">
        <v>25000</v>
      </c>
      <c r="AE4" s="0" t="n">
        <v>258100</v>
      </c>
    </row>
    <row r="5" customFormat="false" ht="15" hidden="false" customHeight="false" outlineLevel="0" collapsed="false">
      <c r="A5" s="0" t="s">
        <v>69</v>
      </c>
      <c r="B5" s="0" t="n">
        <v>1463532</v>
      </c>
      <c r="C5" s="0" t="n">
        <v>1060587</v>
      </c>
      <c r="D5" s="0" t="n">
        <v>402945</v>
      </c>
      <c r="E5" s="0" t="n">
        <v>27.5</v>
      </c>
      <c r="F5" s="0" t="n">
        <v>119646</v>
      </c>
      <c r="G5" s="0" t="n">
        <v>8.2</v>
      </c>
      <c r="H5" s="0" t="n">
        <v>247872</v>
      </c>
      <c r="I5" s="0" t="n">
        <v>69225</v>
      </c>
      <c r="J5" s="0" t="n">
        <v>4.7</v>
      </c>
      <c r="K5" s="0" t="n">
        <v>300.65</v>
      </c>
      <c r="L5" s="0" t="n">
        <v>203504</v>
      </c>
      <c r="M5" s="0" t="n">
        <v>157227</v>
      </c>
      <c r="N5" s="0" t="n">
        <v>46277</v>
      </c>
      <c r="O5" s="0" t="n">
        <v>1184034</v>
      </c>
      <c r="P5" s="0" t="n">
        <v>2228560</v>
      </c>
      <c r="Q5" s="0" t="n">
        <v>938665</v>
      </c>
      <c r="R5" s="0" t="n">
        <v>489084</v>
      </c>
      <c r="S5" s="0" t="n">
        <v>126417</v>
      </c>
      <c r="T5" s="0" t="n">
        <v>230.251</v>
      </c>
      <c r="AA5" s="0" t="s">
        <v>17</v>
      </c>
      <c r="AB5" s="0" t="s">
        <v>14</v>
      </c>
      <c r="AC5" s="0" t="n">
        <v>302.12</v>
      </c>
      <c r="AD5" s="0" t="n">
        <v>27300</v>
      </c>
      <c r="AE5" s="0" t="n">
        <v>262400</v>
      </c>
    </row>
    <row r="6" customFormat="false" ht="15" hidden="false" customHeight="false" outlineLevel="0" collapsed="false">
      <c r="A6" s="0" t="s">
        <v>70</v>
      </c>
      <c r="B6" s="0" t="n">
        <v>1522904</v>
      </c>
      <c r="C6" s="0" t="n">
        <v>1103106</v>
      </c>
      <c r="D6" s="0" t="n">
        <v>419797</v>
      </c>
      <c r="E6" s="0" t="n">
        <v>27.6</v>
      </c>
      <c r="F6" s="0" t="n">
        <v>120555</v>
      </c>
      <c r="G6" s="0" t="n">
        <v>7.9</v>
      </c>
      <c r="H6" s="0" t="n">
        <v>242223</v>
      </c>
      <c r="I6" s="0" t="n">
        <v>89593</v>
      </c>
      <c r="J6" s="0" t="n">
        <v>5.9</v>
      </c>
      <c r="K6" s="0" t="n">
        <v>397.58</v>
      </c>
      <c r="L6" s="0" t="n">
        <v>189287</v>
      </c>
      <c r="M6" s="0" t="n">
        <v>211370</v>
      </c>
      <c r="N6" s="0" t="n">
        <v>-22083</v>
      </c>
      <c r="O6" s="0" t="n">
        <v>1137204</v>
      </c>
      <c r="P6" s="0" t="n">
        <v>2235776</v>
      </c>
      <c r="Q6" s="0" t="n">
        <v>982172</v>
      </c>
      <c r="R6" s="0" t="n">
        <v>541779</v>
      </c>
      <c r="S6" s="0" t="n">
        <v>123503</v>
      </c>
      <c r="T6" s="0" t="n">
        <v>225.346</v>
      </c>
      <c r="AA6" s="0" t="s">
        <v>17</v>
      </c>
      <c r="AB6" s="0" t="s">
        <v>14</v>
      </c>
      <c r="AC6" s="0" t="n">
        <v>399.51</v>
      </c>
      <c r="AD6" s="0" t="n">
        <v>24000</v>
      </c>
      <c r="AE6" s="0" t="n">
        <v>252600</v>
      </c>
    </row>
    <row r="7" customFormat="false" ht="15" hidden="false" customHeight="false" outlineLevel="0" collapsed="false">
      <c r="A7" s="0" t="s">
        <v>71</v>
      </c>
      <c r="B7" s="0" t="n">
        <v>1518039</v>
      </c>
      <c r="C7" s="0" t="n">
        <v>1115323</v>
      </c>
      <c r="D7" s="0" t="n">
        <v>402715</v>
      </c>
      <c r="E7" s="0" t="n">
        <v>26.5</v>
      </c>
      <c r="F7" s="0" t="n">
        <v>101624</v>
      </c>
      <c r="G7" s="0" t="n">
        <v>6.7</v>
      </c>
      <c r="H7" s="0" t="n">
        <v>244985</v>
      </c>
      <c r="I7" s="0" t="n">
        <v>44434</v>
      </c>
      <c r="J7" s="0" t="n">
        <v>2.9</v>
      </c>
      <c r="K7" s="0" t="n">
        <v>199.95</v>
      </c>
      <c r="L7" s="0" t="n">
        <v>191906</v>
      </c>
      <c r="M7" s="0" t="n">
        <v>197928</v>
      </c>
      <c r="N7" s="0" t="n">
        <v>-6022</v>
      </c>
      <c r="O7" s="0" t="n">
        <v>1157097</v>
      </c>
      <c r="P7" s="0" t="n">
        <v>2335415</v>
      </c>
      <c r="Q7" s="0" t="n">
        <v>1052778</v>
      </c>
      <c r="R7" s="0" t="n">
        <v>602841</v>
      </c>
      <c r="S7" s="0" t="n">
        <v>113784</v>
      </c>
      <c r="T7" s="0" t="n">
        <v>222.226</v>
      </c>
      <c r="AA7" s="0" t="s">
        <v>17</v>
      </c>
      <c r="AB7" s="0" t="s">
        <v>14</v>
      </c>
      <c r="AC7" s="0" t="n">
        <v>200.85</v>
      </c>
      <c r="AD7" s="0" t="n">
        <v>25600</v>
      </c>
      <c r="AE7" s="0" t="n">
        <v>276700</v>
      </c>
    </row>
    <row r="8" customFormat="false" ht="15" hidden="false" customHeight="false" outlineLevel="0" collapsed="false">
      <c r="A8" s="0" t="s">
        <v>72</v>
      </c>
      <c r="B8" s="0" t="n">
        <v>1412306</v>
      </c>
      <c r="C8" s="0" t="n">
        <v>1053243</v>
      </c>
      <c r="D8" s="0" t="n">
        <v>359062</v>
      </c>
      <c r="E8" s="0" t="n">
        <v>25.4</v>
      </c>
      <c r="F8" s="0" t="n">
        <v>75780</v>
      </c>
      <c r="G8" s="0" t="n">
        <v>5.4</v>
      </c>
      <c r="H8" s="0" t="n">
        <v>219496</v>
      </c>
      <c r="I8" s="0" t="n">
        <v>32715</v>
      </c>
      <c r="J8" s="0" t="n">
        <v>2.3</v>
      </c>
      <c r="K8" s="0" t="n">
        <v>147.24</v>
      </c>
      <c r="L8" s="0" t="n">
        <v>225392</v>
      </c>
      <c r="M8" s="0" t="n">
        <v>191469</v>
      </c>
      <c r="N8" s="0" t="n">
        <v>33923</v>
      </c>
      <c r="O8" s="0" t="n">
        <v>1115142</v>
      </c>
      <c r="P8" s="0" t="n">
        <v>2534458</v>
      </c>
      <c r="Q8" s="0" t="n">
        <v>1291418</v>
      </c>
      <c r="R8" s="0" t="n">
        <v>787959</v>
      </c>
      <c r="S8" s="0" t="n">
        <v>236124</v>
      </c>
      <c r="T8" s="0" t="n">
        <v>222.188</v>
      </c>
      <c r="AA8" s="0" t="s">
        <v>17</v>
      </c>
      <c r="AB8" s="0" t="s">
        <v>14</v>
      </c>
      <c r="AC8" s="0" t="n">
        <v>147.84</v>
      </c>
      <c r="AD8" s="0" t="n">
        <v>37800</v>
      </c>
      <c r="AE8" s="0" t="n">
        <v>289400</v>
      </c>
    </row>
    <row r="9" customFormat="false" ht="15" hidden="false" customHeight="false" outlineLevel="0" collapsed="false">
      <c r="A9" s="0" t="s">
        <v>73</v>
      </c>
      <c r="B9" s="0" t="n">
        <v>1697383</v>
      </c>
      <c r="C9" s="0" t="n">
        <v>1184383</v>
      </c>
      <c r="D9" s="0" t="n">
        <v>512999</v>
      </c>
      <c r="E9" s="0" t="n">
        <v>30.2</v>
      </c>
      <c r="F9" s="0" t="n">
        <v>206168</v>
      </c>
      <c r="G9" s="0" t="n">
        <v>12.1</v>
      </c>
      <c r="H9" s="0" t="n">
        <v>372924</v>
      </c>
      <c r="I9" s="0" t="n">
        <v>123840</v>
      </c>
      <c r="J9" s="0" t="n">
        <v>7.3</v>
      </c>
      <c r="K9" s="0" t="n">
        <v>557.1</v>
      </c>
      <c r="L9" s="0" t="n">
        <v>326713</v>
      </c>
      <c r="M9" s="0" t="n">
        <v>210572</v>
      </c>
      <c r="N9" s="0" t="n">
        <v>116141</v>
      </c>
      <c r="O9" s="0" t="n">
        <v>1314161</v>
      </c>
      <c r="P9" s="0" t="n">
        <v>2666031</v>
      </c>
      <c r="Q9" s="0" t="n">
        <v>1184650</v>
      </c>
      <c r="R9" s="0" t="n">
        <v>603193</v>
      </c>
      <c r="S9" s="0" t="n">
        <v>195830</v>
      </c>
      <c r="T9" s="0" t="n">
        <v>222.294</v>
      </c>
      <c r="AA9" s="0" t="s">
        <v>17</v>
      </c>
      <c r="AB9" s="0" t="s">
        <v>14</v>
      </c>
      <c r="AC9" s="0" t="n">
        <v>559.11</v>
      </c>
      <c r="AD9" s="0" t="n">
        <v>36400</v>
      </c>
      <c r="AE9" s="0" t="n">
        <v>312000</v>
      </c>
    </row>
    <row r="10" customFormat="false" ht="15" hidden="false" customHeight="false" outlineLevel="0" collapsed="false">
      <c r="A10" s="0" t="s">
        <v>74</v>
      </c>
      <c r="B10" s="0" t="n">
        <v>2035874</v>
      </c>
      <c r="C10" s="0" t="n">
        <v>1506492</v>
      </c>
      <c r="D10" s="0" t="n">
        <v>529381</v>
      </c>
      <c r="E10" s="0" t="n">
        <v>26</v>
      </c>
      <c r="F10" s="0" t="n">
        <v>183942</v>
      </c>
      <c r="G10" s="0" t="n">
        <v>9</v>
      </c>
      <c r="H10" s="0" t="n">
        <v>369598</v>
      </c>
      <c r="I10" s="0" t="n">
        <v>-3152</v>
      </c>
      <c r="J10" s="0" t="n">
        <v>-0.2</v>
      </c>
      <c r="K10" s="0" t="n">
        <v>-14.22</v>
      </c>
      <c r="L10" s="0" t="n">
        <v>217146</v>
      </c>
      <c r="M10" s="0" t="n">
        <v>223921</v>
      </c>
      <c r="N10" s="0" t="n">
        <v>-6775</v>
      </c>
      <c r="O10" s="0" t="n">
        <v>1390254</v>
      </c>
      <c r="P10" s="0" t="n">
        <v>2814029</v>
      </c>
      <c r="Q10" s="0" t="n">
        <v>1228439</v>
      </c>
      <c r="R10" s="0" t="n">
        <v>650241</v>
      </c>
      <c r="S10" s="0" t="n">
        <v>209716</v>
      </c>
      <c r="T10" s="0" t="n">
        <v>221.66</v>
      </c>
      <c r="AA10" s="0" t="s">
        <v>17</v>
      </c>
      <c r="AB10" s="0" t="s">
        <v>14</v>
      </c>
      <c r="AC10" s="0" t="n">
        <v>-14.22</v>
      </c>
      <c r="AD10" s="0" t="n">
        <v>14700</v>
      </c>
      <c r="AE10" s="0" t="n">
        <v>307200</v>
      </c>
    </row>
    <row r="11" customFormat="false" ht="15" hidden="false" customHeight="false" outlineLevel="0" collapsed="false">
      <c r="A11" s="0" t="s">
        <v>75</v>
      </c>
      <c r="B11" s="0" t="n">
        <v>2019254</v>
      </c>
      <c r="C11" s="0" t="n">
        <v>1537897</v>
      </c>
      <c r="D11" s="0" t="n">
        <v>481356</v>
      </c>
      <c r="E11" s="0" t="n">
        <v>23.8</v>
      </c>
      <c r="F11" s="0" t="n">
        <v>128779</v>
      </c>
      <c r="G11" s="0" t="n">
        <v>6.4</v>
      </c>
      <c r="H11" s="0" t="n">
        <v>304125</v>
      </c>
      <c r="I11" s="0" t="n">
        <v>65798</v>
      </c>
      <c r="J11" s="0" t="n">
        <v>3.3</v>
      </c>
      <c r="K11" s="0" t="n">
        <v>304.01</v>
      </c>
      <c r="L11" s="0" t="n">
        <v>212546</v>
      </c>
      <c r="M11" s="0" t="n">
        <v>213531</v>
      </c>
      <c r="N11" s="0" t="n">
        <v>-985</v>
      </c>
      <c r="O11" s="0" t="n">
        <v>1447080</v>
      </c>
      <c r="P11" s="0" t="n">
        <v>2932991</v>
      </c>
      <c r="Q11" s="0" t="n">
        <v>1278652</v>
      </c>
      <c r="R11" s="0" t="n">
        <v>695008</v>
      </c>
      <c r="S11" s="0" t="n">
        <v>146061</v>
      </c>
      <c r="T11" s="0" t="n">
        <v>216.434</v>
      </c>
      <c r="AA11" s="0" t="s">
        <v>17</v>
      </c>
      <c r="AB11" s="0" t="s">
        <v>14</v>
      </c>
      <c r="AC11" s="0" t="n">
        <v>304.73</v>
      </c>
      <c r="AD11" s="0" t="n">
        <v>18400</v>
      </c>
      <c r="AE11" s="0" t="n">
        <v>313200</v>
      </c>
    </row>
    <row r="12" customFormat="false" ht="15" hidden="false" customHeight="false" outlineLevel="0" collapsed="false">
      <c r="A12" s="0" t="s">
        <v>76</v>
      </c>
      <c r="B12" s="0" t="n">
        <v>2067603</v>
      </c>
      <c r="C12" s="0" t="n">
        <v>1568552</v>
      </c>
      <c r="D12" s="0" t="n">
        <v>499050</v>
      </c>
      <c r="E12" s="0" t="n">
        <v>24.1</v>
      </c>
      <c r="F12" s="0" t="n">
        <v>125835</v>
      </c>
      <c r="G12" s="0" t="n">
        <v>6.1</v>
      </c>
      <c r="H12" s="0" t="n">
        <v>307108</v>
      </c>
      <c r="I12" s="0" t="n">
        <v>-94042</v>
      </c>
      <c r="J12" s="0" t="n">
        <v>-4.5</v>
      </c>
      <c r="K12" s="0" t="n">
        <v>-443.71</v>
      </c>
      <c r="L12" s="0" t="n">
        <v>284815</v>
      </c>
      <c r="M12" s="0" t="n">
        <v>242359</v>
      </c>
      <c r="N12" s="0" t="n">
        <v>42456</v>
      </c>
      <c r="O12" s="0" t="n">
        <v>1435787</v>
      </c>
      <c r="P12" s="0" t="n">
        <v>2889665</v>
      </c>
      <c r="Q12" s="0" t="n">
        <v>1217967</v>
      </c>
      <c r="R12" s="0" t="n">
        <v>649737</v>
      </c>
      <c r="S12" s="0" t="n">
        <v>107988</v>
      </c>
      <c r="T12" s="0" t="n">
        <v>211.945</v>
      </c>
      <c r="AA12" s="0" t="s">
        <v>17</v>
      </c>
      <c r="AB12" s="0" t="s">
        <v>14</v>
      </c>
      <c r="AC12" s="0" t="n">
        <v>-443.71</v>
      </c>
      <c r="AD12" s="0" t="n">
        <v>54500</v>
      </c>
      <c r="AE12" s="0" t="n">
        <v>364500</v>
      </c>
    </row>
    <row r="13" customFormat="false" ht="15" hidden="false" customHeight="false" outlineLevel="0" collapsed="false">
      <c r="A13" s="0" t="s">
        <v>77</v>
      </c>
      <c r="B13" s="0" t="n">
        <v>2058832</v>
      </c>
      <c r="C13" s="0" t="n">
        <v>1558385</v>
      </c>
      <c r="D13" s="0" t="n">
        <v>500447</v>
      </c>
      <c r="E13" s="0" t="n">
        <v>24.3</v>
      </c>
      <c r="F13" s="0" t="n">
        <v>127465</v>
      </c>
      <c r="G13" s="0" t="n">
        <v>6.2</v>
      </c>
      <c r="H13" s="0" t="n">
        <v>307261</v>
      </c>
      <c r="I13" s="0" t="n">
        <v>69162</v>
      </c>
      <c r="J13" s="0" t="n">
        <v>3.4</v>
      </c>
      <c r="K13" s="0" t="n">
        <v>325.67</v>
      </c>
      <c r="L13" s="0" t="n">
        <v>274476</v>
      </c>
      <c r="M13" s="0" t="n">
        <v>209545</v>
      </c>
      <c r="N13" s="0" t="n">
        <v>64931</v>
      </c>
      <c r="O13" s="0" t="n">
        <v>1485126</v>
      </c>
      <c r="P13" s="0" t="n">
        <v>2950077</v>
      </c>
      <c r="Q13" s="0" t="n">
        <v>1218355</v>
      </c>
      <c r="R13" s="0" t="n">
        <v>646463</v>
      </c>
      <c r="S13" s="0" t="n">
        <v>94671</v>
      </c>
      <c r="T13" s="0" t="n">
        <v>212.368</v>
      </c>
      <c r="AA13" s="0" t="s">
        <v>17</v>
      </c>
      <c r="AB13" s="0" t="s">
        <v>14</v>
      </c>
      <c r="AC13" s="0" t="n">
        <v>326.2</v>
      </c>
      <c r="AD13" s="0" t="n">
        <v>47500</v>
      </c>
      <c r="AE13" s="0" t="n">
        <v>355100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5420</v>
      </c>
    </row>
    <row r="3" customFormat="false" ht="15" hidden="false" customHeight="false" outlineLevel="0" collapsed="false">
      <c r="A3" s="0" t="s">
        <v>81</v>
      </c>
      <c r="B3" s="3" t="n">
        <v>212.421</v>
      </c>
    </row>
    <row r="4" customFormat="false" ht="15" hidden="false" customHeight="false" outlineLevel="0" collapsed="false">
      <c r="A4" s="0" t="s">
        <v>82</v>
      </c>
      <c r="B4" s="3" t="n">
        <v>585584</v>
      </c>
    </row>
    <row r="5" customFormat="false" ht="15" hidden="false" customHeight="false" outlineLevel="0" collapsed="false">
      <c r="A5" s="0" t="s">
        <v>83</v>
      </c>
      <c r="B5" s="3" t="n">
        <v>35484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2058832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4</v>
      </c>
      <c r="D13" s="3" t="n">
        <v>-1</v>
      </c>
      <c r="E13" s="3" t="n">
        <v>-2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15</v>
      </c>
      <c r="D14" s="3" t="n">
        <v>14</v>
      </c>
      <c r="E14" s="3" t="n">
        <v>13.5</v>
      </c>
      <c r="F14" s="3" t="n">
        <v>14</v>
      </c>
      <c r="G14" s="3" t="n">
        <v>14.5</v>
      </c>
      <c r="H14" s="3" t="n">
        <v>15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8.9</v>
      </c>
      <c r="D17" s="3" t="n">
        <v>9.2</v>
      </c>
      <c r="E17" s="3" t="n">
        <v>9.4</v>
      </c>
      <c r="F17" s="3" t="n">
        <v>9.2</v>
      </c>
      <c r="G17" s="3" t="n">
        <v>9</v>
      </c>
      <c r="H17" s="3" t="n">
        <v>9</v>
      </c>
      <c r="I17" s="3" t="n">
        <v>9</v>
      </c>
      <c r="J17" s="3" t="n">
        <v>9</v>
      </c>
      <c r="K17" s="3" t="n">
        <v>9</v>
      </c>
      <c r="L17" s="3" t="n">
        <v>9</v>
      </c>
    </row>
    <row r="18" customFormat="false" ht="15" hidden="false" customHeight="false" outlineLevel="0" collapsed="false">
      <c r="A18" s="0" t="s">
        <v>106</v>
      </c>
      <c r="C18" s="3" t="n">
        <v>10.1</v>
      </c>
      <c r="D18" s="3" t="n">
        <v>10</v>
      </c>
      <c r="E18" s="3" t="n">
        <v>9.8</v>
      </c>
      <c r="F18" s="3" t="n">
        <v>9.8</v>
      </c>
      <c r="G18" s="3" t="n">
        <v>9.8</v>
      </c>
      <c r="H18" s="3" t="n">
        <v>9.8</v>
      </c>
      <c r="I18" s="3" t="n">
        <v>9.8</v>
      </c>
      <c r="J18" s="3" t="n">
        <v>9.8</v>
      </c>
      <c r="K18" s="3" t="n">
        <v>9.8</v>
      </c>
      <c r="L18" s="3" t="n">
        <v>9.8</v>
      </c>
    </row>
    <row r="19" customFormat="false" ht="15" hidden="false" customHeight="false" outlineLevel="0" collapsed="false">
      <c r="A19" s="0" t="s">
        <v>107</v>
      </c>
      <c r="C19" s="3" t="n">
        <v>43.5</v>
      </c>
      <c r="D19" s="3" t="n">
        <v>44.3</v>
      </c>
      <c r="E19" s="3" t="n">
        <v>44.3</v>
      </c>
      <c r="F19" s="3" t="n">
        <v>43.5</v>
      </c>
      <c r="G19" s="3" t="n">
        <v>42.6</v>
      </c>
      <c r="H19" s="3" t="n">
        <v>42.6</v>
      </c>
      <c r="I19" s="3" t="n">
        <v>42.6</v>
      </c>
      <c r="J19" s="3" t="n">
        <v>42.6</v>
      </c>
      <c r="K19" s="3" t="n">
        <v>42.6</v>
      </c>
      <c r="L19" s="3" t="n">
        <v>42.6</v>
      </c>
    </row>
    <row r="20" customFormat="false" ht="15" hidden="false" customHeight="false" outlineLevel="0" collapsed="false">
      <c r="A20" s="0" t="s">
        <v>108</v>
      </c>
      <c r="B20" s="3" t="n">
        <v>7</v>
      </c>
    </row>
    <row r="21" customFormat="false" ht="15" hidden="false" customHeight="false" outlineLevel="0" collapsed="false">
      <c r="A21" s="0" t="s">
        <v>109</v>
      </c>
      <c r="B21" s="3" t="n">
        <v>1</v>
      </c>
    </row>
    <row r="22" customFormat="false" ht="15" hidden="false" customHeight="false" outlineLevel="0" collapsed="false">
      <c r="A22" s="0" t="s">
        <v>110</v>
      </c>
      <c r="B22" s="3" t="n">
        <v>15</v>
      </c>
    </row>
    <row r="23" customFormat="false" ht="15" hidden="false" customHeight="false" outlineLevel="0" collapsed="false">
      <c r="A23" s="0" t="s">
        <v>111</v>
      </c>
      <c r="B23" s="3" t="n">
        <v>-15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6.9</v>
      </c>
      <c r="D27" s="3" t="n">
        <v>3.5</v>
      </c>
      <c r="E27" s="3" t="n">
        <v>3</v>
      </c>
      <c r="F27" s="3" t="n">
        <v>3</v>
      </c>
      <c r="G27" s="3" t="n">
        <v>2.5</v>
      </c>
      <c r="H27" s="3" t="n">
        <v>2.5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102</v>
      </c>
      <c r="C28" s="3" t="n">
        <v>15.6</v>
      </c>
      <c r="D28" s="3" t="n">
        <v>16</v>
      </c>
      <c r="E28" s="3" t="n">
        <v>16.4</v>
      </c>
      <c r="F28" s="3" t="n">
        <v>16.7</v>
      </c>
      <c r="G28" s="3" t="n">
        <v>17</v>
      </c>
      <c r="H28" s="3" t="n">
        <v>17</v>
      </c>
      <c r="I28" s="3" t="n">
        <v>17</v>
      </c>
      <c r="J28" s="3" t="n">
        <v>17</v>
      </c>
      <c r="K28" s="3" t="n">
        <v>17</v>
      </c>
      <c r="L28" s="3" t="n">
        <v>17</v>
      </c>
    </row>
    <row r="29" customFormat="false" ht="15" hidden="false" customHeight="false" outlineLevel="0" collapsed="false">
      <c r="A29" s="0" t="s">
        <v>103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8.9</v>
      </c>
      <c r="D31" s="3" t="n">
        <v>8.8</v>
      </c>
      <c r="E31" s="3" t="n">
        <v>8.8</v>
      </c>
      <c r="F31" s="3" t="n">
        <v>8.7</v>
      </c>
      <c r="G31" s="3" t="n">
        <v>8.7</v>
      </c>
      <c r="H31" s="3" t="n">
        <v>8.7</v>
      </c>
      <c r="I31" s="3" t="n">
        <v>8.7</v>
      </c>
      <c r="J31" s="3" t="n">
        <v>8.7</v>
      </c>
      <c r="K31" s="3" t="n">
        <v>8.7</v>
      </c>
      <c r="L31" s="3" t="n">
        <v>8.7</v>
      </c>
    </row>
    <row r="32" customFormat="false" ht="15" hidden="false" customHeight="false" outlineLevel="0" collapsed="false">
      <c r="A32" s="0" t="s">
        <v>106</v>
      </c>
      <c r="C32" s="3" t="n">
        <v>10.1</v>
      </c>
      <c r="D32" s="3" t="n">
        <v>10</v>
      </c>
      <c r="E32" s="3" t="n">
        <v>9.9</v>
      </c>
      <c r="F32" s="3" t="n">
        <v>9.8</v>
      </c>
      <c r="G32" s="3" t="n">
        <v>9.8</v>
      </c>
      <c r="H32" s="3" t="n">
        <v>9.7</v>
      </c>
      <c r="I32" s="3" t="n">
        <v>9.7</v>
      </c>
      <c r="J32" s="3" t="n">
        <v>9.7</v>
      </c>
      <c r="K32" s="3" t="n">
        <v>9.7</v>
      </c>
      <c r="L32" s="3" t="n">
        <v>9.7</v>
      </c>
    </row>
    <row r="33" customFormat="false" ht="15" hidden="false" customHeight="false" outlineLevel="0" collapsed="false">
      <c r="A33" s="0" t="s">
        <v>107</v>
      </c>
      <c r="C33" s="3" t="n">
        <v>41.7</v>
      </c>
      <c r="D33" s="3" t="n">
        <v>41.7</v>
      </c>
      <c r="E33" s="3" t="n">
        <v>40.8</v>
      </c>
      <c r="F33" s="3" t="n">
        <v>40.8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108</v>
      </c>
      <c r="B34" s="3" t="n">
        <v>7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15</v>
      </c>
    </row>
    <row r="37" customFormat="false" ht="15" hidden="false" customHeight="false" outlineLevel="0" collapsed="false">
      <c r="A37" s="0" t="s">
        <v>111</v>
      </c>
      <c r="B37" s="3" t="n">
        <v>-15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8</v>
      </c>
      <c r="D41" s="3" t="n">
        <v>6</v>
      </c>
      <c r="E41" s="3" t="n">
        <v>5</v>
      </c>
      <c r="F41" s="3" t="n">
        <v>5</v>
      </c>
      <c r="G41" s="3" t="n">
        <v>4</v>
      </c>
      <c r="H41" s="3" t="n">
        <v>4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15.9</v>
      </c>
      <c r="D42" s="3" t="n">
        <v>16.8</v>
      </c>
      <c r="E42" s="3" t="n">
        <v>17.5</v>
      </c>
      <c r="F42" s="3" t="n">
        <v>18</v>
      </c>
      <c r="G42" s="3" t="n">
        <v>18.5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103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8.9</v>
      </c>
      <c r="D45" s="3" t="n">
        <v>8.8</v>
      </c>
      <c r="E45" s="3" t="n">
        <v>8.7</v>
      </c>
      <c r="F45" s="3" t="n">
        <v>8.6</v>
      </c>
      <c r="G45" s="3" t="n">
        <v>8.5</v>
      </c>
      <c r="H45" s="3" t="n">
        <v>8.5</v>
      </c>
      <c r="I45" s="3" t="n">
        <v>8.5</v>
      </c>
      <c r="J45" s="3" t="n">
        <v>8.5</v>
      </c>
      <c r="K45" s="3" t="n">
        <v>8.5</v>
      </c>
      <c r="L45" s="3" t="n">
        <v>8.5</v>
      </c>
    </row>
    <row r="46" customFormat="false" ht="15" hidden="false" customHeight="false" outlineLevel="0" collapsed="false">
      <c r="A46" s="0" t="s">
        <v>106</v>
      </c>
      <c r="C46" s="3" t="n">
        <v>10.1</v>
      </c>
      <c r="D46" s="3" t="n">
        <v>9.9</v>
      </c>
      <c r="E46" s="3" t="n">
        <v>9.7</v>
      </c>
      <c r="F46" s="3" t="n">
        <v>9.6</v>
      </c>
      <c r="G46" s="3" t="n">
        <v>9.5</v>
      </c>
      <c r="H46" s="3" t="n">
        <v>9.4</v>
      </c>
      <c r="I46" s="3" t="n">
        <v>9.4</v>
      </c>
      <c r="J46" s="3" t="n">
        <v>9.4</v>
      </c>
      <c r="K46" s="3" t="n">
        <v>9.4</v>
      </c>
      <c r="L46" s="3" t="n">
        <v>9.4</v>
      </c>
    </row>
    <row r="47" customFormat="false" ht="15" hidden="false" customHeight="false" outlineLevel="0" collapsed="false">
      <c r="A47" s="0" t="s">
        <v>107</v>
      </c>
      <c r="C47" s="3" t="n">
        <v>40.8</v>
      </c>
      <c r="D47" s="3" t="n">
        <v>40</v>
      </c>
      <c r="E47" s="3" t="n">
        <v>40</v>
      </c>
      <c r="F47" s="3" t="n">
        <v>39.1</v>
      </c>
      <c r="G47" s="3" t="n">
        <v>39.1</v>
      </c>
      <c r="H47" s="3" t="n">
        <v>39.1</v>
      </c>
      <c r="I47" s="3" t="n">
        <v>39.1</v>
      </c>
      <c r="J47" s="3" t="n">
        <v>39.1</v>
      </c>
      <c r="K47" s="3" t="n">
        <v>39.1</v>
      </c>
      <c r="L47" s="3" t="n">
        <v>39.1</v>
      </c>
    </row>
    <row r="48" customFormat="false" ht="15" hidden="false" customHeight="false" outlineLevel="0" collapsed="false">
      <c r="A48" s="0" t="s">
        <v>108</v>
      </c>
      <c r="B48" s="3" t="n">
        <v>7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15</v>
      </c>
    </row>
    <row r="51" customFormat="false" ht="15" hidden="false" customHeight="false" outlineLevel="0" collapsed="false">
      <c r="A51" s="0" t="s">
        <v>111</v>
      </c>
      <c r="B51" s="3" t="n">
        <v>-15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4</v>
      </c>
      <c r="D5" s="4" t="n">
        <f aca="false">Assumptions!D13</f>
        <v>-1</v>
      </c>
      <c r="E5" s="4" t="n">
        <f aca="false">Assumptions!E13</f>
        <v>-2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2058832</v>
      </c>
      <c r="C6" s="0" t="n">
        <f aca="false">B6*(1+C5/100)</f>
        <v>2141185.28</v>
      </c>
      <c r="D6" s="0" t="n">
        <f aca="false">C6*(1+D5/100)</f>
        <v>2119773.4272</v>
      </c>
      <c r="E6" s="0" t="n">
        <f aca="false">D6*(1+E5/100)</f>
        <v>2077377.958656</v>
      </c>
      <c r="F6" s="0" t="n">
        <f aca="false">E6*(1+F5/100)</f>
        <v>2108538.62803584</v>
      </c>
      <c r="G6" s="0" t="n">
        <f aca="false">F6*(1+G5/100)</f>
        <v>2140166.70745638</v>
      </c>
      <c r="H6" s="0" t="n">
        <f aca="false">G6*(1+H5/100)</f>
        <v>2172269.20806822</v>
      </c>
      <c r="I6" s="0" t="n">
        <f aca="false">H6*(1+I5/100)</f>
        <v>2204853.24618925</v>
      </c>
      <c r="J6" s="0" t="n">
        <f aca="false">I6*(1+J5/100)</f>
        <v>2237926.04488208</v>
      </c>
      <c r="K6" s="0" t="n">
        <f aca="false">J6*(1+K5/100)</f>
        <v>2271494.93555532</v>
      </c>
      <c r="L6" s="0" t="n">
        <f aca="false">K6*(1+L5/100)</f>
        <v>2305567.35958864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15</v>
      </c>
      <c r="D7" s="4" t="n">
        <f aca="false">Assumptions!D14</f>
        <v>14</v>
      </c>
      <c r="E7" s="4" t="n">
        <f aca="false">Assumptions!E14</f>
        <v>13.5</v>
      </c>
      <c r="F7" s="4" t="n">
        <f aca="false">Assumptions!F14</f>
        <v>14</v>
      </c>
      <c r="G7" s="4" t="n">
        <f aca="false">Assumptions!G14</f>
        <v>14.5</v>
      </c>
      <c r="H7" s="4" t="n">
        <f aca="false">Assumptions!H14</f>
        <v>15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321177.792</v>
      </c>
      <c r="D8" s="0" t="n">
        <f aca="false">D6*D7/100</f>
        <v>296768.279808</v>
      </c>
      <c r="E8" s="0" t="n">
        <f aca="false">E6*E7/100</f>
        <v>280446.02441856</v>
      </c>
      <c r="F8" s="0" t="n">
        <f aca="false">F6*F7/100</f>
        <v>295195.407925018</v>
      </c>
      <c r="G8" s="0" t="n">
        <f aca="false">G6*G7/100</f>
        <v>310324.172581175</v>
      </c>
      <c r="H8" s="0" t="n">
        <f aca="false">H6*H7/100</f>
        <v>325840.381210233</v>
      </c>
      <c r="I8" s="0" t="n">
        <f aca="false">I6*I7/100</f>
        <v>330727.986928387</v>
      </c>
      <c r="J8" s="0" t="n">
        <f aca="false">J6*J7/100</f>
        <v>335688.906732313</v>
      </c>
      <c r="K8" s="0" t="n">
        <f aca="false">K6*K7/100</f>
        <v>340724.240333297</v>
      </c>
      <c r="L8" s="0" t="n">
        <f aca="false">L6*L7/100</f>
        <v>345835.103938297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321177.792</v>
      </c>
      <c r="D11" s="0" t="n">
        <f aca="false">D8+D10+D24</f>
        <v>296768.279808</v>
      </c>
      <c r="E11" s="0" t="n">
        <f aca="false">E8+E10+E24</f>
        <v>280446.02441856</v>
      </c>
      <c r="F11" s="0" t="n">
        <f aca="false">F8+F10+F24</f>
        <v>295195.407925018</v>
      </c>
      <c r="G11" s="0" t="n">
        <f aca="false">G8+G10+G24</f>
        <v>310324.172581175</v>
      </c>
      <c r="H11" s="0" t="n">
        <f aca="false">H8+H10+H24</f>
        <v>325840.381210233</v>
      </c>
      <c r="I11" s="0" t="n">
        <f aca="false">I8+I10+I24</f>
        <v>330727.986928387</v>
      </c>
      <c r="J11" s="0" t="n">
        <f aca="false">J8+J10+J24</f>
        <v>335688.906732313</v>
      </c>
      <c r="K11" s="0" t="n">
        <f aca="false">K8+K10+K24</f>
        <v>340724.240333297</v>
      </c>
      <c r="L11" s="0" t="n">
        <f aca="false">L8+L10+L24</f>
        <v>345835.103938297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-190565.48992</v>
      </c>
      <c r="D12" s="4" t="n">
        <f aca="false">-D6*Assumptions!D17/100</f>
        <v>-195019.1553024</v>
      </c>
      <c r="E12" s="4" t="n">
        <f aca="false">-E6*Assumptions!E17/100</f>
        <v>-195273.528113664</v>
      </c>
      <c r="F12" s="4" t="n">
        <f aca="false">-F6*Assumptions!F17/100</f>
        <v>-193985.553779297</v>
      </c>
      <c r="G12" s="4" t="n">
        <f aca="false">-G6*Assumptions!G17/100</f>
        <v>-192615.003671074</v>
      </c>
      <c r="H12" s="4" t="n">
        <f aca="false">-H6*Assumptions!H17/100</f>
        <v>-195504.22872614</v>
      </c>
      <c r="I12" s="4" t="n">
        <f aca="false">-I6*Assumptions!I17/100</f>
        <v>-198436.792157032</v>
      </c>
      <c r="J12" s="4" t="n">
        <f aca="false">-J6*Assumptions!J17/100</f>
        <v>-201413.344039388</v>
      </c>
      <c r="K12" s="4" t="n">
        <f aca="false">-K6*Assumptions!K17/100</f>
        <v>-204434.544199978</v>
      </c>
      <c r="L12" s="4" t="n">
        <f aca="false">-L6*Assumptions!L17/100</f>
        <v>-207501.062362978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130612.30208</v>
      </c>
      <c r="D13" s="0" t="n">
        <f aca="false">D11+D12</f>
        <v>101749.1245056</v>
      </c>
      <c r="E13" s="0" t="n">
        <f aca="false">E11+E12</f>
        <v>85172.496304896</v>
      </c>
      <c r="F13" s="0" t="n">
        <f aca="false">F11+F12</f>
        <v>101209.85414572</v>
      </c>
      <c r="G13" s="0" t="n">
        <f aca="false">G11+G12</f>
        <v>117709.168910101</v>
      </c>
      <c r="H13" s="0" t="n">
        <f aca="false">H11+H12</f>
        <v>130336.152484093</v>
      </c>
      <c r="I13" s="0" t="n">
        <f aca="false">I11+I12</f>
        <v>132291.194771355</v>
      </c>
      <c r="J13" s="0" t="n">
        <f aca="false">J11+J12</f>
        <v>134275.562692925</v>
      </c>
      <c r="K13" s="0" t="n">
        <f aca="false">K11+K12</f>
        <v>136289.696133319</v>
      </c>
      <c r="L13" s="0" t="n">
        <f aca="false">L11+L12</f>
        <v>138334.041575319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43.5</v>
      </c>
      <c r="D14" s="4" t="n">
        <f aca="false">Assumptions!D19</f>
        <v>44.3</v>
      </c>
      <c r="E14" s="4" t="n">
        <f aca="false">Assumptions!E19</f>
        <v>44.3</v>
      </c>
      <c r="F14" s="4" t="n">
        <f aca="false">Assumptions!F19</f>
        <v>43.5</v>
      </c>
      <c r="G14" s="4" t="n">
        <f aca="false">Assumptions!G19</f>
        <v>42.6</v>
      </c>
      <c r="H14" s="4" t="n">
        <f aca="false">Assumptions!H19</f>
        <v>42.6</v>
      </c>
      <c r="I14" s="4" t="n">
        <f aca="false">Assumptions!I19</f>
        <v>42.6</v>
      </c>
      <c r="J14" s="4" t="n">
        <f aca="false">Assumptions!J19</f>
        <v>42.6</v>
      </c>
      <c r="K14" s="4" t="n">
        <f aca="false">Assumptions!K19</f>
        <v>42.6</v>
      </c>
      <c r="L14" s="4" t="n">
        <f aca="false">Assumptions!L19</f>
        <v>42.6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73795.9506752</v>
      </c>
      <c r="D15" s="0" t="n">
        <f aca="false">D13-MAX(0,D13)*D14/100</f>
        <v>56674.2623496192</v>
      </c>
      <c r="E15" s="0" t="n">
        <f aca="false">E13-MAX(0,E13)*E14/100</f>
        <v>47441.0804418271</v>
      </c>
      <c r="F15" s="0" t="n">
        <f aca="false">F13-MAX(0,F13)*F14/100</f>
        <v>57183.567592332</v>
      </c>
      <c r="G15" s="0" t="n">
        <f aca="false">G13-MAX(0,G13)*G14/100</f>
        <v>67565.0629543978</v>
      </c>
      <c r="H15" s="0" t="n">
        <f aca="false">H13-MAX(0,H13)*H14/100</f>
        <v>74812.9515258696</v>
      </c>
      <c r="I15" s="0" t="n">
        <f aca="false">I13-MAX(0,I13)*I14/100</f>
        <v>75935.1457987576</v>
      </c>
      <c r="J15" s="0" t="n">
        <f aca="false">J13-MAX(0,J13)*J14/100</f>
        <v>77074.172985739</v>
      </c>
      <c r="K15" s="0" t="n">
        <f aca="false">K13-MAX(0,K13)*K14/100</f>
        <v>78230.285580525</v>
      </c>
      <c r="L15" s="0" t="n">
        <f aca="false">L13-MAX(0,L13)*L14/100</f>
        <v>79403.7398642329</v>
      </c>
    </row>
    <row r="16" customFormat="false" ht="15" hidden="false" customHeight="false" outlineLevel="0" collapsed="false">
      <c r="A16" s="0" t="s">
        <v>123</v>
      </c>
      <c r="C16" s="0" t="n">
        <f aca="false">-C12</f>
        <v>190565.48992</v>
      </c>
      <c r="D16" s="0" t="n">
        <f aca="false">-D12</f>
        <v>195019.1553024</v>
      </c>
      <c r="E16" s="0" t="n">
        <f aca="false">-E12</f>
        <v>195273.528113664</v>
      </c>
      <c r="F16" s="0" t="n">
        <f aca="false">-F12</f>
        <v>193985.553779297</v>
      </c>
      <c r="G16" s="0" t="n">
        <f aca="false">-G12</f>
        <v>192615.003671074</v>
      </c>
      <c r="H16" s="0" t="n">
        <f aca="false">-H12</f>
        <v>195504.22872614</v>
      </c>
      <c r="I16" s="0" t="n">
        <f aca="false">-I12</f>
        <v>198436.792157032</v>
      </c>
      <c r="J16" s="0" t="n">
        <f aca="false">-J12</f>
        <v>201413.344039388</v>
      </c>
      <c r="K16" s="0" t="n">
        <f aca="false">-K12</f>
        <v>204434.544199978</v>
      </c>
      <c r="L16" s="0" t="n">
        <f aca="false">-L12</f>
        <v>207501.062362978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-216259.71328</v>
      </c>
      <c r="D17" s="4" t="n">
        <f aca="false">-D6*Assumptions!D18/100</f>
        <v>-211977.34272</v>
      </c>
      <c r="E17" s="4" t="n">
        <f aca="false">-E6*Assumptions!E18/100</f>
        <v>-203583.039948288</v>
      </c>
      <c r="F17" s="4" t="n">
        <f aca="false">-F6*Assumptions!F18/100</f>
        <v>-206636.785547512</v>
      </c>
      <c r="G17" s="4" t="n">
        <f aca="false">-G6*Assumptions!G18/100</f>
        <v>-209736.337330725</v>
      </c>
      <c r="H17" s="4" t="n">
        <f aca="false">-H6*Assumptions!H18/100</f>
        <v>-212882.382390686</v>
      </c>
      <c r="I17" s="4" t="n">
        <f aca="false">-I6*Assumptions!I18/100</f>
        <v>-216075.618126546</v>
      </c>
      <c r="J17" s="4" t="n">
        <f aca="false">-J6*Assumptions!J18/100</f>
        <v>-219316.752398444</v>
      </c>
      <c r="K17" s="4" t="n">
        <f aca="false">-K6*Assumptions!K18/100</f>
        <v>-222606.503684421</v>
      </c>
      <c r="L17" s="4" t="n">
        <f aca="false">-L6*Assumptions!L18/100</f>
        <v>-225945.601239687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-12352.992</v>
      </c>
      <c r="D18" s="4" t="n">
        <f aca="false">(D6-C6)*Assumptions!$B$23/100</f>
        <v>3211.77792</v>
      </c>
      <c r="E18" s="4" t="n">
        <f aca="false">(E6-D6)*Assumptions!$B$23/100</f>
        <v>6359.32028160001</v>
      </c>
      <c r="F18" s="4" t="n">
        <f aca="false">(F6-E6)*Assumptions!$B$23/100</f>
        <v>-4674.10040697599</v>
      </c>
      <c r="G18" s="4" t="n">
        <f aca="false">(G6-F6)*Assumptions!$B$23/100</f>
        <v>-4744.21191308058</v>
      </c>
      <c r="H18" s="4" t="n">
        <f aca="false">(H6-G6)*Assumptions!$B$23/100</f>
        <v>-4815.37509177681</v>
      </c>
      <c r="I18" s="4" t="n">
        <f aca="false">(I6-H6)*Assumptions!$B$23/100</f>
        <v>-4887.60571815348</v>
      </c>
      <c r="J18" s="4" t="n">
        <f aca="false">(J6-I6)*Assumptions!$B$23/100</f>
        <v>-4960.91980392574</v>
      </c>
      <c r="K18" s="4" t="n">
        <f aca="false">(K6-J6)*Assumptions!$B$23/100</f>
        <v>-5035.33360098463</v>
      </c>
      <c r="L18" s="4" t="n">
        <f aca="false">(L6-K6)*Assumptions!$B$23/100</f>
        <v>-5110.8636049994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35748.7353152</v>
      </c>
      <c r="D19" s="0" t="n">
        <f aca="false">D15+D16+D17+D18</f>
        <v>42927.8528520192</v>
      </c>
      <c r="E19" s="0" t="n">
        <f aca="false">E15+E16+E17+E18</f>
        <v>45490.888888803</v>
      </c>
      <c r="F19" s="0" t="n">
        <f aca="false">F15+F16+F17+F18</f>
        <v>39858.235417141</v>
      </c>
      <c r="G19" s="0" t="n">
        <f aca="false">G15+G16+G17+G18</f>
        <v>45699.5173816662</v>
      </c>
      <c r="H19" s="0" t="n">
        <f aca="false">H15+H16+H17+H18</f>
        <v>52619.422769547</v>
      </c>
      <c r="I19" s="0" t="n">
        <f aca="false">I15+I16+I17+I18</f>
        <v>53408.7141110901</v>
      </c>
      <c r="J19" s="0" t="n">
        <f aca="false">J15+J16+J17+J18</f>
        <v>54209.8448227566</v>
      </c>
      <c r="K19" s="0" t="n">
        <f aca="false">K15+K16+K17+K18</f>
        <v>55022.9924950979</v>
      </c>
      <c r="L19" s="0" t="n">
        <f aca="false">L15+L16+L17+L18</f>
        <v>55848.3373825244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33410.0330048598</v>
      </c>
      <c r="D21" s="0" t="n">
        <f aca="false">D19*D20</f>
        <v>37494.8492025672</v>
      </c>
      <c r="E21" s="0" t="n">
        <f aca="false">E19*E20</f>
        <v>37134.1160178076</v>
      </c>
      <c r="F21" s="0" t="n">
        <f aca="false">F19*F20</f>
        <v>30407.6569603999</v>
      </c>
      <c r="G21" s="0" t="n">
        <f aca="false">G19*G20</f>
        <v>32583.1243022017</v>
      </c>
      <c r="H21" s="0" t="n">
        <f aca="false">H19*H20</f>
        <v>35062.5431842012</v>
      </c>
      <c r="I21" s="0" t="n">
        <f aca="false">I19*I20</f>
        <v>33260.2629270693</v>
      </c>
      <c r="J21" s="0" t="n">
        <f aca="false">J19*J20</f>
        <v>31550.6232439022</v>
      </c>
      <c r="K21" s="0" t="n">
        <f aca="false">K19*K20</f>
        <v>29928.8622360381</v>
      </c>
      <c r="L21" s="0" t="n">
        <f aca="false">L19*L20</f>
        <v>28390.4627753071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329222.533854354</v>
      </c>
    </row>
    <row r="31" customFormat="false" ht="15" hidden="false" customHeight="false" outlineLevel="0" collapsed="false">
      <c r="A31" s="0" t="s">
        <v>132</v>
      </c>
      <c r="B31" s="0" t="n">
        <f aca="false">L19</f>
        <v>55848.3373825244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940113.679272494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837725.060737866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837725.060737866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425856.941629607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755079.475483961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204979.475483961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964.968037453742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-0.821961616705952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964.968037453742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402905.862545354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-1042.96317881025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6.9</v>
      </c>
      <c r="D5" s="4" t="n">
        <f aca="false">Assumptions!D27</f>
        <v>3.5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2058832</v>
      </c>
      <c r="C6" s="0" t="n">
        <f aca="false">B6*(1+C5/100)</f>
        <v>2200891.408</v>
      </c>
      <c r="D6" s="0" t="n">
        <f aca="false">C6*(1+D5/100)</f>
        <v>2277922.60728</v>
      </c>
      <c r="E6" s="0" t="n">
        <f aca="false">D6*(1+E5/100)</f>
        <v>2346260.2854984</v>
      </c>
      <c r="F6" s="0" t="n">
        <f aca="false">E6*(1+F5/100)</f>
        <v>2416648.09406335</v>
      </c>
      <c r="G6" s="0" t="n">
        <f aca="false">F6*(1+G5/100)</f>
        <v>2477064.29641494</v>
      </c>
      <c r="H6" s="0" t="n">
        <f aca="false">G6*(1+H5/100)</f>
        <v>2538990.90382531</v>
      </c>
      <c r="I6" s="0" t="n">
        <f aca="false">H6*(1+I5/100)</f>
        <v>2589770.72190182</v>
      </c>
      <c r="J6" s="0" t="n">
        <f aca="false">I6*(1+J5/100)</f>
        <v>2641566.13633985</v>
      </c>
      <c r="K6" s="0" t="n">
        <f aca="false">J6*(1+K5/100)</f>
        <v>2694397.45906665</v>
      </c>
      <c r="L6" s="0" t="n">
        <f aca="false">K6*(1+L5/100)</f>
        <v>2748285.40824798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15.6</v>
      </c>
      <c r="D7" s="4" t="n">
        <f aca="false">Assumptions!D28</f>
        <v>16</v>
      </c>
      <c r="E7" s="4" t="n">
        <f aca="false">Assumptions!E28</f>
        <v>16.4</v>
      </c>
      <c r="F7" s="4" t="n">
        <f aca="false">Assumptions!F28</f>
        <v>16.7</v>
      </c>
      <c r="G7" s="4" t="n">
        <f aca="false">Assumptions!G28</f>
        <v>17</v>
      </c>
      <c r="H7" s="4" t="n">
        <f aca="false">Assumptions!H28</f>
        <v>17</v>
      </c>
      <c r="I7" s="4" t="n">
        <f aca="false">Assumptions!I28</f>
        <v>17</v>
      </c>
      <c r="J7" s="4" t="n">
        <f aca="false">Assumptions!J28</f>
        <v>17</v>
      </c>
      <c r="K7" s="4" t="n">
        <f aca="false">Assumptions!K28</f>
        <v>17</v>
      </c>
      <c r="L7" s="4" t="n">
        <f aca="false">Assumptions!L28</f>
        <v>17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343339.059648</v>
      </c>
      <c r="D8" s="0" t="n">
        <f aca="false">D6*D7/100</f>
        <v>364467.6171648</v>
      </c>
      <c r="E8" s="0" t="n">
        <f aca="false">E6*E7/100</f>
        <v>384786.686821738</v>
      </c>
      <c r="F8" s="0" t="n">
        <f aca="false">F6*F7/100</f>
        <v>403580.23170858</v>
      </c>
      <c r="G8" s="0" t="n">
        <f aca="false">G6*G7/100</f>
        <v>421100.930390539</v>
      </c>
      <c r="H8" s="0" t="n">
        <f aca="false">H6*H7/100</f>
        <v>431628.453650302</v>
      </c>
      <c r="I8" s="0" t="n">
        <f aca="false">I6*I7/100</f>
        <v>440261.022723309</v>
      </c>
      <c r="J8" s="0" t="n">
        <f aca="false">J6*J7/100</f>
        <v>449066.243177775</v>
      </c>
      <c r="K8" s="0" t="n">
        <f aca="false">K6*K7/100</f>
        <v>458047.56804133</v>
      </c>
      <c r="L8" s="0" t="n">
        <f aca="false">L6*L7/100</f>
        <v>467208.519402157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343339.059648</v>
      </c>
      <c r="D11" s="0" t="n">
        <f aca="false">D8+D10+D24</f>
        <v>364467.6171648</v>
      </c>
      <c r="E11" s="0" t="n">
        <f aca="false">E8+E10+E24</f>
        <v>384786.686821738</v>
      </c>
      <c r="F11" s="0" t="n">
        <f aca="false">F8+F10+F24</f>
        <v>403580.23170858</v>
      </c>
      <c r="G11" s="0" t="n">
        <f aca="false">G8+G10+G24</f>
        <v>421100.930390539</v>
      </c>
      <c r="H11" s="0" t="n">
        <f aca="false">H8+H10+H24</f>
        <v>431628.453650302</v>
      </c>
      <c r="I11" s="0" t="n">
        <f aca="false">I8+I10+I24</f>
        <v>440261.022723309</v>
      </c>
      <c r="J11" s="0" t="n">
        <f aca="false">J8+J10+J24</f>
        <v>449066.243177775</v>
      </c>
      <c r="K11" s="0" t="n">
        <f aca="false">K8+K10+K24</f>
        <v>458047.56804133</v>
      </c>
      <c r="L11" s="0" t="n">
        <f aca="false">L8+L10+L24</f>
        <v>467208.519402157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-195879.335312</v>
      </c>
      <c r="D12" s="4" t="n">
        <f aca="false">-D6*Assumptions!D31/100</f>
        <v>-200457.18944064</v>
      </c>
      <c r="E12" s="4" t="n">
        <f aca="false">-E6*Assumptions!E31/100</f>
        <v>-206470.905123859</v>
      </c>
      <c r="F12" s="4" t="n">
        <f aca="false">-F6*Assumptions!F31/100</f>
        <v>-210248.384183512</v>
      </c>
      <c r="G12" s="4" t="n">
        <f aca="false">-G6*Assumptions!G31/100</f>
        <v>-215504.593788099</v>
      </c>
      <c r="H12" s="4" t="n">
        <f aca="false">-H6*Assumptions!H31/100</f>
        <v>-220892.208632802</v>
      </c>
      <c r="I12" s="4" t="n">
        <f aca="false">-I6*Assumptions!I31/100</f>
        <v>-225310.052805458</v>
      </c>
      <c r="J12" s="4" t="n">
        <f aca="false">-J6*Assumptions!J31/100</f>
        <v>-229816.253861567</v>
      </c>
      <c r="K12" s="4" t="n">
        <f aca="false">-K6*Assumptions!K31/100</f>
        <v>-234412.578938798</v>
      </c>
      <c r="L12" s="4" t="n">
        <f aca="false">-L6*Assumptions!L31/100</f>
        <v>-239100.830517574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147459.724336</v>
      </c>
      <c r="D13" s="0" t="n">
        <f aca="false">D11+D12</f>
        <v>164010.42772416</v>
      </c>
      <c r="E13" s="0" t="n">
        <f aca="false">E11+E12</f>
        <v>178315.781697878</v>
      </c>
      <c r="F13" s="0" t="n">
        <f aca="false">F11+F12</f>
        <v>193331.847525068</v>
      </c>
      <c r="G13" s="0" t="n">
        <f aca="false">G11+G12</f>
        <v>205596.33660244</v>
      </c>
      <c r="H13" s="0" t="n">
        <f aca="false">H11+H12</f>
        <v>210736.245017501</v>
      </c>
      <c r="I13" s="0" t="n">
        <f aca="false">I11+I12</f>
        <v>214950.969917851</v>
      </c>
      <c r="J13" s="0" t="n">
        <f aca="false">J11+J12</f>
        <v>219249.989316208</v>
      </c>
      <c r="K13" s="0" t="n">
        <f aca="false">K11+K12</f>
        <v>223634.989102532</v>
      </c>
      <c r="L13" s="0" t="n">
        <f aca="false">L11+L12</f>
        <v>228107.688884582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41.7</v>
      </c>
      <c r="D14" s="4" t="n">
        <f aca="false">Assumptions!D33</f>
        <v>41.7</v>
      </c>
      <c r="E14" s="4" t="n">
        <f aca="false">Assumptions!E33</f>
        <v>40.8</v>
      </c>
      <c r="F14" s="4" t="n">
        <f aca="false">Assumptions!F33</f>
        <v>40.8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85969.019287888</v>
      </c>
      <c r="D15" s="0" t="n">
        <f aca="false">D13-MAX(0,D13)*D14/100</f>
        <v>95618.0793631853</v>
      </c>
      <c r="E15" s="0" t="n">
        <f aca="false">E13-MAX(0,E13)*E14/100</f>
        <v>105562.942765144</v>
      </c>
      <c r="F15" s="0" t="n">
        <f aca="false">F13-MAX(0,F13)*F14/100</f>
        <v>114452.45373484</v>
      </c>
      <c r="G15" s="0" t="n">
        <f aca="false">G13-MAX(0,G13)*G14/100</f>
        <v>123357.801961464</v>
      </c>
      <c r="H15" s="0" t="n">
        <f aca="false">H13-MAX(0,H13)*H14/100</f>
        <v>126441.7470105</v>
      </c>
      <c r="I15" s="0" t="n">
        <f aca="false">I13-MAX(0,I13)*I14/100</f>
        <v>128970.58195071</v>
      </c>
      <c r="J15" s="0" t="n">
        <f aca="false">J13-MAX(0,J13)*J14/100</f>
        <v>131549.993589725</v>
      </c>
      <c r="K15" s="0" t="n">
        <f aca="false">K13-MAX(0,K13)*K14/100</f>
        <v>134180.993461519</v>
      </c>
      <c r="L15" s="0" t="n">
        <f aca="false">L13-MAX(0,L13)*L14/100</f>
        <v>136864.613330749</v>
      </c>
    </row>
    <row r="16" customFormat="false" ht="15" hidden="false" customHeight="false" outlineLevel="0" collapsed="false">
      <c r="A16" s="0" t="s">
        <v>123</v>
      </c>
      <c r="C16" s="0" t="n">
        <f aca="false">-C12</f>
        <v>195879.335312</v>
      </c>
      <c r="D16" s="0" t="n">
        <f aca="false">-D12</f>
        <v>200457.18944064</v>
      </c>
      <c r="E16" s="0" t="n">
        <f aca="false">-E12</f>
        <v>206470.905123859</v>
      </c>
      <c r="F16" s="0" t="n">
        <f aca="false">-F12</f>
        <v>210248.384183512</v>
      </c>
      <c r="G16" s="0" t="n">
        <f aca="false">-G12</f>
        <v>215504.593788099</v>
      </c>
      <c r="H16" s="0" t="n">
        <f aca="false">-H12</f>
        <v>220892.208632802</v>
      </c>
      <c r="I16" s="0" t="n">
        <f aca="false">-I12</f>
        <v>225310.052805458</v>
      </c>
      <c r="J16" s="0" t="n">
        <f aca="false">-J12</f>
        <v>229816.253861567</v>
      </c>
      <c r="K16" s="0" t="n">
        <f aca="false">-K12</f>
        <v>234412.578938798</v>
      </c>
      <c r="L16" s="0" t="n">
        <f aca="false">-L12</f>
        <v>239100.830517574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-222290.032208</v>
      </c>
      <c r="D17" s="4" t="n">
        <f aca="false">-D6*Assumptions!D32/100</f>
        <v>-227792.260728</v>
      </c>
      <c r="E17" s="4" t="n">
        <f aca="false">-E6*Assumptions!E32/100</f>
        <v>-232279.768264342</v>
      </c>
      <c r="F17" s="4" t="n">
        <f aca="false">-F6*Assumptions!F32/100</f>
        <v>-236831.513218209</v>
      </c>
      <c r="G17" s="4" t="n">
        <f aca="false">-G6*Assumptions!G32/100</f>
        <v>-242752.301048664</v>
      </c>
      <c r="H17" s="4" t="n">
        <f aca="false">-H6*Assumptions!H32/100</f>
        <v>-246282.117671055</v>
      </c>
      <c r="I17" s="4" t="n">
        <f aca="false">-I6*Assumptions!I32/100</f>
        <v>-251207.760024476</v>
      </c>
      <c r="J17" s="4" t="n">
        <f aca="false">-J6*Assumptions!J32/100</f>
        <v>-256231.915224966</v>
      </c>
      <c r="K17" s="4" t="n">
        <f aca="false">-K6*Assumptions!K32/100</f>
        <v>-261356.553529465</v>
      </c>
      <c r="L17" s="4" t="n">
        <f aca="false">-L6*Assumptions!L32/100</f>
        <v>-266583.684600054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-21308.9112</v>
      </c>
      <c r="D18" s="4" t="n">
        <f aca="false">(D6-C6)*Assumptions!$B$37/100</f>
        <v>-11554.679892</v>
      </c>
      <c r="E18" s="4" t="n">
        <f aca="false">(E6-D6)*Assumptions!$B$37/100</f>
        <v>-10250.65173276</v>
      </c>
      <c r="F18" s="4" t="n">
        <f aca="false">(F6-E6)*Assumptions!$B$37/100</f>
        <v>-10558.1712847428</v>
      </c>
      <c r="G18" s="4" t="n">
        <f aca="false">(G6-F6)*Assumptions!$B$37/100</f>
        <v>-9062.43035273755</v>
      </c>
      <c r="H18" s="4" t="n">
        <f aca="false">(H6-G6)*Assumptions!$B$37/100</f>
        <v>-9288.99111155598</v>
      </c>
      <c r="I18" s="4" t="n">
        <f aca="false">(I6-H6)*Assumptions!$B$37/100</f>
        <v>-7616.97271147594</v>
      </c>
      <c r="J18" s="4" t="n">
        <f aca="false">(J6-I6)*Assumptions!$B$37/100</f>
        <v>-7769.31216570544</v>
      </c>
      <c r="K18" s="4" t="n">
        <f aca="false">(K6-J6)*Assumptions!$B$37/100</f>
        <v>-7924.69840901953</v>
      </c>
      <c r="L18" s="4" t="n">
        <f aca="false">(L6-K6)*Assumptions!$B$37/100</f>
        <v>-8083.19237719998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38249.411191888</v>
      </c>
      <c r="D19" s="0" t="n">
        <f aca="false">D15+D16+D17+D18</f>
        <v>56728.3281838253</v>
      </c>
      <c r="E19" s="0" t="n">
        <f aca="false">E15+E16+E17+E18</f>
        <v>69503.4278919016</v>
      </c>
      <c r="F19" s="0" t="n">
        <f aca="false">F15+F16+F17+F18</f>
        <v>77311.1534154006</v>
      </c>
      <c r="G19" s="0" t="n">
        <f aca="false">G15+G16+G17+G18</f>
        <v>87047.6643481619</v>
      </c>
      <c r="H19" s="0" t="n">
        <f aca="false">H15+H16+H17+H18</f>
        <v>91762.8468606913</v>
      </c>
      <c r="I19" s="0" t="n">
        <f aca="false">I15+I16+I17+I18</f>
        <v>95455.9020202163</v>
      </c>
      <c r="J19" s="0" t="n">
        <f aca="false">J15+J16+J17+J18</f>
        <v>97365.0200606207</v>
      </c>
      <c r="K19" s="0" t="n">
        <f aca="false">K15+K16+K17+K18</f>
        <v>99312.3204618331</v>
      </c>
      <c r="L19" s="0" t="n">
        <f aca="false">L15+L16+L17+L18</f>
        <v>101298.56687107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35747.1132634468</v>
      </c>
      <c r="D21" s="0" t="n">
        <f aca="false">D19*D20</f>
        <v>49548.7188259458</v>
      </c>
      <c r="E21" s="0" t="n">
        <f aca="false">E19*E20</f>
        <v>56735.5006247957</v>
      </c>
      <c r="F21" s="0" t="n">
        <f aca="false">F19*F20</f>
        <v>58980.3087784808</v>
      </c>
      <c r="G21" s="0" t="n">
        <f aca="false">G19*G20</f>
        <v>62063.7816365727</v>
      </c>
      <c r="H21" s="0" t="n">
        <f aca="false">H19*H20</f>
        <v>61145.4594408871</v>
      </c>
      <c r="I21" s="0" t="n">
        <f aca="false">I19*I20</f>
        <v>59445.1383444505</v>
      </c>
      <c r="J21" s="0" t="n">
        <f aca="false">J19*J20</f>
        <v>56667.3281414388</v>
      </c>
      <c r="K21" s="0" t="n">
        <f aca="false">K19*K20</f>
        <v>54019.3221535211</v>
      </c>
      <c r="L21" s="0" t="n">
        <f aca="false">L19*L20</f>
        <v>51495.0547631696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545847.725972709</v>
      </c>
    </row>
    <row r="31" customFormat="false" ht="15" hidden="false" customHeight="false" outlineLevel="0" collapsed="false">
      <c r="A31" s="0" t="s">
        <v>132</v>
      </c>
      <c r="B31" s="0" t="n">
        <f aca="false">L19</f>
        <v>101298.56687107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2066490.76416982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1519478.50306604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1519478.50306604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772425.821447544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1318273.54742025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768173.547420253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3616.27874560544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-0.33278989933479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3616.27874560544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794804.140065316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76.9942435269812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8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2058832</v>
      </c>
      <c r="C6" s="0" t="n">
        <f aca="false">B6*(1+C5/100)</f>
        <v>2223538.56</v>
      </c>
      <c r="D6" s="0" t="n">
        <f aca="false">C6*(1+D5/100)</f>
        <v>2356950.8736</v>
      </c>
      <c r="E6" s="0" t="n">
        <f aca="false">D6*(1+E5/100)</f>
        <v>2474798.41728</v>
      </c>
      <c r="F6" s="0" t="n">
        <f aca="false">E6*(1+F5/100)</f>
        <v>2598538.338144</v>
      </c>
      <c r="G6" s="0" t="n">
        <f aca="false">F6*(1+G5/100)</f>
        <v>2702479.87166976</v>
      </c>
      <c r="H6" s="0" t="n">
        <f aca="false">G6*(1+H5/100)</f>
        <v>2810579.06653655</v>
      </c>
      <c r="I6" s="0" t="n">
        <f aca="false">H6*(1+I5/100)</f>
        <v>2894896.43853265</v>
      </c>
      <c r="J6" s="0" t="n">
        <f aca="false">I6*(1+J5/100)</f>
        <v>2981743.33168863</v>
      </c>
      <c r="K6" s="0" t="n">
        <f aca="false">J6*(1+K5/100)</f>
        <v>3071195.63163929</v>
      </c>
      <c r="L6" s="0" t="n">
        <f aca="false">K6*(1+L5/100)</f>
        <v>3163331.50058846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15.9</v>
      </c>
      <c r="D7" s="4" t="n">
        <f aca="false">Assumptions!D42</f>
        <v>16.8</v>
      </c>
      <c r="E7" s="4" t="n">
        <f aca="false">Assumptions!E42</f>
        <v>17.5</v>
      </c>
      <c r="F7" s="4" t="n">
        <f aca="false">Assumptions!F42</f>
        <v>18</v>
      </c>
      <c r="G7" s="4" t="n">
        <f aca="false">Assumptions!G42</f>
        <v>18.5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353542.63104</v>
      </c>
      <c r="D8" s="0" t="n">
        <f aca="false">D6*D7/100</f>
        <v>395967.7467648</v>
      </c>
      <c r="E8" s="0" t="n">
        <f aca="false">E6*E7/100</f>
        <v>433089.723024</v>
      </c>
      <c r="F8" s="0" t="n">
        <f aca="false">F6*F7/100</f>
        <v>467736.90086592</v>
      </c>
      <c r="G8" s="0" t="n">
        <f aca="false">G6*G7/100</f>
        <v>499958.776258906</v>
      </c>
      <c r="H8" s="0" t="n">
        <f aca="false">H6*H7/100</f>
        <v>519957.127309262</v>
      </c>
      <c r="I8" s="0" t="n">
        <f aca="false">I6*I7/100</f>
        <v>535555.84112854</v>
      </c>
      <c r="J8" s="0" t="n">
        <f aca="false">J6*J7/100</f>
        <v>551622.516362396</v>
      </c>
      <c r="K8" s="0" t="n">
        <f aca="false">K6*K7/100</f>
        <v>568171.191853268</v>
      </c>
      <c r="L8" s="0" t="n">
        <f aca="false">L6*L7/100</f>
        <v>585216.327608866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353542.63104</v>
      </c>
      <c r="D11" s="0" t="n">
        <f aca="false">D8+D10+D24</f>
        <v>395967.7467648</v>
      </c>
      <c r="E11" s="0" t="n">
        <f aca="false">E8+E10+E24</f>
        <v>433089.723024</v>
      </c>
      <c r="F11" s="0" t="n">
        <f aca="false">F8+F10+F24</f>
        <v>467736.90086592</v>
      </c>
      <c r="G11" s="0" t="n">
        <f aca="false">G8+G10+G24</f>
        <v>499958.776258906</v>
      </c>
      <c r="H11" s="0" t="n">
        <f aca="false">H8+H10+H24</f>
        <v>519957.127309262</v>
      </c>
      <c r="I11" s="0" t="n">
        <f aca="false">I8+I10+I24</f>
        <v>535555.84112854</v>
      </c>
      <c r="J11" s="0" t="n">
        <f aca="false">J8+J10+J24</f>
        <v>551622.516362396</v>
      </c>
      <c r="K11" s="0" t="n">
        <f aca="false">K8+K10+K24</f>
        <v>568171.191853268</v>
      </c>
      <c r="L11" s="0" t="n">
        <f aca="false">L8+L10+L24</f>
        <v>585216.327608866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-197894.93184</v>
      </c>
      <c r="D12" s="4" t="n">
        <f aca="false">-D6*Assumptions!D45/100</f>
        <v>-207411.6768768</v>
      </c>
      <c r="E12" s="4" t="n">
        <f aca="false">-E6*Assumptions!E45/100</f>
        <v>-215307.46230336</v>
      </c>
      <c r="F12" s="4" t="n">
        <f aca="false">-F6*Assumptions!F45/100</f>
        <v>-223474.297080384</v>
      </c>
      <c r="G12" s="4" t="n">
        <f aca="false">-G6*Assumptions!G45/100</f>
        <v>-229710.78909193</v>
      </c>
      <c r="H12" s="4" t="n">
        <f aca="false">-H6*Assumptions!H45/100</f>
        <v>-238899.220655607</v>
      </c>
      <c r="I12" s="4" t="n">
        <f aca="false">-I6*Assumptions!I45/100</f>
        <v>-246066.197275275</v>
      </c>
      <c r="J12" s="4" t="n">
        <f aca="false">-J6*Assumptions!J45/100</f>
        <v>-253448.183193533</v>
      </c>
      <c r="K12" s="4" t="n">
        <f aca="false">-K6*Assumptions!K45/100</f>
        <v>-261051.628689339</v>
      </c>
      <c r="L12" s="4" t="n">
        <f aca="false">-L6*Assumptions!L45/100</f>
        <v>-268883.177550019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155647.6992</v>
      </c>
      <c r="D13" s="0" t="n">
        <f aca="false">D11+D12</f>
        <v>188556.069888</v>
      </c>
      <c r="E13" s="0" t="n">
        <f aca="false">E11+E12</f>
        <v>217782.26072064</v>
      </c>
      <c r="F13" s="0" t="n">
        <f aca="false">F11+F12</f>
        <v>244262.603785536</v>
      </c>
      <c r="G13" s="0" t="n">
        <f aca="false">G11+G12</f>
        <v>270247.987166976</v>
      </c>
      <c r="H13" s="0" t="n">
        <f aca="false">H11+H12</f>
        <v>281057.906653655</v>
      </c>
      <c r="I13" s="0" t="n">
        <f aca="false">I11+I12</f>
        <v>289489.643853265</v>
      </c>
      <c r="J13" s="0" t="n">
        <f aca="false">J11+J12</f>
        <v>298174.333168863</v>
      </c>
      <c r="K13" s="0" t="n">
        <f aca="false">K11+K12</f>
        <v>307119.563163929</v>
      </c>
      <c r="L13" s="0" t="n">
        <f aca="false">L11+L12</f>
        <v>316333.150058846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40.8</v>
      </c>
      <c r="D14" s="4" t="n">
        <f aca="false">Assumptions!D47</f>
        <v>40</v>
      </c>
      <c r="E14" s="4" t="n">
        <f aca="false">Assumptions!E47</f>
        <v>40</v>
      </c>
      <c r="F14" s="4" t="n">
        <f aca="false">Assumptions!F47</f>
        <v>39.1</v>
      </c>
      <c r="G14" s="4" t="n">
        <f aca="false">Assumptions!G47</f>
        <v>39.1</v>
      </c>
      <c r="H14" s="4" t="n">
        <f aca="false">Assumptions!H47</f>
        <v>39.1</v>
      </c>
      <c r="I14" s="4" t="n">
        <f aca="false">Assumptions!I47</f>
        <v>39.1</v>
      </c>
      <c r="J14" s="4" t="n">
        <f aca="false">Assumptions!J47</f>
        <v>39.1</v>
      </c>
      <c r="K14" s="4" t="n">
        <f aca="false">Assumptions!K47</f>
        <v>39.1</v>
      </c>
      <c r="L14" s="4" t="n">
        <f aca="false">Assumptions!L47</f>
        <v>39.1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92143.4379264</v>
      </c>
      <c r="D15" s="0" t="n">
        <f aca="false">D13-MAX(0,D13)*D14/100</f>
        <v>113133.6419328</v>
      </c>
      <c r="E15" s="0" t="n">
        <f aca="false">E13-MAX(0,E13)*E14/100</f>
        <v>130669.356432384</v>
      </c>
      <c r="F15" s="0" t="n">
        <f aca="false">F13-MAX(0,F13)*F14/100</f>
        <v>148755.925705391</v>
      </c>
      <c r="G15" s="0" t="n">
        <f aca="false">G13-MAX(0,G13)*G14/100</f>
        <v>164581.024184688</v>
      </c>
      <c r="H15" s="0" t="n">
        <f aca="false">H13-MAX(0,H13)*H14/100</f>
        <v>171164.265152076</v>
      </c>
      <c r="I15" s="0" t="n">
        <f aca="false">I13-MAX(0,I13)*I14/100</f>
        <v>176299.193106638</v>
      </c>
      <c r="J15" s="0" t="n">
        <f aca="false">J13-MAX(0,J13)*J14/100</f>
        <v>181588.168899837</v>
      </c>
      <c r="K15" s="0" t="n">
        <f aca="false">K13-MAX(0,K13)*K14/100</f>
        <v>187035.813966833</v>
      </c>
      <c r="L15" s="0" t="n">
        <f aca="false">L13-MAX(0,L13)*L14/100</f>
        <v>192646.888385838</v>
      </c>
    </row>
    <row r="16" customFormat="false" ht="15" hidden="false" customHeight="false" outlineLevel="0" collapsed="false">
      <c r="A16" s="0" t="s">
        <v>123</v>
      </c>
      <c r="C16" s="0" t="n">
        <f aca="false">-C12</f>
        <v>197894.93184</v>
      </c>
      <c r="D16" s="0" t="n">
        <f aca="false">-D12</f>
        <v>207411.6768768</v>
      </c>
      <c r="E16" s="0" t="n">
        <f aca="false">-E12</f>
        <v>215307.46230336</v>
      </c>
      <c r="F16" s="0" t="n">
        <f aca="false">-F12</f>
        <v>223474.297080384</v>
      </c>
      <c r="G16" s="0" t="n">
        <f aca="false">-G12</f>
        <v>229710.78909193</v>
      </c>
      <c r="H16" s="0" t="n">
        <f aca="false">-H12</f>
        <v>238899.220655607</v>
      </c>
      <c r="I16" s="0" t="n">
        <f aca="false">-I12</f>
        <v>246066.197275275</v>
      </c>
      <c r="J16" s="0" t="n">
        <f aca="false">-J12</f>
        <v>253448.183193533</v>
      </c>
      <c r="K16" s="0" t="n">
        <f aca="false">-K12</f>
        <v>261051.628689339</v>
      </c>
      <c r="L16" s="0" t="n">
        <f aca="false">-L12</f>
        <v>268883.177550019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-224577.39456</v>
      </c>
      <c r="D17" s="4" t="n">
        <f aca="false">-D6*Assumptions!D46/100</f>
        <v>-233338.1364864</v>
      </c>
      <c r="E17" s="4" t="n">
        <f aca="false">-E6*Assumptions!E46/100</f>
        <v>-240055.44647616</v>
      </c>
      <c r="F17" s="4" t="n">
        <f aca="false">-F6*Assumptions!F46/100</f>
        <v>-249459.680461824</v>
      </c>
      <c r="G17" s="4" t="n">
        <f aca="false">-G6*Assumptions!G46/100</f>
        <v>-256735.587808627</v>
      </c>
      <c r="H17" s="4" t="n">
        <f aca="false">-H6*Assumptions!H46/100</f>
        <v>-264194.432254436</v>
      </c>
      <c r="I17" s="4" t="n">
        <f aca="false">-I6*Assumptions!I46/100</f>
        <v>-272120.265222069</v>
      </c>
      <c r="J17" s="4" t="n">
        <f aca="false">-J6*Assumptions!J46/100</f>
        <v>-280283.873178731</v>
      </c>
      <c r="K17" s="4" t="n">
        <f aca="false">-K6*Assumptions!K46/100</f>
        <v>-288692.389374093</v>
      </c>
      <c r="L17" s="4" t="n">
        <f aca="false">-L6*Assumptions!L46/100</f>
        <v>-297353.161055316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-24705.984</v>
      </c>
      <c r="D18" s="4" t="n">
        <f aca="false">(D6-C6)*Assumptions!$B$51/100</f>
        <v>-20011.84704</v>
      </c>
      <c r="E18" s="4" t="n">
        <f aca="false">(E6-D6)*Assumptions!$B$51/100</f>
        <v>-17677.131552</v>
      </c>
      <c r="F18" s="4" t="n">
        <f aca="false">(F6-E6)*Assumptions!$B$51/100</f>
        <v>-18560.9881296</v>
      </c>
      <c r="G18" s="4" t="n">
        <f aca="false">(G6-F6)*Assumptions!$B$51/100</f>
        <v>-15591.230028864</v>
      </c>
      <c r="H18" s="4" t="n">
        <f aca="false">(H6-G6)*Assumptions!$B$51/100</f>
        <v>-16214.8792300186</v>
      </c>
      <c r="I18" s="4" t="n">
        <f aca="false">(I6-H6)*Assumptions!$B$51/100</f>
        <v>-12647.6057994145</v>
      </c>
      <c r="J18" s="4" t="n">
        <f aca="false">(J6-I6)*Assumptions!$B$51/100</f>
        <v>-13027.0339733969</v>
      </c>
      <c r="K18" s="4" t="n">
        <f aca="false">(K6-J6)*Assumptions!$B$51/100</f>
        <v>-13417.8449925988</v>
      </c>
      <c r="L18" s="4" t="n">
        <f aca="false">(L6-K6)*Assumptions!$B$51/100</f>
        <v>-13820.3803423768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40754.9912064</v>
      </c>
      <c r="D19" s="0" t="n">
        <f aca="false">D15+D16+D17+D18</f>
        <v>67195.3352832</v>
      </c>
      <c r="E19" s="0" t="n">
        <f aca="false">E15+E16+E17+E18</f>
        <v>88244.240707584</v>
      </c>
      <c r="F19" s="0" t="n">
        <f aca="false">F15+F16+F17+F18</f>
        <v>104209.554194351</v>
      </c>
      <c r="G19" s="0" t="n">
        <f aca="false">G15+G16+G17+G18</f>
        <v>121964.995439127</v>
      </c>
      <c r="H19" s="0" t="n">
        <f aca="false">H15+H16+H17+H18</f>
        <v>129654.174323228</v>
      </c>
      <c r="I19" s="0" t="n">
        <f aca="false">I15+I16+I17+I18</f>
        <v>137597.51936043</v>
      </c>
      <c r="J19" s="0" t="n">
        <f aca="false">J15+J16+J17+J18</f>
        <v>141725.444941243</v>
      </c>
      <c r="K19" s="0" t="n">
        <f aca="false">K15+K16+K17+K18</f>
        <v>145977.20828948</v>
      </c>
      <c r="L19" s="0" t="n">
        <f aca="false">L15+L16+L17+L18</f>
        <v>150356.524538164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38088.7768284112</v>
      </c>
      <c r="D21" s="0" t="n">
        <f aca="false">D19*D20</f>
        <v>58691.0081956503</v>
      </c>
      <c r="E21" s="0" t="n">
        <f aca="false">E19*E20</f>
        <v>72033.5863374461</v>
      </c>
      <c r="F21" s="0" t="n">
        <f aca="false">F19*F20</f>
        <v>79500.9699444778</v>
      </c>
      <c r="G21" s="0" t="n">
        <f aca="false">G19*G20</f>
        <v>86959.356128886</v>
      </c>
      <c r="H21" s="0" t="n">
        <f aca="false">H19*H20</f>
        <v>86394.0508456338</v>
      </c>
      <c r="I21" s="0" t="n">
        <f aca="false">I19*I20</f>
        <v>85688.8196656677</v>
      </c>
      <c r="J21" s="0" t="n">
        <f aca="false">J19*J20</f>
        <v>82485.4993043344</v>
      </c>
      <c r="K21" s="0" t="n">
        <f aca="false">K19*K20</f>
        <v>79401.9292368826</v>
      </c>
      <c r="L21" s="0" t="n">
        <f aca="false">L19*L20</f>
        <v>76433.6328168122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745677.629304202</v>
      </c>
    </row>
    <row r="31" customFormat="false" ht="15" hidden="false" customHeight="false" outlineLevel="0" collapsed="false">
      <c r="A31" s="0" t="s">
        <v>132</v>
      </c>
      <c r="B31" s="0" t="n">
        <f aca="false">L19</f>
        <v>150356.524538164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3424787.5033693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2255347.86807247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2255347.86807247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1146504.49225218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1892182.12155639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1342082.12155639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6318.02939236886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0.165688079772852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6318.02939236886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1232923.50121295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1185.96400896917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964.968037453742</v>
      </c>
      <c r="C4" s="0" t="n">
        <f aca="false">B4/Assumptions!$B$2-1</f>
        <v>-0.821961616705952</v>
      </c>
      <c r="D4" s="4" t="n">
        <f aca="false">Assumptions!$B$24</f>
        <v>0.25</v>
      </c>
      <c r="E4" s="4" t="n">
        <f aca="false">DCF_Bear!$B$43</f>
        <v>964.968037453742</v>
      </c>
      <c r="F4" s="4" t="n">
        <f aca="false">DCF_Bear!$B$47</f>
        <v>-1042.96317881025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3616.27874560544</v>
      </c>
      <c r="C5" s="0" t="n">
        <f aca="false">B5/Assumptions!$B$2-1</f>
        <v>-0.33278989933479</v>
      </c>
      <c r="D5" s="4" t="n">
        <f aca="false">Assumptions!$B$38</f>
        <v>0.5</v>
      </c>
      <c r="E5" s="4" t="n">
        <f aca="false">DCF_Base!$B$43</f>
        <v>3616.27874560544</v>
      </c>
      <c r="F5" s="4" t="n">
        <f aca="false">DCF_Base!$B$47</f>
        <v>76.9942435269812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6318.02939236886</v>
      </c>
      <c r="C6" s="0" t="n">
        <f aca="false">B6/Assumptions!$B$2-1</f>
        <v>0.165688079772852</v>
      </c>
      <c r="D6" s="4" t="n">
        <f aca="false">Assumptions!$B$52</f>
        <v>0.25</v>
      </c>
      <c r="E6" s="4" t="n">
        <f aca="false">DCF_Bull!$B$43</f>
        <v>6318.02939236886</v>
      </c>
      <c r="F6" s="4" t="n">
        <f aca="false">DCF_Bull!$B$47</f>
        <v>1185.96400896917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3628.88873025837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3628.88873025837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-0.493570181639079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74.2473293032227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3616.27874560544</v>
      </c>
      <c r="C15" s="3" t="n">
        <v>7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2662.49773860057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1958.1666016402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1411.90634824864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976.226181932718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76.9942435269812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4664.69104744821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4664.69104744821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4664.69104744821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4664.69104744821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4664.69104744821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4115.36817517615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4115.36817517615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4115.36817517615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4115.36817517615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4115.36817517615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3616.27874560544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3616.27874560544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3616.27874560544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3616.27874560544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3616.27874560544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3036.06602028315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3162.28662270405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3162.28662270405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3162.28662270405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3162.28662270405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2270.413536771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2453.38616429147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2662.49773860057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2748.82820505846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2748.82820505846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2026-10-31T07:40:41Z</dcterms:created>
  <dc:creator>openpyxl</dc:creator>
  <dc:description/>
  <dc:language>en-NZ</dc:language>
  <cp:lastModifiedBy/>
  <dcterms:modified xsi:type="dcterms:W3CDTF">2026-10-31T07:40:41Z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