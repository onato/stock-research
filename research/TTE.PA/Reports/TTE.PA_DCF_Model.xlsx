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<sst xmlns="http://schemas.openxmlformats.org/spreadsheetml/2006/main" count="398" uniqueCount="182">
  <si>
    <t xml:space="preserve">Ticker</t>
  </si>
  <si>
    <t xml:space="preserve">TTE.PA</t>
  </si>
  <si>
    <t xml:space="preserve">Company</t>
  </si>
  <si>
    <t xml:space="preserve">TotalEnergies SE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</si>
  <si>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</si>
  <si>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</si>
  <si>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</si>
  <si>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</si>
  <si>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2026-10-23T15:37:03Z regular close, Euronext Paris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</si>
  <si>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</si>
  <si>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</si>
  <si>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</si>
  <si>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</si>
  <si>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</si>
  <si>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</si>
  <si>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</si>
  <si>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EUR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</si>
  <si>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</si>
  <si>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</si>
  <si>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</si>
  <si>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</si>
  <si>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</si>
  <si>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2026-10-25T22:47:28Z</t>
  </si>
  <si>
    <t xml:space="preserve">Drivers file</t>
  </si>
  <si>
    <t xml:space="preserve">TTE.PA_Drivers.json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</si>
  <si>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</si>
  <si>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</si>
  <si>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</si>
  <si>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an integrated major on mid-cycle owner FCF, not on the current price deck. FY2025 ($69 Brent) is the base; the 2026 windfall is a one-year flow explicitly collected and then unwound; terminal value is capped at 12-15x FCF because Gordon at 8%/2% implies 17x, a multiple no buyer has paid for an oil major. Hybrids and NCI are deducted as claims senior to common equity. All flows are USD and converted to EUR once at a dated, parity-checked rate.
key_risks_to_valuation: Oil and gas price path: a $10/b Brent move is ~$2.8bn/yr of CFFO (company sensitivity); the scenarios span $60-85 but a sustained move outside that band dominates every other driver; Terminal multiple judgment: the 13x cap, not Gordon, sets terminal value in every scenario (roughly half of EV); at 15x the base value rises materially, at 11x it falls; FX: EUR per-share values move one-for-one with EUR/USD; a 5% stronger euro cuts the EUR IV ~5% with no change in the USD business; Reinvestment efficiency: Integrated Power ROACE ~9.7% is near the 8% WACC, so $2-3bn/yr of the capex line creates little value if returns do not reach the 12% target; Middle East concentration (34% of production) and Russia (Novatek, Yamal LNG, Arctic LNG 2): tail events outside the three-scenario frame; Energy-transition demand and carbon pricing after 2030: the company's own $200/t CO2 stress case cuts discounted asset value ~15%</t>
  </si>
  <si>
    <t xml:space="preserve">Data sources</t>
  </si>
  <si>
    <t xml:space="preserve">price: Yahoo Finance chart API for TTE.PA (Euronext Paris, EUR) at inputs.price_as_of; 52-week range 52.4-83.74. Parity-checked against the NYSE ADR TTE (USD) at its 2026-10-23 close, see inputs.fx_note. quote_currency EUR; reporting_currency USD.
fx: Yahoo Finance EURUSD=X at 2026-10-25T22:40Z; fx_rate = 1/EURUSD (EUR per USD). Must be re-derived whenever the price is refreshed; refresh_price.py does not touch it.
financials: research/TTE.PA/Reports/TTE.PA_Metrics.csv (core_metrics, USD millions, FY2005-FY2025 and H1 FY2006-H1 FY2026); TTE.PA_HalfYear_H1-2026.txt for June 30, 2026 net debt (s.1.10.5), shares (statement of changes in equity, Note 4) and hybrids net issuance; TTE.PA_Annual_FY2025.txt for hybrids balance (Note 9), lease schedule (Note 7), share-based payments, cash taxes paid, capex guidance (s.1.8.3).
qualitative: research/TTE.PA/Reports/TTE.PA_Analysis.json (2026-10-26): segment mix, FY2026 guidance (production +3%, electricity +25%, net investments ~$15bn, CFFO &gt;$26bn at $60/b), Q3 2026 pre-announcement (ERM ~$33/b, production 2.45-2.50 Mboe/d), September 2026 shareholder-return policy, Middle East conflict and Russia exposure.
reporting_currency: USD
quote_currency: EUR</t>
  </si>
  <si>
    <t xml:space="preserve">Scenario narrative: bear</t>
  </si>
  <si>
    <t xml:space="preserve">The windfall reverses: conflict resolution plus non-OPEC supply growth pushes Brent to $60 and the ERM to $5 by 2028, exactly the company's conservative planning case (CFFO ~$26bn, net investments $15bn -&gt; FCF ~$11bn). Middle East production remains curtailed longer than management expects, European fuel demand declines, EU-ETS costs climb toward $100/t, and Russia-linked assets stay frozen. Capex is sticky in dollars against a ~$170bn revenue base (9.6%), the margin compresses to 20.5%, and the terminal multiple compresses to 12x on stranded-asset concerns. Owner FCF settles near $10-11bn, in line with the company's own $60 deck.</t>
  </si>
  <si>
    <t xml:space="preserve">Scenario narrative: base</t>
  </si>
  <si>
    <t xml:space="preserve">Revenue spikes ~17% in FY2026 on the Middle East conflict (Brent $92 in H1, European refining margin above $30/b in Q3) and the 24% EBITDA margin seen in H1 2026, then unwinds over FY2027-28 to a $70 Brent / $10 TTF / $7 ERM mid-cycle at a 22.0% margin. From 2029 revenue grows ~2.5%/yr with guided hydrocarbon volumes (+3%/yr to 2030: Mero, Anchor/Ballymore, North Field East, Tilenga, Ratawi) and Integrated Power scaling toward 100-120 TWh, fading to 2.0%. Capex is held at the $14-16bn net-investment guidance plus lease renewal; cash tax at the 36.5% the company has actually paid. Owner FCF settles around $15bn at mid-cycle, consistent with management's path of ~$10bn FCF growth by 2030 vs 2024 at constant prices. Terminal value is the 13x cap, not Gordon.</t>
  </si>
  <si>
    <t xml:space="preserve">Scenario narrative: bull</t>
  </si>
  <si>
    <t xml:space="preserve">A durable price premium: the Strait of Hormuz disruption and Russian refining outages keep Brent near $85 and the ERM in the teens through 2028, LNG sales climb toward 60 Mt/y at JKM-linked pricing, and Integrated Power hits its 12% ROACE target by 2028. The $12.5bn 2026-30 cost programme lifts the mid-cycle EBITDA margin to 23.5%, capex falls to the low end of guidance as a share of a larger revenue base, and the market grants a 15x terminal FCF multiple to the major with the largest low-carbon power platform. Owner FCF runs ~$19-20bn mid-cycle.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</si>
  <si>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</si>
  <si>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</si>
  <si>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</si>
  <si>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</si>
  <si>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</si>
  <si>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</si>
  <si>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</si>
  <si>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</si>
  <si>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</si>
  <si>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</si>
  <si>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</si>
  <si>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</si>
  <si>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</si>
  <si>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</si>
  <si>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</si>
  <si>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</si>
  <si>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</si>
  <si>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</si>
  <si>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</si>
  <si>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</si>
  <si>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</si>
  <si>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</si>
  <si>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</si>
  <si>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</si>
  <si>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</si>
  <si>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</si>
  <si>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</si>
  <si>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Production</t>
  </si>
  <si>
    <t xml:space="preserve">RealizedGasPrice</t>
  </si>
  <si>
    <t xml:space="preserve">RealizedOilPrice</t>
  </si>
  <si>
    <t xml:space="preserve">RenewableCapacityGW</t>
  </si>
  <si>
    <t xml:space="preserve">RenewableCapacityUnderConstructionGW</t>
  </si>
  <si>
    <t xml:space="preserve">FY2005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</si>
  <si>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</si>
  <si>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</si>
  <si>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</si>
  <si>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</si>
  <si>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</si>
  <si>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</si>
  <si>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</si>
  <si>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</si>
  <si>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</si>
  <si>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</si>
  <si>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</si>
  <si>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</si>
  <si>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</si>
  <si>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</si>
  <si>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</si>
  <si>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</si>
  <si>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</si>
  <si>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</si>
  <si>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</si>
  <si>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</si>
  <si>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</si>
  <si>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</si>
  <si>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</si>
  <si>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</si>
  <si>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</si>
  <si>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</si>
  <si>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</si>
  <si>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</si>
  <si>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</si>
  <si>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</si>
  <si>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</si>
  <si>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</si>
  <si>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</si>
  <si>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</si>
  <si>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</si>
  <si>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</si>
  <si>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</si>
  <si>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</si>
  <si>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</si>
  <si>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</si>
  <si>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</si>
  <si>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</si>
  <si>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</si>
  <si>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</si>
  <si>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</si>
  <si>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</si>
  <si>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</si>
  <si>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</si>
  <si>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</si>
  <si>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</si>
  <si>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</si>
  <si>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</si>
  <si>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</si>
  <si>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</si>
  <si>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</si>
  <si>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</si>
  <si>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</si>
  <si>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TTE.PA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</si>
  <si>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</si>
  <si>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</si>
  <si>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</si>
  <si>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</si>
  <si>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</si>
  <si>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</si>
  <si>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</si>
  <si>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</si>
  <si>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</si>
  <si>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</si>
  <si>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</si>
  <si>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</si>
  <si>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</si>
  <si>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</si>
  <si>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</si>
  <si>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</si>
  <si>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</si>
  <si>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</si>
  <si>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</si>
  <si>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</si>
  <si>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</si>
  <si>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</si>
  <si>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</si>
  <si>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</si>
  <si>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</si>
  <si>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</si>
  <si>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</si>
  <si>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</si>
  <si>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</si>
  <si>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</si>
  <si>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TTE.PA owner-FCF component DCF: base case (millions, USD)</t>
  </si>
  <si>
    <t xml:space="preserve">TTE.PA owner-FCF component DCF: bull case (millions, USD)</t>
  </si>
  <si>
    <t xml:space="preserve">TTE.PA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</si>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</sst>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83.45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68.6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145150.7</v>
      </c>
      <c r="I2" s="0" t="n">
        <v>15218.5</v>
      </c>
      <c r="J2" s="0" t="n">
        <v>10.5</v>
      </c>
      <c r="K2" s="0" t="n">
        <v>6.45</v>
      </c>
      <c r="L2" s="0" t="n">
        <v>18189.6</v>
      </c>
      <c r="M2" s="0" t="n">
        <v>10971.5</v>
      </c>
      <c r="N2" s="0" t="n">
        <v>7218</v>
      </c>
      <c r="O2" s="0" t="n">
        <v>51438.9</v>
      </c>
      <c r="P2" s="0" t="n">
        <v>131618.6</v>
      </c>
      <c r="Q2" s="0" t="n">
        <v>80179.6</v>
      </c>
      <c r="R2" s="0" t="n">
        <v>21964.1</v>
      </c>
      <c r="S2" s="0" t="n">
        <v>5354.3</v>
      </c>
      <c r="T2" s="0" t="n">
        <v>2360.2</v>
      </c>
      <c r="AA2" s="0" t="s">
        <v>18</v>
      </c>
      <c r="AB2" s="0" t="s">
        <v>14</v>
      </c>
      <c r="AC2" s="0" t="n">
        <v>2489</v>
      </c>
      <c r="AD2" s="0" t="n">
        <v>4.77</v>
      </c>
      <c r="AE2" s="0" t="n">
        <v>51</v>
      </c>
    </row>
    <row r="3" customFormat="false" ht="15" hidden="false" customHeight="false" outlineLevel="0" collapsed="false">
      <c r="A3" s="0" t="s">
        <v>70</v>
      </c>
      <c r="B3" s="0" t="n">
        <v>167188.1</v>
      </c>
      <c r="I3" s="0" t="n">
        <v>14827.7</v>
      </c>
      <c r="J3" s="0" t="n">
        <v>8.9</v>
      </c>
      <c r="K3" s="0" t="n">
        <v>6.41</v>
      </c>
      <c r="L3" s="0" t="n">
        <v>20236.9</v>
      </c>
      <c r="M3" s="0" t="n">
        <v>12486.6</v>
      </c>
      <c r="N3" s="0" t="n">
        <v>7750.3</v>
      </c>
      <c r="O3" s="0" t="n">
        <v>51846.5</v>
      </c>
      <c r="P3" s="0" t="n">
        <v>132581</v>
      </c>
      <c r="Q3" s="0" t="n">
        <v>80734.5</v>
      </c>
      <c r="R3" s="0" t="n">
        <v>25240.3</v>
      </c>
      <c r="S3" s="0" t="n">
        <v>3141.2</v>
      </c>
      <c r="T3" s="0" t="n">
        <v>2312</v>
      </c>
      <c r="U3" s="0" t="n">
        <v>197.8</v>
      </c>
      <c r="AA3" s="0" t="s">
        <v>18</v>
      </c>
      <c r="AB3" s="0" t="s">
        <v>14</v>
      </c>
      <c r="AC3" s="0" t="n">
        <v>2356</v>
      </c>
      <c r="AD3" s="0" t="n">
        <v>5.91</v>
      </c>
      <c r="AE3" s="0" t="n">
        <v>61.8</v>
      </c>
    </row>
    <row r="4" customFormat="false" ht="15" hidden="false" customHeight="false" outlineLevel="0" collapsed="false">
      <c r="A4" s="0" t="s">
        <v>71</v>
      </c>
      <c r="B4" s="0" t="n">
        <v>187448.9</v>
      </c>
      <c r="I4" s="0" t="n">
        <v>18058</v>
      </c>
      <c r="J4" s="0" t="n">
        <v>9.6</v>
      </c>
      <c r="K4" s="0" t="n">
        <v>7.95</v>
      </c>
      <c r="L4" s="0" t="n">
        <v>24229.8</v>
      </c>
      <c r="M4" s="0" t="n">
        <v>14452.1</v>
      </c>
      <c r="N4" s="0" t="n">
        <v>9777.7</v>
      </c>
      <c r="O4" s="0" t="n">
        <v>62609</v>
      </c>
      <c r="P4" s="0" t="n">
        <v>155551.2</v>
      </c>
      <c r="Q4" s="0" t="n">
        <v>92942.2</v>
      </c>
      <c r="R4" s="0" t="n">
        <v>26699.9</v>
      </c>
      <c r="S4" s="0" t="n">
        <v>8203.6</v>
      </c>
      <c r="T4" s="0" t="n">
        <v>2272.6</v>
      </c>
      <c r="U4" s="0" t="n">
        <v>268.5</v>
      </c>
      <c r="AA4" s="0" t="s">
        <v>18</v>
      </c>
      <c r="AB4" s="0" t="s">
        <v>14</v>
      </c>
      <c r="AC4" s="0" t="n">
        <v>2391</v>
      </c>
      <c r="AD4" s="0" t="n">
        <v>5.4</v>
      </c>
      <c r="AE4" s="0" t="n">
        <v>68.9</v>
      </c>
    </row>
    <row r="5" customFormat="false" ht="15" hidden="false" customHeight="false" outlineLevel="0" collapsed="false">
      <c r="A5" s="0" t="s">
        <v>72</v>
      </c>
      <c r="B5" s="0" t="n">
        <v>235686.6</v>
      </c>
      <c r="I5" s="0" t="n">
        <v>15567.3</v>
      </c>
      <c r="J5" s="0" t="n">
        <v>6.6</v>
      </c>
      <c r="K5" s="0" t="n">
        <v>6.92</v>
      </c>
      <c r="L5" s="0" t="n">
        <v>27443.4</v>
      </c>
      <c r="M5" s="0" t="n">
        <v>17435.7</v>
      </c>
      <c r="N5" s="0" t="n">
        <v>10007.8</v>
      </c>
      <c r="O5" s="0" t="n">
        <v>73426.5</v>
      </c>
      <c r="P5" s="0" t="n">
        <v>173915.7</v>
      </c>
      <c r="Q5" s="0" t="n">
        <v>100489.2</v>
      </c>
      <c r="R5" s="0" t="n">
        <v>35152.1</v>
      </c>
      <c r="S5" s="0" t="n">
        <v>18111.9</v>
      </c>
      <c r="T5" s="0" t="n">
        <v>2248.4</v>
      </c>
      <c r="U5" s="0" t="n">
        <v>226.4</v>
      </c>
      <c r="AA5" s="0" t="s">
        <v>18</v>
      </c>
      <c r="AB5" s="0" t="s">
        <v>14</v>
      </c>
      <c r="AC5" s="0" t="n">
        <v>2341</v>
      </c>
      <c r="AD5" s="0" t="n">
        <v>7.38</v>
      </c>
      <c r="AE5" s="0" t="n">
        <v>91.1</v>
      </c>
    </row>
    <row r="6" customFormat="false" ht="15" hidden="false" customHeight="false" outlineLevel="0" collapsed="false">
      <c r="A6" s="0" t="s">
        <v>73</v>
      </c>
      <c r="B6" s="0" t="n">
        <v>155892.7</v>
      </c>
      <c r="I6" s="0" t="n">
        <v>11741.3</v>
      </c>
      <c r="J6" s="0" t="n">
        <v>7.5</v>
      </c>
      <c r="K6" s="0" t="n">
        <v>5.25</v>
      </c>
      <c r="L6" s="0" t="n">
        <v>17180.4</v>
      </c>
      <c r="M6" s="0" t="n">
        <v>16470.1</v>
      </c>
      <c r="N6" s="0" t="n">
        <v>710.3</v>
      </c>
      <c r="O6" s="0" t="n">
        <v>74419.2</v>
      </c>
      <c r="P6" s="0" t="n">
        <v>177576.7</v>
      </c>
      <c r="Q6" s="0" t="n">
        <v>103157.5</v>
      </c>
      <c r="R6" s="0" t="n">
        <v>36739.1</v>
      </c>
      <c r="S6" s="0" t="n">
        <v>16210.2</v>
      </c>
      <c r="T6" s="0" t="n">
        <v>2234.7</v>
      </c>
      <c r="U6" s="0" t="n">
        <v>147.3</v>
      </c>
      <c r="AA6" s="0" t="s">
        <v>18</v>
      </c>
      <c r="AB6" s="0" t="s">
        <v>14</v>
      </c>
      <c r="AC6" s="0" t="n">
        <v>2281</v>
      </c>
      <c r="AD6" s="0" t="n">
        <v>5.17</v>
      </c>
      <c r="AE6" s="0" t="n">
        <v>58.1</v>
      </c>
    </row>
    <row r="7" customFormat="false" ht="15" hidden="false" customHeight="false" outlineLevel="0" collapsed="false">
      <c r="A7" s="0" t="s">
        <v>74</v>
      </c>
      <c r="B7" s="0" t="n">
        <v>186833.1</v>
      </c>
      <c r="I7" s="0" t="n">
        <v>14059.4</v>
      </c>
      <c r="J7" s="0" t="n">
        <v>7.5</v>
      </c>
      <c r="K7" s="0" t="n">
        <v>6.26</v>
      </c>
      <c r="L7" s="0" t="n">
        <v>24595.7</v>
      </c>
      <c r="M7" s="0" t="n">
        <v>18370</v>
      </c>
      <c r="N7" s="0" t="n">
        <v>6225.7</v>
      </c>
      <c r="O7" s="0" t="n">
        <v>81490.4</v>
      </c>
      <c r="P7" s="0" t="n">
        <v>191144.9</v>
      </c>
      <c r="Q7" s="0" t="n">
        <v>109654.5</v>
      </c>
      <c r="R7" s="0" t="n">
        <v>40479.9</v>
      </c>
      <c r="S7" s="0" t="n">
        <v>19270.4</v>
      </c>
      <c r="T7" s="0" t="n">
        <v>2244.4</v>
      </c>
      <c r="U7" s="0" t="n">
        <v>186.2</v>
      </c>
      <c r="AA7" s="0" t="s">
        <v>18</v>
      </c>
      <c r="AB7" s="0" t="s">
        <v>14</v>
      </c>
      <c r="AC7" s="0" t="n">
        <v>2378</v>
      </c>
      <c r="AD7" s="0" t="n">
        <v>5.15</v>
      </c>
      <c r="AE7" s="0" t="n">
        <v>76.3</v>
      </c>
    </row>
    <row r="8" customFormat="false" ht="15" hidden="false" customHeight="false" outlineLevel="0" collapsed="false">
      <c r="A8" s="0" t="s">
        <v>75</v>
      </c>
      <c r="B8" s="0" t="n">
        <v>231504.5</v>
      </c>
      <c r="I8" s="0" t="n">
        <v>17109.5</v>
      </c>
      <c r="J8" s="0" t="n">
        <v>7.4</v>
      </c>
      <c r="K8" s="0" t="n">
        <v>7.58</v>
      </c>
      <c r="L8" s="0" t="n">
        <v>27155</v>
      </c>
      <c r="M8" s="0" t="n">
        <v>24950.5</v>
      </c>
      <c r="N8" s="0" t="n">
        <v>2204.5</v>
      </c>
      <c r="O8" s="0" t="n">
        <v>94932.8</v>
      </c>
      <c r="P8" s="0" t="n">
        <v>227550</v>
      </c>
      <c r="Q8" s="0" t="n">
        <v>132617.1</v>
      </c>
      <c r="R8" s="0" t="n">
        <v>44802.5</v>
      </c>
      <c r="S8" s="0" t="n">
        <v>19494.8</v>
      </c>
      <c r="T8" s="0" t="n">
        <v>2258.5</v>
      </c>
      <c r="U8" s="0" t="n">
        <v>223.8</v>
      </c>
      <c r="AA8" s="0" t="s">
        <v>18</v>
      </c>
      <c r="AB8" s="0" t="s">
        <v>14</v>
      </c>
      <c r="AC8" s="0" t="n">
        <v>2346</v>
      </c>
      <c r="AD8" s="0" t="n">
        <v>6.53</v>
      </c>
      <c r="AE8" s="0" t="n">
        <v>105</v>
      </c>
    </row>
    <row r="9" customFormat="false" ht="15" hidden="false" customHeight="false" outlineLevel="0" collapsed="false">
      <c r="A9" s="0" t="s">
        <v>76</v>
      </c>
      <c r="B9" s="0" t="n">
        <v>234216</v>
      </c>
      <c r="I9" s="0" t="n">
        <v>13648</v>
      </c>
      <c r="J9" s="0" t="n">
        <v>5.8</v>
      </c>
      <c r="K9" s="0" t="n">
        <v>6.02</v>
      </c>
      <c r="L9" s="0" t="n">
        <v>28858</v>
      </c>
      <c r="M9" s="0" t="n">
        <v>25574</v>
      </c>
      <c r="N9" s="0" t="n">
        <v>3284</v>
      </c>
      <c r="O9" s="0" t="n">
        <v>95658</v>
      </c>
      <c r="P9" s="0" t="n">
        <v>225886</v>
      </c>
      <c r="Q9" s="0" t="n">
        <v>130228</v>
      </c>
      <c r="R9" s="0" t="n">
        <v>43927</v>
      </c>
      <c r="S9" s="0" t="n">
        <v>20409</v>
      </c>
      <c r="T9" s="0" t="n">
        <v>2267.1</v>
      </c>
      <c r="U9" s="0" t="n">
        <v>188</v>
      </c>
      <c r="AA9" s="0" t="s">
        <v>18</v>
      </c>
      <c r="AB9" s="0" t="s">
        <v>14</v>
      </c>
      <c r="AC9" s="0" t="n">
        <v>2300</v>
      </c>
      <c r="AD9" s="0" t="n">
        <v>6.74</v>
      </c>
      <c r="AE9" s="0" t="n">
        <v>107.7</v>
      </c>
    </row>
    <row r="10" customFormat="false" ht="15" hidden="false" customHeight="false" outlineLevel="0" collapsed="false">
      <c r="A10" s="0" t="s">
        <v>77</v>
      </c>
      <c r="B10" s="0" t="n">
        <v>227969</v>
      </c>
      <c r="I10" s="0" t="n">
        <v>11228</v>
      </c>
      <c r="J10" s="0" t="n">
        <v>4.9</v>
      </c>
      <c r="K10" s="0" t="n">
        <v>4.94</v>
      </c>
      <c r="L10" s="0" t="n">
        <v>28513</v>
      </c>
      <c r="M10" s="0" t="n">
        <v>29748</v>
      </c>
      <c r="N10" s="0" t="n">
        <v>-1235</v>
      </c>
      <c r="O10" s="0" t="n">
        <v>103379</v>
      </c>
      <c r="P10" s="0" t="n">
        <v>239223</v>
      </c>
      <c r="Q10" s="0" t="n">
        <v>135844</v>
      </c>
      <c r="R10" s="0" t="n">
        <v>45767</v>
      </c>
      <c r="S10" s="0" t="n">
        <v>20200</v>
      </c>
      <c r="T10" s="0" t="n">
        <v>2272.9</v>
      </c>
      <c r="U10" s="0" t="n">
        <v>189</v>
      </c>
      <c r="AA10" s="0" t="s">
        <v>18</v>
      </c>
      <c r="AB10" s="0" t="s">
        <v>14</v>
      </c>
      <c r="AC10" s="0" t="n">
        <v>2299</v>
      </c>
      <c r="AD10" s="0" t="n">
        <v>7.12</v>
      </c>
      <c r="AE10" s="0" t="n">
        <v>103.3</v>
      </c>
    </row>
    <row r="11" customFormat="false" ht="15" hidden="false" customHeight="false" outlineLevel="0" collapsed="false">
      <c r="A11" s="0" t="s">
        <v>78</v>
      </c>
      <c r="B11" s="0" t="n">
        <v>212018</v>
      </c>
      <c r="I11" s="0" t="n">
        <v>4244</v>
      </c>
      <c r="J11" s="0" t="n">
        <v>2</v>
      </c>
      <c r="K11" s="0" t="n">
        <v>1.86</v>
      </c>
      <c r="L11" s="0" t="n">
        <v>25608</v>
      </c>
      <c r="M11" s="0" t="n">
        <v>26320</v>
      </c>
      <c r="N11" s="0" t="n">
        <v>-712</v>
      </c>
      <c r="O11" s="0" t="n">
        <v>93531</v>
      </c>
      <c r="P11" s="0" t="n">
        <v>229798</v>
      </c>
      <c r="Q11" s="0" t="n">
        <v>136267</v>
      </c>
      <c r="R11" s="0" t="n">
        <v>56423</v>
      </c>
      <c r="S11" s="0" t="n">
        <v>25181</v>
      </c>
      <c r="T11" s="0" t="n">
        <v>2281.7</v>
      </c>
      <c r="U11" s="0" t="n">
        <v>114</v>
      </c>
      <c r="AA11" s="0" t="s">
        <v>18</v>
      </c>
      <c r="AB11" s="0" t="s">
        <v>14</v>
      </c>
      <c r="AC11" s="0" t="n">
        <v>2146</v>
      </c>
      <c r="AD11" s="0" t="n">
        <v>6.57</v>
      </c>
      <c r="AE11" s="0" t="n">
        <v>89.4</v>
      </c>
    </row>
    <row r="12" customFormat="false" ht="15" hidden="false" customHeight="false" outlineLevel="0" collapsed="false">
      <c r="A12" s="0" t="s">
        <v>79</v>
      </c>
      <c r="B12" s="0" t="n">
        <v>143421</v>
      </c>
      <c r="I12" s="0" t="n">
        <v>5087</v>
      </c>
      <c r="J12" s="0" t="n">
        <v>3.5</v>
      </c>
      <c r="K12" s="0" t="n">
        <v>2.16</v>
      </c>
      <c r="L12" s="0" t="n">
        <v>19946</v>
      </c>
      <c r="M12" s="0" t="n">
        <v>25132</v>
      </c>
      <c r="N12" s="0" t="n">
        <v>-5186</v>
      </c>
      <c r="O12" s="0" t="n">
        <v>95409</v>
      </c>
      <c r="P12" s="0" t="n">
        <v>224484</v>
      </c>
      <c r="Q12" s="0" t="n">
        <v>129075</v>
      </c>
      <c r="R12" s="0" t="n">
        <v>56952</v>
      </c>
      <c r="S12" s="0" t="n">
        <v>23269</v>
      </c>
      <c r="T12" s="0" t="n">
        <v>2355.1</v>
      </c>
      <c r="U12" s="0" t="n">
        <v>101</v>
      </c>
      <c r="AA12" s="0" t="s">
        <v>18</v>
      </c>
      <c r="AB12" s="0" t="s">
        <v>14</v>
      </c>
      <c r="AC12" s="0" t="n">
        <v>2347</v>
      </c>
      <c r="AD12" s="0" t="n">
        <v>4.75</v>
      </c>
      <c r="AE12" s="0" t="n">
        <v>47.4</v>
      </c>
    </row>
    <row r="13" customFormat="false" ht="15" hidden="false" customHeight="false" outlineLevel="0" collapsed="false">
      <c r="A13" s="0" t="s">
        <v>80</v>
      </c>
      <c r="B13" s="0" t="n">
        <v>127925</v>
      </c>
      <c r="I13" s="0" t="n">
        <v>6196</v>
      </c>
      <c r="J13" s="0" t="n">
        <v>4.8</v>
      </c>
      <c r="K13" s="0" t="n">
        <v>2.51</v>
      </c>
      <c r="L13" s="0" t="n">
        <v>16521</v>
      </c>
      <c r="M13" s="0" t="n">
        <v>18106</v>
      </c>
      <c r="N13" s="0" t="n">
        <v>-1585</v>
      </c>
      <c r="O13" s="0" t="n">
        <v>101574</v>
      </c>
      <c r="P13" s="0" t="n">
        <v>230978</v>
      </c>
      <c r="Q13" s="0" t="n">
        <v>129404</v>
      </c>
      <c r="R13" s="0" t="n">
        <v>56987</v>
      </c>
      <c r="S13" s="0" t="n">
        <v>24597</v>
      </c>
      <c r="T13" s="0" t="n">
        <v>2468.5</v>
      </c>
      <c r="U13" s="0" t="n">
        <v>112</v>
      </c>
      <c r="AA13" s="0" t="s">
        <v>18</v>
      </c>
      <c r="AB13" s="0" t="s">
        <v>14</v>
      </c>
      <c r="AC13" s="0" t="n">
        <v>2452</v>
      </c>
      <c r="AD13" s="0" t="n">
        <v>3.56</v>
      </c>
      <c r="AE13" s="0" t="n">
        <v>40.3</v>
      </c>
    </row>
    <row r="14" customFormat="false" ht="15" hidden="false" customHeight="false" outlineLevel="0" collapsed="false">
      <c r="A14" s="0" t="s">
        <v>81</v>
      </c>
      <c r="B14" s="0" t="n">
        <v>149099</v>
      </c>
      <c r="I14" s="0" t="n">
        <v>8631</v>
      </c>
      <c r="J14" s="0" t="n">
        <v>5.8</v>
      </c>
      <c r="K14" s="0" t="n">
        <v>3.34</v>
      </c>
      <c r="L14" s="0" t="n">
        <v>22319</v>
      </c>
      <c r="M14" s="0" t="n">
        <v>13767</v>
      </c>
      <c r="N14" s="0" t="n">
        <v>8552</v>
      </c>
      <c r="O14" s="0" t="n">
        <v>114037</v>
      </c>
      <c r="P14" s="0" t="n">
        <v>242631</v>
      </c>
      <c r="Q14" s="0" t="n">
        <v>128594</v>
      </c>
      <c r="R14" s="0" t="n">
        <v>52436</v>
      </c>
      <c r="S14" s="0" t="n">
        <v>33185</v>
      </c>
      <c r="T14" s="0" t="n">
        <v>2584.1</v>
      </c>
      <c r="U14" s="0" t="n">
        <v>151</v>
      </c>
      <c r="AA14" s="0" t="s">
        <v>18</v>
      </c>
      <c r="AB14" s="0" t="s">
        <v>14</v>
      </c>
      <c r="AD14" s="0" t="n">
        <v>4.09</v>
      </c>
      <c r="AE14" s="0" t="n">
        <v>49.9</v>
      </c>
    </row>
    <row r="15" customFormat="false" ht="15" hidden="false" customHeight="false" outlineLevel="0" collapsed="false">
      <c r="A15" s="0" t="s">
        <v>82</v>
      </c>
      <c r="B15" s="0" t="n">
        <v>184106</v>
      </c>
      <c r="I15" s="0" t="n">
        <v>11446</v>
      </c>
      <c r="J15" s="0" t="n">
        <v>6.2</v>
      </c>
      <c r="K15" s="0" t="n">
        <v>4.24</v>
      </c>
      <c r="L15" s="0" t="n">
        <v>24703</v>
      </c>
      <c r="M15" s="0" t="n">
        <v>17080</v>
      </c>
      <c r="N15" s="0" t="n">
        <v>7623</v>
      </c>
      <c r="O15" s="0" t="n">
        <v>118114</v>
      </c>
      <c r="P15" s="0" t="n">
        <v>256762</v>
      </c>
      <c r="Q15" s="0" t="n">
        <v>138648</v>
      </c>
      <c r="R15" s="0" t="n">
        <v>53435</v>
      </c>
      <c r="S15" s="0" t="n">
        <v>27907</v>
      </c>
      <c r="T15" s="0" t="n">
        <v>2699.5</v>
      </c>
      <c r="U15" s="0" t="n">
        <v>294</v>
      </c>
      <c r="AA15" s="0" t="s">
        <v>18</v>
      </c>
      <c r="AB15" s="0" t="s">
        <v>14</v>
      </c>
      <c r="AD15" s="0" t="n">
        <v>4.87</v>
      </c>
      <c r="AE15" s="0" t="n">
        <v>64.3</v>
      </c>
    </row>
    <row r="16" customFormat="false" ht="15" hidden="false" customHeight="false" outlineLevel="0" collapsed="false">
      <c r="A16" s="0" t="s">
        <v>83</v>
      </c>
      <c r="B16" s="0" t="n">
        <v>176249</v>
      </c>
      <c r="I16" s="0" t="n">
        <v>11267</v>
      </c>
      <c r="J16" s="0" t="n">
        <v>6.4</v>
      </c>
      <c r="K16" s="0" t="n">
        <v>4.17</v>
      </c>
      <c r="L16" s="0" t="n">
        <v>24685</v>
      </c>
      <c r="M16" s="0" t="n">
        <v>11810</v>
      </c>
      <c r="N16" s="0" t="n">
        <v>12875</v>
      </c>
      <c r="O16" s="0" t="n">
        <v>119305</v>
      </c>
      <c r="P16" s="0" t="n">
        <v>273294</v>
      </c>
      <c r="Q16" s="0" t="n">
        <v>153989</v>
      </c>
      <c r="R16" s="0" t="n">
        <v>62592</v>
      </c>
      <c r="S16" s="0" t="n">
        <v>27352</v>
      </c>
      <c r="T16" s="0" t="n">
        <v>2701.9</v>
      </c>
      <c r="U16" s="0" t="n">
        <v>207</v>
      </c>
      <c r="AA16" s="0" t="s">
        <v>18</v>
      </c>
      <c r="AB16" s="0" t="s">
        <v>14</v>
      </c>
      <c r="AD16" s="0" t="n">
        <v>3.88</v>
      </c>
      <c r="AE16" s="0" t="n">
        <v>59.8</v>
      </c>
    </row>
    <row r="17" customFormat="false" ht="15" hidden="false" customHeight="false" outlineLevel="0" collapsed="false">
      <c r="A17" s="0" t="s">
        <v>84</v>
      </c>
      <c r="B17" s="0" t="n">
        <v>119704</v>
      </c>
      <c r="H17" s="0" t="n">
        <v>21112</v>
      </c>
      <c r="I17" s="0" t="n">
        <v>-7242</v>
      </c>
      <c r="J17" s="0" t="n">
        <v>-6</v>
      </c>
      <c r="K17" s="0" t="n">
        <v>-2.9</v>
      </c>
      <c r="L17" s="0" t="n">
        <v>14803</v>
      </c>
      <c r="M17" s="0" t="n">
        <v>10764</v>
      </c>
      <c r="N17" s="0" t="n">
        <v>4039</v>
      </c>
      <c r="O17" s="0" t="n">
        <v>106085</v>
      </c>
      <c r="P17" s="0" t="n">
        <v>266132</v>
      </c>
      <c r="Q17" s="0" t="n">
        <v>160047</v>
      </c>
      <c r="R17" s="0" t="n">
        <v>77302</v>
      </c>
      <c r="S17" s="0" t="n">
        <v>31268</v>
      </c>
      <c r="T17" s="0" t="n">
        <v>2497.2</v>
      </c>
      <c r="U17" s="0" t="n">
        <v>188</v>
      </c>
      <c r="AA17" s="0" t="s">
        <v>18</v>
      </c>
      <c r="AB17" s="0" t="s">
        <v>14</v>
      </c>
      <c r="AD17" s="0" t="n">
        <v>2.96</v>
      </c>
      <c r="AE17" s="0" t="n">
        <v>37</v>
      </c>
      <c r="AF17" s="0" t="n">
        <v>7</v>
      </c>
      <c r="AG17" s="0" t="n">
        <v>5</v>
      </c>
    </row>
    <row r="18" customFormat="false" ht="15" hidden="false" customHeight="false" outlineLevel="0" collapsed="false">
      <c r="A18" s="0" t="s">
        <v>85</v>
      </c>
      <c r="B18" s="0" t="n">
        <v>184634</v>
      </c>
      <c r="H18" s="0" t="n">
        <v>42302</v>
      </c>
      <c r="I18" s="0" t="n">
        <v>16032</v>
      </c>
      <c r="J18" s="0" t="n">
        <v>8.7</v>
      </c>
      <c r="K18" s="0" t="n">
        <v>5.92</v>
      </c>
      <c r="L18" s="0" t="n">
        <v>30410</v>
      </c>
      <c r="M18" s="0" t="n">
        <v>12343</v>
      </c>
      <c r="N18" s="0" t="n">
        <v>18067</v>
      </c>
      <c r="O18" s="0" t="n">
        <v>114999</v>
      </c>
      <c r="P18" s="0" t="n">
        <v>293458</v>
      </c>
      <c r="Q18" s="0" t="n">
        <v>178459</v>
      </c>
      <c r="R18" s="0" t="n">
        <v>64547</v>
      </c>
      <c r="S18" s="0" t="n">
        <v>21342</v>
      </c>
      <c r="T18" s="0" t="n">
        <v>2708.1</v>
      </c>
      <c r="U18" s="0" t="n">
        <v>143</v>
      </c>
      <c r="AA18" s="0" t="s">
        <v>18</v>
      </c>
      <c r="AB18" s="0" t="s">
        <v>14</v>
      </c>
      <c r="AD18" s="0" t="n">
        <v>6.6</v>
      </c>
      <c r="AE18" s="0" t="n">
        <v>65</v>
      </c>
      <c r="AF18" s="0" t="n">
        <v>10.3</v>
      </c>
      <c r="AG18" s="0" t="n">
        <v>6.5</v>
      </c>
    </row>
    <row r="19" customFormat="false" ht="15" hidden="false" customHeight="false" outlineLevel="0" collapsed="false">
      <c r="A19" s="0" t="s">
        <v>86</v>
      </c>
      <c r="B19" s="0" t="n">
        <v>263310</v>
      </c>
      <c r="H19" s="0" t="n">
        <v>71578</v>
      </c>
      <c r="I19" s="0" t="n">
        <v>20526</v>
      </c>
      <c r="J19" s="0" t="n">
        <v>7.8</v>
      </c>
      <c r="K19" s="0" t="n">
        <v>7.85</v>
      </c>
      <c r="L19" s="0" t="n">
        <v>47367</v>
      </c>
      <c r="M19" s="0" t="n">
        <v>15690</v>
      </c>
      <c r="N19" s="0" t="n">
        <v>31677</v>
      </c>
      <c r="O19" s="0" t="n">
        <v>114570</v>
      </c>
      <c r="P19" s="0" t="n">
        <v>303864</v>
      </c>
      <c r="Q19" s="0" t="n">
        <v>189294</v>
      </c>
      <c r="R19" s="0" t="n">
        <v>60766</v>
      </c>
      <c r="S19" s="0" t="n">
        <v>33026</v>
      </c>
      <c r="T19" s="0" t="n">
        <v>2614.8</v>
      </c>
      <c r="U19" s="0" t="n">
        <v>229</v>
      </c>
      <c r="AA19" s="0" t="s">
        <v>18</v>
      </c>
      <c r="AB19" s="0" t="s">
        <v>14</v>
      </c>
      <c r="AD19" s="0" t="n">
        <v>13.15</v>
      </c>
      <c r="AE19" s="0" t="n">
        <v>91.3</v>
      </c>
      <c r="AF19" s="0" t="n">
        <v>16.8</v>
      </c>
      <c r="AG19" s="0" t="n">
        <v>6.1</v>
      </c>
    </row>
    <row r="20" customFormat="false" ht="15" hidden="false" customHeight="false" outlineLevel="0" collapsed="false">
      <c r="A20" s="0" t="s">
        <v>87</v>
      </c>
      <c r="B20" s="0" t="n">
        <v>218945</v>
      </c>
      <c r="H20" s="0" t="n">
        <v>50030</v>
      </c>
      <c r="I20" s="0" t="n">
        <v>21384</v>
      </c>
      <c r="J20" s="0" t="n">
        <v>9.8</v>
      </c>
      <c r="K20" s="0" t="n">
        <v>8.67</v>
      </c>
      <c r="L20" s="0" t="n">
        <v>40679</v>
      </c>
      <c r="M20" s="0" t="n">
        <v>17722</v>
      </c>
      <c r="N20" s="0" t="n">
        <v>22957</v>
      </c>
      <c r="O20" s="0" t="n">
        <v>119453</v>
      </c>
      <c r="P20" s="0" t="n">
        <v>283654</v>
      </c>
      <c r="Q20" s="0" t="n">
        <v>164201</v>
      </c>
      <c r="R20" s="0" t="n">
        <v>50068</v>
      </c>
      <c r="S20" s="0" t="n">
        <v>27263</v>
      </c>
      <c r="T20" s="0" t="n">
        <v>2466.4</v>
      </c>
      <c r="U20" s="0" t="n">
        <v>291</v>
      </c>
      <c r="AA20" s="0" t="s">
        <v>18</v>
      </c>
      <c r="AB20" s="0" t="s">
        <v>14</v>
      </c>
      <c r="AC20" s="0" t="n">
        <v>2483</v>
      </c>
      <c r="AD20" s="0" t="n">
        <v>6.64</v>
      </c>
      <c r="AE20" s="0" t="n">
        <v>76.2</v>
      </c>
    </row>
    <row r="21" customFormat="false" ht="15" hidden="false" customHeight="false" outlineLevel="0" collapsed="false">
      <c r="A21" s="0" t="s">
        <v>88</v>
      </c>
      <c r="B21" s="0" t="n">
        <v>195610</v>
      </c>
      <c r="H21" s="0" t="n">
        <v>43143</v>
      </c>
      <c r="I21" s="0" t="n">
        <v>15758</v>
      </c>
      <c r="J21" s="0" t="n">
        <v>8.1</v>
      </c>
      <c r="K21" s="0" t="n">
        <v>6.69</v>
      </c>
      <c r="L21" s="0" t="n">
        <v>30854</v>
      </c>
      <c r="M21" s="0" t="n">
        <v>14909</v>
      </c>
      <c r="N21" s="0" t="n">
        <v>15945</v>
      </c>
      <c r="O21" s="0" t="n">
        <v>120255</v>
      </c>
      <c r="P21" s="0" t="n">
        <v>285487</v>
      </c>
      <c r="Q21" s="0" t="n">
        <v>165232</v>
      </c>
      <c r="R21" s="0" t="n">
        <v>53557</v>
      </c>
      <c r="S21" s="0" t="n">
        <v>25844</v>
      </c>
      <c r="T21" s="0" t="n">
        <v>2355.5</v>
      </c>
      <c r="U21" s="0" t="n">
        <v>556</v>
      </c>
      <c r="AA21" s="0" t="s">
        <v>18</v>
      </c>
      <c r="AB21" s="0" t="s">
        <v>14</v>
      </c>
      <c r="AC21" s="0" t="n">
        <v>2434</v>
      </c>
      <c r="AD21" s="0" t="n">
        <v>5.54</v>
      </c>
      <c r="AE21" s="0" t="n">
        <v>77.1</v>
      </c>
    </row>
    <row r="22" customFormat="false" ht="15" hidden="false" customHeight="false" outlineLevel="0" collapsed="false">
      <c r="A22" s="0" t="s">
        <v>89</v>
      </c>
      <c r="B22" s="0" t="n">
        <v>182344</v>
      </c>
      <c r="H22" s="0" t="n">
        <v>40555</v>
      </c>
      <c r="I22" s="0" t="n">
        <v>13127</v>
      </c>
      <c r="J22" s="0" t="n">
        <v>7.2</v>
      </c>
      <c r="K22" s="0" t="n">
        <v>5.78</v>
      </c>
      <c r="L22" s="0" t="n">
        <v>27343</v>
      </c>
      <c r="M22" s="0" t="n">
        <v>16953</v>
      </c>
      <c r="N22" s="0" t="n">
        <v>10390</v>
      </c>
      <c r="O22" s="0" t="n">
        <v>117523</v>
      </c>
      <c r="P22" s="0" t="n">
        <v>291055</v>
      </c>
      <c r="Q22" s="0" t="n">
        <v>173532</v>
      </c>
      <c r="R22" s="0" t="n">
        <v>61033</v>
      </c>
      <c r="S22" s="0" t="n">
        <v>26202</v>
      </c>
      <c r="T22" s="0" t="n">
        <v>2271.1</v>
      </c>
      <c r="U22" s="0" t="n">
        <v>585</v>
      </c>
      <c r="AA22" s="0" t="s">
        <v>18</v>
      </c>
      <c r="AB22" s="0" t="s">
        <v>14</v>
      </c>
      <c r="AC22" s="0" t="n">
        <v>2529</v>
      </c>
      <c r="AD22" s="0" t="n">
        <v>5.72</v>
      </c>
      <c r="AE22" s="0" t="n">
        <v>66.2</v>
      </c>
      <c r="AF22" s="0" t="n">
        <v>34.1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90</v>
      </c>
      <c r="B1" s="2" t="s">
        <v>91</v>
      </c>
    </row>
    <row r="2" customFormat="false" ht="15" hidden="false" customHeight="false" outlineLevel="0" collapsed="false">
      <c r="A2" s="0" t="s">
        <v>92</v>
      </c>
      <c r="B2" s="3" t="n">
        <v>83.45</v>
      </c>
    </row>
    <row r="3" customFormat="false" ht="15" hidden="false" customHeight="false" outlineLevel="0" collapsed="false">
      <c r="A3" s="0" t="s">
        <v>93</v>
      </c>
      <c r="B3" s="3" t="n">
        <v>2224.19</v>
      </c>
    </row>
    <row r="4" customFormat="false" ht="15" hidden="false" customHeight="false" outlineLevel="0" collapsed="false">
      <c r="A4" s="0" t="s">
        <v>94</v>
      </c>
      <c r="B4" s="3" t="n">
        <v>28614</v>
      </c>
    </row>
    <row r="5" customFormat="false" ht="15" hidden="false" customHeight="false" outlineLevel="0" collapsed="false">
      <c r="A5" s="0" t="s">
        <v>95</v>
      </c>
      <c r="B5" s="3" t="n">
        <v>-15290</v>
      </c>
    </row>
    <row r="6" customFormat="false" ht="15" hidden="false" customHeight="false" outlineLevel="0" collapsed="false">
      <c r="A6" s="0" t="s">
        <v>96</v>
      </c>
      <c r="B6" s="3" t="n">
        <v>15</v>
      </c>
    </row>
    <row r="7" customFormat="false" ht="15" hidden="false" customHeight="false" outlineLevel="0" collapsed="false">
      <c r="A7" s="0" t="s">
        <v>97</v>
      </c>
      <c r="B7" s="3" t="n">
        <v>182344</v>
      </c>
    </row>
    <row r="8" customFormat="false" ht="15" hidden="false" customHeight="false" outlineLevel="0" collapsed="false">
      <c r="A8" s="0" t="s">
        <v>98</v>
      </c>
      <c r="B8" s="3" t="s">
        <v>89</v>
      </c>
    </row>
    <row r="9" customFormat="false" ht="15" hidden="false" customHeight="false" outlineLevel="0" collapsed="false">
      <c r="A9" s="0" t="s">
        <v>99</v>
      </c>
      <c r="B9" s="3" t="s">
        <v>100</v>
      </c>
    </row>
    <row r="10" customFormat="false" ht="15" hidden="false" customHeight="false" outlineLevel="0" collapsed="false">
      <c r="A10" s="0" t="s">
        <v>101</v>
      </c>
      <c r="B10" s="3" t="n">
        <v>0.8918</v>
      </c>
    </row>
    <row r="12" customFormat="false" ht="15" hidden="false" customHeight="false" outlineLevel="0" collapsed="false">
      <c r="A12" s="2" t="s">
        <v>102</v>
      </c>
      <c r="C12" s="2" t="s">
        <v>103</v>
      </c>
      <c r="D12" s="2" t="s">
        <v>104</v>
      </c>
      <c r="E12" s="2" t="s">
        <v>105</v>
      </c>
      <c r="F12" s="2" t="s">
        <v>106</v>
      </c>
      <c r="G12" s="2" t="s">
        <v>107</v>
      </c>
      <c r="H12" s="2" t="s">
        <v>108</v>
      </c>
      <c r="I12" s="2" t="s">
        <v>109</v>
      </c>
      <c r="J12" s="2" t="s">
        <v>110</v>
      </c>
      <c r="K12" s="2" t="s">
        <v>111</v>
      </c>
      <c r="L12" s="2" t="s">
        <v>112</v>
      </c>
    </row>
    <row r="13" customFormat="false" ht="15" hidden="false" customHeight="false" outlineLevel="0" collapsed="false">
      <c r="A13" s="0" t="s">
        <v>113</v>
      </c>
      <c r="C13" s="3" t="n">
        <v>15</v>
      </c>
      <c r="D13" s="3" t="n">
        <v>-15</v>
      </c>
      <c r="E13" s="3" t="n">
        <v>-5</v>
      </c>
      <c r="F13" s="3" t="n">
        <v>1.5</v>
      </c>
      <c r="G13" s="3" t="n">
        <v>1.5</v>
      </c>
      <c r="H13" s="3" t="n">
        <v>1.5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114</v>
      </c>
      <c r="C14" s="3" t="n">
        <v>23.5</v>
      </c>
      <c r="D14" s="3" t="n">
        <v>21</v>
      </c>
      <c r="E14" s="3" t="n">
        <v>20.5</v>
      </c>
      <c r="F14" s="3" t="n">
        <v>20.5</v>
      </c>
      <c r="G14" s="3" t="n">
        <v>20.5</v>
      </c>
      <c r="H14" s="3" t="n">
        <v>20.5</v>
      </c>
      <c r="I14" s="3" t="n">
        <v>20.5</v>
      </c>
      <c r="J14" s="3" t="n">
        <v>20.5</v>
      </c>
      <c r="K14" s="3" t="n">
        <v>20.5</v>
      </c>
      <c r="L14" s="3" t="n">
        <v>20.5</v>
      </c>
    </row>
    <row r="15" customFormat="false" ht="15" hidden="false" customHeight="false" outlineLevel="0" collapsed="false">
      <c r="A15" s="0" t="s">
        <v>115</v>
      </c>
      <c r="C15" s="3" t="n">
        <v>0.32</v>
      </c>
      <c r="D15" s="3" t="n">
        <v>0.32</v>
      </c>
      <c r="E15" s="3" t="n">
        <v>0.32</v>
      </c>
      <c r="F15" s="3" t="n">
        <v>0.32</v>
      </c>
      <c r="G15" s="3" t="n">
        <v>0.32</v>
      </c>
      <c r="H15" s="3" t="n">
        <v>0.32</v>
      </c>
      <c r="I15" s="3" t="n">
        <v>0.32</v>
      </c>
      <c r="J15" s="3" t="n">
        <v>0.32</v>
      </c>
      <c r="K15" s="3" t="n">
        <v>0.32</v>
      </c>
      <c r="L15" s="3" t="n">
        <v>0.32</v>
      </c>
    </row>
    <row r="16" customFormat="false" ht="15" hidden="false" customHeight="false" outlineLevel="0" collapsed="false">
      <c r="A16" s="0" t="s">
        <v>116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117</v>
      </c>
      <c r="C17" s="3" t="n">
        <v>6.7</v>
      </c>
      <c r="D17" s="3" t="n">
        <v>7.8</v>
      </c>
      <c r="E17" s="3" t="n">
        <v>8.2</v>
      </c>
      <c r="F17" s="3" t="n">
        <v>8.2</v>
      </c>
      <c r="G17" s="3" t="n">
        <v>8.2</v>
      </c>
      <c r="H17" s="3" t="n">
        <v>8.2</v>
      </c>
      <c r="I17" s="3" t="n">
        <v>8.2</v>
      </c>
      <c r="J17" s="3" t="n">
        <v>8.2</v>
      </c>
      <c r="K17" s="3" t="n">
        <v>8.2</v>
      </c>
      <c r="L17" s="3" t="n">
        <v>8.2</v>
      </c>
    </row>
    <row r="18" customFormat="false" ht="15" hidden="false" customHeight="false" outlineLevel="0" collapsed="false">
      <c r="A18" s="0" t="s">
        <v>118</v>
      </c>
      <c r="C18" s="3" t="n">
        <v>7.9</v>
      </c>
      <c r="D18" s="3" t="n">
        <v>9.3</v>
      </c>
      <c r="E18" s="3" t="n">
        <v>9.6</v>
      </c>
      <c r="F18" s="3" t="n">
        <v>9.6</v>
      </c>
      <c r="G18" s="3" t="n">
        <v>9.6</v>
      </c>
      <c r="H18" s="3" t="n">
        <v>9.6</v>
      </c>
      <c r="I18" s="3" t="n">
        <v>9.6</v>
      </c>
      <c r="J18" s="3" t="n">
        <v>9.6</v>
      </c>
      <c r="K18" s="3" t="n">
        <v>9.6</v>
      </c>
      <c r="L18" s="3" t="n">
        <v>9.6</v>
      </c>
    </row>
    <row r="19" customFormat="false" ht="15" hidden="false" customHeight="false" outlineLevel="0" collapsed="false">
      <c r="A19" s="0" t="s">
        <v>119</v>
      </c>
      <c r="C19" s="3" t="n">
        <v>38</v>
      </c>
      <c r="D19" s="3" t="n">
        <v>37.5</v>
      </c>
      <c r="E19" s="3" t="n">
        <v>37.5</v>
      </c>
      <c r="F19" s="3" t="n">
        <v>37.5</v>
      </c>
      <c r="G19" s="3" t="n">
        <v>37.5</v>
      </c>
      <c r="H19" s="3" t="n">
        <v>37.5</v>
      </c>
      <c r="I19" s="3" t="n">
        <v>37.5</v>
      </c>
      <c r="J19" s="3" t="n">
        <v>37.5</v>
      </c>
      <c r="K19" s="3" t="n">
        <v>37.5</v>
      </c>
      <c r="L19" s="3" t="n">
        <v>37.5</v>
      </c>
    </row>
    <row r="20" customFormat="false" ht="15" hidden="false" customHeight="false" outlineLevel="0" collapsed="false">
      <c r="A20" s="0" t="s">
        <v>120</v>
      </c>
      <c r="B20" s="3" t="n">
        <v>8</v>
      </c>
    </row>
    <row r="21" customFormat="false" ht="15" hidden="false" customHeight="false" outlineLevel="0" collapsed="false">
      <c r="A21" s="0" t="s">
        <v>121</v>
      </c>
      <c r="B21" s="3" t="n">
        <v>1.5</v>
      </c>
    </row>
    <row r="22" customFormat="false" ht="15" hidden="false" customHeight="false" outlineLevel="0" collapsed="false">
      <c r="A22" s="0" t="s">
        <v>122</v>
      </c>
      <c r="B22" s="3" t="n">
        <v>12</v>
      </c>
    </row>
    <row r="23" customFormat="false" ht="15" hidden="false" customHeight="false" outlineLevel="0" collapsed="false">
      <c r="A23" s="0" t="s">
        <v>123</v>
      </c>
      <c r="B23" s="3" t="n">
        <v>-3</v>
      </c>
    </row>
    <row r="24" customFormat="false" ht="15" hidden="false" customHeight="false" outlineLevel="0" collapsed="false">
      <c r="A24" s="0" t="s">
        <v>124</v>
      </c>
      <c r="B24" s="3" t="n">
        <v>0.3</v>
      </c>
    </row>
    <row r="26" customFormat="false" ht="15" hidden="false" customHeight="false" outlineLevel="0" collapsed="false">
      <c r="A26" s="2" t="s">
        <v>125</v>
      </c>
      <c r="C26" s="2" t="s">
        <v>103</v>
      </c>
      <c r="D26" s="2" t="s">
        <v>104</v>
      </c>
      <c r="E26" s="2" t="s">
        <v>105</v>
      </c>
      <c r="F26" s="2" t="s">
        <v>106</v>
      </c>
      <c r="G26" s="2" t="s">
        <v>107</v>
      </c>
      <c r="H26" s="2" t="s">
        <v>108</v>
      </c>
      <c r="I26" s="2" t="s">
        <v>109</v>
      </c>
      <c r="J26" s="2" t="s">
        <v>110</v>
      </c>
      <c r="K26" s="2" t="s">
        <v>111</v>
      </c>
      <c r="L26" s="2" t="s">
        <v>112</v>
      </c>
    </row>
    <row r="27" customFormat="false" ht="15" hidden="false" customHeight="false" outlineLevel="0" collapsed="false">
      <c r="A27" s="0" t="s">
        <v>113</v>
      </c>
      <c r="C27" s="3" t="n">
        <v>17</v>
      </c>
      <c r="D27" s="3" t="n">
        <v>-8</v>
      </c>
      <c r="E27" s="3" t="n">
        <v>-3</v>
      </c>
      <c r="F27" s="3" t="n">
        <v>2.5</v>
      </c>
      <c r="G27" s="3" t="n">
        <v>2.5</v>
      </c>
      <c r="H27" s="3" t="n">
        <v>2.5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114</v>
      </c>
      <c r="C28" s="3" t="n">
        <v>24</v>
      </c>
      <c r="D28" s="3" t="n">
        <v>22.5</v>
      </c>
      <c r="E28" s="3" t="n">
        <v>22</v>
      </c>
      <c r="F28" s="3" t="n">
        <v>22</v>
      </c>
      <c r="G28" s="3" t="n">
        <v>22</v>
      </c>
      <c r="H28" s="3" t="n">
        <v>22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115</v>
      </c>
      <c r="C29" s="3" t="n">
        <v>0.32</v>
      </c>
      <c r="D29" s="3" t="n">
        <v>0.32</v>
      </c>
      <c r="E29" s="3" t="n">
        <v>0.32</v>
      </c>
      <c r="F29" s="3" t="n">
        <v>0.32</v>
      </c>
      <c r="G29" s="3" t="n">
        <v>0.32</v>
      </c>
      <c r="H29" s="3" t="n">
        <v>0.32</v>
      </c>
      <c r="I29" s="3" t="n">
        <v>0.32</v>
      </c>
      <c r="J29" s="3" t="n">
        <v>0.32</v>
      </c>
      <c r="K29" s="3" t="n">
        <v>0.32</v>
      </c>
      <c r="L29" s="3" t="n">
        <v>0.32</v>
      </c>
    </row>
    <row r="30" customFormat="false" ht="15" hidden="false" customHeight="false" outlineLevel="0" collapsed="false">
      <c r="A30" s="0" t="s">
        <v>116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117</v>
      </c>
      <c r="C31" s="3" t="n">
        <v>6.6</v>
      </c>
      <c r="D31" s="3" t="n">
        <v>7.2</v>
      </c>
      <c r="E31" s="3" t="n">
        <v>7.4</v>
      </c>
      <c r="F31" s="3" t="n">
        <v>7.4</v>
      </c>
      <c r="G31" s="3" t="n">
        <v>7.4</v>
      </c>
      <c r="H31" s="3" t="n">
        <v>7.4</v>
      </c>
      <c r="I31" s="3" t="n">
        <v>7.4</v>
      </c>
      <c r="J31" s="3" t="n">
        <v>7.4</v>
      </c>
      <c r="K31" s="3" t="n">
        <v>7.4</v>
      </c>
      <c r="L31" s="3" t="n">
        <v>7.4</v>
      </c>
    </row>
    <row r="32" customFormat="false" ht="15" hidden="false" customHeight="false" outlineLevel="0" collapsed="false">
      <c r="A32" s="0" t="s">
        <v>118</v>
      </c>
      <c r="C32" s="3" t="n">
        <v>7.8</v>
      </c>
      <c r="D32" s="3" t="n">
        <v>8.5</v>
      </c>
      <c r="E32" s="3" t="n">
        <v>8.8</v>
      </c>
      <c r="F32" s="3" t="n">
        <v>8.8</v>
      </c>
      <c r="G32" s="3" t="n">
        <v>8.8</v>
      </c>
      <c r="H32" s="3" t="n">
        <v>8.8</v>
      </c>
      <c r="I32" s="3" t="n">
        <v>8.8</v>
      </c>
      <c r="J32" s="3" t="n">
        <v>8.8</v>
      </c>
      <c r="K32" s="3" t="n">
        <v>8.8</v>
      </c>
      <c r="L32" s="3" t="n">
        <v>8.8</v>
      </c>
    </row>
    <row r="33" customFormat="false" ht="15" hidden="false" customHeight="false" outlineLevel="0" collapsed="false">
      <c r="A33" s="0" t="s">
        <v>119</v>
      </c>
      <c r="C33" s="3" t="n">
        <v>38</v>
      </c>
      <c r="D33" s="3" t="n">
        <v>37</v>
      </c>
      <c r="E33" s="3" t="n">
        <v>36.5</v>
      </c>
      <c r="F33" s="3" t="n">
        <v>36.5</v>
      </c>
      <c r="G33" s="3" t="n">
        <v>36.5</v>
      </c>
      <c r="H33" s="3" t="n">
        <v>36.5</v>
      </c>
      <c r="I33" s="3" t="n">
        <v>36.5</v>
      </c>
      <c r="J33" s="3" t="n">
        <v>36.5</v>
      </c>
      <c r="K33" s="3" t="n">
        <v>36.5</v>
      </c>
      <c r="L33" s="3" t="n">
        <v>36.5</v>
      </c>
    </row>
    <row r="34" customFormat="false" ht="15" hidden="false" customHeight="false" outlineLevel="0" collapsed="false">
      <c r="A34" s="0" t="s">
        <v>120</v>
      </c>
      <c r="B34" s="3" t="n">
        <v>8</v>
      </c>
    </row>
    <row r="35" customFormat="false" ht="15" hidden="false" customHeight="false" outlineLevel="0" collapsed="false">
      <c r="A35" s="0" t="s">
        <v>121</v>
      </c>
      <c r="B35" s="3" t="n">
        <v>2</v>
      </c>
    </row>
    <row r="36" customFormat="false" ht="15" hidden="false" customHeight="false" outlineLevel="0" collapsed="false">
      <c r="A36" s="0" t="s">
        <v>122</v>
      </c>
      <c r="B36" s="3" t="n">
        <v>13</v>
      </c>
    </row>
    <row r="37" customFormat="false" ht="15" hidden="false" customHeight="false" outlineLevel="0" collapsed="false">
      <c r="A37" s="0" t="s">
        <v>123</v>
      </c>
      <c r="B37" s="3" t="n">
        <v>-3</v>
      </c>
    </row>
    <row r="38" customFormat="false" ht="15" hidden="false" customHeight="false" outlineLevel="0" collapsed="false">
      <c r="A38" s="0" t="s">
        <v>124</v>
      </c>
      <c r="B38" s="3" t="n">
        <v>0.5</v>
      </c>
    </row>
    <row r="40" customFormat="false" ht="15" hidden="false" customHeight="false" outlineLevel="0" collapsed="false">
      <c r="A40" s="2" t="s">
        <v>126</v>
      </c>
      <c r="C40" s="2" t="s">
        <v>103</v>
      </c>
      <c r="D40" s="2" t="s">
        <v>104</v>
      </c>
      <c r="E40" s="2" t="s">
        <v>105</v>
      </c>
      <c r="F40" s="2" t="s">
        <v>106</v>
      </c>
      <c r="G40" s="2" t="s">
        <v>107</v>
      </c>
      <c r="H40" s="2" t="s">
        <v>108</v>
      </c>
      <c r="I40" s="2" t="s">
        <v>109</v>
      </c>
      <c r="J40" s="2" t="s">
        <v>110</v>
      </c>
      <c r="K40" s="2" t="s">
        <v>111</v>
      </c>
      <c r="L40" s="2" t="s">
        <v>112</v>
      </c>
    </row>
    <row r="41" customFormat="false" ht="15" hidden="false" customHeight="false" outlineLevel="0" collapsed="false">
      <c r="A41" s="0" t="s">
        <v>113</v>
      </c>
      <c r="C41" s="3" t="n">
        <v>18</v>
      </c>
      <c r="D41" s="3" t="n">
        <v>-2</v>
      </c>
      <c r="E41" s="3" t="n">
        <v>1</v>
      </c>
      <c r="F41" s="3" t="n">
        <v>3</v>
      </c>
      <c r="G41" s="3" t="n">
        <v>3</v>
      </c>
      <c r="H41" s="3" t="n">
        <v>3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114</v>
      </c>
      <c r="C42" s="3" t="n">
        <v>24.5</v>
      </c>
      <c r="D42" s="3" t="n">
        <v>24</v>
      </c>
      <c r="E42" s="3" t="n">
        <v>23.5</v>
      </c>
      <c r="F42" s="3" t="n">
        <v>23.5</v>
      </c>
      <c r="G42" s="3" t="n">
        <v>23.5</v>
      </c>
      <c r="H42" s="3" t="n">
        <v>23.5</v>
      </c>
      <c r="I42" s="3" t="n">
        <v>23.5</v>
      </c>
      <c r="J42" s="3" t="n">
        <v>23.5</v>
      </c>
      <c r="K42" s="3" t="n">
        <v>23.5</v>
      </c>
      <c r="L42" s="3" t="n">
        <v>23.5</v>
      </c>
    </row>
    <row r="43" customFormat="false" ht="15" hidden="false" customHeight="false" outlineLevel="0" collapsed="false">
      <c r="A43" s="0" t="s">
        <v>115</v>
      </c>
      <c r="C43" s="3" t="n">
        <v>0.32</v>
      </c>
      <c r="D43" s="3" t="n">
        <v>0.32</v>
      </c>
      <c r="E43" s="3" t="n">
        <v>0.32</v>
      </c>
      <c r="F43" s="3" t="n">
        <v>0.32</v>
      </c>
      <c r="G43" s="3" t="n">
        <v>0.32</v>
      </c>
      <c r="H43" s="3" t="n">
        <v>0.32</v>
      </c>
      <c r="I43" s="3" t="n">
        <v>0.32</v>
      </c>
      <c r="J43" s="3" t="n">
        <v>0.32</v>
      </c>
      <c r="K43" s="3" t="n">
        <v>0.32</v>
      </c>
      <c r="L43" s="3" t="n">
        <v>0.32</v>
      </c>
    </row>
    <row r="44" customFormat="false" ht="15" hidden="false" customHeight="false" outlineLevel="0" collapsed="false">
      <c r="A44" s="0" t="s">
        <v>116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117</v>
      </c>
      <c r="C45" s="3" t="n">
        <v>6.5</v>
      </c>
      <c r="D45" s="3" t="n">
        <v>6.8</v>
      </c>
      <c r="E45" s="3" t="n">
        <v>7</v>
      </c>
      <c r="F45" s="3" t="n">
        <v>7</v>
      </c>
      <c r="G45" s="3" t="n">
        <v>7</v>
      </c>
      <c r="H45" s="3" t="n">
        <v>7</v>
      </c>
      <c r="I45" s="3" t="n">
        <v>7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118</v>
      </c>
      <c r="C46" s="3" t="n">
        <v>7.6</v>
      </c>
      <c r="D46" s="3" t="n">
        <v>8</v>
      </c>
      <c r="E46" s="3" t="n">
        <v>8.2</v>
      </c>
      <c r="F46" s="3" t="n">
        <v>8.2</v>
      </c>
      <c r="G46" s="3" t="n">
        <v>8.2</v>
      </c>
      <c r="H46" s="3" t="n">
        <v>8.2</v>
      </c>
      <c r="I46" s="3" t="n">
        <v>8.2</v>
      </c>
      <c r="J46" s="3" t="n">
        <v>8.2</v>
      </c>
      <c r="K46" s="3" t="n">
        <v>8.2</v>
      </c>
      <c r="L46" s="3" t="n">
        <v>8.2</v>
      </c>
    </row>
    <row r="47" customFormat="false" ht="15" hidden="false" customHeight="false" outlineLevel="0" collapsed="false">
      <c r="A47" s="0" t="s">
        <v>119</v>
      </c>
      <c r="C47" s="3" t="n">
        <v>38</v>
      </c>
      <c r="D47" s="3" t="n">
        <v>37</v>
      </c>
      <c r="E47" s="3" t="n">
        <v>36</v>
      </c>
      <c r="F47" s="3" t="n">
        <v>36</v>
      </c>
      <c r="G47" s="3" t="n">
        <v>36</v>
      </c>
      <c r="H47" s="3" t="n">
        <v>36</v>
      </c>
      <c r="I47" s="3" t="n">
        <v>36</v>
      </c>
      <c r="J47" s="3" t="n">
        <v>36</v>
      </c>
      <c r="K47" s="3" t="n">
        <v>36</v>
      </c>
      <c r="L47" s="3" t="n">
        <v>36</v>
      </c>
    </row>
    <row r="48" customFormat="false" ht="15" hidden="false" customHeight="false" outlineLevel="0" collapsed="false">
      <c r="A48" s="0" t="s">
        <v>120</v>
      </c>
      <c r="B48" s="3" t="n">
        <v>8</v>
      </c>
    </row>
    <row r="49" customFormat="false" ht="15" hidden="false" customHeight="false" outlineLevel="0" collapsed="false">
      <c r="A49" s="0" t="s">
        <v>121</v>
      </c>
      <c r="B49" s="3" t="n">
        <v>2.5</v>
      </c>
    </row>
    <row r="50" customFormat="false" ht="15" hidden="false" customHeight="false" outlineLevel="0" collapsed="false">
      <c r="A50" s="0" t="s">
        <v>122</v>
      </c>
      <c r="B50" s="3" t="n">
        <v>15</v>
      </c>
    </row>
    <row r="51" customFormat="false" ht="15" hidden="false" customHeight="false" outlineLevel="0" collapsed="false">
      <c r="A51" s="0" t="s">
        <v>123</v>
      </c>
      <c r="B51" s="3" t="n">
        <v>-3</v>
      </c>
    </row>
    <row r="52" customFormat="false" ht="15" hidden="false" customHeight="false" outlineLevel="0" collapsed="false">
      <c r="A52" s="0" t="s">
        <v>124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127</v>
      </c>
    </row>
    <row r="3" customFormat="false" ht="15" hidden="false" customHeight="false" outlineLevel="0" collapsed="false">
      <c r="A3" s="0" t="s">
        <v>128</v>
      </c>
      <c r="B3" s="0" t="s">
        <v>89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</row>
    <row r="4" customFormat="false" ht="15" hidden="false" customHeight="false" outlineLevel="0" collapsed="false">
      <c r="A4" s="0" t="s">
        <v>129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113</v>
      </c>
      <c r="C5" s="4" t="n">
        <f aca="false">Assumptions!C13</f>
        <v>15</v>
      </c>
      <c r="D5" s="4" t="n">
        <f aca="false">Assumptions!D13</f>
        <v>-15</v>
      </c>
      <c r="E5" s="4" t="n">
        <f aca="false">Assumptions!E13</f>
        <v>-5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182344</v>
      </c>
      <c r="C6" s="0" t="n">
        <f aca="false">B6*(1+C5/100)</f>
        <v>209695.6</v>
      </c>
      <c r="D6" s="0" t="n">
        <f aca="false">C6*(1+D5/100)</f>
        <v>178241.26</v>
      </c>
      <c r="E6" s="0" t="n">
        <f aca="false">D6*(1+E5/100)</f>
        <v>169329.197</v>
      </c>
      <c r="F6" s="0" t="n">
        <f aca="false">E6*(1+F5/100)</f>
        <v>171869.134955</v>
      </c>
      <c r="G6" s="0" t="n">
        <f aca="false">F6*(1+G5/100)</f>
        <v>174447.171979325</v>
      </c>
      <c r="H6" s="0" t="n">
        <f aca="false">G6*(1+H5/100)</f>
        <v>177063.879559015</v>
      </c>
      <c r="I6" s="0" t="n">
        <f aca="false">H6*(1+I5/100)</f>
        <v>178834.518354605</v>
      </c>
      <c r="J6" s="0" t="n">
        <f aca="false">I6*(1+J5/100)</f>
        <v>180622.863538151</v>
      </c>
      <c r="K6" s="0" t="n">
        <f aca="false">J6*(1+K5/100)</f>
        <v>182429.092173533</v>
      </c>
      <c r="L6" s="0" t="n">
        <f aca="false">K6*(1+L5/100)</f>
        <v>184253.383095268</v>
      </c>
    </row>
    <row r="7" customFormat="false" ht="15" hidden="false" customHeight="false" outlineLevel="0" collapsed="false">
      <c r="A7" s="0" t="s">
        <v>114</v>
      </c>
      <c r="C7" s="4" t="n">
        <f aca="false">Assumptions!C14</f>
        <v>23.5</v>
      </c>
      <c r="D7" s="4" t="n">
        <f aca="false">Assumptions!D14</f>
        <v>21</v>
      </c>
      <c r="E7" s="4" t="n">
        <f aca="false">Assumptions!E14</f>
        <v>20.5</v>
      </c>
      <c r="F7" s="4" t="n">
        <f aca="false">Assumptions!F14</f>
        <v>20.5</v>
      </c>
      <c r="G7" s="4" t="n">
        <f aca="false">Assumptions!G14</f>
        <v>20.5</v>
      </c>
      <c r="H7" s="4" t="n">
        <f aca="false">Assumptions!H14</f>
        <v>20.5</v>
      </c>
      <c r="I7" s="4" t="n">
        <f aca="false">Assumptions!I14</f>
        <v>20.5</v>
      </c>
      <c r="J7" s="4" t="n">
        <f aca="false">Assumptions!J14</f>
        <v>20.5</v>
      </c>
      <c r="K7" s="4" t="n">
        <f aca="false">Assumptions!K14</f>
        <v>20.5</v>
      </c>
      <c r="L7" s="4" t="n">
        <f aca="false">Assumptions!L14</f>
        <v>20.5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49278.466</v>
      </c>
      <c r="D8" s="0" t="n">
        <f aca="false">D6*D7/100</f>
        <v>37430.6646</v>
      </c>
      <c r="E8" s="0" t="n">
        <f aca="false">E6*E7/100</f>
        <v>34712.485385</v>
      </c>
      <c r="F8" s="0" t="n">
        <f aca="false">F6*F7/100</f>
        <v>35233.172665775</v>
      </c>
      <c r="G8" s="0" t="n">
        <f aca="false">G6*G7/100</f>
        <v>35761.6702557616</v>
      </c>
      <c r="H8" s="0" t="n">
        <f aca="false">H6*H7/100</f>
        <v>36298.095309598</v>
      </c>
      <c r="I8" s="0" t="n">
        <f aca="false">I6*I7/100</f>
        <v>36661.076262694</v>
      </c>
      <c r="J8" s="0" t="n">
        <f aca="false">J6*J7/100</f>
        <v>37027.687025321</v>
      </c>
      <c r="K8" s="0" t="n">
        <f aca="false">K6*K7/100</f>
        <v>37397.9638955742</v>
      </c>
      <c r="L8" s="0" t="n">
        <f aca="false">L6*L7/100</f>
        <v>37771.9435345299</v>
      </c>
    </row>
    <row r="9" customFormat="false" ht="15" hidden="false" customHeight="false" outlineLevel="0" collapsed="false">
      <c r="A9" s="0" t="s">
        <v>115</v>
      </c>
      <c r="C9" s="4" t="n">
        <f aca="false">Assumptions!C15</f>
        <v>0.32</v>
      </c>
      <c r="D9" s="4" t="n">
        <f aca="false">Assumptions!D15</f>
        <v>0.32</v>
      </c>
      <c r="E9" s="4" t="n">
        <f aca="false">Assumptions!E15</f>
        <v>0.32</v>
      </c>
      <c r="F9" s="4" t="n">
        <f aca="false">Assumptions!F15</f>
        <v>0.32</v>
      </c>
      <c r="G9" s="4" t="n">
        <f aca="false">Assumptions!G15</f>
        <v>0.32</v>
      </c>
      <c r="H9" s="4" t="n">
        <f aca="false">Assumptions!H15</f>
        <v>0.32</v>
      </c>
      <c r="I9" s="4" t="n">
        <f aca="false">Assumptions!I15</f>
        <v>0.32</v>
      </c>
      <c r="J9" s="4" t="n">
        <f aca="false">Assumptions!J15</f>
        <v>0.32</v>
      </c>
      <c r="K9" s="4" t="n">
        <f aca="false">Assumptions!K15</f>
        <v>0.32</v>
      </c>
      <c r="L9" s="4" t="n">
        <f aca="false">Assumptions!L15</f>
        <v>0.32</v>
      </c>
    </row>
    <row r="10" customFormat="false" ht="15" hidden="false" customHeight="false" outlineLevel="0" collapsed="false">
      <c r="A10" s="0" t="s">
        <v>130</v>
      </c>
      <c r="C10" s="0" t="n">
        <f aca="false">-C6*C9/100</f>
        <v>-671.02592</v>
      </c>
      <c r="D10" s="0" t="n">
        <f aca="false">-D6*D9/100</f>
        <v>-570.372032</v>
      </c>
      <c r="E10" s="0" t="n">
        <f aca="false">-E6*E9/100</f>
        <v>-541.8534304</v>
      </c>
      <c r="F10" s="0" t="n">
        <f aca="false">-F6*F9/100</f>
        <v>-549.981231856</v>
      </c>
      <c r="G10" s="0" t="n">
        <f aca="false">-G6*G9/100</f>
        <v>-558.23095033384</v>
      </c>
      <c r="H10" s="0" t="n">
        <f aca="false">-H6*H9/100</f>
        <v>-566.604414588848</v>
      </c>
      <c r="I10" s="0" t="n">
        <f aca="false">-I6*I9/100</f>
        <v>-572.270458734736</v>
      </c>
      <c r="J10" s="0" t="n">
        <f aca="false">-J6*J9/100</f>
        <v>-577.993163322083</v>
      </c>
      <c r="K10" s="0" t="n">
        <f aca="false">-K6*K9/100</f>
        <v>-583.773094955304</v>
      </c>
      <c r="L10" s="0" t="n">
        <f aca="false">-L6*L9/100</f>
        <v>-589.610825904857</v>
      </c>
    </row>
    <row r="11" customFormat="false" ht="15" hidden="false" customHeight="false" outlineLevel="0" collapsed="false">
      <c r="A11" s="0" t="s">
        <v>131</v>
      </c>
      <c r="C11" s="0" t="n">
        <f aca="false">C8+C10+C24</f>
        <v>48607.44008</v>
      </c>
      <c r="D11" s="0" t="n">
        <f aca="false">D8+D10+D24</f>
        <v>36860.292568</v>
      </c>
      <c r="E11" s="0" t="n">
        <f aca="false">E8+E10+E24</f>
        <v>34170.6319546</v>
      </c>
      <c r="F11" s="0" t="n">
        <f aca="false">F8+F10+F24</f>
        <v>34683.191433919</v>
      </c>
      <c r="G11" s="0" t="n">
        <f aca="false">G8+G10+G24</f>
        <v>35203.4393054278</v>
      </c>
      <c r="H11" s="0" t="n">
        <f aca="false">H8+H10+H24</f>
        <v>35731.4908950092</v>
      </c>
      <c r="I11" s="0" t="n">
        <f aca="false">I8+I10+I24</f>
        <v>36088.8058039593</v>
      </c>
      <c r="J11" s="0" t="n">
        <f aca="false">J8+J10+J24</f>
        <v>36449.6938619989</v>
      </c>
      <c r="K11" s="0" t="n">
        <f aca="false">K8+K10+K24</f>
        <v>36814.1908006189</v>
      </c>
      <c r="L11" s="0" t="n">
        <f aca="false">L8+L10+L24</f>
        <v>37182.3327086251</v>
      </c>
    </row>
    <row r="12" customFormat="false" ht="15" hidden="false" customHeight="false" outlineLevel="0" collapsed="false">
      <c r="A12" s="0" t="s">
        <v>132</v>
      </c>
      <c r="C12" s="4" t="n">
        <f aca="false">-C6*Assumptions!C17/100</f>
        <v>-14049.6052</v>
      </c>
      <c r="D12" s="4" t="n">
        <f aca="false">-D6*Assumptions!D17/100</f>
        <v>-13902.81828</v>
      </c>
      <c r="E12" s="4" t="n">
        <f aca="false">-E6*Assumptions!E17/100</f>
        <v>-13884.994154</v>
      </c>
      <c r="F12" s="4" t="n">
        <f aca="false">-F6*Assumptions!F17/100</f>
        <v>-14093.26906631</v>
      </c>
      <c r="G12" s="4" t="n">
        <f aca="false">-G6*Assumptions!G17/100</f>
        <v>-14304.6681023046</v>
      </c>
      <c r="H12" s="4" t="n">
        <f aca="false">-H6*Assumptions!H17/100</f>
        <v>-14519.2381238392</v>
      </c>
      <c r="I12" s="4" t="n">
        <f aca="false">-I6*Assumptions!I17/100</f>
        <v>-14664.4305050776</v>
      </c>
      <c r="J12" s="4" t="n">
        <f aca="false">-J6*Assumptions!J17/100</f>
        <v>-14811.0748101284</v>
      </c>
      <c r="K12" s="4" t="n">
        <f aca="false">-K6*Assumptions!K17/100</f>
        <v>-14959.1855582297</v>
      </c>
      <c r="L12" s="4" t="n">
        <f aca="false">-L6*Assumptions!L17/100</f>
        <v>-15108.777413812</v>
      </c>
    </row>
    <row r="13" customFormat="false" ht="15" hidden="false" customHeight="false" outlineLevel="0" collapsed="false">
      <c r="A13" s="0" t="s">
        <v>133</v>
      </c>
      <c r="C13" s="0" t="n">
        <f aca="false">C11+C12</f>
        <v>34557.83488</v>
      </c>
      <c r="D13" s="0" t="n">
        <f aca="false">D11+D12</f>
        <v>22957.474288</v>
      </c>
      <c r="E13" s="0" t="n">
        <f aca="false">E11+E12</f>
        <v>20285.6378006</v>
      </c>
      <c r="F13" s="0" t="n">
        <f aca="false">F11+F12</f>
        <v>20589.922367609</v>
      </c>
      <c r="G13" s="0" t="n">
        <f aca="false">G11+G12</f>
        <v>20898.7712031231</v>
      </c>
      <c r="H13" s="0" t="n">
        <f aca="false">H11+H12</f>
        <v>21212.25277117</v>
      </c>
      <c r="I13" s="0" t="n">
        <f aca="false">I11+I12</f>
        <v>21424.3752988817</v>
      </c>
      <c r="J13" s="0" t="n">
        <f aca="false">J11+J12</f>
        <v>21638.6190518705</v>
      </c>
      <c r="K13" s="0" t="n">
        <f aca="false">K11+K12</f>
        <v>21855.0052423892</v>
      </c>
      <c r="L13" s="0" t="n">
        <f aca="false">L11+L12</f>
        <v>22073.5552948131</v>
      </c>
    </row>
    <row r="14" customFormat="false" ht="15" hidden="false" customHeight="false" outlineLevel="0" collapsed="false">
      <c r="A14" s="0" t="s">
        <v>119</v>
      </c>
      <c r="C14" s="4" t="n">
        <f aca="false">Assumptions!C19</f>
        <v>38</v>
      </c>
      <c r="D14" s="4" t="n">
        <f aca="false">Assumptions!D19</f>
        <v>37.5</v>
      </c>
      <c r="E14" s="4" t="n">
        <f aca="false">Assumptions!E19</f>
        <v>37.5</v>
      </c>
      <c r="F14" s="4" t="n">
        <f aca="false">Assumptions!F19</f>
        <v>37.5</v>
      </c>
      <c r="G14" s="4" t="n">
        <f aca="false">Assumptions!G19</f>
        <v>37.5</v>
      </c>
      <c r="H14" s="4" t="n">
        <f aca="false">Assumptions!H19</f>
        <v>37.5</v>
      </c>
      <c r="I14" s="4" t="n">
        <f aca="false">Assumptions!I19</f>
        <v>37.5</v>
      </c>
      <c r="J14" s="4" t="n">
        <f aca="false">Assumptions!J19</f>
        <v>37.5</v>
      </c>
      <c r="K14" s="4" t="n">
        <f aca="false">Assumptions!K19</f>
        <v>37.5</v>
      </c>
      <c r="L14" s="4" t="n">
        <f aca="false">Assumptions!L19</f>
        <v>37.5</v>
      </c>
    </row>
    <row r="15" customFormat="false" ht="15" hidden="false" customHeight="false" outlineLevel="0" collapsed="false">
      <c r="A15" s="0" t="s">
        <v>134</v>
      </c>
      <c r="C15" s="0" t="n">
        <f aca="false">C13-MAX(0,C13)*C14/100</f>
        <v>21425.8576256</v>
      </c>
      <c r="D15" s="0" t="n">
        <f aca="false">D13-MAX(0,D13)*D14/100</f>
        <v>14348.42143</v>
      </c>
      <c r="E15" s="0" t="n">
        <f aca="false">E13-MAX(0,E13)*E14/100</f>
        <v>12678.523625375</v>
      </c>
      <c r="F15" s="0" t="n">
        <f aca="false">F13-MAX(0,F13)*F14/100</f>
        <v>12868.7014797556</v>
      </c>
      <c r="G15" s="0" t="n">
        <f aca="false">G13-MAX(0,G13)*G14/100</f>
        <v>13061.732001952</v>
      </c>
      <c r="H15" s="0" t="n">
        <f aca="false">H13-MAX(0,H13)*H14/100</f>
        <v>13257.6579819812</v>
      </c>
      <c r="I15" s="0" t="n">
        <f aca="false">I13-MAX(0,I13)*I14/100</f>
        <v>13390.234561801</v>
      </c>
      <c r="J15" s="0" t="n">
        <f aca="false">J13-MAX(0,J13)*J14/100</f>
        <v>13524.1369074191</v>
      </c>
      <c r="K15" s="0" t="n">
        <f aca="false">K13-MAX(0,K13)*K14/100</f>
        <v>13659.3782764932</v>
      </c>
      <c r="L15" s="0" t="n">
        <f aca="false">L13-MAX(0,L13)*L14/100</f>
        <v>13795.9720592582</v>
      </c>
    </row>
    <row r="16" customFormat="false" ht="15" hidden="false" customHeight="false" outlineLevel="0" collapsed="false">
      <c r="A16" s="0" t="s">
        <v>135</v>
      </c>
      <c r="C16" s="0" t="n">
        <f aca="false">-C12</f>
        <v>14049.6052</v>
      </c>
      <c r="D16" s="0" t="n">
        <f aca="false">-D12</f>
        <v>13902.81828</v>
      </c>
      <c r="E16" s="0" t="n">
        <f aca="false">-E12</f>
        <v>13884.994154</v>
      </c>
      <c r="F16" s="0" t="n">
        <f aca="false">-F12</f>
        <v>14093.26906631</v>
      </c>
      <c r="G16" s="0" t="n">
        <f aca="false">-G12</f>
        <v>14304.6681023046</v>
      </c>
      <c r="H16" s="0" t="n">
        <f aca="false">-H12</f>
        <v>14519.2381238392</v>
      </c>
      <c r="I16" s="0" t="n">
        <f aca="false">-I12</f>
        <v>14664.4305050776</v>
      </c>
      <c r="J16" s="0" t="n">
        <f aca="false">-J12</f>
        <v>14811.0748101284</v>
      </c>
      <c r="K16" s="0" t="n">
        <f aca="false">-K12</f>
        <v>14959.1855582297</v>
      </c>
      <c r="L16" s="0" t="n">
        <f aca="false">-L12</f>
        <v>15108.777413812</v>
      </c>
    </row>
    <row r="17" customFormat="false" ht="15" hidden="false" customHeight="false" outlineLevel="0" collapsed="false">
      <c r="A17" s="0" t="s">
        <v>136</v>
      </c>
      <c r="C17" s="4" t="n">
        <f aca="false">-C6*Assumptions!C18/100</f>
        <v>-16565.9524</v>
      </c>
      <c r="D17" s="4" t="n">
        <f aca="false">-D6*Assumptions!D18/100</f>
        <v>-16576.43718</v>
      </c>
      <c r="E17" s="4" t="n">
        <f aca="false">-E6*Assumptions!E18/100</f>
        <v>-16255.602912</v>
      </c>
      <c r="F17" s="4" t="n">
        <f aca="false">-F6*Assumptions!F18/100</f>
        <v>-16499.43695568</v>
      </c>
      <c r="G17" s="4" t="n">
        <f aca="false">-G6*Assumptions!G18/100</f>
        <v>-16746.9285100152</v>
      </c>
      <c r="H17" s="4" t="n">
        <f aca="false">-H6*Assumptions!H18/100</f>
        <v>-16998.1324376654</v>
      </c>
      <c r="I17" s="4" t="n">
        <f aca="false">-I6*Assumptions!I18/100</f>
        <v>-17168.1137620421</v>
      </c>
      <c r="J17" s="4" t="n">
        <f aca="false">-J6*Assumptions!J18/100</f>
        <v>-17339.7948996625</v>
      </c>
      <c r="K17" s="4" t="n">
        <f aca="false">-K6*Assumptions!K18/100</f>
        <v>-17513.1928486591</v>
      </c>
      <c r="L17" s="4" t="n">
        <f aca="false">-L6*Assumptions!L18/100</f>
        <v>-17688.3247771457</v>
      </c>
    </row>
    <row r="18" customFormat="false" ht="15" hidden="false" customHeight="false" outlineLevel="0" collapsed="false">
      <c r="A18" s="0" t="s">
        <v>137</v>
      </c>
      <c r="C18" s="4" t="n">
        <f aca="false">(C6-B6)*Assumptions!$B$23/100</f>
        <v>-820.547999999999</v>
      </c>
      <c r="D18" s="4" t="n">
        <f aca="false">(D6-C6)*Assumptions!$B$23/100</f>
        <v>943.6302</v>
      </c>
      <c r="E18" s="4" t="n">
        <f aca="false">(E6-D6)*Assumptions!$B$23/100</f>
        <v>267.36189</v>
      </c>
      <c r="F18" s="4" t="n">
        <f aca="false">(F6-E6)*Assumptions!$B$23/100</f>
        <v>-76.1981386499992</v>
      </c>
      <c r="G18" s="4" t="n">
        <f aca="false">(G6-F6)*Assumptions!$B$23/100</f>
        <v>-77.3411107297498</v>
      </c>
      <c r="H18" s="4" t="n">
        <f aca="false">(H6-G6)*Assumptions!$B$23/100</f>
        <v>-78.5012273906957</v>
      </c>
      <c r="I18" s="4" t="n">
        <f aca="false">(I6-H6)*Assumptions!$B$23/100</f>
        <v>-53.1191638677043</v>
      </c>
      <c r="J18" s="4" t="n">
        <f aca="false">(J6-I6)*Assumptions!$B$23/100</f>
        <v>-53.6503555063813</v>
      </c>
      <c r="K18" s="4" t="n">
        <f aca="false">(K6-J6)*Assumptions!$B$23/100</f>
        <v>-54.186859061445</v>
      </c>
      <c r="L18" s="4" t="n">
        <f aca="false">(L6-K6)*Assumptions!$B$23/100</f>
        <v>-54.7287276520595</v>
      </c>
    </row>
    <row r="19" customFormat="false" ht="15" hidden="false" customHeight="false" outlineLevel="0" collapsed="false">
      <c r="A19" s="0" t="s">
        <v>138</v>
      </c>
      <c r="C19" s="0" t="n">
        <f aca="false">C15+C16+C17+C18</f>
        <v>18088.9624256</v>
      </c>
      <c r="D19" s="0" t="n">
        <f aca="false">D15+D16+D17+D18</f>
        <v>12618.43273</v>
      </c>
      <c r="E19" s="0" t="n">
        <f aca="false">E15+E16+E17+E18</f>
        <v>10575.276757375</v>
      </c>
      <c r="F19" s="0" t="n">
        <f aca="false">F15+F16+F17+F18</f>
        <v>10386.3354517356</v>
      </c>
      <c r="G19" s="0" t="n">
        <f aca="false">G15+G16+G17+G18</f>
        <v>10542.1304835117</v>
      </c>
      <c r="H19" s="0" t="n">
        <f aca="false">H15+H16+H17+H18</f>
        <v>10700.2624407643</v>
      </c>
      <c r="I19" s="0" t="n">
        <f aca="false">I15+I16+I17+I18</f>
        <v>10833.4321409689</v>
      </c>
      <c r="J19" s="0" t="n">
        <f aca="false">J15+J16+J17+J18</f>
        <v>10941.7664623786</v>
      </c>
      <c r="K19" s="0" t="n">
        <f aca="false">K15+K16+K17+K18</f>
        <v>11051.1841270023</v>
      </c>
      <c r="L19" s="0" t="n">
        <f aca="false">L15+L16+L17+L18</f>
        <v>11161.6959682724</v>
      </c>
    </row>
    <row r="20" customFormat="false" ht="15" hidden="false" customHeight="false" outlineLevel="0" collapsed="false">
      <c r="A20" s="0" t="s">
        <v>139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140</v>
      </c>
      <c r="C21" s="0" t="n">
        <f aca="false">C19*C20</f>
        <v>16749.039282963</v>
      </c>
      <c r="D21" s="0" t="n">
        <f aca="false">D19*D20</f>
        <v>10818.2722307956</v>
      </c>
      <c r="E21" s="0" t="n">
        <f aca="false">E19*E20</f>
        <v>8394.99564771551</v>
      </c>
      <c r="F21" s="0" t="n">
        <f aca="false">F19*F20</f>
        <v>7634.26661818382</v>
      </c>
      <c r="G21" s="0" t="n">
        <f aca="false">G19*G20</f>
        <v>7174.79686801535</v>
      </c>
      <c r="H21" s="0" t="n">
        <f aca="false">H19*H20</f>
        <v>6742.98038984776</v>
      </c>
      <c r="I21" s="0" t="n">
        <f aca="false">I19*I20</f>
        <v>6321.20360197943</v>
      </c>
      <c r="J21" s="0" t="n">
        <f aca="false">J19*J20</f>
        <v>5911.4959611104</v>
      </c>
      <c r="K21" s="0" t="n">
        <f aca="false">K19*K20</f>
        <v>5528.3434451125</v>
      </c>
      <c r="L21" s="0" t="n">
        <f aca="false">L19*L20</f>
        <v>5170.02488848484</v>
      </c>
    </row>
    <row r="23" customFormat="false" ht="15" hidden="false" customHeight="false" outlineLevel="0" collapsed="false">
      <c r="A23" s="0" t="s">
        <v>116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141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142</v>
      </c>
    </row>
    <row r="27" customFormat="false" ht="15" hidden="false" customHeight="false" outlineLevel="0" collapsed="false">
      <c r="A27" s="0" t="s">
        <v>120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121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122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143</v>
      </c>
      <c r="B30" s="0" t="n">
        <f aca="false">SUM(C21:L21)</f>
        <v>80445.4189342082</v>
      </c>
    </row>
    <row r="31" customFormat="false" ht="15" hidden="false" customHeight="false" outlineLevel="0" collapsed="false">
      <c r="A31" s="0" t="s">
        <v>144</v>
      </c>
      <c r="B31" s="0" t="n">
        <f aca="false">L19</f>
        <v>11161.6959682724</v>
      </c>
    </row>
    <row r="32" customFormat="false" ht="15" hidden="false" customHeight="false" outlineLevel="0" collapsed="false">
      <c r="A32" s="0" t="s">
        <v>145</v>
      </c>
      <c r="B32" s="0" t="n">
        <f aca="false">IF(B27&gt;B28,B31*(1+B28/100)/((B27-B28)/100),B31*B29)</f>
        <v>174294.175504561</v>
      </c>
    </row>
    <row r="33" customFormat="false" ht="15" hidden="false" customHeight="false" outlineLevel="0" collapsed="false">
      <c r="A33" s="0" t="s">
        <v>146</v>
      </c>
      <c r="B33" s="0" t="n">
        <f aca="false">B31*B29</f>
        <v>133940.351619268</v>
      </c>
    </row>
    <row r="34" customFormat="false" ht="15" hidden="false" customHeight="false" outlineLevel="0" collapsed="false">
      <c r="A34" s="0" t="s">
        <v>147</v>
      </c>
      <c r="B34" s="0" t="n">
        <f aca="false">MAX(0,MIN(B32,B33))</f>
        <v>133940.351619268</v>
      </c>
    </row>
    <row r="35" customFormat="false" ht="15" hidden="false" customHeight="false" outlineLevel="0" collapsed="false">
      <c r="A35" s="0" t="s">
        <v>148</v>
      </c>
      <c r="B35" s="0" t="n">
        <f aca="false">B34/(1+B27/100)^L4</f>
        <v>62040.298661818</v>
      </c>
    </row>
    <row r="36" customFormat="false" ht="15" hidden="false" customHeight="false" outlineLevel="0" collapsed="false">
      <c r="A36" s="0" t="s">
        <v>149</v>
      </c>
      <c r="B36" s="0" t="n">
        <f aca="false">B30+B35</f>
        <v>142485.717596026</v>
      </c>
    </row>
    <row r="37" customFormat="false" ht="15" hidden="false" customHeight="false" outlineLevel="0" collapsed="false">
      <c r="A37" s="0" t="s">
        <v>150</v>
      </c>
      <c r="B37" s="0" t="n">
        <f aca="false">B36+Assumptions!$B$5-Assumptions!$B$4</f>
        <v>98581.7175960262</v>
      </c>
    </row>
    <row r="38" customFormat="false" ht="15" hidden="false" customHeight="false" outlineLevel="0" collapsed="false">
      <c r="A38" s="0" t="s">
        <v>151</v>
      </c>
      <c r="B38" s="0" t="n">
        <f aca="false">B37/Assumptions!$B$3*Assumptions!$B$10</f>
        <v>39.5268280821945</v>
      </c>
    </row>
    <row r="39" customFormat="false" ht="15" hidden="false" customHeight="false" outlineLevel="0" collapsed="false">
      <c r="A39" s="0" t="s">
        <v>152</v>
      </c>
      <c r="B39" s="4" t="n">
        <f aca="false">B38/Assumptions!$B$2-1</f>
        <v>-0.52634118535417</v>
      </c>
    </row>
    <row r="41" customFormat="false" ht="15" hidden="false" customHeight="false" outlineLevel="0" collapsed="false">
      <c r="A41" s="0" t="s">
        <v>153</v>
      </c>
      <c r="B41" s="0" t="n">
        <f aca="false">SUMPRODUCT(-C10:L10/(1+$B$27/100)^C4:L4)</f>
        <v>3893.01704620395</v>
      </c>
    </row>
    <row r="42" customFormat="false" ht="15" hidden="false" customHeight="false" outlineLevel="0" collapsed="false">
      <c r="A42" s="0" t="s">
        <v>154</v>
      </c>
      <c r="B42" s="0" t="n">
        <f aca="false">IF(B27&gt;B28,-L10*(1+B28/100)/((B27-B28)/100),-L10*20)/(1+B27/100)^L4</f>
        <v>4264.62236137404</v>
      </c>
    </row>
    <row r="43" customFormat="false" ht="15" hidden="false" customHeight="false" outlineLevel="0" collapsed="false">
      <c r="A43" s="0" t="s">
        <v>155</v>
      </c>
      <c r="B43" s="0" t="n">
        <f aca="false">(B37+B41+B42)/Assumptions!$B$3*Assumptions!$B$10</f>
        <v>42.7976740187728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156</v>
      </c>
      <c r="B46" s="0" t="n">
        <f aca="false">MAX(0,MIN(IF(B45&gt;B28,B31*(1+B28/100)/((B45-B28)/100),B31*B29),B31*B29))</f>
        <v>83919.4178355293</v>
      </c>
    </row>
    <row r="47" customFormat="false" ht="15" hidden="false" customHeight="false" outlineLevel="0" collapsed="false">
      <c r="A47" s="0" t="s">
        <v>157</v>
      </c>
      <c r="B47" s="0" t="n">
        <f aca="false">(SUMPRODUCT(C19:L19/(1+B45/100)^C4:L4)+B46/(1+B45/100)^L4+Assumptions!$B$5-Assumptions!$B$4)/Assumptions!$B$3*Assumptions!$B$10</f>
        <v>15.4045462621246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158</v>
      </c>
    </row>
    <row r="3" customFormat="false" ht="15" hidden="false" customHeight="false" outlineLevel="0" collapsed="false">
      <c r="A3" s="0" t="s">
        <v>128</v>
      </c>
      <c r="B3" s="0" t="s">
        <v>89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</row>
    <row r="4" customFormat="false" ht="15" hidden="false" customHeight="false" outlineLevel="0" collapsed="false">
      <c r="A4" s="0" t="s">
        <v>129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113</v>
      </c>
      <c r="C5" s="4" t="n">
        <f aca="false">Assumptions!C27</f>
        <v>17</v>
      </c>
      <c r="D5" s="4" t="n">
        <f aca="false">Assumptions!D27</f>
        <v>-8</v>
      </c>
      <c r="E5" s="4" t="n">
        <f aca="false">Assumptions!E27</f>
        <v>-3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182344</v>
      </c>
      <c r="C6" s="0" t="n">
        <f aca="false">B6*(1+C5/100)</f>
        <v>213342.48</v>
      </c>
      <c r="D6" s="0" t="n">
        <f aca="false">C6*(1+D5/100)</f>
        <v>196275.0816</v>
      </c>
      <c r="E6" s="0" t="n">
        <f aca="false">D6*(1+E5/100)</f>
        <v>190386.829152</v>
      </c>
      <c r="F6" s="0" t="n">
        <f aca="false">E6*(1+F5/100)</f>
        <v>195146.4998808</v>
      </c>
      <c r="G6" s="0" t="n">
        <f aca="false">F6*(1+G5/100)</f>
        <v>200025.16237782</v>
      </c>
      <c r="H6" s="0" t="n">
        <f aca="false">G6*(1+H5/100)</f>
        <v>205025.791437265</v>
      </c>
      <c r="I6" s="0" t="n">
        <f aca="false">H6*(1+I5/100)</f>
        <v>209126.307266011</v>
      </c>
      <c r="J6" s="0" t="n">
        <f aca="false">I6*(1+J5/100)</f>
        <v>213308.833411331</v>
      </c>
      <c r="K6" s="0" t="n">
        <f aca="false">J6*(1+K5/100)</f>
        <v>217575.010079558</v>
      </c>
      <c r="L6" s="0" t="n">
        <f aca="false">K6*(1+L5/100)</f>
        <v>221926.510281149</v>
      </c>
    </row>
    <row r="7" customFormat="false" ht="15" hidden="false" customHeight="false" outlineLevel="0" collapsed="false">
      <c r="A7" s="0" t="s">
        <v>114</v>
      </c>
      <c r="C7" s="4" t="n">
        <f aca="false">Assumptions!C28</f>
        <v>24</v>
      </c>
      <c r="D7" s="4" t="n">
        <f aca="false">Assumptions!D28</f>
        <v>22.5</v>
      </c>
      <c r="E7" s="4" t="n">
        <f aca="false">Assumptions!E28</f>
        <v>22</v>
      </c>
      <c r="F7" s="4" t="n">
        <f aca="false">Assumptions!F28</f>
        <v>22</v>
      </c>
      <c r="G7" s="4" t="n">
        <f aca="false">Assumptions!G28</f>
        <v>22</v>
      </c>
      <c r="H7" s="4" t="n">
        <f aca="false">Assumptions!H28</f>
        <v>22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51202.1952</v>
      </c>
      <c r="D8" s="0" t="n">
        <f aca="false">D6*D7/100</f>
        <v>44161.89336</v>
      </c>
      <c r="E8" s="0" t="n">
        <f aca="false">E6*E7/100</f>
        <v>41885.10241344</v>
      </c>
      <c r="F8" s="0" t="n">
        <f aca="false">F6*F7/100</f>
        <v>42932.229973776</v>
      </c>
      <c r="G8" s="0" t="n">
        <f aca="false">G6*G7/100</f>
        <v>44005.5357231204</v>
      </c>
      <c r="H8" s="0" t="n">
        <f aca="false">H6*H7/100</f>
        <v>45105.6741161984</v>
      </c>
      <c r="I8" s="0" t="n">
        <f aca="false">I6*I7/100</f>
        <v>46007.7875985224</v>
      </c>
      <c r="J8" s="0" t="n">
        <f aca="false">J6*J7/100</f>
        <v>46927.9433504928</v>
      </c>
      <c r="K8" s="0" t="n">
        <f aca="false">K6*K7/100</f>
        <v>47866.5022175027</v>
      </c>
      <c r="L8" s="0" t="n">
        <f aca="false">L6*L7/100</f>
        <v>48823.8322618527</v>
      </c>
    </row>
    <row r="9" customFormat="false" ht="15" hidden="false" customHeight="false" outlineLevel="0" collapsed="false">
      <c r="A9" s="0" t="s">
        <v>115</v>
      </c>
      <c r="C9" s="4" t="n">
        <f aca="false">Assumptions!C29</f>
        <v>0.32</v>
      </c>
      <c r="D9" s="4" t="n">
        <f aca="false">Assumptions!D29</f>
        <v>0.32</v>
      </c>
      <c r="E9" s="4" t="n">
        <f aca="false">Assumptions!E29</f>
        <v>0.32</v>
      </c>
      <c r="F9" s="4" t="n">
        <f aca="false">Assumptions!F29</f>
        <v>0.32</v>
      </c>
      <c r="G9" s="4" t="n">
        <f aca="false">Assumptions!G29</f>
        <v>0.32</v>
      </c>
      <c r="H9" s="4" t="n">
        <f aca="false">Assumptions!H29</f>
        <v>0.32</v>
      </c>
      <c r="I9" s="4" t="n">
        <f aca="false">Assumptions!I29</f>
        <v>0.32</v>
      </c>
      <c r="J9" s="4" t="n">
        <f aca="false">Assumptions!J29</f>
        <v>0.32</v>
      </c>
      <c r="K9" s="4" t="n">
        <f aca="false">Assumptions!K29</f>
        <v>0.32</v>
      </c>
      <c r="L9" s="4" t="n">
        <f aca="false">Assumptions!L29</f>
        <v>0.32</v>
      </c>
    </row>
    <row r="10" customFormat="false" ht="15" hidden="false" customHeight="false" outlineLevel="0" collapsed="false">
      <c r="A10" s="0" t="s">
        <v>130</v>
      </c>
      <c r="C10" s="0" t="n">
        <f aca="false">-C6*C9/100</f>
        <v>-682.695936</v>
      </c>
      <c r="D10" s="0" t="n">
        <f aca="false">-D6*D9/100</f>
        <v>-628.08026112</v>
      </c>
      <c r="E10" s="0" t="n">
        <f aca="false">-E6*E9/100</f>
        <v>-609.2378532864</v>
      </c>
      <c r="F10" s="0" t="n">
        <f aca="false">-F6*F9/100</f>
        <v>-624.46879961856</v>
      </c>
      <c r="G10" s="0" t="n">
        <f aca="false">-G6*G9/100</f>
        <v>-640.080519609024</v>
      </c>
      <c r="H10" s="0" t="n">
        <f aca="false">-H6*H9/100</f>
        <v>-656.082532599249</v>
      </c>
      <c r="I10" s="0" t="n">
        <f aca="false">-I6*I9/100</f>
        <v>-669.204183251235</v>
      </c>
      <c r="J10" s="0" t="n">
        <f aca="false">-J6*J9/100</f>
        <v>-682.588266916259</v>
      </c>
      <c r="K10" s="0" t="n">
        <f aca="false">-K6*K9/100</f>
        <v>-696.240032254584</v>
      </c>
      <c r="L10" s="0" t="n">
        <f aca="false">-L6*L9/100</f>
        <v>-710.164832899676</v>
      </c>
    </row>
    <row r="11" customFormat="false" ht="15" hidden="false" customHeight="false" outlineLevel="0" collapsed="false">
      <c r="A11" s="0" t="s">
        <v>131</v>
      </c>
      <c r="C11" s="0" t="n">
        <f aca="false">C8+C10+C24</f>
        <v>50519.499264</v>
      </c>
      <c r="D11" s="0" t="n">
        <f aca="false">D8+D10+D24</f>
        <v>43533.81309888</v>
      </c>
      <c r="E11" s="0" t="n">
        <f aca="false">E8+E10+E24</f>
        <v>41275.8645601536</v>
      </c>
      <c r="F11" s="0" t="n">
        <f aca="false">F8+F10+F24</f>
        <v>42307.7611741574</v>
      </c>
      <c r="G11" s="0" t="n">
        <f aca="false">G8+G10+G24</f>
        <v>43365.4552035114</v>
      </c>
      <c r="H11" s="0" t="n">
        <f aca="false">H8+H10+H24</f>
        <v>44449.5915835992</v>
      </c>
      <c r="I11" s="0" t="n">
        <f aca="false">I8+I10+I24</f>
        <v>45338.5834152711</v>
      </c>
      <c r="J11" s="0" t="n">
        <f aca="false">J8+J10+J24</f>
        <v>46245.3550835766</v>
      </c>
      <c r="K11" s="0" t="n">
        <f aca="false">K8+K10+K24</f>
        <v>47170.2621852481</v>
      </c>
      <c r="L11" s="0" t="n">
        <f aca="false">L8+L10+L24</f>
        <v>48113.6674289531</v>
      </c>
    </row>
    <row r="12" customFormat="false" ht="15" hidden="false" customHeight="false" outlineLevel="0" collapsed="false">
      <c r="A12" s="0" t="s">
        <v>132</v>
      </c>
      <c r="C12" s="4" t="n">
        <f aca="false">-C6*Assumptions!C31/100</f>
        <v>-14080.60368</v>
      </c>
      <c r="D12" s="4" t="n">
        <f aca="false">-D6*Assumptions!D31/100</f>
        <v>-14131.8058752</v>
      </c>
      <c r="E12" s="4" t="n">
        <f aca="false">-E6*Assumptions!E31/100</f>
        <v>-14088.625357248</v>
      </c>
      <c r="F12" s="4" t="n">
        <f aca="false">-F6*Assumptions!F31/100</f>
        <v>-14440.8409911792</v>
      </c>
      <c r="G12" s="4" t="n">
        <f aca="false">-G6*Assumptions!G31/100</f>
        <v>-14801.8620159587</v>
      </c>
      <c r="H12" s="4" t="n">
        <f aca="false">-H6*Assumptions!H31/100</f>
        <v>-15171.9085663576</v>
      </c>
      <c r="I12" s="4" t="n">
        <f aca="false">-I6*Assumptions!I31/100</f>
        <v>-15475.3467376848</v>
      </c>
      <c r="J12" s="4" t="n">
        <f aca="false">-J6*Assumptions!J31/100</f>
        <v>-15784.8536724385</v>
      </c>
      <c r="K12" s="4" t="n">
        <f aca="false">-K6*Assumptions!K31/100</f>
        <v>-16100.5507458873</v>
      </c>
      <c r="L12" s="4" t="n">
        <f aca="false">-L6*Assumptions!L31/100</f>
        <v>-16422.561760805</v>
      </c>
    </row>
    <row r="13" customFormat="false" ht="15" hidden="false" customHeight="false" outlineLevel="0" collapsed="false">
      <c r="A13" s="0" t="s">
        <v>133</v>
      </c>
      <c r="C13" s="0" t="n">
        <f aca="false">C11+C12</f>
        <v>36438.895584</v>
      </c>
      <c r="D13" s="0" t="n">
        <f aca="false">D11+D12</f>
        <v>29402.00722368</v>
      </c>
      <c r="E13" s="0" t="n">
        <f aca="false">E11+E12</f>
        <v>27187.2392029056</v>
      </c>
      <c r="F13" s="0" t="n">
        <f aca="false">F11+F12</f>
        <v>27866.9201829782</v>
      </c>
      <c r="G13" s="0" t="n">
        <f aca="false">G11+G12</f>
        <v>28563.5931875527</v>
      </c>
      <c r="H13" s="0" t="n">
        <f aca="false">H11+H12</f>
        <v>29277.6830172415</v>
      </c>
      <c r="I13" s="0" t="n">
        <f aca="false">I11+I12</f>
        <v>29863.2366775863</v>
      </c>
      <c r="J13" s="0" t="n">
        <f aca="false">J11+J12</f>
        <v>30460.5014111381</v>
      </c>
      <c r="K13" s="0" t="n">
        <f aca="false">K11+K12</f>
        <v>31069.7114393608</v>
      </c>
      <c r="L13" s="0" t="n">
        <f aca="false">L11+L12</f>
        <v>31691.105668148</v>
      </c>
    </row>
    <row r="14" customFormat="false" ht="15" hidden="false" customHeight="false" outlineLevel="0" collapsed="false">
      <c r="A14" s="0" t="s">
        <v>119</v>
      </c>
      <c r="C14" s="4" t="n">
        <f aca="false">Assumptions!C33</f>
        <v>38</v>
      </c>
      <c r="D14" s="4" t="n">
        <f aca="false">Assumptions!D33</f>
        <v>37</v>
      </c>
      <c r="E14" s="4" t="n">
        <f aca="false">Assumptions!E33</f>
        <v>36.5</v>
      </c>
      <c r="F14" s="4" t="n">
        <f aca="false">Assumptions!F33</f>
        <v>36.5</v>
      </c>
      <c r="G14" s="4" t="n">
        <f aca="false">Assumptions!G33</f>
        <v>36.5</v>
      </c>
      <c r="H14" s="4" t="n">
        <f aca="false">Assumptions!H33</f>
        <v>36.5</v>
      </c>
      <c r="I14" s="4" t="n">
        <f aca="false">Assumptions!I33</f>
        <v>36.5</v>
      </c>
      <c r="J14" s="4" t="n">
        <f aca="false">Assumptions!J33</f>
        <v>36.5</v>
      </c>
      <c r="K14" s="4" t="n">
        <f aca="false">Assumptions!K33</f>
        <v>36.5</v>
      </c>
      <c r="L14" s="4" t="n">
        <f aca="false">Assumptions!L33</f>
        <v>36.5</v>
      </c>
    </row>
    <row r="15" customFormat="false" ht="15" hidden="false" customHeight="false" outlineLevel="0" collapsed="false">
      <c r="A15" s="0" t="s">
        <v>134</v>
      </c>
      <c r="C15" s="0" t="n">
        <f aca="false">C13-MAX(0,C13)*C14/100</f>
        <v>22592.11526208</v>
      </c>
      <c r="D15" s="0" t="n">
        <f aca="false">D13-MAX(0,D13)*D14/100</f>
        <v>18523.2645509184</v>
      </c>
      <c r="E15" s="0" t="n">
        <f aca="false">E13-MAX(0,E13)*E14/100</f>
        <v>17263.8968938451</v>
      </c>
      <c r="F15" s="0" t="n">
        <f aca="false">F13-MAX(0,F13)*F14/100</f>
        <v>17695.4943161912</v>
      </c>
      <c r="G15" s="0" t="n">
        <f aca="false">G13-MAX(0,G13)*G14/100</f>
        <v>18137.881674096</v>
      </c>
      <c r="H15" s="0" t="n">
        <f aca="false">H13-MAX(0,H13)*H14/100</f>
        <v>18591.3287159484</v>
      </c>
      <c r="I15" s="0" t="n">
        <f aca="false">I13-MAX(0,I13)*I14/100</f>
        <v>18963.1552902673</v>
      </c>
      <c r="J15" s="0" t="n">
        <f aca="false">J13-MAX(0,J13)*J14/100</f>
        <v>19342.4183960727</v>
      </c>
      <c r="K15" s="0" t="n">
        <f aca="false">K13-MAX(0,K13)*K14/100</f>
        <v>19729.2667639941</v>
      </c>
      <c r="L15" s="0" t="n">
        <f aca="false">L13-MAX(0,L13)*L14/100</f>
        <v>20123.852099274</v>
      </c>
    </row>
    <row r="16" customFormat="false" ht="15" hidden="false" customHeight="false" outlineLevel="0" collapsed="false">
      <c r="A16" s="0" t="s">
        <v>135</v>
      </c>
      <c r="C16" s="0" t="n">
        <f aca="false">-C12</f>
        <v>14080.60368</v>
      </c>
      <c r="D16" s="0" t="n">
        <f aca="false">-D12</f>
        <v>14131.8058752</v>
      </c>
      <c r="E16" s="0" t="n">
        <f aca="false">-E12</f>
        <v>14088.625357248</v>
      </c>
      <c r="F16" s="0" t="n">
        <f aca="false">-F12</f>
        <v>14440.8409911792</v>
      </c>
      <c r="G16" s="0" t="n">
        <f aca="false">-G12</f>
        <v>14801.8620159587</v>
      </c>
      <c r="H16" s="0" t="n">
        <f aca="false">-H12</f>
        <v>15171.9085663576</v>
      </c>
      <c r="I16" s="0" t="n">
        <f aca="false">-I12</f>
        <v>15475.3467376848</v>
      </c>
      <c r="J16" s="0" t="n">
        <f aca="false">-J12</f>
        <v>15784.8536724385</v>
      </c>
      <c r="K16" s="0" t="n">
        <f aca="false">-K12</f>
        <v>16100.5507458873</v>
      </c>
      <c r="L16" s="0" t="n">
        <f aca="false">-L12</f>
        <v>16422.561760805</v>
      </c>
    </row>
    <row r="17" customFormat="false" ht="15" hidden="false" customHeight="false" outlineLevel="0" collapsed="false">
      <c r="A17" s="0" t="s">
        <v>136</v>
      </c>
      <c r="C17" s="4" t="n">
        <f aca="false">-C6*Assumptions!C32/100</f>
        <v>-16640.71344</v>
      </c>
      <c r="D17" s="4" t="n">
        <f aca="false">-D6*Assumptions!D32/100</f>
        <v>-16683.381936</v>
      </c>
      <c r="E17" s="4" t="n">
        <f aca="false">-E6*Assumptions!E32/100</f>
        <v>-16754.040965376</v>
      </c>
      <c r="F17" s="4" t="n">
        <f aca="false">-F6*Assumptions!F32/100</f>
        <v>-17172.8919895104</v>
      </c>
      <c r="G17" s="4" t="n">
        <f aca="false">-G6*Assumptions!G32/100</f>
        <v>-17602.2142892482</v>
      </c>
      <c r="H17" s="4" t="n">
        <f aca="false">-H6*Assumptions!H32/100</f>
        <v>-18042.2696464794</v>
      </c>
      <c r="I17" s="4" t="n">
        <f aca="false">-I6*Assumptions!I32/100</f>
        <v>-18403.115039409</v>
      </c>
      <c r="J17" s="4" t="n">
        <f aca="false">-J6*Assumptions!J32/100</f>
        <v>-18771.1773401971</v>
      </c>
      <c r="K17" s="4" t="n">
        <f aca="false">-K6*Assumptions!K32/100</f>
        <v>-19146.6008870011</v>
      </c>
      <c r="L17" s="4" t="n">
        <f aca="false">-L6*Assumptions!L32/100</f>
        <v>-19529.5329047411</v>
      </c>
    </row>
    <row r="18" customFormat="false" ht="15" hidden="false" customHeight="false" outlineLevel="0" collapsed="false">
      <c r="A18" s="0" t="s">
        <v>137</v>
      </c>
      <c r="C18" s="4" t="n">
        <f aca="false">(C6-B6)*Assumptions!$B$37/100</f>
        <v>-929.954399999999</v>
      </c>
      <c r="D18" s="4" t="n">
        <f aca="false">(D6-C6)*Assumptions!$B$37/100</f>
        <v>512.021951999999</v>
      </c>
      <c r="E18" s="4" t="n">
        <f aca="false">(E6-D6)*Assumptions!$B$37/100</f>
        <v>176.64757344</v>
      </c>
      <c r="F18" s="4" t="n">
        <f aca="false">(F6-E6)*Assumptions!$B$37/100</f>
        <v>-142.790121863999</v>
      </c>
      <c r="G18" s="4" t="n">
        <f aca="false">(G6-F6)*Assumptions!$B$37/100</f>
        <v>-146.359874910599</v>
      </c>
      <c r="H18" s="4" t="n">
        <f aca="false">(H6-G6)*Assumptions!$B$37/100</f>
        <v>-150.018871783365</v>
      </c>
      <c r="I18" s="4" t="n">
        <f aca="false">(I6-H6)*Assumptions!$B$37/100</f>
        <v>-123.01547486236</v>
      </c>
      <c r="J18" s="4" t="n">
        <f aca="false">(J6-I6)*Assumptions!$B$37/100</f>
        <v>-125.475784359606</v>
      </c>
      <c r="K18" s="4" t="n">
        <f aca="false">(K6-J6)*Assumptions!$B$37/100</f>
        <v>-127.985300046799</v>
      </c>
      <c r="L18" s="4" t="n">
        <f aca="false">(L6-K6)*Assumptions!$B$37/100</f>
        <v>-130.545006047734</v>
      </c>
    </row>
    <row r="19" customFormat="false" ht="15" hidden="false" customHeight="false" outlineLevel="0" collapsed="false">
      <c r="A19" s="0" t="s">
        <v>138</v>
      </c>
      <c r="C19" s="0" t="n">
        <f aca="false">C15+C16+C17+C18</f>
        <v>19102.05110208</v>
      </c>
      <c r="D19" s="0" t="n">
        <f aca="false">D15+D16+D17+D18</f>
        <v>16483.7104421184</v>
      </c>
      <c r="E19" s="0" t="n">
        <f aca="false">E15+E16+E17+E18</f>
        <v>14775.1288591571</v>
      </c>
      <c r="F19" s="0" t="n">
        <f aca="false">F15+F16+F17+F18</f>
        <v>14820.653195996</v>
      </c>
      <c r="G19" s="0" t="n">
        <f aca="false">G15+G16+G17+G18</f>
        <v>15191.1695258959</v>
      </c>
      <c r="H19" s="0" t="n">
        <f aca="false">H15+H16+H17+H18</f>
        <v>15570.9487640433</v>
      </c>
      <c r="I19" s="0" t="n">
        <f aca="false">I15+I16+I17+I18</f>
        <v>15912.3715136808</v>
      </c>
      <c r="J19" s="0" t="n">
        <f aca="false">J15+J16+J17+J18</f>
        <v>16230.6189439544</v>
      </c>
      <c r="K19" s="0" t="n">
        <f aca="false">K15+K16+K17+K18</f>
        <v>16555.2313228335</v>
      </c>
      <c r="L19" s="0" t="n">
        <f aca="false">L15+L16+L17+L18</f>
        <v>16886.3359492902</v>
      </c>
    </row>
    <row r="20" customFormat="false" ht="15" hidden="false" customHeight="false" outlineLevel="0" collapsed="false">
      <c r="A20" s="0" t="s">
        <v>139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140</v>
      </c>
      <c r="C21" s="0" t="n">
        <f aca="false">C19*C20</f>
        <v>17687.0843537778</v>
      </c>
      <c r="D21" s="0" t="n">
        <f aca="false">D19*D20</f>
        <v>14132.124864642</v>
      </c>
      <c r="E21" s="0" t="n">
        <f aca="false">E19*E20</f>
        <v>11728.9736536264</v>
      </c>
      <c r="F21" s="0" t="n">
        <f aca="false">F19*F20</f>
        <v>10893.6225370002</v>
      </c>
      <c r="G21" s="0" t="n">
        <f aca="false">G19*G20</f>
        <v>10338.8547226159</v>
      </c>
      <c r="H21" s="0" t="n">
        <f aca="false">H19*H20</f>
        <v>9812.33897285309</v>
      </c>
      <c r="I21" s="0" t="n">
        <f aca="false">I19*I20</f>
        <v>9284.71594407554</v>
      </c>
      <c r="J21" s="0" t="n">
        <f aca="false">J19*J20</f>
        <v>8768.89839162689</v>
      </c>
      <c r="K21" s="0" t="n">
        <f aca="false">K19*K20</f>
        <v>8281.73736986984</v>
      </c>
      <c r="L21" s="0" t="n">
        <f aca="false">L19*L20</f>
        <v>7821.64084932152</v>
      </c>
    </row>
    <row r="23" customFormat="false" ht="15" hidden="false" customHeight="false" outlineLevel="0" collapsed="false">
      <c r="A23" s="0" t="s">
        <v>116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141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142</v>
      </c>
    </row>
    <row r="27" customFormat="false" ht="15" hidden="false" customHeight="false" outlineLevel="0" collapsed="false">
      <c r="A27" s="0" t="s">
        <v>120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121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122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143</v>
      </c>
      <c r="B30" s="0" t="n">
        <f aca="false">SUM(C21:L21)</f>
        <v>108749.991659409</v>
      </c>
    </row>
    <row r="31" customFormat="false" ht="15" hidden="false" customHeight="false" outlineLevel="0" collapsed="false">
      <c r="A31" s="0" t="s">
        <v>144</v>
      </c>
      <c r="B31" s="0" t="n">
        <f aca="false">L19</f>
        <v>16886.3359492902</v>
      </c>
    </row>
    <row r="32" customFormat="false" ht="15" hidden="false" customHeight="false" outlineLevel="0" collapsed="false">
      <c r="A32" s="0" t="s">
        <v>145</v>
      </c>
      <c r="B32" s="0" t="n">
        <f aca="false">IF(B27&gt;B28,B31*(1+B28/100)/((B27-B28)/100),B31*B29)</f>
        <v>287067.711137933</v>
      </c>
    </row>
    <row r="33" customFormat="false" ht="15" hidden="false" customHeight="false" outlineLevel="0" collapsed="false">
      <c r="A33" s="0" t="s">
        <v>146</v>
      </c>
      <c r="B33" s="0" t="n">
        <f aca="false">B31*B29</f>
        <v>219522.367340772</v>
      </c>
    </row>
    <row r="34" customFormat="false" ht="15" hidden="false" customHeight="false" outlineLevel="0" collapsed="false">
      <c r="A34" s="0" t="s">
        <v>147</v>
      </c>
      <c r="B34" s="0" t="n">
        <f aca="false">MAX(0,MIN(B32,B33))</f>
        <v>219522.367340772</v>
      </c>
    </row>
    <row r="35" customFormat="false" ht="15" hidden="false" customHeight="false" outlineLevel="0" collapsed="false">
      <c r="A35" s="0" t="s">
        <v>148</v>
      </c>
      <c r="B35" s="0" t="n">
        <f aca="false">B34/(1+B27/100)^L4</f>
        <v>101681.33104118</v>
      </c>
    </row>
    <row r="36" customFormat="false" ht="15" hidden="false" customHeight="false" outlineLevel="0" collapsed="false">
      <c r="A36" s="0" t="s">
        <v>149</v>
      </c>
      <c r="B36" s="0" t="n">
        <f aca="false">B30+B35</f>
        <v>210431.322700589</v>
      </c>
    </row>
    <row r="37" customFormat="false" ht="15" hidden="false" customHeight="false" outlineLevel="0" collapsed="false">
      <c r="A37" s="0" t="s">
        <v>150</v>
      </c>
      <c r="B37" s="0" t="n">
        <f aca="false">B36+Assumptions!$B$5-Assumptions!$B$4</f>
        <v>166527.322700589</v>
      </c>
    </row>
    <row r="38" customFormat="false" ht="15" hidden="false" customHeight="false" outlineLevel="0" collapsed="false">
      <c r="A38" s="0" t="s">
        <v>151</v>
      </c>
      <c r="B38" s="0" t="n">
        <f aca="false">B37/Assumptions!$B$3*Assumptions!$B$10</f>
        <v>66.769955077752</v>
      </c>
    </row>
    <row r="39" customFormat="false" ht="15" hidden="false" customHeight="false" outlineLevel="0" collapsed="false">
      <c r="A39" s="0" t="s">
        <v>152</v>
      </c>
      <c r="B39" s="4" t="n">
        <f aca="false">B38/Assumptions!$B$2-1</f>
        <v>-0.199880706078466</v>
      </c>
    </row>
    <row r="41" customFormat="false" ht="15" hidden="false" customHeight="false" outlineLevel="0" collapsed="false">
      <c r="A41" s="0" t="s">
        <v>153</v>
      </c>
      <c r="B41" s="0" t="n">
        <f aca="false">SUMPRODUCT(-C10:L10/(1+$B$27/100)^C4:L4)</f>
        <v>4398.80314621965</v>
      </c>
    </row>
    <row r="42" customFormat="false" ht="15" hidden="false" customHeight="false" outlineLevel="0" collapsed="false">
      <c r="A42" s="0" t="s">
        <v>154</v>
      </c>
      <c r="B42" s="0" t="n">
        <f aca="false">IF(B27&gt;B28,-L10*(1+B28/100)/((B27-B28)/100),-L10*20)/(1+B27/100)^L4</f>
        <v>5592.04334311992</v>
      </c>
    </row>
    <row r="43" customFormat="false" ht="15" hidden="false" customHeight="false" outlineLevel="0" collapsed="false">
      <c r="A43" s="0" t="s">
        <v>155</v>
      </c>
      <c r="B43" s="0" t="n">
        <f aca="false">(B37+B41+B42)/Assumptions!$B$3*Assumptions!$B$10</f>
        <v>70.7758344761816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156</v>
      </c>
      <c r="B46" s="0" t="n">
        <f aca="false">MAX(0,MIN(IF(B45&gt;B28,B31*(1+B28/100)/((B45-B28)/100),B31*B29),B31*B29))</f>
        <v>132492.789755969</v>
      </c>
    </row>
    <row r="47" customFormat="false" ht="15" hidden="false" customHeight="false" outlineLevel="0" collapsed="false">
      <c r="A47" s="0" t="s">
        <v>157</v>
      </c>
      <c r="B47" s="0" t="n">
        <f aca="false">(SUMPRODUCT(C19:L19/(1+B45/100)^C4:L4)+B46/(1+B45/100)^L4+Assumptions!$B$5-Assumptions!$B$4)/Assumptions!$B$3*Assumptions!$B$10</f>
        <v>28.2920857672229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159</v>
      </c>
    </row>
    <row r="3" customFormat="false" ht="15" hidden="false" customHeight="false" outlineLevel="0" collapsed="false">
      <c r="A3" s="0" t="s">
        <v>128</v>
      </c>
      <c r="B3" s="0" t="s">
        <v>89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</row>
    <row r="4" customFormat="false" ht="15" hidden="false" customHeight="false" outlineLevel="0" collapsed="false">
      <c r="A4" s="0" t="s">
        <v>129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113</v>
      </c>
      <c r="C5" s="4" t="n">
        <f aca="false">Assumptions!C41</f>
        <v>18</v>
      </c>
      <c r="D5" s="4" t="n">
        <f aca="false">Assumptions!D41</f>
        <v>-2</v>
      </c>
      <c r="E5" s="4" t="n">
        <f aca="false">Assumptions!E41</f>
        <v>1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182344</v>
      </c>
      <c r="C6" s="0" t="n">
        <f aca="false">B6*(1+C5/100)</f>
        <v>215165.92</v>
      </c>
      <c r="D6" s="0" t="n">
        <f aca="false">C6*(1+D5/100)</f>
        <v>210862.6016</v>
      </c>
      <c r="E6" s="0" t="n">
        <f aca="false">D6*(1+E5/100)</f>
        <v>212971.227616</v>
      </c>
      <c r="F6" s="0" t="n">
        <f aca="false">E6*(1+F5/100)</f>
        <v>219360.36444448</v>
      </c>
      <c r="G6" s="0" t="n">
        <f aca="false">F6*(1+G5/100)</f>
        <v>225941.175377814</v>
      </c>
      <c r="H6" s="0" t="n">
        <f aca="false">G6*(1+H5/100)</f>
        <v>232719.410639149</v>
      </c>
      <c r="I6" s="0" t="n">
        <f aca="false">H6*(1+I5/100)</f>
        <v>238537.395905128</v>
      </c>
      <c r="J6" s="0" t="n">
        <f aca="false">I6*(1+J5/100)</f>
        <v>244500.830802756</v>
      </c>
      <c r="K6" s="0" t="n">
        <f aca="false">J6*(1+K5/100)</f>
        <v>250613.351572825</v>
      </c>
      <c r="L6" s="0" t="n">
        <f aca="false">K6*(1+L5/100)</f>
        <v>256878.685362145</v>
      </c>
    </row>
    <row r="7" customFormat="false" ht="15" hidden="false" customHeight="false" outlineLevel="0" collapsed="false">
      <c r="A7" s="0" t="s">
        <v>114</v>
      </c>
      <c r="C7" s="4" t="n">
        <f aca="false">Assumptions!C42</f>
        <v>24.5</v>
      </c>
      <c r="D7" s="4" t="n">
        <f aca="false">Assumptions!D42</f>
        <v>24</v>
      </c>
      <c r="E7" s="4" t="n">
        <f aca="false">Assumptions!E42</f>
        <v>23.5</v>
      </c>
      <c r="F7" s="4" t="n">
        <f aca="false">Assumptions!F42</f>
        <v>23.5</v>
      </c>
      <c r="G7" s="4" t="n">
        <f aca="false">Assumptions!G42</f>
        <v>23.5</v>
      </c>
      <c r="H7" s="4" t="n">
        <f aca="false">Assumptions!H42</f>
        <v>23.5</v>
      </c>
      <c r="I7" s="4" t="n">
        <f aca="false">Assumptions!I42</f>
        <v>23.5</v>
      </c>
      <c r="J7" s="4" t="n">
        <f aca="false">Assumptions!J42</f>
        <v>23.5</v>
      </c>
      <c r="K7" s="4" t="n">
        <f aca="false">Assumptions!K42</f>
        <v>23.5</v>
      </c>
      <c r="L7" s="4" t="n">
        <f aca="false">Assumptions!L42</f>
        <v>23.5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52715.6504</v>
      </c>
      <c r="D8" s="0" t="n">
        <f aca="false">D6*D7/100</f>
        <v>50607.024384</v>
      </c>
      <c r="E8" s="0" t="n">
        <f aca="false">E6*E7/100</f>
        <v>50048.23848976</v>
      </c>
      <c r="F8" s="0" t="n">
        <f aca="false">F6*F7/100</f>
        <v>51549.6856444528</v>
      </c>
      <c r="G8" s="0" t="n">
        <f aca="false">G6*G7/100</f>
        <v>53096.1762137864</v>
      </c>
      <c r="H8" s="0" t="n">
        <f aca="false">H6*H7/100</f>
        <v>54689.0615002</v>
      </c>
      <c r="I8" s="0" t="n">
        <f aca="false">I6*I7/100</f>
        <v>56056.288037705</v>
      </c>
      <c r="J8" s="0" t="n">
        <f aca="false">J6*J7/100</f>
        <v>57457.6952386476</v>
      </c>
      <c r="K8" s="0" t="n">
        <f aca="false">K6*K7/100</f>
        <v>58894.1376196138</v>
      </c>
      <c r="L8" s="0" t="n">
        <f aca="false">L6*L7/100</f>
        <v>60366.4910601041</v>
      </c>
    </row>
    <row r="9" customFormat="false" ht="15" hidden="false" customHeight="false" outlineLevel="0" collapsed="false">
      <c r="A9" s="0" t="s">
        <v>115</v>
      </c>
      <c r="C9" s="4" t="n">
        <f aca="false">Assumptions!C43</f>
        <v>0.32</v>
      </c>
      <c r="D9" s="4" t="n">
        <f aca="false">Assumptions!D43</f>
        <v>0.32</v>
      </c>
      <c r="E9" s="4" t="n">
        <f aca="false">Assumptions!E43</f>
        <v>0.32</v>
      </c>
      <c r="F9" s="4" t="n">
        <f aca="false">Assumptions!F43</f>
        <v>0.32</v>
      </c>
      <c r="G9" s="4" t="n">
        <f aca="false">Assumptions!G43</f>
        <v>0.32</v>
      </c>
      <c r="H9" s="4" t="n">
        <f aca="false">Assumptions!H43</f>
        <v>0.32</v>
      </c>
      <c r="I9" s="4" t="n">
        <f aca="false">Assumptions!I43</f>
        <v>0.32</v>
      </c>
      <c r="J9" s="4" t="n">
        <f aca="false">Assumptions!J43</f>
        <v>0.32</v>
      </c>
      <c r="K9" s="4" t="n">
        <f aca="false">Assumptions!K43</f>
        <v>0.32</v>
      </c>
      <c r="L9" s="4" t="n">
        <f aca="false">Assumptions!L43</f>
        <v>0.32</v>
      </c>
    </row>
    <row r="10" customFormat="false" ht="15" hidden="false" customHeight="false" outlineLevel="0" collapsed="false">
      <c r="A10" s="0" t="s">
        <v>130</v>
      </c>
      <c r="C10" s="0" t="n">
        <f aca="false">-C6*C9/100</f>
        <v>-688.530944</v>
      </c>
      <c r="D10" s="0" t="n">
        <f aca="false">-D6*D9/100</f>
        <v>-674.76032512</v>
      </c>
      <c r="E10" s="0" t="n">
        <f aca="false">-E6*E9/100</f>
        <v>-681.5079283712</v>
      </c>
      <c r="F10" s="0" t="n">
        <f aca="false">-F6*F9/100</f>
        <v>-701.953166222336</v>
      </c>
      <c r="G10" s="0" t="n">
        <f aca="false">-G6*G9/100</f>
        <v>-723.011761209006</v>
      </c>
      <c r="H10" s="0" t="n">
        <f aca="false">-H6*H9/100</f>
        <v>-744.702114045276</v>
      </c>
      <c r="I10" s="0" t="n">
        <f aca="false">-I6*I9/100</f>
        <v>-763.319666896408</v>
      </c>
      <c r="J10" s="0" t="n">
        <f aca="false">-J6*J9/100</f>
        <v>-782.402658568818</v>
      </c>
      <c r="K10" s="0" t="n">
        <f aca="false">-K6*K9/100</f>
        <v>-801.962725033039</v>
      </c>
      <c r="L10" s="0" t="n">
        <f aca="false">-L6*L9/100</f>
        <v>-822.011793158864</v>
      </c>
    </row>
    <row r="11" customFormat="false" ht="15" hidden="false" customHeight="false" outlineLevel="0" collapsed="false">
      <c r="A11" s="0" t="s">
        <v>131</v>
      </c>
      <c r="C11" s="0" t="n">
        <f aca="false">C8+C10+C24</f>
        <v>52027.119456</v>
      </c>
      <c r="D11" s="0" t="n">
        <f aca="false">D8+D10+D24</f>
        <v>49932.26405888</v>
      </c>
      <c r="E11" s="0" t="n">
        <f aca="false">E8+E10+E24</f>
        <v>49366.7305613888</v>
      </c>
      <c r="F11" s="0" t="n">
        <f aca="false">F8+F10+F24</f>
        <v>50847.7324782305</v>
      </c>
      <c r="G11" s="0" t="n">
        <f aca="false">G8+G10+G24</f>
        <v>52373.1644525774</v>
      </c>
      <c r="H11" s="0" t="n">
        <f aca="false">H8+H10+H24</f>
        <v>53944.3593861547</v>
      </c>
      <c r="I11" s="0" t="n">
        <f aca="false">I8+I10+I24</f>
        <v>55292.9683708086</v>
      </c>
      <c r="J11" s="0" t="n">
        <f aca="false">J8+J10+J24</f>
        <v>56675.2925800788</v>
      </c>
      <c r="K11" s="0" t="n">
        <f aca="false">K8+K10+K24</f>
        <v>58092.1748945807</v>
      </c>
      <c r="L11" s="0" t="n">
        <f aca="false">L8+L10+L24</f>
        <v>59544.4792669453</v>
      </c>
    </row>
    <row r="12" customFormat="false" ht="15" hidden="false" customHeight="false" outlineLevel="0" collapsed="false">
      <c r="A12" s="0" t="s">
        <v>132</v>
      </c>
      <c r="C12" s="4" t="n">
        <f aca="false">-C6*Assumptions!C45/100</f>
        <v>-13985.7848</v>
      </c>
      <c r="D12" s="4" t="n">
        <f aca="false">-D6*Assumptions!D45/100</f>
        <v>-14338.6569088</v>
      </c>
      <c r="E12" s="4" t="n">
        <f aca="false">-E6*Assumptions!E45/100</f>
        <v>-14907.98593312</v>
      </c>
      <c r="F12" s="4" t="n">
        <f aca="false">-F6*Assumptions!F45/100</f>
        <v>-15355.2255111136</v>
      </c>
      <c r="G12" s="4" t="n">
        <f aca="false">-G6*Assumptions!G45/100</f>
        <v>-15815.882276447</v>
      </c>
      <c r="H12" s="4" t="n">
        <f aca="false">-H6*Assumptions!H45/100</f>
        <v>-16290.3587447404</v>
      </c>
      <c r="I12" s="4" t="n">
        <f aca="false">-I6*Assumptions!I45/100</f>
        <v>-16697.6177133589</v>
      </c>
      <c r="J12" s="4" t="n">
        <f aca="false">-J6*Assumptions!J45/100</f>
        <v>-17115.0581561929</v>
      </c>
      <c r="K12" s="4" t="n">
        <f aca="false">-K6*Assumptions!K45/100</f>
        <v>-17542.9346100977</v>
      </c>
      <c r="L12" s="4" t="n">
        <f aca="false">-L6*Assumptions!L45/100</f>
        <v>-17981.5079753502</v>
      </c>
    </row>
    <row r="13" customFormat="false" ht="15" hidden="false" customHeight="false" outlineLevel="0" collapsed="false">
      <c r="A13" s="0" t="s">
        <v>133</v>
      </c>
      <c r="C13" s="0" t="n">
        <f aca="false">C11+C12</f>
        <v>38041.334656</v>
      </c>
      <c r="D13" s="0" t="n">
        <f aca="false">D11+D12</f>
        <v>35593.60715008</v>
      </c>
      <c r="E13" s="0" t="n">
        <f aca="false">E11+E12</f>
        <v>34458.7446282688</v>
      </c>
      <c r="F13" s="0" t="n">
        <f aca="false">F11+F12</f>
        <v>35492.5069671169</v>
      </c>
      <c r="G13" s="0" t="n">
        <f aca="false">G11+G12</f>
        <v>36557.2821761304</v>
      </c>
      <c r="H13" s="0" t="n">
        <f aca="false">H11+H12</f>
        <v>37654.0006414143</v>
      </c>
      <c r="I13" s="0" t="n">
        <f aca="false">I11+I12</f>
        <v>38595.3506574496</v>
      </c>
      <c r="J13" s="0" t="n">
        <f aca="false">J11+J12</f>
        <v>39560.2344238859</v>
      </c>
      <c r="K13" s="0" t="n">
        <f aca="false">K11+K12</f>
        <v>40549.240284483</v>
      </c>
      <c r="L13" s="0" t="n">
        <f aca="false">L11+L12</f>
        <v>41562.9712915951</v>
      </c>
    </row>
    <row r="14" customFormat="false" ht="15" hidden="false" customHeight="false" outlineLevel="0" collapsed="false">
      <c r="A14" s="0" t="s">
        <v>119</v>
      </c>
      <c r="C14" s="4" t="n">
        <f aca="false">Assumptions!C47</f>
        <v>38</v>
      </c>
      <c r="D14" s="4" t="n">
        <f aca="false">Assumptions!D47</f>
        <v>37</v>
      </c>
      <c r="E14" s="4" t="n">
        <f aca="false">Assumptions!E47</f>
        <v>36</v>
      </c>
      <c r="F14" s="4" t="n">
        <f aca="false">Assumptions!F47</f>
        <v>36</v>
      </c>
      <c r="G14" s="4" t="n">
        <f aca="false">Assumptions!G47</f>
        <v>36</v>
      </c>
      <c r="H14" s="4" t="n">
        <f aca="false">Assumptions!H47</f>
        <v>36</v>
      </c>
      <c r="I14" s="4" t="n">
        <f aca="false">Assumptions!I47</f>
        <v>36</v>
      </c>
      <c r="J14" s="4" t="n">
        <f aca="false">Assumptions!J47</f>
        <v>36</v>
      </c>
      <c r="K14" s="4" t="n">
        <f aca="false">Assumptions!K47</f>
        <v>36</v>
      </c>
      <c r="L14" s="4" t="n">
        <f aca="false">Assumptions!L47</f>
        <v>36</v>
      </c>
    </row>
    <row r="15" customFormat="false" ht="15" hidden="false" customHeight="false" outlineLevel="0" collapsed="false">
      <c r="A15" s="0" t="s">
        <v>134</v>
      </c>
      <c r="C15" s="0" t="n">
        <f aca="false">C13-MAX(0,C13)*C14/100</f>
        <v>23585.62748672</v>
      </c>
      <c r="D15" s="0" t="n">
        <f aca="false">D13-MAX(0,D13)*D14/100</f>
        <v>22423.9725045504</v>
      </c>
      <c r="E15" s="0" t="n">
        <f aca="false">E13-MAX(0,E13)*E14/100</f>
        <v>22053.596562092</v>
      </c>
      <c r="F15" s="0" t="n">
        <f aca="false">F13-MAX(0,F13)*F14/100</f>
        <v>22715.2044589548</v>
      </c>
      <c r="G15" s="0" t="n">
        <f aca="false">G13-MAX(0,G13)*G14/100</f>
        <v>23396.6605927234</v>
      </c>
      <c r="H15" s="0" t="n">
        <f aca="false">H13-MAX(0,H13)*H14/100</f>
        <v>24098.5604105051</v>
      </c>
      <c r="I15" s="0" t="n">
        <f aca="false">I13-MAX(0,I13)*I14/100</f>
        <v>24701.0244207678</v>
      </c>
      <c r="J15" s="0" t="n">
        <f aca="false">J13-MAX(0,J13)*J14/100</f>
        <v>25318.550031287</v>
      </c>
      <c r="K15" s="0" t="n">
        <f aca="false">K13-MAX(0,K13)*K14/100</f>
        <v>25951.5137820691</v>
      </c>
      <c r="L15" s="0" t="n">
        <f aca="false">L13-MAX(0,L13)*L14/100</f>
        <v>26600.3016266209</v>
      </c>
    </row>
    <row r="16" customFormat="false" ht="15" hidden="false" customHeight="false" outlineLevel="0" collapsed="false">
      <c r="A16" s="0" t="s">
        <v>135</v>
      </c>
      <c r="C16" s="0" t="n">
        <f aca="false">-C12</f>
        <v>13985.7848</v>
      </c>
      <c r="D16" s="0" t="n">
        <f aca="false">-D12</f>
        <v>14338.6569088</v>
      </c>
      <c r="E16" s="0" t="n">
        <f aca="false">-E12</f>
        <v>14907.98593312</v>
      </c>
      <c r="F16" s="0" t="n">
        <f aca="false">-F12</f>
        <v>15355.2255111136</v>
      </c>
      <c r="G16" s="0" t="n">
        <f aca="false">-G12</f>
        <v>15815.882276447</v>
      </c>
      <c r="H16" s="0" t="n">
        <f aca="false">-H12</f>
        <v>16290.3587447404</v>
      </c>
      <c r="I16" s="0" t="n">
        <f aca="false">-I12</f>
        <v>16697.6177133589</v>
      </c>
      <c r="J16" s="0" t="n">
        <f aca="false">-J12</f>
        <v>17115.0581561929</v>
      </c>
      <c r="K16" s="0" t="n">
        <f aca="false">-K12</f>
        <v>17542.9346100977</v>
      </c>
      <c r="L16" s="0" t="n">
        <f aca="false">-L12</f>
        <v>17981.5079753502</v>
      </c>
    </row>
    <row r="17" customFormat="false" ht="15" hidden="false" customHeight="false" outlineLevel="0" collapsed="false">
      <c r="A17" s="0" t="s">
        <v>136</v>
      </c>
      <c r="C17" s="4" t="n">
        <f aca="false">-C6*Assumptions!C46/100</f>
        <v>-16352.60992</v>
      </c>
      <c r="D17" s="4" t="n">
        <f aca="false">-D6*Assumptions!D46/100</f>
        <v>-16869.008128</v>
      </c>
      <c r="E17" s="4" t="n">
        <f aca="false">-E6*Assumptions!E46/100</f>
        <v>-17463.640664512</v>
      </c>
      <c r="F17" s="4" t="n">
        <f aca="false">-F6*Assumptions!F46/100</f>
        <v>-17987.5498844474</v>
      </c>
      <c r="G17" s="4" t="n">
        <f aca="false">-G6*Assumptions!G46/100</f>
        <v>-18527.1763809808</v>
      </c>
      <c r="H17" s="4" t="n">
        <f aca="false">-H6*Assumptions!H46/100</f>
        <v>-19082.9916724102</v>
      </c>
      <c r="I17" s="4" t="n">
        <f aca="false">-I6*Assumptions!I46/100</f>
        <v>-19560.0664642205</v>
      </c>
      <c r="J17" s="4" t="n">
        <f aca="false">-J6*Assumptions!J46/100</f>
        <v>-20049.068125826</v>
      </c>
      <c r="K17" s="4" t="n">
        <f aca="false">-K6*Assumptions!K46/100</f>
        <v>-20550.2948289716</v>
      </c>
      <c r="L17" s="4" t="n">
        <f aca="false">-L6*Assumptions!L46/100</f>
        <v>-21064.0521996959</v>
      </c>
    </row>
    <row r="18" customFormat="false" ht="15" hidden="false" customHeight="false" outlineLevel="0" collapsed="false">
      <c r="A18" s="0" t="s">
        <v>137</v>
      </c>
      <c r="C18" s="4" t="n">
        <f aca="false">(C6-B6)*Assumptions!$B$51/100</f>
        <v>-984.6576</v>
      </c>
      <c r="D18" s="4" t="n">
        <f aca="false">(D6-C6)*Assumptions!$B$51/100</f>
        <v>129.099552</v>
      </c>
      <c r="E18" s="4" t="n">
        <f aca="false">(E6-D6)*Assumptions!$B$51/100</f>
        <v>-63.2587804799998</v>
      </c>
      <c r="F18" s="4" t="n">
        <f aca="false">(F6-E6)*Assumptions!$B$51/100</f>
        <v>-191.6741048544</v>
      </c>
      <c r="G18" s="4" t="n">
        <f aca="false">(G6-F6)*Assumptions!$B$51/100</f>
        <v>-197.424328000032</v>
      </c>
      <c r="H18" s="4" t="n">
        <f aca="false">(H6-G6)*Assumptions!$B$51/100</f>
        <v>-203.347057840033</v>
      </c>
      <c r="I18" s="4" t="n">
        <f aca="false">(I6-H6)*Assumptions!$B$51/100</f>
        <v>-174.539557979361</v>
      </c>
      <c r="J18" s="4" t="n">
        <f aca="false">(J6-I6)*Assumptions!$B$51/100</f>
        <v>-178.903046928845</v>
      </c>
      <c r="K18" s="4" t="n">
        <f aca="false">(K6-J6)*Assumptions!$B$51/100</f>
        <v>-183.375623102066</v>
      </c>
      <c r="L18" s="4" t="n">
        <f aca="false">(L6-K6)*Assumptions!$B$51/100</f>
        <v>-187.960013679618</v>
      </c>
    </row>
    <row r="19" customFormat="false" ht="15" hidden="false" customHeight="false" outlineLevel="0" collapsed="false">
      <c r="A19" s="0" t="s">
        <v>138</v>
      </c>
      <c r="C19" s="0" t="n">
        <f aca="false">C15+C16+C17+C18</f>
        <v>20234.14476672</v>
      </c>
      <c r="D19" s="0" t="n">
        <f aca="false">D15+D16+D17+D18</f>
        <v>20022.7208373504</v>
      </c>
      <c r="E19" s="0" t="n">
        <f aca="false">E15+E16+E17+E18</f>
        <v>19434.68305022</v>
      </c>
      <c r="F19" s="0" t="n">
        <f aca="false">F15+F16+F17+F18</f>
        <v>19891.2059807666</v>
      </c>
      <c r="G19" s="0" t="n">
        <f aca="false">G15+G16+G17+G18</f>
        <v>20487.9421601896</v>
      </c>
      <c r="H19" s="0" t="n">
        <f aca="false">H15+H16+H17+H18</f>
        <v>21102.5804249953</v>
      </c>
      <c r="I19" s="0" t="n">
        <f aca="false">I15+I16+I17+I18</f>
        <v>21664.0361119269</v>
      </c>
      <c r="J19" s="0" t="n">
        <f aca="false">J15+J16+J17+J18</f>
        <v>22205.637014725</v>
      </c>
      <c r="K19" s="0" t="n">
        <f aca="false">K15+K16+K17+K18</f>
        <v>22760.7779400932</v>
      </c>
      <c r="L19" s="0" t="n">
        <f aca="false">L15+L16+L17+L18</f>
        <v>23329.7973885955</v>
      </c>
    </row>
    <row r="20" customFormat="false" ht="15" hidden="false" customHeight="false" outlineLevel="0" collapsed="false">
      <c r="A20" s="0" t="s">
        <v>139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140</v>
      </c>
      <c r="C21" s="0" t="n">
        <f aca="false">C19*C20</f>
        <v>18735.3192284444</v>
      </c>
      <c r="D21" s="0" t="n">
        <f aca="false">D19*D20</f>
        <v>17166.2558619259</v>
      </c>
      <c r="E21" s="0" t="n">
        <f aca="false">E19*E20</f>
        <v>15427.8779992729</v>
      </c>
      <c r="F21" s="0" t="n">
        <f aca="false">F19*F20</f>
        <v>14620.6302039868</v>
      </c>
      <c r="G21" s="0" t="n">
        <f aca="false">G19*G20</f>
        <v>13943.7491760245</v>
      </c>
      <c r="H21" s="0" t="n">
        <f aca="false">H19*H20</f>
        <v>13298.20523269</v>
      </c>
      <c r="I21" s="0" t="n">
        <f aca="false">I19*I20</f>
        <v>12640.7569939213</v>
      </c>
      <c r="J21" s="0" t="n">
        <f aca="false">J19*J20</f>
        <v>11997.0147396013</v>
      </c>
      <c r="K21" s="0" t="n">
        <f aca="false">K19*K20</f>
        <v>11386.0556556401</v>
      </c>
      <c r="L21" s="0" t="n">
        <f aca="false">L19*L20</f>
        <v>10806.2102287325</v>
      </c>
    </row>
    <row r="23" customFormat="false" ht="15" hidden="false" customHeight="false" outlineLevel="0" collapsed="false">
      <c r="A23" s="0" t="s">
        <v>116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141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142</v>
      </c>
    </row>
    <row r="27" customFormat="false" ht="15" hidden="false" customHeight="false" outlineLevel="0" collapsed="false">
      <c r="A27" s="0" t="s">
        <v>120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121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122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143</v>
      </c>
      <c r="B30" s="0" t="n">
        <f aca="false">SUM(C21:L21)</f>
        <v>140022.07532024</v>
      </c>
    </row>
    <row r="31" customFormat="false" ht="15" hidden="false" customHeight="false" outlineLevel="0" collapsed="false">
      <c r="A31" s="0" t="s">
        <v>144</v>
      </c>
      <c r="B31" s="0" t="n">
        <f aca="false">L19</f>
        <v>23329.7973885955</v>
      </c>
    </row>
    <row r="32" customFormat="false" ht="15" hidden="false" customHeight="false" outlineLevel="0" collapsed="false">
      <c r="A32" s="0" t="s">
        <v>145</v>
      </c>
      <c r="B32" s="0" t="n">
        <f aca="false">IF(B27&gt;B28,B31*(1+B28/100)/((B27-B28)/100),B31*B29)</f>
        <v>434782.587696553</v>
      </c>
    </row>
    <row r="33" customFormat="false" ht="15" hidden="false" customHeight="false" outlineLevel="0" collapsed="false">
      <c r="A33" s="0" t="s">
        <v>146</v>
      </c>
      <c r="B33" s="0" t="n">
        <f aca="false">B31*B29</f>
        <v>349946.960828932</v>
      </c>
    </row>
    <row r="34" customFormat="false" ht="15" hidden="false" customHeight="false" outlineLevel="0" collapsed="false">
      <c r="A34" s="0" t="s">
        <v>147</v>
      </c>
      <c r="B34" s="0" t="n">
        <f aca="false">MAX(0,MIN(B32,B33))</f>
        <v>349946.960828932</v>
      </c>
    </row>
    <row r="35" customFormat="false" ht="15" hidden="false" customHeight="false" outlineLevel="0" collapsed="false">
      <c r="A35" s="0" t="s">
        <v>148</v>
      </c>
      <c r="B35" s="0" t="n">
        <f aca="false">B34/(1+B27/100)^L4</f>
        <v>162093.153430988</v>
      </c>
    </row>
    <row r="36" customFormat="false" ht="15" hidden="false" customHeight="false" outlineLevel="0" collapsed="false">
      <c r="A36" s="0" t="s">
        <v>149</v>
      </c>
      <c r="B36" s="0" t="n">
        <f aca="false">B30+B35</f>
        <v>302115.228751227</v>
      </c>
    </row>
    <row r="37" customFormat="false" ht="15" hidden="false" customHeight="false" outlineLevel="0" collapsed="false">
      <c r="A37" s="0" t="s">
        <v>150</v>
      </c>
      <c r="B37" s="0" t="n">
        <f aca="false">B36+Assumptions!$B$5-Assumptions!$B$4</f>
        <v>258211.228751227</v>
      </c>
    </row>
    <row r="38" customFormat="false" ht="15" hidden="false" customHeight="false" outlineLevel="0" collapsed="false">
      <c r="A38" s="0" t="s">
        <v>151</v>
      </c>
      <c r="B38" s="0" t="n">
        <f aca="false">B37/Assumptions!$B$3*Assumptions!$B$10</f>
        <v>103.531071446389</v>
      </c>
    </row>
    <row r="39" customFormat="false" ht="15" hidden="false" customHeight="false" outlineLevel="0" collapsed="false">
      <c r="A39" s="0" t="s">
        <v>152</v>
      </c>
      <c r="B39" s="4" t="n">
        <f aca="false">B38/Assumptions!$B$2-1</f>
        <v>0.240635967002868</v>
      </c>
    </row>
    <row r="41" customFormat="false" ht="15" hidden="false" customHeight="false" outlineLevel="0" collapsed="false">
      <c r="A41" s="0" t="s">
        <v>153</v>
      </c>
      <c r="B41" s="0" t="n">
        <f aca="false">SUMPRODUCT(-C10:L10/(1+$B$27/100)^C4:L4)</f>
        <v>4884.37372107142</v>
      </c>
    </row>
    <row r="42" customFormat="false" ht="15" hidden="false" customHeight="false" outlineLevel="0" collapsed="false">
      <c r="A42" s="0" t="s">
        <v>154</v>
      </c>
      <c r="B42" s="0" t="n">
        <f aca="false">IF(B27&gt;B28,-L10*(1+B28/100)/((B27-B28)/100),-L10*20)/(1+B27/100)^L4</f>
        <v>7095.80495387273</v>
      </c>
    </row>
    <row r="43" customFormat="false" ht="15" hidden="false" customHeight="false" outlineLevel="0" collapsed="false">
      <c r="A43" s="0" t="s">
        <v>155</v>
      </c>
      <c r="B43" s="0" t="n">
        <f aca="false">(B37+B41+B42)/Assumptions!$B$3*Assumptions!$B$10</f>
        <v>108.33458344056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156</v>
      </c>
      <c r="B46" s="0" t="n">
        <f aca="false">MAX(0,MIN(IF(B45&gt;B28,B31*(1+B28/100)/((B45-B28)/100),B31*B29),B31*B29))</f>
        <v>191304.338586483</v>
      </c>
    </row>
    <row r="47" customFormat="false" ht="15" hidden="false" customHeight="false" outlineLevel="0" collapsed="false">
      <c r="A47" s="0" t="s">
        <v>157</v>
      </c>
      <c r="B47" s="0" t="n">
        <f aca="false">(SUMPRODUCT(C19:L19/(1+B45/100)^C4:L4)+B46/(1+B45/100)^L4+Assumptions!$B$5-Assumptions!$B$4)/Assumptions!$B$3*Assumptions!$B$10</f>
        <v>42.9901835055239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160</v>
      </c>
    </row>
    <row r="3" customFormat="false" ht="15" hidden="false" customHeight="false" outlineLevel="0" collapsed="false">
      <c r="A3" s="2" t="s">
        <v>161</v>
      </c>
      <c r="B3" s="2" t="s">
        <v>162</v>
      </c>
      <c r="C3" s="2" t="s">
        <v>152</v>
      </c>
      <c r="D3" s="2" t="s">
        <v>163</v>
      </c>
      <c r="E3" s="2" t="s">
        <v>155</v>
      </c>
      <c r="F3" s="2" t="s">
        <v>164</v>
      </c>
    </row>
    <row r="4" customFormat="false" ht="15" hidden="false" customHeight="false" outlineLevel="0" collapsed="false">
      <c r="A4" s="0" t="s">
        <v>165</v>
      </c>
      <c r="B4" s="4" t="n">
        <f aca="false">DCF_Bear!$B$38</f>
        <v>39.5268280821945</v>
      </c>
      <c r="C4" s="0" t="n">
        <f aca="false">B4/Assumptions!$B$2-1</f>
        <v>-0.52634118535417</v>
      </c>
      <c r="D4" s="4" t="n">
        <f aca="false">Assumptions!$B$24</f>
        <v>0.3</v>
      </c>
      <c r="E4" s="4" t="n">
        <f aca="false">DCF_Bear!$B$43</f>
        <v>42.7976740187728</v>
      </c>
      <c r="F4" s="4" t="n">
        <f aca="false">DCF_Bear!$B$47</f>
        <v>15.4045462621246</v>
      </c>
    </row>
    <row r="5" customFormat="false" ht="15" hidden="false" customHeight="false" outlineLevel="0" collapsed="false">
      <c r="A5" s="0" t="s">
        <v>166</v>
      </c>
      <c r="B5" s="4" t="n">
        <f aca="false">DCF_Base!$B$38</f>
        <v>66.769955077752</v>
      </c>
      <c r="C5" s="0" t="n">
        <f aca="false">B5/Assumptions!$B$2-1</f>
        <v>-0.199880706078466</v>
      </c>
      <c r="D5" s="4" t="n">
        <f aca="false">Assumptions!$B$38</f>
        <v>0.5</v>
      </c>
      <c r="E5" s="4" t="n">
        <f aca="false">DCF_Base!$B$43</f>
        <v>70.7758344761816</v>
      </c>
      <c r="F5" s="4" t="n">
        <f aca="false">DCF_Base!$B$47</f>
        <v>28.2920857672229</v>
      </c>
    </row>
    <row r="6" customFormat="false" ht="15" hidden="false" customHeight="false" outlineLevel="0" collapsed="false">
      <c r="A6" s="0" t="s">
        <v>167</v>
      </c>
      <c r="B6" s="4" t="n">
        <f aca="false">DCF_Bull!$B$38</f>
        <v>103.531071446389</v>
      </c>
      <c r="C6" s="0" t="n">
        <f aca="false">B6/Assumptions!$B$2-1</f>
        <v>0.240635967002868</v>
      </c>
      <c r="D6" s="4" t="n">
        <f aca="false">Assumptions!$B$52</f>
        <v>0.2</v>
      </c>
      <c r="E6" s="4" t="n">
        <f aca="false">DCF_Bull!$B$43</f>
        <v>108.33458344056</v>
      </c>
      <c r="F6" s="4" t="n">
        <f aca="false">DCF_Bull!$B$47</f>
        <v>42.9901835055239</v>
      </c>
    </row>
    <row r="8" customFormat="false" ht="15" hidden="false" customHeight="false" outlineLevel="0" collapsed="false">
      <c r="A8" s="0" t="s">
        <v>168</v>
      </c>
      <c r="B8" s="0" t="n">
        <f aca="false">SUMPRODUCT(B4:B6,D4:D6)</f>
        <v>65.9492402528122</v>
      </c>
    </row>
    <row r="9" customFormat="false" ht="15" hidden="false" customHeight="false" outlineLevel="0" collapsed="false">
      <c r="A9" s="0" t="s">
        <v>169</v>
      </c>
      <c r="B9" s="0" t="n">
        <f aca="false">SUMPRODUCT(E4:E6,D4:D6)</f>
        <v>69.8941361318347</v>
      </c>
    </row>
    <row r="10" customFormat="false" ht="15" hidden="false" customHeight="false" outlineLevel="0" collapsed="false">
      <c r="A10" s="0" t="s">
        <v>170</v>
      </c>
      <c r="B10" s="0" t="n">
        <f aca="false">1-Assumptions!$B$2/B8</f>
        <v>-0.265367116893231</v>
      </c>
    </row>
    <row r="11" customFormat="false" ht="15" hidden="false" customHeight="false" outlineLevel="0" collapsed="false">
      <c r="A11" s="0" t="s">
        <v>171</v>
      </c>
      <c r="B11" s="0" t="n">
        <f aca="false">IF(ABS(B9-B8)&gt;0.01*ABS(B8),(Assumptions!$B$2-B8)/(B9-B8)*100,"n/a")</f>
        <v>443.63046031837</v>
      </c>
    </row>
    <row r="12" customFormat="false" ht="15" hidden="false" customHeight="false" outlineLevel="0" collapsed="false">
      <c r="A12" s="0" t="s">
        <v>172</v>
      </c>
      <c r="B12" s="0" t="n">
        <f aca="false">SUMPRODUCT(F4:F6,D4:D6)</f>
        <v>27.3654434633536</v>
      </c>
    </row>
    <row r="14" customFormat="false" ht="15" hidden="false" customHeight="false" outlineLevel="0" collapsed="false">
      <c r="A14" s="2" t="s">
        <v>173</v>
      </c>
      <c r="C14" s="0" t="s">
        <v>174</v>
      </c>
    </row>
    <row r="15" customFormat="false" ht="15" hidden="false" customHeight="false" outlineLevel="0" collapsed="false">
      <c r="A15" s="0" t="s">
        <v>175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66.769955077752</v>
      </c>
      <c r="C15" s="3" t="n">
        <v>8</v>
      </c>
    </row>
    <row r="16" customFormat="false" ht="15" hidden="false" customHeight="false" outlineLevel="0" collapsed="false">
      <c r="A16" s="0" t="s">
        <v>176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61.3040957471828</v>
      </c>
      <c r="C16" s="3" t="n">
        <v>9</v>
      </c>
    </row>
    <row r="17" customFormat="false" ht="15" hidden="false" customHeight="false" outlineLevel="0" collapsed="false">
      <c r="A17" s="0" t="s">
        <v>177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55.6550666787171</v>
      </c>
      <c r="C17" s="3" t="n">
        <v>10</v>
      </c>
    </row>
    <row r="18" customFormat="false" ht="15" hidden="false" customHeight="false" outlineLevel="0" collapsed="false">
      <c r="A18" s="0" t="s">
        <v>178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47.760417381934</v>
      </c>
      <c r="C18" s="3" t="n">
        <v>11</v>
      </c>
    </row>
    <row r="19" customFormat="false" ht="15" hidden="false" customHeight="false" outlineLevel="0" collapsed="false">
      <c r="A19" s="0" t="s">
        <v>179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41.4399714687452</v>
      </c>
      <c r="C19" s="3" t="n">
        <v>12</v>
      </c>
    </row>
    <row r="20" customFormat="false" ht="15" hidden="false" customHeight="false" outlineLevel="0" collapsed="false">
      <c r="A20" s="0" t="s">
        <v>180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28.2920857672229</v>
      </c>
      <c r="C20" s="3" t="n">
        <v>15</v>
      </c>
    </row>
    <row r="22" customFormat="false" ht="15" hidden="false" customHeight="false" outlineLevel="0" collapsed="false">
      <c r="A22" s="2" t="s">
        <v>181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79.3229367396057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79.3229367396057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79.3229367396057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79.3229367396057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79.3229367396057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72.756893359544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72.756893359544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72.756893359544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72.756893359544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72.756893359544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66.769955077752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66.769955077752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66.769955077752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66.769955077752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66.769955077752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60.2315957549457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61.3040957471828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61.3040957471828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61.3040957471828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61.3040957471828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51.666982225392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53.5437278504861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55.6550666787171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56.3076623165339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56.3076623165339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2026-10-25T22:47:28Z</dcterms:created>
  <dc:creator>openpyxl</dc:creator>
  <dc:description/>
  <dc:language>en-NZ</dc:language>
  <cp:lastModifiedBy/>
  <dcterms:modified xsi:type="dcterms:W3CDTF">2026-10-25T22:47:28Z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