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<sst xmlns="http://schemas.openxmlformats.org/spreadsheetml/2006/main" count="357" uniqueCount="165">
  <si>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</si>
  <si>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0552.HK</t>
  </si>
  <si>
    <t xml:space="preserve">Company</t>
  </si>
  <si>
    <t xml:space="preserve">China Communications Services Corporation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</si>
  <si>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</si>
  <si>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</si>
  <si>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</si>
  <si>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</si>
  <si>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(HKEX, 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</si>
  <si>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</si>
  <si>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</si>
  <si>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</si>
  <si>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</si>
  <si>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</si>
  <si>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</si>
  <si>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</si>
  <si>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</si>
  <si>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</si>
  <si>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</si>
  <si>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</si>
  <si>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</si>
  <si>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</si>
  <si>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2026-10-10T22:59:47Z</t>
  </si>
  <si>
    <t xml:space="preserve">Drivers file</t>
  </si>
  <si>
    <t xml:space="preserve">0552.HK_Drivers.json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</si>
  <si>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</si>
  <si>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</si>
  <si>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</si>
  <si>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An asset-light, thin-margin (3.3% EBITDA) Chinese SOE contractor whose market cap roughly equals its net cash. The operating business is valued on owner FCF at an 8% CNY WACC with a low 8-12x terminal cap, and cash is added net of an operating requirement for the subcontractor-payables float. The gap between IV and price is the market's discount for cash that is retained at 1-1.5% yields, paid out at under half of earnings, and at risk of being absorbed by state-owned customers' payment stretch.
key_risks_to_valuation: Cash accessibility: ~55% earnings retention into low-yield deposits; minorities realise value only through dividends (43% payout FY2025, plan &gt;=46% by FY2028); Working-capital drain: FY2025 OCF -85%, H1 FY2026 OCF -RMB7.9bn; contract assets up RMB6.2bn in six months; Telecom-operator capex decline (~54% of revenue) faster than AI+/AIDC can replace it; Gross margin erosion (11.3% FY2025 -&gt; 10.0% H1 FY2026) on low-differentiation subcontracted work; ~100% China concentration and state policy dependence; HKD/CNY translation
dividend_stream_memo: Memo, not the house basis: capitalising only what minorities actually receive -- FY2025 DPS RMB0.2241 (~HKD0.263 at 1.1721), payout rising 43% -&gt; &gt;=46% by FY2028 (~HKD0.28) -- at the same 8% CNY rate with 1.5% growth gives ~HKD4.3/share, roughly today's price. The market is pricing the dividend stream and ascribing ~zero value to the retained cash pile; the house IV assumes that cash (net of a RMB7.5bn operating requirement) belongs to shareholders. Closing that gap needs a higher payout, a special dividend or buybacks -- the re-rating catalyst to watch.</t>
  </si>
  <si>
    <t xml:space="preserve">Data sources</t>
  </si>
  <si>
    <t xml:space="preserve">price: Yahoo Finance chart API at inputs.price_as_of; 52-week range 3.76-4.98 HKD
financials: FY2017-FY2025 annual reports and H1 FY2024-FY2026 interim reports (RMB'000, converted to RMB millions); Metrics.csv / core_metrics
qualitative: 0552.HK_Analysis.json (2026-10-11)
fx: Yahoo CNYHKD=X, cross-checked against CNY=X and HKD=X</t>
  </si>
  <si>
    <t xml:space="preserve">Scenario narrative: bear</t>
  </si>
  <si>
    <t xml:space="preserve">Operator capex falls ~10%/yr for several years and the state-capex-dependent, ~100% China-concentrated book shrinks four years running; AIDC turns out to be low-margin construction and gross margin keeps sliding. State-owned customers continue to finance themselves through CCS's balance sheet: receivables and contract assets keep ballooning (~RMB7bn over FY2026-28) and some are impaired, so the cash pile that underpins most of the value is steadily consumed rather than distributed.</t>
  </si>
  <si>
    <t xml:space="preserve">Scenario narrative: base</t>
  </si>
  <si>
    <t xml:space="preserve">Telecom operators' capex (China Telecom ~38% of revenue, other operators ~16%) keeps falling high-single digits a year as 5G build-out matures, dragging revenue down 2.5% in FY2026 and 1% in FY2027; AI+/AIDC services (~10% of revenue, +62% H1 FY2026) and non-operator government/enterprise digitalisation offset it from FY2028 to give ~2% growth. Operating EBITDA margin holds ~3.3-3.4% on cost discipline. FY2026 sees one more year of payment-stretch working-capital drain, then cash conversion returns to the FY2021-24 norm. The cash pile is real, and payout rises to &gt;=46% by FY2028 as planned.</t>
  </si>
  <si>
    <t xml:space="preserve">Scenario narrative: bull</t>
  </si>
  <si>
    <t xml:space="preserve">AIDC EPCO and AI-application work scales into a genuine second engine (state AI-compute build-out, East-Data-West-Compute), the non-operator customer base (already ~44%) keeps compounding, and revenue returns to 3-4% growth by FY2028 with margin mix lifting EBITDA to ~3.9%. Operators normalise payment, the FY2025-26 receivable build partly unwinds, and higher payouts re-rate the stock toward its cash-adjusted value.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</si>
  <si>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</si>
  <si>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</si>
  <si>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</si>
  <si>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</si>
  <si>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</si>
  <si>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</si>
  <si>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</si>
  <si>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</si>
  <si>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</si>
  <si>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</si>
  <si>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</si>
  <si>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</si>
  <si>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</si>
  <si>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</si>
  <si>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</si>
  <si>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</si>
  <si>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</si>
  <si>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</si>
  <si>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</si>
  <si>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</si>
  <si>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</si>
  <si>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</si>
  <si>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</si>
  <si>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</si>
  <si>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</si>
  <si>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</si>
  <si>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</si>
  <si>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</si>
  <si>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</si>
  <si>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</si>
  <si>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</si>
  <si>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</si>
  <si>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</si>
  <si>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</si>
  <si>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</si>
  <si>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</si>
  <si>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</si>
  <si>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</si>
  <si>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</si>
  <si>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</si>
  <si>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</si>
  <si>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</si>
  <si>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</si>
  <si>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</si>
  <si>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</si>
  <si>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</si>
  <si>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</si>
  <si>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</si>
  <si>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</si>
  <si>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</si>
  <si>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</si>
  <si>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</si>
  <si>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</si>
  <si>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</si>
  <si>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</si>
  <si>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</si>
  <si>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</si>
  <si>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</si>
  <si>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</si>
  <si>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</si>
  <si>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</si>
  <si>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</si>
  <si>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</si>
  <si>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</si>
  <si>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</si>
  <si>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</si>
  <si>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</si>
  <si>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</si>
  <si>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</si>
  <si>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</si>
  <si>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</si>
  <si>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</si>
  <si>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</si>
  <si>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0552.HK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</si>
  <si>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</si>
  <si>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</si>
  <si>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</si>
  <si>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</si>
  <si>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</si>
  <si>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</si>
  <si>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</si>
  <si>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</si>
  <si>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</si>
  <si>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</si>
  <si>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</si>
  <si>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</si>
  <si>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</si>
  <si>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</si>
  <si>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</si>
  <si>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</si>
  <si>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</si>
  <si>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</si>
  <si>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</si>
  <si>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</si>
  <si>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</si>
  <si>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</si>
  <si>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</si>
  <si>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</si>
  <si>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</si>
  <si>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</si>
  <si>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</si>
  <si>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</si>
  <si>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</si>
  <si>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</si>
  <si>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0552.HK owner-FCF component DCF: base case (millions, CNY)</t>
  </si>
  <si>
    <t xml:space="preserve">0552.HK owner-FCF component DCF: bull case (millions, CNY)</t>
  </si>
  <si>
    <t xml:space="preserve">0552.HK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</si>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</sst>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4.08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35.0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94572.411</v>
      </c>
      <c r="C2" s="0" t="n">
        <v>82360.051</v>
      </c>
      <c r="D2" s="0" t="n">
        <v>12212.36</v>
      </c>
      <c r="E2" s="0" t="n">
        <v>12.9</v>
      </c>
      <c r="I2" s="0" t="n">
        <v>2714.213</v>
      </c>
      <c r="J2" s="0" t="n">
        <v>2.9</v>
      </c>
      <c r="K2" s="0" t="n">
        <v>0.392</v>
      </c>
      <c r="L2" s="0" t="n">
        <v>6964.245</v>
      </c>
      <c r="O2" s="0" t="n">
        <v>28329.098</v>
      </c>
      <c r="P2" s="0" t="n">
        <v>70734.851</v>
      </c>
      <c r="Q2" s="0" t="n">
        <v>41915.2</v>
      </c>
      <c r="R2" s="0" t="n">
        <v>326.518</v>
      </c>
      <c r="S2" s="0" t="n">
        <v>13266.631</v>
      </c>
      <c r="T2" s="0" t="n">
        <v>6926.018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106176.637</v>
      </c>
      <c r="C3" s="0" t="n">
        <v>93291.671</v>
      </c>
      <c r="D3" s="0" t="n">
        <v>12884.966</v>
      </c>
      <c r="E3" s="0" t="n">
        <v>12.1</v>
      </c>
      <c r="I3" s="0" t="n">
        <v>2901.324</v>
      </c>
      <c r="J3" s="0" t="n">
        <v>2.7</v>
      </c>
      <c r="K3" s="0" t="n">
        <v>0.419</v>
      </c>
      <c r="L3" s="0" t="n">
        <v>4260.971</v>
      </c>
      <c r="M3" s="0" t="n">
        <v>987.379</v>
      </c>
      <c r="N3" s="0" t="n">
        <v>3273.592</v>
      </c>
      <c r="O3" s="0" t="n">
        <v>32331.323</v>
      </c>
      <c r="P3" s="0" t="n">
        <v>80926</v>
      </c>
      <c r="Q3" s="0" t="n">
        <v>48097.139</v>
      </c>
      <c r="R3" s="0" t="n">
        <v>470.925</v>
      </c>
      <c r="S3" s="0" t="n">
        <v>16106.246</v>
      </c>
      <c r="T3" s="0" t="n">
        <v>6926.018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117413.089</v>
      </c>
      <c r="C4" s="0" t="n">
        <v>103726.13</v>
      </c>
      <c r="D4" s="0" t="n">
        <v>13686.959</v>
      </c>
      <c r="E4" s="0" t="n">
        <v>11.7</v>
      </c>
      <c r="I4" s="0" t="n">
        <v>3049.229</v>
      </c>
      <c r="J4" s="0" t="n">
        <v>2.6</v>
      </c>
      <c r="K4" s="0" t="n">
        <v>0.44</v>
      </c>
      <c r="L4" s="0" t="n">
        <v>4811.651</v>
      </c>
      <c r="M4" s="0" t="n">
        <v>1180.209</v>
      </c>
      <c r="N4" s="0" t="n">
        <v>3631.442</v>
      </c>
      <c r="O4" s="0" t="n">
        <v>34563.91</v>
      </c>
      <c r="P4" s="0" t="n">
        <v>87541.058</v>
      </c>
      <c r="Q4" s="0" t="n">
        <v>52503.286</v>
      </c>
      <c r="R4" s="0" t="n">
        <v>511.234</v>
      </c>
      <c r="S4" s="0" t="n">
        <v>19220.764</v>
      </c>
      <c r="T4" s="0" t="n">
        <v>6926.018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122648.944</v>
      </c>
      <c r="C5" s="0" t="n">
        <v>108911.308</v>
      </c>
      <c r="D5" s="0" t="n">
        <v>13737.636</v>
      </c>
      <c r="E5" s="0" t="n">
        <v>11.2</v>
      </c>
      <c r="I5" s="0" t="n">
        <v>3081.475</v>
      </c>
      <c r="J5" s="0" t="n">
        <v>2.5</v>
      </c>
      <c r="K5" s="0" t="n">
        <v>0.445</v>
      </c>
      <c r="L5" s="0" t="n">
        <v>5453.485</v>
      </c>
      <c r="M5" s="0" t="n">
        <v>3531.877</v>
      </c>
      <c r="N5" s="0" t="n">
        <v>1921.608</v>
      </c>
      <c r="O5" s="0" t="n">
        <v>36717.684</v>
      </c>
      <c r="P5" s="0" t="n">
        <v>94488.781</v>
      </c>
      <c r="Q5" s="0" t="n">
        <v>57301.807</v>
      </c>
      <c r="R5" s="0" t="n">
        <v>704.401</v>
      </c>
      <c r="S5" s="0" t="n">
        <v>21008.49</v>
      </c>
      <c r="T5" s="0" t="n">
        <v>6926.018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133991.317</v>
      </c>
      <c r="C6" s="0" t="n">
        <v>119206.899</v>
      </c>
      <c r="D6" s="0" t="n">
        <v>14784.418</v>
      </c>
      <c r="E6" s="0" t="n">
        <v>11</v>
      </c>
      <c r="I6" s="0" t="n">
        <v>3157.434</v>
      </c>
      <c r="J6" s="0" t="n">
        <v>2.4</v>
      </c>
      <c r="K6" s="0" t="n">
        <v>0.456</v>
      </c>
      <c r="L6" s="0" t="n">
        <v>4505.957</v>
      </c>
      <c r="M6" s="0" t="n">
        <v>1769.213</v>
      </c>
      <c r="N6" s="0" t="n">
        <v>2736.744</v>
      </c>
      <c r="O6" s="0" t="n">
        <v>38407.214</v>
      </c>
      <c r="P6" s="0" t="n">
        <v>100027.969</v>
      </c>
      <c r="Q6" s="0" t="n">
        <v>60417.849</v>
      </c>
      <c r="R6" s="0" t="n">
        <v>812.832</v>
      </c>
      <c r="S6" s="0" t="n">
        <v>21171.025</v>
      </c>
      <c r="T6" s="0" t="n">
        <v>6926.018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140745.755</v>
      </c>
      <c r="C7" s="0" t="n">
        <v>124765.212</v>
      </c>
      <c r="D7" s="0" t="n">
        <v>15980.543</v>
      </c>
      <c r="E7" s="0" t="n">
        <v>11.4</v>
      </c>
      <c r="I7" s="0" t="n">
        <v>3358.149</v>
      </c>
      <c r="J7" s="0" t="n">
        <v>2.4</v>
      </c>
      <c r="K7" s="0" t="n">
        <v>0.485</v>
      </c>
      <c r="L7" s="0" t="n">
        <v>4908.283</v>
      </c>
      <c r="M7" s="0" t="n">
        <v>1226.002</v>
      </c>
      <c r="N7" s="0" t="n">
        <v>3682.281</v>
      </c>
      <c r="O7" s="0" t="n">
        <v>40359.362</v>
      </c>
      <c r="P7" s="0" t="n">
        <v>110264.105</v>
      </c>
      <c r="Q7" s="0" t="n">
        <v>68641.455</v>
      </c>
      <c r="R7" s="0" t="n">
        <v>881.121</v>
      </c>
      <c r="S7" s="0" t="n">
        <v>22087.661</v>
      </c>
      <c r="T7" s="0" t="n">
        <v>6926.018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148614.676</v>
      </c>
      <c r="C8" s="0" t="n">
        <v>131357.426</v>
      </c>
      <c r="D8" s="0" t="n">
        <v>17257.25</v>
      </c>
      <c r="E8" s="0" t="n">
        <v>11.6</v>
      </c>
      <c r="I8" s="0" t="n">
        <v>3584.391</v>
      </c>
      <c r="J8" s="0" t="n">
        <v>2.4</v>
      </c>
      <c r="K8" s="0" t="n">
        <v>0.518</v>
      </c>
      <c r="L8" s="0" t="n">
        <v>5356.247</v>
      </c>
      <c r="M8" s="0" t="n">
        <v>1218.388</v>
      </c>
      <c r="N8" s="0" t="n">
        <v>4137.859</v>
      </c>
      <c r="O8" s="0" t="n">
        <v>42576.759</v>
      </c>
      <c r="P8" s="0" t="n">
        <v>121789.75</v>
      </c>
      <c r="Q8" s="0" t="n">
        <v>78122.049</v>
      </c>
      <c r="R8" s="0" t="n">
        <v>861.056</v>
      </c>
      <c r="S8" s="0" t="n">
        <v>22914.865</v>
      </c>
      <c r="T8" s="0" t="n">
        <v>6926.018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150000.103</v>
      </c>
      <c r="C9" s="0" t="n">
        <v>132403.882</v>
      </c>
      <c r="D9" s="0" t="n">
        <v>17596.221</v>
      </c>
      <c r="E9" s="0" t="n">
        <v>11.7</v>
      </c>
      <c r="I9" s="0" t="n">
        <v>3606.861</v>
      </c>
      <c r="J9" s="0" t="n">
        <v>2.4</v>
      </c>
      <c r="K9" s="0" t="n">
        <v>0.521</v>
      </c>
      <c r="L9" s="0" t="n">
        <v>6220.99</v>
      </c>
      <c r="M9" s="0" t="n">
        <v>1160.888</v>
      </c>
      <c r="N9" s="0" t="n">
        <v>5060.102</v>
      </c>
      <c r="O9" s="0" t="n">
        <v>45435.871</v>
      </c>
      <c r="P9" s="0" t="n">
        <v>136617.576</v>
      </c>
      <c r="Q9" s="0" t="n">
        <v>90004.424</v>
      </c>
      <c r="R9" s="0" t="n">
        <v>706.249</v>
      </c>
      <c r="S9" s="0" t="n">
        <v>19638.036</v>
      </c>
      <c r="T9" s="0" t="n">
        <v>6926.018</v>
      </c>
      <c r="U9" s="0" t="n">
        <v>0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150092.609</v>
      </c>
      <c r="C10" s="0" t="n">
        <v>133135.975</v>
      </c>
      <c r="D10" s="0" t="n">
        <v>16956.634</v>
      </c>
      <c r="E10" s="0" t="n">
        <v>11.3</v>
      </c>
      <c r="I10" s="0" t="n">
        <v>3610.019</v>
      </c>
      <c r="J10" s="0" t="n">
        <v>2.4</v>
      </c>
      <c r="K10" s="0" t="n">
        <v>0.521</v>
      </c>
      <c r="L10" s="0" t="n">
        <v>937.716</v>
      </c>
      <c r="M10" s="0" t="n">
        <v>758.418</v>
      </c>
      <c r="N10" s="0" t="n">
        <v>179.298</v>
      </c>
      <c r="O10" s="0" t="n">
        <v>47838.7</v>
      </c>
      <c r="P10" s="0" t="n">
        <v>136681.831</v>
      </c>
      <c r="Q10" s="0" t="n">
        <v>87593.864</v>
      </c>
      <c r="R10" s="0" t="n">
        <v>699.358</v>
      </c>
      <c r="S10" s="0" t="n">
        <v>14341.265</v>
      </c>
      <c r="T10" s="0" t="n">
        <v>6926.018</v>
      </c>
      <c r="U10" s="0" t="n">
        <v>0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4.08</v>
      </c>
    </row>
    <row r="3" customFormat="false" ht="15" hidden="false" customHeight="false" outlineLevel="0" collapsed="false">
      <c r="A3" s="0" t="s">
        <v>76</v>
      </c>
      <c r="B3" s="3" t="n">
        <v>6926.018</v>
      </c>
    </row>
    <row r="4" customFormat="false" ht="15" hidden="false" customHeight="false" outlineLevel="0" collapsed="false">
      <c r="A4" s="0" t="s">
        <v>77</v>
      </c>
      <c r="B4" s="3" t="n">
        <v>-24722</v>
      </c>
    </row>
    <row r="5" customFormat="false" ht="15" hidden="false" customHeight="false" outlineLevel="0" collapsed="false">
      <c r="A5" s="0" t="s">
        <v>78</v>
      </c>
      <c r="B5" s="3" t="n">
        <v>5979.3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150092.609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-4</v>
      </c>
      <c r="D13" s="3" t="n">
        <v>-4</v>
      </c>
      <c r="E13" s="3" t="n">
        <v>-3</v>
      </c>
      <c r="F13" s="3" t="n">
        <v>-2</v>
      </c>
      <c r="G13" s="3" t="n">
        <v>-1</v>
      </c>
      <c r="H13" s="3" t="n">
        <v>0</v>
      </c>
      <c r="I13" s="3" t="n">
        <v>0.5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97</v>
      </c>
      <c r="C14" s="3" t="n">
        <v>3.1</v>
      </c>
      <c r="D14" s="3" t="n">
        <v>2.95</v>
      </c>
      <c r="E14" s="3" t="n">
        <v>2.85</v>
      </c>
      <c r="F14" s="3" t="n">
        <v>2.75</v>
      </c>
      <c r="G14" s="3" t="n">
        <v>2.7</v>
      </c>
      <c r="H14" s="3" t="n">
        <v>2.7</v>
      </c>
      <c r="I14" s="3" t="n">
        <v>2.7</v>
      </c>
      <c r="J14" s="3" t="n">
        <v>2.7</v>
      </c>
      <c r="K14" s="3" t="n">
        <v>2.7</v>
      </c>
      <c r="L14" s="3" t="n">
        <v>2.7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0.38</v>
      </c>
      <c r="D16" s="3" t="n">
        <v>0.38</v>
      </c>
      <c r="E16" s="3" t="n">
        <v>0.38</v>
      </c>
      <c r="F16" s="3" t="n">
        <v>0.38</v>
      </c>
      <c r="G16" s="3" t="n">
        <v>0.38</v>
      </c>
      <c r="H16" s="3" t="n">
        <v>0.38</v>
      </c>
      <c r="I16" s="3" t="n">
        <v>0.38</v>
      </c>
      <c r="J16" s="3" t="n">
        <v>0.38</v>
      </c>
      <c r="K16" s="3" t="n">
        <v>0.38</v>
      </c>
      <c r="L16" s="3" t="n">
        <v>0.38</v>
      </c>
    </row>
    <row r="17" customFormat="false" ht="15" hidden="false" customHeight="false" outlineLevel="0" collapsed="false">
      <c r="A17" s="0" t="s">
        <v>100</v>
      </c>
      <c r="C17" s="3" t="n">
        <v>0.67</v>
      </c>
      <c r="D17" s="3" t="n">
        <v>0.67</v>
      </c>
      <c r="E17" s="3" t="n">
        <v>0.67</v>
      </c>
      <c r="F17" s="3" t="n">
        <v>0.67</v>
      </c>
      <c r="G17" s="3" t="n">
        <v>0.67</v>
      </c>
      <c r="H17" s="3" t="n">
        <v>0.67</v>
      </c>
      <c r="I17" s="3" t="n">
        <v>0.67</v>
      </c>
      <c r="J17" s="3" t="n">
        <v>0.67</v>
      </c>
      <c r="K17" s="3" t="n">
        <v>0.67</v>
      </c>
      <c r="L17" s="3" t="n">
        <v>0.67</v>
      </c>
    </row>
    <row r="18" customFormat="false" ht="15" hidden="false" customHeight="false" outlineLevel="0" collapsed="false">
      <c r="A18" s="0" t="s">
        <v>101</v>
      </c>
      <c r="C18" s="3" t="n">
        <v>2.6</v>
      </c>
      <c r="D18" s="3" t="n">
        <v>2.3</v>
      </c>
      <c r="E18" s="3" t="n">
        <v>1.8</v>
      </c>
      <c r="F18" s="3" t="n">
        <v>0.6</v>
      </c>
      <c r="G18" s="3" t="n">
        <v>0.6</v>
      </c>
      <c r="H18" s="3" t="n">
        <v>0.6</v>
      </c>
      <c r="I18" s="3" t="n">
        <v>0.6</v>
      </c>
      <c r="J18" s="3" t="n">
        <v>0.6</v>
      </c>
      <c r="K18" s="3" t="n">
        <v>0.6</v>
      </c>
      <c r="L18" s="3" t="n">
        <v>0.6</v>
      </c>
    </row>
    <row r="19" customFormat="false" ht="15" hidden="false" customHeight="false" outlineLevel="0" collapsed="false">
      <c r="A19" s="0" t="s">
        <v>102</v>
      </c>
      <c r="C19" s="3" t="n">
        <v>16</v>
      </c>
      <c r="D19" s="3" t="n">
        <v>16</v>
      </c>
      <c r="E19" s="3" t="n">
        <v>16</v>
      </c>
      <c r="F19" s="3" t="n">
        <v>16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103</v>
      </c>
      <c r="B20" s="3" t="n">
        <v>8</v>
      </c>
    </row>
    <row r="21" customFormat="false" ht="15" hidden="false" customHeight="false" outlineLevel="0" collapsed="false">
      <c r="A21" s="0" t="s">
        <v>104</v>
      </c>
      <c r="B21" s="3" t="n">
        <v>0.5</v>
      </c>
    </row>
    <row r="22" customFormat="false" ht="15" hidden="false" customHeight="false" outlineLevel="0" collapsed="false">
      <c r="A22" s="0" t="s">
        <v>105</v>
      </c>
      <c r="B22" s="3" t="n">
        <v>8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-2.5</v>
      </c>
      <c r="D27" s="3" t="n">
        <v>-1</v>
      </c>
      <c r="E27" s="3" t="n">
        <v>0.5</v>
      </c>
      <c r="F27" s="3" t="n">
        <v>1.5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3.25</v>
      </c>
      <c r="D28" s="3" t="n">
        <v>3.3</v>
      </c>
      <c r="E28" s="3" t="n">
        <v>3.35</v>
      </c>
      <c r="F28" s="3" t="n">
        <v>3.4</v>
      </c>
      <c r="G28" s="3" t="n">
        <v>3.4</v>
      </c>
      <c r="H28" s="3" t="n">
        <v>3.4</v>
      </c>
      <c r="I28" s="3" t="n">
        <v>3.4</v>
      </c>
      <c r="J28" s="3" t="n">
        <v>3.4</v>
      </c>
      <c r="K28" s="3" t="n">
        <v>3.4</v>
      </c>
      <c r="L28" s="3" t="n">
        <v>3.4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0.38</v>
      </c>
      <c r="D30" s="3" t="n">
        <v>0.38</v>
      </c>
      <c r="E30" s="3" t="n">
        <v>0.38</v>
      </c>
      <c r="F30" s="3" t="n">
        <v>0.38</v>
      </c>
      <c r="G30" s="3" t="n">
        <v>0.38</v>
      </c>
      <c r="H30" s="3" t="n">
        <v>0.38</v>
      </c>
      <c r="I30" s="3" t="n">
        <v>0.38</v>
      </c>
      <c r="J30" s="3" t="n">
        <v>0.38</v>
      </c>
      <c r="K30" s="3" t="n">
        <v>0.38</v>
      </c>
      <c r="L30" s="3" t="n">
        <v>0.38</v>
      </c>
    </row>
    <row r="31" customFormat="false" ht="15" hidden="false" customHeight="false" outlineLevel="0" collapsed="false">
      <c r="A31" s="0" t="s">
        <v>100</v>
      </c>
      <c r="C31" s="3" t="n">
        <v>0.67</v>
      </c>
      <c r="D31" s="3" t="n">
        <v>0.67</v>
      </c>
      <c r="E31" s="3" t="n">
        <v>0.67</v>
      </c>
      <c r="F31" s="3" t="n">
        <v>0.67</v>
      </c>
      <c r="G31" s="3" t="n">
        <v>0.67</v>
      </c>
      <c r="H31" s="3" t="n">
        <v>0.67</v>
      </c>
      <c r="I31" s="3" t="n">
        <v>0.67</v>
      </c>
      <c r="J31" s="3" t="n">
        <v>0.67</v>
      </c>
      <c r="K31" s="3" t="n">
        <v>0.67</v>
      </c>
      <c r="L31" s="3" t="n">
        <v>0.67</v>
      </c>
    </row>
    <row r="32" customFormat="false" ht="15" hidden="false" customHeight="false" outlineLevel="0" collapsed="false">
      <c r="A32" s="0" t="s">
        <v>101</v>
      </c>
      <c r="C32" s="3" t="n">
        <v>1.9</v>
      </c>
      <c r="D32" s="3" t="n">
        <v>0.6</v>
      </c>
      <c r="E32" s="3" t="n">
        <v>0.6</v>
      </c>
      <c r="F32" s="3" t="n">
        <v>0.6</v>
      </c>
      <c r="G32" s="3" t="n">
        <v>0.6</v>
      </c>
      <c r="H32" s="3" t="n">
        <v>0.6</v>
      </c>
      <c r="I32" s="3" t="n">
        <v>0.6</v>
      </c>
      <c r="J32" s="3" t="n">
        <v>0.6</v>
      </c>
      <c r="K32" s="3" t="n">
        <v>0.6</v>
      </c>
      <c r="L32" s="3" t="n">
        <v>0.6</v>
      </c>
    </row>
    <row r="33" customFormat="false" ht="15" hidden="false" customHeight="false" outlineLevel="0" collapsed="false">
      <c r="A33" s="0" t="s">
        <v>102</v>
      </c>
      <c r="C33" s="3" t="n">
        <v>15</v>
      </c>
      <c r="D33" s="3" t="n">
        <v>15</v>
      </c>
      <c r="E33" s="3" t="n">
        <v>15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103</v>
      </c>
      <c r="B34" s="3" t="n">
        <v>8</v>
      </c>
    </row>
    <row r="35" customFormat="false" ht="15" hidden="false" customHeight="false" outlineLevel="0" collapsed="false">
      <c r="A35" s="0" t="s">
        <v>104</v>
      </c>
      <c r="B35" s="3" t="n">
        <v>1.5</v>
      </c>
    </row>
    <row r="36" customFormat="false" ht="15" hidden="false" customHeight="false" outlineLevel="0" collapsed="false">
      <c r="A36" s="0" t="s">
        <v>105</v>
      </c>
      <c r="B36" s="3" t="n">
        <v>10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-1.5</v>
      </c>
      <c r="D41" s="3" t="n">
        <v>1.5</v>
      </c>
      <c r="E41" s="3" t="n">
        <v>3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97</v>
      </c>
      <c r="C42" s="3" t="n">
        <v>3.3</v>
      </c>
      <c r="D42" s="3" t="n">
        <v>3.45</v>
      </c>
      <c r="E42" s="3" t="n">
        <v>3.6</v>
      </c>
      <c r="F42" s="3" t="n">
        <v>3.7</v>
      </c>
      <c r="G42" s="3" t="n">
        <v>3.8</v>
      </c>
      <c r="H42" s="3" t="n">
        <v>3.85</v>
      </c>
      <c r="I42" s="3" t="n">
        <v>3.9</v>
      </c>
      <c r="J42" s="3" t="n">
        <v>3.9</v>
      </c>
      <c r="K42" s="3" t="n">
        <v>3.9</v>
      </c>
      <c r="L42" s="3" t="n">
        <v>3.9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0.38</v>
      </c>
      <c r="D44" s="3" t="n">
        <v>0.38</v>
      </c>
      <c r="E44" s="3" t="n">
        <v>0.38</v>
      </c>
      <c r="F44" s="3" t="n">
        <v>0.38</v>
      </c>
      <c r="G44" s="3" t="n">
        <v>0.38</v>
      </c>
      <c r="H44" s="3" t="n">
        <v>0.38</v>
      </c>
      <c r="I44" s="3" t="n">
        <v>0.38</v>
      </c>
      <c r="J44" s="3" t="n">
        <v>0.38</v>
      </c>
      <c r="K44" s="3" t="n">
        <v>0.38</v>
      </c>
      <c r="L44" s="3" t="n">
        <v>0.38</v>
      </c>
    </row>
    <row r="45" customFormat="false" ht="15" hidden="false" customHeight="false" outlineLevel="0" collapsed="false">
      <c r="A45" s="0" t="s">
        <v>100</v>
      </c>
      <c r="C45" s="3" t="n">
        <v>0.67</v>
      </c>
      <c r="D45" s="3" t="n">
        <v>0.67</v>
      </c>
      <c r="E45" s="3" t="n">
        <v>0.67</v>
      </c>
      <c r="F45" s="3" t="n">
        <v>0.67</v>
      </c>
      <c r="G45" s="3" t="n">
        <v>0.67</v>
      </c>
      <c r="H45" s="3" t="n">
        <v>0.67</v>
      </c>
      <c r="I45" s="3" t="n">
        <v>0.67</v>
      </c>
      <c r="J45" s="3" t="n">
        <v>0.67</v>
      </c>
      <c r="K45" s="3" t="n">
        <v>0.67</v>
      </c>
      <c r="L45" s="3" t="n">
        <v>0.67</v>
      </c>
    </row>
    <row r="46" customFormat="false" ht="15" hidden="false" customHeight="false" outlineLevel="0" collapsed="false">
      <c r="A46" s="0" t="s">
        <v>101</v>
      </c>
      <c r="C46" s="3" t="n">
        <v>1.3</v>
      </c>
      <c r="D46" s="3" t="n">
        <v>0.7</v>
      </c>
      <c r="E46" s="3" t="n">
        <v>0.7</v>
      </c>
      <c r="F46" s="3" t="n">
        <v>0.7</v>
      </c>
      <c r="G46" s="3" t="n">
        <v>0.7</v>
      </c>
      <c r="H46" s="3" t="n">
        <v>0.7</v>
      </c>
      <c r="I46" s="3" t="n">
        <v>0.7</v>
      </c>
      <c r="J46" s="3" t="n">
        <v>0.7</v>
      </c>
      <c r="K46" s="3" t="n">
        <v>0.7</v>
      </c>
      <c r="L46" s="3" t="n">
        <v>0.7</v>
      </c>
    </row>
    <row r="47" customFormat="false" ht="15" hidden="false" customHeight="false" outlineLevel="0" collapsed="false">
      <c r="A47" s="0" t="s">
        <v>102</v>
      </c>
      <c r="C47" s="3" t="n">
        <v>15</v>
      </c>
      <c r="D47" s="3" t="n">
        <v>15</v>
      </c>
      <c r="E47" s="3" t="n">
        <v>15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103</v>
      </c>
      <c r="B48" s="3" t="n">
        <v>8</v>
      </c>
    </row>
    <row r="49" customFormat="false" ht="15" hidden="false" customHeight="false" outlineLevel="0" collapsed="false">
      <c r="A49" s="0" t="s">
        <v>104</v>
      </c>
      <c r="B49" s="3" t="n">
        <v>2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-4</v>
      </c>
      <c r="D5" s="4" t="n">
        <f aca="false">Assumptions!D13</f>
        <v>-4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0.5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150092.609</v>
      </c>
      <c r="C6" s="0" t="n">
        <f aca="false">B6*(1+C5/100)</f>
        <v>144088.90464</v>
      </c>
      <c r="D6" s="0" t="n">
        <f aca="false">C6*(1+D5/100)</f>
        <v>138325.3484544</v>
      </c>
      <c r="E6" s="0" t="n">
        <f aca="false">D6*(1+E5/100)</f>
        <v>134175.588000768</v>
      </c>
      <c r="F6" s="0" t="n">
        <f aca="false">E6*(1+F5/100)</f>
        <v>131492.076240753</v>
      </c>
      <c r="G6" s="0" t="n">
        <f aca="false">F6*(1+G5/100)</f>
        <v>130177.155478345</v>
      </c>
      <c r="H6" s="0" t="n">
        <f aca="false">G6*(1+H5/100)</f>
        <v>130177.155478345</v>
      </c>
      <c r="I6" s="0" t="n">
        <f aca="false">H6*(1+I5/100)</f>
        <v>130828.041255737</v>
      </c>
      <c r="J6" s="0" t="n">
        <f aca="false">I6*(1+J5/100)</f>
        <v>132136.321668294</v>
      </c>
      <c r="K6" s="0" t="n">
        <f aca="false">J6*(1+K5/100)</f>
        <v>133457.684884977</v>
      </c>
      <c r="L6" s="0" t="n">
        <f aca="false">K6*(1+L5/100)</f>
        <v>134792.261733827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3.1</v>
      </c>
      <c r="D7" s="4" t="n">
        <f aca="false">Assumptions!D14</f>
        <v>2.95</v>
      </c>
      <c r="E7" s="4" t="n">
        <f aca="false">Assumptions!E14</f>
        <v>2.85</v>
      </c>
      <c r="F7" s="4" t="n">
        <f aca="false">Assumptions!F14</f>
        <v>2.75</v>
      </c>
      <c r="G7" s="4" t="n">
        <f aca="false">Assumptions!G14</f>
        <v>2.7</v>
      </c>
      <c r="H7" s="4" t="n">
        <f aca="false">Assumptions!H14</f>
        <v>2.7</v>
      </c>
      <c r="I7" s="4" t="n">
        <f aca="false">Assumptions!I14</f>
        <v>2.7</v>
      </c>
      <c r="J7" s="4" t="n">
        <f aca="false">Assumptions!J14</f>
        <v>2.7</v>
      </c>
      <c r="K7" s="4" t="n">
        <f aca="false">Assumptions!K14</f>
        <v>2.7</v>
      </c>
      <c r="L7" s="4" t="n">
        <f aca="false">Assumptions!L14</f>
        <v>2.7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4466.75604384</v>
      </c>
      <c r="D8" s="0" t="n">
        <f aca="false">D6*D7/100</f>
        <v>4080.5977794048</v>
      </c>
      <c r="E8" s="0" t="n">
        <f aca="false">E6*E7/100</f>
        <v>3824.00425802189</v>
      </c>
      <c r="F8" s="0" t="n">
        <f aca="false">F6*F7/100</f>
        <v>3616.0320966207</v>
      </c>
      <c r="G8" s="0" t="n">
        <f aca="false">G6*G7/100</f>
        <v>3514.78319791532</v>
      </c>
      <c r="H8" s="0" t="n">
        <f aca="false">H6*H7/100</f>
        <v>3514.78319791532</v>
      </c>
      <c r="I8" s="0" t="n">
        <f aca="false">I6*I7/100</f>
        <v>3532.35711390489</v>
      </c>
      <c r="J8" s="0" t="n">
        <f aca="false">J6*J7/100</f>
        <v>3567.68068504394</v>
      </c>
      <c r="K8" s="0" t="n">
        <f aca="false">K6*K7/100</f>
        <v>3603.35749189438</v>
      </c>
      <c r="L8" s="0" t="n">
        <f aca="false">L6*L7/100</f>
        <v>3639.39106681333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3919.218206208</v>
      </c>
      <c r="D11" s="0" t="n">
        <f aca="false">D8+D10+D24</f>
        <v>3554.96145527808</v>
      </c>
      <c r="E11" s="0" t="n">
        <f aca="false">E8+E10+E24</f>
        <v>3314.13702361897</v>
      </c>
      <c r="F11" s="0" t="n">
        <f aca="false">F8+F10+F24</f>
        <v>3116.36220690584</v>
      </c>
      <c r="G11" s="0" t="n">
        <f aca="false">G8+G10+G24</f>
        <v>3020.11000709761</v>
      </c>
      <c r="H11" s="0" t="n">
        <f aca="false">H8+H10+H24</f>
        <v>3020.11000709761</v>
      </c>
      <c r="I11" s="0" t="n">
        <f aca="false">I8+I10+I24</f>
        <v>3035.21055713309</v>
      </c>
      <c r="J11" s="0" t="n">
        <f aca="false">J8+J10+J24</f>
        <v>3065.56266270443</v>
      </c>
      <c r="K11" s="0" t="n">
        <f aca="false">K8+K10+K24</f>
        <v>3096.21828933147</v>
      </c>
      <c r="L11" s="0" t="n">
        <f aca="false">L8+L10+L24</f>
        <v>3127.18047222478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-965.395661088</v>
      </c>
      <c r="D12" s="4" t="n">
        <f aca="false">-D6*Assumptions!D17/100</f>
        <v>-926.77983464448</v>
      </c>
      <c r="E12" s="4" t="n">
        <f aca="false">-E6*Assumptions!E17/100</f>
        <v>-898.976439605146</v>
      </c>
      <c r="F12" s="4" t="n">
        <f aca="false">-F6*Assumptions!F17/100</f>
        <v>-880.996910813043</v>
      </c>
      <c r="G12" s="4" t="n">
        <f aca="false">-G6*Assumptions!G17/100</f>
        <v>-872.186941704912</v>
      </c>
      <c r="H12" s="4" t="n">
        <f aca="false">-H6*Assumptions!H17/100</f>
        <v>-872.186941704912</v>
      </c>
      <c r="I12" s="4" t="n">
        <f aca="false">-I6*Assumptions!I17/100</f>
        <v>-876.547876413437</v>
      </c>
      <c r="J12" s="4" t="n">
        <f aca="false">-J6*Assumptions!J17/100</f>
        <v>-885.313355177571</v>
      </c>
      <c r="K12" s="4" t="n">
        <f aca="false">-K6*Assumptions!K17/100</f>
        <v>-894.166488729347</v>
      </c>
      <c r="L12" s="4" t="n">
        <f aca="false">-L6*Assumptions!L17/100</f>
        <v>-903.10815361664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2953.82254512</v>
      </c>
      <c r="D13" s="0" t="n">
        <f aca="false">D11+D12</f>
        <v>2628.1816206336</v>
      </c>
      <c r="E13" s="0" t="n">
        <f aca="false">E11+E12</f>
        <v>2415.16058401382</v>
      </c>
      <c r="F13" s="0" t="n">
        <f aca="false">F11+F12</f>
        <v>2235.36529609279</v>
      </c>
      <c r="G13" s="0" t="n">
        <f aca="false">G11+G12</f>
        <v>2147.92306539269</v>
      </c>
      <c r="H13" s="0" t="n">
        <f aca="false">H11+H12</f>
        <v>2147.92306539269</v>
      </c>
      <c r="I13" s="0" t="n">
        <f aca="false">I11+I12</f>
        <v>2158.66268071966</v>
      </c>
      <c r="J13" s="0" t="n">
        <f aca="false">J11+J12</f>
        <v>2180.24930752685</v>
      </c>
      <c r="K13" s="0" t="n">
        <f aca="false">K11+K12</f>
        <v>2202.05180060212</v>
      </c>
      <c r="L13" s="0" t="n">
        <f aca="false">L11+L12</f>
        <v>2224.07231860814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16</v>
      </c>
      <c r="D14" s="4" t="n">
        <f aca="false">Assumptions!D19</f>
        <v>16</v>
      </c>
      <c r="E14" s="4" t="n">
        <f aca="false">Assumptions!E19</f>
        <v>16</v>
      </c>
      <c r="F14" s="4" t="n">
        <f aca="false">Assumptions!F19</f>
        <v>16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2481.2109379008</v>
      </c>
      <c r="D15" s="0" t="n">
        <f aca="false">D13-MAX(0,D13)*D14/100</f>
        <v>2207.67256133222</v>
      </c>
      <c r="E15" s="0" t="n">
        <f aca="false">E13-MAX(0,E13)*E14/100</f>
        <v>2028.73489057161</v>
      </c>
      <c r="F15" s="0" t="n">
        <f aca="false">F13-MAX(0,F13)*F14/100</f>
        <v>1877.70684871795</v>
      </c>
      <c r="G15" s="0" t="n">
        <f aca="false">G13-MAX(0,G13)*G14/100</f>
        <v>1804.25537492986</v>
      </c>
      <c r="H15" s="0" t="n">
        <f aca="false">H13-MAX(0,H13)*H14/100</f>
        <v>1804.25537492986</v>
      </c>
      <c r="I15" s="0" t="n">
        <f aca="false">I13-MAX(0,I13)*I14/100</f>
        <v>1813.27665180451</v>
      </c>
      <c r="J15" s="0" t="n">
        <f aca="false">J13-MAX(0,J13)*J14/100</f>
        <v>1831.40941832256</v>
      </c>
      <c r="K15" s="0" t="n">
        <f aca="false">K13-MAX(0,K13)*K14/100</f>
        <v>1849.72351250578</v>
      </c>
      <c r="L15" s="0" t="n">
        <f aca="false">L13-MAX(0,L13)*L14/100</f>
        <v>1868.22074763084</v>
      </c>
    </row>
    <row r="16" customFormat="false" ht="15" hidden="false" customHeight="false" outlineLevel="0" collapsed="false">
      <c r="A16" s="0" t="s">
        <v>118</v>
      </c>
      <c r="C16" s="0" t="n">
        <f aca="false">-C12</f>
        <v>965.395661088</v>
      </c>
      <c r="D16" s="0" t="n">
        <f aca="false">-D12</f>
        <v>926.77983464448</v>
      </c>
      <c r="E16" s="0" t="n">
        <f aca="false">-E12</f>
        <v>898.976439605146</v>
      </c>
      <c r="F16" s="0" t="n">
        <f aca="false">-F12</f>
        <v>880.996910813043</v>
      </c>
      <c r="G16" s="0" t="n">
        <f aca="false">-G12</f>
        <v>872.186941704912</v>
      </c>
      <c r="H16" s="0" t="n">
        <f aca="false">-H12</f>
        <v>872.186941704912</v>
      </c>
      <c r="I16" s="0" t="n">
        <f aca="false">-I12</f>
        <v>876.547876413437</v>
      </c>
      <c r="J16" s="0" t="n">
        <f aca="false">-J12</f>
        <v>885.313355177571</v>
      </c>
      <c r="K16" s="0" t="n">
        <f aca="false">-K12</f>
        <v>894.166488729347</v>
      </c>
      <c r="L16" s="0" t="n">
        <f aca="false">-L12</f>
        <v>903.10815361664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-3746.31152064</v>
      </c>
      <c r="D17" s="4" t="n">
        <f aca="false">-D6*Assumptions!D18/100</f>
        <v>-3181.4830144512</v>
      </c>
      <c r="E17" s="4" t="n">
        <f aca="false">-E6*Assumptions!E18/100</f>
        <v>-2415.16058401382</v>
      </c>
      <c r="F17" s="4" t="n">
        <f aca="false">-F6*Assumptions!F18/100</f>
        <v>-788.952457444516</v>
      </c>
      <c r="G17" s="4" t="n">
        <f aca="false">-G6*Assumptions!G18/100</f>
        <v>-781.062932870071</v>
      </c>
      <c r="H17" s="4" t="n">
        <f aca="false">-H6*Assumptions!H18/100</f>
        <v>-781.062932870071</v>
      </c>
      <c r="I17" s="4" t="n">
        <f aca="false">-I6*Assumptions!I18/100</f>
        <v>-784.968247534421</v>
      </c>
      <c r="J17" s="4" t="n">
        <f aca="false">-J6*Assumptions!J18/100</f>
        <v>-792.817930009765</v>
      </c>
      <c r="K17" s="4" t="n">
        <f aca="false">-K6*Assumptions!K18/100</f>
        <v>-800.746109309863</v>
      </c>
      <c r="L17" s="4" t="n">
        <f aca="false">-L6*Assumptions!L18/100</f>
        <v>-808.753570402961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-299.704921651201</v>
      </c>
      <c r="D19" s="0" t="n">
        <f aca="false">D15+D16+D17+D18</f>
        <v>-47.0306184744959</v>
      </c>
      <c r="E19" s="0" t="n">
        <f aca="false">E15+E16+E17+E18</f>
        <v>512.550746162934</v>
      </c>
      <c r="F19" s="0" t="n">
        <f aca="false">F15+F16+F17+F18</f>
        <v>1969.75130208647</v>
      </c>
      <c r="G19" s="0" t="n">
        <f aca="false">G15+G16+G17+G18</f>
        <v>1895.3793837647</v>
      </c>
      <c r="H19" s="0" t="n">
        <f aca="false">H15+H16+H17+H18</f>
        <v>1895.3793837647</v>
      </c>
      <c r="I19" s="0" t="n">
        <f aca="false">I15+I16+I17+I18</f>
        <v>1904.85628068353</v>
      </c>
      <c r="J19" s="0" t="n">
        <f aca="false">J15+J16+J17+J18</f>
        <v>1923.90484349036</v>
      </c>
      <c r="K19" s="0" t="n">
        <f aca="false">K15+K16+K17+K18</f>
        <v>1943.14389192527</v>
      </c>
      <c r="L19" s="0" t="n">
        <f aca="false">L15+L16+L17+L18</f>
        <v>1962.57533084452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-277.504557084445</v>
      </c>
      <c r="D21" s="0" t="n">
        <f aca="false">D19*D20</f>
        <v>-40.3211749609876</v>
      </c>
      <c r="E21" s="0" t="n">
        <f aca="false">E19*E20</f>
        <v>406.879307463082</v>
      </c>
      <c r="F21" s="0" t="n">
        <f aca="false">F19*F20</f>
        <v>1447.82600961824</v>
      </c>
      <c r="G21" s="0" t="n">
        <f aca="false">G19*G20</f>
        <v>1289.96336059445</v>
      </c>
      <c r="H21" s="0" t="n">
        <f aca="false">H19*H20</f>
        <v>1194.41051906893</v>
      </c>
      <c r="I21" s="0" t="n">
        <f aca="false">I19*I20</f>
        <v>1111.46534413359</v>
      </c>
      <c r="J21" s="0" t="n">
        <f aca="false">J19*J20</f>
        <v>1039.42592368049</v>
      </c>
      <c r="K21" s="0" t="n">
        <f aca="false">K19*K20</f>
        <v>972.055724923418</v>
      </c>
      <c r="L21" s="0" t="n">
        <f aca="false">L19*L20</f>
        <v>909.052113122826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0.38</v>
      </c>
      <c r="D23" s="4" t="n">
        <f aca="false">Assumptions!D16</f>
        <v>0.38</v>
      </c>
      <c r="E23" s="4" t="n">
        <f aca="false">Assumptions!E16</f>
        <v>0.38</v>
      </c>
      <c r="F23" s="4" t="n">
        <f aca="false">Assumptions!F16</f>
        <v>0.38</v>
      </c>
      <c r="G23" s="4" t="n">
        <f aca="false">Assumptions!G16</f>
        <v>0.38</v>
      </c>
      <c r="H23" s="4" t="n">
        <f aca="false">Assumptions!H16</f>
        <v>0.38</v>
      </c>
      <c r="I23" s="4" t="n">
        <f aca="false">Assumptions!I16</f>
        <v>0.38</v>
      </c>
      <c r="J23" s="4" t="n">
        <f aca="false">Assumptions!J16</f>
        <v>0.38</v>
      </c>
      <c r="K23" s="4" t="n">
        <f aca="false">Assumptions!K16</f>
        <v>0.38</v>
      </c>
      <c r="L23" s="4" t="n">
        <f aca="false">Assumptions!L16</f>
        <v>0.38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-547.537837632</v>
      </c>
      <c r="D24" s="0" t="n">
        <f aca="false">-D6*D23/100</f>
        <v>-525.63632412672</v>
      </c>
      <c r="E24" s="0" t="n">
        <f aca="false">-E6*E23/100</f>
        <v>-509.867234402918</v>
      </c>
      <c r="F24" s="0" t="n">
        <f aca="false">-F6*F23/100</f>
        <v>-499.66988971486</v>
      </c>
      <c r="G24" s="0" t="n">
        <f aca="false">-G6*G23/100</f>
        <v>-494.673190817711</v>
      </c>
      <c r="H24" s="0" t="n">
        <f aca="false">-H6*H23/100</f>
        <v>-494.673190817711</v>
      </c>
      <c r="I24" s="0" t="n">
        <f aca="false">-I6*I23/100</f>
        <v>-497.1465567718</v>
      </c>
      <c r="J24" s="0" t="n">
        <f aca="false">-J6*J23/100</f>
        <v>-502.118022339518</v>
      </c>
      <c r="K24" s="0" t="n">
        <f aca="false">-K6*K23/100</f>
        <v>-507.139202562913</v>
      </c>
      <c r="L24" s="0" t="n">
        <f aca="false">-L6*L23/100</f>
        <v>-512.210594588542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8053.25257055959</v>
      </c>
    </row>
    <row r="31" customFormat="false" ht="15" hidden="false" customHeight="false" outlineLevel="0" collapsed="false">
      <c r="A31" s="0" t="s">
        <v>127</v>
      </c>
      <c r="B31" s="0" t="n">
        <f aca="false">L19</f>
        <v>1962.57533084452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26298.5094333166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15700.6026467562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15700.6026467562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7272.41690498261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15325.6694755422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46026.9694755422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7.78921032580092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0.909120177892381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7.78921032580092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13602.6772930948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6.66348790235977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-2.5</v>
      </c>
      <c r="D5" s="4" t="n">
        <f aca="false">Assumptions!D27</f>
        <v>-1</v>
      </c>
      <c r="E5" s="4" t="n">
        <f aca="false">Assumptions!E27</f>
        <v>0.5</v>
      </c>
      <c r="F5" s="4" t="n">
        <f aca="false">Assumptions!F27</f>
        <v>1.5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150092.609</v>
      </c>
      <c r="C6" s="0" t="n">
        <f aca="false">B6*(1+C5/100)</f>
        <v>146340.293775</v>
      </c>
      <c r="D6" s="0" t="n">
        <f aca="false">C6*(1+D5/100)</f>
        <v>144876.89083725</v>
      </c>
      <c r="E6" s="0" t="n">
        <f aca="false">D6*(1+E5/100)</f>
        <v>145601.275291436</v>
      </c>
      <c r="F6" s="0" t="n">
        <f aca="false">E6*(1+F5/100)</f>
        <v>147785.294420808</v>
      </c>
      <c r="G6" s="0" t="n">
        <f aca="false">F6*(1+G5/100)</f>
        <v>150741.000309224</v>
      </c>
      <c r="H6" s="0" t="n">
        <f aca="false">G6*(1+H5/100)</f>
        <v>153755.820315408</v>
      </c>
      <c r="I6" s="0" t="n">
        <f aca="false">H6*(1+I5/100)</f>
        <v>156830.936721717</v>
      </c>
      <c r="J6" s="0" t="n">
        <f aca="false">I6*(1+J5/100)</f>
        <v>159967.555456151</v>
      </c>
      <c r="K6" s="0" t="n">
        <f aca="false">J6*(1+K5/100)</f>
        <v>163166.906565274</v>
      </c>
      <c r="L6" s="0" t="n">
        <f aca="false">K6*(1+L5/100)</f>
        <v>166430.244696579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3.25</v>
      </c>
      <c r="D7" s="4" t="n">
        <f aca="false">Assumptions!D28</f>
        <v>3.3</v>
      </c>
      <c r="E7" s="4" t="n">
        <f aca="false">Assumptions!E28</f>
        <v>3.35</v>
      </c>
      <c r="F7" s="4" t="n">
        <f aca="false">Assumptions!F28</f>
        <v>3.4</v>
      </c>
      <c r="G7" s="4" t="n">
        <f aca="false">Assumptions!G28</f>
        <v>3.4</v>
      </c>
      <c r="H7" s="4" t="n">
        <f aca="false">Assumptions!H28</f>
        <v>3.4</v>
      </c>
      <c r="I7" s="4" t="n">
        <f aca="false">Assumptions!I28</f>
        <v>3.4</v>
      </c>
      <c r="J7" s="4" t="n">
        <f aca="false">Assumptions!J28</f>
        <v>3.4</v>
      </c>
      <c r="K7" s="4" t="n">
        <f aca="false">Assumptions!K28</f>
        <v>3.4</v>
      </c>
      <c r="L7" s="4" t="n">
        <f aca="false">Assumptions!L28</f>
        <v>3.4</v>
      </c>
    </row>
    <row r="8" customFormat="false" ht="15" hidden="false" customHeight="false" outlineLevel="0" collapsed="false">
      <c r="A8" s="0" t="s">
        <v>44</v>
      </c>
      <c r="C8" s="0" t="n">
        <f aca="false">C6*C7/100</f>
        <v>4756.0595476875</v>
      </c>
      <c r="D8" s="0" t="n">
        <f aca="false">D6*D7/100</f>
        <v>4780.93739762925</v>
      </c>
      <c r="E8" s="0" t="n">
        <f aca="false">E6*E7/100</f>
        <v>4877.64272226311</v>
      </c>
      <c r="F8" s="0" t="n">
        <f aca="false">F6*F7/100</f>
        <v>5024.70001030746</v>
      </c>
      <c r="G8" s="0" t="n">
        <f aca="false">G6*G7/100</f>
        <v>5125.19401051361</v>
      </c>
      <c r="H8" s="0" t="n">
        <f aca="false">H6*H7/100</f>
        <v>5227.69789072388</v>
      </c>
      <c r="I8" s="0" t="n">
        <f aca="false">I6*I7/100</f>
        <v>5332.25184853836</v>
      </c>
      <c r="J8" s="0" t="n">
        <f aca="false">J6*J7/100</f>
        <v>5438.89688550913</v>
      </c>
      <c r="K8" s="0" t="n">
        <f aca="false">K6*K7/100</f>
        <v>5547.67482321931</v>
      </c>
      <c r="L8" s="0" t="n">
        <f aca="false">L6*L7/100</f>
        <v>5658.6283196837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4199.9664313425</v>
      </c>
      <c r="D11" s="0" t="n">
        <f aca="false">D8+D10+D24</f>
        <v>4230.4052124477</v>
      </c>
      <c r="E11" s="0" t="n">
        <f aca="false">E8+E10+E24</f>
        <v>4324.35787615566</v>
      </c>
      <c r="F11" s="0" t="n">
        <f aca="false">F8+F10+F24</f>
        <v>4463.11589150839</v>
      </c>
      <c r="G11" s="0" t="n">
        <f aca="false">G8+G10+G24</f>
        <v>4552.37820933856</v>
      </c>
      <c r="H11" s="0" t="n">
        <f aca="false">H8+H10+H24</f>
        <v>4643.42577352533</v>
      </c>
      <c r="I11" s="0" t="n">
        <f aca="false">I8+I10+I24</f>
        <v>4736.29428899584</v>
      </c>
      <c r="J11" s="0" t="n">
        <f aca="false">J8+J10+J24</f>
        <v>4831.02017477576</v>
      </c>
      <c r="K11" s="0" t="n">
        <f aca="false">K8+K10+K24</f>
        <v>4927.64057827127</v>
      </c>
      <c r="L11" s="0" t="n">
        <f aca="false">L8+L10+L24</f>
        <v>5026.1933898367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-980.4799682925</v>
      </c>
      <c r="D12" s="4" t="n">
        <f aca="false">-D6*Assumptions!D31/100</f>
        <v>-970.675168609575</v>
      </c>
      <c r="E12" s="4" t="n">
        <f aca="false">-E6*Assumptions!E31/100</f>
        <v>-975.528544452623</v>
      </c>
      <c r="F12" s="4" t="n">
        <f aca="false">-F6*Assumptions!F31/100</f>
        <v>-990.161472619412</v>
      </c>
      <c r="G12" s="4" t="n">
        <f aca="false">-G6*Assumptions!G31/100</f>
        <v>-1009.9647020718</v>
      </c>
      <c r="H12" s="4" t="n">
        <f aca="false">-H6*Assumptions!H31/100</f>
        <v>-1030.16399611324</v>
      </c>
      <c r="I12" s="4" t="n">
        <f aca="false">-I6*Assumptions!I31/100</f>
        <v>-1050.7672760355</v>
      </c>
      <c r="J12" s="4" t="n">
        <f aca="false">-J6*Assumptions!J31/100</f>
        <v>-1071.78262155621</v>
      </c>
      <c r="K12" s="4" t="n">
        <f aca="false">-K6*Assumptions!K31/100</f>
        <v>-1093.21827398734</v>
      </c>
      <c r="L12" s="4" t="n">
        <f aca="false">-L6*Assumptions!L31/100</f>
        <v>-1115.08263946708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3219.48646305</v>
      </c>
      <c r="D13" s="0" t="n">
        <f aca="false">D11+D12</f>
        <v>3259.73004383812</v>
      </c>
      <c r="E13" s="0" t="n">
        <f aca="false">E11+E12</f>
        <v>3348.82933170303</v>
      </c>
      <c r="F13" s="0" t="n">
        <f aca="false">F11+F12</f>
        <v>3472.95441888898</v>
      </c>
      <c r="G13" s="0" t="n">
        <f aca="false">G11+G12</f>
        <v>3542.41350726676</v>
      </c>
      <c r="H13" s="0" t="n">
        <f aca="false">H11+H12</f>
        <v>3613.2617774121</v>
      </c>
      <c r="I13" s="0" t="n">
        <f aca="false">I11+I12</f>
        <v>3685.52701296034</v>
      </c>
      <c r="J13" s="0" t="n">
        <f aca="false">J11+J12</f>
        <v>3759.23755321955</v>
      </c>
      <c r="K13" s="0" t="n">
        <f aca="false">K11+K12</f>
        <v>3834.42230428394</v>
      </c>
      <c r="L13" s="0" t="n">
        <f aca="false">L11+L12</f>
        <v>3911.11075036962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15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2736.5634935925</v>
      </c>
      <c r="D15" s="0" t="n">
        <f aca="false">D13-MAX(0,D13)*D14/100</f>
        <v>2770.77053726241</v>
      </c>
      <c r="E15" s="0" t="n">
        <f aca="false">E13-MAX(0,E13)*E14/100</f>
        <v>2846.50493194758</v>
      </c>
      <c r="F15" s="0" t="n">
        <f aca="false">F13-MAX(0,F13)*F14/100</f>
        <v>2952.01125605564</v>
      </c>
      <c r="G15" s="0" t="n">
        <f aca="false">G13-MAX(0,G13)*G14/100</f>
        <v>3011.05148117675</v>
      </c>
      <c r="H15" s="0" t="n">
        <f aca="false">H13-MAX(0,H13)*H14/100</f>
        <v>3071.27251080028</v>
      </c>
      <c r="I15" s="0" t="n">
        <f aca="false">I13-MAX(0,I13)*I14/100</f>
        <v>3132.69796101629</v>
      </c>
      <c r="J15" s="0" t="n">
        <f aca="false">J13-MAX(0,J13)*J14/100</f>
        <v>3195.35192023661</v>
      </c>
      <c r="K15" s="0" t="n">
        <f aca="false">K13-MAX(0,K13)*K14/100</f>
        <v>3259.25895864135</v>
      </c>
      <c r="L15" s="0" t="n">
        <f aca="false">L13-MAX(0,L13)*L14/100</f>
        <v>3324.44413781417</v>
      </c>
    </row>
    <row r="16" customFormat="false" ht="15" hidden="false" customHeight="false" outlineLevel="0" collapsed="false">
      <c r="A16" s="0" t="s">
        <v>118</v>
      </c>
      <c r="C16" s="0" t="n">
        <f aca="false">-C12</f>
        <v>980.4799682925</v>
      </c>
      <c r="D16" s="0" t="n">
        <f aca="false">-D12</f>
        <v>970.675168609575</v>
      </c>
      <c r="E16" s="0" t="n">
        <f aca="false">-E12</f>
        <v>975.528544452623</v>
      </c>
      <c r="F16" s="0" t="n">
        <f aca="false">-F12</f>
        <v>990.161472619412</v>
      </c>
      <c r="G16" s="0" t="n">
        <f aca="false">-G12</f>
        <v>1009.9647020718</v>
      </c>
      <c r="H16" s="0" t="n">
        <f aca="false">-H12</f>
        <v>1030.16399611324</v>
      </c>
      <c r="I16" s="0" t="n">
        <f aca="false">-I12</f>
        <v>1050.7672760355</v>
      </c>
      <c r="J16" s="0" t="n">
        <f aca="false">-J12</f>
        <v>1071.78262155621</v>
      </c>
      <c r="K16" s="0" t="n">
        <f aca="false">-K12</f>
        <v>1093.21827398734</v>
      </c>
      <c r="L16" s="0" t="n">
        <f aca="false">-L12</f>
        <v>1115.08263946708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-2780.465581725</v>
      </c>
      <c r="D17" s="4" t="n">
        <f aca="false">-D6*Assumptions!D32/100</f>
        <v>-869.2613450235</v>
      </c>
      <c r="E17" s="4" t="n">
        <f aca="false">-E6*Assumptions!E32/100</f>
        <v>-873.607651748617</v>
      </c>
      <c r="F17" s="4" t="n">
        <f aca="false">-F6*Assumptions!F32/100</f>
        <v>-886.711766524846</v>
      </c>
      <c r="G17" s="4" t="n">
        <f aca="false">-G6*Assumptions!G32/100</f>
        <v>-904.446001855343</v>
      </c>
      <c r="H17" s="4" t="n">
        <f aca="false">-H6*Assumptions!H32/100</f>
        <v>-922.53492189245</v>
      </c>
      <c r="I17" s="4" t="n">
        <f aca="false">-I6*Assumptions!I32/100</f>
        <v>-940.985620330299</v>
      </c>
      <c r="J17" s="4" t="n">
        <f aca="false">-J6*Assumptions!J32/100</f>
        <v>-959.805332736905</v>
      </c>
      <c r="K17" s="4" t="n">
        <f aca="false">-K6*Assumptions!K32/100</f>
        <v>-979.001439391643</v>
      </c>
      <c r="L17" s="4" t="n">
        <f aca="false">-L6*Assumptions!L32/100</f>
        <v>-998.581468179476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936.57788016</v>
      </c>
      <c r="D19" s="0" t="n">
        <f aca="false">D15+D16+D17+D18</f>
        <v>2872.18436084848</v>
      </c>
      <c r="E19" s="0" t="n">
        <f aca="false">E15+E16+E17+E18</f>
        <v>2948.42582465158</v>
      </c>
      <c r="F19" s="0" t="n">
        <f aca="false">F15+F16+F17+F18</f>
        <v>3055.4609621502</v>
      </c>
      <c r="G19" s="0" t="n">
        <f aca="false">G15+G16+G17+G18</f>
        <v>3116.5701813932</v>
      </c>
      <c r="H19" s="0" t="n">
        <f aca="false">H15+H16+H17+H18</f>
        <v>3178.90158502107</v>
      </c>
      <c r="I19" s="0" t="n">
        <f aca="false">I15+I16+I17+I18</f>
        <v>3242.47961672149</v>
      </c>
      <c r="J19" s="0" t="n">
        <f aca="false">J15+J16+J17+J18</f>
        <v>3307.32920905592</v>
      </c>
      <c r="K19" s="0" t="n">
        <f aca="false">K15+K16+K17+K18</f>
        <v>3373.47579323704</v>
      </c>
      <c r="L19" s="0" t="n">
        <f aca="false">L15+L16+L17+L18</f>
        <v>3440.94530910178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867.201740888889</v>
      </c>
      <c r="D21" s="0" t="n">
        <f aca="false">D19*D20</f>
        <v>2462.43515161907</v>
      </c>
      <c r="E21" s="0" t="n">
        <f aca="false">E19*E20</f>
        <v>2340.55547986491</v>
      </c>
      <c r="F21" s="0" t="n">
        <f aca="false">F19*F20</f>
        <v>2245.85502123457</v>
      </c>
      <c r="G21" s="0" t="n">
        <f aca="false">G19*G20</f>
        <v>2121.08529783265</v>
      </c>
      <c r="H21" s="0" t="n">
        <f aca="false">H19*H20</f>
        <v>2003.24722573084</v>
      </c>
      <c r="I21" s="0" t="n">
        <f aca="false">I19*I20</f>
        <v>1891.95571319023</v>
      </c>
      <c r="J21" s="0" t="n">
        <f aca="false">J19*J20</f>
        <v>1786.84706245744</v>
      </c>
      <c r="K21" s="0" t="n">
        <f aca="false">K19*K20</f>
        <v>1687.57778120981</v>
      </c>
      <c r="L21" s="0" t="n">
        <f aca="false">L19*L20</f>
        <v>1593.82346003148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0.38</v>
      </c>
      <c r="D23" s="4" t="n">
        <f aca="false">Assumptions!D30</f>
        <v>0.38</v>
      </c>
      <c r="E23" s="4" t="n">
        <f aca="false">Assumptions!E30</f>
        <v>0.38</v>
      </c>
      <c r="F23" s="4" t="n">
        <f aca="false">Assumptions!F30</f>
        <v>0.38</v>
      </c>
      <c r="G23" s="4" t="n">
        <f aca="false">Assumptions!G30</f>
        <v>0.38</v>
      </c>
      <c r="H23" s="4" t="n">
        <f aca="false">Assumptions!H30</f>
        <v>0.38</v>
      </c>
      <c r="I23" s="4" t="n">
        <f aca="false">Assumptions!I30</f>
        <v>0.38</v>
      </c>
      <c r="J23" s="4" t="n">
        <f aca="false">Assumptions!J30</f>
        <v>0.38</v>
      </c>
      <c r="K23" s="4" t="n">
        <f aca="false">Assumptions!K30</f>
        <v>0.38</v>
      </c>
      <c r="L23" s="4" t="n">
        <f aca="false">Assumptions!L30</f>
        <v>0.38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-556.093116345</v>
      </c>
      <c r="D24" s="0" t="n">
        <f aca="false">-D6*D23/100</f>
        <v>-550.53218518155</v>
      </c>
      <c r="E24" s="0" t="n">
        <f aca="false">-E6*E23/100</f>
        <v>-553.284846107458</v>
      </c>
      <c r="F24" s="0" t="n">
        <f aca="false">-F6*F23/100</f>
        <v>-561.584118799069</v>
      </c>
      <c r="G24" s="0" t="n">
        <f aca="false">-G6*G23/100</f>
        <v>-572.815801175051</v>
      </c>
      <c r="H24" s="0" t="n">
        <f aca="false">-H6*H23/100</f>
        <v>-584.272117198552</v>
      </c>
      <c r="I24" s="0" t="n">
        <f aca="false">-I6*I23/100</f>
        <v>-595.957559542523</v>
      </c>
      <c r="J24" s="0" t="n">
        <f aca="false">-J6*J23/100</f>
        <v>-607.876710733373</v>
      </c>
      <c r="K24" s="0" t="n">
        <f aca="false">-K6*K23/100</f>
        <v>-620.034244948041</v>
      </c>
      <c r="L24" s="0" t="n">
        <f aca="false">-L6*L23/100</f>
        <v>-632.434929847002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19000.5839340599</v>
      </c>
    </row>
    <row r="31" customFormat="false" ht="15" hidden="false" customHeight="false" outlineLevel="0" collapsed="false">
      <c r="A31" s="0" t="s">
        <v>127</v>
      </c>
      <c r="B31" s="0" t="n">
        <f aca="false">L19</f>
        <v>3440.94530910178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53731.6844421278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34409.4530910178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34409.4530910178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15938.2346003148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34938.8185343747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65640.1185343747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11.1083717850777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1.72264014340141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11.1083717850777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25870.8110276911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8.5971992251808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-1.5</v>
      </c>
      <c r="D5" s="4" t="n">
        <f aca="false">Assumptions!D41</f>
        <v>1.5</v>
      </c>
      <c r="E5" s="4" t="n">
        <f aca="false">Assumptions!E41</f>
        <v>3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150092.609</v>
      </c>
      <c r="C6" s="0" t="n">
        <f aca="false">B6*(1+C5/100)</f>
        <v>147841.219865</v>
      </c>
      <c r="D6" s="0" t="n">
        <f aca="false">C6*(1+D5/100)</f>
        <v>150058.838162975</v>
      </c>
      <c r="E6" s="0" t="n">
        <f aca="false">D6*(1+E5/100)</f>
        <v>154560.603307864</v>
      </c>
      <c r="F6" s="0" t="n">
        <f aca="false">E6*(1+F5/100)</f>
        <v>160743.027440179</v>
      </c>
      <c r="G6" s="0" t="n">
        <f aca="false">F6*(1+G5/100)</f>
        <v>167172.748537786</v>
      </c>
      <c r="H6" s="0" t="n">
        <f aca="false">G6*(1+H5/100)</f>
        <v>173023.794736608</v>
      </c>
      <c r="I6" s="0" t="n">
        <f aca="false">H6*(1+I5/100)</f>
        <v>178214.508578707</v>
      </c>
      <c r="J6" s="0" t="n">
        <f aca="false">I6*(1+J5/100)</f>
        <v>183560.943836068</v>
      </c>
      <c r="K6" s="0" t="n">
        <f aca="false">J6*(1+K5/100)</f>
        <v>188149.96743197</v>
      </c>
      <c r="L6" s="0" t="n">
        <f aca="false">K6*(1+L5/100)</f>
        <v>192853.716617769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3.3</v>
      </c>
      <c r="D7" s="4" t="n">
        <f aca="false">Assumptions!D42</f>
        <v>3.45</v>
      </c>
      <c r="E7" s="4" t="n">
        <f aca="false">Assumptions!E42</f>
        <v>3.6</v>
      </c>
      <c r="F7" s="4" t="n">
        <f aca="false">Assumptions!F42</f>
        <v>3.7</v>
      </c>
      <c r="G7" s="4" t="n">
        <f aca="false">Assumptions!G42</f>
        <v>3.8</v>
      </c>
      <c r="H7" s="4" t="n">
        <f aca="false">Assumptions!H42</f>
        <v>3.85</v>
      </c>
      <c r="I7" s="4" t="n">
        <f aca="false">Assumptions!I42</f>
        <v>3.9</v>
      </c>
      <c r="J7" s="4" t="n">
        <f aca="false">Assumptions!J42</f>
        <v>3.9</v>
      </c>
      <c r="K7" s="4" t="n">
        <f aca="false">Assumptions!K42</f>
        <v>3.9</v>
      </c>
      <c r="L7" s="4" t="n">
        <f aca="false">Assumptions!L42</f>
        <v>3.9</v>
      </c>
    </row>
    <row r="8" customFormat="false" ht="15" hidden="false" customHeight="false" outlineLevel="0" collapsed="false">
      <c r="A8" s="0" t="s">
        <v>44</v>
      </c>
      <c r="C8" s="0" t="n">
        <f aca="false">C6*C7/100</f>
        <v>4878.760255545</v>
      </c>
      <c r="D8" s="0" t="n">
        <f aca="false">D6*D7/100</f>
        <v>5177.02991662264</v>
      </c>
      <c r="E8" s="0" t="n">
        <f aca="false">E6*E7/100</f>
        <v>5564.18171908311</v>
      </c>
      <c r="F8" s="0" t="n">
        <f aca="false">F6*F7/100</f>
        <v>5947.49201528662</v>
      </c>
      <c r="G8" s="0" t="n">
        <f aca="false">G6*G7/100</f>
        <v>6352.56444443587</v>
      </c>
      <c r="H8" s="0" t="n">
        <f aca="false">H6*H7/100</f>
        <v>6661.41609735943</v>
      </c>
      <c r="I8" s="0" t="n">
        <f aca="false">I6*I7/100</f>
        <v>6950.36583456956</v>
      </c>
      <c r="J8" s="0" t="n">
        <f aca="false">J6*J7/100</f>
        <v>7158.87680960665</v>
      </c>
      <c r="K8" s="0" t="n">
        <f aca="false">K6*K7/100</f>
        <v>7337.84872984681</v>
      </c>
      <c r="L8" s="0" t="n">
        <f aca="false">L6*L7/100</f>
        <v>7521.29494809298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4316.963620058</v>
      </c>
      <c r="D11" s="0" t="n">
        <f aca="false">D8+D10+D24</f>
        <v>4606.80633160333</v>
      </c>
      <c r="E11" s="0" t="n">
        <f aca="false">E8+E10+E24</f>
        <v>4976.85142651323</v>
      </c>
      <c r="F11" s="0" t="n">
        <f aca="false">F8+F10+F24</f>
        <v>5336.66851101394</v>
      </c>
      <c r="G11" s="0" t="n">
        <f aca="false">G8+G10+G24</f>
        <v>5717.30799999228</v>
      </c>
      <c r="H11" s="0" t="n">
        <f aca="false">H8+H10+H24</f>
        <v>6003.92567736031</v>
      </c>
      <c r="I11" s="0" t="n">
        <f aca="false">I8+I10+I24</f>
        <v>6273.15070197048</v>
      </c>
      <c r="J11" s="0" t="n">
        <f aca="false">J8+J10+J24</f>
        <v>6461.34522302959</v>
      </c>
      <c r="K11" s="0" t="n">
        <f aca="false">K8+K10+K24</f>
        <v>6622.87885360533</v>
      </c>
      <c r="L11" s="0" t="n">
        <f aca="false">L8+L10+L24</f>
        <v>6788.45082494546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-990.5361730955</v>
      </c>
      <c r="D12" s="4" t="n">
        <f aca="false">-D6*Assumptions!D45/100</f>
        <v>-1005.39421569193</v>
      </c>
      <c r="E12" s="4" t="n">
        <f aca="false">-E6*Assumptions!E45/100</f>
        <v>-1035.55604216269</v>
      </c>
      <c r="F12" s="4" t="n">
        <f aca="false">-F6*Assumptions!F45/100</f>
        <v>-1076.9782838492</v>
      </c>
      <c r="G12" s="4" t="n">
        <f aca="false">-G6*Assumptions!G45/100</f>
        <v>-1120.05741520317</v>
      </c>
      <c r="H12" s="4" t="n">
        <f aca="false">-H6*Assumptions!H45/100</f>
        <v>-1159.25942473528</v>
      </c>
      <c r="I12" s="4" t="n">
        <f aca="false">-I6*Assumptions!I45/100</f>
        <v>-1194.03720747734</v>
      </c>
      <c r="J12" s="4" t="n">
        <f aca="false">-J6*Assumptions!J45/100</f>
        <v>-1229.85832370166</v>
      </c>
      <c r="K12" s="4" t="n">
        <f aca="false">-K6*Assumptions!K45/100</f>
        <v>-1260.6047817942</v>
      </c>
      <c r="L12" s="4" t="n">
        <f aca="false">-L6*Assumptions!L45/100</f>
        <v>-1292.11990133905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3326.4274469625</v>
      </c>
      <c r="D13" s="0" t="n">
        <f aca="false">D11+D12</f>
        <v>3601.4121159114</v>
      </c>
      <c r="E13" s="0" t="n">
        <f aca="false">E11+E12</f>
        <v>3941.29538435054</v>
      </c>
      <c r="F13" s="0" t="n">
        <f aca="false">F11+F12</f>
        <v>4259.69022716474</v>
      </c>
      <c r="G13" s="0" t="n">
        <f aca="false">G11+G12</f>
        <v>4597.25058478911</v>
      </c>
      <c r="H13" s="0" t="n">
        <f aca="false">H11+H12</f>
        <v>4844.66625262504</v>
      </c>
      <c r="I13" s="0" t="n">
        <f aca="false">I11+I12</f>
        <v>5079.11349449314</v>
      </c>
      <c r="J13" s="0" t="n">
        <f aca="false">J11+J12</f>
        <v>5231.48689932794</v>
      </c>
      <c r="K13" s="0" t="n">
        <f aca="false">K11+K12</f>
        <v>5362.27407181113</v>
      </c>
      <c r="L13" s="0" t="n">
        <f aca="false">L11+L12</f>
        <v>5496.33092360641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2827.46332991812</v>
      </c>
      <c r="D15" s="0" t="n">
        <f aca="false">D13-MAX(0,D13)*D14/100</f>
        <v>3061.20029852469</v>
      </c>
      <c r="E15" s="0" t="n">
        <f aca="false">E13-MAX(0,E13)*E14/100</f>
        <v>3350.10107669796</v>
      </c>
      <c r="F15" s="0" t="n">
        <f aca="false">F13-MAX(0,F13)*F14/100</f>
        <v>3620.73669309003</v>
      </c>
      <c r="G15" s="0" t="n">
        <f aca="false">G13-MAX(0,G13)*G14/100</f>
        <v>3907.66299707075</v>
      </c>
      <c r="H15" s="0" t="n">
        <f aca="false">H13-MAX(0,H13)*H14/100</f>
        <v>4117.96631473128</v>
      </c>
      <c r="I15" s="0" t="n">
        <f aca="false">I13-MAX(0,I13)*I14/100</f>
        <v>4317.24647031917</v>
      </c>
      <c r="J15" s="0" t="n">
        <f aca="false">J13-MAX(0,J13)*J14/100</f>
        <v>4446.76386442875</v>
      </c>
      <c r="K15" s="0" t="n">
        <f aca="false">K13-MAX(0,K13)*K14/100</f>
        <v>4557.93296103946</v>
      </c>
      <c r="L15" s="0" t="n">
        <f aca="false">L13-MAX(0,L13)*L14/100</f>
        <v>4671.88128506545</v>
      </c>
    </row>
    <row r="16" customFormat="false" ht="15" hidden="false" customHeight="false" outlineLevel="0" collapsed="false">
      <c r="A16" s="0" t="s">
        <v>118</v>
      </c>
      <c r="C16" s="0" t="n">
        <f aca="false">-C12</f>
        <v>990.5361730955</v>
      </c>
      <c r="D16" s="0" t="n">
        <f aca="false">-D12</f>
        <v>1005.39421569193</v>
      </c>
      <c r="E16" s="0" t="n">
        <f aca="false">-E12</f>
        <v>1035.55604216269</v>
      </c>
      <c r="F16" s="0" t="n">
        <f aca="false">-F12</f>
        <v>1076.9782838492</v>
      </c>
      <c r="G16" s="0" t="n">
        <f aca="false">-G12</f>
        <v>1120.05741520317</v>
      </c>
      <c r="H16" s="0" t="n">
        <f aca="false">-H12</f>
        <v>1159.25942473528</v>
      </c>
      <c r="I16" s="0" t="n">
        <f aca="false">-I12</f>
        <v>1194.03720747734</v>
      </c>
      <c r="J16" s="0" t="n">
        <f aca="false">-J12</f>
        <v>1229.85832370166</v>
      </c>
      <c r="K16" s="0" t="n">
        <f aca="false">-K12</f>
        <v>1260.6047817942</v>
      </c>
      <c r="L16" s="0" t="n">
        <f aca="false">-L12</f>
        <v>1292.11990133905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-1921.935858245</v>
      </c>
      <c r="D17" s="4" t="n">
        <f aca="false">-D6*Assumptions!D46/100</f>
        <v>-1050.41186714082</v>
      </c>
      <c r="E17" s="4" t="n">
        <f aca="false">-E6*Assumptions!E46/100</f>
        <v>-1081.92422315505</v>
      </c>
      <c r="F17" s="4" t="n">
        <f aca="false">-F6*Assumptions!F46/100</f>
        <v>-1125.20119208125</v>
      </c>
      <c r="G17" s="4" t="n">
        <f aca="false">-G6*Assumptions!G46/100</f>
        <v>-1170.2092397645</v>
      </c>
      <c r="H17" s="4" t="n">
        <f aca="false">-H6*Assumptions!H46/100</f>
        <v>-1211.16656315626</v>
      </c>
      <c r="I17" s="4" t="n">
        <f aca="false">-I6*Assumptions!I46/100</f>
        <v>-1247.50156005095</v>
      </c>
      <c r="J17" s="4" t="n">
        <f aca="false">-J6*Assumptions!J46/100</f>
        <v>-1284.92660685248</v>
      </c>
      <c r="K17" s="4" t="n">
        <f aca="false">-K6*Assumptions!K46/100</f>
        <v>-1317.04977202379</v>
      </c>
      <c r="L17" s="4" t="n">
        <f aca="false">-L6*Assumptions!L46/100</f>
        <v>-1349.97601632438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1896.06364476862</v>
      </c>
      <c r="D19" s="0" t="n">
        <f aca="false">D15+D16+D17+D18</f>
        <v>3016.1826470758</v>
      </c>
      <c r="E19" s="0" t="n">
        <f aca="false">E15+E16+E17+E18</f>
        <v>3303.7328957056</v>
      </c>
      <c r="F19" s="0" t="n">
        <f aca="false">F15+F16+F17+F18</f>
        <v>3572.51378485797</v>
      </c>
      <c r="G19" s="0" t="n">
        <f aca="false">G15+G16+G17+G18</f>
        <v>3857.51117250941</v>
      </c>
      <c r="H19" s="0" t="n">
        <f aca="false">H15+H16+H17+H18</f>
        <v>4066.0591763103</v>
      </c>
      <c r="I19" s="0" t="n">
        <f aca="false">I15+I16+I17+I18</f>
        <v>4263.78211774556</v>
      </c>
      <c r="J19" s="0" t="n">
        <f aca="false">J15+J16+J17+J18</f>
        <v>4391.69558127793</v>
      </c>
      <c r="K19" s="0" t="n">
        <f aca="false">K15+K16+K17+K18</f>
        <v>4501.48797080987</v>
      </c>
      <c r="L19" s="0" t="n">
        <f aca="false">L15+L16+L17+L18</f>
        <v>4614.02517008012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1755.61448589687</v>
      </c>
      <c r="D21" s="0" t="n">
        <f aca="false">D19*D20</f>
        <v>2585.89047245867</v>
      </c>
      <c r="E21" s="0" t="n">
        <f aca="false">E19*E20</f>
        <v>2622.60968833003</v>
      </c>
      <c r="F21" s="0" t="n">
        <f aca="false">F19*F20</f>
        <v>2625.90428139746</v>
      </c>
      <c r="G21" s="0" t="n">
        <f aca="false">G19*G20</f>
        <v>2625.35728637988</v>
      </c>
      <c r="H21" s="0" t="n">
        <f aca="false">H19*H20</f>
        <v>2562.30699402008</v>
      </c>
      <c r="I21" s="0" t="n">
        <f aca="false">I19*I20</f>
        <v>2487.87591319497</v>
      </c>
      <c r="J21" s="0" t="n">
        <f aca="false">J19*J20</f>
        <v>2372.69647276928</v>
      </c>
      <c r="K21" s="0" t="n">
        <f aca="false">K19*K20</f>
        <v>2251.86470795233</v>
      </c>
      <c r="L21" s="0" t="n">
        <f aca="false">L19*L20</f>
        <v>2137.18641263994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0.38</v>
      </c>
      <c r="D23" s="4" t="n">
        <f aca="false">Assumptions!D44</f>
        <v>0.38</v>
      </c>
      <c r="E23" s="4" t="n">
        <f aca="false">Assumptions!E44</f>
        <v>0.38</v>
      </c>
      <c r="F23" s="4" t="n">
        <f aca="false">Assumptions!F44</f>
        <v>0.38</v>
      </c>
      <c r="G23" s="4" t="n">
        <f aca="false">Assumptions!G44</f>
        <v>0.38</v>
      </c>
      <c r="H23" s="4" t="n">
        <f aca="false">Assumptions!H44</f>
        <v>0.38</v>
      </c>
      <c r="I23" s="4" t="n">
        <f aca="false">Assumptions!I44</f>
        <v>0.38</v>
      </c>
      <c r="J23" s="4" t="n">
        <f aca="false">Assumptions!J44</f>
        <v>0.38</v>
      </c>
      <c r="K23" s="4" t="n">
        <f aca="false">Assumptions!K44</f>
        <v>0.38</v>
      </c>
      <c r="L23" s="4" t="n">
        <f aca="false">Assumptions!L44</f>
        <v>0.38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-561.796635487</v>
      </c>
      <c r="D24" s="0" t="n">
        <f aca="false">-D6*D23/100</f>
        <v>-570.223585019305</v>
      </c>
      <c r="E24" s="0" t="n">
        <f aca="false">-E6*E23/100</f>
        <v>-587.330292569884</v>
      </c>
      <c r="F24" s="0" t="n">
        <f aca="false">-F6*F23/100</f>
        <v>-610.823504272679</v>
      </c>
      <c r="G24" s="0" t="n">
        <f aca="false">-G6*G23/100</f>
        <v>-635.256444443587</v>
      </c>
      <c r="H24" s="0" t="n">
        <f aca="false">-H6*H23/100</f>
        <v>-657.490419999112</v>
      </c>
      <c r="I24" s="0" t="n">
        <f aca="false">-I6*I23/100</f>
        <v>-677.215132599086</v>
      </c>
      <c r="J24" s="0" t="n">
        <f aca="false">-J6*J23/100</f>
        <v>-697.531586577058</v>
      </c>
      <c r="K24" s="0" t="n">
        <f aca="false">-K6*K23/100</f>
        <v>-714.969876241485</v>
      </c>
      <c r="L24" s="0" t="n">
        <f aca="false">-L6*L23/100</f>
        <v>-732.844123147522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24027.3067150395</v>
      </c>
    </row>
    <row r="31" customFormat="false" ht="15" hidden="false" customHeight="false" outlineLevel="0" collapsed="false">
      <c r="A31" s="0" t="s">
        <v>127</v>
      </c>
      <c r="B31" s="0" t="n">
        <f aca="false">L19</f>
        <v>4614.02517008012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78438.427891362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55368.3020409614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55368.3020409614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25646.2369516793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49673.5436667188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80374.8436667188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13.6019505380669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2.33381140638895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13.6019505380669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36202.3513344748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9.63411940416437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7.78921032580092</v>
      </c>
      <c r="C4" s="0" t="n">
        <f aca="false">B4/Assumptions!$B$2-1</f>
        <v>0.909120177892381</v>
      </c>
      <c r="D4" s="4" t="n">
        <f aca="false">Assumptions!$B$24</f>
        <v>0.3</v>
      </c>
      <c r="E4" s="4" t="n">
        <f aca="false">DCF_Bear!$B$43</f>
        <v>7.78921032580092</v>
      </c>
      <c r="F4" s="4" t="n">
        <f aca="false">DCF_Bear!$B$47</f>
        <v>6.66348790235977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11.1083717850777</v>
      </c>
      <c r="C5" s="0" t="n">
        <f aca="false">B5/Assumptions!$B$2-1</f>
        <v>1.72264014340141</v>
      </c>
      <c r="D5" s="4" t="n">
        <f aca="false">Assumptions!$B$38</f>
        <v>0.5</v>
      </c>
      <c r="E5" s="4" t="n">
        <f aca="false">DCF_Base!$B$43</f>
        <v>11.1083717850777</v>
      </c>
      <c r="F5" s="4" t="n">
        <f aca="false">DCF_Base!$B$47</f>
        <v>8.5971992251808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13.6019505380669</v>
      </c>
      <c r="C6" s="0" t="n">
        <f aca="false">B6/Assumptions!$B$2-1</f>
        <v>2.33381140638895</v>
      </c>
      <c r="D6" s="4" t="n">
        <f aca="false">Assumptions!$B$52</f>
        <v>0.2</v>
      </c>
      <c r="E6" s="4" t="n">
        <f aca="false">DCF_Bull!$B$43</f>
        <v>13.6019505380669</v>
      </c>
      <c r="F6" s="4" t="n">
        <f aca="false">DCF_Bull!$B$47</f>
        <v>9.63411940416437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10.6113390978925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10.6113390978925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0.615505643315997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8.2244698641312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11.1083717850777</v>
      </c>
      <c r="C15" s="3" t="n">
        <v>8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10.7149855608923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10.3550277448025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10.0252519270587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9.66026215742212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8.5971992251808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12.0104332086463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12.0104332086463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12.0104332086463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12.0104332086463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12.0104332086463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11.5388259401994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11.5388259401994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11.5388259401994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11.5388259401994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11.5388259401994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11.1083717850777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11.1083717850777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11.1083717850777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11.1083717850777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11.1083717850777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10.7149855608923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10.7149855608923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10.7149855608923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10.7149855608923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10.7149855608923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10.3550277448025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10.3550277448025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10.3550277448025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10.3550277448025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10.3550277448025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2026-10-10T22:59:47Z</dcterms:created>
  <dc:creator>openpyxl</dc:creator>
  <dc:description/>
  <dc:language>en-NZ</dc:language>
  <cp:lastModifiedBy/>
  <dcterms:modified xsi:type="dcterms:W3CDTF">2026-10-10T22:59:47Z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