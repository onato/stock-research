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<sst xmlns="http://schemas.openxmlformats.org/spreadsheetml/2006/main" count="384" uniqueCount="173">
  <si>
    <t xml:space="preserve">Ticker</t>
  </si>
  <si>
    <t xml:space="preserve">VRSK</t>
  </si>
  <si>
    <t xml:space="preserve">Company</t>
  </si>
  <si>
    <t xml:space="preserve">Verisk Analytics, Inc.</t>
  </si>
  <si>
    <t xml:space="preserve">Valuation date</t>
  </si>
  <si>
    <t xml:space="preserve">2026-10-03</t>
  </si>
  <si>
    <t xml:space="preserve">Current price</t>
  </si>
  <si>
    <t xml:space="preserve">Price as of</t>
  </si>
  <si>
    <t xml:space="preserve">2026-10-02T20:00:00Z regular close (Yahoo Finance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</si>
  <si>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</si>
  <si>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</si>
  <si>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</si>
  <si>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</si>
  <si>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</si>
  <si>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</si>
  <si>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</si>
  <si>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</si>
  <si>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</si>
  <si>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</si>
  <si>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</si>
  <si>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</si>
  <si>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2026-10-02T21:31:57Z</t>
  </si>
  <si>
    <t xml:space="preserve">Drivers file</t>
  </si>
  <si>
    <t xml:space="preserve">VRSK_Drivers.json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</si>
  <si>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</si>
  <si>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</si>
  <si>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</si>
  <si>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Verisk is valued as a mature, subscription-heavy data franchise on fully SBC-expensed unlevered owner FCF at an 8% USD WACC, with the FY2026 year anchored to reaffirmed guidance and later years to the Investor Day 6-8% organic / 25-75bps margin framework. Book value is meaningless (debt-funded buybacks created an equity deficit), so the revenue CAGR is the growth anchor. Risk is charged through scenario paths and a bear-tilted 25/50/25 weighting, not a WACC premium.
key_risks_to_valuation: AI commoditisation of proprietary insurance data/analytics (the central multiple debate); Claims-volume and soft-market cyclicality: four quarters of sub-target organic growth; AccuLynx: forced completion of a $2.35B deal Verisk tried to abandon; appeal pending at the Delaware Supreme Court, FTC Second Request open; Leverage: ~2.2x net debt/EBITDA after $1.9B of debt-funded H1-26 buybacks; Terminal value is ~64% of base EV; the 20x cap binds at an 8% WACC and 3% growth</t>
  </si>
  <si>
    <t xml:space="preserve">Data sources</t>
  </si>
  <si>
    <t xml:space="preserve">price: Yahoo Finance chart API at inputs.price_as_of; 52-week range 155.94-250.20
financials: VRSK_Metrics.csv (SEC XBRL, FY2009-Q1 2026); Q2-2026 10-Q (filed 2026-07-29, accession 0001437749-26-024749) for the 2026-06-30 balance sheet, debt table, ASR note and cover share count; Q2-2026 earnings release exhibit (accession 0001437749-26-024748) for FY2026 guidance and the adjusted-EBITDA definition; 8-K 2026-08-18 (AccuLynx appeal).
qualitative: VRSK_Analysis.json (2026-10-03)</t>
  </si>
  <si>
    <t xml:space="preserve">Scenario narrative: bear</t>
  </si>
  <si>
    <t xml:space="preserve">AI commoditises the non-regulatory analytics layer, core-system vendors (Guidewire) bundle substitute data, and a soft P&amp;C cycle plus quiet catastrophe years keep claims-linked revenue weak; growth stalls at 3-4%, AI-compute and talent costs compress margin ~1pp, leverage taken on for buybacks limits flexibility, and the business is capitalised at 15x as a slow-growth data utility.</t>
  </si>
  <si>
    <t xml:space="preserve">Scenario narrative: base</t>
  </si>
  <si>
    <t xml:space="preserve">Verisk's regulatory statistical-agent position and ~90% P&amp;C penetration hold; the 2025-26 claims-volume softness was weather, and growth returns to ~6.5% in 2027-29 on pricing and new modules, fading to 3.5% by year 10, with adjusted margin creeping up ~40bps a year. AccuLynx is treated as a probability-weighted overpayment, not a growth driver.</t>
  </si>
  <si>
    <t xml:space="preserve">Scenario narrative: bull</t>
  </si>
  <si>
    <t xml:space="preserve">AI turns out to widen the moat: auditable, regulator-grade contributory data becomes the input every insurer's AI workflow needs, distributed through XactAI, Core Lines Reimagine and third-party assistants (Claude MCP connectors). Growth runs at 8% for four years with ~60bps/yr margin gains, and the market re-rates toward a premium compounder (22x terminal).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</si>
  <si>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</si>
  <si>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</si>
  <si>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</si>
  <si>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</si>
  <si>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</si>
  <si>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</si>
  <si>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</si>
  <si>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</si>
  <si>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</si>
  <si>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</si>
  <si>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</si>
  <si>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</si>
  <si>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</si>
  <si>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</si>
  <si>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</si>
  <si>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</si>
  <si>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</si>
  <si>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</si>
  <si>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</si>
  <si>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</si>
  <si>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</si>
  <si>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</si>
  <si>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</si>
  <si>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</si>
  <si>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</si>
  <si>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</si>
  <si>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</si>
  <si>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</si>
  <si>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</si>
  <si>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</si>
  <si>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</si>
  <si>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</si>
  <si>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</si>
  <si>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</si>
  <si>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</si>
  <si>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</si>
  <si>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</si>
  <si>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</si>
  <si>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</si>
  <si>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</si>
  <si>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</si>
  <si>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</si>
  <si>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</si>
  <si>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</si>
  <si>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</si>
  <si>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</si>
  <si>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</si>
  <si>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</si>
  <si>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</si>
  <si>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</si>
  <si>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</si>
  <si>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</si>
  <si>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</si>
  <si>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</si>
  <si>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</si>
  <si>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</si>
  <si>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</si>
  <si>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</si>
  <si>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</si>
  <si>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</si>
  <si>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</si>
  <si>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</si>
  <si>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</si>
  <si>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</si>
  <si>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</si>
  <si>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</si>
  <si>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</si>
  <si>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</si>
  <si>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</si>
  <si>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</si>
  <si>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</si>
  <si>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</si>
  <si>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</si>
  <si>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</si>
  <si>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</si>
  <si>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</si>
  <si>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</si>
  <si>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</si>
  <si>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</si>
  <si>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</si>
  <si>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</si>
  <si>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</si>
  <si>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VRSK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</si>
  <si>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</si>
  <si>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</si>
  <si>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</si>
  <si>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</si>
  <si>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</si>
  <si>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</si>
  <si>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</si>
  <si>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</si>
  <si>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</si>
  <si>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</si>
  <si>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</si>
  <si>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</si>
  <si>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</si>
  <si>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</si>
  <si>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</si>
  <si>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</si>
  <si>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</si>
  <si>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</si>
  <si>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</si>
  <si>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</si>
  <si>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</si>
  <si>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</si>
  <si>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</si>
  <si>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</si>
  <si>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</si>
  <si>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</si>
  <si>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</si>
  <si>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</si>
  <si>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</si>
  <si>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</si>
  <si>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VRSK owner-FCF component DCF: base case (millions, USD)</t>
  </si>
  <si>
    <t xml:space="preserve">VRSK owner-FCF component DCF: bull case (millions, USD)</t>
  </si>
  <si>
    <t xml:space="preserve">VRSK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</si>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</sst>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163.88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-1009.823</v>
      </c>
      <c r="S2" s="0" t="n">
        <v>33.185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F3" s="0" t="n">
        <v>302.007</v>
      </c>
      <c r="H3" s="0" t="n">
        <v>340.585</v>
      </c>
      <c r="I3" s="0" t="n">
        <v>126.614</v>
      </c>
      <c r="K3" s="0" t="n">
        <v>0.72</v>
      </c>
      <c r="L3" s="0" t="n">
        <v>326.401</v>
      </c>
      <c r="M3" s="0" t="n">
        <v>38.694</v>
      </c>
      <c r="N3" s="0" t="n">
        <v>287.707</v>
      </c>
      <c r="O3" s="0" t="n">
        <v>-34.949</v>
      </c>
      <c r="S3" s="0" t="n">
        <v>71.527</v>
      </c>
      <c r="T3" s="0" t="n">
        <v>182.165661</v>
      </c>
      <c r="U3" s="0" t="n">
        <v>12.744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F4" s="0" t="n">
        <v>440.914</v>
      </c>
      <c r="H4" s="0" t="n">
        <v>481.642</v>
      </c>
      <c r="I4" s="0" t="n">
        <v>242.552</v>
      </c>
      <c r="K4" s="0" t="n">
        <v>1.36</v>
      </c>
      <c r="L4" s="0" t="n">
        <v>336.032</v>
      </c>
      <c r="M4" s="0" t="n">
        <v>38.641</v>
      </c>
      <c r="N4" s="0" t="n">
        <v>297.391</v>
      </c>
      <c r="O4" s="0" t="n">
        <v>-114.442</v>
      </c>
      <c r="P4" s="0" t="n">
        <v>1217.09</v>
      </c>
      <c r="Q4" s="0" t="n">
        <v>1331.532</v>
      </c>
      <c r="R4" s="0" t="n">
        <v>839.543</v>
      </c>
      <c r="S4" s="0" t="n">
        <v>54.974</v>
      </c>
      <c r="T4" s="0" t="n">
        <v>186.394962</v>
      </c>
      <c r="U4" s="0" t="n">
        <v>21.298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F5" s="0" t="n">
        <v>481.163</v>
      </c>
      <c r="H5" s="0" t="n">
        <v>524.99</v>
      </c>
      <c r="I5" s="0" t="n">
        <v>282.758</v>
      </c>
      <c r="K5" s="0" t="n">
        <v>1.7</v>
      </c>
      <c r="L5" s="0" t="n">
        <v>375.721</v>
      </c>
      <c r="M5" s="0" t="n">
        <v>59.829</v>
      </c>
      <c r="N5" s="0" t="n">
        <v>315.892</v>
      </c>
      <c r="O5" s="0" t="n">
        <v>-98.49</v>
      </c>
      <c r="P5" s="0" t="n">
        <v>1541.106</v>
      </c>
      <c r="Q5" s="0" t="n">
        <v>1639.596</v>
      </c>
      <c r="R5" s="0" t="n">
        <v>1105.886</v>
      </c>
      <c r="S5" s="0" t="n">
        <v>191.603</v>
      </c>
      <c r="T5" s="0" t="n">
        <v>173.32511</v>
      </c>
      <c r="U5" s="0" t="n">
        <v>22.656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F6" s="0" t="n">
        <v>572.228</v>
      </c>
      <c r="H6" s="0" t="n">
        <v>622.852</v>
      </c>
      <c r="I6" s="0" t="n">
        <v>329.142</v>
      </c>
      <c r="K6" s="0" t="n">
        <v>1.98</v>
      </c>
      <c r="L6" s="0" t="n">
        <v>468.229</v>
      </c>
      <c r="M6" s="0" t="n">
        <v>74.373</v>
      </c>
      <c r="N6" s="0" t="n">
        <v>393.856</v>
      </c>
      <c r="O6" s="0" t="n">
        <v>255.591</v>
      </c>
      <c r="P6" s="0" t="n">
        <v>2360.336</v>
      </c>
      <c r="Q6" s="0" t="n">
        <v>2104.745</v>
      </c>
      <c r="R6" s="0" t="n">
        <v>1461.425</v>
      </c>
      <c r="S6" s="0" t="n">
        <v>89.819</v>
      </c>
      <c r="T6" s="0" t="n">
        <v>171.709518</v>
      </c>
      <c r="U6" s="0" t="n">
        <v>24.696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F7" s="0" t="n">
        <v>614.267</v>
      </c>
      <c r="H7" s="0" t="n">
        <v>684.546</v>
      </c>
      <c r="I7" s="0" t="n">
        <v>348.38</v>
      </c>
      <c r="K7" s="0" t="n">
        <v>2.07</v>
      </c>
      <c r="L7" s="0" t="n">
        <v>506.92</v>
      </c>
      <c r="M7" s="0" t="n">
        <v>145.976</v>
      </c>
      <c r="N7" s="0" t="n">
        <v>360.944</v>
      </c>
      <c r="O7" s="0" t="n">
        <v>547.6</v>
      </c>
      <c r="P7" s="0" t="n">
        <v>2504.451</v>
      </c>
      <c r="Q7" s="0" t="n">
        <v>1956.862</v>
      </c>
      <c r="R7" s="0" t="n">
        <v>1275.887</v>
      </c>
      <c r="S7" s="0" t="n">
        <v>165.8</v>
      </c>
      <c r="T7" s="0" t="n">
        <v>172.27636</v>
      </c>
      <c r="U7" s="0" t="n">
        <v>21.087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F8" s="0" t="n">
        <v>632.3</v>
      </c>
      <c r="H8" s="0" t="n">
        <v>718.8</v>
      </c>
      <c r="I8" s="0" t="n">
        <v>400</v>
      </c>
      <c r="K8" s="0" t="n">
        <v>2.41</v>
      </c>
      <c r="L8" s="0" t="n">
        <v>489.4</v>
      </c>
      <c r="M8" s="0" t="n">
        <v>146.8</v>
      </c>
      <c r="N8" s="0" t="n">
        <v>342.6</v>
      </c>
      <c r="O8" s="0" t="n">
        <v>211</v>
      </c>
      <c r="P8" s="0" t="n">
        <v>2345.33</v>
      </c>
      <c r="Q8" s="0" t="n">
        <v>2134.287</v>
      </c>
      <c r="R8" s="0" t="n">
        <v>1436.932</v>
      </c>
      <c r="S8" s="0" t="n">
        <v>39.3</v>
      </c>
      <c r="T8" s="0" t="n">
        <v>169.132423</v>
      </c>
      <c r="U8" s="0" t="n">
        <v>20.3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F9" s="0" t="n">
        <v>703.4</v>
      </c>
      <c r="H9" s="0" t="n">
        <v>824</v>
      </c>
      <c r="I9" s="0" t="n">
        <v>507.6</v>
      </c>
      <c r="K9" s="0" t="n">
        <v>3.07</v>
      </c>
      <c r="L9" s="0" t="n">
        <v>663.8</v>
      </c>
      <c r="M9" s="0" t="n">
        <v>166.1</v>
      </c>
      <c r="N9" s="0" t="n">
        <v>497.7</v>
      </c>
      <c r="O9" s="0" t="n">
        <v>1372</v>
      </c>
      <c r="P9" s="0" t="n">
        <v>5593.7</v>
      </c>
      <c r="Q9" s="0" t="n">
        <v>4221.7</v>
      </c>
      <c r="R9" s="0" t="n">
        <v>3145.7</v>
      </c>
      <c r="S9" s="0" t="n">
        <v>138.3</v>
      </c>
      <c r="T9" s="0" t="n">
        <v>169.424981</v>
      </c>
      <c r="U9" s="0" t="n">
        <v>30.5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1995.2</v>
      </c>
      <c r="C10" s="0" t="n">
        <v>714.4</v>
      </c>
      <c r="F10" s="0" t="n">
        <v>767.6</v>
      </c>
      <c r="G10" s="0" t="n">
        <v>38.4723336006415</v>
      </c>
      <c r="H10" s="0" t="n">
        <v>893.8</v>
      </c>
      <c r="I10" s="0" t="n">
        <v>591.2</v>
      </c>
      <c r="J10" s="0" t="n">
        <v>29.6311146752205</v>
      </c>
      <c r="K10" s="0" t="n">
        <v>3.51</v>
      </c>
      <c r="L10" s="0" t="n">
        <v>577.5</v>
      </c>
      <c r="M10" s="0" t="n">
        <v>156.5</v>
      </c>
      <c r="N10" s="0" t="n">
        <v>421</v>
      </c>
      <c r="O10" s="0" t="n">
        <v>1332.4</v>
      </c>
      <c r="P10" s="0" t="n">
        <v>4631.2</v>
      </c>
      <c r="Q10" s="0" t="n">
        <v>3298.8</v>
      </c>
      <c r="R10" s="0" t="n">
        <v>2387</v>
      </c>
      <c r="S10" s="0" t="n">
        <v>135.1</v>
      </c>
      <c r="T10" s="0" t="n">
        <v>171.171572</v>
      </c>
      <c r="U10" s="0" t="n">
        <v>30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2145.2</v>
      </c>
      <c r="C11" s="0" t="n">
        <v>783.8</v>
      </c>
      <c r="F11" s="0" t="n">
        <v>801.2</v>
      </c>
      <c r="G11" s="0" t="n">
        <v>37.3484989744546</v>
      </c>
      <c r="H11" s="0" t="n">
        <v>936.8</v>
      </c>
      <c r="I11" s="0" t="n">
        <v>555.1</v>
      </c>
      <c r="J11" s="0" t="n">
        <v>25.876375163155</v>
      </c>
      <c r="K11" s="0" t="n">
        <v>3.36</v>
      </c>
      <c r="L11" s="0" t="n">
        <v>743.5</v>
      </c>
      <c r="M11" s="0" t="n">
        <v>183.5</v>
      </c>
      <c r="N11" s="0" t="n">
        <v>560</v>
      </c>
      <c r="O11" s="0" t="n">
        <v>1925.4</v>
      </c>
      <c r="P11" s="0" t="n">
        <v>6020.3</v>
      </c>
      <c r="Q11" s="0" t="n">
        <v>4094.9</v>
      </c>
      <c r="R11" s="0" t="n">
        <v>3008.8</v>
      </c>
      <c r="S11" s="0" t="n">
        <v>142.3</v>
      </c>
      <c r="T11" s="0" t="n">
        <v>168.688868</v>
      </c>
      <c r="U11" s="0" t="n">
        <v>31.8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2395.1</v>
      </c>
      <c r="C12" s="0" t="n">
        <v>886.2</v>
      </c>
      <c r="F12" s="0" t="n">
        <v>834.1</v>
      </c>
      <c r="G12" s="0" t="n">
        <v>34.8252682560227</v>
      </c>
      <c r="H12" s="0" t="n">
        <v>999.4</v>
      </c>
      <c r="I12" s="0" t="n">
        <v>598.7</v>
      </c>
      <c r="J12" s="0" t="n">
        <v>24.9968686067388</v>
      </c>
      <c r="K12" s="0" t="n">
        <v>3.63</v>
      </c>
      <c r="L12" s="0" t="n">
        <v>934.4</v>
      </c>
      <c r="M12" s="0" t="n">
        <v>231</v>
      </c>
      <c r="N12" s="0" t="n">
        <v>703.4</v>
      </c>
      <c r="O12" s="0" t="n">
        <v>2070.6</v>
      </c>
      <c r="P12" s="0" t="n">
        <v>5900.3</v>
      </c>
      <c r="Q12" s="0" t="n">
        <v>3829.7</v>
      </c>
      <c r="R12" s="0" t="n">
        <v>2723.3</v>
      </c>
      <c r="S12" s="0" t="n">
        <v>139.5</v>
      </c>
      <c r="T12" s="0" t="n">
        <v>168.297836</v>
      </c>
      <c r="U12" s="0" t="n">
        <v>38.5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2607.1</v>
      </c>
      <c r="C13" s="0" t="n">
        <v>976.8</v>
      </c>
      <c r="F13" s="0" t="n">
        <v>696.9</v>
      </c>
      <c r="G13" s="0" t="n">
        <v>26.7308503701431</v>
      </c>
      <c r="H13" s="0" t="n">
        <v>882.6</v>
      </c>
      <c r="I13" s="0" t="n">
        <v>449.9</v>
      </c>
      <c r="J13" s="0" t="n">
        <v>17.2567220283073</v>
      </c>
      <c r="K13" s="0" t="n">
        <v>2.75</v>
      </c>
      <c r="L13" s="0" t="n">
        <v>956.3</v>
      </c>
      <c r="M13" s="0" t="n">
        <v>216.8</v>
      </c>
      <c r="N13" s="0" t="n">
        <v>739.5</v>
      </c>
      <c r="O13" s="0" t="n">
        <v>2260.8</v>
      </c>
      <c r="P13" s="0" t="n">
        <v>7055.2</v>
      </c>
      <c r="Q13" s="0" t="n">
        <v>4794.4</v>
      </c>
      <c r="R13" s="0" t="n">
        <v>3151</v>
      </c>
      <c r="S13" s="0" t="n">
        <v>184.6</v>
      </c>
      <c r="T13" s="0" t="n">
        <v>166.560115</v>
      </c>
      <c r="U13" s="0" t="n">
        <v>42.7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2269.4</v>
      </c>
      <c r="C14" s="0" t="n">
        <v>791.7</v>
      </c>
      <c r="F14" s="0" t="n">
        <v>956.3</v>
      </c>
      <c r="G14" s="0" t="n">
        <v>42.1388913369173</v>
      </c>
      <c r="H14" s="0" t="n">
        <v>1148.5</v>
      </c>
      <c r="I14" s="0" t="n">
        <v>712.7</v>
      </c>
      <c r="J14" s="0" t="n">
        <v>31.4047765929321</v>
      </c>
      <c r="K14" s="0" t="n">
        <v>4.38</v>
      </c>
      <c r="L14" s="0" t="n">
        <v>1068.2</v>
      </c>
      <c r="M14" s="0" t="n">
        <v>246.8</v>
      </c>
      <c r="N14" s="0" t="n">
        <v>821.4</v>
      </c>
      <c r="O14" s="0" t="n">
        <v>2698.2</v>
      </c>
      <c r="P14" s="0" t="n">
        <v>7561.8</v>
      </c>
      <c r="Q14" s="0" t="n">
        <v>4863.6</v>
      </c>
      <c r="R14" s="0" t="n">
        <v>3213.9</v>
      </c>
      <c r="S14" s="0" t="n">
        <v>218.8</v>
      </c>
      <c r="T14" s="0" t="n">
        <v>165.320709</v>
      </c>
      <c r="U14" s="0" t="n">
        <v>47.6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2462.5</v>
      </c>
      <c r="C15" s="0" t="n">
        <v>853.7</v>
      </c>
      <c r="F15" s="0" t="n">
        <v>911.4</v>
      </c>
      <c r="G15" s="0" t="n">
        <v>37.0111675126904</v>
      </c>
      <c r="H15" s="0" t="n">
        <v>1118.3</v>
      </c>
      <c r="I15" s="0" t="n">
        <v>666.3</v>
      </c>
      <c r="J15" s="0" t="n">
        <v>27.0578680203046</v>
      </c>
      <c r="K15" s="0" t="n">
        <v>4.12</v>
      </c>
      <c r="L15" s="0" t="n">
        <v>1155.7</v>
      </c>
      <c r="M15" s="0" t="n">
        <v>268.4</v>
      </c>
      <c r="N15" s="0" t="n">
        <v>887.3</v>
      </c>
      <c r="O15" s="0" t="n">
        <v>2842.5</v>
      </c>
      <c r="P15" s="0" t="n">
        <v>7808.1</v>
      </c>
      <c r="Q15" s="0" t="n">
        <v>4965.6</v>
      </c>
      <c r="R15" s="0" t="n">
        <v>3314.1</v>
      </c>
      <c r="S15" s="0" t="n">
        <v>111.9</v>
      </c>
      <c r="T15" s="0" t="n">
        <v>163.338909</v>
      </c>
      <c r="U15" s="0" t="n">
        <v>55.7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2497</v>
      </c>
      <c r="C16" s="0" t="n">
        <v>824.6</v>
      </c>
      <c r="F16" s="0" t="n">
        <v>1406.5</v>
      </c>
      <c r="G16" s="0" t="n">
        <v>56.3275931117341</v>
      </c>
      <c r="H16" s="0" t="n">
        <v>1603.6</v>
      </c>
      <c r="I16" s="0" t="n">
        <v>954.3</v>
      </c>
      <c r="J16" s="0" t="n">
        <v>38.2178614337205</v>
      </c>
      <c r="K16" s="0" t="n">
        <v>6.04</v>
      </c>
      <c r="L16" s="0" t="n">
        <v>1059</v>
      </c>
      <c r="M16" s="0" t="n">
        <v>274.7</v>
      </c>
      <c r="N16" s="0" t="n">
        <v>784.3</v>
      </c>
      <c r="O16" s="0" t="n">
        <v>1767.7</v>
      </c>
      <c r="P16" s="0" t="n">
        <v>6961.1</v>
      </c>
      <c r="Q16" s="0" t="n">
        <v>5193.4</v>
      </c>
      <c r="R16" s="0" t="n">
        <v>3736.1</v>
      </c>
      <c r="S16" s="0" t="n">
        <v>112.5</v>
      </c>
      <c r="T16" s="0" t="n">
        <v>158.928942</v>
      </c>
      <c r="U16" s="0" t="n">
        <v>56.5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2681.4</v>
      </c>
      <c r="C17" s="0" t="n">
        <v>876.5</v>
      </c>
      <c r="F17" s="0" t="n">
        <v>1131.7</v>
      </c>
      <c r="G17" s="0" t="n">
        <v>42.2055642574774</v>
      </c>
      <c r="H17" s="0" t="n">
        <v>1338.5</v>
      </c>
      <c r="I17" s="0" t="n">
        <v>614.6</v>
      </c>
      <c r="J17" s="0" t="n">
        <v>22.9208622361453</v>
      </c>
      <c r="K17" s="0" t="n">
        <v>4.19</v>
      </c>
      <c r="L17" s="0" t="n">
        <v>1060.7</v>
      </c>
      <c r="M17" s="0" t="n">
        <v>230</v>
      </c>
      <c r="N17" s="0" t="n">
        <v>830.7</v>
      </c>
      <c r="O17" s="0" t="n">
        <v>322.2</v>
      </c>
      <c r="P17" s="0" t="n">
        <v>4366.1</v>
      </c>
      <c r="Q17" s="0" t="n">
        <v>4043.9</v>
      </c>
      <c r="R17" s="0" t="n">
        <v>2866.7</v>
      </c>
      <c r="S17" s="0" t="n">
        <v>302.7</v>
      </c>
      <c r="T17" s="0" t="n">
        <v>147.336159</v>
      </c>
      <c r="U17" s="0" t="n">
        <v>54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2881.7</v>
      </c>
      <c r="C18" s="0" t="n">
        <v>901.1</v>
      </c>
      <c r="F18" s="0" t="n">
        <v>1253.9</v>
      </c>
      <c r="G18" s="0" t="n">
        <v>43.5125099767498</v>
      </c>
      <c r="H18" s="0" t="n">
        <v>1487.5</v>
      </c>
      <c r="I18" s="0" t="n">
        <v>958.2</v>
      </c>
      <c r="J18" s="0" t="n">
        <v>33.2512058854149</v>
      </c>
      <c r="K18" s="0" t="n">
        <v>6.74</v>
      </c>
      <c r="L18" s="0" t="n">
        <v>1144</v>
      </c>
      <c r="M18" s="0" t="n">
        <v>223.9</v>
      </c>
      <c r="N18" s="0" t="n">
        <v>920.1</v>
      </c>
      <c r="O18" s="0" t="n">
        <v>105</v>
      </c>
      <c r="P18" s="0" t="n">
        <v>4264.7</v>
      </c>
      <c r="Q18" s="0" t="n">
        <v>4159.7</v>
      </c>
      <c r="R18" s="0" t="n">
        <v>3061.1</v>
      </c>
      <c r="S18" s="0" t="n">
        <v>291.2</v>
      </c>
      <c r="T18" s="0" t="n">
        <v>142.842261</v>
      </c>
      <c r="U18" s="0" t="n">
        <v>47.9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3072.7</v>
      </c>
      <c r="C19" s="0" t="n">
        <v>925.5</v>
      </c>
      <c r="F19" s="0" t="n">
        <v>1343.9</v>
      </c>
      <c r="G19" s="0" t="n">
        <v>43.7367787288053</v>
      </c>
      <c r="H19" s="0" t="n">
        <v>1603.1</v>
      </c>
      <c r="I19" s="0" t="n">
        <v>908.3</v>
      </c>
      <c r="J19" s="0" t="n">
        <v>29.5603215413155</v>
      </c>
      <c r="K19" s="0" t="n">
        <v>6.5</v>
      </c>
      <c r="L19" s="0" t="n">
        <v>1436</v>
      </c>
      <c r="M19" s="0" t="n">
        <v>244.1</v>
      </c>
      <c r="N19" s="0" t="n">
        <v>1191.9</v>
      </c>
      <c r="O19" s="0" t="n">
        <v>309.8</v>
      </c>
      <c r="P19" s="0" t="n">
        <v>6195.5</v>
      </c>
      <c r="Q19" s="0" t="n">
        <v>5885.7</v>
      </c>
      <c r="R19" s="0" t="n">
        <v>6282.4</v>
      </c>
      <c r="S19" s="0" t="n">
        <v>2178.2</v>
      </c>
      <c r="T19" s="0" t="n">
        <v>140.082773</v>
      </c>
      <c r="U19" s="0" t="n">
        <v>54.2</v>
      </c>
      <c r="AA19" s="0" t="s">
        <v>17</v>
      </c>
      <c r="AB1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81</v>
      </c>
      <c r="B1" s="2" t="s">
        <v>82</v>
      </c>
    </row>
    <row r="2" customFormat="false" ht="15" hidden="false" customHeight="false" outlineLevel="0" collapsed="false">
      <c r="A2" s="0" t="s">
        <v>83</v>
      </c>
      <c r="B2" s="3" t="n">
        <v>163.88</v>
      </c>
    </row>
    <row r="3" customFormat="false" ht="15" hidden="false" customHeight="false" outlineLevel="0" collapsed="false">
      <c r="A3" s="0" t="s">
        <v>84</v>
      </c>
      <c r="B3" s="3" t="n">
        <v>130.25</v>
      </c>
    </row>
    <row r="4" customFormat="false" ht="15" hidden="false" customHeight="false" outlineLevel="0" collapsed="false">
      <c r="A4" s="0" t="s">
        <v>85</v>
      </c>
      <c r="B4" s="3" t="n">
        <v>3922.1</v>
      </c>
    </row>
    <row r="5" customFormat="false" ht="15" hidden="false" customHeight="false" outlineLevel="0" collapsed="false">
      <c r="A5" s="0" t="s">
        <v>86</v>
      </c>
      <c r="B5" s="3" t="n">
        <v>-400</v>
      </c>
    </row>
    <row r="6" customFormat="false" ht="15" hidden="false" customHeight="false" outlineLevel="0" collapsed="false">
      <c r="A6" s="0" t="s">
        <v>87</v>
      </c>
      <c r="B6" s="3" t="n">
        <v>15</v>
      </c>
    </row>
    <row r="7" customFormat="false" ht="15" hidden="false" customHeight="false" outlineLevel="0" collapsed="false">
      <c r="A7" s="0" t="s">
        <v>88</v>
      </c>
      <c r="B7" s="3" t="n">
        <v>3072.7</v>
      </c>
    </row>
    <row r="8" customFormat="false" ht="15" hidden="false" customHeight="false" outlineLevel="0" collapsed="false">
      <c r="A8" s="0" t="s">
        <v>89</v>
      </c>
      <c r="B8" s="3" t="s">
        <v>80</v>
      </c>
    </row>
    <row r="9" customFormat="false" ht="15" hidden="false" customHeight="false" outlineLevel="0" collapsed="false">
      <c r="A9" s="0" t="s">
        <v>90</v>
      </c>
      <c r="B9" s="3" t="s">
        <v>91</v>
      </c>
    </row>
    <row r="10" customFormat="false" ht="15" hidden="false" customHeight="false" outlineLevel="0" collapsed="false">
      <c r="A10" s="0" t="s">
        <v>92</v>
      </c>
      <c r="B10" s="3" t="n">
        <v>1</v>
      </c>
    </row>
    <row r="12" customFormat="false" ht="15" hidden="false" customHeight="false" outlineLevel="0" collapsed="false">
      <c r="A12" s="2" t="s">
        <v>93</v>
      </c>
      <c r="C12" s="2" t="s">
        <v>94</v>
      </c>
      <c r="D12" s="2" t="s">
        <v>95</v>
      </c>
      <c r="E12" s="2" t="s">
        <v>96</v>
      </c>
      <c r="F12" s="2" t="s">
        <v>97</v>
      </c>
      <c r="G12" s="2" t="s">
        <v>98</v>
      </c>
      <c r="H12" s="2" t="s">
        <v>99</v>
      </c>
      <c r="I12" s="2" t="s">
        <v>100</v>
      </c>
      <c r="J12" s="2" t="s">
        <v>101</v>
      </c>
      <c r="K12" s="2" t="s">
        <v>102</v>
      </c>
      <c r="L12" s="2" t="s">
        <v>103</v>
      </c>
    </row>
    <row r="13" customFormat="false" ht="15" hidden="false" customHeight="false" outlineLevel="0" collapsed="false">
      <c r="A13" s="0" t="s">
        <v>104</v>
      </c>
      <c r="C13" s="3" t="n">
        <v>4</v>
      </c>
      <c r="D13" s="3" t="n">
        <v>4.5</v>
      </c>
      <c r="E13" s="3" t="n">
        <v>4</v>
      </c>
      <c r="F13" s="3" t="n">
        <v>4</v>
      </c>
      <c r="G13" s="3" t="n">
        <v>3.5</v>
      </c>
      <c r="H13" s="3" t="n">
        <v>3.5</v>
      </c>
      <c r="I13" s="3" t="n">
        <v>3</v>
      </c>
      <c r="J13" s="3" t="n">
        <v>3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105</v>
      </c>
      <c r="C14" s="3" t="n">
        <v>58</v>
      </c>
      <c r="D14" s="3" t="n">
        <v>58</v>
      </c>
      <c r="E14" s="3" t="n">
        <v>57.8</v>
      </c>
      <c r="F14" s="3" t="n">
        <v>57.6</v>
      </c>
      <c r="G14" s="3" t="n">
        <v>57.4</v>
      </c>
      <c r="H14" s="3" t="n">
        <v>57.2</v>
      </c>
      <c r="I14" s="3" t="n">
        <v>57</v>
      </c>
      <c r="J14" s="3" t="n">
        <v>57</v>
      </c>
      <c r="K14" s="3" t="n">
        <v>57</v>
      </c>
      <c r="L14" s="3" t="n">
        <v>57</v>
      </c>
    </row>
    <row r="15" customFormat="false" ht="15" hidden="false" customHeight="false" outlineLevel="0" collapsed="false">
      <c r="A15" s="0" t="s">
        <v>106</v>
      </c>
      <c r="C15" s="3" t="n">
        <v>2.6</v>
      </c>
      <c r="D15" s="3" t="n">
        <v>2.6</v>
      </c>
      <c r="E15" s="3" t="n">
        <v>2.6</v>
      </c>
      <c r="F15" s="3" t="n">
        <v>2.6</v>
      </c>
      <c r="G15" s="3" t="n">
        <v>2.6</v>
      </c>
      <c r="H15" s="3" t="n">
        <v>2.6</v>
      </c>
      <c r="I15" s="3" t="n">
        <v>2.6</v>
      </c>
      <c r="J15" s="3" t="n">
        <v>2.6</v>
      </c>
      <c r="K15" s="3" t="n">
        <v>2.6</v>
      </c>
      <c r="L15" s="3" t="n">
        <v>2.6</v>
      </c>
    </row>
    <row r="16" customFormat="false" ht="15" hidden="false" customHeight="false" outlineLevel="0" collapsed="false">
      <c r="A16" s="0" t="s">
        <v>107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108</v>
      </c>
      <c r="C17" s="3" t="n">
        <v>8.7</v>
      </c>
      <c r="D17" s="3" t="n">
        <v>8.7</v>
      </c>
      <c r="E17" s="3" t="n">
        <v>8.7</v>
      </c>
      <c r="F17" s="3" t="n">
        <v>8.7</v>
      </c>
      <c r="G17" s="3" t="n">
        <v>8.7</v>
      </c>
      <c r="H17" s="3" t="n">
        <v>8.7</v>
      </c>
      <c r="I17" s="3" t="n">
        <v>8.7</v>
      </c>
      <c r="J17" s="3" t="n">
        <v>8.7</v>
      </c>
      <c r="K17" s="3" t="n">
        <v>8.7</v>
      </c>
      <c r="L17" s="3" t="n">
        <v>8.7</v>
      </c>
    </row>
    <row r="18" customFormat="false" ht="15" hidden="false" customHeight="false" outlineLevel="0" collapsed="false">
      <c r="A18" s="0" t="s">
        <v>109</v>
      </c>
      <c r="C18" s="3" t="n">
        <v>8.5</v>
      </c>
      <c r="D18" s="3" t="n">
        <v>8.6</v>
      </c>
      <c r="E18" s="3" t="n">
        <v>8.7</v>
      </c>
      <c r="F18" s="3" t="n">
        <v>8.8</v>
      </c>
      <c r="G18" s="3" t="n">
        <v>8.8</v>
      </c>
      <c r="H18" s="3" t="n">
        <v>8.8</v>
      </c>
      <c r="I18" s="3" t="n">
        <v>8.8</v>
      </c>
      <c r="J18" s="3" t="n">
        <v>8.8</v>
      </c>
      <c r="K18" s="3" t="n">
        <v>8.8</v>
      </c>
      <c r="L18" s="3" t="n">
        <v>8.8</v>
      </c>
    </row>
    <row r="19" customFormat="false" ht="15" hidden="false" customHeight="false" outlineLevel="0" collapsed="false">
      <c r="A19" s="0" t="s">
        <v>110</v>
      </c>
      <c r="C19" s="3" t="n">
        <v>24.5</v>
      </c>
      <c r="D19" s="3" t="n">
        <v>24.5</v>
      </c>
      <c r="E19" s="3" t="n">
        <v>24.5</v>
      </c>
      <c r="F19" s="3" t="n">
        <v>24.5</v>
      </c>
      <c r="G19" s="3" t="n">
        <v>24.5</v>
      </c>
      <c r="H19" s="3" t="n">
        <v>24.5</v>
      </c>
      <c r="I19" s="3" t="n">
        <v>24.5</v>
      </c>
      <c r="J19" s="3" t="n">
        <v>24.5</v>
      </c>
      <c r="K19" s="3" t="n">
        <v>24.5</v>
      </c>
      <c r="L19" s="3" t="n">
        <v>24.5</v>
      </c>
    </row>
    <row r="20" customFormat="false" ht="15" hidden="false" customHeight="false" outlineLevel="0" collapsed="false">
      <c r="A20" s="0" t="s">
        <v>111</v>
      </c>
      <c r="B20" s="3" t="n">
        <v>8</v>
      </c>
    </row>
    <row r="21" customFormat="false" ht="15" hidden="false" customHeight="false" outlineLevel="0" collapsed="false">
      <c r="A21" s="0" t="s">
        <v>112</v>
      </c>
      <c r="B21" s="3" t="n">
        <v>2</v>
      </c>
    </row>
    <row r="22" customFormat="false" ht="15" hidden="false" customHeight="false" outlineLevel="0" collapsed="false">
      <c r="A22" s="0" t="s">
        <v>113</v>
      </c>
      <c r="B22" s="3" t="n">
        <v>15</v>
      </c>
    </row>
    <row r="23" customFormat="false" ht="15" hidden="false" customHeight="false" outlineLevel="0" collapsed="false">
      <c r="A23" s="0" t="s">
        <v>114</v>
      </c>
      <c r="B23" s="3" t="n">
        <v>8</v>
      </c>
    </row>
    <row r="24" customFormat="false" ht="15" hidden="false" customHeight="false" outlineLevel="0" collapsed="false">
      <c r="A24" s="0" t="s">
        <v>115</v>
      </c>
      <c r="B24" s="3" t="n">
        <v>0.25</v>
      </c>
    </row>
    <row r="26" customFormat="false" ht="15" hidden="false" customHeight="false" outlineLevel="0" collapsed="false">
      <c r="A26" s="2" t="s">
        <v>116</v>
      </c>
      <c r="C26" s="2" t="s">
        <v>94</v>
      </c>
      <c r="D26" s="2" t="s">
        <v>95</v>
      </c>
      <c r="E26" s="2" t="s">
        <v>96</v>
      </c>
      <c r="F26" s="2" t="s">
        <v>97</v>
      </c>
      <c r="G26" s="2" t="s">
        <v>98</v>
      </c>
      <c r="H26" s="2" t="s">
        <v>99</v>
      </c>
      <c r="I26" s="2" t="s">
        <v>100</v>
      </c>
      <c r="J26" s="2" t="s">
        <v>101</v>
      </c>
      <c r="K26" s="2" t="s">
        <v>102</v>
      </c>
      <c r="L26" s="2" t="s">
        <v>103</v>
      </c>
    </row>
    <row r="27" customFormat="false" ht="15" hidden="false" customHeight="false" outlineLevel="0" collapsed="false">
      <c r="A27" s="0" t="s">
        <v>104</v>
      </c>
      <c r="C27" s="3" t="n">
        <v>4.6</v>
      </c>
      <c r="D27" s="3" t="n">
        <v>6.5</v>
      </c>
      <c r="E27" s="3" t="n">
        <v>6.5</v>
      </c>
      <c r="F27" s="3" t="n">
        <v>6.5</v>
      </c>
      <c r="G27" s="3" t="n">
        <v>6</v>
      </c>
      <c r="H27" s="3" t="n">
        <v>5.5</v>
      </c>
      <c r="I27" s="3" t="n">
        <v>5</v>
      </c>
      <c r="J27" s="3" t="n">
        <v>4.5</v>
      </c>
      <c r="K27" s="3" t="n">
        <v>4</v>
      </c>
      <c r="L27" s="3" t="n">
        <v>3.5</v>
      </c>
    </row>
    <row r="28" customFormat="false" ht="15" hidden="false" customHeight="false" outlineLevel="0" collapsed="false">
      <c r="A28" s="0" t="s">
        <v>105</v>
      </c>
      <c r="C28" s="3" t="n">
        <v>58.25</v>
      </c>
      <c r="D28" s="3" t="n">
        <v>58.65</v>
      </c>
      <c r="E28" s="3" t="n">
        <v>59.05</v>
      </c>
      <c r="F28" s="3" t="n">
        <v>59.45</v>
      </c>
      <c r="G28" s="3" t="n">
        <v>59.8</v>
      </c>
      <c r="H28" s="3" t="n">
        <v>60.1</v>
      </c>
      <c r="I28" s="3" t="n">
        <v>60.3</v>
      </c>
      <c r="J28" s="3" t="n">
        <v>60.4</v>
      </c>
      <c r="K28" s="3" t="n">
        <v>60.5</v>
      </c>
      <c r="L28" s="3" t="n">
        <v>60.5</v>
      </c>
    </row>
    <row r="29" customFormat="false" ht="15" hidden="false" customHeight="false" outlineLevel="0" collapsed="false">
      <c r="A29" s="0" t="s">
        <v>106</v>
      </c>
      <c r="C29" s="3" t="n">
        <v>2.6</v>
      </c>
      <c r="D29" s="3" t="n">
        <v>2.6</v>
      </c>
      <c r="E29" s="3" t="n">
        <v>2.6</v>
      </c>
      <c r="F29" s="3" t="n">
        <v>2.6</v>
      </c>
      <c r="G29" s="3" t="n">
        <v>2.6</v>
      </c>
      <c r="H29" s="3" t="n">
        <v>2.6</v>
      </c>
      <c r="I29" s="3" t="n">
        <v>2.6</v>
      </c>
      <c r="J29" s="3" t="n">
        <v>2.6</v>
      </c>
      <c r="K29" s="3" t="n">
        <v>2.6</v>
      </c>
      <c r="L29" s="3" t="n">
        <v>2.6</v>
      </c>
    </row>
    <row r="30" customFormat="false" ht="15" hidden="false" customHeight="false" outlineLevel="0" collapsed="false">
      <c r="A30" s="0" t="s">
        <v>107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108</v>
      </c>
      <c r="C31" s="3" t="n">
        <v>8.7</v>
      </c>
      <c r="D31" s="3" t="n">
        <v>8.7</v>
      </c>
      <c r="E31" s="3" t="n">
        <v>8.7</v>
      </c>
      <c r="F31" s="3" t="n">
        <v>8.7</v>
      </c>
      <c r="G31" s="3" t="n">
        <v>8.7</v>
      </c>
      <c r="H31" s="3" t="n">
        <v>8.7</v>
      </c>
      <c r="I31" s="3" t="n">
        <v>8.7</v>
      </c>
      <c r="J31" s="3" t="n">
        <v>8.7</v>
      </c>
      <c r="K31" s="3" t="n">
        <v>8.7</v>
      </c>
      <c r="L31" s="3" t="n">
        <v>8.7</v>
      </c>
    </row>
    <row r="32" customFormat="false" ht="15" hidden="false" customHeight="false" outlineLevel="0" collapsed="false">
      <c r="A32" s="0" t="s">
        <v>109</v>
      </c>
      <c r="C32" s="3" t="n">
        <v>8.4</v>
      </c>
      <c r="D32" s="3" t="n">
        <v>8.4</v>
      </c>
      <c r="E32" s="3" t="n">
        <v>8.3</v>
      </c>
      <c r="F32" s="3" t="n">
        <v>8.3</v>
      </c>
      <c r="G32" s="3" t="n">
        <v>8.2</v>
      </c>
      <c r="H32" s="3" t="n">
        <v>8.2</v>
      </c>
      <c r="I32" s="3" t="n">
        <v>8.1</v>
      </c>
      <c r="J32" s="3" t="n">
        <v>8.1</v>
      </c>
      <c r="K32" s="3" t="n">
        <v>8</v>
      </c>
      <c r="L32" s="3" t="n">
        <v>8</v>
      </c>
    </row>
    <row r="33" customFormat="false" ht="15" hidden="false" customHeight="false" outlineLevel="0" collapsed="false">
      <c r="A33" s="0" t="s">
        <v>110</v>
      </c>
      <c r="C33" s="3" t="n">
        <v>24.5</v>
      </c>
      <c r="D33" s="3" t="n">
        <v>24.5</v>
      </c>
      <c r="E33" s="3" t="n">
        <v>24.5</v>
      </c>
      <c r="F33" s="3" t="n">
        <v>24.5</v>
      </c>
      <c r="G33" s="3" t="n">
        <v>24.5</v>
      </c>
      <c r="H33" s="3" t="n">
        <v>24.5</v>
      </c>
      <c r="I33" s="3" t="n">
        <v>24.5</v>
      </c>
      <c r="J33" s="3" t="n">
        <v>24.5</v>
      </c>
      <c r="K33" s="3" t="n">
        <v>24.5</v>
      </c>
      <c r="L33" s="3" t="n">
        <v>24.5</v>
      </c>
    </row>
    <row r="34" customFormat="false" ht="15" hidden="false" customHeight="false" outlineLevel="0" collapsed="false">
      <c r="A34" s="0" t="s">
        <v>111</v>
      </c>
      <c r="B34" s="3" t="n">
        <v>8</v>
      </c>
    </row>
    <row r="35" customFormat="false" ht="15" hidden="false" customHeight="false" outlineLevel="0" collapsed="false">
      <c r="A35" s="0" t="s">
        <v>112</v>
      </c>
      <c r="B35" s="3" t="n">
        <v>3</v>
      </c>
    </row>
    <row r="36" customFormat="false" ht="15" hidden="false" customHeight="false" outlineLevel="0" collapsed="false">
      <c r="A36" s="0" t="s">
        <v>113</v>
      </c>
      <c r="B36" s="3" t="n">
        <v>20</v>
      </c>
    </row>
    <row r="37" customFormat="false" ht="15" hidden="false" customHeight="false" outlineLevel="0" collapsed="false">
      <c r="A37" s="0" t="s">
        <v>114</v>
      </c>
      <c r="B37" s="3" t="n">
        <v>10</v>
      </c>
    </row>
    <row r="38" customFormat="false" ht="15" hidden="false" customHeight="false" outlineLevel="0" collapsed="false">
      <c r="A38" s="0" t="s">
        <v>115</v>
      </c>
      <c r="B38" s="3" t="n">
        <v>0.5</v>
      </c>
    </row>
    <row r="40" customFormat="false" ht="15" hidden="false" customHeight="false" outlineLevel="0" collapsed="false">
      <c r="A40" s="2" t="s">
        <v>117</v>
      </c>
      <c r="C40" s="2" t="s">
        <v>94</v>
      </c>
      <c r="D40" s="2" t="s">
        <v>95</v>
      </c>
      <c r="E40" s="2" t="s">
        <v>96</v>
      </c>
      <c r="F40" s="2" t="s">
        <v>97</v>
      </c>
      <c r="G40" s="2" t="s">
        <v>98</v>
      </c>
      <c r="H40" s="2" t="s">
        <v>99</v>
      </c>
      <c r="I40" s="2" t="s">
        <v>100</v>
      </c>
      <c r="J40" s="2" t="s">
        <v>101</v>
      </c>
      <c r="K40" s="2" t="s">
        <v>102</v>
      </c>
      <c r="L40" s="2" t="s">
        <v>103</v>
      </c>
    </row>
    <row r="41" customFormat="false" ht="15" hidden="false" customHeight="false" outlineLevel="0" collapsed="false">
      <c r="A41" s="0" t="s">
        <v>104</v>
      </c>
      <c r="C41" s="3" t="n">
        <v>5.2</v>
      </c>
      <c r="D41" s="3" t="n">
        <v>8</v>
      </c>
      <c r="E41" s="3" t="n">
        <v>8</v>
      </c>
      <c r="F41" s="3" t="n">
        <v>8</v>
      </c>
      <c r="G41" s="3" t="n">
        <v>7.5</v>
      </c>
      <c r="H41" s="3" t="n">
        <v>7</v>
      </c>
      <c r="I41" s="3" t="n">
        <v>6.5</v>
      </c>
      <c r="J41" s="3" t="n">
        <v>6</v>
      </c>
      <c r="K41" s="3" t="n">
        <v>5</v>
      </c>
      <c r="L41" s="3" t="n">
        <v>4.5</v>
      </c>
    </row>
    <row r="42" customFormat="false" ht="15" hidden="false" customHeight="false" outlineLevel="0" collapsed="false">
      <c r="A42" s="0" t="s">
        <v>105</v>
      </c>
      <c r="C42" s="3" t="n">
        <v>58.4</v>
      </c>
      <c r="D42" s="3" t="n">
        <v>59</v>
      </c>
      <c r="E42" s="3" t="n">
        <v>59.6</v>
      </c>
      <c r="F42" s="3" t="n">
        <v>60.2</v>
      </c>
      <c r="G42" s="3" t="n">
        <v>60.7</v>
      </c>
      <c r="H42" s="3" t="n">
        <v>61.1</v>
      </c>
      <c r="I42" s="3" t="n">
        <v>61.5</v>
      </c>
      <c r="J42" s="3" t="n">
        <v>61.8</v>
      </c>
      <c r="K42" s="3" t="n">
        <v>62</v>
      </c>
      <c r="L42" s="3" t="n">
        <v>62</v>
      </c>
    </row>
    <row r="43" customFormat="false" ht="15" hidden="false" customHeight="false" outlineLevel="0" collapsed="false">
      <c r="A43" s="0" t="s">
        <v>106</v>
      </c>
      <c r="C43" s="3" t="n">
        <v>2.6</v>
      </c>
      <c r="D43" s="3" t="n">
        <v>2.6</v>
      </c>
      <c r="E43" s="3" t="n">
        <v>2.6</v>
      </c>
      <c r="F43" s="3" t="n">
        <v>2.6</v>
      </c>
      <c r="G43" s="3" t="n">
        <v>2.6</v>
      </c>
      <c r="H43" s="3" t="n">
        <v>2.6</v>
      </c>
      <c r="I43" s="3" t="n">
        <v>2.6</v>
      </c>
      <c r="J43" s="3" t="n">
        <v>2.6</v>
      </c>
      <c r="K43" s="3" t="n">
        <v>2.6</v>
      </c>
      <c r="L43" s="3" t="n">
        <v>2.6</v>
      </c>
    </row>
    <row r="44" customFormat="false" ht="15" hidden="false" customHeight="false" outlineLevel="0" collapsed="false">
      <c r="A44" s="0" t="s">
        <v>107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108</v>
      </c>
      <c r="C45" s="3" t="n">
        <v>8.7</v>
      </c>
      <c r="D45" s="3" t="n">
        <v>8.7</v>
      </c>
      <c r="E45" s="3" t="n">
        <v>8.7</v>
      </c>
      <c r="F45" s="3" t="n">
        <v>8.7</v>
      </c>
      <c r="G45" s="3" t="n">
        <v>8.7</v>
      </c>
      <c r="H45" s="3" t="n">
        <v>8.7</v>
      </c>
      <c r="I45" s="3" t="n">
        <v>8.7</v>
      </c>
      <c r="J45" s="3" t="n">
        <v>8.7</v>
      </c>
      <c r="K45" s="3" t="n">
        <v>8.7</v>
      </c>
      <c r="L45" s="3" t="n">
        <v>8.7</v>
      </c>
    </row>
    <row r="46" customFormat="false" ht="15" hidden="false" customHeight="false" outlineLevel="0" collapsed="false">
      <c r="A46" s="0" t="s">
        <v>109</v>
      </c>
      <c r="C46" s="3" t="n">
        <v>8.4</v>
      </c>
      <c r="D46" s="3" t="n">
        <v>8.4</v>
      </c>
      <c r="E46" s="3" t="n">
        <v>8.3</v>
      </c>
      <c r="F46" s="3" t="n">
        <v>8.3</v>
      </c>
      <c r="G46" s="3" t="n">
        <v>8.2</v>
      </c>
      <c r="H46" s="3" t="n">
        <v>8.2</v>
      </c>
      <c r="I46" s="3" t="n">
        <v>8.1</v>
      </c>
      <c r="J46" s="3" t="n">
        <v>8.1</v>
      </c>
      <c r="K46" s="3" t="n">
        <v>8</v>
      </c>
      <c r="L46" s="3" t="n">
        <v>8</v>
      </c>
    </row>
    <row r="47" customFormat="false" ht="15" hidden="false" customHeight="false" outlineLevel="0" collapsed="false">
      <c r="A47" s="0" t="s">
        <v>110</v>
      </c>
      <c r="C47" s="3" t="n">
        <v>24.5</v>
      </c>
      <c r="D47" s="3" t="n">
        <v>24.5</v>
      </c>
      <c r="E47" s="3" t="n">
        <v>24.5</v>
      </c>
      <c r="F47" s="3" t="n">
        <v>24.5</v>
      </c>
      <c r="G47" s="3" t="n">
        <v>24.5</v>
      </c>
      <c r="H47" s="3" t="n">
        <v>24.5</v>
      </c>
      <c r="I47" s="3" t="n">
        <v>24.5</v>
      </c>
      <c r="J47" s="3" t="n">
        <v>24.5</v>
      </c>
      <c r="K47" s="3" t="n">
        <v>24.5</v>
      </c>
      <c r="L47" s="3" t="n">
        <v>24.5</v>
      </c>
    </row>
    <row r="48" customFormat="false" ht="15" hidden="false" customHeight="false" outlineLevel="0" collapsed="false">
      <c r="A48" s="0" t="s">
        <v>111</v>
      </c>
      <c r="B48" s="3" t="n">
        <v>8</v>
      </c>
    </row>
    <row r="49" customFormat="false" ht="15" hidden="false" customHeight="false" outlineLevel="0" collapsed="false">
      <c r="A49" s="0" t="s">
        <v>112</v>
      </c>
      <c r="B49" s="3" t="n">
        <v>3</v>
      </c>
    </row>
    <row r="50" customFormat="false" ht="15" hidden="false" customHeight="false" outlineLevel="0" collapsed="false">
      <c r="A50" s="0" t="s">
        <v>113</v>
      </c>
      <c r="B50" s="3" t="n">
        <v>22</v>
      </c>
    </row>
    <row r="51" customFormat="false" ht="15" hidden="false" customHeight="false" outlineLevel="0" collapsed="false">
      <c r="A51" s="0" t="s">
        <v>114</v>
      </c>
      <c r="B51" s="3" t="n">
        <v>12</v>
      </c>
    </row>
    <row r="52" customFormat="false" ht="15" hidden="false" customHeight="false" outlineLevel="0" collapsed="false">
      <c r="A52" s="0" t="s">
        <v>115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118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Assumptions!C13</f>
        <v>4</v>
      </c>
      <c r="D5" s="4" t="n">
        <f aca="false">Assumptions!D13</f>
        <v>4.5</v>
      </c>
      <c r="E5" s="4" t="n">
        <f aca="false">Assumptions!E13</f>
        <v>4</v>
      </c>
      <c r="F5" s="4" t="n">
        <f aca="false">Assumptions!F13</f>
        <v>4</v>
      </c>
      <c r="G5" s="4" t="n">
        <f aca="false">Assumptions!G13</f>
        <v>3.5</v>
      </c>
      <c r="H5" s="4" t="n">
        <f aca="false">Assumptions!H13</f>
        <v>3.5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3072.7</v>
      </c>
      <c r="C6" s="0" t="n">
        <f aca="false">B6*(1+C5/100)</f>
        <v>3195.608</v>
      </c>
      <c r="D6" s="0" t="n">
        <f aca="false">C6*(1+D5/100)</f>
        <v>3339.41036</v>
      </c>
      <c r="E6" s="0" t="n">
        <f aca="false">D6*(1+E5/100)</f>
        <v>3472.9867744</v>
      </c>
      <c r="F6" s="0" t="n">
        <f aca="false">E6*(1+F5/100)</f>
        <v>3611.906245376</v>
      </c>
      <c r="G6" s="0" t="n">
        <f aca="false">F6*(1+G5/100)</f>
        <v>3738.32296396416</v>
      </c>
      <c r="H6" s="0" t="n">
        <f aca="false">G6*(1+H5/100)</f>
        <v>3869.1642677029</v>
      </c>
      <c r="I6" s="0" t="n">
        <f aca="false">H6*(1+I5/100)</f>
        <v>3985.23919573399</v>
      </c>
      <c r="J6" s="0" t="n">
        <f aca="false">I6*(1+J5/100)</f>
        <v>4104.79637160601</v>
      </c>
      <c r="K6" s="0" t="n">
        <f aca="false">J6*(1+K5/100)</f>
        <v>4207.41628089616</v>
      </c>
      <c r="L6" s="0" t="n">
        <f aca="false">K6*(1+L5/100)</f>
        <v>4312.60168791857</v>
      </c>
    </row>
    <row r="7" customFormat="false" ht="15" hidden="false" customHeight="false" outlineLevel="0" collapsed="false">
      <c r="A7" s="0" t="s">
        <v>105</v>
      </c>
      <c r="C7" s="4" t="n">
        <f aca="false">Assumptions!C14</f>
        <v>58</v>
      </c>
      <c r="D7" s="4" t="n">
        <f aca="false">Assumptions!D14</f>
        <v>58</v>
      </c>
      <c r="E7" s="4" t="n">
        <f aca="false">Assumptions!E14</f>
        <v>57.8</v>
      </c>
      <c r="F7" s="4" t="n">
        <f aca="false">Assumptions!F14</f>
        <v>57.6</v>
      </c>
      <c r="G7" s="4" t="n">
        <f aca="false">Assumptions!G14</f>
        <v>57.4</v>
      </c>
      <c r="H7" s="4" t="n">
        <f aca="false">Assumptions!H14</f>
        <v>57.2</v>
      </c>
      <c r="I7" s="4" t="n">
        <f aca="false">Assumptions!I14</f>
        <v>57</v>
      </c>
      <c r="J7" s="4" t="n">
        <f aca="false">Assumptions!J14</f>
        <v>57</v>
      </c>
      <c r="K7" s="4" t="n">
        <f aca="false">Assumptions!K14</f>
        <v>57</v>
      </c>
      <c r="L7" s="4" t="n">
        <f aca="false">Assumptions!L14</f>
        <v>57</v>
      </c>
    </row>
    <row r="8" customFormat="false" ht="15" hidden="false" customHeight="false" outlineLevel="0" collapsed="false">
      <c r="A8" s="0" t="s">
        <v>43</v>
      </c>
      <c r="C8" s="0" t="n">
        <f aca="false">C6*C7/100</f>
        <v>1853.45264</v>
      </c>
      <c r="D8" s="0" t="n">
        <f aca="false">D6*D7/100</f>
        <v>1936.8580088</v>
      </c>
      <c r="E8" s="0" t="n">
        <f aca="false">E6*E7/100</f>
        <v>2007.3863556032</v>
      </c>
      <c r="F8" s="0" t="n">
        <f aca="false">F6*F7/100</f>
        <v>2080.45799733658</v>
      </c>
      <c r="G8" s="0" t="n">
        <f aca="false">G6*G7/100</f>
        <v>2145.79738131543</v>
      </c>
      <c r="H8" s="0" t="n">
        <f aca="false">H6*H7/100</f>
        <v>2213.16196112606</v>
      </c>
      <c r="I8" s="0" t="n">
        <f aca="false">I6*I7/100</f>
        <v>2271.58634156838</v>
      </c>
      <c r="J8" s="0" t="n">
        <f aca="false">J6*J7/100</f>
        <v>2339.73393181543</v>
      </c>
      <c r="K8" s="0" t="n">
        <f aca="false">K6*K7/100</f>
        <v>2398.22728011081</v>
      </c>
      <c r="L8" s="0" t="n">
        <f aca="false">L6*L7/100</f>
        <v>2458.18296211358</v>
      </c>
    </row>
    <row r="9" customFormat="false" ht="15" hidden="false" customHeight="false" outlineLevel="0" collapsed="false">
      <c r="A9" s="0" t="s">
        <v>106</v>
      </c>
      <c r="C9" s="4" t="n">
        <f aca="false">Assumptions!C15</f>
        <v>2.6</v>
      </c>
      <c r="D9" s="4" t="n">
        <f aca="false">Assumptions!D15</f>
        <v>2.6</v>
      </c>
      <c r="E9" s="4" t="n">
        <f aca="false">Assumptions!E15</f>
        <v>2.6</v>
      </c>
      <c r="F9" s="4" t="n">
        <f aca="false">Assumptions!F15</f>
        <v>2.6</v>
      </c>
      <c r="G9" s="4" t="n">
        <f aca="false">Assumptions!G15</f>
        <v>2.6</v>
      </c>
      <c r="H9" s="4" t="n">
        <f aca="false">Assumptions!H15</f>
        <v>2.6</v>
      </c>
      <c r="I9" s="4" t="n">
        <f aca="false">Assumptions!I15</f>
        <v>2.6</v>
      </c>
      <c r="J9" s="4" t="n">
        <f aca="false">Assumptions!J15</f>
        <v>2.6</v>
      </c>
      <c r="K9" s="4" t="n">
        <f aca="false">Assumptions!K15</f>
        <v>2.6</v>
      </c>
      <c r="L9" s="4" t="n">
        <f aca="false">Assumptions!L15</f>
        <v>2.6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-83.085808</v>
      </c>
      <c r="D10" s="0" t="n">
        <f aca="false">-D6*D9/100</f>
        <v>-86.82466936</v>
      </c>
      <c r="E10" s="0" t="n">
        <f aca="false">-E6*E9/100</f>
        <v>-90.2976561344</v>
      </c>
      <c r="F10" s="0" t="n">
        <f aca="false">-F6*F9/100</f>
        <v>-93.909562379776</v>
      </c>
      <c r="G10" s="0" t="n">
        <f aca="false">-G6*G9/100</f>
        <v>-97.1963970630682</v>
      </c>
      <c r="H10" s="0" t="n">
        <f aca="false">-H6*H9/100</f>
        <v>-100.598270960276</v>
      </c>
      <c r="I10" s="0" t="n">
        <f aca="false">-I6*I9/100</f>
        <v>-103.616219089084</v>
      </c>
      <c r="J10" s="0" t="n">
        <f aca="false">-J6*J9/100</f>
        <v>-106.724705661756</v>
      </c>
      <c r="K10" s="0" t="n">
        <f aca="false">-K6*K9/100</f>
        <v>-109.3928233033</v>
      </c>
      <c r="L10" s="0" t="n">
        <f aca="false">-L6*L9/100</f>
        <v>-112.127643885883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1770.366832</v>
      </c>
      <c r="D11" s="0" t="n">
        <f aca="false">D8+D10+D24</f>
        <v>1850.03333944</v>
      </c>
      <c r="E11" s="0" t="n">
        <f aca="false">E8+E10+E24</f>
        <v>1917.0886994688</v>
      </c>
      <c r="F11" s="0" t="n">
        <f aca="false">F8+F10+F24</f>
        <v>1986.5484349568</v>
      </c>
      <c r="G11" s="0" t="n">
        <f aca="false">G8+G10+G24</f>
        <v>2048.60098425236</v>
      </c>
      <c r="H11" s="0" t="n">
        <f aca="false">H8+H10+H24</f>
        <v>2112.56369016579</v>
      </c>
      <c r="I11" s="0" t="n">
        <f aca="false">I8+I10+I24</f>
        <v>2167.97012247929</v>
      </c>
      <c r="J11" s="0" t="n">
        <f aca="false">J8+J10+J24</f>
        <v>2233.00922615367</v>
      </c>
      <c r="K11" s="0" t="n">
        <f aca="false">K8+K10+K24</f>
        <v>2288.83445680751</v>
      </c>
      <c r="L11" s="0" t="n">
        <f aca="false">L8+L10+L24</f>
        <v>2346.0553182277</v>
      </c>
    </row>
    <row r="12" customFormat="false" ht="15" hidden="false" customHeight="false" outlineLevel="0" collapsed="false">
      <c r="A12" s="0" t="s">
        <v>123</v>
      </c>
      <c r="C12" s="4" t="n">
        <f aca="false">-C6*Assumptions!C17/100</f>
        <v>-278.017896</v>
      </c>
      <c r="D12" s="4" t="n">
        <f aca="false">-D6*Assumptions!D17/100</f>
        <v>-290.52870132</v>
      </c>
      <c r="E12" s="4" t="n">
        <f aca="false">-E6*Assumptions!E17/100</f>
        <v>-302.1498493728</v>
      </c>
      <c r="F12" s="4" t="n">
        <f aca="false">-F6*Assumptions!F17/100</f>
        <v>-314.235843347712</v>
      </c>
      <c r="G12" s="4" t="n">
        <f aca="false">-G6*Assumptions!G17/100</f>
        <v>-325.234097864882</v>
      </c>
      <c r="H12" s="4" t="n">
        <f aca="false">-H6*Assumptions!H17/100</f>
        <v>-336.617291290153</v>
      </c>
      <c r="I12" s="4" t="n">
        <f aca="false">-I6*Assumptions!I17/100</f>
        <v>-346.715810028857</v>
      </c>
      <c r="J12" s="4" t="n">
        <f aca="false">-J6*Assumptions!J17/100</f>
        <v>-357.117284329723</v>
      </c>
      <c r="K12" s="4" t="n">
        <f aca="false">-K6*Assumptions!K17/100</f>
        <v>-366.045216437966</v>
      </c>
      <c r="L12" s="4" t="n">
        <f aca="false">-L6*Assumptions!L17/100</f>
        <v>-375.196346848915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1492.348936</v>
      </c>
      <c r="D13" s="0" t="n">
        <f aca="false">D11+D12</f>
        <v>1559.50463812</v>
      </c>
      <c r="E13" s="0" t="n">
        <f aca="false">E11+E12</f>
        <v>1614.938850096</v>
      </c>
      <c r="F13" s="0" t="n">
        <f aca="false">F11+F12</f>
        <v>1672.31259160909</v>
      </c>
      <c r="G13" s="0" t="n">
        <f aca="false">G11+G12</f>
        <v>1723.36688638748</v>
      </c>
      <c r="H13" s="0" t="n">
        <f aca="false">H11+H12</f>
        <v>1775.94639887563</v>
      </c>
      <c r="I13" s="0" t="n">
        <f aca="false">I11+I12</f>
        <v>1821.25431245043</v>
      </c>
      <c r="J13" s="0" t="n">
        <f aca="false">J11+J12</f>
        <v>1875.89194182395</v>
      </c>
      <c r="K13" s="0" t="n">
        <f aca="false">K11+K12</f>
        <v>1922.78924036955</v>
      </c>
      <c r="L13" s="0" t="n">
        <f aca="false">L11+L12</f>
        <v>1970.85897137878</v>
      </c>
    </row>
    <row r="14" customFormat="false" ht="15" hidden="false" customHeight="false" outlineLevel="0" collapsed="false">
      <c r="A14" s="0" t="s">
        <v>110</v>
      </c>
      <c r="C14" s="4" t="n">
        <f aca="false">Assumptions!C19</f>
        <v>24.5</v>
      </c>
      <c r="D14" s="4" t="n">
        <f aca="false">Assumptions!D19</f>
        <v>24.5</v>
      </c>
      <c r="E14" s="4" t="n">
        <f aca="false">Assumptions!E19</f>
        <v>24.5</v>
      </c>
      <c r="F14" s="4" t="n">
        <f aca="false">Assumptions!F19</f>
        <v>24.5</v>
      </c>
      <c r="G14" s="4" t="n">
        <f aca="false">Assumptions!G19</f>
        <v>24.5</v>
      </c>
      <c r="H14" s="4" t="n">
        <f aca="false">Assumptions!H19</f>
        <v>24.5</v>
      </c>
      <c r="I14" s="4" t="n">
        <f aca="false">Assumptions!I19</f>
        <v>24.5</v>
      </c>
      <c r="J14" s="4" t="n">
        <f aca="false">Assumptions!J19</f>
        <v>24.5</v>
      </c>
      <c r="K14" s="4" t="n">
        <f aca="false">Assumptions!K19</f>
        <v>24.5</v>
      </c>
      <c r="L14" s="4" t="n">
        <f aca="false">Assumptions!L19</f>
        <v>24.5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1126.72344668</v>
      </c>
      <c r="D15" s="0" t="n">
        <f aca="false">D13-MAX(0,D13)*D14/100</f>
        <v>1177.4260017806</v>
      </c>
      <c r="E15" s="0" t="n">
        <f aca="false">E13-MAX(0,E13)*E14/100</f>
        <v>1219.27883182248</v>
      </c>
      <c r="F15" s="0" t="n">
        <f aca="false">F13-MAX(0,F13)*F14/100</f>
        <v>1262.59600666486</v>
      </c>
      <c r="G15" s="0" t="n">
        <f aca="false">G13-MAX(0,G13)*G14/100</f>
        <v>1301.14199922255</v>
      </c>
      <c r="H15" s="0" t="n">
        <f aca="false">H13-MAX(0,H13)*H14/100</f>
        <v>1340.8395311511</v>
      </c>
      <c r="I15" s="0" t="n">
        <f aca="false">I13-MAX(0,I13)*I14/100</f>
        <v>1375.04700590008</v>
      </c>
      <c r="J15" s="0" t="n">
        <f aca="false">J13-MAX(0,J13)*J14/100</f>
        <v>1416.29841607708</v>
      </c>
      <c r="K15" s="0" t="n">
        <f aca="false">K13-MAX(0,K13)*K14/100</f>
        <v>1451.70587647901</v>
      </c>
      <c r="L15" s="0" t="n">
        <f aca="false">L13-MAX(0,L13)*L14/100</f>
        <v>1487.99852339098</v>
      </c>
    </row>
    <row r="16" customFormat="false" ht="15" hidden="false" customHeight="false" outlineLevel="0" collapsed="false">
      <c r="A16" s="0" t="s">
        <v>126</v>
      </c>
      <c r="C16" s="0" t="n">
        <f aca="false">-C12</f>
        <v>278.017896</v>
      </c>
      <c r="D16" s="0" t="n">
        <f aca="false">-D12</f>
        <v>290.52870132</v>
      </c>
      <c r="E16" s="0" t="n">
        <f aca="false">-E12</f>
        <v>302.1498493728</v>
      </c>
      <c r="F16" s="0" t="n">
        <f aca="false">-F12</f>
        <v>314.235843347712</v>
      </c>
      <c r="G16" s="0" t="n">
        <f aca="false">-G12</f>
        <v>325.234097864882</v>
      </c>
      <c r="H16" s="0" t="n">
        <f aca="false">-H12</f>
        <v>336.617291290153</v>
      </c>
      <c r="I16" s="0" t="n">
        <f aca="false">-I12</f>
        <v>346.715810028857</v>
      </c>
      <c r="J16" s="0" t="n">
        <f aca="false">-J12</f>
        <v>357.117284329723</v>
      </c>
      <c r="K16" s="0" t="n">
        <f aca="false">-K12</f>
        <v>366.045216437966</v>
      </c>
      <c r="L16" s="0" t="n">
        <f aca="false">-L12</f>
        <v>375.196346848915</v>
      </c>
    </row>
    <row r="17" customFormat="false" ht="15" hidden="false" customHeight="false" outlineLevel="0" collapsed="false">
      <c r="A17" s="0" t="s">
        <v>127</v>
      </c>
      <c r="C17" s="4" t="n">
        <f aca="false">-C6*Assumptions!C18/100</f>
        <v>-271.62668</v>
      </c>
      <c r="D17" s="4" t="n">
        <f aca="false">-D6*Assumptions!D18/100</f>
        <v>-287.18929096</v>
      </c>
      <c r="E17" s="4" t="n">
        <f aca="false">-E6*Assumptions!E18/100</f>
        <v>-302.1498493728</v>
      </c>
      <c r="F17" s="4" t="n">
        <f aca="false">-F6*Assumptions!F18/100</f>
        <v>-317.847749593088</v>
      </c>
      <c r="G17" s="4" t="n">
        <f aca="false">-G6*Assumptions!G18/100</f>
        <v>-328.972420828846</v>
      </c>
      <c r="H17" s="4" t="n">
        <f aca="false">-H6*Assumptions!H18/100</f>
        <v>-340.486455557856</v>
      </c>
      <c r="I17" s="4" t="n">
        <f aca="false">-I6*Assumptions!I18/100</f>
        <v>-350.701049224591</v>
      </c>
      <c r="J17" s="4" t="n">
        <f aca="false">-J6*Assumptions!J18/100</f>
        <v>-361.222080701329</v>
      </c>
      <c r="K17" s="4" t="n">
        <f aca="false">-K6*Assumptions!K18/100</f>
        <v>-370.252632718862</v>
      </c>
      <c r="L17" s="4" t="n">
        <f aca="false">-L6*Assumptions!L18/100</f>
        <v>-379.508948536834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(C6-B6)*Assumptions!$B$23/100</f>
        <v>9.83263999999999</v>
      </c>
      <c r="D18" s="4" t="n">
        <f aca="false">(D6-C6)*Assumptions!$B$23/100</f>
        <v>11.5041888</v>
      </c>
      <c r="E18" s="4" t="n">
        <f aca="false">(E6-D6)*Assumptions!$B$23/100</f>
        <v>10.686113152</v>
      </c>
      <c r="F18" s="4" t="n">
        <f aca="false">(F6-E6)*Assumptions!$B$23/100</f>
        <v>11.11355767808</v>
      </c>
      <c r="G18" s="4" t="n">
        <f aca="false">(G6-F6)*Assumptions!$B$23/100</f>
        <v>10.1133374870528</v>
      </c>
      <c r="H18" s="4" t="n">
        <f aca="false">(H6-G6)*Assumptions!$B$23/100</f>
        <v>10.4673042990996</v>
      </c>
      <c r="I18" s="4" t="n">
        <f aca="false">(I6-H6)*Assumptions!$B$23/100</f>
        <v>9.285994242487</v>
      </c>
      <c r="J18" s="4" t="n">
        <f aca="false">(J6-I6)*Assumptions!$B$23/100</f>
        <v>9.56457406976162</v>
      </c>
      <c r="K18" s="4" t="n">
        <f aca="false">(K6-J6)*Assumptions!$B$23/100</f>
        <v>8.20959274321198</v>
      </c>
      <c r="L18" s="4" t="n">
        <f aca="false">(L6-K6)*Assumptions!$B$23/100</f>
        <v>8.41483256179228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1142.94730268</v>
      </c>
      <c r="D19" s="0" t="n">
        <f aca="false">D15+D16+D17+D18</f>
        <v>1192.2696009406</v>
      </c>
      <c r="E19" s="0" t="n">
        <f aca="false">E15+E16+E17+E18</f>
        <v>1229.96494497448</v>
      </c>
      <c r="F19" s="0" t="n">
        <f aca="false">F15+F16+F17+F18</f>
        <v>1270.09765809757</v>
      </c>
      <c r="G19" s="0" t="n">
        <f aca="false">G15+G16+G17+G18</f>
        <v>1307.51701374563</v>
      </c>
      <c r="H19" s="0" t="n">
        <f aca="false">H15+H16+H17+H18</f>
        <v>1347.4376711825</v>
      </c>
      <c r="I19" s="0" t="n">
        <f aca="false">I15+I16+I17+I18</f>
        <v>1380.34776094683</v>
      </c>
      <c r="J19" s="0" t="n">
        <f aca="false">J15+J16+J17+J18</f>
        <v>1421.75819377524</v>
      </c>
      <c r="K19" s="0" t="n">
        <f aca="false">K15+K16+K17+K18</f>
        <v>1455.70805294132</v>
      </c>
      <c r="L19" s="0" t="n">
        <f aca="false">L15+L16+L17+L18</f>
        <v>1492.10075426486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1058.28453951852</v>
      </c>
      <c r="D21" s="0" t="n">
        <f aca="false">D19*D20</f>
        <v>1022.17901315209</v>
      </c>
      <c r="E21" s="0" t="n">
        <f aca="false">E19*E20</f>
        <v>976.385828645341</v>
      </c>
      <c r="F21" s="0" t="n">
        <f aca="false">F19*F20</f>
        <v>933.559694668574</v>
      </c>
      <c r="G21" s="0" t="n">
        <f aca="false">G19*G20</f>
        <v>889.874109391029</v>
      </c>
      <c r="H21" s="0" t="n">
        <f aca="false">H19*H20</f>
        <v>849.114294497315</v>
      </c>
      <c r="I21" s="0" t="n">
        <f aca="false">I19*I20</f>
        <v>805.419660634068</v>
      </c>
      <c r="J21" s="0" t="n">
        <f aca="false">J19*J20</f>
        <v>768.131713382491</v>
      </c>
      <c r="K21" s="0" t="n">
        <f aca="false">K19*K20</f>
        <v>728.216449928844</v>
      </c>
      <c r="L21" s="0" t="n">
        <f aca="false">L19*L20</f>
        <v>691.131352941727</v>
      </c>
    </row>
    <row r="23" customFormat="false" ht="15" hidden="false" customHeight="false" outlineLevel="0" collapsed="false">
      <c r="A23" s="0" t="s">
        <v>107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112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113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8722.29665676</v>
      </c>
    </row>
    <row r="31" customFormat="false" ht="15" hidden="false" customHeight="false" outlineLevel="0" collapsed="false">
      <c r="A31" s="0" t="s">
        <v>135</v>
      </c>
      <c r="B31" s="0" t="n">
        <f aca="false">L19</f>
        <v>1492.10075426486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25365.7128225026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22381.5113139728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22381.5113139728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10366.9702941259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19089.2669508859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14767.1669508859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113.375562002963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-0.308179387338523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646.400743035417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882.925506197729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125.11703032721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11707.2520719243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38.3952444596077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Assumptions!C27</f>
        <v>4.6</v>
      </c>
      <c r="D5" s="4" t="n">
        <f aca="false">Assumptions!D27</f>
        <v>6.5</v>
      </c>
      <c r="E5" s="4" t="n">
        <f aca="false">Assumptions!E27</f>
        <v>6.5</v>
      </c>
      <c r="F5" s="4" t="n">
        <f aca="false">Assumptions!F27</f>
        <v>6.5</v>
      </c>
      <c r="G5" s="4" t="n">
        <f aca="false">Assumptions!G27</f>
        <v>6</v>
      </c>
      <c r="H5" s="4" t="n">
        <f aca="false">Assumptions!H27</f>
        <v>5.5</v>
      </c>
      <c r="I5" s="4" t="n">
        <f aca="false">Assumptions!I27</f>
        <v>5</v>
      </c>
      <c r="J5" s="4" t="n">
        <f aca="false">Assumptions!J27</f>
        <v>4.5</v>
      </c>
      <c r="K5" s="4" t="n">
        <f aca="false">Assumptions!K27</f>
        <v>4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37</v>
      </c>
      <c r="B6" s="3" t="n">
        <v>3072.7</v>
      </c>
      <c r="C6" s="0" t="n">
        <f aca="false">B6*(1+C5/100)</f>
        <v>3214.0442</v>
      </c>
      <c r="D6" s="0" t="n">
        <f aca="false">C6*(1+D5/100)</f>
        <v>3422.957073</v>
      </c>
      <c r="E6" s="0" t="n">
        <f aca="false">D6*(1+E5/100)</f>
        <v>3645.449282745</v>
      </c>
      <c r="F6" s="0" t="n">
        <f aca="false">E6*(1+F5/100)</f>
        <v>3882.40348612342</v>
      </c>
      <c r="G6" s="0" t="n">
        <f aca="false">F6*(1+G5/100)</f>
        <v>4115.34769529083</v>
      </c>
      <c r="H6" s="0" t="n">
        <f aca="false">G6*(1+H5/100)</f>
        <v>4341.69181853182</v>
      </c>
      <c r="I6" s="0" t="n">
        <f aca="false">H6*(1+I5/100)</f>
        <v>4558.77640945842</v>
      </c>
      <c r="J6" s="0" t="n">
        <f aca="false">I6*(1+J5/100)</f>
        <v>4763.92134788405</v>
      </c>
      <c r="K6" s="0" t="n">
        <f aca="false">J6*(1+K5/100)</f>
        <v>4954.47820179941</v>
      </c>
      <c r="L6" s="0" t="n">
        <f aca="false">K6*(1+L5/100)</f>
        <v>5127.88493886239</v>
      </c>
    </row>
    <row r="7" customFormat="false" ht="15" hidden="false" customHeight="false" outlineLevel="0" collapsed="false">
      <c r="A7" s="0" t="s">
        <v>105</v>
      </c>
      <c r="C7" s="4" t="n">
        <f aca="false">Assumptions!C28</f>
        <v>58.25</v>
      </c>
      <c r="D7" s="4" t="n">
        <f aca="false">Assumptions!D28</f>
        <v>58.65</v>
      </c>
      <c r="E7" s="4" t="n">
        <f aca="false">Assumptions!E28</f>
        <v>59.05</v>
      </c>
      <c r="F7" s="4" t="n">
        <f aca="false">Assumptions!F28</f>
        <v>59.45</v>
      </c>
      <c r="G7" s="4" t="n">
        <f aca="false">Assumptions!G28</f>
        <v>59.8</v>
      </c>
      <c r="H7" s="4" t="n">
        <f aca="false">Assumptions!H28</f>
        <v>60.1</v>
      </c>
      <c r="I7" s="4" t="n">
        <f aca="false">Assumptions!I28</f>
        <v>60.3</v>
      </c>
      <c r="J7" s="4" t="n">
        <f aca="false">Assumptions!J28</f>
        <v>60.4</v>
      </c>
      <c r="K7" s="4" t="n">
        <f aca="false">Assumptions!K28</f>
        <v>60.5</v>
      </c>
      <c r="L7" s="4" t="n">
        <f aca="false">Assumptions!L28</f>
        <v>60.5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1872.1807465</v>
      </c>
      <c r="D8" s="0" t="n">
        <f aca="false">D6*D7/100</f>
        <v>2007.5643233145</v>
      </c>
      <c r="E8" s="0" t="n">
        <f aca="false">E6*E7/100</f>
        <v>2152.63780146092</v>
      </c>
      <c r="F8" s="0" t="n">
        <f aca="false">F6*F7/100</f>
        <v>2308.08887250038</v>
      </c>
      <c r="G8" s="0" t="n">
        <f aca="false">G6*G7/100</f>
        <v>2460.97792178392</v>
      </c>
      <c r="H8" s="0" t="n">
        <f aca="false">H6*H7/100</f>
        <v>2609.35678293763</v>
      </c>
      <c r="I8" s="0" t="n">
        <f aca="false">I6*I7/100</f>
        <v>2748.94217490343</v>
      </c>
      <c r="J8" s="0" t="n">
        <f aca="false">J6*J7/100</f>
        <v>2877.40849412196</v>
      </c>
      <c r="K8" s="0" t="n">
        <f aca="false">K6*K7/100</f>
        <v>2997.45931208864</v>
      </c>
      <c r="L8" s="0" t="n">
        <f aca="false">L6*L7/100</f>
        <v>3102.37038801174</v>
      </c>
    </row>
    <row r="9" customFormat="false" ht="15" hidden="false" customHeight="false" outlineLevel="0" collapsed="false">
      <c r="A9" s="0" t="s">
        <v>106</v>
      </c>
      <c r="C9" s="4" t="n">
        <f aca="false">Assumptions!C29</f>
        <v>2.6</v>
      </c>
      <c r="D9" s="4" t="n">
        <f aca="false">Assumptions!D29</f>
        <v>2.6</v>
      </c>
      <c r="E9" s="4" t="n">
        <f aca="false">Assumptions!E29</f>
        <v>2.6</v>
      </c>
      <c r="F9" s="4" t="n">
        <f aca="false">Assumptions!F29</f>
        <v>2.6</v>
      </c>
      <c r="G9" s="4" t="n">
        <f aca="false">Assumptions!G29</f>
        <v>2.6</v>
      </c>
      <c r="H9" s="4" t="n">
        <f aca="false">Assumptions!H29</f>
        <v>2.6</v>
      </c>
      <c r="I9" s="4" t="n">
        <f aca="false">Assumptions!I29</f>
        <v>2.6</v>
      </c>
      <c r="J9" s="4" t="n">
        <f aca="false">Assumptions!J29</f>
        <v>2.6</v>
      </c>
      <c r="K9" s="4" t="n">
        <f aca="false">Assumptions!K29</f>
        <v>2.6</v>
      </c>
      <c r="L9" s="4" t="n">
        <f aca="false">Assumptions!L29</f>
        <v>2.6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-83.5651492</v>
      </c>
      <c r="D10" s="0" t="n">
        <f aca="false">-D6*D9/100</f>
        <v>-88.996883898</v>
      </c>
      <c r="E10" s="0" t="n">
        <f aca="false">-E6*E9/100</f>
        <v>-94.78168135137</v>
      </c>
      <c r="F10" s="0" t="n">
        <f aca="false">-F6*F9/100</f>
        <v>-100.942490639209</v>
      </c>
      <c r="G10" s="0" t="n">
        <f aca="false">-G6*G9/100</f>
        <v>-106.999040077562</v>
      </c>
      <c r="H10" s="0" t="n">
        <f aca="false">-H6*H9/100</f>
        <v>-112.883987281827</v>
      </c>
      <c r="I10" s="0" t="n">
        <f aca="false">-I6*I9/100</f>
        <v>-118.528186645919</v>
      </c>
      <c r="J10" s="0" t="n">
        <f aca="false">-J6*J9/100</f>
        <v>-123.861955044985</v>
      </c>
      <c r="K10" s="0" t="n">
        <f aca="false">-K6*K9/100</f>
        <v>-128.816433246785</v>
      </c>
      <c r="L10" s="0" t="n">
        <f aca="false">-L6*L9/100</f>
        <v>-133.325008410422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1788.6155973</v>
      </c>
      <c r="D11" s="0" t="n">
        <f aca="false">D8+D10+D24</f>
        <v>1918.5674394165</v>
      </c>
      <c r="E11" s="0" t="n">
        <f aca="false">E8+E10+E24</f>
        <v>2057.85612010955</v>
      </c>
      <c r="F11" s="0" t="n">
        <f aca="false">F8+F10+F24</f>
        <v>2207.14638186117</v>
      </c>
      <c r="G11" s="0" t="n">
        <f aca="false">G8+G10+G24</f>
        <v>2353.97888170635</v>
      </c>
      <c r="H11" s="0" t="n">
        <f aca="false">H8+H10+H24</f>
        <v>2496.4727956558</v>
      </c>
      <c r="I11" s="0" t="n">
        <f aca="false">I8+I10+I24</f>
        <v>2630.41398825751</v>
      </c>
      <c r="J11" s="0" t="n">
        <f aca="false">J8+J10+J24</f>
        <v>2753.54653907698</v>
      </c>
      <c r="K11" s="0" t="n">
        <f aca="false">K8+K10+K24</f>
        <v>2868.64287884186</v>
      </c>
      <c r="L11" s="0" t="n">
        <f aca="false">L8+L10+L24</f>
        <v>2969.04537960132</v>
      </c>
    </row>
    <row r="12" customFormat="false" ht="15" hidden="false" customHeight="false" outlineLevel="0" collapsed="false">
      <c r="A12" s="0" t="s">
        <v>123</v>
      </c>
      <c r="C12" s="4" t="n">
        <f aca="false">-C6*Assumptions!C31/100</f>
        <v>-279.6218454</v>
      </c>
      <c r="D12" s="4" t="n">
        <f aca="false">-D6*Assumptions!D31/100</f>
        <v>-297.797265351</v>
      </c>
      <c r="E12" s="4" t="n">
        <f aca="false">-E6*Assumptions!E31/100</f>
        <v>-317.154087598815</v>
      </c>
      <c r="F12" s="4" t="n">
        <f aca="false">-F6*Assumptions!F31/100</f>
        <v>-337.769103292738</v>
      </c>
      <c r="G12" s="4" t="n">
        <f aca="false">-G6*Assumptions!G31/100</f>
        <v>-358.035249490302</v>
      </c>
      <c r="H12" s="4" t="n">
        <f aca="false">-H6*Assumptions!H31/100</f>
        <v>-377.727188212269</v>
      </c>
      <c r="I12" s="4" t="n">
        <f aca="false">-I6*Assumptions!I31/100</f>
        <v>-396.613547622882</v>
      </c>
      <c r="J12" s="4" t="n">
        <f aca="false">-J6*Assumptions!J31/100</f>
        <v>-414.461157265912</v>
      </c>
      <c r="K12" s="4" t="n">
        <f aca="false">-K6*Assumptions!K31/100</f>
        <v>-431.039603556548</v>
      </c>
      <c r="L12" s="4" t="n">
        <f aca="false">-L6*Assumptions!L31/100</f>
        <v>-446.125989681028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1508.9937519</v>
      </c>
      <c r="D13" s="0" t="n">
        <f aca="false">D11+D12</f>
        <v>1620.7701740655</v>
      </c>
      <c r="E13" s="0" t="n">
        <f aca="false">E11+E12</f>
        <v>1740.70203251074</v>
      </c>
      <c r="F13" s="0" t="n">
        <f aca="false">F11+F12</f>
        <v>1869.37727856843</v>
      </c>
      <c r="G13" s="0" t="n">
        <f aca="false">G11+G12</f>
        <v>1995.94363221605</v>
      </c>
      <c r="H13" s="0" t="n">
        <f aca="false">H11+H12</f>
        <v>2118.74560744353</v>
      </c>
      <c r="I13" s="0" t="n">
        <f aca="false">I11+I12</f>
        <v>2233.80044063462</v>
      </c>
      <c r="J13" s="0" t="n">
        <f aca="false">J11+J12</f>
        <v>2339.08538181107</v>
      </c>
      <c r="K13" s="0" t="n">
        <f aca="false">K11+K12</f>
        <v>2437.60327528531</v>
      </c>
      <c r="L13" s="0" t="n">
        <f aca="false">L11+L12</f>
        <v>2522.91938992029</v>
      </c>
    </row>
    <row r="14" customFormat="false" ht="15" hidden="false" customHeight="false" outlineLevel="0" collapsed="false">
      <c r="A14" s="0" t="s">
        <v>110</v>
      </c>
      <c r="C14" s="4" t="n">
        <f aca="false">Assumptions!C33</f>
        <v>24.5</v>
      </c>
      <c r="D14" s="4" t="n">
        <f aca="false">Assumptions!D33</f>
        <v>24.5</v>
      </c>
      <c r="E14" s="4" t="n">
        <f aca="false">Assumptions!E33</f>
        <v>24.5</v>
      </c>
      <c r="F14" s="4" t="n">
        <f aca="false">Assumptions!F33</f>
        <v>24.5</v>
      </c>
      <c r="G14" s="4" t="n">
        <f aca="false">Assumptions!G33</f>
        <v>24.5</v>
      </c>
      <c r="H14" s="4" t="n">
        <f aca="false">Assumptions!H33</f>
        <v>24.5</v>
      </c>
      <c r="I14" s="4" t="n">
        <f aca="false">Assumptions!I33</f>
        <v>24.5</v>
      </c>
      <c r="J14" s="4" t="n">
        <f aca="false">Assumptions!J33</f>
        <v>24.5</v>
      </c>
      <c r="K14" s="4" t="n">
        <f aca="false">Assumptions!K33</f>
        <v>24.5</v>
      </c>
      <c r="L14" s="4" t="n">
        <f aca="false">Assumptions!L33</f>
        <v>24.5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1139.2902826845</v>
      </c>
      <c r="D15" s="0" t="n">
        <f aca="false">D13-MAX(0,D13)*D14/100</f>
        <v>1223.68148141945</v>
      </c>
      <c r="E15" s="0" t="n">
        <f aca="false">E13-MAX(0,E13)*E14/100</f>
        <v>1314.23003454561</v>
      </c>
      <c r="F15" s="0" t="n">
        <f aca="false">F13-MAX(0,F13)*F14/100</f>
        <v>1411.37984531916</v>
      </c>
      <c r="G15" s="0" t="n">
        <f aca="false">G13-MAX(0,G13)*G14/100</f>
        <v>1506.93744232312</v>
      </c>
      <c r="H15" s="0" t="n">
        <f aca="false">H13-MAX(0,H13)*H14/100</f>
        <v>1599.65293361987</v>
      </c>
      <c r="I15" s="0" t="n">
        <f aca="false">I13-MAX(0,I13)*I14/100</f>
        <v>1686.51933267914</v>
      </c>
      <c r="J15" s="0" t="n">
        <f aca="false">J13-MAX(0,J13)*J14/100</f>
        <v>1766.00946326735</v>
      </c>
      <c r="K15" s="0" t="n">
        <f aca="false">K13-MAX(0,K13)*K14/100</f>
        <v>1840.39047284041</v>
      </c>
      <c r="L15" s="0" t="n">
        <f aca="false">L13-MAX(0,L13)*L14/100</f>
        <v>1904.80413938982</v>
      </c>
    </row>
    <row r="16" customFormat="false" ht="15" hidden="false" customHeight="false" outlineLevel="0" collapsed="false">
      <c r="A16" s="0" t="s">
        <v>126</v>
      </c>
      <c r="C16" s="0" t="n">
        <f aca="false">-C12</f>
        <v>279.6218454</v>
      </c>
      <c r="D16" s="0" t="n">
        <f aca="false">-D12</f>
        <v>297.797265351</v>
      </c>
      <c r="E16" s="0" t="n">
        <f aca="false">-E12</f>
        <v>317.154087598815</v>
      </c>
      <c r="F16" s="0" t="n">
        <f aca="false">-F12</f>
        <v>337.769103292738</v>
      </c>
      <c r="G16" s="0" t="n">
        <f aca="false">-G12</f>
        <v>358.035249490302</v>
      </c>
      <c r="H16" s="0" t="n">
        <f aca="false">-H12</f>
        <v>377.727188212269</v>
      </c>
      <c r="I16" s="0" t="n">
        <f aca="false">-I12</f>
        <v>396.613547622882</v>
      </c>
      <c r="J16" s="0" t="n">
        <f aca="false">-J12</f>
        <v>414.461157265912</v>
      </c>
      <c r="K16" s="0" t="n">
        <f aca="false">-K12</f>
        <v>431.039603556548</v>
      </c>
      <c r="L16" s="0" t="n">
        <f aca="false">-L12</f>
        <v>446.125989681028</v>
      </c>
    </row>
    <row r="17" customFormat="false" ht="15" hidden="false" customHeight="false" outlineLevel="0" collapsed="false">
      <c r="A17" s="0" t="s">
        <v>127</v>
      </c>
      <c r="C17" s="4" t="n">
        <f aca="false">-C6*Assumptions!C32/100</f>
        <v>-269.9797128</v>
      </c>
      <c r="D17" s="4" t="n">
        <f aca="false">-D6*Assumptions!D32/100</f>
        <v>-287.528394132</v>
      </c>
      <c r="E17" s="4" t="n">
        <f aca="false">-E6*Assumptions!E32/100</f>
        <v>-302.572290467835</v>
      </c>
      <c r="F17" s="4" t="n">
        <f aca="false">-F6*Assumptions!F32/100</f>
        <v>-322.239489348244</v>
      </c>
      <c r="G17" s="4" t="n">
        <f aca="false">-G6*Assumptions!G32/100</f>
        <v>-337.458511013848</v>
      </c>
      <c r="H17" s="4" t="n">
        <f aca="false">-H6*Assumptions!H32/100</f>
        <v>-356.01872911961</v>
      </c>
      <c r="I17" s="4" t="n">
        <f aca="false">-I6*Assumptions!I32/100</f>
        <v>-369.260889166132</v>
      </c>
      <c r="J17" s="4" t="n">
        <f aca="false">-J6*Assumptions!J32/100</f>
        <v>-385.877629178608</v>
      </c>
      <c r="K17" s="4" t="n">
        <f aca="false">-K6*Assumptions!K32/100</f>
        <v>-396.358256143953</v>
      </c>
      <c r="L17" s="4" t="n">
        <f aca="false">-L6*Assumptions!L32/100</f>
        <v>-410.230795108991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(C6-B6)*Assumptions!$B$37/100</f>
        <v>14.13442</v>
      </c>
      <c r="D18" s="4" t="n">
        <f aca="false">(D6-C6)*Assumptions!$B$37/100</f>
        <v>20.8912873</v>
      </c>
      <c r="E18" s="4" t="n">
        <f aca="false">(E6-D6)*Assumptions!$B$37/100</f>
        <v>22.2492209745</v>
      </c>
      <c r="F18" s="4" t="n">
        <f aca="false">(F6-E6)*Assumptions!$B$37/100</f>
        <v>23.6954203378425</v>
      </c>
      <c r="G18" s="4" t="n">
        <f aca="false">(G6-F6)*Assumptions!$B$37/100</f>
        <v>23.2944209167405</v>
      </c>
      <c r="H18" s="4" t="n">
        <f aca="false">(H6-G6)*Assumptions!$B$37/100</f>
        <v>22.6344123240995</v>
      </c>
      <c r="I18" s="4" t="n">
        <f aca="false">(I6-H6)*Assumptions!$B$37/100</f>
        <v>21.7084590926592</v>
      </c>
      <c r="J18" s="4" t="n">
        <f aca="false">(J6-I6)*Assumptions!$B$37/100</f>
        <v>20.5144938425628</v>
      </c>
      <c r="K18" s="4" t="n">
        <f aca="false">(K6-J6)*Assumptions!$B$37/100</f>
        <v>19.0556853915362</v>
      </c>
      <c r="L18" s="4" t="n">
        <f aca="false">(L6-K6)*Assumptions!$B$37/100</f>
        <v>17.3406737062979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1163.0668352845</v>
      </c>
      <c r="D19" s="0" t="n">
        <f aca="false">D15+D16+D17+D18</f>
        <v>1254.84163993845</v>
      </c>
      <c r="E19" s="0" t="n">
        <f aca="false">E15+E16+E17+E18</f>
        <v>1351.06105265109</v>
      </c>
      <c r="F19" s="0" t="n">
        <f aca="false">F15+F16+F17+F18</f>
        <v>1450.6048796015</v>
      </c>
      <c r="G19" s="0" t="n">
        <f aca="false">G15+G16+G17+G18</f>
        <v>1550.80860171631</v>
      </c>
      <c r="H19" s="0" t="n">
        <f aca="false">H15+H16+H17+H18</f>
        <v>1643.99580503662</v>
      </c>
      <c r="I19" s="0" t="n">
        <f aca="false">I15+I16+I17+I18</f>
        <v>1735.58045022855</v>
      </c>
      <c r="J19" s="0" t="n">
        <f aca="false">J15+J16+J17+J18</f>
        <v>1815.10748519722</v>
      </c>
      <c r="K19" s="0" t="n">
        <f aca="false">K15+K16+K17+K18</f>
        <v>1894.12750564454</v>
      </c>
      <c r="L19" s="0" t="n">
        <f aca="false">L15+L16+L17+L18</f>
        <v>1958.04000766816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1076.91373637454</v>
      </c>
      <c r="D21" s="0" t="n">
        <f aca="false">D19*D20</f>
        <v>1075.82445125039</v>
      </c>
      <c r="E21" s="0" t="n">
        <f aca="false">E19*E20</f>
        <v>1072.51582318108</v>
      </c>
      <c r="F21" s="0" t="n">
        <f aca="false">F19*F20</f>
        <v>1066.23789111931</v>
      </c>
      <c r="G21" s="0" t="n">
        <f aca="false">G19*G20</f>
        <v>1055.45427614353</v>
      </c>
      <c r="H21" s="0" t="n">
        <f aca="false">H19*H20</f>
        <v>1035.99622305732</v>
      </c>
      <c r="I21" s="0" t="n">
        <f aca="false">I19*I20</f>
        <v>1012.69452291309</v>
      </c>
      <c r="J21" s="0" t="n">
        <f aca="false">J19*J20</f>
        <v>980.646096278689</v>
      </c>
      <c r="K21" s="0" t="n">
        <f aca="false">K19*K20</f>
        <v>947.535328313968</v>
      </c>
      <c r="L21" s="0" t="n">
        <f aca="false">L19*L20</f>
        <v>906.951380961175</v>
      </c>
    </row>
    <row r="23" customFormat="false" ht="15" hidden="false" customHeight="false" outlineLevel="0" collapsed="false">
      <c r="A23" s="0" t="s">
        <v>107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112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113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10230.7697295931</v>
      </c>
    </row>
    <row r="31" customFormat="false" ht="15" hidden="false" customHeight="false" outlineLevel="0" collapsed="false">
      <c r="A31" s="0" t="s">
        <v>135</v>
      </c>
      <c r="B31" s="0" t="n">
        <f aca="false">L19</f>
        <v>1958.04000766816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40335.624157964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39160.8001533631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39160.8001533631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18139.0276192235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28369.7973488166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24047.6973488166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184.627234923736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0.126600164289332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709.344311207978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1272.15867930759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199.840309706965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16806.5100658183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55.7403166246309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Assumptions!C41</f>
        <v>5.2</v>
      </c>
      <c r="D5" s="4" t="n">
        <f aca="false">Assumptions!D41</f>
        <v>8</v>
      </c>
      <c r="E5" s="4" t="n">
        <f aca="false">Assumptions!E41</f>
        <v>8</v>
      </c>
      <c r="F5" s="4" t="n">
        <f aca="false">Assumptions!F41</f>
        <v>8</v>
      </c>
      <c r="G5" s="4" t="n">
        <f aca="false">Assumptions!G41</f>
        <v>7.5</v>
      </c>
      <c r="H5" s="4" t="n">
        <f aca="false">Assumptions!H41</f>
        <v>7</v>
      </c>
      <c r="I5" s="4" t="n">
        <f aca="false">Assumptions!I41</f>
        <v>6.5</v>
      </c>
      <c r="J5" s="4" t="n">
        <f aca="false">Assumptions!J41</f>
        <v>6</v>
      </c>
      <c r="K5" s="4" t="n">
        <f aca="false">Assumptions!K41</f>
        <v>5</v>
      </c>
      <c r="L5" s="4" t="n">
        <f aca="false">Assumptions!L41</f>
        <v>4.5</v>
      </c>
    </row>
    <row r="6" customFormat="false" ht="15" hidden="false" customHeight="false" outlineLevel="0" collapsed="false">
      <c r="A6" s="0" t="s">
        <v>37</v>
      </c>
      <c r="B6" s="3" t="n">
        <v>3072.7</v>
      </c>
      <c r="C6" s="0" t="n">
        <f aca="false">B6*(1+C5/100)</f>
        <v>3232.4804</v>
      </c>
      <c r="D6" s="0" t="n">
        <f aca="false">C6*(1+D5/100)</f>
        <v>3491.078832</v>
      </c>
      <c r="E6" s="0" t="n">
        <f aca="false">D6*(1+E5/100)</f>
        <v>3770.36513856</v>
      </c>
      <c r="F6" s="0" t="n">
        <f aca="false">E6*(1+F5/100)</f>
        <v>4071.9943496448</v>
      </c>
      <c r="G6" s="0" t="n">
        <f aca="false">F6*(1+G5/100)</f>
        <v>4377.39392586816</v>
      </c>
      <c r="H6" s="0" t="n">
        <f aca="false">G6*(1+H5/100)</f>
        <v>4683.81150067893</v>
      </c>
      <c r="I6" s="0" t="n">
        <f aca="false">H6*(1+I5/100)</f>
        <v>4988.25924822306</v>
      </c>
      <c r="J6" s="0" t="n">
        <f aca="false">I6*(1+J5/100)</f>
        <v>5287.55480311645</v>
      </c>
      <c r="K6" s="0" t="n">
        <f aca="false">J6*(1+K5/100)</f>
        <v>5551.93254327227</v>
      </c>
      <c r="L6" s="0" t="n">
        <f aca="false">K6*(1+L5/100)</f>
        <v>5801.76950771952</v>
      </c>
    </row>
    <row r="7" customFormat="false" ht="15" hidden="false" customHeight="false" outlineLevel="0" collapsed="false">
      <c r="A7" s="0" t="s">
        <v>105</v>
      </c>
      <c r="C7" s="4" t="n">
        <f aca="false">Assumptions!C42</f>
        <v>58.4</v>
      </c>
      <c r="D7" s="4" t="n">
        <f aca="false">Assumptions!D42</f>
        <v>59</v>
      </c>
      <c r="E7" s="4" t="n">
        <f aca="false">Assumptions!E42</f>
        <v>59.6</v>
      </c>
      <c r="F7" s="4" t="n">
        <f aca="false">Assumptions!F42</f>
        <v>60.2</v>
      </c>
      <c r="G7" s="4" t="n">
        <f aca="false">Assumptions!G42</f>
        <v>60.7</v>
      </c>
      <c r="H7" s="4" t="n">
        <f aca="false">Assumptions!H42</f>
        <v>61.1</v>
      </c>
      <c r="I7" s="4" t="n">
        <f aca="false">Assumptions!I42</f>
        <v>61.5</v>
      </c>
      <c r="J7" s="4" t="n">
        <f aca="false">Assumptions!J42</f>
        <v>61.8</v>
      </c>
      <c r="K7" s="4" t="n">
        <f aca="false">Assumptions!K42</f>
        <v>62</v>
      </c>
      <c r="L7" s="4" t="n">
        <f aca="false">Assumptions!L42</f>
        <v>62</v>
      </c>
    </row>
    <row r="8" customFormat="false" ht="15" hidden="false" customHeight="false" outlineLevel="0" collapsed="false">
      <c r="A8" s="0" t="s">
        <v>43</v>
      </c>
      <c r="C8" s="0" t="n">
        <f aca="false">C6*C7/100</f>
        <v>1887.7685536</v>
      </c>
      <c r="D8" s="0" t="n">
        <f aca="false">D6*D7/100</f>
        <v>2059.73651088</v>
      </c>
      <c r="E8" s="0" t="n">
        <f aca="false">E6*E7/100</f>
        <v>2247.13762258176</v>
      </c>
      <c r="F8" s="0" t="n">
        <f aca="false">F6*F7/100</f>
        <v>2451.34059848617</v>
      </c>
      <c r="G8" s="0" t="n">
        <f aca="false">G6*G7/100</f>
        <v>2657.07811300197</v>
      </c>
      <c r="H8" s="0" t="n">
        <f aca="false">H6*H7/100</f>
        <v>2861.80882691483</v>
      </c>
      <c r="I8" s="0" t="n">
        <f aca="false">I6*I7/100</f>
        <v>3067.77943765718</v>
      </c>
      <c r="J8" s="0" t="n">
        <f aca="false">J6*J7/100</f>
        <v>3267.70886832597</v>
      </c>
      <c r="K8" s="0" t="n">
        <f aca="false">K6*K7/100</f>
        <v>3442.19817682881</v>
      </c>
      <c r="L8" s="0" t="n">
        <f aca="false">L6*L7/100</f>
        <v>3597.0970947861</v>
      </c>
    </row>
    <row r="9" customFormat="false" ht="15" hidden="false" customHeight="false" outlineLevel="0" collapsed="false">
      <c r="A9" s="0" t="s">
        <v>106</v>
      </c>
      <c r="C9" s="4" t="n">
        <f aca="false">Assumptions!C43</f>
        <v>2.6</v>
      </c>
      <c r="D9" s="4" t="n">
        <f aca="false">Assumptions!D43</f>
        <v>2.6</v>
      </c>
      <c r="E9" s="4" t="n">
        <f aca="false">Assumptions!E43</f>
        <v>2.6</v>
      </c>
      <c r="F9" s="4" t="n">
        <f aca="false">Assumptions!F43</f>
        <v>2.6</v>
      </c>
      <c r="G9" s="4" t="n">
        <f aca="false">Assumptions!G43</f>
        <v>2.6</v>
      </c>
      <c r="H9" s="4" t="n">
        <f aca="false">Assumptions!H43</f>
        <v>2.6</v>
      </c>
      <c r="I9" s="4" t="n">
        <f aca="false">Assumptions!I43</f>
        <v>2.6</v>
      </c>
      <c r="J9" s="4" t="n">
        <f aca="false">Assumptions!J43</f>
        <v>2.6</v>
      </c>
      <c r="K9" s="4" t="n">
        <f aca="false">Assumptions!K43</f>
        <v>2.6</v>
      </c>
      <c r="L9" s="4" t="n">
        <f aca="false">Assumptions!L43</f>
        <v>2.6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-84.0444904</v>
      </c>
      <c r="D10" s="0" t="n">
        <f aca="false">-D6*D9/100</f>
        <v>-90.768049632</v>
      </c>
      <c r="E10" s="0" t="n">
        <f aca="false">-E6*E9/100</f>
        <v>-98.02949360256</v>
      </c>
      <c r="F10" s="0" t="n">
        <f aca="false">-F6*F9/100</f>
        <v>-105.871853090765</v>
      </c>
      <c r="G10" s="0" t="n">
        <f aca="false">-G6*G9/100</f>
        <v>-113.812242072572</v>
      </c>
      <c r="H10" s="0" t="n">
        <f aca="false">-H6*H9/100</f>
        <v>-121.779099017652</v>
      </c>
      <c r="I10" s="0" t="n">
        <f aca="false">-I6*I9/100</f>
        <v>-129.6947404538</v>
      </c>
      <c r="J10" s="0" t="n">
        <f aca="false">-J6*J9/100</f>
        <v>-137.476424881028</v>
      </c>
      <c r="K10" s="0" t="n">
        <f aca="false">-K6*K9/100</f>
        <v>-144.350246125079</v>
      </c>
      <c r="L10" s="0" t="n">
        <f aca="false">-L6*L9/100</f>
        <v>-150.846007200708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1803.7240632</v>
      </c>
      <c r="D11" s="0" t="n">
        <f aca="false">D8+D10+D24</f>
        <v>1968.968461248</v>
      </c>
      <c r="E11" s="0" t="n">
        <f aca="false">E8+E10+E24</f>
        <v>2149.1081289792</v>
      </c>
      <c r="F11" s="0" t="n">
        <f aca="false">F8+F10+F24</f>
        <v>2345.46874539541</v>
      </c>
      <c r="G11" s="0" t="n">
        <f aca="false">G8+G10+G24</f>
        <v>2543.2658709294</v>
      </c>
      <c r="H11" s="0" t="n">
        <f aca="false">H8+H10+H24</f>
        <v>2740.02972789718</v>
      </c>
      <c r="I11" s="0" t="n">
        <f aca="false">I8+I10+I24</f>
        <v>2938.08469720338</v>
      </c>
      <c r="J11" s="0" t="n">
        <f aca="false">J8+J10+J24</f>
        <v>3130.23244344494</v>
      </c>
      <c r="K11" s="0" t="n">
        <f aca="false">K8+K10+K24</f>
        <v>3297.84793070373</v>
      </c>
      <c r="L11" s="0" t="n">
        <f aca="false">L8+L10+L24</f>
        <v>3446.2510875854</v>
      </c>
    </row>
    <row r="12" customFormat="false" ht="15" hidden="false" customHeight="false" outlineLevel="0" collapsed="false">
      <c r="A12" s="0" t="s">
        <v>123</v>
      </c>
      <c r="C12" s="4" t="n">
        <f aca="false">-C6*Assumptions!C45/100</f>
        <v>-281.2257948</v>
      </c>
      <c r="D12" s="4" t="n">
        <f aca="false">-D6*Assumptions!D45/100</f>
        <v>-303.723858384</v>
      </c>
      <c r="E12" s="4" t="n">
        <f aca="false">-E6*Assumptions!E45/100</f>
        <v>-328.02176705472</v>
      </c>
      <c r="F12" s="4" t="n">
        <f aca="false">-F6*Assumptions!F45/100</f>
        <v>-354.263508419098</v>
      </c>
      <c r="G12" s="4" t="n">
        <f aca="false">-G6*Assumptions!G45/100</f>
        <v>-380.83327155053</v>
      </c>
      <c r="H12" s="4" t="n">
        <f aca="false">-H6*Assumptions!H45/100</f>
        <v>-407.491600559067</v>
      </c>
      <c r="I12" s="4" t="n">
        <f aca="false">-I6*Assumptions!I45/100</f>
        <v>-433.978554595407</v>
      </c>
      <c r="J12" s="4" t="n">
        <f aca="false">-J6*Assumptions!J45/100</f>
        <v>-460.017267871131</v>
      </c>
      <c r="K12" s="4" t="n">
        <f aca="false">-K6*Assumptions!K45/100</f>
        <v>-483.018131264688</v>
      </c>
      <c r="L12" s="4" t="n">
        <f aca="false">-L6*Assumptions!L45/100</f>
        <v>-504.753947171598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1522.4982684</v>
      </c>
      <c r="D13" s="0" t="n">
        <f aca="false">D11+D12</f>
        <v>1665.244602864</v>
      </c>
      <c r="E13" s="0" t="n">
        <f aca="false">E11+E12</f>
        <v>1821.08636192448</v>
      </c>
      <c r="F13" s="0" t="n">
        <f aca="false">F11+F12</f>
        <v>1991.20523697631</v>
      </c>
      <c r="G13" s="0" t="n">
        <f aca="false">G11+G12</f>
        <v>2162.43259937887</v>
      </c>
      <c r="H13" s="0" t="n">
        <f aca="false">H11+H12</f>
        <v>2332.53812733811</v>
      </c>
      <c r="I13" s="0" t="n">
        <f aca="false">I11+I12</f>
        <v>2504.10614260798</v>
      </c>
      <c r="J13" s="0" t="n">
        <f aca="false">J11+J12</f>
        <v>2670.21517557381</v>
      </c>
      <c r="K13" s="0" t="n">
        <f aca="false">K11+K12</f>
        <v>2814.82979943904</v>
      </c>
      <c r="L13" s="0" t="n">
        <f aca="false">L11+L12</f>
        <v>2941.4971404138</v>
      </c>
    </row>
    <row r="14" customFormat="false" ht="15" hidden="false" customHeight="false" outlineLevel="0" collapsed="false">
      <c r="A14" s="0" t="s">
        <v>110</v>
      </c>
      <c r="C14" s="4" t="n">
        <f aca="false">Assumptions!C47</f>
        <v>24.5</v>
      </c>
      <c r="D14" s="4" t="n">
        <f aca="false">Assumptions!D47</f>
        <v>24.5</v>
      </c>
      <c r="E14" s="4" t="n">
        <f aca="false">Assumptions!E47</f>
        <v>24.5</v>
      </c>
      <c r="F14" s="4" t="n">
        <f aca="false">Assumptions!F47</f>
        <v>24.5</v>
      </c>
      <c r="G14" s="4" t="n">
        <f aca="false">Assumptions!G47</f>
        <v>24.5</v>
      </c>
      <c r="H14" s="4" t="n">
        <f aca="false">Assumptions!H47</f>
        <v>24.5</v>
      </c>
      <c r="I14" s="4" t="n">
        <f aca="false">Assumptions!I47</f>
        <v>24.5</v>
      </c>
      <c r="J14" s="4" t="n">
        <f aca="false">Assumptions!J47</f>
        <v>24.5</v>
      </c>
      <c r="K14" s="4" t="n">
        <f aca="false">Assumptions!K47</f>
        <v>24.5</v>
      </c>
      <c r="L14" s="4" t="n">
        <f aca="false">Assumptions!L47</f>
        <v>24.5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1149.486192642</v>
      </c>
      <c r="D15" s="0" t="n">
        <f aca="false">D13-MAX(0,D13)*D14/100</f>
        <v>1257.25967516232</v>
      </c>
      <c r="E15" s="0" t="n">
        <f aca="false">E13-MAX(0,E13)*E14/100</f>
        <v>1374.92020325298</v>
      </c>
      <c r="F15" s="0" t="n">
        <f aca="false">F13-MAX(0,F13)*F14/100</f>
        <v>1503.35995391711</v>
      </c>
      <c r="G15" s="0" t="n">
        <f aca="false">G13-MAX(0,G13)*G14/100</f>
        <v>1632.63661253105</v>
      </c>
      <c r="H15" s="0" t="n">
        <f aca="false">H13-MAX(0,H13)*H14/100</f>
        <v>1761.06628614027</v>
      </c>
      <c r="I15" s="0" t="n">
        <f aca="false">I13-MAX(0,I13)*I14/100</f>
        <v>1890.60013766902</v>
      </c>
      <c r="J15" s="0" t="n">
        <f aca="false">J13-MAX(0,J13)*J14/100</f>
        <v>2016.01245755822</v>
      </c>
      <c r="K15" s="0" t="n">
        <f aca="false">K13-MAX(0,K13)*K14/100</f>
        <v>2125.19649857648</v>
      </c>
      <c r="L15" s="0" t="n">
        <f aca="false">L13-MAX(0,L13)*L14/100</f>
        <v>2220.83034101242</v>
      </c>
    </row>
    <row r="16" customFormat="false" ht="15" hidden="false" customHeight="false" outlineLevel="0" collapsed="false">
      <c r="A16" s="0" t="s">
        <v>126</v>
      </c>
      <c r="C16" s="0" t="n">
        <f aca="false">-C12</f>
        <v>281.2257948</v>
      </c>
      <c r="D16" s="0" t="n">
        <f aca="false">-D12</f>
        <v>303.723858384</v>
      </c>
      <c r="E16" s="0" t="n">
        <f aca="false">-E12</f>
        <v>328.02176705472</v>
      </c>
      <c r="F16" s="0" t="n">
        <f aca="false">-F12</f>
        <v>354.263508419098</v>
      </c>
      <c r="G16" s="0" t="n">
        <f aca="false">-G12</f>
        <v>380.83327155053</v>
      </c>
      <c r="H16" s="0" t="n">
        <f aca="false">-H12</f>
        <v>407.491600559067</v>
      </c>
      <c r="I16" s="0" t="n">
        <f aca="false">-I12</f>
        <v>433.978554595407</v>
      </c>
      <c r="J16" s="0" t="n">
        <f aca="false">-J12</f>
        <v>460.017267871131</v>
      </c>
      <c r="K16" s="0" t="n">
        <f aca="false">-K12</f>
        <v>483.018131264688</v>
      </c>
      <c r="L16" s="0" t="n">
        <f aca="false">-L12</f>
        <v>504.753947171598</v>
      </c>
    </row>
    <row r="17" customFormat="false" ht="15" hidden="false" customHeight="false" outlineLevel="0" collapsed="false">
      <c r="A17" s="0" t="s">
        <v>127</v>
      </c>
      <c r="C17" s="4" t="n">
        <f aca="false">-C6*Assumptions!C46/100</f>
        <v>-271.5283536</v>
      </c>
      <c r="D17" s="4" t="n">
        <f aca="false">-D6*Assumptions!D46/100</f>
        <v>-293.250621888</v>
      </c>
      <c r="E17" s="4" t="n">
        <f aca="false">-E6*Assumptions!E46/100</f>
        <v>-312.94030650048</v>
      </c>
      <c r="F17" s="4" t="n">
        <f aca="false">-F6*Assumptions!F46/100</f>
        <v>-337.975531020519</v>
      </c>
      <c r="G17" s="4" t="n">
        <f aca="false">-G6*Assumptions!G46/100</f>
        <v>-358.946301921189</v>
      </c>
      <c r="H17" s="4" t="n">
        <f aca="false">-H6*Assumptions!H46/100</f>
        <v>-384.072543055673</v>
      </c>
      <c r="I17" s="4" t="n">
        <f aca="false">-I6*Assumptions!I46/100</f>
        <v>-404.048999106068</v>
      </c>
      <c r="J17" s="4" t="n">
        <f aca="false">-J6*Assumptions!J46/100</f>
        <v>-428.291939052432</v>
      </c>
      <c r="K17" s="4" t="n">
        <f aca="false">-K6*Assumptions!K46/100</f>
        <v>-444.154603461782</v>
      </c>
      <c r="L17" s="4" t="n">
        <f aca="false">-L6*Assumptions!L46/100</f>
        <v>-464.141560617562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(C6-B6)*Assumptions!$B$51/100</f>
        <v>19.173648</v>
      </c>
      <c r="D18" s="4" t="n">
        <f aca="false">(D6-C6)*Assumptions!$B$51/100</f>
        <v>31.03181184</v>
      </c>
      <c r="E18" s="4" t="n">
        <f aca="false">(E6-D6)*Assumptions!$B$51/100</f>
        <v>33.5143567872001</v>
      </c>
      <c r="F18" s="4" t="n">
        <f aca="false">(F6-E6)*Assumptions!$B$51/100</f>
        <v>36.195505330176</v>
      </c>
      <c r="G18" s="4" t="n">
        <f aca="false">(G6-F6)*Assumptions!$B$51/100</f>
        <v>36.6479491468032</v>
      </c>
      <c r="H18" s="4" t="n">
        <f aca="false">(H6-G6)*Assumptions!$B$51/100</f>
        <v>36.7701089772926</v>
      </c>
      <c r="I18" s="4" t="n">
        <f aca="false">(I6-H6)*Assumptions!$B$51/100</f>
        <v>36.5337297052957</v>
      </c>
      <c r="J18" s="4" t="n">
        <f aca="false">(J6-I6)*Assumptions!$B$51/100</f>
        <v>35.9154665872061</v>
      </c>
      <c r="K18" s="4" t="n">
        <f aca="false">(K6-J6)*Assumptions!$B$51/100</f>
        <v>31.7253288186987</v>
      </c>
      <c r="L18" s="4" t="n">
        <f aca="false">(L6-K6)*Assumptions!$B$51/100</f>
        <v>29.9804357336702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1178.357281842</v>
      </c>
      <c r="D19" s="0" t="n">
        <f aca="false">D15+D16+D17+D18</f>
        <v>1298.76472349832</v>
      </c>
      <c r="E19" s="0" t="n">
        <f aca="false">E15+E16+E17+E18</f>
        <v>1423.51602059442</v>
      </c>
      <c r="F19" s="0" t="n">
        <f aca="false">F15+F16+F17+F18</f>
        <v>1555.84343664587</v>
      </c>
      <c r="G19" s="0" t="n">
        <f aca="false">G15+G16+G17+G18</f>
        <v>1691.17153130719</v>
      </c>
      <c r="H19" s="0" t="n">
        <f aca="false">H15+H16+H17+H18</f>
        <v>1821.25545262096</v>
      </c>
      <c r="I19" s="0" t="n">
        <f aca="false">I15+I16+I17+I18</f>
        <v>1957.06342286366</v>
      </c>
      <c r="J19" s="0" t="n">
        <f aca="false">J15+J16+J17+J18</f>
        <v>2083.65325296413</v>
      </c>
      <c r="K19" s="0" t="n">
        <f aca="false">K15+K16+K17+K18</f>
        <v>2195.78535519808</v>
      </c>
      <c r="L19" s="0" t="n">
        <f aca="false">L15+L16+L17+L18</f>
        <v>2291.42316330012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1091.07155726111</v>
      </c>
      <c r="D21" s="0" t="n">
        <f aca="false">D19*D20</f>
        <v>1113.48141589362</v>
      </c>
      <c r="E21" s="0" t="n">
        <f aca="false">E19*E20</f>
        <v>1130.03291275658</v>
      </c>
      <c r="F21" s="0" t="n">
        <f aca="false">F19*F20</f>
        <v>1143.59137221214</v>
      </c>
      <c r="G21" s="0" t="n">
        <f aca="false">G19*G20</f>
        <v>1150.98292750952</v>
      </c>
      <c r="H21" s="0" t="n">
        <f aca="false">H19*H20</f>
        <v>1147.69986903697</v>
      </c>
      <c r="I21" s="0" t="n">
        <f aca="false">I19*I20</f>
        <v>1141.92771015978</v>
      </c>
      <c r="J21" s="0" t="n">
        <f aca="false">J19*J20</f>
        <v>1125.73301866784</v>
      </c>
      <c r="K21" s="0" t="n">
        <f aca="false">K19*K20</f>
        <v>1098.43935598022</v>
      </c>
      <c r="L21" s="0" t="n">
        <f aca="false">L19*L20</f>
        <v>1061.37228768703</v>
      </c>
    </row>
    <row r="23" customFormat="false" ht="15" hidden="false" customHeight="false" outlineLevel="0" collapsed="false">
      <c r="A23" s="0" t="s">
        <v>107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112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113</v>
      </c>
      <c r="B29" s="4" t="n">
        <f aca="false">Assumptions!$B$50</f>
        <v>22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11204.3324271648</v>
      </c>
    </row>
    <row r="31" customFormat="false" ht="15" hidden="false" customHeight="false" outlineLevel="0" collapsed="false">
      <c r="A31" s="0" t="s">
        <v>135</v>
      </c>
      <c r="B31" s="0" t="n">
        <f aca="false">L19</f>
        <v>2291.42316330012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47203.3171639825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50411.3095926027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47203.3171639825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21864.2691263527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33068.6015535175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28746.5015535175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220.702507128733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0.346732408644944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757.507899186601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1439.34029772223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237.568904033984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19668.0488183261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66.084086208378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2" t="s">
        <v>152</v>
      </c>
      <c r="B3" s="2" t="s">
        <v>153</v>
      </c>
      <c r="C3" s="2" t="s">
        <v>143</v>
      </c>
      <c r="D3" s="2" t="s">
        <v>154</v>
      </c>
      <c r="E3" s="2" t="s">
        <v>146</v>
      </c>
      <c r="F3" s="2" t="s">
        <v>155</v>
      </c>
    </row>
    <row r="4" customFormat="false" ht="15" hidden="false" customHeight="false" outlineLevel="0" collapsed="false">
      <c r="A4" s="0" t="s">
        <v>156</v>
      </c>
      <c r="B4" s="4" t="n">
        <f aca="false">DCF_Bear!$B$38</f>
        <v>113.375562002963</v>
      </c>
      <c r="C4" s="0" t="n">
        <f aca="false">B4/Assumptions!$B$2-1</f>
        <v>-0.308179387338523</v>
      </c>
      <c r="D4" s="4" t="n">
        <f aca="false">Assumptions!$B$24</f>
        <v>0.25</v>
      </c>
      <c r="E4" s="4" t="n">
        <f aca="false">DCF_Bear!$B$43</f>
        <v>125.11703032721</v>
      </c>
      <c r="F4" s="4" t="n">
        <f aca="false">DCF_Bear!$B$47</f>
        <v>38.3952444596077</v>
      </c>
    </row>
    <row r="5" customFormat="false" ht="15" hidden="false" customHeight="false" outlineLevel="0" collapsed="false">
      <c r="A5" s="0" t="s">
        <v>157</v>
      </c>
      <c r="B5" s="4" t="n">
        <f aca="false">DCF_Base!$B$38</f>
        <v>184.627234923736</v>
      </c>
      <c r="C5" s="0" t="n">
        <f aca="false">B5/Assumptions!$B$2-1</f>
        <v>0.126600164289332</v>
      </c>
      <c r="D5" s="4" t="n">
        <f aca="false">Assumptions!$B$38</f>
        <v>0.5</v>
      </c>
      <c r="E5" s="4" t="n">
        <f aca="false">DCF_Base!$B$43</f>
        <v>199.840309706965</v>
      </c>
      <c r="F5" s="4" t="n">
        <f aca="false">DCF_Base!$B$47</f>
        <v>55.7403166246309</v>
      </c>
    </row>
    <row r="6" customFormat="false" ht="15" hidden="false" customHeight="false" outlineLevel="0" collapsed="false">
      <c r="A6" s="0" t="s">
        <v>158</v>
      </c>
      <c r="B6" s="4" t="n">
        <f aca="false">DCF_Bull!$B$38</f>
        <v>220.702507128733</v>
      </c>
      <c r="C6" s="0" t="n">
        <f aca="false">B6/Assumptions!$B$2-1</f>
        <v>0.346732408644944</v>
      </c>
      <c r="D6" s="4" t="n">
        <f aca="false">Assumptions!$B$52</f>
        <v>0.25</v>
      </c>
      <c r="E6" s="4" t="n">
        <f aca="false">DCF_Bull!$B$43</f>
        <v>237.568904033984</v>
      </c>
      <c r="F6" s="4" t="n">
        <f aca="false">DCF_Bull!$B$47</f>
        <v>66.084086208378</v>
      </c>
    </row>
    <row r="8" customFormat="false" ht="15" hidden="false" customHeight="false" outlineLevel="0" collapsed="false">
      <c r="A8" s="0" t="s">
        <v>159</v>
      </c>
      <c r="B8" s="0" t="n">
        <f aca="false">SUMPRODUCT(B4:B6,D4:D6)</f>
        <v>175.833134744792</v>
      </c>
    </row>
    <row r="9" customFormat="false" ht="15" hidden="false" customHeight="false" outlineLevel="0" collapsed="false">
      <c r="A9" s="0" t="s">
        <v>160</v>
      </c>
      <c r="B9" s="0" t="n">
        <f aca="false">SUMPRODUCT(E4:E6,D4:D6)</f>
        <v>190.591638443781</v>
      </c>
    </row>
    <row r="10" customFormat="false" ht="15" hidden="false" customHeight="false" outlineLevel="0" collapsed="false">
      <c r="A10" s="0" t="s">
        <v>161</v>
      </c>
      <c r="B10" s="0" t="n">
        <f aca="false">1-Assumptions!$B$2/B8</f>
        <v>0.0679799900180418</v>
      </c>
    </row>
    <row r="11" customFormat="false" ht="15" hidden="false" customHeight="false" outlineLevel="0" collapsed="false">
      <c r="A11" s="0" t="s">
        <v>162</v>
      </c>
      <c r="B11" s="0" t="n">
        <f aca="false">IF(ABS(B9-B8)&gt;0.01*ABS(B8),(Assumptions!$B$2-B8)/(B9-B8)*100,"n/a")</f>
        <v>-80.9915082760798</v>
      </c>
    </row>
    <row r="12" customFormat="false" ht="15" hidden="false" customHeight="false" outlineLevel="0" collapsed="false">
      <c r="A12" s="0" t="s">
        <v>163</v>
      </c>
      <c r="B12" s="0" t="n">
        <f aca="false">SUMPRODUCT(F4:F6,D4:D6)</f>
        <v>53.9899909793118</v>
      </c>
    </row>
    <row r="14" customFormat="false" ht="15" hidden="false" customHeight="false" outlineLevel="0" collapsed="false">
      <c r="A14" s="2" t="s">
        <v>164</v>
      </c>
      <c r="C14" s="0" t="s">
        <v>165</v>
      </c>
    </row>
    <row r="15" customFormat="false" ht="15" hidden="false" customHeight="false" outlineLevel="0" collapsed="false">
      <c r="A15" s="0" t="s">
        <v>166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184.627234923736</v>
      </c>
      <c r="C15" s="3" t="n">
        <v>8</v>
      </c>
    </row>
    <row r="16" customFormat="false" ht="15" hidden="false" customHeight="false" outlineLevel="0" collapsed="false">
      <c r="A16" s="0" t="s">
        <v>167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150.620141863001</v>
      </c>
      <c r="C16" s="3" t="n">
        <v>9</v>
      </c>
    </row>
    <row r="17" customFormat="false" ht="15" hidden="false" customHeight="false" outlineLevel="0" collapsed="false">
      <c r="A17" s="0" t="s">
        <v>168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123.39817458122</v>
      </c>
      <c r="C17" s="3" t="n">
        <v>10</v>
      </c>
    </row>
    <row r="18" customFormat="false" ht="15" hidden="false" customHeight="false" outlineLevel="0" collapsed="false">
      <c r="A18" s="0" t="s">
        <v>169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103.024995468271</v>
      </c>
      <c r="C18" s="3" t="n">
        <v>11</v>
      </c>
    </row>
    <row r="19" customFormat="false" ht="15" hidden="false" customHeight="false" outlineLevel="0" collapsed="false">
      <c r="A19" s="0" t="s">
        <v>170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87.2151379168013</v>
      </c>
      <c r="C19" s="3" t="n">
        <v>12</v>
      </c>
    </row>
    <row r="20" customFormat="false" ht="15" hidden="false" customHeight="false" outlineLevel="0" collapsed="false">
      <c r="A20" s="0" t="s">
        <v>171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55.7403166246309</v>
      </c>
      <c r="C20" s="3" t="n">
        <v>15</v>
      </c>
    </row>
    <row r="22" customFormat="false" ht="15" hidden="false" customHeight="false" outlineLevel="0" collapsed="false">
      <c r="A22" s="2" t="s">
        <v>172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221.634500036886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221.634500036886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221.634500036886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221.634500036886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221.634500036886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202.240743612765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202.240743612765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202.240743612765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202.240743612765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202.240743612765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163.73775973845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175.132018930424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184.627234923736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184.627234923736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184.627234923736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134.140185498231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141.746319205048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150.620141863001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161.1073868224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168.612020830043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112.013473403127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117.326333952904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123.39817458122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130.40414453697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138.577776152011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2026-10-02T21:31:57Z</dcterms:created>
  <dc:creator>openpyxl</dc:creator>
  <dc:description/>
  <dc:language>en-NZ</dc:language>
  <cp:lastModifiedBy/>
  <dcterms:modified xsi:type="dcterms:W3CDTF">2026-10-02T21:31:57Z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