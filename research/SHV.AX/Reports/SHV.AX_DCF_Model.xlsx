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<sst xmlns="http://schemas.openxmlformats.org/spreadsheetml/2006/main" count="365" uniqueCount="169">
  <si>
    <t xml:space="preserve">Ticker</t>
  </si>
  <si>
    <t xml:space="preserve">SHV.AX</t>
  </si>
  <si>
    <t xml:space="preserve">Company</t>
  </si>
  <si>
    <t xml:space="preserve">Select Harvests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</si>
  <si>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</si>
  <si>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</si>
  <si>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</si>
  <si>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</si>
  <si>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2026-09-25T04:52:11Z regular session (Yahoo Finance chart API)</t>
  </si>
  <si>
    <t xml:space="preserve">Balance sheet date</t>
  </si>
  <si>
    <t xml:space="preserve">2025-09-30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</si>
  <si>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</si>
  <si>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</si>
  <si>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</si>
  <si>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</si>
  <si>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</si>
  <si>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</si>
  <si>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</si>
  <si>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</si>
  <si>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</si>
  <si>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</si>
  <si>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2026-09-25T05:20:48Z</t>
  </si>
  <si>
    <t xml:space="preserve">Drivers file</t>
  </si>
  <si>
    <t xml:space="preserve">SHV.AX_Drivers.json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</si>
  <si>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</si>
  <si>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</si>
  <si>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</si>
  <si>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Select Harvests is valued as a mid-cycle owner-FCF DCF. The headline FY2025 recovery (Underlying EBITDA margin 19.2%, NPAT $31.8m) is real and is used to anchor the base-case EBITDA margin, but the reported owner FCF of $71.2m is NOT taken at face value -- roughly a third of it is a one-off working-capital release from a smaller crop that will not repeat, and once the company's substantial lease cost (it leases a large share of its orchard land) is fully expensed rather than left inside IFRS-16 OCF, the underlying owner-FCF margin of this business is a structurally thin ~4-5% at mid-cycle. Combined with a price-taking commodity model (Californian supply sets the global almond price, ~75-80% of world volume) and heavy China customer concentration, the bear case is materially overweighted (30%) to reflect the demonstrated downside (FY2023 near-loss) and current transition risks (new CEO, capital-intensive 2030 targets).
key_risks_to_valuation: Global almond price volatility (set by Californian supply, ~75-80% of world volume) is the single largest driver of profitability and is outside management's control; Crop yield/weather variability -- FY2025 crop fell 15.7% YoY and NSW orchards remain in multi-year recovery from prior wet seasons; China customer concentration (~60-65% of export sales) exposes SHV to Chinese demand cycles, currency and trade-policy/tariff risk; CEO transition (David Surveyor, credited with the FY23-25 turnaround, departed mid-2026) creates execution risk on the ambitious, capital-intensive 2030 targets (65,000MT capacity, $700m revenue); IAS 41 biological-asset fair-value accounting introduces large non-cash earnings swings (e.g. -$74.5m FY2023, +$58.8m FY2025) that complicate year-on-year comparability and could mislead a reader who anchors on statutory NPAT rather than the owner-FCF build used here; FY2025's reported owner FCF ($71.2m) embeds a one-off ~$23.7m working-capital release (from a 15.7% smaller crop) that will not repeat and reverses as the crop and revenue grow again -- a reader anchoring on that $71.2m figure will overstate sustainable cash generation by roughly a third; Seasonal working-capital debt swings (net debt ranges from ~$79m at FY2025 year-end to ~$183m mid-cycle per H1 FY2026 disclosure) mean a poor crop or price year compounds with balance-sheet strain</t>
  </si>
  <si>
    <t xml:space="preserve">Data sources</t>
  </si>
  <si>
    <t xml:space="preserve">price: Yahoo Finance chart API at inputs.price_as_of; 52-week range 3.45-5.21 AUD
financials: research/SHV.AX/Reports/SHV.AX_Metrics.csv (core_metrics export) and research/SHV.AX/Extracted/SHV.AX_Annual_FY2025.txt (FY2025 Annual Report, restated FY2024 comparatives per note 1.3)
qualitative: research/SHV.AX/Reports/SHV.AX_Analysis.json</t>
  </si>
  <si>
    <t xml:space="preserve">Scenario narrative: bear</t>
  </si>
  <si>
    <t xml:space="preserve">A FY2023-style shock repeats -- adverse almond price move, weak/wet crop, China demand or trade-policy deterioration, and CEO-transition execution risk on the capital-intensive 2030 targets -- pushing margins back toward the historical trough band with a modestly negative owner-FCF trough in years 1-3.</t>
  </si>
  <si>
    <t xml:space="preserve">Scenario narrative: base</t>
  </si>
  <si>
    <t xml:space="preserve">SHV settles into a normal mid-cycle year on an EBITDA basis, but the true owner-FCF margin normalizes to a thin ~4% once the substantial lease cost and PP&amp;E capex of this lease-heavy commodity processor are deducted -- modest volume/mix-driven growth, no repeat of the FY2025 one-off working-capital release, and cash tax ramping up as carried-forward losses are exhausted.</t>
  </si>
  <si>
    <t xml:space="preserve">Scenario narrative: bull</t>
  </si>
  <si>
    <t xml:space="preserve">The structural Californian-acreage-decline thesis plays out, the 2030 plan (65,000MT, value-add growth, external grower volumes) executes close to management's targets, and margins expand toward 23.5% EBITDA / ~8% owner FCF on processing scale and cost savings.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</si>
  <si>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</si>
  <si>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</si>
  <si>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</si>
  <si>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</si>
  <si>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</si>
  <si>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</si>
  <si>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</si>
  <si>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</si>
  <si>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</si>
  <si>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</si>
  <si>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</si>
  <si>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</si>
  <si>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</si>
  <si>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</si>
  <si>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</si>
  <si>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</si>
  <si>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</si>
  <si>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</si>
  <si>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</si>
  <si>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</si>
  <si>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</si>
  <si>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</si>
  <si>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</si>
  <si>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</si>
  <si>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</si>
  <si>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</si>
  <si>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</si>
  <si>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ImpairmentExpense</t>
  </si>
  <si>
    <t xml:space="preserve">ShareIssuanceProceeds</t>
  </si>
  <si>
    <t xml:space="preserve">FY2015</t>
  </si>
  <si>
    <t xml:space="preserve">thousands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</si>
  <si>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</si>
  <si>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</si>
  <si>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</si>
  <si>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</si>
  <si>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</si>
  <si>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</si>
  <si>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</si>
  <si>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</si>
  <si>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</si>
  <si>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</si>
  <si>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</si>
  <si>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</si>
  <si>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</si>
  <si>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</si>
  <si>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</si>
  <si>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</si>
  <si>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</si>
  <si>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</si>
  <si>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</si>
  <si>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</si>
  <si>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</si>
  <si>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</si>
  <si>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</si>
  <si>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</si>
  <si>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</si>
  <si>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</si>
  <si>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</si>
  <si>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</si>
  <si>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</si>
  <si>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</si>
  <si>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</si>
  <si>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</si>
  <si>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</si>
  <si>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</si>
  <si>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</si>
  <si>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</si>
  <si>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</si>
  <si>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</si>
  <si>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</si>
  <si>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</si>
  <si>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</si>
  <si>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</si>
  <si>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</si>
  <si>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</si>
  <si>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</si>
  <si>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</si>
  <si>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</si>
  <si>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SHV.AX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</si>
  <si>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</si>
  <si>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</si>
  <si>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</si>
  <si>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</si>
  <si>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</si>
  <si>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</si>
  <si>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</si>
  <si>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</si>
  <si>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</si>
  <si>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</si>
  <si>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</si>
  <si>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</si>
  <si>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</si>
  <si>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</si>
  <si>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</si>
  <si>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</si>
  <si>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</si>
  <si>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</si>
  <si>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</si>
  <si>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</si>
  <si>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</si>
  <si>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</si>
  <si>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</si>
  <si>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</si>
  <si>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</si>
  <si>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</si>
  <si>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</si>
  <si>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</si>
  <si>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</si>
  <si>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</si>
  <si>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SHV.AX owner-FCF component DCF: base case (millions, AUD)</t>
  </si>
  <si>
    <t xml:space="preserve">SHV.AX owner-FCF component DCF: bull case (millions, AUD)</t>
  </si>
  <si>
    <t xml:space="preserve">SHV.AX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</si>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</sst>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4.315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223644</v>
      </c>
      <c r="C2" s="0" t="n">
        <v>168130</v>
      </c>
      <c r="D2" s="0" t="n">
        <v>55514</v>
      </c>
      <c r="E2" s="0" t="n">
        <v>24.8</v>
      </c>
      <c r="F2" s="0" t="n">
        <v>85901</v>
      </c>
      <c r="G2" s="0" t="n">
        <v>38.4</v>
      </c>
      <c r="I2" s="0" t="n">
        <v>56766</v>
      </c>
      <c r="J2" s="0" t="n">
        <v>25.4</v>
      </c>
      <c r="K2" s="0" t="n">
        <v>0.829</v>
      </c>
      <c r="L2" s="0" t="n">
        <v>30399</v>
      </c>
      <c r="O2" s="0" t="n">
        <v>287387</v>
      </c>
      <c r="P2" s="0" t="n">
        <v>487912</v>
      </c>
      <c r="Q2" s="0" t="n">
        <v>200525</v>
      </c>
      <c r="R2" s="0" t="n">
        <v>109978</v>
      </c>
      <c r="S2" s="0" t="n">
        <v>270</v>
      </c>
      <c r="T2" s="0" t="n">
        <v>68475</v>
      </c>
      <c r="AA2" s="0" t="s">
        <v>66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286168</v>
      </c>
      <c r="C3" s="0" t="n">
        <v>186286</v>
      </c>
      <c r="D3" s="0" t="n">
        <v>99882</v>
      </c>
      <c r="E3" s="0" t="n">
        <v>34.9</v>
      </c>
      <c r="F3" s="0" t="n">
        <v>49828</v>
      </c>
      <c r="G3" s="0" t="n">
        <v>17.4</v>
      </c>
      <c r="I3" s="0" t="n">
        <v>33796</v>
      </c>
      <c r="J3" s="0" t="n">
        <v>11.8</v>
      </c>
      <c r="K3" s="0" t="n">
        <v>0.467</v>
      </c>
      <c r="L3" s="0" t="n">
        <v>92866</v>
      </c>
      <c r="M3" s="0" t="n">
        <v>37125</v>
      </c>
      <c r="N3" s="0" t="n">
        <v>55741</v>
      </c>
      <c r="O3" s="0" t="n">
        <v>290901</v>
      </c>
      <c r="P3" s="0" t="n">
        <v>449772</v>
      </c>
      <c r="Q3" s="0" t="n">
        <v>158871</v>
      </c>
      <c r="R3" s="0" t="n">
        <v>68701</v>
      </c>
      <c r="S3" s="0" t="n">
        <v>1435</v>
      </c>
      <c r="T3" s="0" t="n">
        <v>72368</v>
      </c>
      <c r="U3" s="0" t="n">
        <v>568</v>
      </c>
      <c r="AA3" s="0" t="s">
        <v>66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242142</v>
      </c>
      <c r="C4" s="0" t="n">
        <v>194240</v>
      </c>
      <c r="D4" s="0" t="n">
        <v>47902</v>
      </c>
      <c r="E4" s="0" t="n">
        <v>19.8</v>
      </c>
      <c r="F4" s="0" t="n">
        <v>17010</v>
      </c>
      <c r="G4" s="0" t="n">
        <v>7</v>
      </c>
      <c r="I4" s="0" t="n">
        <v>9249</v>
      </c>
      <c r="J4" s="0" t="n">
        <v>3.8</v>
      </c>
      <c r="K4" s="0" t="n">
        <v>0.126</v>
      </c>
      <c r="L4" s="0" t="n">
        <v>4738</v>
      </c>
      <c r="M4" s="0" t="n">
        <v>33227</v>
      </c>
      <c r="N4" s="0" t="n">
        <v>-28489</v>
      </c>
      <c r="O4" s="0" t="n">
        <v>277619</v>
      </c>
      <c r="P4" s="0" t="n">
        <v>479691</v>
      </c>
      <c r="Q4" s="0" t="n">
        <v>202072</v>
      </c>
      <c r="R4" s="0" t="n">
        <v>146877</v>
      </c>
      <c r="S4" s="0" t="n">
        <v>1060</v>
      </c>
      <c r="T4" s="0" t="n">
        <v>73405</v>
      </c>
      <c r="U4" s="0" t="n">
        <v>229</v>
      </c>
      <c r="AA4" s="0" t="s">
        <v>66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210238</v>
      </c>
      <c r="C5" s="0" t="n">
        <v>172623</v>
      </c>
      <c r="D5" s="0" t="n">
        <v>37615</v>
      </c>
      <c r="E5" s="0" t="n">
        <v>17.9</v>
      </c>
      <c r="F5" s="0" t="n">
        <v>34905</v>
      </c>
      <c r="G5" s="0" t="n">
        <v>16.6</v>
      </c>
      <c r="I5" s="0" t="n">
        <v>20371</v>
      </c>
      <c r="J5" s="0" t="n">
        <v>9.7</v>
      </c>
      <c r="K5" s="0" t="n">
        <v>0.232</v>
      </c>
      <c r="L5" s="0" t="n">
        <v>18287</v>
      </c>
      <c r="M5" s="0" t="n">
        <v>30015</v>
      </c>
      <c r="N5" s="0" t="n">
        <v>-11728</v>
      </c>
      <c r="O5" s="0" t="n">
        <v>378640</v>
      </c>
      <c r="P5" s="0" t="n">
        <v>516553</v>
      </c>
      <c r="Q5" s="0" t="n">
        <v>137913</v>
      </c>
      <c r="R5" s="0" t="n">
        <v>71147</v>
      </c>
      <c r="S5" s="0" t="n">
        <v>394</v>
      </c>
      <c r="T5" s="0" t="n">
        <v>87806</v>
      </c>
      <c r="U5" s="0" t="n">
        <v>228</v>
      </c>
      <c r="AA5" s="0" t="s">
        <v>66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298474</v>
      </c>
      <c r="C6" s="0" t="n">
        <v>201636</v>
      </c>
      <c r="D6" s="0" t="n">
        <v>96838</v>
      </c>
      <c r="E6" s="0" t="n">
        <v>32.4</v>
      </c>
      <c r="F6" s="0" t="n">
        <v>80065</v>
      </c>
      <c r="G6" s="0" t="n">
        <v>26.8</v>
      </c>
      <c r="I6" s="0" t="n">
        <v>53022</v>
      </c>
      <c r="J6" s="0" t="n">
        <v>17.8</v>
      </c>
      <c r="K6" s="0" t="n">
        <v>0.555</v>
      </c>
      <c r="L6" s="0" t="n">
        <v>80337</v>
      </c>
      <c r="M6" s="0" t="n">
        <v>36301</v>
      </c>
      <c r="N6" s="0" t="n">
        <v>44036</v>
      </c>
      <c r="O6" s="0" t="n">
        <v>416003</v>
      </c>
      <c r="P6" s="0" t="n">
        <v>552856</v>
      </c>
      <c r="Q6" s="0" t="n">
        <v>136853</v>
      </c>
      <c r="R6" s="0" t="n">
        <v>39014</v>
      </c>
      <c r="S6" s="0" t="n">
        <v>11588</v>
      </c>
      <c r="T6" s="0" t="n">
        <v>95535</v>
      </c>
      <c r="U6" s="0" t="n">
        <v>592</v>
      </c>
      <c r="AA6" s="0" t="s">
        <v>66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248262</v>
      </c>
      <c r="C7" s="0" t="n">
        <v>199951</v>
      </c>
      <c r="D7" s="0" t="n">
        <v>48311</v>
      </c>
      <c r="E7" s="0" t="n">
        <v>19.5</v>
      </c>
      <c r="F7" s="0" t="n">
        <v>38730</v>
      </c>
      <c r="G7" s="0" t="n">
        <v>15.6</v>
      </c>
      <c r="H7" s="0" t="n">
        <v>63003</v>
      </c>
      <c r="I7" s="0" t="n">
        <v>25001</v>
      </c>
      <c r="J7" s="0" t="n">
        <v>10.1</v>
      </c>
      <c r="K7" s="0" t="n">
        <v>0.26</v>
      </c>
      <c r="L7" s="0" t="n">
        <v>13153</v>
      </c>
      <c r="M7" s="0" t="n">
        <v>36319</v>
      </c>
      <c r="N7" s="0" t="n">
        <v>-23166</v>
      </c>
      <c r="O7" s="0" t="n">
        <v>405010</v>
      </c>
      <c r="P7" s="0" t="n">
        <v>824894</v>
      </c>
      <c r="Q7" s="0" t="n">
        <v>419884</v>
      </c>
      <c r="R7" s="0" t="n">
        <v>58985</v>
      </c>
      <c r="S7" s="0" t="n">
        <v>1451</v>
      </c>
      <c r="T7" s="0" t="n">
        <v>96158</v>
      </c>
      <c r="U7" s="0" t="n">
        <v>537</v>
      </c>
      <c r="X7" s="0" t="n">
        <v>187108</v>
      </c>
      <c r="AA7" s="0" t="s">
        <v>66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228595</v>
      </c>
      <c r="C8" s="0" t="n">
        <v>179220</v>
      </c>
      <c r="D8" s="0" t="n">
        <v>49375</v>
      </c>
      <c r="E8" s="0" t="n">
        <v>21.6</v>
      </c>
      <c r="F8" s="0" t="n">
        <v>32606</v>
      </c>
      <c r="G8" s="0" t="n">
        <v>14.3</v>
      </c>
      <c r="H8" s="0" t="n">
        <v>53717</v>
      </c>
      <c r="I8" s="0" t="n">
        <v>15116</v>
      </c>
      <c r="J8" s="0" t="n">
        <v>6.6</v>
      </c>
      <c r="K8" s="0" t="n">
        <v>0.127</v>
      </c>
      <c r="L8" s="0" t="n">
        <v>38189</v>
      </c>
      <c r="M8" s="0" t="n">
        <v>33378</v>
      </c>
      <c r="N8" s="0" t="n">
        <v>4811</v>
      </c>
      <c r="O8" s="0" t="n">
        <v>526956</v>
      </c>
      <c r="P8" s="0" t="n">
        <v>1003805</v>
      </c>
      <c r="Q8" s="0" t="n">
        <v>476849</v>
      </c>
      <c r="R8" s="0" t="n">
        <v>100063</v>
      </c>
      <c r="S8" s="0" t="n">
        <v>1995</v>
      </c>
      <c r="T8" s="0" t="n">
        <v>119024</v>
      </c>
      <c r="U8" s="0" t="n">
        <v>-80</v>
      </c>
      <c r="X8" s="0" t="n">
        <v>228595</v>
      </c>
      <c r="AA8" s="0" t="s">
        <v>66</v>
      </c>
      <c r="AB8" s="0" t="s">
        <v>14</v>
      </c>
      <c r="AD8" s="0" t="n">
        <v>115382</v>
      </c>
    </row>
    <row r="9" customFormat="false" ht="15" hidden="false" customHeight="false" outlineLevel="0" collapsed="false">
      <c r="A9" s="0" t="s">
        <v>73</v>
      </c>
      <c r="B9" s="0" t="n">
        <v>235516</v>
      </c>
      <c r="C9" s="0" t="n">
        <v>237164</v>
      </c>
      <c r="D9" s="0" t="n">
        <v>-1648</v>
      </c>
      <c r="E9" s="0" t="n">
        <v>-0.7</v>
      </c>
      <c r="F9" s="0" t="n">
        <v>12043</v>
      </c>
      <c r="G9" s="0" t="n">
        <v>5.1</v>
      </c>
      <c r="H9" s="0" t="n">
        <v>40384</v>
      </c>
      <c r="I9" s="0" t="n">
        <v>4759</v>
      </c>
      <c r="J9" s="0" t="n">
        <v>2</v>
      </c>
      <c r="K9" s="0" t="n">
        <v>0.039</v>
      </c>
      <c r="L9" s="0" t="n">
        <v>26843</v>
      </c>
      <c r="M9" s="0" t="n">
        <v>35836</v>
      </c>
      <c r="N9" s="0" t="n">
        <v>-8993</v>
      </c>
      <c r="O9" s="0" t="n">
        <v>520284</v>
      </c>
      <c r="P9" s="0" t="n">
        <v>1014284</v>
      </c>
      <c r="Q9" s="0" t="n">
        <v>494000</v>
      </c>
      <c r="R9" s="0" t="n">
        <v>135663</v>
      </c>
      <c r="S9" s="0" t="n">
        <v>1135</v>
      </c>
      <c r="T9" s="0" t="n">
        <v>122026</v>
      </c>
      <c r="U9" s="0" t="n">
        <v>491</v>
      </c>
      <c r="X9" s="0" t="n">
        <v>235516</v>
      </c>
      <c r="AA9" s="0" t="s">
        <v>66</v>
      </c>
      <c r="AB9" s="0" t="s">
        <v>14</v>
      </c>
      <c r="AC9" s="0" t="n">
        <v>2785</v>
      </c>
    </row>
    <row r="10" customFormat="false" ht="15" hidden="false" customHeight="false" outlineLevel="0" collapsed="false">
      <c r="A10" s="0" t="s">
        <v>74</v>
      </c>
      <c r="B10" s="0" t="n">
        <v>206003</v>
      </c>
      <c r="C10" s="0" t="n">
        <v>232427</v>
      </c>
      <c r="D10" s="0" t="n">
        <v>-26424</v>
      </c>
      <c r="E10" s="0" t="n">
        <v>-12.8</v>
      </c>
      <c r="F10" s="0" t="n">
        <v>-149314</v>
      </c>
      <c r="G10" s="0" t="n">
        <v>-72.5</v>
      </c>
      <c r="H10" s="0" t="n">
        <v>-86987</v>
      </c>
      <c r="I10" s="0" t="n">
        <v>-114727</v>
      </c>
      <c r="J10" s="0" t="n">
        <v>-55.7</v>
      </c>
      <c r="K10" s="0" t="n">
        <v>-0.948</v>
      </c>
      <c r="L10" s="0" t="n">
        <v>-8246</v>
      </c>
      <c r="M10" s="0" t="n">
        <v>27690</v>
      </c>
      <c r="N10" s="0" t="n">
        <v>-35936</v>
      </c>
      <c r="O10" s="0" t="n">
        <v>411525</v>
      </c>
      <c r="P10" s="0" t="n">
        <v>913250</v>
      </c>
      <c r="Q10" s="0" t="n">
        <v>501725</v>
      </c>
      <c r="R10" s="0" t="n">
        <v>191322</v>
      </c>
      <c r="S10" s="0" t="n">
        <v>1134</v>
      </c>
      <c r="T10" s="0" t="n">
        <v>121020</v>
      </c>
      <c r="U10" s="0" t="n">
        <v>441</v>
      </c>
      <c r="X10" s="0" t="n">
        <v>206003</v>
      </c>
      <c r="AA10" s="0" t="s">
        <v>66</v>
      </c>
      <c r="AB10" s="0" t="s">
        <v>14</v>
      </c>
      <c r="AC10" s="0" t="n">
        <v>30080</v>
      </c>
    </row>
    <row r="11" customFormat="false" ht="15" hidden="false" customHeight="false" outlineLevel="0" collapsed="false">
      <c r="A11" s="0" t="s">
        <v>75</v>
      </c>
      <c r="B11" s="0" t="n">
        <v>294247</v>
      </c>
      <c r="C11" s="0" t="n">
        <v>288588</v>
      </c>
      <c r="D11" s="0" t="n">
        <v>5659</v>
      </c>
      <c r="E11" s="0" t="n">
        <v>1.9</v>
      </c>
      <c r="F11" s="0" t="n">
        <v>15655</v>
      </c>
      <c r="G11" s="0" t="n">
        <v>5.3</v>
      </c>
      <c r="H11" s="0" t="n">
        <v>46879</v>
      </c>
      <c r="I11" s="0" t="n">
        <v>898</v>
      </c>
      <c r="J11" s="0" t="n">
        <v>0.3</v>
      </c>
      <c r="K11" s="0" t="n">
        <v>0.0074</v>
      </c>
      <c r="L11" s="0" t="n">
        <v>9549</v>
      </c>
      <c r="M11" s="0" t="n">
        <v>22039</v>
      </c>
      <c r="N11" s="0" t="n">
        <v>-12490</v>
      </c>
      <c r="O11" s="0" t="n">
        <v>477262</v>
      </c>
      <c r="P11" s="0" t="n">
        <v>1010068</v>
      </c>
      <c r="Q11" s="0" t="n">
        <v>532806</v>
      </c>
      <c r="R11" s="0" t="n">
        <v>165200</v>
      </c>
      <c r="S11" s="0" t="n">
        <v>2870</v>
      </c>
      <c r="T11" s="0" t="n">
        <v>121351</v>
      </c>
      <c r="U11" s="0" t="n">
        <v>272</v>
      </c>
      <c r="X11" s="0" t="n">
        <v>294247</v>
      </c>
      <c r="AA11" s="0" t="s">
        <v>66</v>
      </c>
      <c r="AB11" s="0" t="s">
        <v>14</v>
      </c>
      <c r="AC11" s="0" t="n">
        <v>6586</v>
      </c>
      <c r="AD11" s="0" t="n">
        <v>58886</v>
      </c>
    </row>
    <row r="12" customFormat="false" ht="15" hidden="false" customHeight="false" outlineLevel="0" collapsed="false">
      <c r="A12" s="0" t="s">
        <v>76</v>
      </c>
      <c r="B12" s="0" t="n">
        <v>398258</v>
      </c>
      <c r="C12" s="0" t="n">
        <v>388186</v>
      </c>
      <c r="D12" s="0" t="n">
        <v>10072</v>
      </c>
      <c r="E12" s="0" t="n">
        <v>2.5</v>
      </c>
      <c r="F12" s="0" t="n">
        <v>54359</v>
      </c>
      <c r="G12" s="0" t="n">
        <v>13.6</v>
      </c>
      <c r="H12" s="0" t="n">
        <v>76625</v>
      </c>
      <c r="I12" s="0" t="n">
        <v>31841</v>
      </c>
      <c r="J12" s="0" t="n">
        <v>8</v>
      </c>
      <c r="K12" s="0" t="n">
        <v>0.2244</v>
      </c>
      <c r="L12" s="0" t="n">
        <v>118642</v>
      </c>
      <c r="M12" s="0" t="n">
        <v>22860</v>
      </c>
      <c r="N12" s="0" t="n">
        <v>95782</v>
      </c>
      <c r="O12" s="0" t="n">
        <v>523196</v>
      </c>
      <c r="P12" s="0" t="n">
        <v>937749</v>
      </c>
      <c r="Q12" s="0" t="n">
        <v>414553</v>
      </c>
      <c r="R12" s="0" t="n">
        <v>80440</v>
      </c>
      <c r="S12" s="0" t="n">
        <v>1372</v>
      </c>
      <c r="T12" s="0" t="n">
        <v>141894</v>
      </c>
      <c r="U12" s="0" t="n">
        <v>816</v>
      </c>
      <c r="X12" s="0" t="n">
        <v>398258</v>
      </c>
      <c r="AA12" s="0" t="s">
        <v>66</v>
      </c>
      <c r="AB12" s="0" t="s">
        <v>14</v>
      </c>
      <c r="AD12" s="0" t="n">
        <v>17369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4.315</v>
      </c>
    </row>
    <row r="3" customFormat="false" ht="15" hidden="false" customHeight="false" outlineLevel="0" collapsed="false">
      <c r="A3" s="0" t="s">
        <v>80</v>
      </c>
      <c r="B3" s="3" t="n">
        <v>143.308</v>
      </c>
    </row>
    <row r="4" customFormat="false" ht="15" hidden="false" customHeight="false" outlineLevel="0" collapsed="false">
      <c r="A4" s="0" t="s">
        <v>81</v>
      </c>
      <c r="B4" s="3" t="n">
        <v>79.068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398.258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-3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13</v>
      </c>
      <c r="D14" s="3" t="n">
        <v>14</v>
      </c>
      <c r="E14" s="3" t="n">
        <v>15</v>
      </c>
      <c r="F14" s="3" t="n">
        <v>16</v>
      </c>
      <c r="G14" s="3" t="n">
        <v>16.5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102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103</v>
      </c>
      <c r="C16" s="3" t="n">
        <v>9.2</v>
      </c>
      <c r="D16" s="3" t="n">
        <v>9.2</v>
      </c>
      <c r="E16" s="3" t="n">
        <v>9</v>
      </c>
      <c r="F16" s="3" t="n">
        <v>8.8</v>
      </c>
      <c r="G16" s="3" t="n">
        <v>8.6</v>
      </c>
      <c r="H16" s="3" t="n">
        <v>8.4</v>
      </c>
      <c r="I16" s="3" t="n">
        <v>8.2</v>
      </c>
      <c r="J16" s="3" t="n">
        <v>8</v>
      </c>
      <c r="K16" s="3" t="n">
        <v>8</v>
      </c>
      <c r="L16" s="3" t="n">
        <v>8</v>
      </c>
    </row>
    <row r="17" customFormat="false" ht="15" hidden="false" customHeight="false" outlineLevel="0" collapsed="false">
      <c r="A17" s="0" t="s">
        <v>104</v>
      </c>
      <c r="C17" s="3" t="n">
        <v>7.3</v>
      </c>
      <c r="D17" s="3" t="n">
        <v>7.2</v>
      </c>
      <c r="E17" s="3" t="n">
        <v>7.1</v>
      </c>
      <c r="F17" s="3" t="n">
        <v>7</v>
      </c>
      <c r="G17" s="3" t="n">
        <v>6.9</v>
      </c>
      <c r="H17" s="3" t="n">
        <v>6.8</v>
      </c>
      <c r="I17" s="3" t="n">
        <v>6.7</v>
      </c>
      <c r="J17" s="3" t="n">
        <v>6.6</v>
      </c>
      <c r="K17" s="3" t="n">
        <v>6.6</v>
      </c>
      <c r="L17" s="3" t="n">
        <v>6.6</v>
      </c>
    </row>
    <row r="18" customFormat="false" ht="15" hidden="false" customHeight="false" outlineLevel="0" collapsed="false">
      <c r="A18" s="0" t="s">
        <v>105</v>
      </c>
      <c r="C18" s="3" t="n">
        <v>6.5</v>
      </c>
      <c r="D18" s="3" t="n">
        <v>7</v>
      </c>
      <c r="E18" s="3" t="n">
        <v>7.5</v>
      </c>
      <c r="F18" s="3" t="n">
        <v>7</v>
      </c>
      <c r="G18" s="3" t="n">
        <v>6.5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106</v>
      </c>
      <c r="C19" s="3" t="n">
        <v>1</v>
      </c>
      <c r="D19" s="3" t="n">
        <v>5</v>
      </c>
      <c r="E19" s="3" t="n">
        <v>10</v>
      </c>
      <c r="F19" s="3" t="n">
        <v>18</v>
      </c>
      <c r="G19" s="3" t="n">
        <v>25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9</v>
      </c>
    </row>
    <row r="23" customFormat="false" ht="15" hidden="false" customHeight="false" outlineLevel="0" collapsed="false">
      <c r="A23" s="0" t="s">
        <v>110</v>
      </c>
      <c r="B23" s="3" t="n">
        <v>-10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6</v>
      </c>
      <c r="D27" s="3" t="n">
        <v>6</v>
      </c>
      <c r="E27" s="3" t="n">
        <v>5.5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19.2</v>
      </c>
      <c r="D28" s="3" t="n">
        <v>19.4</v>
      </c>
      <c r="E28" s="3" t="n">
        <v>19.6</v>
      </c>
      <c r="F28" s="3" t="n">
        <v>19.8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102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103</v>
      </c>
      <c r="C30" s="3" t="n">
        <v>8.5</v>
      </c>
      <c r="D30" s="3" t="n">
        <v>8.3</v>
      </c>
      <c r="E30" s="3" t="n">
        <v>8.1</v>
      </c>
      <c r="F30" s="3" t="n">
        <v>7.9</v>
      </c>
      <c r="G30" s="3" t="n">
        <v>7.7</v>
      </c>
      <c r="H30" s="3" t="n">
        <v>7.5</v>
      </c>
      <c r="I30" s="3" t="n">
        <v>7.3</v>
      </c>
      <c r="J30" s="3" t="n">
        <v>7.1</v>
      </c>
      <c r="K30" s="3" t="n">
        <v>7</v>
      </c>
      <c r="L30" s="3" t="n">
        <v>7</v>
      </c>
    </row>
    <row r="31" customFormat="false" ht="15" hidden="false" customHeight="false" outlineLevel="0" collapsed="false">
      <c r="A31" s="0" t="s">
        <v>104</v>
      </c>
      <c r="C31" s="3" t="n">
        <v>7</v>
      </c>
      <c r="D31" s="3" t="n">
        <v>6.9</v>
      </c>
      <c r="E31" s="3" t="n">
        <v>6.8</v>
      </c>
      <c r="F31" s="3" t="n">
        <v>6.7</v>
      </c>
      <c r="G31" s="3" t="n">
        <v>6.6</v>
      </c>
      <c r="H31" s="3" t="n">
        <v>6.5</v>
      </c>
      <c r="I31" s="3" t="n">
        <v>6.5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105</v>
      </c>
      <c r="C32" s="3" t="n">
        <v>6</v>
      </c>
      <c r="D32" s="3" t="n">
        <v>6.5</v>
      </c>
      <c r="E32" s="3" t="n">
        <v>7</v>
      </c>
      <c r="F32" s="3" t="n">
        <v>7</v>
      </c>
      <c r="G32" s="3" t="n">
        <v>6.5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106</v>
      </c>
      <c r="C33" s="3" t="n">
        <v>3</v>
      </c>
      <c r="D33" s="3" t="n">
        <v>8</v>
      </c>
      <c r="E33" s="3" t="n">
        <v>15</v>
      </c>
      <c r="F33" s="3" t="n">
        <v>22</v>
      </c>
      <c r="G33" s="3" t="n">
        <v>28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-8</v>
      </c>
    </row>
    <row r="38" customFormat="false" ht="15" hidden="false" customHeight="false" outlineLevel="0" collapsed="false">
      <c r="A38" s="0" t="s">
        <v>111</v>
      </c>
      <c r="B38" s="3" t="n">
        <v>0.45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10</v>
      </c>
      <c r="D41" s="3" t="n">
        <v>10</v>
      </c>
      <c r="E41" s="3" t="n">
        <v>9</v>
      </c>
      <c r="F41" s="3" t="n">
        <v>8</v>
      </c>
      <c r="G41" s="3" t="n">
        <v>7.5</v>
      </c>
      <c r="H41" s="3" t="n">
        <v>7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101</v>
      </c>
      <c r="C42" s="3" t="n">
        <v>20</v>
      </c>
      <c r="D42" s="3" t="n">
        <v>21</v>
      </c>
      <c r="E42" s="3" t="n">
        <v>22</v>
      </c>
      <c r="F42" s="3" t="n">
        <v>22.5</v>
      </c>
      <c r="G42" s="3" t="n">
        <v>23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102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103</v>
      </c>
      <c r="C44" s="3" t="n">
        <v>8.3</v>
      </c>
      <c r="D44" s="3" t="n">
        <v>7.9</v>
      </c>
      <c r="E44" s="3" t="n">
        <v>7.5</v>
      </c>
      <c r="F44" s="3" t="n">
        <v>7.1</v>
      </c>
      <c r="G44" s="3" t="n">
        <v>6.7</v>
      </c>
      <c r="H44" s="3" t="n">
        <v>6.3</v>
      </c>
      <c r="I44" s="3" t="n">
        <v>6</v>
      </c>
      <c r="J44" s="3" t="n">
        <v>6</v>
      </c>
      <c r="K44" s="3" t="n">
        <v>6</v>
      </c>
      <c r="L44" s="3" t="n">
        <v>6</v>
      </c>
    </row>
    <row r="45" customFormat="false" ht="15" hidden="false" customHeight="false" outlineLevel="0" collapsed="false">
      <c r="A45" s="0" t="s">
        <v>104</v>
      </c>
      <c r="C45" s="3" t="n">
        <v>6.8</v>
      </c>
      <c r="D45" s="3" t="n">
        <v>6.6</v>
      </c>
      <c r="E45" s="3" t="n">
        <v>6.4</v>
      </c>
      <c r="F45" s="3" t="n">
        <v>6.2</v>
      </c>
      <c r="G45" s="3" t="n">
        <v>6</v>
      </c>
      <c r="H45" s="3" t="n">
        <v>5.8</v>
      </c>
      <c r="I45" s="3" t="n">
        <v>5.7</v>
      </c>
      <c r="J45" s="3" t="n">
        <v>5.7</v>
      </c>
      <c r="K45" s="3" t="n">
        <v>5.7</v>
      </c>
      <c r="L45" s="3" t="n">
        <v>5.7</v>
      </c>
    </row>
    <row r="46" customFormat="false" ht="15" hidden="false" customHeight="false" outlineLevel="0" collapsed="false">
      <c r="A46" s="0" t="s">
        <v>105</v>
      </c>
      <c r="C46" s="3" t="n">
        <v>6.5</v>
      </c>
      <c r="D46" s="3" t="n">
        <v>7.5</v>
      </c>
      <c r="E46" s="3" t="n">
        <v>8</v>
      </c>
      <c r="F46" s="3" t="n">
        <v>7.5</v>
      </c>
      <c r="G46" s="3" t="n">
        <v>6.5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106</v>
      </c>
      <c r="C47" s="3" t="n">
        <v>3</v>
      </c>
      <c r="D47" s="3" t="n">
        <v>8</v>
      </c>
      <c r="E47" s="3" t="n">
        <v>15</v>
      </c>
      <c r="F47" s="3" t="n">
        <v>22</v>
      </c>
      <c r="G47" s="3" t="n">
        <v>28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-6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398.258</v>
      </c>
      <c r="C6" s="0" t="n">
        <f aca="false">B6*(1+C5/100)</f>
        <v>386.31026</v>
      </c>
      <c r="D6" s="0" t="n">
        <f aca="false">C6*(1+D5/100)</f>
        <v>390.1733626</v>
      </c>
      <c r="E6" s="0" t="n">
        <f aca="false">D6*(1+E5/100)</f>
        <v>397.976829852</v>
      </c>
      <c r="F6" s="0" t="n">
        <f aca="false">E6*(1+F5/100)</f>
        <v>407.9262505983</v>
      </c>
      <c r="G6" s="0" t="n">
        <f aca="false">F6*(1+G5/100)</f>
        <v>418.124406863257</v>
      </c>
      <c r="H6" s="0" t="n">
        <f aca="false">G6*(1+H5/100)</f>
        <v>428.577517034839</v>
      </c>
      <c r="I6" s="0" t="n">
        <f aca="false">H6*(1+I5/100)</f>
        <v>439.29195496071</v>
      </c>
      <c r="J6" s="0" t="n">
        <f aca="false">I6*(1+J5/100)</f>
        <v>450.274253834727</v>
      </c>
      <c r="K6" s="0" t="n">
        <f aca="false">J6*(1+K5/100)</f>
        <v>461.531110180596</v>
      </c>
      <c r="L6" s="0" t="n">
        <f aca="false">K6*(1+L5/100)</f>
        <v>473.06938793511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13</v>
      </c>
      <c r="D7" s="4" t="n">
        <f aca="false">Assumptions!D14</f>
        <v>14</v>
      </c>
      <c r="E7" s="4" t="n">
        <f aca="false">Assumptions!E14</f>
        <v>15</v>
      </c>
      <c r="F7" s="4" t="n">
        <f aca="false">Assumptions!F14</f>
        <v>16</v>
      </c>
      <c r="G7" s="4" t="n">
        <f aca="false">Assumptions!G14</f>
        <v>16.5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50.2203338</v>
      </c>
      <c r="D8" s="0" t="n">
        <f aca="false">D6*D7/100</f>
        <v>54.624270764</v>
      </c>
      <c r="E8" s="0" t="n">
        <f aca="false">E6*E7/100</f>
        <v>59.6965244778</v>
      </c>
      <c r="F8" s="0" t="n">
        <f aca="false">F6*F7/100</f>
        <v>65.268200095728</v>
      </c>
      <c r="G8" s="0" t="n">
        <f aca="false">G6*G7/100</f>
        <v>68.9905271324375</v>
      </c>
      <c r="H8" s="0" t="n">
        <f aca="false">H6*H7/100</f>
        <v>72.8581778959226</v>
      </c>
      <c r="I8" s="0" t="n">
        <f aca="false">I6*I7/100</f>
        <v>74.6796323433207</v>
      </c>
      <c r="J8" s="0" t="n">
        <f aca="false">J6*J7/100</f>
        <v>76.5466231519037</v>
      </c>
      <c r="K8" s="0" t="n">
        <f aca="false">K6*K7/100</f>
        <v>78.4602887307012</v>
      </c>
      <c r="L8" s="0" t="n">
        <f aca="false">L6*L7/100</f>
        <v>80.4217959489688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-0.77262052</v>
      </c>
      <c r="D10" s="0" t="n">
        <f aca="false">-D6*D9/100</f>
        <v>-0.7803467252</v>
      </c>
      <c r="E10" s="0" t="n">
        <f aca="false">-E6*E9/100</f>
        <v>-0.795953659704</v>
      </c>
      <c r="F10" s="0" t="n">
        <f aca="false">-F6*F9/100</f>
        <v>-0.8158525011966</v>
      </c>
      <c r="G10" s="0" t="n">
        <f aca="false">-G6*G9/100</f>
        <v>-0.836248813726515</v>
      </c>
      <c r="H10" s="0" t="n">
        <f aca="false">-H6*H9/100</f>
        <v>-0.857155034069678</v>
      </c>
      <c r="I10" s="0" t="n">
        <f aca="false">-I6*I9/100</f>
        <v>-0.878583909921419</v>
      </c>
      <c r="J10" s="0" t="n">
        <f aca="false">-J6*J9/100</f>
        <v>-0.900548507669455</v>
      </c>
      <c r="K10" s="0" t="n">
        <f aca="false">-K6*K9/100</f>
        <v>-0.923062220361191</v>
      </c>
      <c r="L10" s="0" t="n">
        <f aca="false">-L6*L9/100</f>
        <v>-0.946138775870221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13.90716936</v>
      </c>
      <c r="D11" s="0" t="n">
        <f aca="false">D8+D10+D24</f>
        <v>17.9479746796</v>
      </c>
      <c r="E11" s="0" t="n">
        <f aca="false">E8+E10+E24</f>
        <v>23.082656131416</v>
      </c>
      <c r="F11" s="0" t="n">
        <f aca="false">F8+F10+F24</f>
        <v>28.554837541881</v>
      </c>
      <c r="G11" s="0" t="n">
        <f aca="false">G8+G10+G24</f>
        <v>32.1955793284708</v>
      </c>
      <c r="H11" s="0" t="n">
        <f aca="false">H8+H10+H24</f>
        <v>36.0005114309265</v>
      </c>
      <c r="I11" s="0" t="n">
        <f aca="false">I8+I10+I24</f>
        <v>37.779108126621</v>
      </c>
      <c r="J11" s="0" t="n">
        <f aca="false">J8+J10+J24</f>
        <v>39.624134337456</v>
      </c>
      <c r="K11" s="0" t="n">
        <f aca="false">K8+K10+K24</f>
        <v>40.6147376958924</v>
      </c>
      <c r="L11" s="0" t="n">
        <f aca="false">L8+L10+L24</f>
        <v>41.6301061382897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-28.20064898</v>
      </c>
      <c r="D12" s="4" t="n">
        <f aca="false">-D6*Assumptions!D17/100</f>
        <v>-28.0924821072</v>
      </c>
      <c r="E12" s="4" t="n">
        <f aca="false">-E6*Assumptions!E17/100</f>
        <v>-28.256354919492</v>
      </c>
      <c r="F12" s="4" t="n">
        <f aca="false">-F6*Assumptions!F17/100</f>
        <v>-28.554837541881</v>
      </c>
      <c r="G12" s="4" t="n">
        <f aca="false">-G6*Assumptions!G17/100</f>
        <v>-28.8505840735648</v>
      </c>
      <c r="H12" s="4" t="n">
        <f aca="false">-H6*Assumptions!H17/100</f>
        <v>-29.143271158369</v>
      </c>
      <c r="I12" s="4" t="n">
        <f aca="false">-I6*Assumptions!I17/100</f>
        <v>-29.4325609823675</v>
      </c>
      <c r="J12" s="4" t="n">
        <f aca="false">-J6*Assumptions!J17/100</f>
        <v>-29.718100753092</v>
      </c>
      <c r="K12" s="4" t="n">
        <f aca="false">-K6*Assumptions!K17/100</f>
        <v>-30.4610532719193</v>
      </c>
      <c r="L12" s="4" t="n">
        <f aca="false">-L6*Assumptions!L17/100</f>
        <v>-31.2225796037173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-14.29347962</v>
      </c>
      <c r="D13" s="0" t="n">
        <f aca="false">D11+D12</f>
        <v>-10.1445074276</v>
      </c>
      <c r="E13" s="0" t="n">
        <f aca="false">E11+E12</f>
        <v>-5.173698788076</v>
      </c>
      <c r="F13" s="0" t="n">
        <f aca="false">F11+F12</f>
        <v>0</v>
      </c>
      <c r="G13" s="0" t="n">
        <f aca="false">G11+G12</f>
        <v>3.34499525490606</v>
      </c>
      <c r="H13" s="0" t="n">
        <f aca="false">H11+H12</f>
        <v>6.85724027255742</v>
      </c>
      <c r="I13" s="0" t="n">
        <f aca="false">I11+I12</f>
        <v>8.34654714425349</v>
      </c>
      <c r="J13" s="0" t="n">
        <f aca="false">J11+J12</f>
        <v>9.90603358436401</v>
      </c>
      <c r="K13" s="0" t="n">
        <f aca="false">K11+K12</f>
        <v>10.1536844239731</v>
      </c>
      <c r="L13" s="0" t="n">
        <f aca="false">L11+L12</f>
        <v>10.4075265345724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</v>
      </c>
      <c r="D14" s="4" t="n">
        <f aca="false">Assumptions!D19</f>
        <v>5</v>
      </c>
      <c r="E14" s="4" t="n">
        <f aca="false">Assumptions!E19</f>
        <v>10</v>
      </c>
      <c r="F14" s="4" t="n">
        <f aca="false">Assumptions!F19</f>
        <v>18</v>
      </c>
      <c r="G14" s="4" t="n">
        <f aca="false">Assumptions!G19</f>
        <v>25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-14.29347962</v>
      </c>
      <c r="D15" s="0" t="n">
        <f aca="false">D13-MAX(0,D13)*D14/100</f>
        <v>-10.1445074276</v>
      </c>
      <c r="E15" s="0" t="n">
        <f aca="false">E13-MAX(0,E13)*E14/100</f>
        <v>-5.173698788076</v>
      </c>
      <c r="F15" s="0" t="n">
        <f aca="false">F13-MAX(0,F13)*F14/100</f>
        <v>0</v>
      </c>
      <c r="G15" s="0" t="n">
        <f aca="false">G13-MAX(0,G13)*G14/100</f>
        <v>2.50874644117955</v>
      </c>
      <c r="H15" s="0" t="n">
        <f aca="false">H13-MAX(0,H13)*H14/100</f>
        <v>4.8000681907902</v>
      </c>
      <c r="I15" s="0" t="n">
        <f aca="false">I13-MAX(0,I13)*I14/100</f>
        <v>5.84258300097744</v>
      </c>
      <c r="J15" s="0" t="n">
        <f aca="false">J13-MAX(0,J13)*J14/100</f>
        <v>6.93422350905481</v>
      </c>
      <c r="K15" s="0" t="n">
        <f aca="false">K13-MAX(0,K13)*K14/100</f>
        <v>7.10757909678117</v>
      </c>
      <c r="L15" s="0" t="n">
        <f aca="false">L13-MAX(0,L13)*L14/100</f>
        <v>7.28526857420069</v>
      </c>
    </row>
    <row r="16" customFormat="false" ht="15" hidden="false" customHeight="false" outlineLevel="0" collapsed="false">
      <c r="A16" s="0" t="s">
        <v>122</v>
      </c>
      <c r="C16" s="0" t="n">
        <f aca="false">-C12</f>
        <v>28.20064898</v>
      </c>
      <c r="D16" s="0" t="n">
        <f aca="false">-D12</f>
        <v>28.0924821072</v>
      </c>
      <c r="E16" s="0" t="n">
        <f aca="false">-E12</f>
        <v>28.256354919492</v>
      </c>
      <c r="F16" s="0" t="n">
        <f aca="false">-F12</f>
        <v>28.554837541881</v>
      </c>
      <c r="G16" s="0" t="n">
        <f aca="false">-G12</f>
        <v>28.8505840735648</v>
      </c>
      <c r="H16" s="0" t="n">
        <f aca="false">-H12</f>
        <v>29.143271158369</v>
      </c>
      <c r="I16" s="0" t="n">
        <f aca="false">-I12</f>
        <v>29.4325609823675</v>
      </c>
      <c r="J16" s="0" t="n">
        <f aca="false">-J12</f>
        <v>29.718100753092</v>
      </c>
      <c r="K16" s="0" t="n">
        <f aca="false">-K12</f>
        <v>30.4610532719193</v>
      </c>
      <c r="L16" s="0" t="n">
        <f aca="false">-L12</f>
        <v>31.2225796037173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-25.1101669</v>
      </c>
      <c r="D17" s="4" t="n">
        <f aca="false">-D6*Assumptions!D18/100</f>
        <v>-27.312135382</v>
      </c>
      <c r="E17" s="4" t="n">
        <f aca="false">-E6*Assumptions!E18/100</f>
        <v>-29.8482622389</v>
      </c>
      <c r="F17" s="4" t="n">
        <f aca="false">-F6*Assumptions!F18/100</f>
        <v>-28.554837541881</v>
      </c>
      <c r="G17" s="4" t="n">
        <f aca="false">-G6*Assumptions!G18/100</f>
        <v>-27.1780864461117</v>
      </c>
      <c r="H17" s="4" t="n">
        <f aca="false">-H6*Assumptions!H18/100</f>
        <v>-25.7146510220903</v>
      </c>
      <c r="I17" s="4" t="n">
        <f aca="false">-I6*Assumptions!I18/100</f>
        <v>-26.3575172976426</v>
      </c>
      <c r="J17" s="4" t="n">
        <f aca="false">-J6*Assumptions!J18/100</f>
        <v>-27.0164552300836</v>
      </c>
      <c r="K17" s="4" t="n">
        <f aca="false">-K6*Assumptions!K18/100</f>
        <v>-27.6918666108357</v>
      </c>
      <c r="L17" s="4" t="n">
        <f aca="false">-L6*Assumptions!L18/100</f>
        <v>-28.3841632761066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1.194774</v>
      </c>
      <c r="D18" s="4" t="n">
        <f aca="false">(D6-C6)*Assumptions!$B$23/100</f>
        <v>-0.386310259999999</v>
      </c>
      <c r="E18" s="4" t="n">
        <f aca="false">(E6-D6)*Assumptions!$B$23/100</f>
        <v>-0.780346725200002</v>
      </c>
      <c r="F18" s="4" t="n">
        <f aca="false">(F6-E6)*Assumptions!$B$23/100</f>
        <v>-0.994942074629995</v>
      </c>
      <c r="G18" s="4" t="n">
        <f aca="false">(G6-F6)*Assumptions!$B$23/100</f>
        <v>-1.01981562649574</v>
      </c>
      <c r="H18" s="4" t="n">
        <f aca="false">(H6-G6)*Assumptions!$B$23/100</f>
        <v>-1.04531101715814</v>
      </c>
      <c r="I18" s="4" t="n">
        <f aca="false">(I6-H6)*Assumptions!$B$23/100</f>
        <v>-1.07144379258709</v>
      </c>
      <c r="J18" s="4" t="n">
        <f aca="false">(J6-I6)*Assumptions!$B$23/100</f>
        <v>-1.09822988740177</v>
      </c>
      <c r="K18" s="4" t="n">
        <f aca="false">(K6-J6)*Assumptions!$B$23/100</f>
        <v>-1.12568563458681</v>
      </c>
      <c r="L18" s="4" t="n">
        <f aca="false">(L6-K6)*Assumptions!$B$23/100</f>
        <v>-1.15382777545149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-10.00822354</v>
      </c>
      <c r="D19" s="0" t="n">
        <f aca="false">D15+D16+D17+D18</f>
        <v>-9.75047096239999</v>
      </c>
      <c r="E19" s="0" t="n">
        <f aca="false">E15+E16+E17+E18</f>
        <v>-7.545952832684</v>
      </c>
      <c r="F19" s="0" t="n">
        <f aca="false">F15+F16+F17+F18</f>
        <v>-0.994942074629995</v>
      </c>
      <c r="G19" s="0" t="n">
        <f aca="false">G15+G16+G17+G18</f>
        <v>3.16142844213684</v>
      </c>
      <c r="H19" s="0" t="n">
        <f aca="false">H15+H16+H17+H18</f>
        <v>7.18337730991077</v>
      </c>
      <c r="I19" s="0" t="n">
        <f aca="false">I15+I16+I17+I18</f>
        <v>7.84618289311532</v>
      </c>
      <c r="J19" s="0" t="n">
        <f aca="false">J15+J16+J17+J18</f>
        <v>8.5376391446614</v>
      </c>
      <c r="K19" s="0" t="n">
        <f aca="false">K15+K16+K17+K18</f>
        <v>8.75108012327793</v>
      </c>
      <c r="L19" s="0" t="n">
        <f aca="false">L15+L16+L17+L18</f>
        <v>8.96985712635987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-9.13993017351598</v>
      </c>
      <c r="D21" s="0" t="n">
        <f aca="false">D19*D20</f>
        <v>-8.13199971843789</v>
      </c>
      <c r="E21" s="0" t="n">
        <f aca="false">E19*E20</f>
        <v>-5.74740403722926</v>
      </c>
      <c r="F21" s="0" t="n">
        <f aca="false">F19*F20</f>
        <v>-0.692056130617904</v>
      </c>
      <c r="G21" s="0" t="n">
        <f aca="false">G19*G20</f>
        <v>2.00822680825425</v>
      </c>
      <c r="H21" s="0" t="n">
        <f aca="false">H19*H20</f>
        <v>4.16719634466969</v>
      </c>
      <c r="I21" s="0" t="n">
        <f aca="false">I19*I20</f>
        <v>4.15680443741217</v>
      </c>
      <c r="J21" s="0" t="n">
        <f aca="false">J19*J20</f>
        <v>4.13071128730624</v>
      </c>
      <c r="K21" s="0" t="n">
        <f aca="false">K19*K20</f>
        <v>3.86664755204465</v>
      </c>
      <c r="L21" s="0" t="n">
        <f aca="false">L19*L20</f>
        <v>3.61946460351211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9.2</v>
      </c>
      <c r="D23" s="4" t="n">
        <f aca="false">Assumptions!D16</f>
        <v>9.2</v>
      </c>
      <c r="E23" s="4" t="n">
        <f aca="false">Assumptions!E16</f>
        <v>9</v>
      </c>
      <c r="F23" s="4" t="n">
        <f aca="false">Assumptions!F16</f>
        <v>8.8</v>
      </c>
      <c r="G23" s="4" t="n">
        <f aca="false">Assumptions!G16</f>
        <v>8.6</v>
      </c>
      <c r="H23" s="4" t="n">
        <f aca="false">Assumptions!H16</f>
        <v>8.4</v>
      </c>
      <c r="I23" s="4" t="n">
        <f aca="false">Assumptions!I16</f>
        <v>8.2</v>
      </c>
      <c r="J23" s="4" t="n">
        <f aca="false">Assumptions!J16</f>
        <v>8</v>
      </c>
      <c r="K23" s="4" t="n">
        <f aca="false">Assumptions!K16</f>
        <v>8</v>
      </c>
      <c r="L23" s="4" t="n">
        <f aca="false">Assumptions!L16</f>
        <v>8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-35.54054392</v>
      </c>
      <c r="D24" s="0" t="n">
        <f aca="false">-D6*D23/100</f>
        <v>-35.8959493592</v>
      </c>
      <c r="E24" s="0" t="n">
        <f aca="false">-E6*E23/100</f>
        <v>-35.81791468668</v>
      </c>
      <c r="F24" s="0" t="n">
        <f aca="false">-F6*F23/100</f>
        <v>-35.8975100526504</v>
      </c>
      <c r="G24" s="0" t="n">
        <f aca="false">-G6*G23/100</f>
        <v>-35.9586989902401</v>
      </c>
      <c r="H24" s="0" t="n">
        <f aca="false">-H6*H23/100</f>
        <v>-36.0005114309265</v>
      </c>
      <c r="I24" s="0" t="n">
        <f aca="false">-I6*I23/100</f>
        <v>-36.0219403067782</v>
      </c>
      <c r="J24" s="0" t="n">
        <f aca="false">-J6*J23/100</f>
        <v>-36.0219403067782</v>
      </c>
      <c r="K24" s="0" t="n">
        <f aca="false">-K6*K23/100</f>
        <v>-36.9224888144476</v>
      </c>
      <c r="L24" s="0" t="n">
        <f aca="false">-L6*L23/100</f>
        <v>-37.8455510348088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-1.76233902660191</v>
      </c>
    </row>
    <row r="31" customFormat="false" ht="15" hidden="false" customHeight="false" outlineLevel="0" collapsed="false">
      <c r="A31" s="0" t="s">
        <v>131</v>
      </c>
      <c r="B31" s="0" t="n">
        <f aca="false">L19</f>
        <v>8.96985712635987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113.805062290691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80.7287141372388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80.7287141372388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32.575181431609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30.8128424050071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-48.2551575949929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-0.336723404101606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-1.07803555135611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5.24939513528286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4.84383906210306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-0.266293042939731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67.440036913002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-0.480650391973093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6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398.258</v>
      </c>
      <c r="C6" s="0" t="n">
        <f aca="false">B6*(1+C5/100)</f>
        <v>422.15348</v>
      </c>
      <c r="D6" s="0" t="n">
        <f aca="false">C6*(1+D5/100)</f>
        <v>447.4826888</v>
      </c>
      <c r="E6" s="0" t="n">
        <f aca="false">D6*(1+E5/100)</f>
        <v>472.094236684</v>
      </c>
      <c r="F6" s="0" t="n">
        <f aca="false">E6*(1+F5/100)</f>
        <v>495.6989485182</v>
      </c>
      <c r="G6" s="0" t="n">
        <f aca="false">F6*(1+G5/100)</f>
        <v>520.48389594411</v>
      </c>
      <c r="H6" s="0" t="n">
        <f aca="false">G6*(1+H5/100)</f>
        <v>543.905671261595</v>
      </c>
      <c r="I6" s="0" t="n">
        <f aca="false">H6*(1+I5/100)</f>
        <v>565.661898112059</v>
      </c>
      <c r="J6" s="0" t="n">
        <f aca="false">I6*(1+J5/100)</f>
        <v>588.288374036541</v>
      </c>
      <c r="K6" s="0" t="n">
        <f aca="false">J6*(1+K5/100)</f>
        <v>608.87846712782</v>
      </c>
      <c r="L6" s="0" t="n">
        <f aca="false">K6*(1+L5/100)</f>
        <v>627.144821141655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19.2</v>
      </c>
      <c r="D7" s="4" t="n">
        <f aca="false">Assumptions!D28</f>
        <v>19.4</v>
      </c>
      <c r="E7" s="4" t="n">
        <f aca="false">Assumptions!E28</f>
        <v>19.6</v>
      </c>
      <c r="F7" s="4" t="n">
        <f aca="false">Assumptions!F28</f>
        <v>19.8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81.05346816</v>
      </c>
      <c r="D8" s="0" t="n">
        <f aca="false">D6*D7/100</f>
        <v>86.8116416272</v>
      </c>
      <c r="E8" s="0" t="n">
        <f aca="false">E6*E7/100</f>
        <v>92.530470390064</v>
      </c>
      <c r="F8" s="0" t="n">
        <f aca="false">F6*F7/100</f>
        <v>98.1483918066036</v>
      </c>
      <c r="G8" s="0" t="n">
        <f aca="false">G6*G7/100</f>
        <v>104.096779188822</v>
      </c>
      <c r="H8" s="0" t="n">
        <f aca="false">H6*H7/100</f>
        <v>108.781134252319</v>
      </c>
      <c r="I8" s="0" t="n">
        <f aca="false">I6*I7/100</f>
        <v>113.132379622412</v>
      </c>
      <c r="J8" s="0" t="n">
        <f aca="false">J6*J7/100</f>
        <v>117.657674807308</v>
      </c>
      <c r="K8" s="0" t="n">
        <f aca="false">K6*K7/100</f>
        <v>121.775693425564</v>
      </c>
      <c r="L8" s="0" t="n">
        <f aca="false">L6*L7/100</f>
        <v>125.428964228331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-0.84430696</v>
      </c>
      <c r="D10" s="0" t="n">
        <f aca="false">-D6*D9/100</f>
        <v>-0.8949653776</v>
      </c>
      <c r="E10" s="0" t="n">
        <f aca="false">-E6*E9/100</f>
        <v>-0.944188473368</v>
      </c>
      <c r="F10" s="0" t="n">
        <f aca="false">-F6*F9/100</f>
        <v>-0.9913978970364</v>
      </c>
      <c r="G10" s="0" t="n">
        <f aca="false">-G6*G9/100</f>
        <v>-1.04096779188822</v>
      </c>
      <c r="H10" s="0" t="n">
        <f aca="false">-H6*H9/100</f>
        <v>-1.08781134252319</v>
      </c>
      <c r="I10" s="0" t="n">
        <f aca="false">-I6*I9/100</f>
        <v>-1.13132379622412</v>
      </c>
      <c r="J10" s="0" t="n">
        <f aca="false">-J6*J9/100</f>
        <v>-1.17657674807308</v>
      </c>
      <c r="K10" s="0" t="n">
        <f aca="false">-K6*K9/100</f>
        <v>-1.21775693425564</v>
      </c>
      <c r="L10" s="0" t="n">
        <f aca="false">-L6*L9/100</f>
        <v>-1.25428964228331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44.3261154</v>
      </c>
      <c r="D11" s="0" t="n">
        <f aca="false">D8+D10+D24</f>
        <v>48.7756130792</v>
      </c>
      <c r="E11" s="0" t="n">
        <f aca="false">E8+E10+E24</f>
        <v>53.346648745292</v>
      </c>
      <c r="F11" s="0" t="n">
        <f aca="false">F8+F10+F24</f>
        <v>57.9967769766294</v>
      </c>
      <c r="G11" s="0" t="n">
        <f aca="false">G8+G10+G24</f>
        <v>62.9785514092373</v>
      </c>
      <c r="H11" s="0" t="n">
        <f aca="false">H8+H10+H24</f>
        <v>66.9003975651762</v>
      </c>
      <c r="I11" s="0" t="n">
        <f aca="false">I8+I10+I24</f>
        <v>70.7077372640073</v>
      </c>
      <c r="J11" s="0" t="n">
        <f aca="false">J8+J10+J24</f>
        <v>74.7126235026408</v>
      </c>
      <c r="K11" s="0" t="n">
        <f aca="false">K8+K10+K24</f>
        <v>77.936443792361</v>
      </c>
      <c r="L11" s="0" t="n">
        <f aca="false">L8+L10+L24</f>
        <v>80.2745371061318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-29.5507436</v>
      </c>
      <c r="D12" s="4" t="n">
        <f aca="false">-D6*Assumptions!D31/100</f>
        <v>-30.8763055272</v>
      </c>
      <c r="E12" s="4" t="n">
        <f aca="false">-E6*Assumptions!E31/100</f>
        <v>-32.102408094512</v>
      </c>
      <c r="F12" s="4" t="n">
        <f aca="false">-F6*Assumptions!F31/100</f>
        <v>-33.2118295507194</v>
      </c>
      <c r="G12" s="4" t="n">
        <f aca="false">-G6*Assumptions!G31/100</f>
        <v>-34.3519371323113</v>
      </c>
      <c r="H12" s="4" t="n">
        <f aca="false">-H6*Assumptions!H31/100</f>
        <v>-35.3538686320037</v>
      </c>
      <c r="I12" s="4" t="n">
        <f aca="false">-I6*Assumptions!I31/100</f>
        <v>-36.7680233772838</v>
      </c>
      <c r="J12" s="4" t="n">
        <f aca="false">-J6*Assumptions!J31/100</f>
        <v>-38.2387443123752</v>
      </c>
      <c r="K12" s="4" t="n">
        <f aca="false">-K6*Assumptions!K31/100</f>
        <v>-39.5771003633083</v>
      </c>
      <c r="L12" s="4" t="n">
        <f aca="false">-L6*Assumptions!L31/100</f>
        <v>-40.7644133742076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14.7753718</v>
      </c>
      <c r="D13" s="0" t="n">
        <f aca="false">D11+D12</f>
        <v>17.899307552</v>
      </c>
      <c r="E13" s="0" t="n">
        <f aca="false">E11+E12</f>
        <v>21.24424065078</v>
      </c>
      <c r="F13" s="0" t="n">
        <f aca="false">F11+F12</f>
        <v>24.78494742591</v>
      </c>
      <c r="G13" s="0" t="n">
        <f aca="false">G11+G12</f>
        <v>28.6266142769261</v>
      </c>
      <c r="H13" s="0" t="n">
        <f aca="false">H11+H12</f>
        <v>31.5465289331725</v>
      </c>
      <c r="I13" s="0" t="n">
        <f aca="false">I11+I12</f>
        <v>33.9397138867235</v>
      </c>
      <c r="J13" s="0" t="n">
        <f aca="false">J11+J12</f>
        <v>36.4738791902656</v>
      </c>
      <c r="K13" s="0" t="n">
        <f aca="false">K11+K12</f>
        <v>38.3593434290526</v>
      </c>
      <c r="L13" s="0" t="n">
        <f aca="false">L11+L12</f>
        <v>39.5101237319242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</v>
      </c>
      <c r="D14" s="4" t="n">
        <f aca="false">Assumptions!D33</f>
        <v>8</v>
      </c>
      <c r="E14" s="4" t="n">
        <f aca="false">Assumptions!E33</f>
        <v>15</v>
      </c>
      <c r="F14" s="4" t="n">
        <f aca="false">Assumptions!F33</f>
        <v>22</v>
      </c>
      <c r="G14" s="4" t="n">
        <f aca="false">Assumptions!G33</f>
        <v>28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14.332110646</v>
      </c>
      <c r="D15" s="0" t="n">
        <f aca="false">D13-MAX(0,D13)*D14/100</f>
        <v>16.46736294784</v>
      </c>
      <c r="E15" s="0" t="n">
        <f aca="false">E13-MAX(0,E13)*E14/100</f>
        <v>18.057604553163</v>
      </c>
      <c r="F15" s="0" t="n">
        <f aca="false">F13-MAX(0,F13)*F14/100</f>
        <v>19.3322589922098</v>
      </c>
      <c r="G15" s="0" t="n">
        <f aca="false">G13-MAX(0,G13)*G14/100</f>
        <v>20.6111622793868</v>
      </c>
      <c r="H15" s="0" t="n">
        <f aca="false">H13-MAX(0,H13)*H14/100</f>
        <v>22.0825702532208</v>
      </c>
      <c r="I15" s="0" t="n">
        <f aca="false">I13-MAX(0,I13)*I14/100</f>
        <v>23.7577997207065</v>
      </c>
      <c r="J15" s="0" t="n">
        <f aca="false">J13-MAX(0,J13)*J14/100</f>
        <v>25.5317154331859</v>
      </c>
      <c r="K15" s="0" t="n">
        <f aca="false">K13-MAX(0,K13)*K14/100</f>
        <v>26.8515404003369</v>
      </c>
      <c r="L15" s="0" t="n">
        <f aca="false">L13-MAX(0,L13)*L14/100</f>
        <v>27.657086612347</v>
      </c>
    </row>
    <row r="16" customFormat="false" ht="15" hidden="false" customHeight="false" outlineLevel="0" collapsed="false">
      <c r="A16" s="0" t="s">
        <v>122</v>
      </c>
      <c r="C16" s="0" t="n">
        <f aca="false">-C12</f>
        <v>29.5507436</v>
      </c>
      <c r="D16" s="0" t="n">
        <f aca="false">-D12</f>
        <v>30.8763055272</v>
      </c>
      <c r="E16" s="0" t="n">
        <f aca="false">-E12</f>
        <v>32.102408094512</v>
      </c>
      <c r="F16" s="0" t="n">
        <f aca="false">-F12</f>
        <v>33.2118295507194</v>
      </c>
      <c r="G16" s="0" t="n">
        <f aca="false">-G12</f>
        <v>34.3519371323113</v>
      </c>
      <c r="H16" s="0" t="n">
        <f aca="false">-H12</f>
        <v>35.3538686320037</v>
      </c>
      <c r="I16" s="0" t="n">
        <f aca="false">-I12</f>
        <v>36.7680233772838</v>
      </c>
      <c r="J16" s="0" t="n">
        <f aca="false">-J12</f>
        <v>38.2387443123752</v>
      </c>
      <c r="K16" s="0" t="n">
        <f aca="false">-K12</f>
        <v>39.5771003633083</v>
      </c>
      <c r="L16" s="0" t="n">
        <f aca="false">-L12</f>
        <v>40.7644133742076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-25.3292088</v>
      </c>
      <c r="D17" s="4" t="n">
        <f aca="false">-D6*Assumptions!D32/100</f>
        <v>-29.086374772</v>
      </c>
      <c r="E17" s="4" t="n">
        <f aca="false">-E6*Assumptions!E32/100</f>
        <v>-33.04659656788</v>
      </c>
      <c r="F17" s="4" t="n">
        <f aca="false">-F6*Assumptions!F32/100</f>
        <v>-34.698926396274</v>
      </c>
      <c r="G17" s="4" t="n">
        <f aca="false">-G6*Assumptions!G32/100</f>
        <v>-33.8314532363672</v>
      </c>
      <c r="H17" s="4" t="n">
        <f aca="false">-H6*Assumptions!H32/100</f>
        <v>-32.6343402756957</v>
      </c>
      <c r="I17" s="4" t="n">
        <f aca="false">-I6*Assumptions!I32/100</f>
        <v>-33.9397138867235</v>
      </c>
      <c r="J17" s="4" t="n">
        <f aca="false">-J6*Assumptions!J32/100</f>
        <v>-35.2973024421925</v>
      </c>
      <c r="K17" s="4" t="n">
        <f aca="false">-K6*Assumptions!K32/100</f>
        <v>-36.5327080276692</v>
      </c>
      <c r="L17" s="4" t="n">
        <f aca="false">-L6*Assumptions!L32/100</f>
        <v>-37.6286892684993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-1.9116384</v>
      </c>
      <c r="D18" s="4" t="n">
        <f aca="false">(D6-C6)*Assumptions!$B$37/100</f>
        <v>-2.026336704</v>
      </c>
      <c r="E18" s="4" t="n">
        <f aca="false">(E6-D6)*Assumptions!$B$37/100</f>
        <v>-1.96892383072</v>
      </c>
      <c r="F18" s="4" t="n">
        <f aca="false">(F6-E6)*Assumptions!$B$37/100</f>
        <v>-1.888376946736</v>
      </c>
      <c r="G18" s="4" t="n">
        <f aca="false">(G6-F6)*Assumptions!$B$37/100</f>
        <v>-1.9827957940728</v>
      </c>
      <c r="H18" s="4" t="n">
        <f aca="false">(H6-G6)*Assumptions!$B$37/100</f>
        <v>-1.8737420253988</v>
      </c>
      <c r="I18" s="4" t="n">
        <f aca="false">(I6-H6)*Assumptions!$B$37/100</f>
        <v>-1.7404981480371</v>
      </c>
      <c r="J18" s="4" t="n">
        <f aca="false">(J6-I6)*Assumptions!$B$37/100</f>
        <v>-1.81011807395859</v>
      </c>
      <c r="K18" s="4" t="n">
        <f aca="false">(K6-J6)*Assumptions!$B$37/100</f>
        <v>-1.64720744730231</v>
      </c>
      <c r="L18" s="4" t="n">
        <f aca="false">(L6-K6)*Assumptions!$B$37/100</f>
        <v>-1.46130832110677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16.642007046</v>
      </c>
      <c r="D19" s="0" t="n">
        <f aca="false">D15+D16+D17+D18</f>
        <v>16.23095699904</v>
      </c>
      <c r="E19" s="0" t="n">
        <f aca="false">E15+E16+E17+E18</f>
        <v>15.144492249075</v>
      </c>
      <c r="F19" s="0" t="n">
        <f aca="false">F15+F16+F17+F18</f>
        <v>15.9567851999192</v>
      </c>
      <c r="G19" s="0" t="n">
        <f aca="false">G15+G16+G17+G18</f>
        <v>19.1488503812581</v>
      </c>
      <c r="H19" s="0" t="n">
        <f aca="false">H15+H16+H17+H18</f>
        <v>22.9283565841299</v>
      </c>
      <c r="I19" s="0" t="n">
        <f aca="false">I15+I16+I17+I18</f>
        <v>24.8456110632296</v>
      </c>
      <c r="J19" s="0" t="n">
        <f aca="false">J15+J16+J17+J18</f>
        <v>26.66303922941</v>
      </c>
      <c r="K19" s="0" t="n">
        <f aca="false">K15+K16+K17+K18</f>
        <v>28.2487252886736</v>
      </c>
      <c r="L19" s="0" t="n">
        <f aca="false">L15+L16+L17+L18</f>
        <v>29.3315023969485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15.1981799506849</v>
      </c>
      <c r="D21" s="0" t="n">
        <f aca="false">D19*D20</f>
        <v>13.5367961460687</v>
      </c>
      <c r="E21" s="0" t="n">
        <f aca="false">E19*E20</f>
        <v>11.5348608484691</v>
      </c>
      <c r="F21" s="0" t="n">
        <f aca="false">F19*F20</f>
        <v>11.099129591704</v>
      </c>
      <c r="G21" s="0" t="n">
        <f aca="false">G19*G20</f>
        <v>12.1638795205182</v>
      </c>
      <c r="H21" s="0" t="n">
        <f aca="false">H19*H20</f>
        <v>13.3011200198053</v>
      </c>
      <c r="I21" s="0" t="n">
        <f aca="false">I19*I20</f>
        <v>13.1628777616785</v>
      </c>
      <c r="J21" s="0" t="n">
        <f aca="false">J19*J20</f>
        <v>12.9002075670629</v>
      </c>
      <c r="K21" s="0" t="n">
        <f aca="false">K19*K20</f>
        <v>12.4816437453572</v>
      </c>
      <c r="L21" s="0" t="n">
        <f aca="false">L19*L20</f>
        <v>11.8356773355507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8.5</v>
      </c>
      <c r="D23" s="4" t="n">
        <f aca="false">Assumptions!D30</f>
        <v>8.3</v>
      </c>
      <c r="E23" s="4" t="n">
        <f aca="false">Assumptions!E30</f>
        <v>8.1</v>
      </c>
      <c r="F23" s="4" t="n">
        <f aca="false">Assumptions!F30</f>
        <v>7.9</v>
      </c>
      <c r="G23" s="4" t="n">
        <f aca="false">Assumptions!G30</f>
        <v>7.7</v>
      </c>
      <c r="H23" s="4" t="n">
        <f aca="false">Assumptions!H30</f>
        <v>7.5</v>
      </c>
      <c r="I23" s="4" t="n">
        <f aca="false">Assumptions!I30</f>
        <v>7.3</v>
      </c>
      <c r="J23" s="4" t="n">
        <f aca="false">Assumptions!J30</f>
        <v>7.1</v>
      </c>
      <c r="K23" s="4" t="n">
        <f aca="false">Assumptions!K30</f>
        <v>7</v>
      </c>
      <c r="L23" s="4" t="n">
        <f aca="false">Assumptions!L30</f>
        <v>7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-35.8830458</v>
      </c>
      <c r="D24" s="0" t="n">
        <f aca="false">-D6*D23/100</f>
        <v>-37.1410631704</v>
      </c>
      <c r="E24" s="0" t="n">
        <f aca="false">-E6*E23/100</f>
        <v>-38.239633171404</v>
      </c>
      <c r="F24" s="0" t="n">
        <f aca="false">-F6*F23/100</f>
        <v>-39.1602169329378</v>
      </c>
      <c r="G24" s="0" t="n">
        <f aca="false">-G6*G23/100</f>
        <v>-40.0772599876965</v>
      </c>
      <c r="H24" s="0" t="n">
        <f aca="false">-H6*H23/100</f>
        <v>-40.7929253446196</v>
      </c>
      <c r="I24" s="0" t="n">
        <f aca="false">-I6*I23/100</f>
        <v>-41.2933185621803</v>
      </c>
      <c r="J24" s="0" t="n">
        <f aca="false">-J6*J23/100</f>
        <v>-41.7684745565944</v>
      </c>
      <c r="K24" s="0" t="n">
        <f aca="false">-K6*K23/100</f>
        <v>-42.6214926989474</v>
      </c>
      <c r="L24" s="0" t="n">
        <f aca="false">-L6*L23/100</f>
        <v>-43.9001374799158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127.2143724869</v>
      </c>
    </row>
    <row r="31" customFormat="false" ht="15" hidden="false" customHeight="false" outlineLevel="0" collapsed="false">
      <c r="A31" s="0" t="s">
        <v>131</v>
      </c>
      <c r="B31" s="0" t="n">
        <f aca="false">L19</f>
        <v>29.3315023969485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429.496999383888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351.978028763382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351.978028763382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142.028128026609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269.242500513508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190.174500513508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1.32703338622762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-0.692460397166252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6.43131537614842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7.41109652236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1.42362542504268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240.518319654977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0.551118174011431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398.258</v>
      </c>
      <c r="C6" s="0" t="n">
        <f aca="false">B6*(1+C5/100)</f>
        <v>438.0838</v>
      </c>
      <c r="D6" s="0" t="n">
        <f aca="false">C6*(1+D5/100)</f>
        <v>481.89218</v>
      </c>
      <c r="E6" s="0" t="n">
        <f aca="false">D6*(1+E5/100)</f>
        <v>525.2624762</v>
      </c>
      <c r="F6" s="0" t="n">
        <f aca="false">E6*(1+F5/100)</f>
        <v>567.283474296</v>
      </c>
      <c r="G6" s="0" t="n">
        <f aca="false">F6*(1+G5/100)</f>
        <v>609.8297348682</v>
      </c>
      <c r="H6" s="0" t="n">
        <f aca="false">G6*(1+H5/100)</f>
        <v>652.517816308974</v>
      </c>
      <c r="I6" s="0" t="n">
        <f aca="false">H6*(1+I5/100)</f>
        <v>691.668885287513</v>
      </c>
      <c r="J6" s="0" t="n">
        <f aca="false">I6*(1+J5/100)</f>
        <v>729.710673978326</v>
      </c>
      <c r="K6" s="0" t="n">
        <f aca="false">J6*(1+K5/100)</f>
        <v>766.196207677243</v>
      </c>
      <c r="L6" s="0" t="n">
        <f aca="false">K6*(1+L5/100)</f>
        <v>800.675037022718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20</v>
      </c>
      <c r="D7" s="4" t="n">
        <f aca="false">Assumptions!D42</f>
        <v>21</v>
      </c>
      <c r="E7" s="4" t="n">
        <f aca="false">Assumptions!E42</f>
        <v>22</v>
      </c>
      <c r="F7" s="4" t="n">
        <f aca="false">Assumptions!F42</f>
        <v>22.5</v>
      </c>
      <c r="G7" s="4" t="n">
        <f aca="false">Assumptions!G42</f>
        <v>23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87.61676</v>
      </c>
      <c r="D8" s="0" t="n">
        <f aca="false">D6*D7/100</f>
        <v>101.1973578</v>
      </c>
      <c r="E8" s="0" t="n">
        <f aca="false">E6*E7/100</f>
        <v>115.557744764</v>
      </c>
      <c r="F8" s="0" t="n">
        <f aca="false">F6*F7/100</f>
        <v>127.6387817166</v>
      </c>
      <c r="G8" s="0" t="n">
        <f aca="false">G6*G7/100</f>
        <v>140.260839019686</v>
      </c>
      <c r="H8" s="0" t="n">
        <f aca="false">H6*H7/100</f>
        <v>153.341686832609</v>
      </c>
      <c r="I8" s="0" t="n">
        <f aca="false">I6*I7/100</f>
        <v>162.542188042566</v>
      </c>
      <c r="J8" s="0" t="n">
        <f aca="false">J6*J7/100</f>
        <v>171.482008384907</v>
      </c>
      <c r="K8" s="0" t="n">
        <f aca="false">K6*K7/100</f>
        <v>180.056108804152</v>
      </c>
      <c r="L8" s="0" t="n">
        <f aca="false">L6*L7/100</f>
        <v>188.158633700339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-0.8761676</v>
      </c>
      <c r="D10" s="0" t="n">
        <f aca="false">-D6*D9/100</f>
        <v>-0.96378436</v>
      </c>
      <c r="E10" s="0" t="n">
        <f aca="false">-E6*E9/100</f>
        <v>-1.0505249524</v>
      </c>
      <c r="F10" s="0" t="n">
        <f aca="false">-F6*F9/100</f>
        <v>-1.134566948592</v>
      </c>
      <c r="G10" s="0" t="n">
        <f aca="false">-G6*G9/100</f>
        <v>-1.2196594697364</v>
      </c>
      <c r="H10" s="0" t="n">
        <f aca="false">-H6*H9/100</f>
        <v>-1.30503563261795</v>
      </c>
      <c r="I10" s="0" t="n">
        <f aca="false">-I6*I9/100</f>
        <v>-1.38333777057503</v>
      </c>
      <c r="J10" s="0" t="n">
        <f aca="false">-J6*J9/100</f>
        <v>-1.45942134795665</v>
      </c>
      <c r="K10" s="0" t="n">
        <f aca="false">-K6*K9/100</f>
        <v>-1.53239241535448</v>
      </c>
      <c r="L10" s="0" t="n">
        <f aca="false">-L6*L9/100</f>
        <v>-1.60135007404544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50.379637</v>
      </c>
      <c r="D11" s="0" t="n">
        <f aca="false">D8+D10+D24</f>
        <v>62.16409122</v>
      </c>
      <c r="E11" s="0" t="n">
        <f aca="false">E8+E10+E24</f>
        <v>75.1125340966</v>
      </c>
      <c r="F11" s="0" t="n">
        <f aca="false">F8+F10+F24</f>
        <v>86.2270880929921</v>
      </c>
      <c r="G11" s="0" t="n">
        <f aca="false">G8+G10+G24</f>
        <v>98.1825873137803</v>
      </c>
      <c r="H11" s="0" t="n">
        <f aca="false">H8+H10+H24</f>
        <v>110.928028772526</v>
      </c>
      <c r="I11" s="0" t="n">
        <f aca="false">I8+I10+I24</f>
        <v>119.65871715474</v>
      </c>
      <c r="J11" s="0" t="n">
        <f aca="false">J8+J10+J24</f>
        <v>126.23994659825</v>
      </c>
      <c r="K11" s="0" t="n">
        <f aca="false">K8+K10+K24</f>
        <v>132.551943928163</v>
      </c>
      <c r="L11" s="0" t="n">
        <f aca="false">L8+L10+L24</f>
        <v>138.51678140493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-29.7896984</v>
      </c>
      <c r="D12" s="4" t="n">
        <f aca="false">-D6*Assumptions!D45/100</f>
        <v>-31.80488388</v>
      </c>
      <c r="E12" s="4" t="n">
        <f aca="false">-E6*Assumptions!E45/100</f>
        <v>-33.6167984768</v>
      </c>
      <c r="F12" s="4" t="n">
        <f aca="false">-F6*Assumptions!F45/100</f>
        <v>-35.171575406352</v>
      </c>
      <c r="G12" s="4" t="n">
        <f aca="false">-G6*Assumptions!G45/100</f>
        <v>-36.589784092092</v>
      </c>
      <c r="H12" s="4" t="n">
        <f aca="false">-H6*Assumptions!H45/100</f>
        <v>-37.8460333459205</v>
      </c>
      <c r="I12" s="4" t="n">
        <f aca="false">-I6*Assumptions!I45/100</f>
        <v>-39.4251264613882</v>
      </c>
      <c r="J12" s="4" t="n">
        <f aca="false">-J6*Assumptions!J45/100</f>
        <v>-41.5935084167646</v>
      </c>
      <c r="K12" s="4" t="n">
        <f aca="false">-K6*Assumptions!K45/100</f>
        <v>-43.6731838376028</v>
      </c>
      <c r="L12" s="4" t="n">
        <f aca="false">-L6*Assumptions!L45/100</f>
        <v>-45.6384771102949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20.5899386</v>
      </c>
      <c r="D13" s="0" t="n">
        <f aca="false">D11+D12</f>
        <v>30.35920734</v>
      </c>
      <c r="E13" s="0" t="n">
        <f aca="false">E11+E12</f>
        <v>41.4957356198</v>
      </c>
      <c r="F13" s="0" t="n">
        <f aca="false">F11+F12</f>
        <v>51.05551268664</v>
      </c>
      <c r="G13" s="0" t="n">
        <f aca="false">G11+G12</f>
        <v>61.5928032216883</v>
      </c>
      <c r="H13" s="0" t="n">
        <f aca="false">H11+H12</f>
        <v>73.0819954266051</v>
      </c>
      <c r="I13" s="0" t="n">
        <f aca="false">I11+I12</f>
        <v>80.2335906933515</v>
      </c>
      <c r="J13" s="0" t="n">
        <f aca="false">J11+J12</f>
        <v>84.6464381814858</v>
      </c>
      <c r="K13" s="0" t="n">
        <f aca="false">K11+K12</f>
        <v>88.8787600905601</v>
      </c>
      <c r="L13" s="0" t="n">
        <f aca="false">L11+L12</f>
        <v>92.8783042946353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</v>
      </c>
      <c r="D14" s="4" t="n">
        <f aca="false">Assumptions!D47</f>
        <v>8</v>
      </c>
      <c r="E14" s="4" t="n">
        <f aca="false">Assumptions!E47</f>
        <v>15</v>
      </c>
      <c r="F14" s="4" t="n">
        <f aca="false">Assumptions!F47</f>
        <v>22</v>
      </c>
      <c r="G14" s="4" t="n">
        <f aca="false">Assumptions!G47</f>
        <v>28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19.972240442</v>
      </c>
      <c r="D15" s="0" t="n">
        <f aca="false">D13-MAX(0,D13)*D14/100</f>
        <v>27.9304707528</v>
      </c>
      <c r="E15" s="0" t="n">
        <f aca="false">E13-MAX(0,E13)*E14/100</f>
        <v>35.27137527683</v>
      </c>
      <c r="F15" s="0" t="n">
        <f aca="false">F13-MAX(0,F13)*F14/100</f>
        <v>39.8232998955792</v>
      </c>
      <c r="G15" s="0" t="n">
        <f aca="false">G13-MAX(0,G13)*G14/100</f>
        <v>44.3468183196155</v>
      </c>
      <c r="H15" s="0" t="n">
        <f aca="false">H13-MAX(0,H13)*H14/100</f>
        <v>51.1573967986236</v>
      </c>
      <c r="I15" s="0" t="n">
        <f aca="false">I13-MAX(0,I13)*I14/100</f>
        <v>56.163513485346</v>
      </c>
      <c r="J15" s="0" t="n">
        <f aca="false">J13-MAX(0,J13)*J14/100</f>
        <v>59.2525067270401</v>
      </c>
      <c r="K15" s="0" t="n">
        <f aca="false">K13-MAX(0,K13)*K14/100</f>
        <v>62.2151320633921</v>
      </c>
      <c r="L15" s="0" t="n">
        <f aca="false">L13-MAX(0,L13)*L14/100</f>
        <v>65.0148130062447</v>
      </c>
    </row>
    <row r="16" customFormat="false" ht="15" hidden="false" customHeight="false" outlineLevel="0" collapsed="false">
      <c r="A16" s="0" t="s">
        <v>122</v>
      </c>
      <c r="C16" s="0" t="n">
        <f aca="false">-C12</f>
        <v>29.7896984</v>
      </c>
      <c r="D16" s="0" t="n">
        <f aca="false">-D12</f>
        <v>31.80488388</v>
      </c>
      <c r="E16" s="0" t="n">
        <f aca="false">-E12</f>
        <v>33.6167984768</v>
      </c>
      <c r="F16" s="0" t="n">
        <f aca="false">-F12</f>
        <v>35.171575406352</v>
      </c>
      <c r="G16" s="0" t="n">
        <f aca="false">-G12</f>
        <v>36.589784092092</v>
      </c>
      <c r="H16" s="0" t="n">
        <f aca="false">-H12</f>
        <v>37.8460333459205</v>
      </c>
      <c r="I16" s="0" t="n">
        <f aca="false">-I12</f>
        <v>39.4251264613882</v>
      </c>
      <c r="J16" s="0" t="n">
        <f aca="false">-J12</f>
        <v>41.5935084167646</v>
      </c>
      <c r="K16" s="0" t="n">
        <f aca="false">-K12</f>
        <v>43.6731838376028</v>
      </c>
      <c r="L16" s="0" t="n">
        <f aca="false">-L12</f>
        <v>45.6384771102949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-28.475447</v>
      </c>
      <c r="D17" s="4" t="n">
        <f aca="false">-D6*Assumptions!D46/100</f>
        <v>-36.1419135</v>
      </c>
      <c r="E17" s="4" t="n">
        <f aca="false">-E6*Assumptions!E46/100</f>
        <v>-42.020998096</v>
      </c>
      <c r="F17" s="4" t="n">
        <f aca="false">-F6*Assumptions!F46/100</f>
        <v>-42.5462605722</v>
      </c>
      <c r="G17" s="4" t="n">
        <f aca="false">-G6*Assumptions!G46/100</f>
        <v>-39.638932766433</v>
      </c>
      <c r="H17" s="4" t="n">
        <f aca="false">-H6*Assumptions!H46/100</f>
        <v>-35.8884798969936</v>
      </c>
      <c r="I17" s="4" t="n">
        <f aca="false">-I6*Assumptions!I46/100</f>
        <v>-38.0417886908132</v>
      </c>
      <c r="J17" s="4" t="n">
        <f aca="false">-J6*Assumptions!J46/100</f>
        <v>-40.1340870688079</v>
      </c>
      <c r="K17" s="4" t="n">
        <f aca="false">-K6*Assumptions!K46/100</f>
        <v>-42.1407914222483</v>
      </c>
      <c r="L17" s="4" t="n">
        <f aca="false">-L6*Assumptions!L46/100</f>
        <v>-44.0371270362495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-2.389548</v>
      </c>
      <c r="D18" s="4" t="n">
        <f aca="false">(D6-C6)*Assumptions!$B$51/100</f>
        <v>-2.6285028</v>
      </c>
      <c r="E18" s="4" t="n">
        <f aca="false">(E6-D6)*Assumptions!$B$51/100</f>
        <v>-2.60221777200001</v>
      </c>
      <c r="F18" s="4" t="n">
        <f aca="false">(F6-E6)*Assumptions!$B$51/100</f>
        <v>-2.52125988576001</v>
      </c>
      <c r="G18" s="4" t="n">
        <f aca="false">(G6-F6)*Assumptions!$B$51/100</f>
        <v>-2.552775634332</v>
      </c>
      <c r="H18" s="4" t="n">
        <f aca="false">(H6-G6)*Assumptions!$B$51/100</f>
        <v>-2.56128488644645</v>
      </c>
      <c r="I18" s="4" t="n">
        <f aca="false">(I6-H6)*Assumptions!$B$51/100</f>
        <v>-2.34906413871231</v>
      </c>
      <c r="J18" s="4" t="n">
        <f aca="false">(J6-I6)*Assumptions!$B$51/100</f>
        <v>-2.28250732144879</v>
      </c>
      <c r="K18" s="4" t="n">
        <f aca="false">(K6-J6)*Assumptions!$B$51/100</f>
        <v>-2.18913202193498</v>
      </c>
      <c r="L18" s="4" t="n">
        <f aca="false">(L6-K6)*Assumptions!$B$51/100</f>
        <v>-2.06872976072855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18.896943842</v>
      </c>
      <c r="D19" s="0" t="n">
        <f aca="false">D15+D16+D17+D18</f>
        <v>20.9649383328</v>
      </c>
      <c r="E19" s="0" t="n">
        <f aca="false">E15+E16+E17+E18</f>
        <v>24.26495788563</v>
      </c>
      <c r="F19" s="0" t="n">
        <f aca="false">F15+F16+F17+F18</f>
        <v>29.9273548439712</v>
      </c>
      <c r="G19" s="0" t="n">
        <f aca="false">G15+G16+G17+G18</f>
        <v>38.7448940109425</v>
      </c>
      <c r="H19" s="0" t="n">
        <f aca="false">H15+H16+H17+H18</f>
        <v>50.5536653611041</v>
      </c>
      <c r="I19" s="0" t="n">
        <f aca="false">I15+I16+I17+I18</f>
        <v>55.1977871172088</v>
      </c>
      <c r="J19" s="0" t="n">
        <f aca="false">J15+J16+J17+J18</f>
        <v>58.4294207535479</v>
      </c>
      <c r="K19" s="0" t="n">
        <f aca="false">K15+K16+K17+K18</f>
        <v>61.5583924568116</v>
      </c>
      <c r="L19" s="0" t="n">
        <f aca="false">L15+L16+L17+L18</f>
        <v>64.5474333195616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17.2574829607306</v>
      </c>
      <c r="D21" s="0" t="n">
        <f aca="false">D19*D20</f>
        <v>17.4849884971539</v>
      </c>
      <c r="E21" s="0" t="n">
        <f aca="false">E19*E20</f>
        <v>18.4814986267895</v>
      </c>
      <c r="F21" s="0" t="n">
        <f aca="false">F19*F20</f>
        <v>20.8166987014294</v>
      </c>
      <c r="G21" s="0" t="n">
        <f aca="false">G19*G20</f>
        <v>24.6118285641642</v>
      </c>
      <c r="H21" s="0" t="n">
        <f aca="false">H19*H20</f>
        <v>29.3270199258216</v>
      </c>
      <c r="I21" s="0" t="n">
        <f aca="false">I19*I20</f>
        <v>29.2430611865388</v>
      </c>
      <c r="J21" s="0" t="n">
        <f aca="false">J19*J20</f>
        <v>28.2695325637376</v>
      </c>
      <c r="K21" s="0" t="n">
        <f aca="false">K19*K20</f>
        <v>27.1994547127717</v>
      </c>
      <c r="L21" s="0" t="n">
        <f aca="false">L19*L20</f>
        <v>26.0458050620614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8.3</v>
      </c>
      <c r="D23" s="4" t="n">
        <f aca="false">Assumptions!D44</f>
        <v>7.9</v>
      </c>
      <c r="E23" s="4" t="n">
        <f aca="false">Assumptions!E44</f>
        <v>7.5</v>
      </c>
      <c r="F23" s="4" t="n">
        <f aca="false">Assumptions!F44</f>
        <v>7.1</v>
      </c>
      <c r="G23" s="4" t="n">
        <f aca="false">Assumptions!G44</f>
        <v>6.7</v>
      </c>
      <c r="H23" s="4" t="n">
        <f aca="false">Assumptions!H44</f>
        <v>6.3</v>
      </c>
      <c r="I23" s="4" t="n">
        <f aca="false">Assumptions!I44</f>
        <v>6</v>
      </c>
      <c r="J23" s="4" t="n">
        <f aca="false">Assumptions!J44</f>
        <v>6</v>
      </c>
      <c r="K23" s="4" t="n">
        <f aca="false">Assumptions!K44</f>
        <v>6</v>
      </c>
      <c r="L23" s="4" t="n">
        <f aca="false">Assumptions!L44</f>
        <v>6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-36.3609554</v>
      </c>
      <c r="D24" s="0" t="n">
        <f aca="false">-D6*D23/100</f>
        <v>-38.06948222</v>
      </c>
      <c r="E24" s="0" t="n">
        <f aca="false">-E6*E23/100</f>
        <v>-39.394685715</v>
      </c>
      <c r="F24" s="0" t="n">
        <f aca="false">-F6*F23/100</f>
        <v>-40.277126675016</v>
      </c>
      <c r="G24" s="0" t="n">
        <f aca="false">-G6*G23/100</f>
        <v>-40.8585922361694</v>
      </c>
      <c r="H24" s="0" t="n">
        <f aca="false">-H6*H23/100</f>
        <v>-41.1086224274654</v>
      </c>
      <c r="I24" s="0" t="n">
        <f aca="false">-I6*I23/100</f>
        <v>-41.5001331172508</v>
      </c>
      <c r="J24" s="0" t="n">
        <f aca="false">-J6*J23/100</f>
        <v>-43.7826404386996</v>
      </c>
      <c r="K24" s="0" t="n">
        <f aca="false">-K6*K23/100</f>
        <v>-45.9717724606346</v>
      </c>
      <c r="L24" s="0" t="n">
        <f aca="false">-L6*L23/100</f>
        <v>-48.0405022213631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238.737370801199</v>
      </c>
    </row>
    <row r="31" customFormat="false" ht="15" hidden="false" customHeight="false" outlineLevel="0" collapsed="false">
      <c r="A31" s="0" t="s">
        <v>131</v>
      </c>
      <c r="B31" s="0" t="n">
        <f aca="false">L19</f>
        <v>64.5474333195616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1022.82855875613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903.664066473862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903.664066473862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364.64127086886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603.378641670059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524.310641670059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3.65862786215744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-0.152114052802447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7.48733470508373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10.2392691845846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3.78232370530415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554.032135992904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1.65834999494472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-0.336723404101606</v>
      </c>
      <c r="C4" s="0" t="n">
        <f aca="false">B4/Assumptions!$B$2-1</f>
        <v>-1.07803555135611</v>
      </c>
      <c r="D4" s="4" t="n">
        <f aca="false">Assumptions!$B$24</f>
        <v>0.3</v>
      </c>
      <c r="E4" s="4" t="n">
        <f aca="false">DCF_Bear!$B$43</f>
        <v>-0.266293042939731</v>
      </c>
      <c r="F4" s="4" t="n">
        <f aca="false">DCF_Bear!$B$47</f>
        <v>-0.480650391973093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1.32703338622762</v>
      </c>
      <c r="C5" s="0" t="n">
        <f aca="false">B5/Assumptions!$B$2-1</f>
        <v>-0.692460397166252</v>
      </c>
      <c r="D5" s="4" t="n">
        <f aca="false">Assumptions!$B$38</f>
        <v>0.45</v>
      </c>
      <c r="E5" s="4" t="n">
        <f aca="false">DCF_Base!$B$43</f>
        <v>1.42362542504268</v>
      </c>
      <c r="F5" s="4" t="n">
        <f aca="false">DCF_Base!$B$47</f>
        <v>0.551118174011431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3.65862786215744</v>
      </c>
      <c r="C6" s="0" t="n">
        <f aca="false">B6/Assumptions!$B$2-1</f>
        <v>-0.152114052802447</v>
      </c>
      <c r="D6" s="4" t="n">
        <f aca="false">Assumptions!$B$52</f>
        <v>0.25</v>
      </c>
      <c r="E6" s="4" t="n">
        <f aca="false">DCF_Bull!$B$43</f>
        <v>3.78232370530415</v>
      </c>
      <c r="F6" s="4" t="n">
        <f aca="false">DCF_Bull!$B$47</f>
        <v>1.65834999494472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1.41080496811131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1.50632445471333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-2.05853757077184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3040.42152570301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0.518395559449397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1.39576993292897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1.32703338622762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1.26136894139089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1.13864283180044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0.94667461081269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0.551118174011431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1.62210936128468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1.62210936128468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1.62210936128468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1.62210936128468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1.62210936128468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1.46774333352413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1.46774333352413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1.46774333352413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1.46774333352413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1.46774333352413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1.32703338622762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1.32703338622762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1.32703338622762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1.32703338622762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1.32703338622762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1.14415675251888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1.19862105431908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1.19862105431908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1.19862105431908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1.19862105431908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0.953802338099493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0.994244695812638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1.03918064882724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1.0812955106212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1.0812955106212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2026-09-25T05:20:48Z</dcterms:created>
  <dc:creator>openpyxl</dc:creator>
  <dc:description/>
  <dc:language>en-NZ</dc:language>
  <cp:lastModifiedBy/>
  <dcterms:modified xsi:type="dcterms:W3CDTF">2026-09-25T05:20:48Z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