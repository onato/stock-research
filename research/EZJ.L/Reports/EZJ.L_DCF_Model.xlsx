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<sst xmlns="http://schemas.openxmlformats.org/spreadsheetml/2006/main" count="364" uniqueCount="168">
  <si>
    <t xml:space="preserve">Ticker</t>
  </si>
  <si>
    <t xml:space="preserve">EZJ.L</t>
  </si>
  <si>
    <t xml:space="preserve">Company</t>
  </si>
  <si>
    <t xml:space="preserve">easyJet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</si>
  <si>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</si>
  <si>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</si>
  <si>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</si>
  <si>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</si>
  <si>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2026-10-09T15:38:08Z regular session close (Friday); not an after-hours print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</si>
  <si>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</si>
  <si>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</si>
  <si>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</si>
  <si>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</si>
  <si>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</si>
  <si>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</si>
  <si>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</si>
  <si>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</si>
  <si>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</si>
  <si>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</si>
  <si>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</si>
  <si>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</si>
  <si>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</si>
  <si>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2026-10-09T23:14:45Z</t>
  </si>
  <si>
    <t xml:space="preserve">Drivers file</t>
  </si>
  <si>
    <t xml:space="preserve">EZJ.L_Drivers.json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</si>
  <si>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</si>
  <si>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</si>
  <si>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</si>
  <si>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Two-layer valuation because a recommended cash scheme is live. Layer 1 (corporate_action): deal-completes at the PV of Apollo's 715p offer vs deal-breaks at the standalone DCF, weighted 85/15. Layer 2 (the rest of this file): a standalone owner-FCF DCF with leases charged as operating cost, SBC expensed, interest income stripped against GBP1.4bn ex-lease net cash, and the FY26-28 fleet-renewal capex taken from the company's own fleet plan rather than smoothed away; COVID years excluded from every anchor, mid-cycle = FY16-19 and FY23-25. The standalone method values the cash an owner receives, so a capital-intensive airline earning close to its cost of capital on new aircraft scores far below its earnings multiple; that gap is reported, not hidden, and the standalone value (433p) sits inside the undisturbed pre-bid trading range (345-480p), which is the external check on it.
key_risks_to_valuation: Deal completion: the EU/UK airline ownership-and-control clearance for the 49.9%-capped Apollo structure has already delayed the Scheme Document once; a break resets the stock from ~680p toward the 400-450p standalone/undisturbed range. The deal-weighted value assumes 85% completion; at 70% it is ~605p, at 95% ~667p.; Fuel: every $100/MT moves H2 cost ~GBP35m; the April-2026 spike to ~$1,800/MT is the proximate cause of the FY26 trough and its persistence is the main bear axis.; Fleet capex financing mix: the valuation is very sensitive to how much of the 73 FY27-28 deliveries goes into ownership (capex) versus sale-and-leaseback (lease cost); base assumes ~70% ownership.; Competitive retention of the GBP250m upgauging efficiencies against Ryanair's structurally lower CASK.; Terminal capex intensity: 9.5% of revenue at maturity is a judgment on replacement cost of a 389-aircraft fleet; each 1pt is roughly 35-40p/share.; Balance-sheet vintage: March balance sheet against full-year FY26 flows double-counts ~GBP120-220m of H1 FY26 outflow (15-30p/share, conservative) and carries ~GBP1.1bn of seasonal prepayment float that is treated as permanent operating funding.; Upside risk to the model: the DCF gives no credit for the resale value of the new fleet beyond the cash flows it generates; a buyer or an SLB market valuing new A321neos at cost would see a higher equity value than this owner-FCF basis.</t>
  </si>
  <si>
    <t xml:space="preserve">Data sources</t>
  </si>
  <si>
    <t xml:space="preserve">price: Yahoo Finance chart API, regular-session close at inputs.price_as_of; 52-week range 332.6-683.8 GBp
financials: EZJ.L_Metrics.csv (core_metrics, FY2015-FY2025 + H1 FY2026 + Q3 FY2026 KPIs); FY2025 Annual Report (cash-flow statement, note 7 EPS/diluted shares, right-of-use asset note, borrowings note 17); H1 FY2026 interim results (21 May 2026) and presentation (fleet plan, net cash); Q3 FY2026 trading update (23 July 2026)
qualitative: EZJ.L_Analysis.json (bull/bear cases, recent_developments incl. the Apollo offer timetable, guidance); FY2025 strategic report; H1 FY2026 outlook; Q3 FY2026 trading update; Yahoo weekly closes for the undisturbed-price reference</t>
  </si>
  <si>
    <t xml:space="preserve">Scenario narrative: bear</t>
  </si>
  <si>
    <t xml:space="preserve">Fuel stays elevated and demand soft through FY27; Ryanair's cost advantage turns the upgauging savings into fare cuts; margins settle at 12.5%. Management defers and sale-and-leasebacks ~40% of FY27-28 deliveries, so cash burn is contained but lease cost rises and capacity growth stalls at ~2%. Terminal owner FCF is near zero (floored at the 10x cap) and the equity is worth little more than the residual net cash after the burn. No solvency risk (BBB+/Baa2, GBP4.7bn liquidity, no maturity before March 2028) - this is a value-destruction bear, not a distress bear.</t>
  </si>
  <si>
    <t xml:space="preserve">Scenario narrative: base</t>
  </si>
  <si>
    <t xml:space="preserve">easyJet's axes are (1) fuel and the geopolitical shock to European leisure demand, (2) whether the A319-&gt;A321neo upgauging converts the guided GBP250m of cost efficiencies into margin or into lower fares against Ryanair and Wizz, (3) the GBP7bn+ FY26-28 fleet-renewal capex and how much of it is financed into ownership versus sale-and-leaseback, and (4) easyJet holidays' capital-light growth. Base: FY26 is a trough (EBITDA ~10%, headline PBT ~GBP160-200m after a GBP552m H1 loss and the April fuel spike), FY27-28 recover to 14.5% as fuel partly normalises and half the efficiencies stick, and the business settles at 15.5% EBITDA from FY30, between FY19's 15.1% and management's 16.5% target. Owner FCF is negative through FY28 (~GBP-2.0bn cumulative) because net capex runs at 13.5-19% of revenue, then normalises to ~2.5% of revenue once deliveries drop to the c.17/yr steady state. The terminal cap (13x) binds. Value per share is dominated by net cash plus a modest franchise value; it sits well below the earnings-multiple view because the DCF charges the renewal cycle in full and the terminal state earns roughly its cost of capital.</t>
  </si>
  <si>
    <t xml:space="preserve">Scenario narrative: bull</t>
  </si>
  <si>
    <t xml:space="preserve">The &gt;GBP1bn PBT target is hit by FY28 and held: fuel back near $700/MT, upgauging savings retained (17% EBITDA), the FY27 loyalty programme and premiumisation lift RASK 2-3% above base, holidays keeps growing double digits, and a higher sale-and-leaseback share plus better asset productivity hold mature net capex at 8.5% of revenue. Owner FCF margin matures near 5% and the market pays 14x for 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</si>
  <si>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</si>
  <si>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</si>
  <si>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</si>
  <si>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</si>
  <si>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</si>
  <si>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</si>
  <si>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</si>
  <si>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</si>
  <si>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</si>
  <si>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</si>
  <si>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</si>
  <si>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</si>
  <si>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</si>
  <si>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</si>
  <si>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</si>
  <si>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</si>
  <si>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</si>
  <si>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</si>
  <si>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</si>
  <si>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</si>
  <si>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</si>
  <si>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</si>
  <si>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</si>
  <si>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</si>
  <si>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</si>
  <si>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</si>
  <si>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</si>
  <si>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</si>
  <si>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</si>
  <si>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</si>
  <si>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</si>
  <si>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</si>
  <si>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</si>
  <si>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</si>
  <si>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</si>
  <si>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</si>
  <si>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</si>
  <si>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</si>
  <si>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</si>
  <si>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</si>
  <si>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</si>
  <si>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</si>
  <si>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</si>
  <si>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</si>
  <si>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</si>
  <si>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</si>
  <si>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</si>
  <si>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</si>
  <si>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</si>
  <si>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</si>
  <si>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</si>
  <si>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</si>
  <si>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</si>
  <si>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</si>
  <si>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</si>
  <si>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</si>
  <si>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</si>
  <si>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</si>
  <si>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</si>
  <si>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</si>
  <si>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</si>
  <si>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</si>
  <si>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</si>
  <si>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</si>
  <si>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</si>
  <si>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</si>
  <si>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</si>
  <si>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</si>
  <si>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</si>
  <si>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</si>
  <si>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</si>
  <si>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</si>
  <si>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</si>
  <si>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</si>
  <si>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</si>
  <si>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</si>
  <si>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EZJ.L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</si>
  <si>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</si>
  <si>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</si>
  <si>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</si>
  <si>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</si>
  <si>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</si>
  <si>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</si>
  <si>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</si>
  <si>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</si>
  <si>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</si>
  <si>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</si>
  <si>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</si>
  <si>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</si>
  <si>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</si>
  <si>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</si>
  <si>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</si>
  <si>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</si>
  <si>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</si>
  <si>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</si>
  <si>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</si>
  <si>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</si>
  <si>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</si>
  <si>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</si>
  <si>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</si>
  <si>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</si>
  <si>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</si>
  <si>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</si>
  <si>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</si>
  <si>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</si>
  <si>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</si>
  <si>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</si>
  <si>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EZJ.L owner-FCF component DCF: base case (millions, GBP)</t>
  </si>
  <si>
    <t xml:space="preserve">EZJ.L owner-FCF component DCF: bull case (millions, GBP)</t>
  </si>
  <si>
    <t xml:space="preserve">EZJ.L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</si>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</sst>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680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4686</v>
      </c>
      <c r="F2" s="0" t="n">
        <v>688</v>
      </c>
      <c r="G2" s="0" t="n">
        <v>14.7</v>
      </c>
      <c r="I2" s="0" t="n">
        <v>548</v>
      </c>
      <c r="J2" s="0" t="n">
        <v>11.7</v>
      </c>
      <c r="K2" s="0" t="n">
        <v>1.391</v>
      </c>
      <c r="L2" s="0" t="n">
        <v>789</v>
      </c>
      <c r="M2" s="0" t="n">
        <v>536</v>
      </c>
      <c r="N2" s="0" t="n">
        <v>253</v>
      </c>
      <c r="O2" s="0" t="n">
        <v>2249</v>
      </c>
      <c r="R2" s="0" t="n">
        <v>504</v>
      </c>
      <c r="S2" s="0" t="n">
        <v>939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4669</v>
      </c>
      <c r="F3" s="0" t="n">
        <v>510</v>
      </c>
      <c r="G3" s="0" t="n">
        <v>10.9</v>
      </c>
      <c r="H3" s="0" t="n">
        <v>679</v>
      </c>
      <c r="I3" s="0" t="n">
        <v>437</v>
      </c>
      <c r="J3" s="0" t="n">
        <v>9.4</v>
      </c>
      <c r="K3" s="0" t="n">
        <v>1.109</v>
      </c>
      <c r="L3" s="0" t="n">
        <v>606</v>
      </c>
      <c r="M3" s="0" t="n">
        <v>586</v>
      </c>
      <c r="N3" s="0" t="n">
        <v>20</v>
      </c>
      <c r="O3" s="0" t="n">
        <v>2694</v>
      </c>
      <c r="R3" s="0" t="n">
        <v>756</v>
      </c>
      <c r="S3" s="0" t="n">
        <v>969</v>
      </c>
      <c r="T3" s="0" t="n">
        <v>396.9</v>
      </c>
      <c r="U3" s="0" t="n">
        <v>19</v>
      </c>
      <c r="AA3" s="0" t="s">
        <v>18</v>
      </c>
      <c r="AB3" s="0" t="s">
        <v>14</v>
      </c>
      <c r="AC3" s="0" t="n">
        <v>98</v>
      </c>
    </row>
    <row r="4" customFormat="false" ht="15" hidden="false" customHeight="false" outlineLevel="0" collapsed="false">
      <c r="A4" s="0" t="s">
        <v>67</v>
      </c>
      <c r="B4" s="0" t="n">
        <v>5047</v>
      </c>
      <c r="F4" s="0" t="n">
        <v>404</v>
      </c>
      <c r="G4" s="0" t="n">
        <v>8</v>
      </c>
      <c r="H4" s="0" t="n">
        <v>599</v>
      </c>
      <c r="I4" s="0" t="n">
        <v>305</v>
      </c>
      <c r="J4" s="0" t="n">
        <v>6</v>
      </c>
      <c r="K4" s="0" t="n">
        <v>0.774</v>
      </c>
      <c r="L4" s="0" t="n">
        <v>877</v>
      </c>
      <c r="M4" s="0" t="n">
        <v>630</v>
      </c>
      <c r="N4" s="0" t="n">
        <v>247</v>
      </c>
      <c r="O4" s="0" t="n">
        <v>2802</v>
      </c>
      <c r="R4" s="0" t="n">
        <v>971</v>
      </c>
      <c r="S4" s="0" t="n">
        <v>1328</v>
      </c>
      <c r="T4" s="0" t="n">
        <v>397.1</v>
      </c>
      <c r="U4" s="0" t="n">
        <v>13</v>
      </c>
      <c r="AA4" s="0" t="s">
        <v>18</v>
      </c>
      <c r="AB4" s="0" t="s">
        <v>14</v>
      </c>
      <c r="AC4" s="0" t="n">
        <v>7</v>
      </c>
    </row>
    <row r="5" customFormat="false" ht="15" hidden="false" customHeight="false" outlineLevel="0" collapsed="false">
      <c r="A5" s="0" t="s">
        <v>68</v>
      </c>
      <c r="B5" s="0" t="n">
        <v>5898</v>
      </c>
      <c r="F5" s="0" t="n">
        <v>463</v>
      </c>
      <c r="G5" s="0" t="n">
        <v>7.9</v>
      </c>
      <c r="H5" s="0" t="n">
        <v>677</v>
      </c>
      <c r="I5" s="0" t="n">
        <v>358</v>
      </c>
      <c r="J5" s="0" t="n">
        <v>6.1</v>
      </c>
      <c r="K5" s="0" t="n">
        <v>0.909</v>
      </c>
      <c r="L5" s="0" t="n">
        <v>1123</v>
      </c>
      <c r="M5" s="0" t="n">
        <v>1012</v>
      </c>
      <c r="N5" s="0" t="n">
        <v>111</v>
      </c>
      <c r="O5" s="0" t="n">
        <v>3233</v>
      </c>
      <c r="R5" s="0" t="n">
        <v>977</v>
      </c>
      <c r="S5" s="0" t="n">
        <v>1373</v>
      </c>
      <c r="T5" s="0" t="n">
        <v>396.9</v>
      </c>
      <c r="U5" s="0" t="n">
        <v>17</v>
      </c>
      <c r="AA5" s="0" t="s">
        <v>18</v>
      </c>
      <c r="AB5" s="0" t="s">
        <v>14</v>
      </c>
      <c r="AC5" s="0" t="n">
        <v>6</v>
      </c>
    </row>
    <row r="6" customFormat="false" ht="15" hidden="false" customHeight="false" outlineLevel="0" collapsed="false">
      <c r="A6" s="0" t="s">
        <v>69</v>
      </c>
      <c r="B6" s="0" t="n">
        <v>6385</v>
      </c>
      <c r="F6" s="0" t="n">
        <v>466</v>
      </c>
      <c r="G6" s="0" t="n">
        <v>7.3</v>
      </c>
      <c r="H6" s="0" t="n">
        <v>965</v>
      </c>
      <c r="I6" s="0" t="n">
        <v>349</v>
      </c>
      <c r="J6" s="0" t="n">
        <v>5.5</v>
      </c>
      <c r="K6" s="0" t="n">
        <v>0.886</v>
      </c>
      <c r="L6" s="0" t="n">
        <v>994</v>
      </c>
      <c r="M6" s="0" t="n">
        <v>984</v>
      </c>
      <c r="N6" s="0" t="n">
        <v>10</v>
      </c>
      <c r="O6" s="0" t="n">
        <v>2985</v>
      </c>
      <c r="R6" s="0" t="n">
        <v>1902</v>
      </c>
      <c r="S6" s="0" t="n">
        <v>1576</v>
      </c>
      <c r="T6" s="0" t="n">
        <v>397.5</v>
      </c>
      <c r="U6" s="0" t="n">
        <v>19</v>
      </c>
      <c r="AA6" s="0" t="s">
        <v>18</v>
      </c>
      <c r="AB6" s="0" t="s">
        <v>14</v>
      </c>
      <c r="AC6" s="0" t="n">
        <v>174</v>
      </c>
    </row>
    <row r="7" customFormat="false" ht="15" hidden="false" customHeight="false" outlineLevel="0" collapsed="false">
      <c r="A7" s="0" t="s">
        <v>70</v>
      </c>
      <c r="B7" s="0" t="n">
        <v>3009</v>
      </c>
      <c r="F7" s="0" t="n">
        <v>-899</v>
      </c>
      <c r="G7" s="0" t="n">
        <v>-29.9</v>
      </c>
      <c r="H7" s="0" t="n">
        <v>-359</v>
      </c>
      <c r="I7" s="0" t="n">
        <v>-1079</v>
      </c>
      <c r="J7" s="0" t="n">
        <v>-35.9</v>
      </c>
      <c r="K7" s="0" t="n">
        <v>-2.229</v>
      </c>
      <c r="L7" s="0" t="n">
        <v>-588</v>
      </c>
      <c r="M7" s="0" t="n">
        <v>695</v>
      </c>
      <c r="N7" s="0" t="n">
        <v>-1283</v>
      </c>
      <c r="O7" s="0" t="n">
        <v>1899</v>
      </c>
      <c r="R7" s="0" t="n">
        <v>3441</v>
      </c>
      <c r="S7" s="0" t="n">
        <v>2316</v>
      </c>
      <c r="T7" s="0" t="n">
        <v>484.1</v>
      </c>
      <c r="U7" s="0" t="n">
        <v>17</v>
      </c>
      <c r="AA7" s="0" t="s">
        <v>18</v>
      </c>
      <c r="AB7" s="0" t="s">
        <v>14</v>
      </c>
      <c r="AC7" s="0" t="n">
        <v>230</v>
      </c>
    </row>
    <row r="8" customFormat="false" ht="15" hidden="false" customHeight="false" outlineLevel="0" collapsed="false">
      <c r="A8" s="0" t="s">
        <v>71</v>
      </c>
      <c r="B8" s="0" t="n">
        <v>1458</v>
      </c>
      <c r="F8" s="0" t="n">
        <v>-910</v>
      </c>
      <c r="G8" s="0" t="n">
        <v>-62.4</v>
      </c>
      <c r="H8" s="0" t="n">
        <v>-430</v>
      </c>
      <c r="I8" s="0" t="n">
        <v>-858</v>
      </c>
      <c r="J8" s="0" t="n">
        <v>-58.8</v>
      </c>
      <c r="K8" s="0" t="n">
        <v>-1.59</v>
      </c>
      <c r="L8" s="0" t="n">
        <v>-1035</v>
      </c>
      <c r="M8" s="0" t="n">
        <v>149</v>
      </c>
      <c r="N8" s="0" t="n">
        <v>-1184</v>
      </c>
      <c r="O8" s="0" t="n">
        <v>2639</v>
      </c>
      <c r="R8" s="0" t="n">
        <v>4446</v>
      </c>
      <c r="S8" s="0" t="n">
        <v>3536</v>
      </c>
      <c r="T8" s="0" t="n">
        <v>539.6</v>
      </c>
      <c r="U8" s="0" t="n">
        <v>16</v>
      </c>
      <c r="AA8" s="0" t="s">
        <v>18</v>
      </c>
      <c r="AB8" s="0" t="s">
        <v>14</v>
      </c>
      <c r="AC8" s="0" t="n">
        <v>261</v>
      </c>
    </row>
    <row r="9" customFormat="false" ht="15" hidden="false" customHeight="false" outlineLevel="0" collapsed="false">
      <c r="A9" s="0" t="s">
        <v>72</v>
      </c>
      <c r="B9" s="0" t="n">
        <v>5769</v>
      </c>
      <c r="F9" s="0" t="n">
        <v>-27</v>
      </c>
      <c r="G9" s="0" t="n">
        <v>-0.5</v>
      </c>
      <c r="H9" s="0" t="n">
        <v>537</v>
      </c>
      <c r="I9" s="0" t="n">
        <v>-169</v>
      </c>
      <c r="J9" s="0" t="n">
        <v>-2.9</v>
      </c>
      <c r="K9" s="0" t="n">
        <v>-0.224</v>
      </c>
      <c r="L9" s="0" t="n">
        <v>776</v>
      </c>
      <c r="M9" s="0" t="n">
        <v>530</v>
      </c>
      <c r="N9" s="0" t="n">
        <v>246</v>
      </c>
      <c r="O9" s="0" t="n">
        <v>2533</v>
      </c>
      <c r="R9" s="0" t="n">
        <v>4310</v>
      </c>
      <c r="S9" s="0" t="n">
        <v>3640</v>
      </c>
      <c r="T9" s="0" t="n">
        <v>754.5</v>
      </c>
      <c r="U9" s="0" t="n">
        <v>26</v>
      </c>
      <c r="AA9" s="0" t="s">
        <v>18</v>
      </c>
      <c r="AB9" s="0" t="s">
        <v>14</v>
      </c>
      <c r="AC9" s="0" t="n">
        <v>206</v>
      </c>
    </row>
    <row r="10" customFormat="false" ht="15" hidden="false" customHeight="false" outlineLevel="0" collapsed="false">
      <c r="A10" s="0" t="s">
        <v>73</v>
      </c>
      <c r="B10" s="0" t="n">
        <v>8171</v>
      </c>
      <c r="F10" s="0" t="n">
        <v>453</v>
      </c>
      <c r="G10" s="0" t="n">
        <v>5.5</v>
      </c>
      <c r="H10" s="0" t="n">
        <v>1126</v>
      </c>
      <c r="I10" s="0" t="n">
        <v>324</v>
      </c>
      <c r="J10" s="0" t="n">
        <v>4</v>
      </c>
      <c r="K10" s="0" t="n">
        <v>0.431</v>
      </c>
      <c r="L10" s="0" t="n">
        <v>1551</v>
      </c>
      <c r="M10" s="0" t="n">
        <v>754</v>
      </c>
      <c r="N10" s="0" t="n">
        <v>797</v>
      </c>
      <c r="O10" s="0" t="n">
        <v>2787</v>
      </c>
      <c r="R10" s="0" t="n">
        <v>2884</v>
      </c>
      <c r="S10" s="0" t="n">
        <v>2925</v>
      </c>
      <c r="T10" s="0" t="n">
        <v>758.8</v>
      </c>
      <c r="U10" s="0" t="n">
        <v>18</v>
      </c>
      <c r="AA10" s="0" t="s">
        <v>18</v>
      </c>
      <c r="AB10" s="0" t="s">
        <v>14</v>
      </c>
      <c r="AC10" s="0" t="n">
        <v>218</v>
      </c>
    </row>
    <row r="11" customFormat="false" ht="15" hidden="false" customHeight="false" outlineLevel="0" collapsed="false">
      <c r="A11" s="0" t="s">
        <v>74</v>
      </c>
      <c r="B11" s="0" t="n">
        <v>9309</v>
      </c>
      <c r="F11" s="0" t="n">
        <v>589</v>
      </c>
      <c r="G11" s="0" t="n">
        <v>6.3</v>
      </c>
      <c r="H11" s="0" t="n">
        <v>1359</v>
      </c>
      <c r="I11" s="0" t="n">
        <v>452</v>
      </c>
      <c r="J11" s="0" t="n">
        <v>4.9</v>
      </c>
      <c r="K11" s="0" t="n">
        <v>0.603</v>
      </c>
      <c r="L11" s="0" t="n">
        <v>1499</v>
      </c>
      <c r="M11" s="0" t="n">
        <v>929</v>
      </c>
      <c r="N11" s="0" t="n">
        <v>570</v>
      </c>
      <c r="O11" s="0" t="n">
        <v>2973</v>
      </c>
      <c r="R11" s="0" t="n">
        <v>3280</v>
      </c>
      <c r="S11" s="0" t="n">
        <v>3461</v>
      </c>
      <c r="T11" s="0" t="n">
        <v>758.4</v>
      </c>
      <c r="U11" s="0" t="n">
        <v>30</v>
      </c>
      <c r="AA11" s="0" t="s">
        <v>18</v>
      </c>
      <c r="AB11" s="0" t="s">
        <v>14</v>
      </c>
      <c r="AC11" s="0" t="n">
        <v>222</v>
      </c>
    </row>
    <row r="12" customFormat="false" ht="15" hidden="false" customHeight="false" outlineLevel="0" collapsed="false">
      <c r="A12" s="0" t="s">
        <v>75</v>
      </c>
      <c r="B12" s="0" t="n">
        <v>10106</v>
      </c>
      <c r="F12" s="0" t="n">
        <v>696</v>
      </c>
      <c r="G12" s="0" t="n">
        <v>6.9</v>
      </c>
      <c r="H12" s="0" t="n">
        <v>1439</v>
      </c>
      <c r="I12" s="0" t="n">
        <v>494</v>
      </c>
      <c r="J12" s="0" t="n">
        <v>4.9</v>
      </c>
      <c r="K12" s="0" t="n">
        <v>0.658</v>
      </c>
      <c r="L12" s="0" t="n">
        <v>1716</v>
      </c>
      <c r="M12" s="0" t="n">
        <v>1001</v>
      </c>
      <c r="N12" s="0" t="n">
        <v>715</v>
      </c>
      <c r="O12" s="0" t="n">
        <v>3498</v>
      </c>
      <c r="R12" s="0" t="n">
        <v>2926</v>
      </c>
      <c r="S12" s="0" t="n">
        <v>3528</v>
      </c>
      <c r="T12" s="0" t="n">
        <v>763.5</v>
      </c>
      <c r="U12" s="0" t="n">
        <v>38</v>
      </c>
      <c r="AA12" s="0" t="s">
        <v>18</v>
      </c>
      <c r="AB12" s="0" t="s">
        <v>14</v>
      </c>
      <c r="AC12" s="0" t="n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680</v>
      </c>
    </row>
    <row r="3" customFormat="false" ht="15" hidden="false" customHeight="false" outlineLevel="0" collapsed="false">
      <c r="A3" s="0" t="s">
        <v>79</v>
      </c>
      <c r="B3" s="3" t="n">
        <v>764</v>
      </c>
    </row>
    <row r="4" customFormat="false" ht="15" hidden="false" customHeight="false" outlineLevel="0" collapsed="false">
      <c r="A4" s="0" t="s">
        <v>80</v>
      </c>
      <c r="B4" s="3" t="n">
        <v>-1429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10106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100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3</v>
      </c>
      <c r="D13" s="3" t="n">
        <v>1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9</v>
      </c>
      <c r="D14" s="3" t="n">
        <v>10.5</v>
      </c>
      <c r="E14" s="3" t="n">
        <v>11.5</v>
      </c>
      <c r="F14" s="3" t="n">
        <v>12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101</v>
      </c>
      <c r="C15" s="3" t="n">
        <v>0.38</v>
      </c>
      <c r="D15" s="3" t="n">
        <v>0.38</v>
      </c>
      <c r="E15" s="3" t="n">
        <v>0.38</v>
      </c>
      <c r="F15" s="3" t="n">
        <v>0.38</v>
      </c>
      <c r="G15" s="3" t="n">
        <v>0.38</v>
      </c>
      <c r="H15" s="3" t="n">
        <v>0.38</v>
      </c>
      <c r="I15" s="3" t="n">
        <v>0.38</v>
      </c>
      <c r="J15" s="3" t="n">
        <v>0.38</v>
      </c>
      <c r="K15" s="3" t="n">
        <v>0.38</v>
      </c>
      <c r="L15" s="3" t="n">
        <v>0.38</v>
      </c>
    </row>
    <row r="16" customFormat="false" ht="15" hidden="false" customHeight="false" outlineLevel="0" collapsed="false">
      <c r="A16" s="0" t="s">
        <v>102</v>
      </c>
      <c r="C16" s="3" t="n">
        <v>2.7</v>
      </c>
      <c r="D16" s="3" t="n">
        <v>2.8</v>
      </c>
      <c r="E16" s="3" t="n">
        <v>2.9</v>
      </c>
      <c r="F16" s="3" t="n">
        <v>2.9</v>
      </c>
      <c r="G16" s="3" t="n">
        <v>2.8</v>
      </c>
      <c r="H16" s="3" t="n">
        <v>2.8</v>
      </c>
      <c r="I16" s="3" t="n">
        <v>2.7</v>
      </c>
      <c r="J16" s="3" t="n">
        <v>2.7</v>
      </c>
      <c r="K16" s="3" t="n">
        <v>2.7</v>
      </c>
      <c r="L16" s="3" t="n">
        <v>2.7</v>
      </c>
    </row>
    <row r="17" customFormat="false" ht="15" hidden="false" customHeight="false" outlineLevel="0" collapsed="false">
      <c r="A17" s="0" t="s">
        <v>103</v>
      </c>
      <c r="C17" s="3" t="n">
        <v>3.9</v>
      </c>
      <c r="D17" s="3" t="n">
        <v>4.2</v>
      </c>
      <c r="E17" s="3" t="n">
        <v>4.5</v>
      </c>
      <c r="F17" s="3" t="n">
        <v>4.8</v>
      </c>
      <c r="G17" s="3" t="n">
        <v>5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104</v>
      </c>
      <c r="C18" s="3" t="n">
        <v>13.5</v>
      </c>
      <c r="D18" s="3" t="n">
        <v>13</v>
      </c>
      <c r="E18" s="3" t="n">
        <v>13</v>
      </c>
      <c r="F18" s="3" t="n">
        <v>10.5</v>
      </c>
      <c r="G18" s="3" t="n">
        <v>9.5</v>
      </c>
      <c r="H18" s="3" t="n">
        <v>9</v>
      </c>
      <c r="I18" s="3" t="n">
        <v>8.5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105</v>
      </c>
      <c r="C19" s="3" t="n">
        <v>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5</v>
      </c>
      <c r="J19" s="3" t="n">
        <v>10</v>
      </c>
      <c r="K19" s="3" t="n">
        <v>15</v>
      </c>
      <c r="L19" s="3" t="n">
        <v>20</v>
      </c>
    </row>
    <row r="20" customFormat="false" ht="15" hidden="false" customHeight="false" outlineLevel="0" collapsed="false">
      <c r="A20" s="0" t="s">
        <v>106</v>
      </c>
      <c r="B20" s="3" t="n">
        <v>9.5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10</v>
      </c>
    </row>
    <row r="23" customFormat="false" ht="15" hidden="false" customHeight="false" outlineLevel="0" collapsed="false">
      <c r="A23" s="0" t="s">
        <v>109</v>
      </c>
      <c r="B23" s="3" t="n">
        <v>12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5</v>
      </c>
      <c r="D27" s="3" t="n">
        <v>6</v>
      </c>
      <c r="E27" s="3" t="n">
        <v>5.5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10</v>
      </c>
      <c r="D28" s="3" t="n">
        <v>13</v>
      </c>
      <c r="E28" s="3" t="n">
        <v>14.5</v>
      </c>
      <c r="F28" s="3" t="n">
        <v>15</v>
      </c>
      <c r="G28" s="3" t="n">
        <v>15.5</v>
      </c>
      <c r="H28" s="3" t="n">
        <v>15.5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101</v>
      </c>
      <c r="C29" s="3" t="n">
        <v>0.38</v>
      </c>
      <c r="D29" s="3" t="n">
        <v>0.37</v>
      </c>
      <c r="E29" s="3" t="n">
        <v>0.37</v>
      </c>
      <c r="F29" s="3" t="n">
        <v>0.36</v>
      </c>
      <c r="G29" s="3" t="n">
        <v>0.36</v>
      </c>
      <c r="H29" s="3" t="n">
        <v>0.36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102</v>
      </c>
      <c r="C30" s="3" t="n">
        <v>2.6</v>
      </c>
      <c r="D30" s="3" t="n">
        <v>2.5</v>
      </c>
      <c r="E30" s="3" t="n">
        <v>2.4</v>
      </c>
      <c r="F30" s="3" t="n">
        <v>2.3</v>
      </c>
      <c r="G30" s="3" t="n">
        <v>2.2</v>
      </c>
      <c r="H30" s="3" t="n">
        <v>2.1</v>
      </c>
      <c r="I30" s="3" t="n">
        <v>2.1</v>
      </c>
      <c r="J30" s="3" t="n">
        <v>2.1</v>
      </c>
      <c r="K30" s="3" t="n">
        <v>2.1</v>
      </c>
      <c r="L30" s="3" t="n">
        <v>2.1</v>
      </c>
    </row>
    <row r="31" customFormat="false" ht="15" hidden="false" customHeight="false" outlineLevel="0" collapsed="false">
      <c r="A31" s="0" t="s">
        <v>103</v>
      </c>
      <c r="C31" s="3" t="n">
        <v>3.9</v>
      </c>
      <c r="D31" s="3" t="n">
        <v>4.4</v>
      </c>
      <c r="E31" s="3" t="n">
        <v>5</v>
      </c>
      <c r="F31" s="3" t="n">
        <v>5.3</v>
      </c>
      <c r="G31" s="3" t="n">
        <v>5.5</v>
      </c>
      <c r="H31" s="3" t="n">
        <v>5.8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104</v>
      </c>
      <c r="C32" s="3" t="n">
        <v>13.5</v>
      </c>
      <c r="D32" s="3" t="n">
        <v>16</v>
      </c>
      <c r="E32" s="3" t="n">
        <v>19</v>
      </c>
      <c r="F32" s="3" t="n">
        <v>12.5</v>
      </c>
      <c r="G32" s="3" t="n">
        <v>11</v>
      </c>
      <c r="H32" s="3" t="n">
        <v>10.5</v>
      </c>
      <c r="I32" s="3" t="n">
        <v>10</v>
      </c>
      <c r="J32" s="3" t="n">
        <v>9.5</v>
      </c>
      <c r="K32" s="3" t="n">
        <v>9.5</v>
      </c>
      <c r="L32" s="3" t="n">
        <v>9.5</v>
      </c>
    </row>
    <row r="33" customFormat="false" ht="15" hidden="false" customHeight="false" outlineLevel="0" collapsed="false">
      <c r="A33" s="0" t="s">
        <v>105</v>
      </c>
      <c r="C33" s="3" t="n">
        <v>3</v>
      </c>
      <c r="D33" s="3" t="n">
        <v>2</v>
      </c>
      <c r="E33" s="3" t="n">
        <v>0</v>
      </c>
      <c r="F33" s="3" t="n">
        <v>0</v>
      </c>
      <c r="G33" s="3" t="n">
        <v>2</v>
      </c>
      <c r="H33" s="3" t="n">
        <v>5</v>
      </c>
      <c r="I33" s="3" t="n">
        <v>10</v>
      </c>
      <c r="J33" s="3" t="n">
        <v>15</v>
      </c>
      <c r="K33" s="3" t="n">
        <v>20</v>
      </c>
      <c r="L33" s="3" t="n">
        <v>22</v>
      </c>
    </row>
    <row r="34" customFormat="false" ht="15" hidden="false" customHeight="false" outlineLevel="0" collapsed="false">
      <c r="A34" s="0" t="s">
        <v>106</v>
      </c>
      <c r="B34" s="3" t="n">
        <v>9.5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13</v>
      </c>
    </row>
    <row r="37" customFormat="false" ht="15" hidden="false" customHeight="false" outlineLevel="0" collapsed="false">
      <c r="A37" s="0" t="s">
        <v>109</v>
      </c>
      <c r="B37" s="3" t="n">
        <v>15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6</v>
      </c>
      <c r="D41" s="3" t="n">
        <v>8</v>
      </c>
      <c r="E41" s="3" t="n">
        <v>7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10.5</v>
      </c>
      <c r="D42" s="3" t="n">
        <v>14</v>
      </c>
      <c r="E42" s="3" t="n">
        <v>16</v>
      </c>
      <c r="F42" s="3" t="n">
        <v>16.5</v>
      </c>
      <c r="G42" s="3" t="n">
        <v>17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101</v>
      </c>
      <c r="C43" s="3" t="n">
        <v>0.38</v>
      </c>
      <c r="D43" s="3" t="n">
        <v>0.37</v>
      </c>
      <c r="E43" s="3" t="n">
        <v>0.37</v>
      </c>
      <c r="F43" s="3" t="n">
        <v>0.36</v>
      </c>
      <c r="G43" s="3" t="n">
        <v>0.36</v>
      </c>
      <c r="H43" s="3" t="n">
        <v>0.36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102</v>
      </c>
      <c r="C44" s="3" t="n">
        <v>2.6</v>
      </c>
      <c r="D44" s="3" t="n">
        <v>2.4</v>
      </c>
      <c r="E44" s="3" t="n">
        <v>2.2</v>
      </c>
      <c r="F44" s="3" t="n">
        <v>2</v>
      </c>
      <c r="G44" s="3" t="n">
        <v>1.9</v>
      </c>
      <c r="H44" s="3" t="n">
        <v>1.8</v>
      </c>
      <c r="I44" s="3" t="n">
        <v>1.8</v>
      </c>
      <c r="J44" s="3" t="n">
        <v>1.8</v>
      </c>
      <c r="K44" s="3" t="n">
        <v>1.8</v>
      </c>
      <c r="L44" s="3" t="n">
        <v>1.8</v>
      </c>
    </row>
    <row r="45" customFormat="false" ht="15" hidden="false" customHeight="false" outlineLevel="0" collapsed="false">
      <c r="A45" s="0" t="s">
        <v>103</v>
      </c>
      <c r="C45" s="3" t="n">
        <v>3.9</v>
      </c>
      <c r="D45" s="3" t="n">
        <v>4.4</v>
      </c>
      <c r="E45" s="3" t="n">
        <v>5</v>
      </c>
      <c r="F45" s="3" t="n">
        <v>5.3</v>
      </c>
      <c r="G45" s="3" t="n">
        <v>5.5</v>
      </c>
      <c r="H45" s="3" t="n">
        <v>5.8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104</v>
      </c>
      <c r="C46" s="3" t="n">
        <v>13</v>
      </c>
      <c r="D46" s="3" t="n">
        <v>15</v>
      </c>
      <c r="E46" s="3" t="n">
        <v>17.5</v>
      </c>
      <c r="F46" s="3" t="n">
        <v>11.5</v>
      </c>
      <c r="G46" s="3" t="n">
        <v>10</v>
      </c>
      <c r="H46" s="3" t="n">
        <v>9.5</v>
      </c>
      <c r="I46" s="3" t="n">
        <v>9</v>
      </c>
      <c r="J46" s="3" t="n">
        <v>9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105</v>
      </c>
      <c r="C47" s="3" t="n">
        <v>3</v>
      </c>
      <c r="D47" s="3" t="n">
        <v>3</v>
      </c>
      <c r="E47" s="3" t="n">
        <v>2</v>
      </c>
      <c r="F47" s="3" t="n">
        <v>4</v>
      </c>
      <c r="G47" s="3" t="n">
        <v>8</v>
      </c>
      <c r="H47" s="3" t="n">
        <v>12</v>
      </c>
      <c r="I47" s="3" t="n">
        <v>16</v>
      </c>
      <c r="J47" s="3" t="n">
        <v>19</v>
      </c>
      <c r="K47" s="3" t="n">
        <v>21</v>
      </c>
      <c r="L47" s="3" t="n">
        <v>23</v>
      </c>
    </row>
    <row r="48" customFormat="false" ht="15" hidden="false" customHeight="false" outlineLevel="0" collapsed="false">
      <c r="A48" s="0" t="s">
        <v>106</v>
      </c>
      <c r="B48" s="3" t="n">
        <v>9.5</v>
      </c>
    </row>
    <row r="49" customFormat="false" ht="15" hidden="false" customHeight="false" outlineLevel="0" collapsed="false">
      <c r="A49" s="0" t="s">
        <v>107</v>
      </c>
      <c r="B49" s="3" t="n">
        <v>3</v>
      </c>
    </row>
    <row r="50" customFormat="false" ht="15" hidden="false" customHeight="false" outlineLevel="0" collapsed="false">
      <c r="A50" s="0" t="s">
        <v>108</v>
      </c>
      <c r="B50" s="3" t="n">
        <v>14</v>
      </c>
    </row>
    <row r="51" customFormat="false" ht="15" hidden="false" customHeight="false" outlineLevel="0" collapsed="false">
      <c r="A51" s="0" t="s">
        <v>109</v>
      </c>
      <c r="B51" s="3" t="n">
        <v>18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10106</v>
      </c>
      <c r="C6" s="0" t="n">
        <f aca="false">B6*(1+C5/100)</f>
        <v>10409.18</v>
      </c>
      <c r="D6" s="0" t="n">
        <f aca="false">C6*(1+D5/100)</f>
        <v>10513.2718</v>
      </c>
      <c r="E6" s="0" t="n">
        <f aca="false">D6*(1+E5/100)</f>
        <v>10723.537236</v>
      </c>
      <c r="F6" s="0" t="n">
        <f aca="false">E6*(1+F5/100)</f>
        <v>10938.00798072</v>
      </c>
      <c r="G6" s="0" t="n">
        <f aca="false">F6*(1+G5/100)</f>
        <v>11156.7681403344</v>
      </c>
      <c r="H6" s="0" t="n">
        <f aca="false">G6*(1+H5/100)</f>
        <v>11379.9035031411</v>
      </c>
      <c r="I6" s="0" t="n">
        <f aca="false">H6*(1+I5/100)</f>
        <v>11607.5015732039</v>
      </c>
      <c r="J6" s="0" t="n">
        <f aca="false">I6*(1+J5/100)</f>
        <v>11839.651604668</v>
      </c>
      <c r="K6" s="0" t="n">
        <f aca="false">J6*(1+K5/100)</f>
        <v>12076.4446367613</v>
      </c>
      <c r="L6" s="0" t="n">
        <f aca="false">K6*(1+L5/100)</f>
        <v>12317.9735294966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9</v>
      </c>
      <c r="D7" s="4" t="n">
        <f aca="false">Assumptions!D14</f>
        <v>10.5</v>
      </c>
      <c r="E7" s="4" t="n">
        <f aca="false">Assumptions!E14</f>
        <v>11.5</v>
      </c>
      <c r="F7" s="4" t="n">
        <f aca="false">Assumptions!F14</f>
        <v>12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936.8262</v>
      </c>
      <c r="D8" s="0" t="n">
        <f aca="false">D6*D7/100</f>
        <v>1103.893539</v>
      </c>
      <c r="E8" s="0" t="n">
        <f aca="false">E6*E7/100</f>
        <v>1233.20678214</v>
      </c>
      <c r="F8" s="0" t="n">
        <f aca="false">F6*F7/100</f>
        <v>1312.5609576864</v>
      </c>
      <c r="G8" s="0" t="n">
        <f aca="false">G6*G7/100</f>
        <v>1394.5960175418</v>
      </c>
      <c r="H8" s="0" t="n">
        <f aca="false">H6*H7/100</f>
        <v>1422.48793789264</v>
      </c>
      <c r="I8" s="0" t="n">
        <f aca="false">I6*I7/100</f>
        <v>1450.93769665049</v>
      </c>
      <c r="J8" s="0" t="n">
        <f aca="false">J6*J7/100</f>
        <v>1479.9564505835</v>
      </c>
      <c r="K8" s="0" t="n">
        <f aca="false">K6*K7/100</f>
        <v>1509.55557959517</v>
      </c>
      <c r="L8" s="0" t="n">
        <f aca="false">L6*L7/100</f>
        <v>1539.74669118707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0.38</v>
      </c>
      <c r="D9" s="4" t="n">
        <f aca="false">Assumptions!D15</f>
        <v>0.38</v>
      </c>
      <c r="E9" s="4" t="n">
        <f aca="false">Assumptions!E15</f>
        <v>0.38</v>
      </c>
      <c r="F9" s="4" t="n">
        <f aca="false">Assumptions!F15</f>
        <v>0.38</v>
      </c>
      <c r="G9" s="4" t="n">
        <f aca="false">Assumptions!G15</f>
        <v>0.38</v>
      </c>
      <c r="H9" s="4" t="n">
        <f aca="false">Assumptions!H15</f>
        <v>0.38</v>
      </c>
      <c r="I9" s="4" t="n">
        <f aca="false">Assumptions!I15</f>
        <v>0.38</v>
      </c>
      <c r="J9" s="4" t="n">
        <f aca="false">Assumptions!J15</f>
        <v>0.38</v>
      </c>
      <c r="K9" s="4" t="n">
        <f aca="false">Assumptions!K15</f>
        <v>0.38</v>
      </c>
      <c r="L9" s="4" t="n">
        <f aca="false">Assumptions!L15</f>
        <v>0.38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-39.554884</v>
      </c>
      <c r="D10" s="0" t="n">
        <f aca="false">-D6*D9/100</f>
        <v>-39.95043284</v>
      </c>
      <c r="E10" s="0" t="n">
        <f aca="false">-E6*E9/100</f>
        <v>-40.7494414968</v>
      </c>
      <c r="F10" s="0" t="n">
        <f aca="false">-F6*F9/100</f>
        <v>-41.564430326736</v>
      </c>
      <c r="G10" s="0" t="n">
        <f aca="false">-G6*G9/100</f>
        <v>-42.3957189332707</v>
      </c>
      <c r="H10" s="0" t="n">
        <f aca="false">-H6*H9/100</f>
        <v>-43.2436333119361</v>
      </c>
      <c r="I10" s="0" t="n">
        <f aca="false">-I6*I9/100</f>
        <v>-44.1085059781749</v>
      </c>
      <c r="J10" s="0" t="n">
        <f aca="false">-J6*J9/100</f>
        <v>-44.9906760977384</v>
      </c>
      <c r="K10" s="0" t="n">
        <f aca="false">-K6*K9/100</f>
        <v>-45.8904896196931</v>
      </c>
      <c r="L10" s="0" t="n">
        <f aca="false">-L6*L9/100</f>
        <v>-46.808299412087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616.223456</v>
      </c>
      <c r="D11" s="0" t="n">
        <f aca="false">D8+D10+D24</f>
        <v>769.57149576</v>
      </c>
      <c r="E11" s="0" t="n">
        <f aca="false">E8+E10+E24</f>
        <v>881.4747607992</v>
      </c>
      <c r="F11" s="0" t="n">
        <f aca="false">F8+F10+F24</f>
        <v>953.794295918784</v>
      </c>
      <c r="G11" s="0" t="n">
        <f aca="false">G8+G10+G24</f>
        <v>1039.81079067917</v>
      </c>
      <c r="H11" s="0" t="n">
        <f aca="false">H8+H10+H24</f>
        <v>1060.60700649275</v>
      </c>
      <c r="I11" s="0" t="n">
        <f aca="false">I8+I10+I24</f>
        <v>1093.42664819581</v>
      </c>
      <c r="J11" s="0" t="n">
        <f aca="false">J8+J10+J24</f>
        <v>1115.29518115972</v>
      </c>
      <c r="K11" s="0" t="n">
        <f aca="false">K8+K10+K24</f>
        <v>1137.60108478292</v>
      </c>
      <c r="L11" s="0" t="n">
        <f aca="false">L8+L10+L24</f>
        <v>1160.35310647858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-405.95802</v>
      </c>
      <c r="D12" s="4" t="n">
        <f aca="false">-D6*Assumptions!D17/100</f>
        <v>-441.5574156</v>
      </c>
      <c r="E12" s="4" t="n">
        <f aca="false">-E6*Assumptions!E17/100</f>
        <v>-482.55917562</v>
      </c>
      <c r="F12" s="4" t="n">
        <f aca="false">-F6*Assumptions!F17/100</f>
        <v>-525.02438307456</v>
      </c>
      <c r="G12" s="4" t="n">
        <f aca="false">-G6*Assumptions!G17/100</f>
        <v>-557.83840701672</v>
      </c>
      <c r="H12" s="4" t="n">
        <f aca="false">-H6*Assumptions!H17/100</f>
        <v>-568.995175157054</v>
      </c>
      <c r="I12" s="4" t="n">
        <f aca="false">-I6*Assumptions!I17/100</f>
        <v>-580.375078660196</v>
      </c>
      <c r="J12" s="4" t="n">
        <f aca="false">-J6*Assumptions!J17/100</f>
        <v>-591.982580233399</v>
      </c>
      <c r="K12" s="4" t="n">
        <f aca="false">-K6*Assumptions!K17/100</f>
        <v>-603.822231838067</v>
      </c>
      <c r="L12" s="4" t="n">
        <f aca="false">-L6*Assumptions!L17/100</f>
        <v>-615.898676474829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210.265436</v>
      </c>
      <c r="D13" s="0" t="n">
        <f aca="false">D11+D12</f>
        <v>328.01408016</v>
      </c>
      <c r="E13" s="0" t="n">
        <f aca="false">E11+E12</f>
        <v>398.9155851792</v>
      </c>
      <c r="F13" s="0" t="n">
        <f aca="false">F11+F12</f>
        <v>428.769912844224</v>
      </c>
      <c r="G13" s="0" t="n">
        <f aca="false">G11+G12</f>
        <v>481.972383662446</v>
      </c>
      <c r="H13" s="0" t="n">
        <f aca="false">H11+H12</f>
        <v>491.611831335695</v>
      </c>
      <c r="I13" s="0" t="n">
        <f aca="false">I11+I12</f>
        <v>513.051569535613</v>
      </c>
      <c r="J13" s="0" t="n">
        <f aca="false">J11+J12</f>
        <v>523.312600926325</v>
      </c>
      <c r="K13" s="0" t="n">
        <f aca="false">K11+K12</f>
        <v>533.778852944852</v>
      </c>
      <c r="L13" s="0" t="n">
        <f aca="false">L11+L12</f>
        <v>544.454430003748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2</v>
      </c>
      <c r="I14" s="4" t="n">
        <f aca="false">Assumptions!I19</f>
        <v>5</v>
      </c>
      <c r="J14" s="4" t="n">
        <f aca="false">Assumptions!J19</f>
        <v>10</v>
      </c>
      <c r="K14" s="4" t="n">
        <f aca="false">Assumptions!K19</f>
        <v>15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206.06012728</v>
      </c>
      <c r="D15" s="0" t="n">
        <f aca="false">D13-MAX(0,D13)*D14/100</f>
        <v>328.01408016</v>
      </c>
      <c r="E15" s="0" t="n">
        <f aca="false">E13-MAX(0,E13)*E14/100</f>
        <v>398.9155851792</v>
      </c>
      <c r="F15" s="0" t="n">
        <f aca="false">F13-MAX(0,F13)*F14/100</f>
        <v>428.769912844224</v>
      </c>
      <c r="G15" s="0" t="n">
        <f aca="false">G13-MAX(0,G13)*G14/100</f>
        <v>481.972383662446</v>
      </c>
      <c r="H15" s="0" t="n">
        <f aca="false">H13-MAX(0,H13)*H14/100</f>
        <v>481.779594708981</v>
      </c>
      <c r="I15" s="0" t="n">
        <f aca="false">I13-MAX(0,I13)*I14/100</f>
        <v>487.398991058832</v>
      </c>
      <c r="J15" s="0" t="n">
        <f aca="false">J13-MAX(0,J13)*J14/100</f>
        <v>470.981340833693</v>
      </c>
      <c r="K15" s="0" t="n">
        <f aca="false">K13-MAX(0,K13)*K14/100</f>
        <v>453.712025003124</v>
      </c>
      <c r="L15" s="0" t="n">
        <f aca="false">L13-MAX(0,L13)*L14/100</f>
        <v>435.563544002999</v>
      </c>
    </row>
    <row r="16" customFormat="false" ht="15" hidden="false" customHeight="false" outlineLevel="0" collapsed="false">
      <c r="A16" s="0" t="s">
        <v>121</v>
      </c>
      <c r="C16" s="0" t="n">
        <f aca="false">-C12</f>
        <v>405.95802</v>
      </c>
      <c r="D16" s="0" t="n">
        <f aca="false">-D12</f>
        <v>441.5574156</v>
      </c>
      <c r="E16" s="0" t="n">
        <f aca="false">-E12</f>
        <v>482.55917562</v>
      </c>
      <c r="F16" s="0" t="n">
        <f aca="false">-F12</f>
        <v>525.02438307456</v>
      </c>
      <c r="G16" s="0" t="n">
        <f aca="false">-G12</f>
        <v>557.83840701672</v>
      </c>
      <c r="H16" s="0" t="n">
        <f aca="false">-H12</f>
        <v>568.995175157054</v>
      </c>
      <c r="I16" s="0" t="n">
        <f aca="false">-I12</f>
        <v>580.375078660196</v>
      </c>
      <c r="J16" s="0" t="n">
        <f aca="false">-J12</f>
        <v>591.982580233399</v>
      </c>
      <c r="K16" s="0" t="n">
        <f aca="false">-K12</f>
        <v>603.822231838067</v>
      </c>
      <c r="L16" s="0" t="n">
        <f aca="false">-L12</f>
        <v>615.898676474829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-1405.2393</v>
      </c>
      <c r="D17" s="4" t="n">
        <f aca="false">-D6*Assumptions!D18/100</f>
        <v>-1366.725334</v>
      </c>
      <c r="E17" s="4" t="n">
        <f aca="false">-E6*Assumptions!E18/100</f>
        <v>-1394.05984068</v>
      </c>
      <c r="F17" s="4" t="n">
        <f aca="false">-F6*Assumptions!F18/100</f>
        <v>-1148.4908379756</v>
      </c>
      <c r="G17" s="4" t="n">
        <f aca="false">-G6*Assumptions!G18/100</f>
        <v>-1059.89297333177</v>
      </c>
      <c r="H17" s="4" t="n">
        <f aca="false">-H6*Assumptions!H18/100</f>
        <v>-1024.1913152827</v>
      </c>
      <c r="I17" s="4" t="n">
        <f aca="false">-I6*Assumptions!I18/100</f>
        <v>-986.637633722332</v>
      </c>
      <c r="J17" s="4" t="n">
        <f aca="false">-J6*Assumptions!J18/100</f>
        <v>-947.172128373439</v>
      </c>
      <c r="K17" s="4" t="n">
        <f aca="false">-K6*Assumptions!K18/100</f>
        <v>-966.115570940908</v>
      </c>
      <c r="L17" s="4" t="n">
        <f aca="false">-L6*Assumptions!L18/100</f>
        <v>-985.437882359726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36.3816</v>
      </c>
      <c r="D18" s="4" t="n">
        <f aca="false">(D6-C6)*Assumptions!$B$23/100</f>
        <v>12.491016</v>
      </c>
      <c r="E18" s="4" t="n">
        <f aca="false">(E6-D6)*Assumptions!$B$23/100</f>
        <v>25.23185232</v>
      </c>
      <c r="F18" s="4" t="n">
        <f aca="false">(F6-E6)*Assumptions!$B$23/100</f>
        <v>25.7364893664</v>
      </c>
      <c r="G18" s="4" t="n">
        <f aca="false">(G6-F6)*Assumptions!$B$23/100</f>
        <v>26.2512191537279</v>
      </c>
      <c r="H18" s="4" t="n">
        <f aca="false">(H6-G6)*Assumptions!$B$23/100</f>
        <v>26.7762435368026</v>
      </c>
      <c r="I18" s="4" t="n">
        <f aca="false">(I6-H6)*Assumptions!$B$23/100</f>
        <v>27.3117684075387</v>
      </c>
      <c r="J18" s="4" t="n">
        <f aca="false">(J6-I6)*Assumptions!$B$23/100</f>
        <v>27.8580037756894</v>
      </c>
      <c r="K18" s="4" t="n">
        <f aca="false">(K6-J6)*Assumptions!$B$23/100</f>
        <v>28.4151638512031</v>
      </c>
      <c r="L18" s="4" t="n">
        <f aca="false">(L6-K6)*Assumptions!$B$23/100</f>
        <v>28.9834671282272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-756.83955272</v>
      </c>
      <c r="D19" s="0" t="n">
        <f aca="false">D15+D16+D17+D18</f>
        <v>-584.66282224</v>
      </c>
      <c r="E19" s="0" t="n">
        <f aca="false">E15+E16+E17+E18</f>
        <v>-487.3532275608</v>
      </c>
      <c r="F19" s="0" t="n">
        <f aca="false">F15+F16+F17+F18</f>
        <v>-168.960052690416</v>
      </c>
      <c r="G19" s="0" t="n">
        <f aca="false">G15+G16+G17+G18</f>
        <v>6.16903650112583</v>
      </c>
      <c r="H19" s="0" t="n">
        <f aca="false">H15+H16+H17+H18</f>
        <v>53.35969812014</v>
      </c>
      <c r="I19" s="0" t="n">
        <f aca="false">I15+I16+I17+I18</f>
        <v>108.448204404234</v>
      </c>
      <c r="J19" s="0" t="n">
        <f aca="false">J15+J16+J17+J18</f>
        <v>143.649796469342</v>
      </c>
      <c r="K19" s="0" t="n">
        <f aca="false">K15+K16+K17+K18</f>
        <v>119.833849751487</v>
      </c>
      <c r="L19" s="0" t="n">
        <f aca="false">L15+L16+L17+L18</f>
        <v>95.0078052463288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-691.177673716895</v>
      </c>
      <c r="D21" s="0" t="n">
        <f aca="false">D19*D20</f>
        <v>-487.615205888118</v>
      </c>
      <c r="E21" s="0" t="n">
        <f aca="false">E19*E20</f>
        <v>-371.194462746644</v>
      </c>
      <c r="F21" s="0" t="n">
        <f aca="false">F19*F20</f>
        <v>-117.524269277095</v>
      </c>
      <c r="G21" s="0" t="n">
        <f aca="false">G19*G20</f>
        <v>3.91874265364875</v>
      </c>
      <c r="H21" s="0" t="n">
        <f aca="false">H19*H20</f>
        <v>30.9548460794534</v>
      </c>
      <c r="I21" s="0" t="n">
        <f aca="false">I19*I20</f>
        <v>57.4544314653253</v>
      </c>
      <c r="J21" s="0" t="n">
        <f aca="false">J19*J20</f>
        <v>69.5011613446085</v>
      </c>
      <c r="K21" s="0" t="n">
        <f aca="false">K19*K20</f>
        <v>52.9483509768291</v>
      </c>
      <c r="L21" s="0" t="n">
        <f aca="false">L19*L20</f>
        <v>38.3369972678719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2.7</v>
      </c>
      <c r="D23" s="4" t="n">
        <f aca="false">Assumptions!D16</f>
        <v>2.8</v>
      </c>
      <c r="E23" s="4" t="n">
        <f aca="false">Assumptions!E16</f>
        <v>2.9</v>
      </c>
      <c r="F23" s="4" t="n">
        <f aca="false">Assumptions!F16</f>
        <v>2.9</v>
      </c>
      <c r="G23" s="4" t="n">
        <f aca="false">Assumptions!G16</f>
        <v>2.8</v>
      </c>
      <c r="H23" s="4" t="n">
        <f aca="false">Assumptions!H16</f>
        <v>2.8</v>
      </c>
      <c r="I23" s="4" t="n">
        <f aca="false">Assumptions!I16</f>
        <v>2.7</v>
      </c>
      <c r="J23" s="4" t="n">
        <f aca="false">Assumptions!J16</f>
        <v>2.7</v>
      </c>
      <c r="K23" s="4" t="n">
        <f aca="false">Assumptions!K16</f>
        <v>2.7</v>
      </c>
      <c r="L23" s="4" t="n">
        <f aca="false">Assumptions!L16</f>
        <v>2.7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-281.04786</v>
      </c>
      <c r="D24" s="0" t="n">
        <f aca="false">-D6*D23/100</f>
        <v>-294.3716104</v>
      </c>
      <c r="E24" s="0" t="n">
        <f aca="false">-E6*E23/100</f>
        <v>-310.982579844</v>
      </c>
      <c r="F24" s="0" t="n">
        <f aca="false">-F6*F23/100</f>
        <v>-317.20223144088</v>
      </c>
      <c r="G24" s="0" t="n">
        <f aca="false">-G6*G23/100</f>
        <v>-312.389507929363</v>
      </c>
      <c r="H24" s="0" t="n">
        <f aca="false">-H6*H23/100</f>
        <v>-318.63729808795</v>
      </c>
      <c r="I24" s="0" t="n">
        <f aca="false">-I6*I23/100</f>
        <v>-313.402542476506</v>
      </c>
      <c r="J24" s="0" t="n">
        <f aca="false">-J6*J23/100</f>
        <v>-319.670593326036</v>
      </c>
      <c r="K24" s="0" t="n">
        <f aca="false">-K6*K23/100</f>
        <v>-326.064005192556</v>
      </c>
      <c r="L24" s="0" t="n">
        <f aca="false">-L6*L23/100</f>
        <v>-332.585285296408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-1414.39708184101</v>
      </c>
    </row>
    <row r="31" customFormat="false" ht="15" hidden="false" customHeight="false" outlineLevel="0" collapsed="false">
      <c r="A31" s="0" t="s">
        <v>130</v>
      </c>
      <c r="B31" s="0" t="n">
        <f aca="false">L19</f>
        <v>95.0078052463288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1292.10615135007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950.078052463288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950.078052463288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383.369972678719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-1031.0271091623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397.972890837705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52.0906925180242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-0.92339604041467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265.707774071003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256.874255030976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120.491481667498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745.445856548118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35.0026223760595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5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10106</v>
      </c>
      <c r="C6" s="0" t="n">
        <f aca="false">B6*(1+C5/100)</f>
        <v>10611.3</v>
      </c>
      <c r="D6" s="0" t="n">
        <f aca="false">C6*(1+D5/100)</f>
        <v>11247.978</v>
      </c>
      <c r="E6" s="0" t="n">
        <f aca="false">D6*(1+E5/100)</f>
        <v>11866.61679</v>
      </c>
      <c r="F6" s="0" t="n">
        <f aca="false">E6*(1+F5/100)</f>
        <v>12400.61454555</v>
      </c>
      <c r="G6" s="0" t="n">
        <f aca="false">F6*(1+G5/100)</f>
        <v>12896.639127372</v>
      </c>
      <c r="H6" s="0" t="n">
        <f aca="false">G6*(1+H5/100)</f>
        <v>13348.02149683</v>
      </c>
      <c r="I6" s="0" t="n">
        <f aca="false">H6*(1+I5/100)</f>
        <v>13748.4621417349</v>
      </c>
      <c r="J6" s="0" t="n">
        <f aca="false">I6*(1+J5/100)</f>
        <v>14092.1736952783</v>
      </c>
      <c r="K6" s="0" t="n">
        <f aca="false">J6*(1+K5/100)</f>
        <v>14444.4780376602</v>
      </c>
      <c r="L6" s="0" t="n">
        <f aca="false">K6*(1+L5/100)</f>
        <v>14805.5899886018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10</v>
      </c>
      <c r="D7" s="4" t="n">
        <f aca="false">Assumptions!D28</f>
        <v>13</v>
      </c>
      <c r="E7" s="4" t="n">
        <f aca="false">Assumptions!E28</f>
        <v>14.5</v>
      </c>
      <c r="F7" s="4" t="n">
        <f aca="false">Assumptions!F28</f>
        <v>15</v>
      </c>
      <c r="G7" s="4" t="n">
        <f aca="false">Assumptions!G28</f>
        <v>15.5</v>
      </c>
      <c r="H7" s="4" t="n">
        <f aca="false">Assumptions!H28</f>
        <v>15.5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1061.13</v>
      </c>
      <c r="D8" s="0" t="n">
        <f aca="false">D6*D7/100</f>
        <v>1462.23714</v>
      </c>
      <c r="E8" s="0" t="n">
        <f aca="false">E6*E7/100</f>
        <v>1720.65943455</v>
      </c>
      <c r="F8" s="0" t="n">
        <f aca="false">F6*F7/100</f>
        <v>1860.0921818325</v>
      </c>
      <c r="G8" s="0" t="n">
        <f aca="false">G6*G7/100</f>
        <v>1998.97906474266</v>
      </c>
      <c r="H8" s="0" t="n">
        <f aca="false">H6*H7/100</f>
        <v>2068.94333200865</v>
      </c>
      <c r="I8" s="0" t="n">
        <f aca="false">I6*I7/100</f>
        <v>2131.01163196891</v>
      </c>
      <c r="J8" s="0" t="n">
        <f aca="false">J6*J7/100</f>
        <v>2184.28692276814</v>
      </c>
      <c r="K8" s="0" t="n">
        <f aca="false">K6*K7/100</f>
        <v>2238.89409583734</v>
      </c>
      <c r="L8" s="0" t="n">
        <f aca="false">L6*L7/100</f>
        <v>2294.86644823327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0.38</v>
      </c>
      <c r="D9" s="4" t="n">
        <f aca="false">Assumptions!D29</f>
        <v>0.37</v>
      </c>
      <c r="E9" s="4" t="n">
        <f aca="false">Assumptions!E29</f>
        <v>0.37</v>
      </c>
      <c r="F9" s="4" t="n">
        <f aca="false">Assumptions!F29</f>
        <v>0.36</v>
      </c>
      <c r="G9" s="4" t="n">
        <f aca="false">Assumptions!G29</f>
        <v>0.36</v>
      </c>
      <c r="H9" s="4" t="n">
        <f aca="false">Assumptions!H29</f>
        <v>0.36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-40.32294</v>
      </c>
      <c r="D10" s="0" t="n">
        <f aca="false">-D6*D9/100</f>
        <v>-41.6175186</v>
      </c>
      <c r="E10" s="0" t="n">
        <f aca="false">-E6*E9/100</f>
        <v>-43.906482123</v>
      </c>
      <c r="F10" s="0" t="n">
        <f aca="false">-F6*F9/100</f>
        <v>-44.64221236398</v>
      </c>
      <c r="G10" s="0" t="n">
        <f aca="false">-G6*G9/100</f>
        <v>-46.4279008585392</v>
      </c>
      <c r="H10" s="0" t="n">
        <f aca="false">-H6*H9/100</f>
        <v>-48.0528773885881</v>
      </c>
      <c r="I10" s="0" t="n">
        <f aca="false">-I6*I9/100</f>
        <v>-48.1196174960722</v>
      </c>
      <c r="J10" s="0" t="n">
        <f aca="false">-J6*J9/100</f>
        <v>-49.322607933474</v>
      </c>
      <c r="K10" s="0" t="n">
        <f aca="false">-K6*K9/100</f>
        <v>-50.5556731318109</v>
      </c>
      <c r="L10" s="0" t="n">
        <f aca="false">-L6*L9/100</f>
        <v>-51.8195649601061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744.91326</v>
      </c>
      <c r="D11" s="0" t="n">
        <f aca="false">D8+D10+D24</f>
        <v>1139.4201714</v>
      </c>
      <c r="E11" s="0" t="n">
        <f aca="false">E8+E10+E24</f>
        <v>1391.954149467</v>
      </c>
      <c r="F11" s="0" t="n">
        <f aca="false">F8+F10+F24</f>
        <v>1530.23583492087</v>
      </c>
      <c r="G11" s="0" t="n">
        <f aca="false">G8+G10+G24</f>
        <v>1668.82510308194</v>
      </c>
      <c r="H11" s="0" t="n">
        <f aca="false">H8+H10+H24</f>
        <v>1740.58200318663</v>
      </c>
      <c r="I11" s="0" t="n">
        <f aca="false">I8+I10+I24</f>
        <v>1794.17430949641</v>
      </c>
      <c r="J11" s="0" t="n">
        <f aca="false">J8+J10+J24</f>
        <v>1839.02866723382</v>
      </c>
      <c r="K11" s="0" t="n">
        <f aca="false">K8+K10+K24</f>
        <v>1885.00438391466</v>
      </c>
      <c r="L11" s="0" t="n">
        <f aca="false">L8+L10+L24</f>
        <v>1932.12949351253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-413.8407</v>
      </c>
      <c r="D12" s="4" t="n">
        <f aca="false">-D6*Assumptions!D31/100</f>
        <v>-494.911032</v>
      </c>
      <c r="E12" s="4" t="n">
        <f aca="false">-E6*Assumptions!E31/100</f>
        <v>-593.3308395</v>
      </c>
      <c r="F12" s="4" t="n">
        <f aca="false">-F6*Assumptions!F31/100</f>
        <v>-657.23257091415</v>
      </c>
      <c r="G12" s="4" t="n">
        <f aca="false">-G6*Assumptions!G31/100</f>
        <v>-709.31515200546</v>
      </c>
      <c r="H12" s="4" t="n">
        <f aca="false">-H6*Assumptions!H31/100</f>
        <v>-774.185246816141</v>
      </c>
      <c r="I12" s="4" t="n">
        <f aca="false">-I6*Assumptions!I31/100</f>
        <v>-824.907728504095</v>
      </c>
      <c r="J12" s="4" t="n">
        <f aca="false">-J6*Assumptions!J31/100</f>
        <v>-845.530421716697</v>
      </c>
      <c r="K12" s="4" t="n">
        <f aca="false">-K6*Assumptions!K31/100</f>
        <v>-866.668682259615</v>
      </c>
      <c r="L12" s="4" t="n">
        <f aca="false">-L6*Assumptions!L31/100</f>
        <v>-888.335399316105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331.07256</v>
      </c>
      <c r="D13" s="0" t="n">
        <f aca="false">D11+D12</f>
        <v>644.5091394</v>
      </c>
      <c r="E13" s="0" t="n">
        <f aca="false">E11+E12</f>
        <v>798.623309967</v>
      </c>
      <c r="F13" s="0" t="n">
        <f aca="false">F11+F12</f>
        <v>873.00326400672</v>
      </c>
      <c r="G13" s="0" t="n">
        <f aca="false">G11+G12</f>
        <v>959.509951076477</v>
      </c>
      <c r="H13" s="0" t="n">
        <f aca="false">H11+H12</f>
        <v>966.396756370493</v>
      </c>
      <c r="I13" s="0" t="n">
        <f aca="false">I11+I12</f>
        <v>969.266580992312</v>
      </c>
      <c r="J13" s="0" t="n">
        <f aca="false">J11+J12</f>
        <v>993.498245517119</v>
      </c>
      <c r="K13" s="0" t="n">
        <f aca="false">K11+K12</f>
        <v>1018.33570165505</v>
      </c>
      <c r="L13" s="0" t="n">
        <f aca="false">L11+L12</f>
        <v>1043.79409419642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</v>
      </c>
      <c r="D14" s="4" t="n">
        <f aca="false">Assumptions!D33</f>
        <v>2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2</v>
      </c>
      <c r="H14" s="4" t="n">
        <f aca="false">Assumptions!H33</f>
        <v>5</v>
      </c>
      <c r="I14" s="4" t="n">
        <f aca="false">Assumptions!I33</f>
        <v>10</v>
      </c>
      <c r="J14" s="4" t="n">
        <f aca="false">Assumptions!J33</f>
        <v>15</v>
      </c>
      <c r="K14" s="4" t="n">
        <f aca="false">Assumptions!K33</f>
        <v>20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321.1403832</v>
      </c>
      <c r="D15" s="0" t="n">
        <f aca="false">D13-MAX(0,D13)*D14/100</f>
        <v>631.618956612</v>
      </c>
      <c r="E15" s="0" t="n">
        <f aca="false">E13-MAX(0,E13)*E14/100</f>
        <v>798.623309967</v>
      </c>
      <c r="F15" s="0" t="n">
        <f aca="false">F13-MAX(0,F13)*F14/100</f>
        <v>873.00326400672</v>
      </c>
      <c r="G15" s="0" t="n">
        <f aca="false">G13-MAX(0,G13)*G14/100</f>
        <v>940.319752054947</v>
      </c>
      <c r="H15" s="0" t="n">
        <f aca="false">H13-MAX(0,H13)*H14/100</f>
        <v>918.076918551969</v>
      </c>
      <c r="I15" s="0" t="n">
        <f aca="false">I13-MAX(0,I13)*I14/100</f>
        <v>872.339922893081</v>
      </c>
      <c r="J15" s="0" t="n">
        <f aca="false">J13-MAX(0,J13)*J14/100</f>
        <v>844.473508689551</v>
      </c>
      <c r="K15" s="0" t="n">
        <f aca="false">K13-MAX(0,K13)*K14/100</f>
        <v>814.668561324038</v>
      </c>
      <c r="L15" s="0" t="n">
        <f aca="false">L13-MAX(0,L13)*L14/100</f>
        <v>814.15939347321</v>
      </c>
    </row>
    <row r="16" customFormat="false" ht="15" hidden="false" customHeight="false" outlineLevel="0" collapsed="false">
      <c r="A16" s="0" t="s">
        <v>121</v>
      </c>
      <c r="C16" s="0" t="n">
        <f aca="false">-C12</f>
        <v>413.8407</v>
      </c>
      <c r="D16" s="0" t="n">
        <f aca="false">-D12</f>
        <v>494.911032</v>
      </c>
      <c r="E16" s="0" t="n">
        <f aca="false">-E12</f>
        <v>593.3308395</v>
      </c>
      <c r="F16" s="0" t="n">
        <f aca="false">-F12</f>
        <v>657.23257091415</v>
      </c>
      <c r="G16" s="0" t="n">
        <f aca="false">-G12</f>
        <v>709.31515200546</v>
      </c>
      <c r="H16" s="0" t="n">
        <f aca="false">-H12</f>
        <v>774.185246816141</v>
      </c>
      <c r="I16" s="0" t="n">
        <f aca="false">-I12</f>
        <v>824.907728504095</v>
      </c>
      <c r="J16" s="0" t="n">
        <f aca="false">-J12</f>
        <v>845.530421716697</v>
      </c>
      <c r="K16" s="0" t="n">
        <f aca="false">-K12</f>
        <v>866.668682259615</v>
      </c>
      <c r="L16" s="0" t="n">
        <f aca="false">-L12</f>
        <v>888.335399316105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-1432.5255</v>
      </c>
      <c r="D17" s="4" t="n">
        <f aca="false">-D6*Assumptions!D32/100</f>
        <v>-1799.67648</v>
      </c>
      <c r="E17" s="4" t="n">
        <f aca="false">-E6*Assumptions!E32/100</f>
        <v>-2254.6571901</v>
      </c>
      <c r="F17" s="4" t="n">
        <f aca="false">-F6*Assumptions!F32/100</f>
        <v>-1550.07681819375</v>
      </c>
      <c r="G17" s="4" t="n">
        <f aca="false">-G6*Assumptions!G32/100</f>
        <v>-1418.63030401092</v>
      </c>
      <c r="H17" s="4" t="n">
        <f aca="false">-H6*Assumptions!H32/100</f>
        <v>-1401.54225716715</v>
      </c>
      <c r="I17" s="4" t="n">
        <f aca="false">-I6*Assumptions!I32/100</f>
        <v>-1374.84621417349</v>
      </c>
      <c r="J17" s="4" t="n">
        <f aca="false">-J6*Assumptions!J32/100</f>
        <v>-1338.75650105144</v>
      </c>
      <c r="K17" s="4" t="n">
        <f aca="false">-K6*Assumptions!K32/100</f>
        <v>-1372.22541357772</v>
      </c>
      <c r="L17" s="4" t="n">
        <f aca="false">-L6*Assumptions!L32/100</f>
        <v>-1406.53104891717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75.7950000000002</v>
      </c>
      <c r="D18" s="4" t="n">
        <f aca="false">(D6-C6)*Assumptions!$B$37/100</f>
        <v>95.5017</v>
      </c>
      <c r="E18" s="4" t="n">
        <f aca="false">(E6-D6)*Assumptions!$B$37/100</f>
        <v>92.7958184999999</v>
      </c>
      <c r="F18" s="4" t="n">
        <f aca="false">(F6-E6)*Assumptions!$B$37/100</f>
        <v>80.0996633324999</v>
      </c>
      <c r="G18" s="4" t="n">
        <f aca="false">(G6-F6)*Assumptions!$B$37/100</f>
        <v>74.4036872733002</v>
      </c>
      <c r="H18" s="4" t="n">
        <f aca="false">(H6-G6)*Assumptions!$B$37/100</f>
        <v>67.7073554187028</v>
      </c>
      <c r="I18" s="4" t="n">
        <f aca="false">(I6-H6)*Assumptions!$B$37/100</f>
        <v>60.066096735735</v>
      </c>
      <c r="J18" s="4" t="n">
        <f aca="false">(J6-I6)*Assumptions!$B$37/100</f>
        <v>51.5567330315057</v>
      </c>
      <c r="K18" s="4" t="n">
        <f aca="false">(K6-J6)*Assumptions!$B$37/100</f>
        <v>52.8456513572935</v>
      </c>
      <c r="L18" s="4" t="n">
        <f aca="false">(L6-K6)*Assumptions!$B$37/100</f>
        <v>54.1667926412259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-621.7494168</v>
      </c>
      <c r="D19" s="0" t="n">
        <f aca="false">D15+D16+D17+D18</f>
        <v>-577.644791388</v>
      </c>
      <c r="E19" s="0" t="n">
        <f aca="false">E15+E16+E17+E18</f>
        <v>-769.907222133</v>
      </c>
      <c r="F19" s="0" t="n">
        <f aca="false">F15+F16+F17+F18</f>
        <v>60.2586800596198</v>
      </c>
      <c r="G19" s="0" t="n">
        <f aca="false">G15+G16+G17+G18</f>
        <v>305.408287322788</v>
      </c>
      <c r="H19" s="0" t="n">
        <f aca="false">H15+H16+H17+H18</f>
        <v>358.427263619661</v>
      </c>
      <c r="I19" s="0" t="n">
        <f aca="false">I15+I16+I17+I18</f>
        <v>382.467533959419</v>
      </c>
      <c r="J19" s="0" t="n">
        <f aca="false">J15+J16+J17+J18</f>
        <v>402.804162386317</v>
      </c>
      <c r="K19" s="0" t="n">
        <f aca="false">K15+K16+K17+K18</f>
        <v>361.957481363223</v>
      </c>
      <c r="L19" s="0" t="n">
        <f aca="false">L15+L16+L17+L18</f>
        <v>350.130536513375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-567.807686575343</v>
      </c>
      <c r="D21" s="0" t="n">
        <f aca="false">D19*D20</f>
        <v>-481.762091189091</v>
      </c>
      <c r="E21" s="0" t="n">
        <f aca="false">E19*E20</f>
        <v>-586.402800931008</v>
      </c>
      <c r="F21" s="0" t="n">
        <f aca="false">F19*F20</f>
        <v>41.9143888087266</v>
      </c>
      <c r="G21" s="0" t="n">
        <f aca="false">G19*G20</f>
        <v>194.003793313786</v>
      </c>
      <c r="H21" s="0" t="n">
        <f aca="false">H19*H20</f>
        <v>207.929601682633</v>
      </c>
      <c r="I21" s="0" t="n">
        <f aca="false">I19*I20</f>
        <v>202.626266043788</v>
      </c>
      <c r="J21" s="0" t="n">
        <f aca="false">J19*J20</f>
        <v>194.886159036543</v>
      </c>
      <c r="K21" s="0" t="n">
        <f aca="false">K19*K20</f>
        <v>159.93020170556</v>
      </c>
      <c r="L21" s="0" t="n">
        <f aca="false">L19*L20</f>
        <v>141.28263869384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2.6</v>
      </c>
      <c r="D23" s="4" t="n">
        <f aca="false">Assumptions!D30</f>
        <v>2.5</v>
      </c>
      <c r="E23" s="4" t="n">
        <f aca="false">Assumptions!E30</f>
        <v>2.4</v>
      </c>
      <c r="F23" s="4" t="n">
        <f aca="false">Assumptions!F30</f>
        <v>2.3</v>
      </c>
      <c r="G23" s="4" t="n">
        <f aca="false">Assumptions!G30</f>
        <v>2.2</v>
      </c>
      <c r="H23" s="4" t="n">
        <f aca="false">Assumptions!H30</f>
        <v>2.1</v>
      </c>
      <c r="I23" s="4" t="n">
        <f aca="false">Assumptions!I30</f>
        <v>2.1</v>
      </c>
      <c r="J23" s="4" t="n">
        <f aca="false">Assumptions!J30</f>
        <v>2.1</v>
      </c>
      <c r="K23" s="4" t="n">
        <f aca="false">Assumptions!K30</f>
        <v>2.1</v>
      </c>
      <c r="L23" s="4" t="n">
        <f aca="false">Assumptions!L30</f>
        <v>2.1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-275.8938</v>
      </c>
      <c r="D24" s="0" t="n">
        <f aca="false">-D6*D23/100</f>
        <v>-281.19945</v>
      </c>
      <c r="E24" s="0" t="n">
        <f aca="false">-E6*E23/100</f>
        <v>-284.79880296</v>
      </c>
      <c r="F24" s="0" t="n">
        <f aca="false">-F6*F23/100</f>
        <v>-285.21413454765</v>
      </c>
      <c r="G24" s="0" t="n">
        <f aca="false">-G6*G23/100</f>
        <v>-283.726060802184</v>
      </c>
      <c r="H24" s="0" t="n">
        <f aca="false">-H6*H23/100</f>
        <v>-280.30845143343</v>
      </c>
      <c r="I24" s="0" t="n">
        <f aca="false">-I6*I23/100</f>
        <v>-288.717704976433</v>
      </c>
      <c r="J24" s="0" t="n">
        <f aca="false">-J6*J23/100</f>
        <v>-295.935647600844</v>
      </c>
      <c r="K24" s="0" t="n">
        <f aca="false">-K6*K23/100</f>
        <v>-303.334038790865</v>
      </c>
      <c r="L24" s="0" t="n">
        <f aca="false">-L6*L23/100</f>
        <v>-310.917389760637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-493.399529410565</v>
      </c>
    </row>
    <row r="31" customFormat="false" ht="15" hidden="false" customHeight="false" outlineLevel="0" collapsed="false">
      <c r="A31" s="0" t="s">
        <v>130</v>
      </c>
      <c r="B31" s="0" t="n">
        <f aca="false">L19</f>
        <v>350.130536513375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5126.91142751727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4551.69697467387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4551.69697467387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1836.67430301992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1343.27477360935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2772.27477360935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362.863190263004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-0.466377661377935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286.000580729464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306.181112176725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440.373883051772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2871.07039940967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191.253402585155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6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10106</v>
      </c>
      <c r="C6" s="0" t="n">
        <f aca="false">B6*(1+C5/100)</f>
        <v>10712.36</v>
      </c>
      <c r="D6" s="0" t="n">
        <f aca="false">C6*(1+D5/100)</f>
        <v>11569.3488</v>
      </c>
      <c r="E6" s="0" t="n">
        <f aca="false">D6*(1+E5/100)</f>
        <v>12379.203216</v>
      </c>
      <c r="F6" s="0" t="n">
        <f aca="false">E6*(1+F5/100)</f>
        <v>12998.1633768</v>
      </c>
      <c r="G6" s="0" t="n">
        <f aca="false">F6*(1+G5/100)</f>
        <v>13583.080728756</v>
      </c>
      <c r="H6" s="0" t="n">
        <f aca="false">G6*(1+H5/100)</f>
        <v>14126.4039579062</v>
      </c>
      <c r="I6" s="0" t="n">
        <f aca="false">H6*(1+I5/100)</f>
        <v>14620.828096433</v>
      </c>
      <c r="J6" s="0" t="n">
        <f aca="false">I6*(1+J5/100)</f>
        <v>15059.4529393259</v>
      </c>
      <c r="K6" s="0" t="n">
        <f aca="false">J6*(1+K5/100)</f>
        <v>15511.2365275057</v>
      </c>
      <c r="L6" s="0" t="n">
        <f aca="false">K6*(1+L5/100)</f>
        <v>15976.5736233309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10.5</v>
      </c>
      <c r="D7" s="4" t="n">
        <f aca="false">Assumptions!D42</f>
        <v>14</v>
      </c>
      <c r="E7" s="4" t="n">
        <f aca="false">Assumptions!E42</f>
        <v>16</v>
      </c>
      <c r="F7" s="4" t="n">
        <f aca="false">Assumptions!F42</f>
        <v>16.5</v>
      </c>
      <c r="G7" s="4" t="n">
        <f aca="false">Assumptions!G42</f>
        <v>17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1124.7978</v>
      </c>
      <c r="D8" s="0" t="n">
        <f aca="false">D6*D7/100</f>
        <v>1619.708832</v>
      </c>
      <c r="E8" s="0" t="n">
        <f aca="false">E6*E7/100</f>
        <v>1980.67251456</v>
      </c>
      <c r="F8" s="0" t="n">
        <f aca="false">F6*F7/100</f>
        <v>2144.696957172</v>
      </c>
      <c r="G8" s="0" t="n">
        <f aca="false">G6*G7/100</f>
        <v>2309.12372388852</v>
      </c>
      <c r="H8" s="0" t="n">
        <f aca="false">H6*H7/100</f>
        <v>2401.48867284406</v>
      </c>
      <c r="I8" s="0" t="n">
        <f aca="false">I6*I7/100</f>
        <v>2485.5407763936</v>
      </c>
      <c r="J8" s="0" t="n">
        <f aca="false">J6*J7/100</f>
        <v>2560.10699968541</v>
      </c>
      <c r="K8" s="0" t="n">
        <f aca="false">K6*K7/100</f>
        <v>2636.91020967597</v>
      </c>
      <c r="L8" s="0" t="n">
        <f aca="false">L6*L7/100</f>
        <v>2716.01751596625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0.38</v>
      </c>
      <c r="D9" s="4" t="n">
        <f aca="false">Assumptions!D43</f>
        <v>0.37</v>
      </c>
      <c r="E9" s="4" t="n">
        <f aca="false">Assumptions!E43</f>
        <v>0.37</v>
      </c>
      <c r="F9" s="4" t="n">
        <f aca="false">Assumptions!F43</f>
        <v>0.36</v>
      </c>
      <c r="G9" s="4" t="n">
        <f aca="false">Assumptions!G43</f>
        <v>0.36</v>
      </c>
      <c r="H9" s="4" t="n">
        <f aca="false">Assumptions!H43</f>
        <v>0.36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-40.706968</v>
      </c>
      <c r="D10" s="0" t="n">
        <f aca="false">-D6*D9/100</f>
        <v>-42.80659056</v>
      </c>
      <c r="E10" s="0" t="n">
        <f aca="false">-E6*E9/100</f>
        <v>-45.8030518992</v>
      </c>
      <c r="F10" s="0" t="n">
        <f aca="false">-F6*F9/100</f>
        <v>-46.79338815648</v>
      </c>
      <c r="G10" s="0" t="n">
        <f aca="false">-G6*G9/100</f>
        <v>-48.8990906235216</v>
      </c>
      <c r="H10" s="0" t="n">
        <f aca="false">-H6*H9/100</f>
        <v>-50.8550542484625</v>
      </c>
      <c r="I10" s="0" t="n">
        <f aca="false">-I6*I9/100</f>
        <v>-51.1728983375154</v>
      </c>
      <c r="J10" s="0" t="n">
        <f aca="false">-J6*J9/100</f>
        <v>-52.7080852876408</v>
      </c>
      <c r="K10" s="0" t="n">
        <f aca="false">-K6*K9/100</f>
        <v>-54.28932784627</v>
      </c>
      <c r="L10" s="0" t="n">
        <f aca="false">-L6*L9/100</f>
        <v>-55.9180076816581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805.569472</v>
      </c>
      <c r="D11" s="0" t="n">
        <f aca="false">D8+D10+D24</f>
        <v>1299.23787024</v>
      </c>
      <c r="E11" s="0" t="n">
        <f aca="false">E8+E10+E24</f>
        <v>1662.5269919088</v>
      </c>
      <c r="F11" s="0" t="n">
        <f aca="false">F8+F10+F24</f>
        <v>1837.94030147952</v>
      </c>
      <c r="G11" s="0" t="n">
        <f aca="false">G8+G10+G24</f>
        <v>2002.14609941863</v>
      </c>
      <c r="H11" s="0" t="n">
        <f aca="false">H8+H10+H24</f>
        <v>2096.35834735329</v>
      </c>
      <c r="I11" s="0" t="n">
        <f aca="false">I8+I10+I24</f>
        <v>2171.19297232029</v>
      </c>
      <c r="J11" s="0" t="n">
        <f aca="false">J8+J10+J24</f>
        <v>2236.3287614899</v>
      </c>
      <c r="K11" s="0" t="n">
        <f aca="false">K8+K10+K24</f>
        <v>2303.4186243346</v>
      </c>
      <c r="L11" s="0" t="n">
        <f aca="false">L8+L10+L24</f>
        <v>2372.52118306464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-417.78204</v>
      </c>
      <c r="D12" s="4" t="n">
        <f aca="false">-D6*Assumptions!D45/100</f>
        <v>-509.0513472</v>
      </c>
      <c r="E12" s="4" t="n">
        <f aca="false">-E6*Assumptions!E45/100</f>
        <v>-618.9601608</v>
      </c>
      <c r="F12" s="4" t="n">
        <f aca="false">-F6*Assumptions!F45/100</f>
        <v>-688.9026589704</v>
      </c>
      <c r="G12" s="4" t="n">
        <f aca="false">-G6*Assumptions!G45/100</f>
        <v>-747.06944008158</v>
      </c>
      <c r="H12" s="4" t="n">
        <f aca="false">-H6*Assumptions!H45/100</f>
        <v>-819.331429558562</v>
      </c>
      <c r="I12" s="4" t="n">
        <f aca="false">-I6*Assumptions!I45/100</f>
        <v>-877.249685785978</v>
      </c>
      <c r="J12" s="4" t="n">
        <f aca="false">-J6*Assumptions!J45/100</f>
        <v>-903.567176359557</v>
      </c>
      <c r="K12" s="4" t="n">
        <f aca="false">-K6*Assumptions!K45/100</f>
        <v>-930.674191650344</v>
      </c>
      <c r="L12" s="4" t="n">
        <f aca="false">-L6*Assumptions!L45/100</f>
        <v>-958.594417399854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387.787432</v>
      </c>
      <c r="D13" s="0" t="n">
        <f aca="false">D11+D12</f>
        <v>790.18652304</v>
      </c>
      <c r="E13" s="0" t="n">
        <f aca="false">E11+E12</f>
        <v>1043.5668311088</v>
      </c>
      <c r="F13" s="0" t="n">
        <f aca="false">F11+F12</f>
        <v>1149.03764250912</v>
      </c>
      <c r="G13" s="0" t="n">
        <f aca="false">G11+G12</f>
        <v>1255.07665933705</v>
      </c>
      <c r="H13" s="0" t="n">
        <f aca="false">H11+H12</f>
        <v>1277.02691779472</v>
      </c>
      <c r="I13" s="0" t="n">
        <f aca="false">I11+I12</f>
        <v>1293.94328653432</v>
      </c>
      <c r="J13" s="0" t="n">
        <f aca="false">J11+J12</f>
        <v>1332.76158513035</v>
      </c>
      <c r="K13" s="0" t="n">
        <f aca="false">K11+K12</f>
        <v>1372.74443268426</v>
      </c>
      <c r="L13" s="0" t="n">
        <f aca="false">L11+L12</f>
        <v>1413.92676566478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</v>
      </c>
      <c r="D14" s="4" t="n">
        <f aca="false">Assumptions!D47</f>
        <v>3</v>
      </c>
      <c r="E14" s="4" t="n">
        <f aca="false">Assumptions!E47</f>
        <v>2</v>
      </c>
      <c r="F14" s="4" t="n">
        <f aca="false">Assumptions!F47</f>
        <v>4</v>
      </c>
      <c r="G14" s="4" t="n">
        <f aca="false">Assumptions!G47</f>
        <v>8</v>
      </c>
      <c r="H14" s="4" t="n">
        <f aca="false">Assumptions!H47</f>
        <v>12</v>
      </c>
      <c r="I14" s="4" t="n">
        <f aca="false">Assumptions!I47</f>
        <v>16</v>
      </c>
      <c r="J14" s="4" t="n">
        <f aca="false">Assumptions!J47</f>
        <v>19</v>
      </c>
      <c r="K14" s="4" t="n">
        <f aca="false">Assumptions!K47</f>
        <v>21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376.15380904</v>
      </c>
      <c r="D15" s="0" t="n">
        <f aca="false">D13-MAX(0,D13)*D14/100</f>
        <v>766.4809273488</v>
      </c>
      <c r="E15" s="0" t="n">
        <f aca="false">E13-MAX(0,E13)*E14/100</f>
        <v>1022.69549448662</v>
      </c>
      <c r="F15" s="0" t="n">
        <f aca="false">F13-MAX(0,F13)*F14/100</f>
        <v>1103.07613680876</v>
      </c>
      <c r="G15" s="0" t="n">
        <f aca="false">G13-MAX(0,G13)*G14/100</f>
        <v>1154.67052659009</v>
      </c>
      <c r="H15" s="0" t="n">
        <f aca="false">H13-MAX(0,H13)*H14/100</f>
        <v>1123.78368765936</v>
      </c>
      <c r="I15" s="0" t="n">
        <f aca="false">I13-MAX(0,I13)*I14/100</f>
        <v>1086.91236068883</v>
      </c>
      <c r="J15" s="0" t="n">
        <f aca="false">J13-MAX(0,J13)*J14/100</f>
        <v>1079.53688395558</v>
      </c>
      <c r="K15" s="0" t="n">
        <f aca="false">K13-MAX(0,K13)*K14/100</f>
        <v>1084.46810182056</v>
      </c>
      <c r="L15" s="0" t="n">
        <f aca="false">L13-MAX(0,L13)*L14/100</f>
        <v>1088.72360956188</v>
      </c>
    </row>
    <row r="16" customFormat="false" ht="15" hidden="false" customHeight="false" outlineLevel="0" collapsed="false">
      <c r="A16" s="0" t="s">
        <v>121</v>
      </c>
      <c r="C16" s="0" t="n">
        <f aca="false">-C12</f>
        <v>417.78204</v>
      </c>
      <c r="D16" s="0" t="n">
        <f aca="false">-D12</f>
        <v>509.0513472</v>
      </c>
      <c r="E16" s="0" t="n">
        <f aca="false">-E12</f>
        <v>618.9601608</v>
      </c>
      <c r="F16" s="0" t="n">
        <f aca="false">-F12</f>
        <v>688.9026589704</v>
      </c>
      <c r="G16" s="0" t="n">
        <f aca="false">-G12</f>
        <v>747.06944008158</v>
      </c>
      <c r="H16" s="0" t="n">
        <f aca="false">-H12</f>
        <v>819.331429558562</v>
      </c>
      <c r="I16" s="0" t="n">
        <f aca="false">-I12</f>
        <v>877.249685785978</v>
      </c>
      <c r="J16" s="0" t="n">
        <f aca="false">-J12</f>
        <v>903.567176359557</v>
      </c>
      <c r="K16" s="0" t="n">
        <f aca="false">-K12</f>
        <v>930.674191650344</v>
      </c>
      <c r="L16" s="0" t="n">
        <f aca="false">-L12</f>
        <v>958.594417399854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-1392.6068</v>
      </c>
      <c r="D17" s="4" t="n">
        <f aca="false">-D6*Assumptions!D46/100</f>
        <v>-1735.40232</v>
      </c>
      <c r="E17" s="4" t="n">
        <f aca="false">-E6*Assumptions!E46/100</f>
        <v>-2166.3605628</v>
      </c>
      <c r="F17" s="4" t="n">
        <f aca="false">-F6*Assumptions!F46/100</f>
        <v>-1494.788788332</v>
      </c>
      <c r="G17" s="4" t="n">
        <f aca="false">-G6*Assumptions!G46/100</f>
        <v>-1358.3080728756</v>
      </c>
      <c r="H17" s="4" t="n">
        <f aca="false">-H6*Assumptions!H46/100</f>
        <v>-1342.00837600109</v>
      </c>
      <c r="I17" s="4" t="n">
        <f aca="false">-I6*Assumptions!I46/100</f>
        <v>-1315.87452867897</v>
      </c>
      <c r="J17" s="4" t="n">
        <f aca="false">-J6*Assumptions!J46/100</f>
        <v>-1355.35076453934</v>
      </c>
      <c r="K17" s="4" t="n">
        <f aca="false">-K6*Assumptions!K46/100</f>
        <v>-1318.45510483799</v>
      </c>
      <c r="L17" s="4" t="n">
        <f aca="false">-L6*Assumptions!L46/100</f>
        <v>-1358.00875798313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109.1448</v>
      </c>
      <c r="D18" s="4" t="n">
        <f aca="false">(D6-C6)*Assumptions!$B$51/100</f>
        <v>154.257984</v>
      </c>
      <c r="E18" s="4" t="n">
        <f aca="false">(E6-D6)*Assumptions!$B$51/100</f>
        <v>145.77379488</v>
      </c>
      <c r="F18" s="4" t="n">
        <f aca="false">(F6-E6)*Assumptions!$B$51/100</f>
        <v>111.412828944</v>
      </c>
      <c r="G18" s="4" t="n">
        <f aca="false">(G6-F6)*Assumptions!$B$51/100</f>
        <v>105.28512335208</v>
      </c>
      <c r="H18" s="4" t="n">
        <f aca="false">(H6-G6)*Assumptions!$B$51/100</f>
        <v>97.7981812470434</v>
      </c>
      <c r="I18" s="4" t="n">
        <f aca="false">(I6-H6)*Assumptions!$B$51/100</f>
        <v>88.9963449348092</v>
      </c>
      <c r="J18" s="4" t="n">
        <f aca="false">(J6-I6)*Assumptions!$B$51/100</f>
        <v>78.9524717207379</v>
      </c>
      <c r="K18" s="4" t="n">
        <f aca="false">(K6-J6)*Assumptions!$B$51/100</f>
        <v>81.3210458723601</v>
      </c>
      <c r="L18" s="4" t="n">
        <f aca="false">(L6-K6)*Assumptions!$B$51/100</f>
        <v>83.7606772485311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-489.52615096</v>
      </c>
      <c r="D19" s="0" t="n">
        <f aca="false">D15+D16+D17+D18</f>
        <v>-305.6120614512</v>
      </c>
      <c r="E19" s="0" t="n">
        <f aca="false">E15+E16+E17+E18</f>
        <v>-378.931112633376</v>
      </c>
      <c r="F19" s="0" t="n">
        <f aca="false">F15+F16+F17+F18</f>
        <v>408.602836391156</v>
      </c>
      <c r="G19" s="0" t="n">
        <f aca="false">G15+G16+G17+G18</f>
        <v>648.71701714815</v>
      </c>
      <c r="H19" s="0" t="n">
        <f aca="false">H15+H16+H17+H18</f>
        <v>698.904922463869</v>
      </c>
      <c r="I19" s="0" t="n">
        <f aca="false">I15+I16+I17+I18</f>
        <v>737.283862730646</v>
      </c>
      <c r="J19" s="0" t="n">
        <f aca="false">J15+J16+J17+J18</f>
        <v>706.70576749654</v>
      </c>
      <c r="K19" s="0" t="n">
        <f aca="false">K15+K16+K17+K18</f>
        <v>778.008234505279</v>
      </c>
      <c r="L19" s="0" t="n">
        <f aca="false">L15+L16+L17+L18</f>
        <v>773.069946227143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-447.055845625571</v>
      </c>
      <c r="D21" s="0" t="n">
        <f aca="false">D19*D20</f>
        <v>-254.883810972415</v>
      </c>
      <c r="E21" s="0" t="n">
        <f aca="false">E19*E20</f>
        <v>-288.614341339078</v>
      </c>
      <c r="F21" s="0" t="n">
        <f aca="false">F19*F20</f>
        <v>284.213629238189</v>
      </c>
      <c r="G21" s="0" t="n">
        <f aca="false">G19*G20</f>
        <v>412.082996231633</v>
      </c>
      <c r="H21" s="0" t="n">
        <f aca="false">H19*H20</f>
        <v>405.446339863675</v>
      </c>
      <c r="I21" s="0" t="n">
        <f aca="false">I19*I20</f>
        <v>390.603287481396</v>
      </c>
      <c r="J21" s="0" t="n">
        <f aca="false">J19*J20</f>
        <v>341.92092698457</v>
      </c>
      <c r="K21" s="0" t="n">
        <f aca="false">K19*K20</f>
        <v>343.761409225173</v>
      </c>
      <c r="L21" s="0" t="n">
        <f aca="false">L19*L20</f>
        <v>311.944690644552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2.6</v>
      </c>
      <c r="D23" s="4" t="n">
        <f aca="false">Assumptions!D44</f>
        <v>2.4</v>
      </c>
      <c r="E23" s="4" t="n">
        <f aca="false">Assumptions!E44</f>
        <v>2.2</v>
      </c>
      <c r="F23" s="4" t="n">
        <f aca="false">Assumptions!F44</f>
        <v>2</v>
      </c>
      <c r="G23" s="4" t="n">
        <f aca="false">Assumptions!G44</f>
        <v>1.9</v>
      </c>
      <c r="H23" s="4" t="n">
        <f aca="false">Assumptions!H44</f>
        <v>1.8</v>
      </c>
      <c r="I23" s="4" t="n">
        <f aca="false">Assumptions!I44</f>
        <v>1.8</v>
      </c>
      <c r="J23" s="4" t="n">
        <f aca="false">Assumptions!J44</f>
        <v>1.8</v>
      </c>
      <c r="K23" s="4" t="n">
        <f aca="false">Assumptions!K44</f>
        <v>1.8</v>
      </c>
      <c r="L23" s="4" t="n">
        <f aca="false">Assumptions!L44</f>
        <v>1.8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-278.52136</v>
      </c>
      <c r="D24" s="0" t="n">
        <f aca="false">-D6*D23/100</f>
        <v>-277.6643712</v>
      </c>
      <c r="E24" s="0" t="n">
        <f aca="false">-E6*E23/100</f>
        <v>-272.342470752</v>
      </c>
      <c r="F24" s="0" t="n">
        <f aca="false">-F6*F23/100</f>
        <v>-259.963267536</v>
      </c>
      <c r="G24" s="0" t="n">
        <f aca="false">-G6*G23/100</f>
        <v>-258.078533846364</v>
      </c>
      <c r="H24" s="0" t="n">
        <f aca="false">-H6*H23/100</f>
        <v>-254.275271242312</v>
      </c>
      <c r="I24" s="0" t="n">
        <f aca="false">-I6*I23/100</f>
        <v>-263.174905735793</v>
      </c>
      <c r="J24" s="0" t="n">
        <f aca="false">-J6*J23/100</f>
        <v>-271.070152907867</v>
      </c>
      <c r="K24" s="0" t="n">
        <f aca="false">-K6*K23/100</f>
        <v>-279.202257495103</v>
      </c>
      <c r="L24" s="0" t="n">
        <f aca="false">-L6*L23/100</f>
        <v>-287.578325219956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1499.41928173212</v>
      </c>
    </row>
    <row r="31" customFormat="false" ht="15" hidden="false" customHeight="false" outlineLevel="0" collapsed="false">
      <c r="A31" s="0" t="s">
        <v>130</v>
      </c>
      <c r="B31" s="0" t="n">
        <f aca="false">L19</f>
        <v>773.069946227143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12250.1853017532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10822.97924718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10822.97924718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4367.22566902372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5866.64495075585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7295.64495075585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954.927349575373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0.404304925846136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300.03822955065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357.548010393337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1040.99884695024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6635.51703844964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515.972718716225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52.0906925180242</v>
      </c>
      <c r="C4" s="0" t="n">
        <f aca="false">B4/Assumptions!$B$2-1</f>
        <v>-0.92339604041467</v>
      </c>
      <c r="D4" s="4" t="n">
        <f aca="false">Assumptions!$B$24</f>
        <v>0.25</v>
      </c>
      <c r="E4" s="4" t="n">
        <f aca="false">DCF_Bear!$B$43</f>
        <v>120.491481667498</v>
      </c>
      <c r="F4" s="4" t="n">
        <f aca="false">DCF_Bear!$B$47</f>
        <v>35.0026223760595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362.863190263004</v>
      </c>
      <c r="C5" s="0" t="n">
        <f aca="false">B5/Assumptions!$B$2-1</f>
        <v>-0.466377661377935</v>
      </c>
      <c r="D5" s="4" t="n">
        <f aca="false">Assumptions!$B$38</f>
        <v>0.5</v>
      </c>
      <c r="E5" s="4" t="n">
        <f aca="false">DCF_Base!$B$43</f>
        <v>440.373883051772</v>
      </c>
      <c r="F5" s="4" t="n">
        <f aca="false">DCF_Base!$B$47</f>
        <v>191.253402585155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954.927349575373</v>
      </c>
      <c r="C6" s="0" t="n">
        <f aca="false">B6/Assumptions!$B$2-1</f>
        <v>0.404304925846136</v>
      </c>
      <c r="D6" s="4" t="n">
        <f aca="false">Assumptions!$B$52</f>
        <v>0.25</v>
      </c>
      <c r="E6" s="4" t="n">
        <f aca="false">DCF_Bull!$B$43</f>
        <v>1040.99884695024</v>
      </c>
      <c r="F6" s="4" t="n">
        <f aca="false">DCF_Bull!$B$47</f>
        <v>515.972718716225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433.186105654851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510.559523680321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-0.569764106288769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318.990553401562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233.370536565649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377.147187638168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362.863190263004</v>
      </c>
      <c r="C16" s="3" t="n">
        <v>9.5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349.293517414114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308.959462759366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268.825743758176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191.253402585155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424.692089251628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424.692089251628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424.692089251628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424.692089251628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424.692089251628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392.185004420299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392.185004420299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392.185004420299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392.185004420299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392.185004420299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357.084286520619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362.863190263004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362.863190263004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362.863190263004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362.863190263004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307.320323115335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319.515404351858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333.234870742946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336.400901448582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336.400901448582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268.530373092187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277.585806126428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287.647398386694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298.892707383463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311.543680004828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2026-10-09T23:14:45Z</dcterms:created>
  <dc:creator>openpyxl</dc:creator>
  <dc:description/>
  <dc:language>en-NZ</dc:language>
  <cp:lastModifiedBy/>
  <dcterms:modified xsi:type="dcterms:W3CDTF">2026-10-09T23:14:45Z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