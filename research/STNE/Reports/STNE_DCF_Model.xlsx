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<sst xmlns="http://schemas.openxmlformats.org/spreadsheetml/2006/main" count="358" uniqueCount="166">
  <si>
    <t xml:space="preserve">Ticker</t>
  </si>
  <si>
    <t xml:space="preserve">STNE</t>
  </si>
  <si>
    <t xml:space="preserve">Company</t>
  </si>
  <si>
    <t xml:space="preserve">StoneCo Ltd.</t>
  </si>
  <si>
    <t xml:space="preserve">Valuation date</t>
  </si>
  <si>
    <t xml:space="preserve">2026-10-04</t>
  </si>
  <si>
    <t xml:space="preserve">Current price</t>
  </si>
  <si>
    <t xml:space="preserve">Price as of</t>
  </si>
  <si>
    <t xml:space="preserve">2026-10-02T20:00:00Z regular close (Nasdaq, Friday); 52-week range 8.95-19.64</t>
  </si>
  <si>
    <t xml:space="preserve">Balance sheet date</t>
  </si>
  <si>
    <t xml:space="preserve">2026-06-30</t>
  </si>
  <si>
    <t xml:space="preserve">Model</t>
  </si>
  <si>
    <t xml:space="preserve">FCFE capitalisation at cost of equity (engine route): adjusted continuing-ops earnings less capital retention, net debt held at zero</t>
  </si>
  <si>
    <t xml:space="preserve">Currency (model)</t>
  </si>
  <si>
    <t xml:space="preserve">BRL</t>
  </si>
  <si>
    <t xml:space="preserve">Currency (quote)</t>
  </si>
  <si>
    <t xml:space="preserve">USD</t>
  </si>
  <si>
    <t xml:space="preserve">Units</t>
  </si>
  <si>
    <t xml:space="preserve">millions</t>
  </si>
  <si>
    <t xml:space="preserve">Engine</t>
  </si>
  <si>
    <t xml:space="preserve">dcf_engine v1</t>
  </si>
  <si>
    <t xml:space="preserve">Built at</t>
  </si>
  <si>
    <t xml:space="preserve">2026-10-04T08:42:32Z</t>
  </si>
  <si>
    <t xml:space="preserve">Drivers file</t>
  </si>
  <si>
    <t xml:space="preserve">STNE_Drivers.json</t>
  </si>
  <si>
    <t xml:space="preserve">Convention</t>
  </si>
  <si>
    <t xml:space="preserve">Percents stored as percents; formulas divide by 100. Blue = input, green = link, black = formula.</t>
  </si>
  <si>
    <t xml:space="preserve">Methodology</t>
  </si>
  <si>
    <t xml:space="preserve">summary: Value Stone as what it has become -- a deposit- and debt-funded merchant financial -- not as a software-like payments company: capitalise fully-SBC-expensed, post-funding-cost, post-provision adjusted earnings less the capital the balance sheet must retain to grow, at a Brazilian-real cost of equity, with the credit cycle charged in the scenario weights rather than in an inflated discount rate. The surplus capital and adjusted net cash are left in the flows (their yield is in revenue) rather than added to the bridge, which is the conservative side of the matching rule. The output is an earnings multiple: the base case capitalises FY2026 FCFE at ~9x, against a market paying ~4.6x guided EPS.
key_risks_to_valuation: Credit-book losses: a cost of risk of 25-30% on a R$4-5bn book would remove R$0.5-0.8bn of pre-tax profit, roughly the whole gap between the base and bear margins; the 2021 collateral/credit episode shows Stone's underwriting edge has failed once before.; Selic/CDI path: financial expenses are 30% of revenue and CDI-linked; each 100bp of CDI held longer is roughly R$300m of annual gross profit per management's 2026 commentary.; BRL/USD: every per-share value here is converted at spot 5.22; the 10-year BRL depreciation trend is 4-5%/yr and the USD IV scales one-for-one with the rate.; Take-rate and share erosion: card TPV fell 3% YoY in 2Q26; Pix QR (+44%) carries lower economics, and bank-owned acquirers can cross-subsidise MDR.; Tax: the adjusted ETR of 15% depends on entity structures that Pillar-2 and Brazilian tax reform are eroding; every 5pp is ~R$150m of net income.; Share-count basis: the 30-Jun-2026 count is estimated from the 31-Mar-2026 20-F figure and 2Q26 buyback cash; the 3Q26 release will give the actual and 3Q26 buybacks will have lowered it further (which raises per-share value).; Capital-retention proxy: -40% of incremental revenue is a judgment on the RWA growth / Tier-1 ratio relationship; if Stone runs the ratio down toward 15% instead, retention is lower and value higher, and vice versa in a credit stress.</t>
  </si>
  <si>
    <t xml:space="preserve">Data sources</t>
  </si>
  <si>
    <t xml:space="preserve">price: Yahoo Finance chart API, STNE regular close at inputs.price_as_of; 52-week range 8.95-19.64. FX: Yahoo BRL=X at the time stated in inputs.fx_note.
financials: STNE_Metrics.csv (continuing-ops revenue FY2023-25); 20-F FY2025 (adjusted net income continuing R$2,477.2m / 2,108.2m / 1,437.2m FY2025/24/23; D&amp;A continuing R$912.4m note 10.4; SBC R$297.0m; EPS note 16.3; treasury-share table; share counts at 31-Dec-2025 and 31-Mar-2026); 2Q26 earnings release 13-Aug-2026 (adjusted P&amp;L, credit and banking KPIs, cash flow, balance sheet, adjusted net cash, capital ratio); 4Q25 release (quarterly adjusted EBT for FY2025, adjusted net cash R$2,588.1m).
qualitative: STNE_Analysis.json (2026-10-04): business model, credit-quality trend, FY2026 guidance (adjusted gross profit R$6.6-7.0bn, adjusted basic EPS R$10.80-11.40, low end targeted; cost of risk to high-teens by YE2026), bull/bear axes.</t>
  </si>
  <si>
    <t xml:space="preserve">Scenario narrative: bear</t>
  </si>
  <si>
    <t xml:space="preserve">The 2Q26 credit data is the warning, not the peak: NPL 15-90d tripled and &gt;90d nearly doubled in a year while coverage fell 76pp, in only the book's second year of hypergrowth, with a dedicated-desk concentration problem on top. In this case losses in 2H26-2027 force a credit retrenchment just as the acquiring core loses share to Pix and bank-owned acquirers, and Selic stays higher for longer. Revenue is flat nominal for three years, margin troughs at 24%, and the equity base keeps shrinking through buybacks at a time it should be rebuilt. Weighted 30%: the balance sheet survives (26% Tier-1 ratio, R$1.35bn adjusted net cash), but the company has done this before (2021) and the stock is pricing roughly this outcome today.</t>
  </si>
  <si>
    <t xml:space="preserve">Scenario narrative: base</t>
  </si>
  <si>
    <t xml:space="preserve">Stone is a mature Brazilian acquirer bolting a young merchant-credit book onto a deposit-funded balance sheet. The base case takes management's FY2026 EPS guidance at slightly below its low end, lets the credit book keep compounding at a slowing pace with cost of risk easing from 21.5% toward the high-teens management has guided, and assumes CDI falls from 14.4% over 2026-27 so financial expenses stop absorbing 30% of revenue. Take-rate compression (transaction revenue -31% YoY) continues to be re-captured in financial income. Margin recovers to, but never above, 29%; growth fades to 5% nominal. The valuation is a single-digit earnings multiple on a flat-to-modestly-growing earnings stream, with the flat diluted share count funded by continuing R$2-3bn/yr buybacks.</t>
  </si>
  <si>
    <t xml:space="preserve">Scenario narrative: bull</t>
  </si>
  <si>
    <t xml:space="preserve">Three things go right together: the Selic cycle turns (11-12% by 2027), cost of risk normalises as government-backed lines and seasoned vintages dominate the book, and the Ton churn fix holds so TPV re-accelerates to high single digits. Credit then becomes the ARPAC engine management promised, ROE holds above 20% on a smaller equity base, and margin exceeds FY2024's 30%. Requires all three; hence the 20% weight.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</si>
  <si>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</si>
  <si>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</si>
  <si>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</si>
  <si>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</si>
  <si>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</si>
  <si>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</si>
  <si>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</si>
  <si>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</si>
  <si>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</si>
  <si>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</si>
  <si>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</si>
  <si>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</si>
  <si>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</si>
  <si>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</si>
  <si>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</si>
  <si>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</si>
  <si>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</si>
  <si>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</si>
  <si>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</si>
  <si>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</si>
  <si>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</si>
  <si>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</si>
  <si>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</si>
  <si>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</si>
  <si>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</si>
  <si>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</si>
  <si>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</si>
  <si>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NetIncomeContinuing</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</si>
  <si>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</si>
  <si>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</si>
  <si>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</si>
  <si>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</si>
  <si>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</si>
  <si>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</si>
  <si>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</si>
  <si>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</si>
  <si>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</si>
  <si>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</si>
  <si>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</si>
  <si>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</si>
  <si>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</si>
  <si>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</si>
  <si>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</si>
  <si>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</si>
  <si>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</si>
  <si>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</si>
  <si>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</si>
  <si>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BRL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</si>
  <si>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</si>
  <si>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</si>
  <si>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</si>
  <si>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</si>
  <si>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</si>
  <si>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</si>
  <si>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</si>
  <si>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</si>
  <si>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</si>
  <si>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</si>
  <si>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</si>
  <si>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</si>
  <si>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</si>
  <si>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</si>
  <si>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</si>
  <si>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</si>
  <si>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</si>
  <si>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</si>
  <si>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</si>
  <si>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</si>
  <si>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</si>
  <si>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</si>
  <si>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</si>
  <si>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</si>
  <si>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</si>
  <si>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</si>
  <si>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STNE owner-FCF component DCF: bear case (millions, BRL)</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</si>
  <si>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</si>
  <si>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</si>
  <si>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</si>
  <si>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</si>
  <si>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</si>
  <si>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</si>
  <si>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</si>
  <si>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</si>
  <si>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</si>
  <si>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</si>
  <si>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</si>
  <si>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</si>
  <si>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</si>
  <si>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</si>
  <si>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</si>
  <si>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</si>
  <si>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</si>
  <si>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</si>
  <si>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</si>
  <si>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</si>
  <si>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</si>
  <si>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</si>
  <si>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</si>
  <si>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</si>
  <si>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</si>
  <si>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</si>
  <si>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</si>
  <si>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</si>
  <si>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</si>
  <si>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</si>
  <si>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STNE owner-FCF component DCF: base case (millions, BRL)</t>
  </si>
  <si>
    <t xml:space="preserve">STNE owner-FCF component DCF: bull case (millions, BRL)</t>
  </si>
  <si>
    <t xml:space="preserve">STNE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</si>
  <si>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</si>
  <si>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</si>
  <si>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</si>
  <si>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</si>
  <si>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</si>
  <si>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</si>
  <si>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</si>
  <si>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</si>
  <si>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</si>
  <si>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</si>
  <si>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</si>
  <si>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</si>
  <si>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</si>
  <si>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</si>
  <si>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</si>
  <si>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</si>
  <si>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</si>
  <si>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t>
  </si>
  <si>
    <t xml:space="preserve">Value per share at 15%</t>
  </si>
  <si>
    <t xml:space="preserve">Value per share at 17.5% (WACC)</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</si>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</sst>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9.55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766.6</v>
      </c>
      <c r="I2" s="0" t="n">
        <v>-105</v>
      </c>
      <c r="J2" s="0" t="n">
        <v>-13.7</v>
      </c>
      <c r="K2" s="0" t="n">
        <v>-0.49</v>
      </c>
      <c r="L2" s="0" t="n">
        <v>-1283.9</v>
      </c>
      <c r="M2" s="0" t="n">
        <v>162.3</v>
      </c>
      <c r="N2" s="0" t="n">
        <v>-1446.2</v>
      </c>
      <c r="O2" s="0" t="n">
        <v>467.4</v>
      </c>
      <c r="P2" s="0" t="n">
        <v>6635.7</v>
      </c>
      <c r="Q2" s="0" t="n">
        <v>6153.2</v>
      </c>
      <c r="R2" s="0" t="n">
        <v>2081.9</v>
      </c>
      <c r="S2" s="0" t="n">
        <v>642</v>
      </c>
      <c r="T2" s="0" t="n">
        <v>215.6</v>
      </c>
      <c r="U2" s="0" t="n">
        <v>138.9</v>
      </c>
      <c r="AA2" s="0" t="s">
        <v>18</v>
      </c>
      <c r="AB2" s="0" t="s">
        <v>14</v>
      </c>
    </row>
    <row r="3" customFormat="false" ht="15" hidden="false" customHeight="false" outlineLevel="0" collapsed="false">
      <c r="A3" s="0" t="s">
        <v>66</v>
      </c>
      <c r="B3" s="0" t="n">
        <v>1579.2</v>
      </c>
      <c r="I3" s="0" t="n">
        <v>305.2</v>
      </c>
      <c r="J3" s="0" t="n">
        <v>19.3</v>
      </c>
      <c r="K3" s="0" t="n">
        <v>1.29</v>
      </c>
      <c r="L3" s="0" t="n">
        <v>-2415.6</v>
      </c>
      <c r="M3" s="0" t="n">
        <v>185.7</v>
      </c>
      <c r="N3" s="0" t="n">
        <v>-2601.3</v>
      </c>
      <c r="O3" s="0" t="n">
        <v>5093.3</v>
      </c>
      <c r="P3" s="0" t="n">
        <v>13293.2</v>
      </c>
      <c r="Q3" s="0" t="n">
        <v>8200.2</v>
      </c>
      <c r="R3" s="0" t="n">
        <v>2837</v>
      </c>
      <c r="S3" s="0" t="n">
        <v>297.9</v>
      </c>
      <c r="T3" s="0" t="n">
        <v>233.5</v>
      </c>
      <c r="U3" s="0" t="n">
        <v>46.1</v>
      </c>
      <c r="AA3" s="0" t="s">
        <v>18</v>
      </c>
      <c r="AB3" s="0" t="s">
        <v>14</v>
      </c>
    </row>
    <row r="4" customFormat="false" ht="15" hidden="false" customHeight="false" outlineLevel="0" collapsed="false">
      <c r="A4" s="0" t="s">
        <v>67</v>
      </c>
      <c r="B4" s="0" t="n">
        <v>2576</v>
      </c>
      <c r="I4" s="0" t="n">
        <v>804.2</v>
      </c>
      <c r="J4" s="0" t="n">
        <v>31.2</v>
      </c>
      <c r="K4" s="0" t="n">
        <v>2.85</v>
      </c>
      <c r="L4" s="0" t="n">
        <v>-2651.8</v>
      </c>
      <c r="M4" s="0" t="n">
        <v>400</v>
      </c>
      <c r="N4" s="0" t="n">
        <v>-3051.8</v>
      </c>
      <c r="O4" s="0" t="n">
        <v>5972.4</v>
      </c>
      <c r="P4" s="0" t="n">
        <v>19605.7</v>
      </c>
      <c r="Q4" s="0" t="n">
        <v>13632.7</v>
      </c>
      <c r="R4" s="0" t="n">
        <v>6746.2</v>
      </c>
      <c r="S4" s="0" t="n">
        <v>968.3</v>
      </c>
      <c r="T4" s="0" t="n">
        <v>281.8</v>
      </c>
      <c r="U4" s="0" t="n">
        <v>30.8</v>
      </c>
      <c r="AA4" s="0" t="s">
        <v>18</v>
      </c>
      <c r="AB4" s="0" t="s">
        <v>14</v>
      </c>
    </row>
    <row r="5" customFormat="false" ht="15" hidden="false" customHeight="false" outlineLevel="0" collapsed="false">
      <c r="A5" s="0" t="s">
        <v>68</v>
      </c>
      <c r="B5" s="0" t="n">
        <v>3319.8</v>
      </c>
      <c r="I5" s="0" t="n">
        <v>837.4</v>
      </c>
      <c r="J5" s="0" t="n">
        <v>25.2</v>
      </c>
      <c r="K5" s="0" t="n">
        <v>2.91</v>
      </c>
      <c r="L5" s="0" t="n">
        <v>56.5</v>
      </c>
      <c r="M5" s="0" t="n">
        <v>455.1</v>
      </c>
      <c r="N5" s="0" t="n">
        <v>-398.6</v>
      </c>
      <c r="O5" s="0" t="n">
        <v>14853.5</v>
      </c>
      <c r="P5" s="0" t="n">
        <v>31748.7</v>
      </c>
      <c r="Q5" s="0" t="n">
        <v>16756.6</v>
      </c>
      <c r="R5" s="0" t="n">
        <v>6083.7</v>
      </c>
      <c r="S5" s="0" t="n">
        <v>2447</v>
      </c>
      <c r="T5" s="0" t="n">
        <v>293.5</v>
      </c>
      <c r="U5" s="0" t="n">
        <v>31.5</v>
      </c>
      <c r="AA5" s="0" t="s">
        <v>18</v>
      </c>
      <c r="AB5" s="0" t="s">
        <v>14</v>
      </c>
    </row>
    <row r="6" customFormat="false" ht="15" hidden="false" customHeight="false" outlineLevel="0" collapsed="false">
      <c r="A6" s="0" t="s">
        <v>69</v>
      </c>
      <c r="B6" s="0" t="n">
        <v>4823.8</v>
      </c>
      <c r="I6" s="0" t="n">
        <v>-1377.3</v>
      </c>
      <c r="J6" s="0" t="n">
        <v>-28.6</v>
      </c>
      <c r="K6" s="0" t="n">
        <v>-4.4</v>
      </c>
      <c r="L6" s="0" t="n">
        <v>3606.9</v>
      </c>
      <c r="M6" s="0" t="n">
        <v>1298.7</v>
      </c>
      <c r="N6" s="0" t="n">
        <v>2308.2</v>
      </c>
      <c r="O6" s="0" t="n">
        <v>13512.1</v>
      </c>
      <c r="P6" s="0" t="n">
        <v>42056.8</v>
      </c>
      <c r="Q6" s="0" t="n">
        <v>28462.3</v>
      </c>
      <c r="R6" s="0" t="n">
        <v>8362.4</v>
      </c>
      <c r="S6" s="0" t="n">
        <v>4495.6</v>
      </c>
      <c r="T6" s="0" t="n">
        <v>308.9</v>
      </c>
      <c r="U6" s="0" t="n">
        <v>133.2</v>
      </c>
      <c r="AA6" s="0" t="s">
        <v>18</v>
      </c>
      <c r="AB6" s="0" t="s">
        <v>14</v>
      </c>
    </row>
    <row r="7" customFormat="false" ht="15" hidden="false" customHeight="false" outlineLevel="0" collapsed="false">
      <c r="A7" s="0" t="s">
        <v>70</v>
      </c>
      <c r="B7" s="0" t="n">
        <v>9588.9</v>
      </c>
      <c r="I7" s="0" t="n">
        <v>-526.4</v>
      </c>
      <c r="J7" s="0" t="n">
        <v>-5.5</v>
      </c>
      <c r="K7" s="0" t="n">
        <v>-1.67</v>
      </c>
      <c r="L7" s="0" t="n">
        <v>1683.7</v>
      </c>
      <c r="M7" s="0" t="n">
        <v>723.2</v>
      </c>
      <c r="N7" s="0" t="n">
        <v>960.5</v>
      </c>
      <c r="O7" s="0" t="n">
        <v>12893.9</v>
      </c>
      <c r="P7" s="0" t="n">
        <v>42245.4</v>
      </c>
      <c r="Q7" s="0" t="n">
        <v>29295.4</v>
      </c>
      <c r="R7" s="0" t="n">
        <v>5551.1</v>
      </c>
      <c r="S7" s="0" t="n">
        <v>1512.6</v>
      </c>
      <c r="T7" s="0" t="n">
        <v>311.9</v>
      </c>
      <c r="U7" s="0" t="n">
        <v>213.1</v>
      </c>
      <c r="AA7" s="0" t="s">
        <v>18</v>
      </c>
      <c r="AB7" s="0" t="s">
        <v>14</v>
      </c>
    </row>
    <row r="8" customFormat="false" ht="15" hidden="false" customHeight="false" outlineLevel="0" collapsed="false">
      <c r="A8" s="0" t="s">
        <v>71</v>
      </c>
      <c r="B8" s="0" t="n">
        <v>10761.1</v>
      </c>
      <c r="I8" s="0" t="n">
        <v>1600.4</v>
      </c>
      <c r="J8" s="0" t="n">
        <v>14.9</v>
      </c>
      <c r="K8" s="0" t="n">
        <v>4.74</v>
      </c>
      <c r="L8" s="0" t="n">
        <v>1647.7</v>
      </c>
      <c r="M8" s="0" t="n">
        <v>1210.3</v>
      </c>
      <c r="N8" s="0" t="n">
        <v>437.4</v>
      </c>
      <c r="O8" s="0" t="n">
        <v>14622.3</v>
      </c>
      <c r="P8" s="0" t="n">
        <v>48693.6</v>
      </c>
      <c r="Q8" s="0" t="n">
        <v>34017.6</v>
      </c>
      <c r="R8" s="0" t="n">
        <v>5519.2</v>
      </c>
      <c r="S8" s="0" t="n">
        <v>2176.4</v>
      </c>
      <c r="T8" s="0" t="n">
        <v>335.9</v>
      </c>
      <c r="U8" s="0" t="n">
        <v>251.2</v>
      </c>
      <c r="X8" s="0" t="n">
        <v>10761.1</v>
      </c>
      <c r="AA8" s="0" t="s">
        <v>18</v>
      </c>
      <c r="AB8" s="0" t="s">
        <v>14</v>
      </c>
      <c r="AC8" s="0" t="n">
        <v>1554.6</v>
      </c>
    </row>
    <row r="9" customFormat="false" ht="15" hidden="false" customHeight="false" outlineLevel="0" collapsed="false">
      <c r="A9" s="0" t="s">
        <v>72</v>
      </c>
      <c r="B9" s="0" t="n">
        <v>12049.6</v>
      </c>
      <c r="I9" s="0" t="n">
        <v>-1507.1</v>
      </c>
      <c r="J9" s="0" t="n">
        <v>-12.5</v>
      </c>
      <c r="K9" s="0" t="n">
        <v>-5.02</v>
      </c>
      <c r="L9" s="0" t="n">
        <v>-3621.4</v>
      </c>
      <c r="M9" s="0" t="n">
        <v>1271.8</v>
      </c>
      <c r="N9" s="0" t="n">
        <v>-4893.2</v>
      </c>
      <c r="O9" s="0" t="n">
        <v>11776</v>
      </c>
      <c r="P9" s="0" t="n">
        <v>54813.5</v>
      </c>
      <c r="Q9" s="0" t="n">
        <v>42986.2</v>
      </c>
      <c r="R9" s="0" t="n">
        <v>12895.9</v>
      </c>
      <c r="S9" s="0" t="n">
        <v>5227.7</v>
      </c>
      <c r="T9" s="0" t="n">
        <v>308.3</v>
      </c>
      <c r="U9" s="0" t="n">
        <v>232.7</v>
      </c>
      <c r="X9" s="0" t="n">
        <v>12049.6</v>
      </c>
      <c r="AA9" s="0" t="s">
        <v>18</v>
      </c>
      <c r="AB9" s="0" t="s">
        <v>14</v>
      </c>
      <c r="AC9" s="0" t="n">
        <v>2020.6</v>
      </c>
    </row>
    <row r="10" customFormat="false" ht="15" hidden="false" customHeight="false" outlineLevel="0" collapsed="false">
      <c r="A10" s="0" t="s">
        <v>73</v>
      </c>
      <c r="B10" s="0" t="n">
        <v>14153.8</v>
      </c>
      <c r="I10" s="0" t="n">
        <v>2339.2</v>
      </c>
      <c r="J10" s="0" t="n">
        <v>16.5</v>
      </c>
      <c r="K10" s="0" t="n">
        <v>8.48</v>
      </c>
      <c r="L10" s="0" t="n">
        <v>676.6</v>
      </c>
      <c r="M10" s="0" t="n">
        <v>1188.6</v>
      </c>
      <c r="N10" s="0" t="n">
        <v>-512</v>
      </c>
      <c r="O10" s="0" t="n">
        <v>10995</v>
      </c>
      <c r="P10" s="0" t="n">
        <v>62296.9</v>
      </c>
      <c r="Q10" s="0" t="n">
        <v>51262.1</v>
      </c>
      <c r="R10" s="0" t="n">
        <v>17582.1</v>
      </c>
      <c r="S10" s="0" t="n">
        <v>4821.7</v>
      </c>
      <c r="T10" s="0" t="n">
        <v>273.5</v>
      </c>
      <c r="U10" s="0" t="n">
        <v>297</v>
      </c>
      <c r="X10" s="0" t="n">
        <v>14153.8</v>
      </c>
      <c r="AA10" s="0" t="s">
        <v>18</v>
      </c>
      <c r="AB10" s="0" t="s">
        <v>14</v>
      </c>
      <c r="AC10" s="0" t="n">
        <v>2377.1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9.55</v>
      </c>
    </row>
    <row r="3" customFormat="false" ht="15" hidden="false" customHeight="false" outlineLevel="0" collapsed="false">
      <c r="A3" s="0" t="s">
        <v>77</v>
      </c>
      <c r="B3" s="3" t="n">
        <v>237.6</v>
      </c>
    </row>
    <row r="4" customFormat="false" ht="15" hidden="false" customHeight="false" outlineLevel="0" collapsed="false">
      <c r="A4" s="0" t="s">
        <v>78</v>
      </c>
      <c r="B4" s="3" t="n">
        <v>0</v>
      </c>
    </row>
    <row r="5" customFormat="false" ht="15" hidden="false" customHeight="false" outlineLevel="0" collapsed="false">
      <c r="A5" s="0" t="s">
        <v>79</v>
      </c>
      <c r="B5" s="3" t="n">
        <v>0</v>
      </c>
    </row>
    <row r="6" customFormat="false" ht="15" hidden="false" customHeight="false" outlineLevel="0" collapsed="false">
      <c r="A6" s="0" t="s">
        <v>80</v>
      </c>
      <c r="B6" s="3" t="n">
        <v>18</v>
      </c>
    </row>
    <row r="7" customFormat="false" ht="15" hidden="false" customHeight="false" outlineLevel="0" collapsed="false">
      <c r="A7" s="0" t="s">
        <v>81</v>
      </c>
      <c r="B7" s="3" t="n">
        <v>14153.8</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0.19149</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2</v>
      </c>
      <c r="D13" s="3" t="n">
        <v>0</v>
      </c>
      <c r="E13" s="3" t="n">
        <v>1</v>
      </c>
      <c r="F13" s="3" t="n">
        <v>2</v>
      </c>
      <c r="G13" s="3" t="n">
        <v>3</v>
      </c>
      <c r="H13" s="3" t="n">
        <v>3.5</v>
      </c>
      <c r="I13" s="3" t="n">
        <v>4</v>
      </c>
      <c r="J13" s="3" t="n">
        <v>4</v>
      </c>
      <c r="K13" s="3" t="n">
        <v>4</v>
      </c>
      <c r="L13" s="3" t="n">
        <v>4</v>
      </c>
    </row>
    <row r="14" customFormat="false" ht="15" hidden="false" customHeight="false" outlineLevel="0" collapsed="false">
      <c r="A14" s="0" t="s">
        <v>98</v>
      </c>
      <c r="C14" s="3" t="n">
        <v>26</v>
      </c>
      <c r="D14" s="3" t="n">
        <v>24.5</v>
      </c>
      <c r="E14" s="3" t="n">
        <v>24</v>
      </c>
      <c r="F14" s="3" t="n">
        <v>24.5</v>
      </c>
      <c r="G14" s="3" t="n">
        <v>25</v>
      </c>
      <c r="H14" s="3" t="n">
        <v>25</v>
      </c>
      <c r="I14" s="3" t="n">
        <v>25</v>
      </c>
      <c r="J14" s="3" t="n">
        <v>25</v>
      </c>
      <c r="K14" s="3" t="n">
        <v>25</v>
      </c>
      <c r="L14" s="3" t="n">
        <v>25</v>
      </c>
    </row>
    <row r="15" customFormat="false" ht="15" hidden="false" customHeight="false" outlineLevel="0" collapsed="false">
      <c r="A15" s="0" t="s">
        <v>99</v>
      </c>
      <c r="C15" s="3" t="n">
        <v>2.4</v>
      </c>
      <c r="D15" s="3" t="n">
        <v>2.4</v>
      </c>
      <c r="E15" s="3" t="n">
        <v>2.3</v>
      </c>
      <c r="F15" s="3" t="n">
        <v>2.3</v>
      </c>
      <c r="G15" s="3" t="n">
        <v>2.2</v>
      </c>
      <c r="H15" s="3" t="n">
        <v>2.2</v>
      </c>
      <c r="I15" s="3" t="n">
        <v>2.2</v>
      </c>
      <c r="J15" s="3" t="n">
        <v>2.2</v>
      </c>
      <c r="K15" s="3" t="n">
        <v>2.2</v>
      </c>
      <c r="L15" s="3" t="n">
        <v>2.2</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6.5</v>
      </c>
      <c r="D17" s="3" t="n">
        <v>6.6</v>
      </c>
      <c r="E17" s="3" t="n">
        <v>6.6</v>
      </c>
      <c r="F17" s="3" t="n">
        <v>6.5</v>
      </c>
      <c r="G17" s="3" t="n">
        <v>6.5</v>
      </c>
      <c r="H17" s="3" t="n">
        <v>6.5</v>
      </c>
      <c r="I17" s="3" t="n">
        <v>6.5</v>
      </c>
      <c r="J17" s="3" t="n">
        <v>6.5</v>
      </c>
      <c r="K17" s="3" t="n">
        <v>6.5</v>
      </c>
      <c r="L17" s="3" t="n">
        <v>6.5</v>
      </c>
    </row>
    <row r="18" customFormat="false" ht="15" hidden="false" customHeight="false" outlineLevel="0" collapsed="false">
      <c r="A18" s="0" t="s">
        <v>102</v>
      </c>
      <c r="C18" s="3" t="n">
        <v>7.2</v>
      </c>
      <c r="D18" s="3" t="n">
        <v>7</v>
      </c>
      <c r="E18" s="3" t="n">
        <v>6.9</v>
      </c>
      <c r="F18" s="3" t="n">
        <v>6.8</v>
      </c>
      <c r="G18" s="3" t="n">
        <v>6.8</v>
      </c>
      <c r="H18" s="3" t="n">
        <v>6.8</v>
      </c>
      <c r="I18" s="3" t="n">
        <v>6.8</v>
      </c>
      <c r="J18" s="3" t="n">
        <v>6.8</v>
      </c>
      <c r="K18" s="3" t="n">
        <v>6.8</v>
      </c>
      <c r="L18" s="3" t="n">
        <v>6.8</v>
      </c>
    </row>
    <row r="19" customFormat="false" ht="15" hidden="false" customHeight="false" outlineLevel="0" collapsed="false">
      <c r="A19" s="0" t="s">
        <v>103</v>
      </c>
      <c r="C19" s="3" t="n">
        <v>16</v>
      </c>
      <c r="D19" s="3" t="n">
        <v>17</v>
      </c>
      <c r="E19" s="3" t="n">
        <v>18</v>
      </c>
      <c r="F19" s="3" t="n">
        <v>20</v>
      </c>
      <c r="G19" s="3" t="n">
        <v>22</v>
      </c>
      <c r="H19" s="3" t="n">
        <v>22</v>
      </c>
      <c r="I19" s="3" t="n">
        <v>22</v>
      </c>
      <c r="J19" s="3" t="n">
        <v>22</v>
      </c>
      <c r="K19" s="3" t="n">
        <v>22</v>
      </c>
      <c r="L19" s="3" t="n">
        <v>22</v>
      </c>
    </row>
    <row r="20" customFormat="false" ht="15" hidden="false" customHeight="false" outlineLevel="0" collapsed="false">
      <c r="A20" s="0" t="s">
        <v>104</v>
      </c>
      <c r="B20" s="3" t="n">
        <v>17.5</v>
      </c>
    </row>
    <row r="21" customFormat="false" ht="15" hidden="false" customHeight="false" outlineLevel="0" collapsed="false">
      <c r="A21" s="0" t="s">
        <v>105</v>
      </c>
      <c r="B21" s="3" t="n">
        <v>4</v>
      </c>
    </row>
    <row r="22" customFormat="false" ht="15" hidden="false" customHeight="false" outlineLevel="0" collapsed="false">
      <c r="A22" s="0" t="s">
        <v>106</v>
      </c>
      <c r="B22" s="3" t="n">
        <v>12</v>
      </c>
    </row>
    <row r="23" customFormat="false" ht="15" hidden="false" customHeight="false" outlineLevel="0" collapsed="false">
      <c r="A23" s="0" t="s">
        <v>107</v>
      </c>
      <c r="B23" s="3" t="n">
        <v>-40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4</v>
      </c>
      <c r="D27" s="3" t="n">
        <v>7</v>
      </c>
      <c r="E27" s="3" t="n">
        <v>8</v>
      </c>
      <c r="F27" s="3" t="n">
        <v>8</v>
      </c>
      <c r="G27" s="3" t="n">
        <v>7</v>
      </c>
      <c r="H27" s="3" t="n">
        <v>6.5</v>
      </c>
      <c r="I27" s="3" t="n">
        <v>6</v>
      </c>
      <c r="J27" s="3" t="n">
        <v>5.5</v>
      </c>
      <c r="K27" s="3" t="n">
        <v>5</v>
      </c>
      <c r="L27" s="3" t="n">
        <v>5</v>
      </c>
    </row>
    <row r="28" customFormat="false" ht="15" hidden="false" customHeight="false" outlineLevel="0" collapsed="false">
      <c r="A28" s="0" t="s">
        <v>98</v>
      </c>
      <c r="C28" s="3" t="n">
        <v>28.2</v>
      </c>
      <c r="D28" s="3" t="n">
        <v>28.4</v>
      </c>
      <c r="E28" s="3" t="n">
        <v>28.6</v>
      </c>
      <c r="F28" s="3" t="n">
        <v>28.8</v>
      </c>
      <c r="G28" s="3" t="n">
        <v>29</v>
      </c>
      <c r="H28" s="3" t="n">
        <v>29</v>
      </c>
      <c r="I28" s="3" t="n">
        <v>29</v>
      </c>
      <c r="J28" s="3" t="n">
        <v>29</v>
      </c>
      <c r="K28" s="3" t="n">
        <v>29</v>
      </c>
      <c r="L28" s="3" t="n">
        <v>29</v>
      </c>
    </row>
    <row r="29" customFormat="false" ht="15" hidden="false" customHeight="false" outlineLevel="0" collapsed="false">
      <c r="A29" s="0" t="s">
        <v>99</v>
      </c>
      <c r="C29" s="3" t="n">
        <v>2.2</v>
      </c>
      <c r="D29" s="3" t="n">
        <v>2.1</v>
      </c>
      <c r="E29" s="3" t="n">
        <v>2</v>
      </c>
      <c r="F29" s="3" t="n">
        <v>2</v>
      </c>
      <c r="G29" s="3" t="n">
        <v>1.9</v>
      </c>
      <c r="H29" s="3" t="n">
        <v>1.9</v>
      </c>
      <c r="I29" s="3" t="n">
        <v>1.8</v>
      </c>
      <c r="J29" s="3" t="n">
        <v>1.8</v>
      </c>
      <c r="K29" s="3" t="n">
        <v>1.8</v>
      </c>
      <c r="L29" s="3" t="n">
        <v>1.8</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6.4</v>
      </c>
      <c r="D31" s="3" t="n">
        <v>6.3</v>
      </c>
      <c r="E31" s="3" t="n">
        <v>6.2</v>
      </c>
      <c r="F31" s="3" t="n">
        <v>6.1</v>
      </c>
      <c r="G31" s="3" t="n">
        <v>6</v>
      </c>
      <c r="H31" s="3" t="n">
        <v>6</v>
      </c>
      <c r="I31" s="3" t="n">
        <v>6</v>
      </c>
      <c r="J31" s="3" t="n">
        <v>6</v>
      </c>
      <c r="K31" s="3" t="n">
        <v>6</v>
      </c>
      <c r="L31" s="3" t="n">
        <v>6</v>
      </c>
    </row>
    <row r="32" customFormat="false" ht="15" hidden="false" customHeight="false" outlineLevel="0" collapsed="false">
      <c r="A32" s="0" t="s">
        <v>102</v>
      </c>
      <c r="C32" s="3" t="n">
        <v>7.2</v>
      </c>
      <c r="D32" s="3" t="n">
        <v>7</v>
      </c>
      <c r="E32" s="3" t="n">
        <v>6.8</v>
      </c>
      <c r="F32" s="3" t="n">
        <v>6.6</v>
      </c>
      <c r="G32" s="3" t="n">
        <v>6.5</v>
      </c>
      <c r="H32" s="3" t="n">
        <v>6.4</v>
      </c>
      <c r="I32" s="3" t="n">
        <v>6.3</v>
      </c>
      <c r="J32" s="3" t="n">
        <v>6.2</v>
      </c>
      <c r="K32" s="3" t="n">
        <v>6.2</v>
      </c>
      <c r="L32" s="3" t="n">
        <v>6.2</v>
      </c>
    </row>
    <row r="33" customFormat="false" ht="15" hidden="false" customHeight="false" outlineLevel="0" collapsed="false">
      <c r="A33" s="0" t="s">
        <v>103</v>
      </c>
      <c r="C33" s="3" t="n">
        <v>15.5</v>
      </c>
      <c r="D33" s="3" t="n">
        <v>16</v>
      </c>
      <c r="E33" s="3" t="n">
        <v>17</v>
      </c>
      <c r="F33" s="3" t="n">
        <v>18</v>
      </c>
      <c r="G33" s="3" t="n">
        <v>19</v>
      </c>
      <c r="H33" s="3" t="n">
        <v>20</v>
      </c>
      <c r="I33" s="3" t="n">
        <v>20</v>
      </c>
      <c r="J33" s="3" t="n">
        <v>20</v>
      </c>
      <c r="K33" s="3" t="n">
        <v>20</v>
      </c>
      <c r="L33" s="3" t="n">
        <v>20</v>
      </c>
    </row>
    <row r="34" customFormat="false" ht="15" hidden="false" customHeight="false" outlineLevel="0" collapsed="false">
      <c r="A34" s="0" t="s">
        <v>104</v>
      </c>
      <c r="B34" s="3" t="n">
        <v>17.5</v>
      </c>
    </row>
    <row r="35" customFormat="false" ht="15" hidden="false" customHeight="false" outlineLevel="0" collapsed="false">
      <c r="A35" s="0" t="s">
        <v>105</v>
      </c>
      <c r="B35" s="3" t="n">
        <v>5</v>
      </c>
    </row>
    <row r="36" customFormat="false" ht="15" hidden="false" customHeight="false" outlineLevel="0" collapsed="false">
      <c r="A36" s="0" t="s">
        <v>106</v>
      </c>
      <c r="B36" s="3" t="n">
        <v>12</v>
      </c>
    </row>
    <row r="37" customFormat="false" ht="15" hidden="false" customHeight="false" outlineLevel="0" collapsed="false">
      <c r="A37" s="0" t="s">
        <v>107</v>
      </c>
      <c r="B37" s="3" t="n">
        <v>-40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5</v>
      </c>
      <c r="D41" s="3" t="n">
        <v>10</v>
      </c>
      <c r="E41" s="3" t="n">
        <v>11</v>
      </c>
      <c r="F41" s="3" t="n">
        <v>10</v>
      </c>
      <c r="G41" s="3" t="n">
        <v>9</v>
      </c>
      <c r="H41" s="3" t="n">
        <v>8</v>
      </c>
      <c r="I41" s="3" t="n">
        <v>7</v>
      </c>
      <c r="J41" s="3" t="n">
        <v>6.5</v>
      </c>
      <c r="K41" s="3" t="n">
        <v>6</v>
      </c>
      <c r="L41" s="3" t="n">
        <v>5.5</v>
      </c>
    </row>
    <row r="42" customFormat="false" ht="15" hidden="false" customHeight="false" outlineLevel="0" collapsed="false">
      <c r="A42" s="0" t="s">
        <v>98</v>
      </c>
      <c r="C42" s="3" t="n">
        <v>28.8</v>
      </c>
      <c r="D42" s="3" t="n">
        <v>29.5</v>
      </c>
      <c r="E42" s="3" t="n">
        <v>30</v>
      </c>
      <c r="F42" s="3" t="n">
        <v>30.5</v>
      </c>
      <c r="G42" s="3" t="n">
        <v>31</v>
      </c>
      <c r="H42" s="3" t="n">
        <v>31</v>
      </c>
      <c r="I42" s="3" t="n">
        <v>31</v>
      </c>
      <c r="J42" s="3" t="n">
        <v>31</v>
      </c>
      <c r="K42" s="3" t="n">
        <v>31</v>
      </c>
      <c r="L42" s="3" t="n">
        <v>31</v>
      </c>
    </row>
    <row r="43" customFormat="false" ht="15" hidden="false" customHeight="false" outlineLevel="0" collapsed="false">
      <c r="A43" s="0" t="s">
        <v>99</v>
      </c>
      <c r="C43" s="3" t="n">
        <v>2.2</v>
      </c>
      <c r="D43" s="3" t="n">
        <v>2.1</v>
      </c>
      <c r="E43" s="3" t="n">
        <v>2</v>
      </c>
      <c r="F43" s="3" t="n">
        <v>2</v>
      </c>
      <c r="G43" s="3" t="n">
        <v>1.9</v>
      </c>
      <c r="H43" s="3" t="n">
        <v>1.9</v>
      </c>
      <c r="I43" s="3" t="n">
        <v>1.8</v>
      </c>
      <c r="J43" s="3" t="n">
        <v>1.8</v>
      </c>
      <c r="K43" s="3" t="n">
        <v>1.8</v>
      </c>
      <c r="L43" s="3" t="n">
        <v>1.8</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6.4</v>
      </c>
      <c r="D45" s="3" t="n">
        <v>6.3</v>
      </c>
      <c r="E45" s="3" t="n">
        <v>6.2</v>
      </c>
      <c r="F45" s="3" t="n">
        <v>6.1</v>
      </c>
      <c r="G45" s="3" t="n">
        <v>6</v>
      </c>
      <c r="H45" s="3" t="n">
        <v>6</v>
      </c>
      <c r="I45" s="3" t="n">
        <v>6</v>
      </c>
      <c r="J45" s="3" t="n">
        <v>6</v>
      </c>
      <c r="K45" s="3" t="n">
        <v>6</v>
      </c>
      <c r="L45" s="3" t="n">
        <v>6</v>
      </c>
    </row>
    <row r="46" customFormat="false" ht="15" hidden="false" customHeight="false" outlineLevel="0" collapsed="false">
      <c r="A46" s="0" t="s">
        <v>102</v>
      </c>
      <c r="C46" s="3" t="n">
        <v>7.2</v>
      </c>
      <c r="D46" s="3" t="n">
        <v>7</v>
      </c>
      <c r="E46" s="3" t="n">
        <v>6.8</v>
      </c>
      <c r="F46" s="3" t="n">
        <v>6.6</v>
      </c>
      <c r="G46" s="3" t="n">
        <v>6.5</v>
      </c>
      <c r="H46" s="3" t="n">
        <v>6.4</v>
      </c>
      <c r="I46" s="3" t="n">
        <v>6.3</v>
      </c>
      <c r="J46" s="3" t="n">
        <v>6.2</v>
      </c>
      <c r="K46" s="3" t="n">
        <v>6.2</v>
      </c>
      <c r="L46" s="3" t="n">
        <v>6.2</v>
      </c>
    </row>
    <row r="47" customFormat="false" ht="15" hidden="false" customHeight="false" outlineLevel="0" collapsed="false">
      <c r="A47" s="0" t="s">
        <v>103</v>
      </c>
      <c r="C47" s="3" t="n">
        <v>15.5</v>
      </c>
      <c r="D47" s="3" t="n">
        <v>15.5</v>
      </c>
      <c r="E47" s="3" t="n">
        <v>16</v>
      </c>
      <c r="F47" s="3" t="n">
        <v>16.5</v>
      </c>
      <c r="G47" s="3" t="n">
        <v>17</v>
      </c>
      <c r="H47" s="3" t="n">
        <v>17.5</v>
      </c>
      <c r="I47" s="3" t="n">
        <v>18</v>
      </c>
      <c r="J47" s="3" t="n">
        <v>18</v>
      </c>
      <c r="K47" s="3" t="n">
        <v>18</v>
      </c>
      <c r="L47" s="3" t="n">
        <v>18</v>
      </c>
    </row>
    <row r="48" customFormat="false" ht="15" hidden="false" customHeight="false" outlineLevel="0" collapsed="false">
      <c r="A48" s="0" t="s">
        <v>104</v>
      </c>
      <c r="B48" s="3" t="n">
        <v>17.5</v>
      </c>
    </row>
    <row r="49" customFormat="false" ht="15" hidden="false" customHeight="false" outlineLevel="0" collapsed="false">
      <c r="A49" s="0" t="s">
        <v>105</v>
      </c>
      <c r="B49" s="3" t="n">
        <v>5</v>
      </c>
    </row>
    <row r="50" customFormat="false" ht="15" hidden="false" customHeight="false" outlineLevel="0" collapsed="false">
      <c r="A50" s="0" t="s">
        <v>106</v>
      </c>
      <c r="B50" s="3" t="n">
        <v>12</v>
      </c>
    </row>
    <row r="51" customFormat="false" ht="15" hidden="false" customHeight="false" outlineLevel="0" collapsed="false">
      <c r="A51" s="0" t="s">
        <v>107</v>
      </c>
      <c r="B51" s="3" t="n">
        <v>-40</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2</v>
      </c>
      <c r="D5" s="4" t="n">
        <f aca="false">Assumptions!D13</f>
        <v>0</v>
      </c>
      <c r="E5" s="4" t="n">
        <f aca="false">Assumptions!E13</f>
        <v>1</v>
      </c>
      <c r="F5" s="4" t="n">
        <f aca="false">Assumptions!F13</f>
        <v>2</v>
      </c>
      <c r="G5" s="4" t="n">
        <f aca="false">Assumptions!G13</f>
        <v>3</v>
      </c>
      <c r="H5" s="4" t="n">
        <f aca="false">Assumptions!H13</f>
        <v>3.5</v>
      </c>
      <c r="I5" s="4" t="n">
        <f aca="false">Assumptions!I13</f>
        <v>4</v>
      </c>
      <c r="J5" s="4" t="n">
        <f aca="false">Assumptions!J13</f>
        <v>4</v>
      </c>
      <c r="K5" s="4" t="n">
        <f aca="false">Assumptions!K13</f>
        <v>4</v>
      </c>
      <c r="L5" s="4" t="n">
        <f aca="false">Assumptions!L13</f>
        <v>4</v>
      </c>
    </row>
    <row r="6" customFormat="false" ht="15" hidden="false" customHeight="false" outlineLevel="0" collapsed="false">
      <c r="A6" s="0" t="s">
        <v>38</v>
      </c>
      <c r="B6" s="3" t="n">
        <v>14153.8</v>
      </c>
      <c r="C6" s="0" t="n">
        <f aca="false">B6*(1+C5/100)</f>
        <v>14436.876</v>
      </c>
      <c r="D6" s="0" t="n">
        <f aca="false">C6*(1+D5/100)</f>
        <v>14436.876</v>
      </c>
      <c r="E6" s="0" t="n">
        <f aca="false">D6*(1+E5/100)</f>
        <v>14581.24476</v>
      </c>
      <c r="F6" s="0" t="n">
        <f aca="false">E6*(1+F5/100)</f>
        <v>14872.8696552</v>
      </c>
      <c r="G6" s="0" t="n">
        <f aca="false">F6*(1+G5/100)</f>
        <v>15319.055744856</v>
      </c>
      <c r="H6" s="0" t="n">
        <f aca="false">G6*(1+H5/100)</f>
        <v>15855.222695926</v>
      </c>
      <c r="I6" s="0" t="n">
        <f aca="false">H6*(1+I5/100)</f>
        <v>16489.431603763</v>
      </c>
      <c r="J6" s="0" t="n">
        <f aca="false">I6*(1+J5/100)</f>
        <v>17149.0088679135</v>
      </c>
      <c r="K6" s="0" t="n">
        <f aca="false">J6*(1+K5/100)</f>
        <v>17834.9692226301</v>
      </c>
      <c r="L6" s="0" t="n">
        <f aca="false">K6*(1+L5/100)</f>
        <v>18548.3679915353</v>
      </c>
    </row>
    <row r="7" customFormat="false" ht="15" hidden="false" customHeight="false" outlineLevel="0" collapsed="false">
      <c r="A7" s="0" t="s">
        <v>98</v>
      </c>
      <c r="C7" s="4" t="n">
        <f aca="false">Assumptions!C14</f>
        <v>26</v>
      </c>
      <c r="D7" s="4" t="n">
        <f aca="false">Assumptions!D14</f>
        <v>24.5</v>
      </c>
      <c r="E7" s="4" t="n">
        <f aca="false">Assumptions!E14</f>
        <v>24</v>
      </c>
      <c r="F7" s="4" t="n">
        <f aca="false">Assumptions!F14</f>
        <v>24.5</v>
      </c>
      <c r="G7" s="4" t="n">
        <f aca="false">Assumptions!G14</f>
        <v>25</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44</v>
      </c>
      <c r="C8" s="0" t="n">
        <f aca="false">C6*C7/100</f>
        <v>3753.58776</v>
      </c>
      <c r="D8" s="0" t="n">
        <f aca="false">D6*D7/100</f>
        <v>3537.03462</v>
      </c>
      <c r="E8" s="0" t="n">
        <f aca="false">E6*E7/100</f>
        <v>3499.4987424</v>
      </c>
      <c r="F8" s="0" t="n">
        <f aca="false">F6*F7/100</f>
        <v>3643.853065524</v>
      </c>
      <c r="G8" s="0" t="n">
        <f aca="false">G6*G7/100</f>
        <v>3829.763936214</v>
      </c>
      <c r="H8" s="0" t="n">
        <f aca="false">H6*H7/100</f>
        <v>3963.80567398149</v>
      </c>
      <c r="I8" s="0" t="n">
        <f aca="false">I6*I7/100</f>
        <v>4122.35790094075</v>
      </c>
      <c r="J8" s="0" t="n">
        <f aca="false">J6*J7/100</f>
        <v>4287.25221697838</v>
      </c>
      <c r="K8" s="0" t="n">
        <f aca="false">K6*K7/100</f>
        <v>4458.74230565752</v>
      </c>
      <c r="L8" s="0" t="n">
        <f aca="false">L6*L7/100</f>
        <v>4637.09199788382</v>
      </c>
    </row>
    <row r="9" customFormat="false" ht="15" hidden="false" customHeight="false" outlineLevel="0" collapsed="false">
      <c r="A9" s="0" t="s">
        <v>99</v>
      </c>
      <c r="C9" s="4" t="n">
        <f aca="false">Assumptions!C15</f>
        <v>2.4</v>
      </c>
      <c r="D9" s="4" t="n">
        <f aca="false">Assumptions!D15</f>
        <v>2.4</v>
      </c>
      <c r="E9" s="4" t="n">
        <f aca="false">Assumptions!E15</f>
        <v>2.3</v>
      </c>
      <c r="F9" s="4" t="n">
        <f aca="false">Assumptions!F15</f>
        <v>2.3</v>
      </c>
      <c r="G9" s="4" t="n">
        <f aca="false">Assumptions!G15</f>
        <v>2.2</v>
      </c>
      <c r="H9" s="4" t="n">
        <f aca="false">Assumptions!H15</f>
        <v>2.2</v>
      </c>
      <c r="I9" s="4" t="n">
        <f aca="false">Assumptions!I15</f>
        <v>2.2</v>
      </c>
      <c r="J9" s="4" t="n">
        <f aca="false">Assumptions!J15</f>
        <v>2.2</v>
      </c>
      <c r="K9" s="4" t="n">
        <f aca="false">Assumptions!K15</f>
        <v>2.2</v>
      </c>
      <c r="L9" s="4" t="n">
        <f aca="false">Assumptions!L15</f>
        <v>2.2</v>
      </c>
    </row>
    <row r="10" customFormat="false" ht="15" hidden="false" customHeight="false" outlineLevel="0" collapsed="false">
      <c r="A10" s="0" t="s">
        <v>114</v>
      </c>
      <c r="C10" s="0" t="n">
        <f aca="false">-C6*C9/100</f>
        <v>-346.485024</v>
      </c>
      <c r="D10" s="0" t="n">
        <f aca="false">-D6*D9/100</f>
        <v>-346.485024</v>
      </c>
      <c r="E10" s="0" t="n">
        <f aca="false">-E6*E9/100</f>
        <v>-335.36862948</v>
      </c>
      <c r="F10" s="0" t="n">
        <f aca="false">-F6*F9/100</f>
        <v>-342.0760020696</v>
      </c>
      <c r="G10" s="0" t="n">
        <f aca="false">-G6*G9/100</f>
        <v>-337.019226386832</v>
      </c>
      <c r="H10" s="0" t="n">
        <f aca="false">-H6*H9/100</f>
        <v>-348.814899310371</v>
      </c>
      <c r="I10" s="0" t="n">
        <f aca="false">-I6*I9/100</f>
        <v>-362.767495282786</v>
      </c>
      <c r="J10" s="0" t="n">
        <f aca="false">-J6*J9/100</f>
        <v>-377.278195094097</v>
      </c>
      <c r="K10" s="0" t="n">
        <f aca="false">-K6*K9/100</f>
        <v>-392.369322897861</v>
      </c>
      <c r="L10" s="0" t="n">
        <f aca="false">-L6*L9/100</f>
        <v>-408.064095813776</v>
      </c>
    </row>
    <row r="11" customFormat="false" ht="15" hidden="false" customHeight="false" outlineLevel="0" collapsed="false">
      <c r="A11" s="0" t="s">
        <v>115</v>
      </c>
      <c r="C11" s="0" t="n">
        <f aca="false">C8+C10+C24</f>
        <v>3407.102736</v>
      </c>
      <c r="D11" s="0" t="n">
        <f aca="false">D8+D10+D24</f>
        <v>3190.549596</v>
      </c>
      <c r="E11" s="0" t="n">
        <f aca="false">E8+E10+E24</f>
        <v>3164.13011292</v>
      </c>
      <c r="F11" s="0" t="n">
        <f aca="false">F8+F10+F24</f>
        <v>3301.7770634544</v>
      </c>
      <c r="G11" s="0" t="n">
        <f aca="false">G8+G10+G24</f>
        <v>3492.74470982717</v>
      </c>
      <c r="H11" s="0" t="n">
        <f aca="false">H8+H10+H24</f>
        <v>3614.99077467112</v>
      </c>
      <c r="I11" s="0" t="n">
        <f aca="false">I8+I10+I24</f>
        <v>3759.59040565796</v>
      </c>
      <c r="J11" s="0" t="n">
        <f aca="false">J8+J10+J24</f>
        <v>3909.97402188428</v>
      </c>
      <c r="K11" s="0" t="n">
        <f aca="false">K8+K10+K24</f>
        <v>4066.37298275965</v>
      </c>
      <c r="L11" s="0" t="n">
        <f aca="false">L8+L10+L24</f>
        <v>4229.02790207004</v>
      </c>
    </row>
    <row r="12" customFormat="false" ht="15" hidden="false" customHeight="false" outlineLevel="0" collapsed="false">
      <c r="A12" s="0" t="s">
        <v>116</v>
      </c>
      <c r="C12" s="4" t="n">
        <f aca="false">-C6*Assumptions!C17/100</f>
        <v>-938.39694</v>
      </c>
      <c r="D12" s="4" t="n">
        <f aca="false">-D6*Assumptions!D17/100</f>
        <v>-952.833816</v>
      </c>
      <c r="E12" s="4" t="n">
        <f aca="false">-E6*Assumptions!E17/100</f>
        <v>-962.36215416</v>
      </c>
      <c r="F12" s="4" t="n">
        <f aca="false">-F6*Assumptions!F17/100</f>
        <v>-966.736527588</v>
      </c>
      <c r="G12" s="4" t="n">
        <f aca="false">-G6*Assumptions!G17/100</f>
        <v>-995.73862341564</v>
      </c>
      <c r="H12" s="4" t="n">
        <f aca="false">-H6*Assumptions!H17/100</f>
        <v>-1030.58947523519</v>
      </c>
      <c r="I12" s="4" t="n">
        <f aca="false">-I6*Assumptions!I17/100</f>
        <v>-1071.8130542446</v>
      </c>
      <c r="J12" s="4" t="n">
        <f aca="false">-J6*Assumptions!J17/100</f>
        <v>-1114.68557641438</v>
      </c>
      <c r="K12" s="4" t="n">
        <f aca="false">-K6*Assumptions!K17/100</f>
        <v>-1159.27299947095</v>
      </c>
      <c r="L12" s="4" t="n">
        <f aca="false">-L6*Assumptions!L17/100</f>
        <v>-1205.64391944979</v>
      </c>
    </row>
    <row r="13" customFormat="false" ht="15" hidden="false" customHeight="false" outlineLevel="0" collapsed="false">
      <c r="A13" s="0" t="s">
        <v>117</v>
      </c>
      <c r="C13" s="0" t="n">
        <f aca="false">C11+C12</f>
        <v>2468.705796</v>
      </c>
      <c r="D13" s="0" t="n">
        <f aca="false">D11+D12</f>
        <v>2237.71578</v>
      </c>
      <c r="E13" s="0" t="n">
        <f aca="false">E11+E12</f>
        <v>2201.76795876</v>
      </c>
      <c r="F13" s="0" t="n">
        <f aca="false">F11+F12</f>
        <v>2335.0405358664</v>
      </c>
      <c r="G13" s="0" t="n">
        <f aca="false">G11+G12</f>
        <v>2497.00608641153</v>
      </c>
      <c r="H13" s="0" t="n">
        <f aca="false">H11+H12</f>
        <v>2584.40129943593</v>
      </c>
      <c r="I13" s="0" t="n">
        <f aca="false">I11+I12</f>
        <v>2687.77735141337</v>
      </c>
      <c r="J13" s="0" t="n">
        <f aca="false">J11+J12</f>
        <v>2795.2884454699</v>
      </c>
      <c r="K13" s="0" t="n">
        <f aca="false">K11+K12</f>
        <v>2907.0999832887</v>
      </c>
      <c r="L13" s="0" t="n">
        <f aca="false">L11+L12</f>
        <v>3023.38398262025</v>
      </c>
    </row>
    <row r="14" customFormat="false" ht="15" hidden="false" customHeight="false" outlineLevel="0" collapsed="false">
      <c r="A14" s="0" t="s">
        <v>103</v>
      </c>
      <c r="C14" s="4" t="n">
        <f aca="false">Assumptions!C19</f>
        <v>16</v>
      </c>
      <c r="D14" s="4" t="n">
        <f aca="false">Assumptions!D19</f>
        <v>17</v>
      </c>
      <c r="E14" s="4" t="n">
        <f aca="false">Assumptions!E19</f>
        <v>18</v>
      </c>
      <c r="F14" s="4" t="n">
        <f aca="false">Assumptions!F19</f>
        <v>20</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118</v>
      </c>
      <c r="C15" s="0" t="n">
        <f aca="false">C13-MAX(0,C13)*C14/100</f>
        <v>2073.71286864</v>
      </c>
      <c r="D15" s="0" t="n">
        <f aca="false">D13-MAX(0,D13)*D14/100</f>
        <v>1857.3040974</v>
      </c>
      <c r="E15" s="0" t="n">
        <f aca="false">E13-MAX(0,E13)*E14/100</f>
        <v>1805.4497261832</v>
      </c>
      <c r="F15" s="0" t="n">
        <f aca="false">F13-MAX(0,F13)*F14/100</f>
        <v>1868.03242869312</v>
      </c>
      <c r="G15" s="0" t="n">
        <f aca="false">G13-MAX(0,G13)*G14/100</f>
        <v>1947.66474740099</v>
      </c>
      <c r="H15" s="0" t="n">
        <f aca="false">H13-MAX(0,H13)*H14/100</f>
        <v>2015.83301356003</v>
      </c>
      <c r="I15" s="0" t="n">
        <f aca="false">I13-MAX(0,I13)*I14/100</f>
        <v>2096.46633410243</v>
      </c>
      <c r="J15" s="0" t="n">
        <f aca="false">J13-MAX(0,J13)*J14/100</f>
        <v>2180.32498746652</v>
      </c>
      <c r="K15" s="0" t="n">
        <f aca="false">K13-MAX(0,K13)*K14/100</f>
        <v>2267.53798696519</v>
      </c>
      <c r="L15" s="0" t="n">
        <f aca="false">L13-MAX(0,L13)*L14/100</f>
        <v>2358.23950644379</v>
      </c>
    </row>
    <row r="16" customFormat="false" ht="15" hidden="false" customHeight="false" outlineLevel="0" collapsed="false">
      <c r="A16" s="0" t="s">
        <v>119</v>
      </c>
      <c r="C16" s="0" t="n">
        <f aca="false">-C12</f>
        <v>938.39694</v>
      </c>
      <c r="D16" s="0" t="n">
        <f aca="false">-D12</f>
        <v>952.833816</v>
      </c>
      <c r="E16" s="0" t="n">
        <f aca="false">-E12</f>
        <v>962.36215416</v>
      </c>
      <c r="F16" s="0" t="n">
        <f aca="false">-F12</f>
        <v>966.736527588</v>
      </c>
      <c r="G16" s="0" t="n">
        <f aca="false">-G12</f>
        <v>995.73862341564</v>
      </c>
      <c r="H16" s="0" t="n">
        <f aca="false">-H12</f>
        <v>1030.58947523519</v>
      </c>
      <c r="I16" s="0" t="n">
        <f aca="false">-I12</f>
        <v>1071.8130542446</v>
      </c>
      <c r="J16" s="0" t="n">
        <f aca="false">-J12</f>
        <v>1114.68557641438</v>
      </c>
      <c r="K16" s="0" t="n">
        <f aca="false">-K12</f>
        <v>1159.27299947095</v>
      </c>
      <c r="L16" s="0" t="n">
        <f aca="false">-L12</f>
        <v>1205.64391944979</v>
      </c>
    </row>
    <row r="17" customFormat="false" ht="15" hidden="false" customHeight="false" outlineLevel="0" collapsed="false">
      <c r="A17" s="0" t="s">
        <v>120</v>
      </c>
      <c r="C17" s="4" t="n">
        <f aca="false">-C6*Assumptions!C18/100</f>
        <v>-1039.455072</v>
      </c>
      <c r="D17" s="4" t="n">
        <f aca="false">-D6*Assumptions!D18/100</f>
        <v>-1010.58132</v>
      </c>
      <c r="E17" s="4" t="n">
        <f aca="false">-E6*Assumptions!E18/100</f>
        <v>-1006.10588844</v>
      </c>
      <c r="F17" s="4" t="n">
        <f aca="false">-F6*Assumptions!F18/100</f>
        <v>-1011.3551365536</v>
      </c>
      <c r="G17" s="4" t="n">
        <f aca="false">-G6*Assumptions!G18/100</f>
        <v>-1041.69579065021</v>
      </c>
      <c r="H17" s="4" t="n">
        <f aca="false">-H6*Assumptions!H18/100</f>
        <v>-1078.15514332297</v>
      </c>
      <c r="I17" s="4" t="n">
        <f aca="false">-I6*Assumptions!I18/100</f>
        <v>-1121.28134905588</v>
      </c>
      <c r="J17" s="4" t="n">
        <f aca="false">-J6*Assumptions!J18/100</f>
        <v>-1166.13260301812</v>
      </c>
      <c r="K17" s="4" t="n">
        <f aca="false">-K6*Assumptions!K18/100</f>
        <v>-1212.77790713884</v>
      </c>
      <c r="L17" s="4" t="n">
        <f aca="false">-L6*Assumptions!L18/100</f>
        <v>-1261.2890234244</v>
      </c>
    </row>
    <row r="18" customFormat="false" ht="15" hidden="false" customHeight="false" outlineLevel="0" collapsed="false">
      <c r="A18" s="0" t="s">
        <v>121</v>
      </c>
      <c r="C18" s="4" t="n">
        <f aca="false">(C6-B6)*Assumptions!$B$23/100</f>
        <v>-113.2304</v>
      </c>
      <c r="D18" s="4" t="n">
        <f aca="false">(D6-C6)*Assumptions!$B$23/100</f>
        <v>-0</v>
      </c>
      <c r="E18" s="4" t="n">
        <f aca="false">(E6-D6)*Assumptions!$B$23/100</f>
        <v>-57.7475039999998</v>
      </c>
      <c r="F18" s="4" t="n">
        <f aca="false">(F6-E6)*Assumptions!$B$23/100</f>
        <v>-116.64995808</v>
      </c>
      <c r="G18" s="4" t="n">
        <f aca="false">(G6-F6)*Assumptions!$B$23/100</f>
        <v>-178.4744358624</v>
      </c>
      <c r="H18" s="4" t="n">
        <f aca="false">(H6-G6)*Assumptions!$B$23/100</f>
        <v>-214.466780427984</v>
      </c>
      <c r="I18" s="4" t="n">
        <f aca="false">(I6-H6)*Assumptions!$B$23/100</f>
        <v>-253.683563134815</v>
      </c>
      <c r="J18" s="4" t="n">
        <f aca="false">(J6-I6)*Assumptions!$B$23/100</f>
        <v>-263.830905660208</v>
      </c>
      <c r="K18" s="4" t="n">
        <f aca="false">(K6-J6)*Assumptions!$B$23/100</f>
        <v>-274.384141886617</v>
      </c>
      <c r="L18" s="4" t="n">
        <f aca="false">(L6-K6)*Assumptions!$B$23/100</f>
        <v>-285.359507562082</v>
      </c>
    </row>
    <row r="19" customFormat="false" ht="15" hidden="false" customHeight="false" outlineLevel="0" collapsed="false">
      <c r="A19" s="0" t="s">
        <v>122</v>
      </c>
      <c r="C19" s="0" t="n">
        <f aca="false">C15+C16+C17+C18</f>
        <v>1859.42433664</v>
      </c>
      <c r="D19" s="0" t="n">
        <f aca="false">D15+D16+D17+D18</f>
        <v>1799.5565934</v>
      </c>
      <c r="E19" s="0" t="n">
        <f aca="false">E15+E16+E17+E18</f>
        <v>1703.9584879032</v>
      </c>
      <c r="F19" s="0" t="n">
        <f aca="false">F15+F16+F17+F18</f>
        <v>1706.76386164752</v>
      </c>
      <c r="G19" s="0" t="n">
        <f aca="false">G15+G16+G17+G18</f>
        <v>1723.23314430402</v>
      </c>
      <c r="H19" s="0" t="n">
        <f aca="false">H15+H16+H17+H18</f>
        <v>1753.80056504426</v>
      </c>
      <c r="I19" s="0" t="n">
        <f aca="false">I15+I16+I17+I18</f>
        <v>1793.31447615632</v>
      </c>
      <c r="J19" s="0" t="n">
        <f aca="false">J15+J16+J17+J18</f>
        <v>1865.04705520258</v>
      </c>
      <c r="K19" s="0" t="n">
        <f aca="false">K15+K16+K17+K18</f>
        <v>1939.64893741068</v>
      </c>
      <c r="L19" s="0" t="n">
        <f aca="false">L15+L16+L17+L18</f>
        <v>2017.23489490711</v>
      </c>
    </row>
    <row r="20" customFormat="false" ht="15" hidden="false" customHeight="false" outlineLevel="0" collapsed="false">
      <c r="A20" s="0" t="s">
        <v>123</v>
      </c>
      <c r="C20" s="0" t="n">
        <f aca="false">1/(1+$B$27/100)^C4</f>
        <v>0.851063829787234</v>
      </c>
      <c r="D20" s="0" t="n">
        <f aca="false">1/(1+$B$27/100)^D4</f>
        <v>0.724309642372114</v>
      </c>
      <c r="E20" s="0" t="n">
        <f aca="false">1/(1+$B$27/100)^E4</f>
        <v>0.616433738189033</v>
      </c>
      <c r="F20" s="0" t="n">
        <f aca="false">1/(1+$B$27/100)^F4</f>
        <v>0.52462445803322</v>
      </c>
      <c r="G20" s="0" t="n">
        <f aca="false">1/(1+$B$27/100)^G4</f>
        <v>0.446488900453804</v>
      </c>
      <c r="H20" s="0" t="n">
        <f aca="false">1/(1+$B$27/100)^H4</f>
        <v>0.379990553577706</v>
      </c>
      <c r="I20" s="0" t="n">
        <f aca="false">1/(1+$B$27/100)^I4</f>
        <v>0.323396215810813</v>
      </c>
      <c r="J20" s="0" t="n">
        <f aca="false">1/(1+$B$27/100)^J4</f>
        <v>0.27523082196665</v>
      </c>
      <c r="K20" s="0" t="n">
        <f aca="false">1/(1+$B$27/100)^K4</f>
        <v>0.234238997418425</v>
      </c>
      <c r="L20" s="0" t="n">
        <f aca="false">1/(1+$B$27/100)^L4</f>
        <v>0.199352338228447</v>
      </c>
    </row>
    <row r="21" customFormat="false" ht="15" hidden="false" customHeight="false" outlineLevel="0" collapsed="false">
      <c r="A21" s="0" t="s">
        <v>124</v>
      </c>
      <c r="C21" s="0" t="n">
        <f aca="false">C19*C20</f>
        <v>1582.48879714043</v>
      </c>
      <c r="D21" s="0" t="n">
        <f aca="false">D19*D20</f>
        <v>1303.43619259393</v>
      </c>
      <c r="E21" s="0" t="n">
        <f aca="false">E19*E20</f>
        <v>1050.3775004171</v>
      </c>
      <c r="F21" s="0" t="n">
        <f aca="false">F19*F20</f>
        <v>895.410065907515</v>
      </c>
      <c r="G21" s="0" t="n">
        <f aca="false">G19*G20</f>
        <v>769.404471825855</v>
      </c>
      <c r="H21" s="0" t="n">
        <f aca="false">H19*H20</f>
        <v>666.427647576063</v>
      </c>
      <c r="I21" s="0" t="n">
        <f aca="false">I19*I20</f>
        <v>579.951115347706</v>
      </c>
      <c r="J21" s="0" t="n">
        <f aca="false">J19*J20</f>
        <v>513.318434009884</v>
      </c>
      <c r="K21" s="0" t="n">
        <f aca="false">K19*K20</f>
        <v>454.341422442791</v>
      </c>
      <c r="L21" s="0" t="n">
        <f aca="false">L19*L20</f>
        <v>402.140493055747</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17.5</v>
      </c>
    </row>
    <row r="28" customFormat="false" ht="15" hidden="false" customHeight="false" outlineLevel="0" collapsed="false">
      <c r="A28" s="0" t="s">
        <v>105</v>
      </c>
      <c r="B28" s="4" t="n">
        <f aca="false">Assumptions!$B$21</f>
        <v>4</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8217.29614031702</v>
      </c>
    </row>
    <row r="31" customFormat="false" ht="15" hidden="false" customHeight="false" outlineLevel="0" collapsed="false">
      <c r="A31" s="0" t="s">
        <v>128</v>
      </c>
      <c r="B31" s="0" t="n">
        <f aca="false">L19</f>
        <v>2017.23489490711</v>
      </c>
    </row>
    <row r="32" customFormat="false" ht="15" hidden="false" customHeight="false" outlineLevel="0" collapsed="false">
      <c r="A32" s="0" t="s">
        <v>129</v>
      </c>
      <c r="B32" s="0" t="n">
        <f aca="false">IF(B27&gt;B28,B31*(1+B28/100)/((B27-B28)/100),B31*B29)</f>
        <v>15540.1799311362</v>
      </c>
    </row>
    <row r="33" customFormat="false" ht="15" hidden="false" customHeight="false" outlineLevel="0" collapsed="false">
      <c r="A33" s="0" t="s">
        <v>130</v>
      </c>
      <c r="B33" s="0" t="n">
        <f aca="false">B31*B29</f>
        <v>24206.8187388853</v>
      </c>
    </row>
    <row r="34" customFormat="false" ht="15" hidden="false" customHeight="false" outlineLevel="0" collapsed="false">
      <c r="A34" s="0" t="s">
        <v>131</v>
      </c>
      <c r="B34" s="0" t="n">
        <f aca="false">MAX(0,MIN(B32,B33))</f>
        <v>15540.1799311362</v>
      </c>
    </row>
    <row r="35" customFormat="false" ht="15" hidden="false" customHeight="false" outlineLevel="0" collapsed="false">
      <c r="A35" s="0" t="s">
        <v>132</v>
      </c>
      <c r="B35" s="0" t="n">
        <f aca="false">B34/(1+B27/100)^L4</f>
        <v>3097.97120576279</v>
      </c>
    </row>
    <row r="36" customFormat="false" ht="15" hidden="false" customHeight="false" outlineLevel="0" collapsed="false">
      <c r="A36" s="0" t="s">
        <v>133</v>
      </c>
      <c r="B36" s="0" t="n">
        <f aca="false">B30+B35</f>
        <v>11315.2673460798</v>
      </c>
    </row>
    <row r="37" customFormat="false" ht="15" hidden="false" customHeight="false" outlineLevel="0" collapsed="false">
      <c r="A37" s="0" t="s">
        <v>134</v>
      </c>
      <c r="B37" s="0" t="n">
        <f aca="false">B36+Assumptions!$B$5-Assumptions!$B$4</f>
        <v>11315.2673460798</v>
      </c>
    </row>
    <row r="38" customFormat="false" ht="15" hidden="false" customHeight="false" outlineLevel="0" collapsed="false">
      <c r="A38" s="0" t="s">
        <v>135</v>
      </c>
      <c r="B38" s="0" t="n">
        <f aca="false">B37/Assumptions!$B$3*Assumptions!$B$10</f>
        <v>9.1193625593469</v>
      </c>
    </row>
    <row r="39" customFormat="false" ht="15" hidden="false" customHeight="false" outlineLevel="0" collapsed="false">
      <c r="A39" s="0" t="s">
        <v>136</v>
      </c>
      <c r="B39" s="4" t="n">
        <f aca="false">B38/Assumptions!$B$2-1</f>
        <v>-0.0450929257228375</v>
      </c>
    </row>
    <row r="41" customFormat="false" ht="15" hidden="false" customHeight="false" outlineLevel="0" collapsed="false">
      <c r="A41" s="0" t="s">
        <v>137</v>
      </c>
      <c r="B41" s="0" t="n">
        <f aca="false">SUMPRODUCT(-C10:L10/(1+$B$27/100)^C4:L4)</f>
        <v>1609.47195235042</v>
      </c>
    </row>
    <row r="42" customFormat="false" ht="15" hidden="false" customHeight="false" outlineLevel="0" collapsed="false">
      <c r="A42" s="0" t="s">
        <v>138</v>
      </c>
      <c r="B42" s="0" t="n">
        <f aca="false">IF(B27&gt;B28,-L10*(1+B28/100)/((B27-B28)/100),-L10*20)/(1+B27/100)^L4</f>
        <v>626.684984544114</v>
      </c>
    </row>
    <row r="43" customFormat="false" ht="15" hidden="false" customHeight="false" outlineLevel="0" collapsed="false">
      <c r="A43" s="0" t="s">
        <v>139</v>
      </c>
      <c r="B43" s="0" t="n">
        <f aca="false">(B37+B41+B42)/Assumptions!$B$3*Assumptions!$B$10</f>
        <v>10.9215582320992</v>
      </c>
    </row>
    <row r="45" customFormat="false" ht="15" hidden="false" customHeight="false" outlineLevel="0" collapsed="false">
      <c r="A45" s="0" t="s">
        <v>80</v>
      </c>
      <c r="B45" s="4" t="n">
        <f aca="false">Assumptions!$B$6</f>
        <v>18</v>
      </c>
    </row>
    <row r="46" customFormat="false" ht="15" hidden="false" customHeight="false" outlineLevel="0" collapsed="false">
      <c r="A46" s="0" t="s">
        <v>140</v>
      </c>
      <c r="B46" s="0" t="n">
        <f aca="false">MAX(0,MIN(IF(B45&gt;B28,B31*(1+B28/100)/((B45-B28)/100),B31*B29),B31*B29))</f>
        <v>14985.1735050242</v>
      </c>
    </row>
    <row r="47" customFormat="false" ht="15" hidden="false" customHeight="false" outlineLevel="0" collapsed="false">
      <c r="A47" s="0" t="s">
        <v>141</v>
      </c>
      <c r="B47" s="0" t="n">
        <f aca="false">(SUMPRODUCT(C19:L19/(1+B45/100)^C4:L4)+B46/(1+B45/100)^L4+Assumptions!$B$5-Assumptions!$B$4)/Assumptions!$B$3*Assumptions!$B$10</f>
        <v>8.81169464752742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4</v>
      </c>
      <c r="D5" s="4" t="n">
        <f aca="false">Assumptions!D27</f>
        <v>7</v>
      </c>
      <c r="E5" s="4" t="n">
        <f aca="false">Assumptions!E27</f>
        <v>8</v>
      </c>
      <c r="F5" s="4" t="n">
        <f aca="false">Assumptions!F27</f>
        <v>8</v>
      </c>
      <c r="G5" s="4" t="n">
        <f aca="false">Assumptions!G27</f>
        <v>7</v>
      </c>
      <c r="H5" s="4" t="n">
        <f aca="false">Assumptions!H27</f>
        <v>6.5</v>
      </c>
      <c r="I5" s="4" t="n">
        <f aca="false">Assumptions!I27</f>
        <v>6</v>
      </c>
      <c r="J5" s="4" t="n">
        <f aca="false">Assumptions!J27</f>
        <v>5.5</v>
      </c>
      <c r="K5" s="4" t="n">
        <f aca="false">Assumptions!K27</f>
        <v>5</v>
      </c>
      <c r="L5" s="4" t="n">
        <f aca="false">Assumptions!L27</f>
        <v>5</v>
      </c>
    </row>
    <row r="6" customFormat="false" ht="15" hidden="false" customHeight="false" outlineLevel="0" collapsed="false">
      <c r="A6" s="0" t="s">
        <v>38</v>
      </c>
      <c r="B6" s="3" t="n">
        <v>14153.8</v>
      </c>
      <c r="C6" s="0" t="n">
        <f aca="false">B6*(1+C5/100)</f>
        <v>14719.952</v>
      </c>
      <c r="D6" s="0" t="n">
        <f aca="false">C6*(1+D5/100)</f>
        <v>15750.34864</v>
      </c>
      <c r="E6" s="0" t="n">
        <f aca="false">D6*(1+E5/100)</f>
        <v>17010.3765312</v>
      </c>
      <c r="F6" s="0" t="n">
        <f aca="false">E6*(1+F5/100)</f>
        <v>18371.206653696</v>
      </c>
      <c r="G6" s="0" t="n">
        <f aca="false">F6*(1+G5/100)</f>
        <v>19657.1911194547</v>
      </c>
      <c r="H6" s="0" t="n">
        <f aca="false">G6*(1+H5/100)</f>
        <v>20934.9085422193</v>
      </c>
      <c r="I6" s="0" t="n">
        <f aca="false">H6*(1+I5/100)</f>
        <v>22191.0030547524</v>
      </c>
      <c r="J6" s="0" t="n">
        <f aca="false">I6*(1+J5/100)</f>
        <v>23411.5082227638</v>
      </c>
      <c r="K6" s="0" t="n">
        <f aca="false">J6*(1+K5/100)</f>
        <v>24582.083633902</v>
      </c>
      <c r="L6" s="0" t="n">
        <f aca="false">K6*(1+L5/100)</f>
        <v>25811.1878155971</v>
      </c>
    </row>
    <row r="7" customFormat="false" ht="15" hidden="false" customHeight="false" outlineLevel="0" collapsed="false">
      <c r="A7" s="0" t="s">
        <v>98</v>
      </c>
      <c r="C7" s="4" t="n">
        <f aca="false">Assumptions!C28</f>
        <v>28.2</v>
      </c>
      <c r="D7" s="4" t="n">
        <f aca="false">Assumptions!D28</f>
        <v>28.4</v>
      </c>
      <c r="E7" s="4" t="n">
        <f aca="false">Assumptions!E28</f>
        <v>28.6</v>
      </c>
      <c r="F7" s="4" t="n">
        <f aca="false">Assumptions!F28</f>
        <v>28.8</v>
      </c>
      <c r="G7" s="4" t="n">
        <f aca="false">Assumptions!G28</f>
        <v>29</v>
      </c>
      <c r="H7" s="4" t="n">
        <f aca="false">Assumptions!H28</f>
        <v>29</v>
      </c>
      <c r="I7" s="4" t="n">
        <f aca="false">Assumptions!I28</f>
        <v>29</v>
      </c>
      <c r="J7" s="4" t="n">
        <f aca="false">Assumptions!J28</f>
        <v>29</v>
      </c>
      <c r="K7" s="4" t="n">
        <f aca="false">Assumptions!K28</f>
        <v>29</v>
      </c>
      <c r="L7" s="4" t="n">
        <f aca="false">Assumptions!L28</f>
        <v>29</v>
      </c>
    </row>
    <row r="8" customFormat="false" ht="15" hidden="false" customHeight="false" outlineLevel="0" collapsed="false">
      <c r="A8" s="0" t="s">
        <v>44</v>
      </c>
      <c r="C8" s="0" t="n">
        <f aca="false">C6*C7/100</f>
        <v>4151.026464</v>
      </c>
      <c r="D8" s="0" t="n">
        <f aca="false">D6*D7/100</f>
        <v>4473.09901376</v>
      </c>
      <c r="E8" s="0" t="n">
        <f aca="false">E6*E7/100</f>
        <v>4864.9676879232</v>
      </c>
      <c r="F8" s="0" t="n">
        <f aca="false">F6*F7/100</f>
        <v>5290.90751626445</v>
      </c>
      <c r="G8" s="0" t="n">
        <f aca="false">G6*G7/100</f>
        <v>5700.58542464187</v>
      </c>
      <c r="H8" s="0" t="n">
        <f aca="false">H6*H7/100</f>
        <v>6071.12347724359</v>
      </c>
      <c r="I8" s="0" t="n">
        <f aca="false">I6*I7/100</f>
        <v>6435.39088587821</v>
      </c>
      <c r="J8" s="0" t="n">
        <f aca="false">J6*J7/100</f>
        <v>6789.33738460151</v>
      </c>
      <c r="K8" s="0" t="n">
        <f aca="false">K6*K7/100</f>
        <v>7128.80425383158</v>
      </c>
      <c r="L8" s="0" t="n">
        <f aca="false">L6*L7/100</f>
        <v>7485.24446652316</v>
      </c>
    </row>
    <row r="9" customFormat="false" ht="15" hidden="false" customHeight="false" outlineLevel="0" collapsed="false">
      <c r="A9" s="0" t="s">
        <v>99</v>
      </c>
      <c r="C9" s="4" t="n">
        <f aca="false">Assumptions!C29</f>
        <v>2.2</v>
      </c>
      <c r="D9" s="4" t="n">
        <f aca="false">Assumptions!D29</f>
        <v>2.1</v>
      </c>
      <c r="E9" s="4" t="n">
        <f aca="false">Assumptions!E29</f>
        <v>2</v>
      </c>
      <c r="F9" s="4" t="n">
        <f aca="false">Assumptions!F29</f>
        <v>2</v>
      </c>
      <c r="G9" s="4" t="n">
        <f aca="false">Assumptions!G29</f>
        <v>1.9</v>
      </c>
      <c r="H9" s="4" t="n">
        <f aca="false">Assumptions!H29</f>
        <v>1.9</v>
      </c>
      <c r="I9" s="4" t="n">
        <f aca="false">Assumptions!I29</f>
        <v>1.8</v>
      </c>
      <c r="J9" s="4" t="n">
        <f aca="false">Assumptions!J29</f>
        <v>1.8</v>
      </c>
      <c r="K9" s="4" t="n">
        <f aca="false">Assumptions!K29</f>
        <v>1.8</v>
      </c>
      <c r="L9" s="4" t="n">
        <f aca="false">Assumptions!L29</f>
        <v>1.8</v>
      </c>
    </row>
    <row r="10" customFormat="false" ht="15" hidden="false" customHeight="false" outlineLevel="0" collapsed="false">
      <c r="A10" s="0" t="s">
        <v>114</v>
      </c>
      <c r="C10" s="0" t="n">
        <f aca="false">-C6*C9/100</f>
        <v>-323.838944</v>
      </c>
      <c r="D10" s="0" t="n">
        <f aca="false">-D6*D9/100</f>
        <v>-330.75732144</v>
      </c>
      <c r="E10" s="0" t="n">
        <f aca="false">-E6*E9/100</f>
        <v>-340.207530624</v>
      </c>
      <c r="F10" s="0" t="n">
        <f aca="false">-F6*F9/100</f>
        <v>-367.42413307392</v>
      </c>
      <c r="G10" s="0" t="n">
        <f aca="false">-G6*G9/100</f>
        <v>-373.48663126964</v>
      </c>
      <c r="H10" s="0" t="n">
        <f aca="false">-H6*H9/100</f>
        <v>-397.763262302166</v>
      </c>
      <c r="I10" s="0" t="n">
        <f aca="false">-I6*I9/100</f>
        <v>-399.438054985544</v>
      </c>
      <c r="J10" s="0" t="n">
        <f aca="false">-J6*J9/100</f>
        <v>-421.407148009749</v>
      </c>
      <c r="K10" s="0" t="n">
        <f aca="false">-K6*K9/100</f>
        <v>-442.477505410236</v>
      </c>
      <c r="L10" s="0" t="n">
        <f aca="false">-L6*L9/100</f>
        <v>-464.601380680748</v>
      </c>
    </row>
    <row r="11" customFormat="false" ht="15" hidden="false" customHeight="false" outlineLevel="0" collapsed="false">
      <c r="A11" s="0" t="s">
        <v>115</v>
      </c>
      <c r="C11" s="0" t="n">
        <f aca="false">C8+C10+C24</f>
        <v>3827.18752</v>
      </c>
      <c r="D11" s="0" t="n">
        <f aca="false">D8+D10+D24</f>
        <v>4142.34169232</v>
      </c>
      <c r="E11" s="0" t="n">
        <f aca="false">E8+E10+E24</f>
        <v>4524.7601572992</v>
      </c>
      <c r="F11" s="0" t="n">
        <f aca="false">F8+F10+F24</f>
        <v>4923.48338319053</v>
      </c>
      <c r="G11" s="0" t="n">
        <f aca="false">G8+G10+G24</f>
        <v>5327.09879337223</v>
      </c>
      <c r="H11" s="0" t="n">
        <f aca="false">H8+H10+H24</f>
        <v>5673.36021494142</v>
      </c>
      <c r="I11" s="0" t="n">
        <f aca="false">I8+I10+I24</f>
        <v>6035.95283089266</v>
      </c>
      <c r="J11" s="0" t="n">
        <f aca="false">J8+J10+J24</f>
        <v>6367.93023659176</v>
      </c>
      <c r="K11" s="0" t="n">
        <f aca="false">K8+K10+K24</f>
        <v>6686.32674842135</v>
      </c>
      <c r="L11" s="0" t="n">
        <f aca="false">L8+L10+L24</f>
        <v>7020.64308584241</v>
      </c>
    </row>
    <row r="12" customFormat="false" ht="15" hidden="false" customHeight="false" outlineLevel="0" collapsed="false">
      <c r="A12" s="0" t="s">
        <v>116</v>
      </c>
      <c r="C12" s="4" t="n">
        <f aca="false">-C6*Assumptions!C31/100</f>
        <v>-942.076928</v>
      </c>
      <c r="D12" s="4" t="n">
        <f aca="false">-D6*Assumptions!D31/100</f>
        <v>-992.27196432</v>
      </c>
      <c r="E12" s="4" t="n">
        <f aca="false">-E6*Assumptions!E31/100</f>
        <v>-1054.6433449344</v>
      </c>
      <c r="F12" s="4" t="n">
        <f aca="false">-F6*Assumptions!F31/100</f>
        <v>-1120.64360587546</v>
      </c>
      <c r="G12" s="4" t="n">
        <f aca="false">-G6*Assumptions!G31/100</f>
        <v>-1179.43146716728</v>
      </c>
      <c r="H12" s="4" t="n">
        <f aca="false">-H6*Assumptions!H31/100</f>
        <v>-1256.09451253316</v>
      </c>
      <c r="I12" s="4" t="n">
        <f aca="false">-I6*Assumptions!I31/100</f>
        <v>-1331.46018328515</v>
      </c>
      <c r="J12" s="4" t="n">
        <f aca="false">-J6*Assumptions!J31/100</f>
        <v>-1404.69049336583</v>
      </c>
      <c r="K12" s="4" t="n">
        <f aca="false">-K6*Assumptions!K31/100</f>
        <v>-1474.92501803412</v>
      </c>
      <c r="L12" s="4" t="n">
        <f aca="false">-L6*Assumptions!L31/100</f>
        <v>-1548.67126893583</v>
      </c>
    </row>
    <row r="13" customFormat="false" ht="15" hidden="false" customHeight="false" outlineLevel="0" collapsed="false">
      <c r="A13" s="0" t="s">
        <v>117</v>
      </c>
      <c r="C13" s="0" t="n">
        <f aca="false">C11+C12</f>
        <v>2885.110592</v>
      </c>
      <c r="D13" s="0" t="n">
        <f aca="false">D11+D12</f>
        <v>3150.069728</v>
      </c>
      <c r="E13" s="0" t="n">
        <f aca="false">E11+E12</f>
        <v>3470.1168123648</v>
      </c>
      <c r="F13" s="0" t="n">
        <f aca="false">F11+F12</f>
        <v>3802.83977731507</v>
      </c>
      <c r="G13" s="0" t="n">
        <f aca="false">G11+G12</f>
        <v>4147.66732620495</v>
      </c>
      <c r="H13" s="0" t="n">
        <f aca="false">H11+H12</f>
        <v>4417.26570240827</v>
      </c>
      <c r="I13" s="0" t="n">
        <f aca="false">I11+I12</f>
        <v>4704.49264760752</v>
      </c>
      <c r="J13" s="0" t="n">
        <f aca="false">J11+J12</f>
        <v>4963.23974322593</v>
      </c>
      <c r="K13" s="0" t="n">
        <f aca="false">K11+K12</f>
        <v>5211.40173038722</v>
      </c>
      <c r="L13" s="0" t="n">
        <f aca="false">L11+L12</f>
        <v>5471.97181690659</v>
      </c>
    </row>
    <row r="14" customFormat="false" ht="15" hidden="false" customHeight="false" outlineLevel="0" collapsed="false">
      <c r="A14" s="0" t="s">
        <v>103</v>
      </c>
      <c r="C14" s="4" t="n">
        <f aca="false">Assumptions!C33</f>
        <v>15.5</v>
      </c>
      <c r="D14" s="4" t="n">
        <f aca="false">Assumptions!D33</f>
        <v>16</v>
      </c>
      <c r="E14" s="4" t="n">
        <f aca="false">Assumptions!E33</f>
        <v>17</v>
      </c>
      <c r="F14" s="4" t="n">
        <f aca="false">Assumptions!F33</f>
        <v>18</v>
      </c>
      <c r="G14" s="4" t="n">
        <f aca="false">Assumptions!G33</f>
        <v>19</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118</v>
      </c>
      <c r="C15" s="0" t="n">
        <f aca="false">C13-MAX(0,C13)*C14/100</f>
        <v>2437.91845024</v>
      </c>
      <c r="D15" s="0" t="n">
        <f aca="false">D13-MAX(0,D13)*D14/100</f>
        <v>2646.05857152</v>
      </c>
      <c r="E15" s="0" t="n">
        <f aca="false">E13-MAX(0,E13)*E14/100</f>
        <v>2880.19695426278</v>
      </c>
      <c r="F15" s="0" t="n">
        <f aca="false">F13-MAX(0,F13)*F14/100</f>
        <v>3118.32861739836</v>
      </c>
      <c r="G15" s="0" t="n">
        <f aca="false">G13-MAX(0,G13)*G14/100</f>
        <v>3359.61053422601</v>
      </c>
      <c r="H15" s="0" t="n">
        <f aca="false">H13-MAX(0,H13)*H14/100</f>
        <v>3533.81256192661</v>
      </c>
      <c r="I15" s="0" t="n">
        <f aca="false">I13-MAX(0,I13)*I14/100</f>
        <v>3763.59411808601</v>
      </c>
      <c r="J15" s="0" t="n">
        <f aca="false">J13-MAX(0,J13)*J14/100</f>
        <v>3970.59179458074</v>
      </c>
      <c r="K15" s="0" t="n">
        <f aca="false">K13-MAX(0,K13)*K14/100</f>
        <v>4169.12138430978</v>
      </c>
      <c r="L15" s="0" t="n">
        <f aca="false">L13-MAX(0,L13)*L14/100</f>
        <v>4377.57745352527</v>
      </c>
    </row>
    <row r="16" customFormat="false" ht="15" hidden="false" customHeight="false" outlineLevel="0" collapsed="false">
      <c r="A16" s="0" t="s">
        <v>119</v>
      </c>
      <c r="C16" s="0" t="n">
        <f aca="false">-C12</f>
        <v>942.076928</v>
      </c>
      <c r="D16" s="0" t="n">
        <f aca="false">-D12</f>
        <v>992.27196432</v>
      </c>
      <c r="E16" s="0" t="n">
        <f aca="false">-E12</f>
        <v>1054.6433449344</v>
      </c>
      <c r="F16" s="0" t="n">
        <f aca="false">-F12</f>
        <v>1120.64360587546</v>
      </c>
      <c r="G16" s="0" t="n">
        <f aca="false">-G12</f>
        <v>1179.43146716728</v>
      </c>
      <c r="H16" s="0" t="n">
        <f aca="false">-H12</f>
        <v>1256.09451253316</v>
      </c>
      <c r="I16" s="0" t="n">
        <f aca="false">-I12</f>
        <v>1331.46018328515</v>
      </c>
      <c r="J16" s="0" t="n">
        <f aca="false">-J12</f>
        <v>1404.69049336583</v>
      </c>
      <c r="K16" s="0" t="n">
        <f aca="false">-K12</f>
        <v>1474.92501803412</v>
      </c>
      <c r="L16" s="0" t="n">
        <f aca="false">-L12</f>
        <v>1548.67126893583</v>
      </c>
    </row>
    <row r="17" customFormat="false" ht="15" hidden="false" customHeight="false" outlineLevel="0" collapsed="false">
      <c r="A17" s="0" t="s">
        <v>120</v>
      </c>
      <c r="C17" s="4" t="n">
        <f aca="false">-C6*Assumptions!C32/100</f>
        <v>-1059.836544</v>
      </c>
      <c r="D17" s="4" t="n">
        <f aca="false">-D6*Assumptions!D32/100</f>
        <v>-1102.5244048</v>
      </c>
      <c r="E17" s="4" t="n">
        <f aca="false">-E6*Assumptions!E32/100</f>
        <v>-1156.7056041216</v>
      </c>
      <c r="F17" s="4" t="n">
        <f aca="false">-F6*Assumptions!F32/100</f>
        <v>-1212.49963914394</v>
      </c>
      <c r="G17" s="4" t="n">
        <f aca="false">-G6*Assumptions!G32/100</f>
        <v>-1277.71742276456</v>
      </c>
      <c r="H17" s="4" t="n">
        <f aca="false">-H6*Assumptions!H32/100</f>
        <v>-1339.83414670203</v>
      </c>
      <c r="I17" s="4" t="n">
        <f aca="false">-I6*Assumptions!I32/100</f>
        <v>-1398.0331924494</v>
      </c>
      <c r="J17" s="4" t="n">
        <f aca="false">-J6*Assumptions!J32/100</f>
        <v>-1451.51350981136</v>
      </c>
      <c r="K17" s="4" t="n">
        <f aca="false">-K6*Assumptions!K32/100</f>
        <v>-1524.08918530192</v>
      </c>
      <c r="L17" s="4" t="n">
        <f aca="false">-L6*Assumptions!L32/100</f>
        <v>-1600.29364456702</v>
      </c>
    </row>
    <row r="18" customFormat="false" ht="15" hidden="false" customHeight="false" outlineLevel="0" collapsed="false">
      <c r="A18" s="0" t="s">
        <v>121</v>
      </c>
      <c r="C18" s="4" t="n">
        <f aca="false">(C6-B6)*Assumptions!$B$37/100</f>
        <v>-226.4608</v>
      </c>
      <c r="D18" s="4" t="n">
        <f aca="false">(D6-C6)*Assumptions!$B$37/100</f>
        <v>-412.158656</v>
      </c>
      <c r="E18" s="4" t="n">
        <f aca="false">(E6-D6)*Assumptions!$B$37/100</f>
        <v>-504.01115648</v>
      </c>
      <c r="F18" s="4" t="n">
        <f aca="false">(F6-E6)*Assumptions!$B$37/100</f>
        <v>-544.332048998401</v>
      </c>
      <c r="G18" s="4" t="n">
        <f aca="false">(G6-F6)*Assumptions!$B$37/100</f>
        <v>-514.393786303488</v>
      </c>
      <c r="H18" s="4" t="n">
        <f aca="false">(H6-G6)*Assumptions!$B$37/100</f>
        <v>-511.086969105822</v>
      </c>
      <c r="I18" s="4" t="n">
        <f aca="false">(I6-H6)*Assumptions!$B$37/100</f>
        <v>-502.437805013263</v>
      </c>
      <c r="J18" s="4" t="n">
        <f aca="false">(J6-I6)*Assumptions!$B$37/100</f>
        <v>-488.202067204553</v>
      </c>
      <c r="K18" s="4" t="n">
        <f aca="false">(K6-J6)*Assumptions!$B$37/100</f>
        <v>-468.230164455276</v>
      </c>
      <c r="L18" s="4" t="n">
        <f aca="false">(L6-K6)*Assumptions!$B$37/100</f>
        <v>-491.64167267804</v>
      </c>
    </row>
    <row r="19" customFormat="false" ht="15" hidden="false" customHeight="false" outlineLevel="0" collapsed="false">
      <c r="A19" s="0" t="s">
        <v>122</v>
      </c>
      <c r="C19" s="0" t="n">
        <f aca="false">C15+C16+C17+C18</f>
        <v>2093.69803424</v>
      </c>
      <c r="D19" s="0" t="n">
        <f aca="false">D15+D16+D17+D18</f>
        <v>2123.64747504</v>
      </c>
      <c r="E19" s="0" t="n">
        <f aca="false">E15+E16+E17+E18</f>
        <v>2274.12353859558</v>
      </c>
      <c r="F19" s="0" t="n">
        <f aca="false">F15+F16+F17+F18</f>
        <v>2482.14053513148</v>
      </c>
      <c r="G19" s="0" t="n">
        <f aca="false">G15+G16+G17+G18</f>
        <v>2746.93079232525</v>
      </c>
      <c r="H19" s="0" t="n">
        <f aca="false">H15+H16+H17+H18</f>
        <v>2938.98595865191</v>
      </c>
      <c r="I19" s="0" t="n">
        <f aca="false">I15+I16+I17+I18</f>
        <v>3194.58330390849</v>
      </c>
      <c r="J19" s="0" t="n">
        <f aca="false">J15+J16+J17+J18</f>
        <v>3435.56671093066</v>
      </c>
      <c r="K19" s="0" t="n">
        <f aca="false">K15+K16+K17+K18</f>
        <v>3651.7270525867</v>
      </c>
      <c r="L19" s="0" t="n">
        <f aca="false">L15+L16+L17+L18</f>
        <v>3834.31340521604</v>
      </c>
    </row>
    <row r="20" customFormat="false" ht="15" hidden="false" customHeight="false" outlineLevel="0" collapsed="false">
      <c r="A20" s="0" t="s">
        <v>123</v>
      </c>
      <c r="C20" s="0" t="n">
        <f aca="false">1/(1+$B$27/100)^C4</f>
        <v>0.851063829787234</v>
      </c>
      <c r="D20" s="0" t="n">
        <f aca="false">1/(1+$B$27/100)^D4</f>
        <v>0.724309642372114</v>
      </c>
      <c r="E20" s="0" t="n">
        <f aca="false">1/(1+$B$27/100)^E4</f>
        <v>0.616433738189033</v>
      </c>
      <c r="F20" s="0" t="n">
        <f aca="false">1/(1+$B$27/100)^F4</f>
        <v>0.52462445803322</v>
      </c>
      <c r="G20" s="0" t="n">
        <f aca="false">1/(1+$B$27/100)^G4</f>
        <v>0.446488900453804</v>
      </c>
      <c r="H20" s="0" t="n">
        <f aca="false">1/(1+$B$27/100)^H4</f>
        <v>0.379990553577706</v>
      </c>
      <c r="I20" s="0" t="n">
        <f aca="false">1/(1+$B$27/100)^I4</f>
        <v>0.323396215810813</v>
      </c>
      <c r="J20" s="0" t="n">
        <f aca="false">1/(1+$B$27/100)^J4</f>
        <v>0.27523082196665</v>
      </c>
      <c r="K20" s="0" t="n">
        <f aca="false">1/(1+$B$27/100)^K4</f>
        <v>0.234238997418425</v>
      </c>
      <c r="L20" s="0" t="n">
        <f aca="false">1/(1+$B$27/100)^L4</f>
        <v>0.199352338228447</v>
      </c>
    </row>
    <row r="21" customFormat="false" ht="15" hidden="false" customHeight="false" outlineLevel="0" collapsed="false">
      <c r="A21" s="0" t="s">
        <v>124</v>
      </c>
      <c r="C21" s="0" t="n">
        <f aca="false">C19*C20</f>
        <v>1781.8706674383</v>
      </c>
      <c r="D21" s="0" t="n">
        <f aca="false">D19*D20</f>
        <v>1538.17834317066</v>
      </c>
      <c r="E21" s="0" t="n">
        <f aca="false">E19*E20</f>
        <v>1401.84647400015</v>
      </c>
      <c r="F21" s="0" t="n">
        <f aca="false">F19*F20</f>
        <v>1302.19163300564</v>
      </c>
      <c r="G21" s="0" t="n">
        <f aca="false">G19*G20</f>
        <v>1226.474109088</v>
      </c>
      <c r="H21" s="0" t="n">
        <f aca="false">H19*H20</f>
        <v>1116.78690138524</v>
      </c>
      <c r="I21" s="0" t="n">
        <f aca="false">I19*I20</f>
        <v>1033.11615157641</v>
      </c>
      <c r="J21" s="0" t="n">
        <f aca="false">J19*J20</f>
        <v>945.573849770704</v>
      </c>
      <c r="K21" s="0" t="n">
        <f aca="false">K19*K20</f>
        <v>855.376883643649</v>
      </c>
      <c r="L21" s="0" t="n">
        <f aca="false">L19*L20</f>
        <v>764.379342830495</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17.5</v>
      </c>
    </row>
    <row r="28" customFormat="false" ht="15" hidden="false" customHeight="false" outlineLevel="0" collapsed="false">
      <c r="A28" s="0" t="s">
        <v>105</v>
      </c>
      <c r="B28" s="4" t="n">
        <f aca="false">Assumptions!$B$35</f>
        <v>5</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11965.7943559092</v>
      </c>
    </row>
    <row r="31" customFormat="false" ht="15" hidden="false" customHeight="false" outlineLevel="0" collapsed="false">
      <c r="A31" s="0" t="s">
        <v>128</v>
      </c>
      <c r="B31" s="0" t="n">
        <f aca="false">L19</f>
        <v>3834.31340521604</v>
      </c>
    </row>
    <row r="32" customFormat="false" ht="15" hidden="false" customHeight="false" outlineLevel="0" collapsed="false">
      <c r="A32" s="0" t="s">
        <v>129</v>
      </c>
      <c r="B32" s="0" t="n">
        <f aca="false">IF(B27&gt;B28,B31*(1+B28/100)/((B27-B28)/100),B31*B29)</f>
        <v>32208.2326038147</v>
      </c>
    </row>
    <row r="33" customFormat="false" ht="15" hidden="false" customHeight="false" outlineLevel="0" collapsed="false">
      <c r="A33" s="0" t="s">
        <v>130</v>
      </c>
      <c r="B33" s="0" t="n">
        <f aca="false">B31*B29</f>
        <v>46011.7608625924</v>
      </c>
    </row>
    <row r="34" customFormat="false" ht="15" hidden="false" customHeight="false" outlineLevel="0" collapsed="false">
      <c r="A34" s="0" t="s">
        <v>131</v>
      </c>
      <c r="B34" s="0" t="n">
        <f aca="false">MAX(0,MIN(B32,B33))</f>
        <v>32208.2326038147</v>
      </c>
    </row>
    <row r="35" customFormat="false" ht="15" hidden="false" customHeight="false" outlineLevel="0" collapsed="false">
      <c r="A35" s="0" t="s">
        <v>132</v>
      </c>
      <c r="B35" s="0" t="n">
        <f aca="false">B34/(1+B27/100)^L4</f>
        <v>6420.78647977616</v>
      </c>
    </row>
    <row r="36" customFormat="false" ht="15" hidden="false" customHeight="false" outlineLevel="0" collapsed="false">
      <c r="A36" s="0" t="s">
        <v>133</v>
      </c>
      <c r="B36" s="0" t="n">
        <f aca="false">B30+B35</f>
        <v>18386.5808356854</v>
      </c>
    </row>
    <row r="37" customFormat="false" ht="15" hidden="false" customHeight="false" outlineLevel="0" collapsed="false">
      <c r="A37" s="0" t="s">
        <v>134</v>
      </c>
      <c r="B37" s="0" t="n">
        <f aca="false">B36+Assumptions!$B$5-Assumptions!$B$4</f>
        <v>18386.5808356854</v>
      </c>
    </row>
    <row r="38" customFormat="false" ht="15" hidden="false" customHeight="false" outlineLevel="0" collapsed="false">
      <c r="A38" s="0" t="s">
        <v>135</v>
      </c>
      <c r="B38" s="0" t="n">
        <f aca="false">B37/Assumptions!$B$3*Assumptions!$B$10</f>
        <v>14.8183769538106</v>
      </c>
    </row>
    <row r="39" customFormat="false" ht="15" hidden="false" customHeight="false" outlineLevel="0" collapsed="false">
      <c r="A39" s="0" t="s">
        <v>136</v>
      </c>
      <c r="B39" s="4" t="n">
        <f aca="false">B38/Assumptions!$B$2-1</f>
        <v>0.551662508252419</v>
      </c>
    </row>
    <row r="41" customFormat="false" ht="15" hidden="false" customHeight="false" outlineLevel="0" collapsed="false">
      <c r="A41" s="0" t="s">
        <v>137</v>
      </c>
      <c r="B41" s="0" t="n">
        <f aca="false">SUMPRODUCT(-C10:L10/(1+$B$27/100)^C4:L4)</f>
        <v>1676.98318322163</v>
      </c>
    </row>
    <row r="42" customFormat="false" ht="15" hidden="false" customHeight="false" outlineLevel="0" collapsed="false">
      <c r="A42" s="0" t="s">
        <v>138</v>
      </c>
      <c r="B42" s="0" t="n">
        <f aca="false">IF(B27&gt;B28,-L10*(1+B28/100)/((B27-B28)/100),-L10*20)/(1+B27/100)^L4</f>
        <v>778.002721296124</v>
      </c>
    </row>
    <row r="43" customFormat="false" ht="15" hidden="false" customHeight="false" outlineLevel="0" collapsed="false">
      <c r="A43" s="0" t="s">
        <v>139</v>
      </c>
      <c r="B43" s="0" t="n">
        <f aca="false">(B37+B41+B42)/Assumptions!$B$3*Assumptions!$B$10</f>
        <v>16.7969344069087</v>
      </c>
    </row>
    <row r="45" customFormat="false" ht="15" hidden="false" customHeight="false" outlineLevel="0" collapsed="false">
      <c r="A45" s="0" t="s">
        <v>80</v>
      </c>
      <c r="B45" s="4" t="n">
        <f aca="false">Assumptions!$B$6</f>
        <v>18</v>
      </c>
    </row>
    <row r="46" customFormat="false" ht="15" hidden="false" customHeight="false" outlineLevel="0" collapsed="false">
      <c r="A46" s="0" t="s">
        <v>140</v>
      </c>
      <c r="B46" s="0" t="n">
        <f aca="false">MAX(0,MIN(IF(B45&gt;B28,B31*(1+B28/100)/((B45-B28)/100),B31*B29),B31*B29))</f>
        <v>30969.4544267449</v>
      </c>
    </row>
    <row r="47" customFormat="false" ht="15" hidden="false" customHeight="false" outlineLevel="0" collapsed="false">
      <c r="A47" s="0" t="s">
        <v>141</v>
      </c>
      <c r="B47" s="0" t="n">
        <f aca="false">(SUMPRODUCT(C19:L19/(1+B45/100)^C4:L4)+B46/(1+B45/100)^L4+Assumptions!$B$5-Assumptions!$B$4)/Assumptions!$B$3*Assumptions!$B$10</f>
        <v>14.2192398175836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5</v>
      </c>
      <c r="D5" s="4" t="n">
        <f aca="false">Assumptions!D41</f>
        <v>10</v>
      </c>
      <c r="E5" s="4" t="n">
        <f aca="false">Assumptions!E41</f>
        <v>11</v>
      </c>
      <c r="F5" s="4" t="n">
        <f aca="false">Assumptions!F41</f>
        <v>10</v>
      </c>
      <c r="G5" s="4" t="n">
        <f aca="false">Assumptions!G41</f>
        <v>9</v>
      </c>
      <c r="H5" s="4" t="n">
        <f aca="false">Assumptions!H41</f>
        <v>8</v>
      </c>
      <c r="I5" s="4" t="n">
        <f aca="false">Assumptions!I41</f>
        <v>7</v>
      </c>
      <c r="J5" s="4" t="n">
        <f aca="false">Assumptions!J41</f>
        <v>6.5</v>
      </c>
      <c r="K5" s="4" t="n">
        <f aca="false">Assumptions!K41</f>
        <v>6</v>
      </c>
      <c r="L5" s="4" t="n">
        <f aca="false">Assumptions!L41</f>
        <v>5.5</v>
      </c>
    </row>
    <row r="6" customFormat="false" ht="15" hidden="false" customHeight="false" outlineLevel="0" collapsed="false">
      <c r="A6" s="0" t="s">
        <v>38</v>
      </c>
      <c r="B6" s="3" t="n">
        <v>14153.8</v>
      </c>
      <c r="C6" s="0" t="n">
        <f aca="false">B6*(1+C5/100)</f>
        <v>14861.49</v>
      </c>
      <c r="D6" s="0" t="n">
        <f aca="false">C6*(1+D5/100)</f>
        <v>16347.639</v>
      </c>
      <c r="E6" s="0" t="n">
        <f aca="false">D6*(1+E5/100)</f>
        <v>18145.87929</v>
      </c>
      <c r="F6" s="0" t="n">
        <f aca="false">E6*(1+F5/100)</f>
        <v>19960.467219</v>
      </c>
      <c r="G6" s="0" t="n">
        <f aca="false">F6*(1+G5/100)</f>
        <v>21756.90926871</v>
      </c>
      <c r="H6" s="0" t="n">
        <f aca="false">G6*(1+H5/100)</f>
        <v>23497.4620102068</v>
      </c>
      <c r="I6" s="0" t="n">
        <f aca="false">H6*(1+I5/100)</f>
        <v>25142.2843509213</v>
      </c>
      <c r="J6" s="0" t="n">
        <f aca="false">I6*(1+J5/100)</f>
        <v>26776.5328337312</v>
      </c>
      <c r="K6" s="0" t="n">
        <f aca="false">J6*(1+K5/100)</f>
        <v>28383.124803755</v>
      </c>
      <c r="L6" s="0" t="n">
        <f aca="false">K6*(1+L5/100)</f>
        <v>29944.1966679616</v>
      </c>
    </row>
    <row r="7" customFormat="false" ht="15" hidden="false" customHeight="false" outlineLevel="0" collapsed="false">
      <c r="A7" s="0" t="s">
        <v>98</v>
      </c>
      <c r="C7" s="4" t="n">
        <f aca="false">Assumptions!C42</f>
        <v>28.8</v>
      </c>
      <c r="D7" s="4" t="n">
        <f aca="false">Assumptions!D42</f>
        <v>29.5</v>
      </c>
      <c r="E7" s="4" t="n">
        <f aca="false">Assumptions!E42</f>
        <v>30</v>
      </c>
      <c r="F7" s="4" t="n">
        <f aca="false">Assumptions!F42</f>
        <v>30.5</v>
      </c>
      <c r="G7" s="4" t="n">
        <f aca="false">Assumptions!G42</f>
        <v>31</v>
      </c>
      <c r="H7" s="4" t="n">
        <f aca="false">Assumptions!H42</f>
        <v>31</v>
      </c>
      <c r="I7" s="4" t="n">
        <f aca="false">Assumptions!I42</f>
        <v>31</v>
      </c>
      <c r="J7" s="4" t="n">
        <f aca="false">Assumptions!J42</f>
        <v>31</v>
      </c>
      <c r="K7" s="4" t="n">
        <f aca="false">Assumptions!K42</f>
        <v>31</v>
      </c>
      <c r="L7" s="4" t="n">
        <f aca="false">Assumptions!L42</f>
        <v>31</v>
      </c>
    </row>
    <row r="8" customFormat="false" ht="15" hidden="false" customHeight="false" outlineLevel="0" collapsed="false">
      <c r="A8" s="0" t="s">
        <v>44</v>
      </c>
      <c r="C8" s="0" t="n">
        <f aca="false">C6*C7/100</f>
        <v>4280.10912</v>
      </c>
      <c r="D8" s="0" t="n">
        <f aca="false">D6*D7/100</f>
        <v>4822.553505</v>
      </c>
      <c r="E8" s="0" t="n">
        <f aca="false">E6*E7/100</f>
        <v>5443.763787</v>
      </c>
      <c r="F8" s="0" t="n">
        <f aca="false">F6*F7/100</f>
        <v>6087.942501795</v>
      </c>
      <c r="G8" s="0" t="n">
        <f aca="false">G6*G7/100</f>
        <v>6744.6418733001</v>
      </c>
      <c r="H8" s="0" t="n">
        <f aca="false">H6*H7/100</f>
        <v>7284.21322316411</v>
      </c>
      <c r="I8" s="0" t="n">
        <f aca="false">I6*I7/100</f>
        <v>7794.1081487856</v>
      </c>
      <c r="J8" s="0" t="n">
        <f aca="false">J6*J7/100</f>
        <v>8300.72517845666</v>
      </c>
      <c r="K8" s="0" t="n">
        <f aca="false">K6*K7/100</f>
        <v>8798.76868916406</v>
      </c>
      <c r="L8" s="0" t="n">
        <f aca="false">L6*L7/100</f>
        <v>9282.70096706809</v>
      </c>
    </row>
    <row r="9" customFormat="false" ht="15" hidden="false" customHeight="false" outlineLevel="0" collapsed="false">
      <c r="A9" s="0" t="s">
        <v>99</v>
      </c>
      <c r="C9" s="4" t="n">
        <f aca="false">Assumptions!C43</f>
        <v>2.2</v>
      </c>
      <c r="D9" s="4" t="n">
        <f aca="false">Assumptions!D43</f>
        <v>2.1</v>
      </c>
      <c r="E9" s="4" t="n">
        <f aca="false">Assumptions!E43</f>
        <v>2</v>
      </c>
      <c r="F9" s="4" t="n">
        <f aca="false">Assumptions!F43</f>
        <v>2</v>
      </c>
      <c r="G9" s="4" t="n">
        <f aca="false">Assumptions!G43</f>
        <v>1.9</v>
      </c>
      <c r="H9" s="4" t="n">
        <f aca="false">Assumptions!H43</f>
        <v>1.9</v>
      </c>
      <c r="I9" s="4" t="n">
        <f aca="false">Assumptions!I43</f>
        <v>1.8</v>
      </c>
      <c r="J9" s="4" t="n">
        <f aca="false">Assumptions!J43</f>
        <v>1.8</v>
      </c>
      <c r="K9" s="4" t="n">
        <f aca="false">Assumptions!K43</f>
        <v>1.8</v>
      </c>
      <c r="L9" s="4" t="n">
        <f aca="false">Assumptions!L43</f>
        <v>1.8</v>
      </c>
    </row>
    <row r="10" customFormat="false" ht="15" hidden="false" customHeight="false" outlineLevel="0" collapsed="false">
      <c r="A10" s="0" t="s">
        <v>114</v>
      </c>
      <c r="C10" s="0" t="n">
        <f aca="false">-C6*C9/100</f>
        <v>-326.95278</v>
      </c>
      <c r="D10" s="0" t="n">
        <f aca="false">-D6*D9/100</f>
        <v>-343.300419</v>
      </c>
      <c r="E10" s="0" t="n">
        <f aca="false">-E6*E9/100</f>
        <v>-362.9175858</v>
      </c>
      <c r="F10" s="0" t="n">
        <f aca="false">-F6*F9/100</f>
        <v>-399.20934438</v>
      </c>
      <c r="G10" s="0" t="n">
        <f aca="false">-G6*G9/100</f>
        <v>-413.38127610549</v>
      </c>
      <c r="H10" s="0" t="n">
        <f aca="false">-H6*H9/100</f>
        <v>-446.451778193929</v>
      </c>
      <c r="I10" s="0" t="n">
        <f aca="false">-I6*I9/100</f>
        <v>-452.561118316583</v>
      </c>
      <c r="J10" s="0" t="n">
        <f aca="false">-J6*J9/100</f>
        <v>-481.977591007161</v>
      </c>
      <c r="K10" s="0" t="n">
        <f aca="false">-K6*K9/100</f>
        <v>-510.896246467591</v>
      </c>
      <c r="L10" s="0" t="n">
        <f aca="false">-L6*L9/100</f>
        <v>-538.995540023308</v>
      </c>
    </row>
    <row r="11" customFormat="false" ht="15" hidden="false" customHeight="false" outlineLevel="0" collapsed="false">
      <c r="A11" s="0" t="s">
        <v>115</v>
      </c>
      <c r="C11" s="0" t="n">
        <f aca="false">C8+C10+C24</f>
        <v>3953.15634</v>
      </c>
      <c r="D11" s="0" t="n">
        <f aca="false">D8+D10+D24</f>
        <v>4479.253086</v>
      </c>
      <c r="E11" s="0" t="n">
        <f aca="false">E8+E10+E24</f>
        <v>5080.8462012</v>
      </c>
      <c r="F11" s="0" t="n">
        <f aca="false">F8+F10+F24</f>
        <v>5688.733157415</v>
      </c>
      <c r="G11" s="0" t="n">
        <f aca="false">G8+G10+G24</f>
        <v>6331.26059719461</v>
      </c>
      <c r="H11" s="0" t="n">
        <f aca="false">H8+H10+H24</f>
        <v>6837.76144497018</v>
      </c>
      <c r="I11" s="0" t="n">
        <f aca="false">I8+I10+I24</f>
        <v>7341.54703046902</v>
      </c>
      <c r="J11" s="0" t="n">
        <f aca="false">J8+J10+J24</f>
        <v>7818.7475874495</v>
      </c>
      <c r="K11" s="0" t="n">
        <f aca="false">K8+K10+K24</f>
        <v>8287.87244269647</v>
      </c>
      <c r="L11" s="0" t="n">
        <f aca="false">L8+L10+L24</f>
        <v>8743.70542704478</v>
      </c>
    </row>
    <row r="12" customFormat="false" ht="15" hidden="false" customHeight="false" outlineLevel="0" collapsed="false">
      <c r="A12" s="0" t="s">
        <v>116</v>
      </c>
      <c r="C12" s="4" t="n">
        <f aca="false">-C6*Assumptions!C45/100</f>
        <v>-951.13536</v>
      </c>
      <c r="D12" s="4" t="n">
        <f aca="false">-D6*Assumptions!D45/100</f>
        <v>-1029.901257</v>
      </c>
      <c r="E12" s="4" t="n">
        <f aca="false">-E6*Assumptions!E45/100</f>
        <v>-1125.04451598</v>
      </c>
      <c r="F12" s="4" t="n">
        <f aca="false">-F6*Assumptions!F45/100</f>
        <v>-1217.588500359</v>
      </c>
      <c r="G12" s="4" t="n">
        <f aca="false">-G6*Assumptions!G45/100</f>
        <v>-1305.4145561226</v>
      </c>
      <c r="H12" s="4" t="n">
        <f aca="false">-H6*Assumptions!H45/100</f>
        <v>-1409.84772061241</v>
      </c>
      <c r="I12" s="4" t="n">
        <f aca="false">-I6*Assumptions!I45/100</f>
        <v>-1508.53706105528</v>
      </c>
      <c r="J12" s="4" t="n">
        <f aca="false">-J6*Assumptions!J45/100</f>
        <v>-1606.59197002387</v>
      </c>
      <c r="K12" s="4" t="n">
        <f aca="false">-K6*Assumptions!K45/100</f>
        <v>-1702.9874882253</v>
      </c>
      <c r="L12" s="4" t="n">
        <f aca="false">-L6*Assumptions!L45/100</f>
        <v>-1796.65180007769</v>
      </c>
    </row>
    <row r="13" customFormat="false" ht="15" hidden="false" customHeight="false" outlineLevel="0" collapsed="false">
      <c r="A13" s="0" t="s">
        <v>117</v>
      </c>
      <c r="C13" s="0" t="n">
        <f aca="false">C11+C12</f>
        <v>3002.02098</v>
      </c>
      <c r="D13" s="0" t="n">
        <f aca="false">D11+D12</f>
        <v>3449.351829</v>
      </c>
      <c r="E13" s="0" t="n">
        <f aca="false">E11+E12</f>
        <v>3955.80168522</v>
      </c>
      <c r="F13" s="0" t="n">
        <f aca="false">F11+F12</f>
        <v>4471.144657056</v>
      </c>
      <c r="G13" s="0" t="n">
        <f aca="false">G11+G12</f>
        <v>5025.84604107201</v>
      </c>
      <c r="H13" s="0" t="n">
        <f aca="false">H11+H12</f>
        <v>5427.91372435777</v>
      </c>
      <c r="I13" s="0" t="n">
        <f aca="false">I11+I12</f>
        <v>5833.00996941374</v>
      </c>
      <c r="J13" s="0" t="n">
        <f aca="false">J11+J12</f>
        <v>6212.15561742563</v>
      </c>
      <c r="K13" s="0" t="n">
        <f aca="false">K11+K12</f>
        <v>6584.88495447117</v>
      </c>
      <c r="L13" s="0" t="n">
        <f aca="false">L11+L12</f>
        <v>6947.05362696709</v>
      </c>
    </row>
    <row r="14" customFormat="false" ht="15" hidden="false" customHeight="false" outlineLevel="0" collapsed="false">
      <c r="A14" s="0" t="s">
        <v>103</v>
      </c>
      <c r="C14" s="4" t="n">
        <f aca="false">Assumptions!C47</f>
        <v>15.5</v>
      </c>
      <c r="D14" s="4" t="n">
        <f aca="false">Assumptions!D47</f>
        <v>15.5</v>
      </c>
      <c r="E14" s="4" t="n">
        <f aca="false">Assumptions!E47</f>
        <v>16</v>
      </c>
      <c r="F14" s="4" t="n">
        <f aca="false">Assumptions!F47</f>
        <v>16.5</v>
      </c>
      <c r="G14" s="4" t="n">
        <f aca="false">Assumptions!G47</f>
        <v>17</v>
      </c>
      <c r="H14" s="4" t="n">
        <f aca="false">Assumptions!H47</f>
        <v>17.5</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118</v>
      </c>
      <c r="C15" s="0" t="n">
        <f aca="false">C13-MAX(0,C13)*C14/100</f>
        <v>2536.7077281</v>
      </c>
      <c r="D15" s="0" t="n">
        <f aca="false">D13-MAX(0,D13)*D14/100</f>
        <v>2914.702295505</v>
      </c>
      <c r="E15" s="0" t="n">
        <f aca="false">E13-MAX(0,E13)*E14/100</f>
        <v>3322.8734155848</v>
      </c>
      <c r="F15" s="0" t="n">
        <f aca="false">F13-MAX(0,F13)*F14/100</f>
        <v>3733.40578864176</v>
      </c>
      <c r="G15" s="0" t="n">
        <f aca="false">G13-MAX(0,G13)*G14/100</f>
        <v>4171.45221408977</v>
      </c>
      <c r="H15" s="0" t="n">
        <f aca="false">H13-MAX(0,H13)*H14/100</f>
        <v>4478.02882259516</v>
      </c>
      <c r="I15" s="0" t="n">
        <f aca="false">I13-MAX(0,I13)*I14/100</f>
        <v>4783.06817491927</v>
      </c>
      <c r="J15" s="0" t="n">
        <f aca="false">J13-MAX(0,J13)*J14/100</f>
        <v>5093.96760628902</v>
      </c>
      <c r="K15" s="0" t="n">
        <f aca="false">K13-MAX(0,K13)*K14/100</f>
        <v>5399.60566266636</v>
      </c>
      <c r="L15" s="0" t="n">
        <f aca="false">L13-MAX(0,L13)*L14/100</f>
        <v>5696.58397411301</v>
      </c>
    </row>
    <row r="16" customFormat="false" ht="15" hidden="false" customHeight="false" outlineLevel="0" collapsed="false">
      <c r="A16" s="0" t="s">
        <v>119</v>
      </c>
      <c r="C16" s="0" t="n">
        <f aca="false">-C12</f>
        <v>951.13536</v>
      </c>
      <c r="D16" s="0" t="n">
        <f aca="false">-D12</f>
        <v>1029.901257</v>
      </c>
      <c r="E16" s="0" t="n">
        <f aca="false">-E12</f>
        <v>1125.04451598</v>
      </c>
      <c r="F16" s="0" t="n">
        <f aca="false">-F12</f>
        <v>1217.588500359</v>
      </c>
      <c r="G16" s="0" t="n">
        <f aca="false">-G12</f>
        <v>1305.4145561226</v>
      </c>
      <c r="H16" s="0" t="n">
        <f aca="false">-H12</f>
        <v>1409.84772061241</v>
      </c>
      <c r="I16" s="0" t="n">
        <f aca="false">-I12</f>
        <v>1508.53706105528</v>
      </c>
      <c r="J16" s="0" t="n">
        <f aca="false">-J12</f>
        <v>1606.59197002387</v>
      </c>
      <c r="K16" s="0" t="n">
        <f aca="false">-K12</f>
        <v>1702.9874882253</v>
      </c>
      <c r="L16" s="0" t="n">
        <f aca="false">-L12</f>
        <v>1796.65180007769</v>
      </c>
    </row>
    <row r="17" customFormat="false" ht="15" hidden="false" customHeight="false" outlineLevel="0" collapsed="false">
      <c r="A17" s="0" t="s">
        <v>120</v>
      </c>
      <c r="C17" s="4" t="n">
        <f aca="false">-C6*Assumptions!C46/100</f>
        <v>-1070.02728</v>
      </c>
      <c r="D17" s="4" t="n">
        <f aca="false">-D6*Assumptions!D46/100</f>
        <v>-1144.33473</v>
      </c>
      <c r="E17" s="4" t="n">
        <f aca="false">-E6*Assumptions!E46/100</f>
        <v>-1233.91979172</v>
      </c>
      <c r="F17" s="4" t="n">
        <f aca="false">-F6*Assumptions!F46/100</f>
        <v>-1317.390836454</v>
      </c>
      <c r="G17" s="4" t="n">
        <f aca="false">-G6*Assumptions!G46/100</f>
        <v>-1414.19910246615</v>
      </c>
      <c r="H17" s="4" t="n">
        <f aca="false">-H6*Assumptions!H46/100</f>
        <v>-1503.83756865324</v>
      </c>
      <c r="I17" s="4" t="n">
        <f aca="false">-I6*Assumptions!I46/100</f>
        <v>-1583.96391410804</v>
      </c>
      <c r="J17" s="4" t="n">
        <f aca="false">-J6*Assumptions!J46/100</f>
        <v>-1660.14503569133</v>
      </c>
      <c r="K17" s="4" t="n">
        <f aca="false">-K6*Assumptions!K46/100</f>
        <v>-1759.75373783281</v>
      </c>
      <c r="L17" s="4" t="n">
        <f aca="false">-L6*Assumptions!L46/100</f>
        <v>-1856.54019341362</v>
      </c>
    </row>
    <row r="18" customFormat="false" ht="15" hidden="false" customHeight="false" outlineLevel="0" collapsed="false">
      <c r="A18" s="0" t="s">
        <v>121</v>
      </c>
      <c r="C18" s="4" t="n">
        <f aca="false">(C6-B6)*Assumptions!$B$51/100</f>
        <v>-283.076</v>
      </c>
      <c r="D18" s="4" t="n">
        <f aca="false">(D6-C6)*Assumptions!$B$51/100</f>
        <v>-594.459600000001</v>
      </c>
      <c r="E18" s="4" t="n">
        <f aca="false">(E6-D6)*Assumptions!$B$51/100</f>
        <v>-719.296116000001</v>
      </c>
      <c r="F18" s="4" t="n">
        <f aca="false">(F6-E6)*Assumptions!$B$51/100</f>
        <v>-725.8351716</v>
      </c>
      <c r="G18" s="4" t="n">
        <f aca="false">(G6-F6)*Assumptions!$B$51/100</f>
        <v>-718.576819884002</v>
      </c>
      <c r="H18" s="4" t="n">
        <f aca="false">(H6-G6)*Assumptions!$B$51/100</f>
        <v>-696.221096598721</v>
      </c>
      <c r="I18" s="4" t="n">
        <f aca="false">(I6-H6)*Assumptions!$B$51/100</f>
        <v>-657.928936285792</v>
      </c>
      <c r="J18" s="4" t="n">
        <f aca="false">(J6-I6)*Assumptions!$B$51/100</f>
        <v>-653.699393123953</v>
      </c>
      <c r="K18" s="4" t="n">
        <f aca="false">(K6-J6)*Assumptions!$B$51/100</f>
        <v>-642.636788009548</v>
      </c>
      <c r="L18" s="4" t="n">
        <f aca="false">(L6-K6)*Assumptions!$B$51/100</f>
        <v>-624.42874568261</v>
      </c>
    </row>
    <row r="19" customFormat="false" ht="15" hidden="false" customHeight="false" outlineLevel="0" collapsed="false">
      <c r="A19" s="0" t="s">
        <v>122</v>
      </c>
      <c r="C19" s="0" t="n">
        <f aca="false">C15+C16+C17+C18</f>
        <v>2134.7398081</v>
      </c>
      <c r="D19" s="0" t="n">
        <f aca="false">D15+D16+D17+D18</f>
        <v>2205.809222505</v>
      </c>
      <c r="E19" s="0" t="n">
        <f aca="false">E15+E16+E17+E18</f>
        <v>2494.7020238448</v>
      </c>
      <c r="F19" s="0" t="n">
        <f aca="false">F15+F16+F17+F18</f>
        <v>2907.76828094676</v>
      </c>
      <c r="G19" s="0" t="n">
        <f aca="false">G15+G16+G17+G18</f>
        <v>3344.09084786222</v>
      </c>
      <c r="H19" s="0" t="n">
        <f aca="false">H15+H16+H17+H18</f>
        <v>3687.81787795561</v>
      </c>
      <c r="I19" s="0" t="n">
        <f aca="false">I15+I16+I17+I18</f>
        <v>4049.71238558071</v>
      </c>
      <c r="J19" s="0" t="n">
        <f aca="false">J15+J16+J17+J18</f>
        <v>4386.7151474976</v>
      </c>
      <c r="K19" s="0" t="n">
        <f aca="false">K15+K16+K17+K18</f>
        <v>4700.2026250493</v>
      </c>
      <c r="L19" s="0" t="n">
        <f aca="false">L15+L16+L17+L18</f>
        <v>5012.26683509448</v>
      </c>
    </row>
    <row r="20" customFormat="false" ht="15" hidden="false" customHeight="false" outlineLevel="0" collapsed="false">
      <c r="A20" s="0" t="s">
        <v>123</v>
      </c>
      <c r="C20" s="0" t="n">
        <f aca="false">1/(1+$B$27/100)^C4</f>
        <v>0.851063829787234</v>
      </c>
      <c r="D20" s="0" t="n">
        <f aca="false">1/(1+$B$27/100)^D4</f>
        <v>0.724309642372114</v>
      </c>
      <c r="E20" s="0" t="n">
        <f aca="false">1/(1+$B$27/100)^E4</f>
        <v>0.616433738189033</v>
      </c>
      <c r="F20" s="0" t="n">
        <f aca="false">1/(1+$B$27/100)^F4</f>
        <v>0.52462445803322</v>
      </c>
      <c r="G20" s="0" t="n">
        <f aca="false">1/(1+$B$27/100)^G4</f>
        <v>0.446488900453804</v>
      </c>
      <c r="H20" s="0" t="n">
        <f aca="false">1/(1+$B$27/100)^H4</f>
        <v>0.379990553577706</v>
      </c>
      <c r="I20" s="0" t="n">
        <f aca="false">1/(1+$B$27/100)^I4</f>
        <v>0.323396215810813</v>
      </c>
      <c r="J20" s="0" t="n">
        <f aca="false">1/(1+$B$27/100)^J4</f>
        <v>0.27523082196665</v>
      </c>
      <c r="K20" s="0" t="n">
        <f aca="false">1/(1+$B$27/100)^K4</f>
        <v>0.234238997418425</v>
      </c>
      <c r="L20" s="0" t="n">
        <f aca="false">1/(1+$B$27/100)^L4</f>
        <v>0.199352338228447</v>
      </c>
    </row>
    <row r="21" customFormat="false" ht="15" hidden="false" customHeight="false" outlineLevel="0" collapsed="false">
      <c r="A21" s="0" t="s">
        <v>124</v>
      </c>
      <c r="C21" s="0" t="n">
        <f aca="false">C19*C20</f>
        <v>1816.79983668085</v>
      </c>
      <c r="D21" s="0" t="n">
        <f aca="false">D19*D20</f>
        <v>1597.68888909371</v>
      </c>
      <c r="E21" s="0" t="n">
        <f aca="false">E19*E20</f>
        <v>1537.8184942264</v>
      </c>
      <c r="F21" s="0" t="n">
        <f aca="false">F19*F20</f>
        <v>1525.48635847788</v>
      </c>
      <c r="G21" s="0" t="n">
        <f aca="false">G19*G20</f>
        <v>1493.09944567963</v>
      </c>
      <c r="H21" s="0" t="n">
        <f aca="false">H19*H20</f>
        <v>1401.33595693811</v>
      </c>
      <c r="I21" s="0" t="n">
        <f aca="false">I19*I20</f>
        <v>1309.66166061898</v>
      </c>
      <c r="J21" s="0" t="n">
        <f aca="false">J19*J20</f>
        <v>1207.35921577932</v>
      </c>
      <c r="K21" s="0" t="n">
        <f aca="false">K19*K20</f>
        <v>1100.970750555</v>
      </c>
      <c r="L21" s="0" t="n">
        <f aca="false">L19*L20</f>
        <v>999.207113400981</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17.5</v>
      </c>
    </row>
    <row r="28" customFormat="false" ht="15" hidden="false" customHeight="false" outlineLevel="0" collapsed="false">
      <c r="A28" s="0" t="s">
        <v>105</v>
      </c>
      <c r="B28" s="4" t="n">
        <f aca="false">Assumptions!$B$49</f>
        <v>5</v>
      </c>
    </row>
    <row r="29" customFormat="false" ht="15" hidden="false" customHeight="false" outlineLevel="0" collapsed="false">
      <c r="A29" s="0" t="s">
        <v>106</v>
      </c>
      <c r="B29" s="4" t="n">
        <f aca="false">Assumptions!$B$50</f>
        <v>12</v>
      </c>
    </row>
    <row r="30" customFormat="false" ht="15" hidden="false" customHeight="false" outlineLevel="0" collapsed="false">
      <c r="A30" s="0" t="s">
        <v>127</v>
      </c>
      <c r="B30" s="0" t="n">
        <f aca="false">SUM(C21:L21)</f>
        <v>13989.4277214509</v>
      </c>
    </row>
    <row r="31" customFormat="false" ht="15" hidden="false" customHeight="false" outlineLevel="0" collapsed="false">
      <c r="A31" s="0" t="s">
        <v>128</v>
      </c>
      <c r="B31" s="0" t="n">
        <f aca="false">L19</f>
        <v>5012.26683509448</v>
      </c>
    </row>
    <row r="32" customFormat="false" ht="15" hidden="false" customHeight="false" outlineLevel="0" collapsed="false">
      <c r="A32" s="0" t="s">
        <v>129</v>
      </c>
      <c r="B32" s="0" t="n">
        <f aca="false">IF(B27&gt;B28,B31*(1+B28/100)/((B27-B28)/100),B31*B29)</f>
        <v>42103.0414147936</v>
      </c>
    </row>
    <row r="33" customFormat="false" ht="15" hidden="false" customHeight="false" outlineLevel="0" collapsed="false">
      <c r="A33" s="0" t="s">
        <v>130</v>
      </c>
      <c r="B33" s="0" t="n">
        <f aca="false">B31*B29</f>
        <v>60147.2020211337</v>
      </c>
    </row>
    <row r="34" customFormat="false" ht="15" hidden="false" customHeight="false" outlineLevel="0" collapsed="false">
      <c r="A34" s="0" t="s">
        <v>131</v>
      </c>
      <c r="B34" s="0" t="n">
        <f aca="false">MAX(0,MIN(B32,B33))</f>
        <v>42103.0414147936</v>
      </c>
    </row>
    <row r="35" customFormat="false" ht="15" hidden="false" customHeight="false" outlineLevel="0" collapsed="false">
      <c r="A35" s="0" t="s">
        <v>132</v>
      </c>
      <c r="B35" s="0" t="n">
        <f aca="false">B34/(1+B27/100)^L4</f>
        <v>8393.33975256824</v>
      </c>
    </row>
    <row r="36" customFormat="false" ht="15" hidden="false" customHeight="false" outlineLevel="0" collapsed="false">
      <c r="A36" s="0" t="s">
        <v>133</v>
      </c>
      <c r="B36" s="0" t="n">
        <f aca="false">B30+B35</f>
        <v>22382.7674740191</v>
      </c>
    </row>
    <row r="37" customFormat="false" ht="15" hidden="false" customHeight="false" outlineLevel="0" collapsed="false">
      <c r="A37" s="0" t="s">
        <v>134</v>
      </c>
      <c r="B37" s="0" t="n">
        <f aca="false">B36+Assumptions!$B$5-Assumptions!$B$4</f>
        <v>22382.7674740191</v>
      </c>
    </row>
    <row r="38" customFormat="false" ht="15" hidden="false" customHeight="false" outlineLevel="0" collapsed="false">
      <c r="A38" s="0" t="s">
        <v>135</v>
      </c>
      <c r="B38" s="0" t="n">
        <f aca="false">B37/Assumptions!$B$3*Assumptions!$B$10</f>
        <v>18.0390410084172</v>
      </c>
    </row>
    <row r="39" customFormat="false" ht="15" hidden="false" customHeight="false" outlineLevel="0" collapsed="false">
      <c r="A39" s="0" t="s">
        <v>136</v>
      </c>
      <c r="B39" s="4" t="n">
        <f aca="false">B38/Assumptions!$B$2-1</f>
        <v>0.888904817635305</v>
      </c>
    </row>
    <row r="41" customFormat="false" ht="15" hidden="false" customHeight="false" outlineLevel="0" collapsed="false">
      <c r="A41" s="0" t="s">
        <v>137</v>
      </c>
      <c r="B41" s="0" t="n">
        <f aca="false">SUMPRODUCT(-C10:L10/(1+$B$27/100)^C4:L4)</f>
        <v>1820.41421598791</v>
      </c>
    </row>
    <row r="42" customFormat="false" ht="15" hidden="false" customHeight="false" outlineLevel="0" collapsed="false">
      <c r="A42" s="0" t="s">
        <v>138</v>
      </c>
      <c r="B42" s="0" t="n">
        <f aca="false">IF(B27&gt;B28,-L10*(1+B28/100)/((B27-B28)/100),-L10*20)/(1+B27/100)^L4</f>
        <v>902.580178066148</v>
      </c>
    </row>
    <row r="43" customFormat="false" ht="15" hidden="false" customHeight="false" outlineLevel="0" collapsed="false">
      <c r="A43" s="0" t="s">
        <v>139</v>
      </c>
      <c r="B43" s="0" t="n">
        <f aca="false">(B37+B41+B42)/Assumptions!$B$3*Assumptions!$B$10</f>
        <v>20.2335957075645</v>
      </c>
    </row>
    <row r="45" customFormat="false" ht="15" hidden="false" customHeight="false" outlineLevel="0" collapsed="false">
      <c r="A45" s="0" t="s">
        <v>80</v>
      </c>
      <c r="B45" s="4" t="n">
        <f aca="false">Assumptions!$B$6</f>
        <v>18</v>
      </c>
    </row>
    <row r="46" customFormat="false" ht="15" hidden="false" customHeight="false" outlineLevel="0" collapsed="false">
      <c r="A46" s="0" t="s">
        <v>140</v>
      </c>
      <c r="B46" s="0" t="n">
        <f aca="false">MAX(0,MIN(IF(B45&gt;B28,B31*(1+B28/100)/((B45-B28)/100),B31*B29),B31*B29))</f>
        <v>40483.6936680708</v>
      </c>
    </row>
    <row r="47" customFormat="false" ht="15" hidden="false" customHeight="false" outlineLevel="0" collapsed="false">
      <c r="A47" s="0" t="s">
        <v>141</v>
      </c>
      <c r="B47" s="0" t="n">
        <f aca="false">(SUMPRODUCT(C19:L19/(1+B45/100)^C4:L4)+B46/(1+B45/100)^L4+Assumptions!$B$5-Assumptions!$B$4)/Assumptions!$B$3*Assumptions!$B$10</f>
        <v>17.2711197465526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9.1193625593469</v>
      </c>
      <c r="C4" s="0" t="n">
        <f aca="false">B4/Assumptions!$B$2-1</f>
        <v>-0.0450929257228375</v>
      </c>
      <c r="D4" s="4" t="n">
        <f aca="false">Assumptions!$B$24</f>
        <v>0.3</v>
      </c>
      <c r="E4" s="4" t="n">
        <f aca="false">DCF_Bear!$B$43</f>
        <v>10.9215582320992</v>
      </c>
      <c r="F4" s="4" t="n">
        <f aca="false">DCF_Bear!$B$47</f>
        <v>8.81169464752742</v>
      </c>
    </row>
    <row r="5" customFormat="false" ht="15" hidden="false" customHeight="false" outlineLevel="0" collapsed="false">
      <c r="A5" s="0" t="s">
        <v>150</v>
      </c>
      <c r="B5" s="4" t="n">
        <f aca="false">DCF_Base!$B$38</f>
        <v>14.8183769538106</v>
      </c>
      <c r="C5" s="0" t="n">
        <f aca="false">B5/Assumptions!$B$2-1</f>
        <v>0.551662508252419</v>
      </c>
      <c r="D5" s="4" t="n">
        <f aca="false">Assumptions!$B$38</f>
        <v>0.5</v>
      </c>
      <c r="E5" s="4" t="n">
        <f aca="false">DCF_Base!$B$43</f>
        <v>16.7969344069087</v>
      </c>
      <c r="F5" s="4" t="n">
        <f aca="false">DCF_Base!$B$47</f>
        <v>14.2192398175836</v>
      </c>
    </row>
    <row r="6" customFormat="false" ht="15" hidden="false" customHeight="false" outlineLevel="0" collapsed="false">
      <c r="A6" s="0" t="s">
        <v>151</v>
      </c>
      <c r="B6" s="4" t="n">
        <f aca="false">DCF_Bull!$B$38</f>
        <v>18.0390410084172</v>
      </c>
      <c r="C6" s="0" t="n">
        <f aca="false">B6/Assumptions!$B$2-1</f>
        <v>0.888904817635305</v>
      </c>
      <c r="D6" s="4" t="n">
        <f aca="false">Assumptions!$B$52</f>
        <v>0.2</v>
      </c>
      <c r="E6" s="4" t="n">
        <f aca="false">DCF_Bull!$B$43</f>
        <v>20.2335957075645</v>
      </c>
      <c r="F6" s="4" t="n">
        <f aca="false">DCF_Bull!$B$47</f>
        <v>17.2711197465526</v>
      </c>
    </row>
    <row r="8" customFormat="false" ht="15" hidden="false" customHeight="false" outlineLevel="0" collapsed="false">
      <c r="A8" s="0" t="s">
        <v>152</v>
      </c>
      <c r="B8" s="0" t="n">
        <f aca="false">SUMPRODUCT(B4:B6,D4:D6)</f>
        <v>13.7528054463928</v>
      </c>
    </row>
    <row r="9" customFormat="false" ht="15" hidden="false" customHeight="false" outlineLevel="0" collapsed="false">
      <c r="A9" s="0" t="s">
        <v>153</v>
      </c>
      <c r="B9" s="0" t="n">
        <f aca="false">SUMPRODUCT(E4:E6,D4:D6)</f>
        <v>15.721653814597</v>
      </c>
    </row>
    <row r="10" customFormat="false" ht="15" hidden="false" customHeight="false" outlineLevel="0" collapsed="false">
      <c r="A10" s="0" t="s">
        <v>154</v>
      </c>
      <c r="B10" s="0" t="n">
        <f aca="false">1-Assumptions!$B$2/B8</f>
        <v>0.305596226368137</v>
      </c>
    </row>
    <row r="11" customFormat="false" ht="15" hidden="false" customHeight="false" outlineLevel="0" collapsed="false">
      <c r="A11" s="0" t="s">
        <v>155</v>
      </c>
      <c r="B11" s="0" t="n">
        <f aca="false">IF(ABS(B9-B8)&gt;0.01*ABS(B8),(Assumptions!$B$2-B8)/(B9-B8)*100,"n/a")</f>
        <v>-213.465166452927</v>
      </c>
    </row>
    <row r="12" customFormat="false" ht="15" hidden="false" customHeight="false" outlineLevel="0" collapsed="false">
      <c r="A12" s="0" t="s">
        <v>156</v>
      </c>
      <c r="B12" s="0" t="n">
        <f aca="false">SUMPRODUCT(F4:F6,D4:D6)</f>
        <v>13.2073522523605</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29.7946378839943</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27.7527690786522</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25.8875895065668</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24.1818212036753</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18.7289188089342</v>
      </c>
      <c r="C19" s="3" t="n">
        <v>15</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14.8183769538106</v>
      </c>
      <c r="C20" s="3" t="n">
        <v>17.5</v>
      </c>
    </row>
    <row r="22" customFormat="false" ht="15" hidden="false" customHeight="false" outlineLevel="0" collapsed="false">
      <c r="A22" s="2" t="s">
        <v>165</v>
      </c>
    </row>
    <row r="23" customFormat="false" ht="15" hidden="false" customHeight="false" outlineLevel="0" collapsed="false">
      <c r="B23" s="3" t="n">
        <v>4</v>
      </c>
      <c r="C23" s="3" t="n">
        <v>4.5</v>
      </c>
      <c r="D23" s="3" t="n">
        <v>5</v>
      </c>
      <c r="E23" s="3" t="n">
        <v>5.5</v>
      </c>
      <c r="F23" s="3" t="n">
        <v>6</v>
      </c>
    </row>
    <row r="24" customFormat="false" ht="15" hidden="false" customHeight="false" outlineLevel="0" collapsed="false">
      <c r="A24" s="3" t="n">
        <v>15.5</v>
      </c>
      <c r="B24" s="0" t="n">
        <f aca="false">(SUMPRODUCT(DCF_Base!$C$19:$L$19/(1+$A$24/100)^DCF_Base!$C$4:$L$4)+MAX(0,MIN(IF($A$24&gt;$B$23,DCF_Base!$L$19*(1+$B$23/100)/(($A$24-$B$23)/100),DCF_Base!$L$19*DCF_Base!$B$29),DCF_Base!$L$19*DCF_Base!$B$29))/(1+$A$24/100)^DCF_Base!$L$4+Assumptions!$B$5-Assumptions!$B$4)/Assumptions!$B$3*Assumptions!$B$10</f>
        <v>17.0960519127451</v>
      </c>
      <c r="C24" s="0" t="n">
        <f aca="false">(SUMPRODUCT(DCF_Base!$C$19:$L$19/(1+$A$24/100)^DCF_Base!$C$4:$L$4)+MAX(0,MIN(IF($A$24&gt;$C$23,DCF_Base!$L$19*(1+$C$23/100)/(($A$24-$C$23)/100),DCF_Base!$L$19*DCF_Base!$B$29),DCF_Base!$L$19*DCF_Base!$B$29))/(1+$A$24/100)^DCF_Base!$L$4+Assumptions!$B$5-Assumptions!$B$4)/Assumptions!$B$3*Assumptions!$B$10</f>
        <v>17.429961502132</v>
      </c>
      <c r="D24" s="0" t="n">
        <f aca="false">(SUMPRODUCT(DCF_Base!$C$19:$L$19/(1+$A$24/100)^DCF_Base!$C$4:$L$4)+MAX(0,MIN(IF($A$24&gt;$D$23,DCF_Base!$L$19*(1+$D$23/100)/(($A$24-$D$23)/100),DCF_Base!$L$19*DCF_Base!$B$29),DCF_Base!$L$19*DCF_Base!$B$29))/(1+$A$24/100)^DCF_Base!$L$4+Assumptions!$B$5-Assumptions!$B$4)/Assumptions!$B$3*Assumptions!$B$10</f>
        <v>17.795672004794</v>
      </c>
      <c r="E24" s="0" t="n">
        <f aca="false">(SUMPRODUCT(DCF_Base!$C$19:$L$19/(1+$A$24/100)^DCF_Base!$C$4:$L$4)+MAX(0,MIN(IF($A$24&gt;$E$23,DCF_Base!$L$19*(1+$E$23/100)/(($A$24-$E$23)/100),DCF_Base!$L$19*DCF_Base!$B$29),DCF_Base!$L$19*DCF_Base!$B$29))/(1+$A$24/100)^DCF_Base!$L$4+Assumptions!$B$5-Assumptions!$B$4)/Assumptions!$B$3*Assumptions!$B$10</f>
        <v>18.1979535577221</v>
      </c>
      <c r="F24" s="0" t="n">
        <f aca="false">(SUMPRODUCT(DCF_Base!$C$19:$L$19/(1+$A$24/100)^DCF_Base!$C$4:$L$4)+MAX(0,MIN(IF($A$24&gt;$F$23,DCF_Base!$L$19*(1+$F$23/100)/(($A$24-$F$23)/100),DCF_Base!$L$19*DCF_Base!$B$29),DCF_Base!$L$19*DCF_Base!$B$29))/(1+$A$24/100)^DCF_Base!$L$4+Assumptions!$B$5-Assumptions!$B$4)/Assumptions!$B$3*Assumptions!$B$10</f>
        <v>18.6425805372742</v>
      </c>
    </row>
    <row r="25" customFormat="false" ht="15" hidden="false" customHeight="false" outlineLevel="0" collapsed="false">
      <c r="A25" s="3" t="n">
        <v>16.5</v>
      </c>
      <c r="B25" s="0" t="n">
        <f aca="false">(SUMPRODUCT(DCF_Base!$C$19:$L$19/(1+$A$25/100)^DCF_Base!$C$4:$L$4)+MAX(0,MIN(IF($A$25&gt;$B$23,DCF_Base!$L$19*(1+$B$23/100)/(($A$25-$B$23)/100),DCF_Base!$L$19*DCF_Base!$B$29),DCF_Base!$L$19*DCF_Base!$B$29))/(1+$A$25/100)^DCF_Base!$L$4+Assumptions!$B$5-Assumptions!$B$4)/Assumptions!$B$3*Assumptions!$B$10</f>
        <v>15.631855697864</v>
      </c>
      <c r="C25" s="0" t="n">
        <f aca="false">(SUMPRODUCT(DCF_Base!$C$19:$L$19/(1+$A$25/100)^DCF_Base!$C$4:$L$4)+MAX(0,MIN(IF($A$25&gt;$C$23,DCF_Base!$L$19*(1+$C$23/100)/(($A$25-$C$23)/100),DCF_Base!$L$19*DCF_Base!$B$29),DCF_Base!$L$19*DCF_Base!$B$29))/(1+$A$25/100)^DCF_Base!$L$4+Assumptions!$B$5-Assumptions!$B$4)/Assumptions!$B$3*Assumptions!$B$10</f>
        <v>15.8924306626671</v>
      </c>
      <c r="D25" s="0" t="n">
        <f aca="false">(SUMPRODUCT(DCF_Base!$C$19:$L$19/(1+$A$25/100)^DCF_Base!$C$4:$L$4)+MAX(0,MIN(IF($A$25&gt;$D$23,DCF_Base!$L$19*(1+$D$23/100)/(($A$25-$D$23)/100),DCF_Base!$L$19*DCF_Base!$B$29),DCF_Base!$L$19*DCF_Base!$B$29))/(1+$A$25/100)^DCF_Base!$L$4+Assumptions!$B$5-Assumptions!$B$4)/Assumptions!$B$3*Assumptions!$B$10</f>
        <v>16.1756643200618</v>
      </c>
      <c r="E25" s="0" t="n">
        <f aca="false">(SUMPRODUCT(DCF_Base!$C$19:$L$19/(1+$A$25/100)^DCF_Base!$C$4:$L$4)+MAX(0,MIN(IF($A$25&gt;$E$23,DCF_Base!$L$19*(1+$E$23/100)/(($A$25-$E$23)/100),DCF_Base!$L$19*DCF_Base!$B$29),DCF_Base!$L$19*DCF_Base!$B$29))/(1+$A$25/100)^DCF_Base!$L$4+Assumptions!$B$5-Assumptions!$B$4)/Assumptions!$B$3*Assumptions!$B$10</f>
        <v>16.4846464917651</v>
      </c>
      <c r="F25" s="0" t="n">
        <f aca="false">(SUMPRODUCT(DCF_Base!$C$19:$L$19/(1+$A$25/100)^DCF_Base!$C$4:$L$4)+MAX(0,MIN(IF($A$25&gt;$F$23,DCF_Base!$L$19*(1+$F$23/100)/(($A$25-$F$23)/100),DCF_Base!$L$19*DCF_Base!$B$29),DCF_Base!$L$19*DCF_Base!$B$29))/(1+$A$25/100)^DCF_Base!$L$4+Assumptions!$B$5-Assumptions!$B$4)/Assumptions!$B$3*Assumptions!$B$10</f>
        <v>16.8230555369639</v>
      </c>
    </row>
    <row r="26" customFormat="false" ht="15" hidden="false" customHeight="false" outlineLevel="0" collapsed="false">
      <c r="A26" s="3" t="n">
        <v>17.5</v>
      </c>
      <c r="B26" s="0" t="n">
        <f aca="false">(SUMPRODUCT(DCF_Base!$C$19:$L$19/(1+$A$26/100)^DCF_Base!$C$4:$L$4)+MAX(0,MIN(IF($A$26&gt;$B$23,DCF_Base!$L$19*(1+$B$23/100)/(($A$26-$B$23)/100),DCF_Base!$L$19*DCF_Base!$B$29),DCF_Base!$L$19*DCF_Base!$B$29))/(1+$A$26/100)^DCF_Base!$L$4+Assumptions!$B$5-Assumptions!$B$4)/Assumptions!$B$3*Assumptions!$B$10</f>
        <v>14.3894308871655</v>
      </c>
      <c r="C26" s="0" t="n">
        <f aca="false">(SUMPRODUCT(DCF_Base!$C$19:$L$19/(1+$A$26/100)^DCF_Base!$C$4:$L$4)+MAX(0,MIN(IF($A$26&gt;$C$23,DCF_Base!$L$19*(1+$C$23/100)/(($A$26-$C$23)/100),DCF_Base!$L$19*DCF_Base!$B$29),DCF_Base!$L$19*DCF_Base!$B$29))/(1+$A$26/100)^DCF_Base!$L$4+Assumptions!$B$5-Assumptions!$B$4)/Assumptions!$B$3*Assumptions!$B$10</f>
        <v>14.5956549576679</v>
      </c>
      <c r="D26" s="0" t="n">
        <f aca="false">(SUMPRODUCT(DCF_Base!$C$19:$L$19/(1+$A$26/100)^DCF_Base!$C$4:$L$4)+MAX(0,MIN(IF($A$26&gt;$D$23,DCF_Base!$L$19*(1+$D$23/100)/(($A$26-$D$23)/100),DCF_Base!$L$19*DCF_Base!$B$29),DCF_Base!$L$19*DCF_Base!$B$29))/(1+$A$26/100)^DCF_Base!$L$4+Assumptions!$B$5-Assumptions!$B$4)/Assumptions!$B$3*Assumptions!$B$10</f>
        <v>14.8183769538106</v>
      </c>
      <c r="E26" s="0" t="n">
        <f aca="false">(SUMPRODUCT(DCF_Base!$C$19:$L$19/(1+$A$26/100)^DCF_Base!$C$4:$L$4)+MAX(0,MIN(IF($A$26&gt;$E$23,DCF_Base!$L$19*(1+$E$23/100)/(($A$26-$E$23)/100),DCF_Base!$L$19*DCF_Base!$B$29),DCF_Base!$L$19*DCF_Base!$B$29))/(1+$A$26/100)^DCF_Base!$L$4+Assumptions!$B$5-Assumptions!$B$4)/Assumptions!$B$3*Assumptions!$B$10</f>
        <v>15.0596591162985</v>
      </c>
      <c r="F26" s="0" t="n">
        <f aca="false">(SUMPRODUCT(DCF_Base!$C$19:$L$19/(1+$A$26/100)^DCF_Base!$C$4:$L$4)+MAX(0,MIN(IF($A$26&gt;$F$23,DCF_Base!$L$19*(1+$F$23/100)/(($A$26-$F$23)/100),DCF_Base!$L$19*DCF_Base!$B$29),DCF_Base!$L$19*DCF_Base!$B$29))/(1+$A$26/100)^DCF_Base!$L$4+Assumptions!$B$5-Assumptions!$B$4)/Assumptions!$B$3*Assumptions!$B$10</f>
        <v>15.321922336394</v>
      </c>
    </row>
    <row r="27" customFormat="false" ht="15" hidden="false" customHeight="false" outlineLevel="0" collapsed="false">
      <c r="A27" s="3" t="n">
        <v>18.5</v>
      </c>
      <c r="B27" s="0" t="n">
        <f aca="false">(SUMPRODUCT(DCF_Base!$C$19:$L$19/(1+$A$27/100)^DCF_Base!$C$4:$L$4)+MAX(0,MIN(IF($A$27&gt;$B$23,DCF_Base!$L$19*(1+$B$23/100)/(($A$27-$B$23)/100),DCF_Base!$L$19*DCF_Base!$B$29),DCF_Base!$L$19*DCF_Base!$B$29))/(1+$A$27/100)^DCF_Base!$L$4+Assumptions!$B$5-Assumptions!$B$4)/Assumptions!$B$3*Assumptions!$B$10</f>
        <v>13.3225958417003</v>
      </c>
      <c r="C27" s="0" t="n">
        <f aca="false">(SUMPRODUCT(DCF_Base!$C$19:$L$19/(1+$A$27/100)^DCF_Base!$C$4:$L$4)+MAX(0,MIN(IF($A$27&gt;$C$23,DCF_Base!$L$19*(1+$C$23/100)/(($A$27-$C$23)/100),DCF_Base!$L$19*DCF_Base!$B$29),DCF_Base!$L$19*DCF_Base!$B$29))/(1+$A$27/100)^DCF_Base!$L$4+Assumptions!$B$5-Assumptions!$B$4)/Assumptions!$B$3*Assumptions!$B$10</f>
        <v>13.4877905319923</v>
      </c>
      <c r="D27" s="0" t="n">
        <f aca="false">(SUMPRODUCT(DCF_Base!$C$19:$L$19/(1+$A$27/100)^DCF_Base!$C$4:$L$4)+MAX(0,MIN(IF($A$27&gt;$D$23,DCF_Base!$L$19*(1+$D$23/100)/(($A$27-$D$23)/100),DCF_Base!$L$19*DCF_Base!$B$29),DCF_Base!$L$19*DCF_Base!$B$29))/(1+$A$27/100)^DCF_Base!$L$4+Assumptions!$B$5-Assumptions!$B$4)/Assumptions!$B$3*Assumptions!$B$10</f>
        <v>13.6652218660097</v>
      </c>
      <c r="E27" s="0" t="n">
        <f aca="false">(SUMPRODUCT(DCF_Base!$C$19:$L$19/(1+$A$27/100)^DCF_Base!$C$4:$L$4)+MAX(0,MIN(IF($A$27&gt;$E$23,DCF_Base!$L$19*(1+$E$23/100)/(($A$27-$E$23)/100),DCF_Base!$L$19*DCF_Base!$B$29),DCF_Base!$L$19*DCF_Base!$B$29))/(1+$A$27/100)^DCF_Base!$L$4+Assumptions!$B$5-Assumptions!$B$4)/Assumptions!$B$3*Assumptions!$B$10</f>
        <v>13.8563017641822</v>
      </c>
      <c r="F27" s="0" t="n">
        <f aca="false">(SUMPRODUCT(DCF_Base!$C$19:$L$19/(1+$A$27/100)^DCF_Base!$C$4:$L$4)+MAX(0,MIN(IF($A$27&gt;$F$23,DCF_Base!$L$19*(1+$F$23/100)/(($A$27-$F$23)/100),DCF_Base!$L$19*DCF_Base!$B$29),DCF_Base!$L$19*DCF_Base!$B$29))/(1+$A$27/100)^DCF_Base!$L$4+Assumptions!$B$5-Assumptions!$B$4)/Assumptions!$B$3*Assumptions!$B$10</f>
        <v>14.0626680542086</v>
      </c>
    </row>
    <row r="28" customFormat="false" ht="15" hidden="false" customHeight="false" outlineLevel="0" collapsed="false">
      <c r="A28" s="3" t="n">
        <v>19.5</v>
      </c>
      <c r="B28" s="0" t="n">
        <f aca="false">(SUMPRODUCT(DCF_Base!$C$19:$L$19/(1+$A$28/100)^DCF_Base!$C$4:$L$4)+MAX(0,MIN(IF($A$28&gt;$B$23,DCF_Base!$L$19*(1+$B$23/100)/(($A$28-$B$23)/100),DCF_Base!$L$19*DCF_Base!$B$29),DCF_Base!$L$19*DCF_Base!$B$29))/(1+$A$28/100)^DCF_Base!$L$4+Assumptions!$B$5-Assumptions!$B$4)/Assumptions!$B$3*Assumptions!$B$10</f>
        <v>12.3971081163525</v>
      </c>
      <c r="C28" s="0" t="n">
        <f aca="false">(SUMPRODUCT(DCF_Base!$C$19:$L$19/(1+$A$28/100)^DCF_Base!$C$4:$L$4)+MAX(0,MIN(IF($A$28&gt;$C$23,DCF_Base!$L$19*(1+$C$23/100)/(($A$28-$C$23)/100),DCF_Base!$L$19*DCF_Base!$B$29),DCF_Base!$L$19*DCF_Base!$B$29))/(1+$A$28/100)^DCF_Base!$L$4+Assumptions!$B$5-Assumptions!$B$4)/Assumptions!$B$3*Assumptions!$B$10</f>
        <v>12.530836369107</v>
      </c>
      <c r="D28" s="0" t="n">
        <f aca="false">(SUMPRODUCT(DCF_Base!$C$19:$L$19/(1+$A$28/100)^DCF_Base!$C$4:$L$4)+MAX(0,MIN(IF($A$28&gt;$D$23,DCF_Base!$L$19*(1+$D$23/100)/(($A$28-$D$23)/100),DCF_Base!$L$19*DCF_Base!$B$29),DCF_Base!$L$19*DCF_Base!$B$29))/(1+$A$28/100)^DCF_Base!$L$4+Assumptions!$B$5-Assumptions!$B$4)/Assumptions!$B$3*Assumptions!$B$10</f>
        <v>12.6737872599825</v>
      </c>
      <c r="E28" s="0" t="n">
        <f aca="false">(SUMPRODUCT(DCF_Base!$C$19:$L$19/(1+$A$28/100)^DCF_Base!$C$4:$L$4)+MAX(0,MIN(IF($A$28&gt;$E$23,DCF_Base!$L$19*(1+$E$23/100)/(($A$28-$E$23)/100),DCF_Base!$L$19*DCF_Base!$B$29),DCF_Base!$L$19*DCF_Base!$B$29))/(1+$A$28/100)^DCF_Base!$L$4+Assumptions!$B$5-Assumptions!$B$4)/Assumptions!$B$3*Assumptions!$B$10</f>
        <v>12.8269489287777</v>
      </c>
      <c r="F28" s="0" t="n">
        <f aca="false">(SUMPRODUCT(DCF_Base!$C$19:$L$19/(1+$A$28/100)^DCF_Base!$C$4:$L$4)+MAX(0,MIN(IF($A$28&gt;$F$23,DCF_Base!$L$19*(1+$F$23/100)/(($A$28-$F$23)/100),DCF_Base!$L$19*DCF_Base!$B$29),DCF_Base!$L$19*DCF_Base!$B$29))/(1+$A$28/100)^DCF_Base!$L$4+Assumptions!$B$5-Assumptions!$B$4)/Assumptions!$B$3*Assumptions!$B$10</f>
        <v>12.9914559063725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2026-10-04T08:42:32Z</dcterms:created>
  <dc:creator>openpyxl</dc:creator>
  <dc:description/>
  <dc:language>en-NZ</dc:language>
  <cp:lastModifiedBy/>
  <dcterms:modified xsi:type="dcterms:W3CDTF">2026-10-04T08:42:32Z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