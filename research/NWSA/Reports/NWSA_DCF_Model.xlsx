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<sst xmlns="http://schemas.openxmlformats.org/spreadsheetml/2006/main" count="377" uniqueCount="170">
  <si>
    <t xml:space="preserve">Ticker</t>
  </si>
  <si>
    <t xml:space="preserve">NWSA</t>
  </si>
  <si>
    <t xml:space="preserve">Company</t>
  </si>
  <si>
    <t xml:space="preserve">News Corporation (Class A)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</si>
  <si>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</si>
  <si>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</si>
  <si>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</si>
  <si>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</si>
  <si>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</si>
  <si>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</si>
  <si>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</si>
  <si>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</si>
  <si>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</si>
  <si>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</si>
  <si>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</si>
  <si>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</si>
  <si>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</si>
  <si>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</si>
  <si>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</si>
  <si>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</si>
  <si>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</si>
  <si>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2026-10-02T03:03:31Z</t>
  </si>
  <si>
    <t xml:space="preserve">Drivers file</t>
  </si>
  <si>
    <t xml:space="preserve">NWSA_Drivers.json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</si>
  <si>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</si>
  <si>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</si>
  <si>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</si>
  <si>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consolidated owner-FCF DCF on continuing operations, with SBC expensed and the share count flat, recurring restructuring charged as a real cost, and the REA Group minority charged once through a tax-plus-leakage driver (so the value is attributable to News Corp shareholders). The headline is what the group's own cash flows are worth at a 9% WACC; it does NOT mark the 62% REA stake to REA's ASX price. Sum-of-parts memo for the reader: at REA.AX A$154.67 (2026-10-02, AUDUSD 0.6928) News Corp's 62% of REA is worth ~US$8.9B (~$16/share) before any holding-company discount, so the market price of ~$28-29 implies ~US$6-7B (~5-6x FY2026 segment EBITDA of ~$1.0B) for Dow Jones + HarperCollins + News Media + Move + corporate, net of cash and investments. The DCF value below the market price therefore says: the stock is only cheap if you believe REA deserves its ~30x earnings market multiple and that it can be realised (spin, sale or collapse of the dual-class structure); on the group's own discounted cash flows it is fully priced.
key_risks_to_valuation: REA Group market multiple vs DCF multiple: the single largest swing. Marking the 38% minority at market instead of at the DCF's own value would lower intrinsic value; marking the 62% stake at market (SOTP) would raise it well above the house number.; Housing cyclicality: Digital Real Estate Services is 46% of segment EBITDA and tied to listings volumes in Australia and the US, both interest-rate sensitive.; AI disintermediation vs AI licensing: OpenAI (~$250M/5yr) and Meta (up to $50M/yr) are fixed-term; non-renewal plus traffic loss is the bear axis.; Structural print decline in News Media (~25% of revenue, ~6% margin) and whether restructuring charges ever stop recurring (the model assumes they do not).; Governance: dual-class structure with ~41% Murdoch voting power on ~14% economic interest; Starboard's proposal to collapse it is non-binding. A persistent conglomerate/governance discount is why the exit cap is 15x rather than 20x.; FX: AUD and GBP earnings translated to USD; a 10% AUD move shifts roughly 2-3% of group EBITDA.; Capital allocation: $1B buyback program and M&amp;A (122 of acquisitions in FY2026); the flat share count assumes buybacks only offset SBC, so incremental repurchases below intrinsic value are upside not modelled.</t>
  </si>
  <si>
    <t xml:space="preserve">Data sources</t>
  </si>
  <si>
    <t xml:space="preserve">price: Yahoo Finance chart API at inputs.price_as_of (regular close); 52-week range 22.20-31.66. REA.AX and AUDUSD=X from the same endpoint on 2026-10-02 for the NCI market-value memo.
financials: SEC XBRL companyfacts (CIK 1564708) and the FY2026 Form 10-K (nws-20260630.htm, filed 2026-08-07): continuing-ops OCF 1,237, capex 426, D&amp;A 485, SBC 77, restructuring 86, cash taxes 272, NCI 170 of 743 continuing NI, debt 1,989 / cash 2,095 at 2026-06-30, investments 1,002 (Note 6), operating lease liability 926, segment table (Dow Jones 2,497/663; Digital Real Estate 2,016/741; Books 2,288/287; News Media 2,227/139; Other -/-203), cover-page shares at 2026-07-31, REA 62.0% / Move 80%. NWSA_Metrics.csv (82 periods) for history.
qualitative: NWSA_Analysis.json (2026-10-02): segment mix, Foxtel divestiture, AI licensing deals, Dow Jones FY2030 target, governance and bull/bear axes.</t>
  </si>
  <si>
    <t xml:space="preserve">Scenario narrative: bear</t>
  </si>
  <si>
    <t xml:space="preserve">Secular print decline, AI traffic disintermediation without durable licensing income, and a housing downturn in both portal markets arrive together; growth stalls near 1.5%, margins drift down to 16.5%, and the dual-class discount persists (12x cap).</t>
  </si>
  <si>
    <t xml:space="preserve">Scenario narrative: base</t>
  </si>
  <si>
    <t xml:space="preserve">Post-Foxtel News Corp is a 5%-growth, ~18-20% margin information and listings group: Dow Jones' B2B data and WSJ subscriptions and the two property portals carry the growth, HarperCollins is a cash cow, News Media is managed for cash through perpetual restructuring. Margin expands ~2.5pp over seven years, roughly half the pace management achieved in FY2026. 38% of the Digital Real Estate profit leaks to REA minorities throughout.</t>
  </si>
  <si>
    <t xml:space="preserve">Scenario narrative: bull</t>
  </si>
  <si>
    <t xml:space="preserve">The 'core growth pillars' deliver: Dow Jones reaches its $1B FY2030 EBITDA target, AI licensing broadens beyond two counterparties, realtor.com closes some of the monetisation gap to Zillow and REA keeps compounding. Margins reach 22.5%. Even so the value is bounded by the minority leakage on the fastest-growing piece and an 18x exit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</si>
  <si>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</si>
  <si>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</si>
  <si>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</si>
  <si>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</si>
  <si>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</si>
  <si>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</si>
  <si>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</si>
  <si>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</si>
  <si>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</si>
  <si>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</si>
  <si>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</si>
  <si>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</si>
  <si>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</si>
  <si>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</si>
  <si>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</si>
  <si>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</si>
  <si>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</si>
  <si>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</si>
  <si>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</si>
  <si>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</si>
  <si>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</si>
  <si>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</si>
  <si>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</si>
  <si>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</si>
  <si>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</si>
  <si>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</si>
  <si>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</si>
  <si>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</si>
  <si>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</si>
  <si>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</si>
  <si>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</si>
  <si>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</si>
  <si>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</si>
  <si>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</si>
  <si>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</si>
  <si>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</si>
  <si>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</si>
  <si>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</si>
  <si>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</si>
  <si>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</si>
  <si>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</si>
  <si>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</si>
  <si>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</si>
  <si>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</si>
  <si>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</si>
  <si>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</si>
  <si>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</si>
  <si>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</si>
  <si>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</si>
  <si>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</si>
  <si>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</si>
  <si>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</si>
  <si>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</si>
  <si>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</si>
  <si>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</si>
  <si>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</si>
  <si>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</si>
  <si>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</si>
  <si>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</si>
  <si>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</si>
  <si>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</si>
  <si>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</si>
  <si>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</si>
  <si>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</si>
  <si>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</si>
  <si>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</si>
  <si>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</si>
  <si>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</si>
  <si>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</si>
  <si>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</si>
  <si>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</si>
  <si>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</si>
  <si>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</si>
  <si>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</si>
  <si>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</si>
  <si>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</si>
  <si>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</si>
  <si>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</si>
  <si>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</si>
  <si>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</si>
  <si>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NWSA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</si>
  <si>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</si>
  <si>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</si>
  <si>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</si>
  <si>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</si>
  <si>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</si>
  <si>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</si>
  <si>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</si>
  <si>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</si>
  <si>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</si>
  <si>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</si>
  <si>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</si>
  <si>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</si>
  <si>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</si>
  <si>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</si>
  <si>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</si>
  <si>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</si>
  <si>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</si>
  <si>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</si>
  <si>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</si>
  <si>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</si>
  <si>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</si>
  <si>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</si>
  <si>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</si>
  <si>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</si>
  <si>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</si>
  <si>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</si>
  <si>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</si>
  <si>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</si>
  <si>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</si>
  <si>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</si>
  <si>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NWSA owner-FCF component DCF: base case (millions, USD)</t>
  </si>
  <si>
    <t xml:space="preserve">NWSA owner-FCF component DCF: bull case (millions, USD)</t>
  </si>
  <si>
    <t xml:space="preserve">NWSA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</si>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</sst>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28.64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12429</v>
      </c>
      <c r="S2" s="0" t="n">
        <v>2022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8654</v>
      </c>
      <c r="I3" s="0" t="n">
        <v>-2075</v>
      </c>
      <c r="J3" s="0" t="n">
        <v>-23.9773515137509</v>
      </c>
      <c r="K3" s="0" t="n">
        <v>-3.58</v>
      </c>
      <c r="M3" s="0" t="n">
        <v>375</v>
      </c>
      <c r="O3" s="0" t="n">
        <v>8919</v>
      </c>
      <c r="S3" s="0" t="n">
        <v>1133</v>
      </c>
      <c r="T3" s="0" t="n">
        <v>578.8</v>
      </c>
      <c r="U3" s="0" t="n">
        <v>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8891</v>
      </c>
      <c r="I4" s="0" t="n">
        <v>547</v>
      </c>
      <c r="J4" s="0" t="n">
        <v>6.15228883140254</v>
      </c>
      <c r="K4" s="0" t="n">
        <v>0.87</v>
      </c>
      <c r="M4" s="0" t="n">
        <v>332</v>
      </c>
      <c r="O4" s="0" t="n">
        <v>12676</v>
      </c>
      <c r="P4" s="0" t="n">
        <v>15643</v>
      </c>
      <c r="S4" s="0" t="n">
        <v>2381</v>
      </c>
      <c r="T4" s="0" t="n">
        <v>579.4</v>
      </c>
      <c r="U4" s="0" t="n">
        <v>49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8486</v>
      </c>
      <c r="I5" s="0" t="n">
        <v>294</v>
      </c>
      <c r="J5" s="0" t="n">
        <v>3.46452981381098</v>
      </c>
      <c r="K5" s="0" t="n">
        <v>0.41</v>
      </c>
      <c r="M5" s="0" t="n">
        <v>358</v>
      </c>
      <c r="O5" s="0" t="n">
        <v>13399</v>
      </c>
      <c r="P5" s="0" t="n">
        <v>16489</v>
      </c>
      <c r="S5" s="0" t="n">
        <v>3145</v>
      </c>
      <c r="T5" s="0" t="n">
        <v>579.7</v>
      </c>
      <c r="U5" s="0" t="n">
        <v>32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8524</v>
      </c>
      <c r="I6" s="0" t="n">
        <v>-147</v>
      </c>
      <c r="J6" s="0" t="n">
        <v>-1.72454246832473</v>
      </c>
      <c r="K6" s="0" t="n">
        <v>-0.26</v>
      </c>
      <c r="L6" s="0" t="n">
        <v>831</v>
      </c>
      <c r="M6" s="0" t="n">
        <v>308</v>
      </c>
      <c r="N6" s="0" t="n">
        <v>523</v>
      </c>
      <c r="O6" s="0" t="n">
        <v>12116</v>
      </c>
      <c r="P6" s="0" t="n">
        <v>15035</v>
      </c>
      <c r="R6" s="0" t="n">
        <v>0</v>
      </c>
      <c r="S6" s="0" t="n">
        <v>1951</v>
      </c>
      <c r="T6" s="0" t="n">
        <v>582.6</v>
      </c>
      <c r="U6" s="0" t="n">
        <v>53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8292</v>
      </c>
      <c r="I7" s="0" t="n">
        <v>250</v>
      </c>
      <c r="J7" s="0" t="n">
        <v>3.01495417269658</v>
      </c>
      <c r="L7" s="0" t="n">
        <v>878</v>
      </c>
      <c r="M7" s="0" t="n">
        <v>256</v>
      </c>
      <c r="N7" s="0" t="n">
        <v>622</v>
      </c>
      <c r="O7" s="0" t="n">
        <v>11782</v>
      </c>
      <c r="P7" s="0" t="n">
        <v>15483</v>
      </c>
      <c r="R7" s="0" t="n">
        <v>375</v>
      </c>
      <c r="S7" s="0" t="n">
        <v>1832</v>
      </c>
      <c r="T7" s="0" t="n">
        <v>582.5</v>
      </c>
      <c r="U7" s="0" t="n">
        <v>55</v>
      </c>
      <c r="V7" s="0" t="n">
        <v>0.2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8139</v>
      </c>
      <c r="I8" s="0" t="n">
        <v>-738</v>
      </c>
      <c r="J8" s="0" t="n">
        <v>-9.06745300405455</v>
      </c>
      <c r="K8" s="0" t="n">
        <v>-1.27</v>
      </c>
      <c r="L8" s="0" t="n">
        <v>494</v>
      </c>
      <c r="M8" s="0" t="n">
        <v>256</v>
      </c>
      <c r="N8" s="0" t="n">
        <v>238</v>
      </c>
      <c r="O8" s="0" t="n">
        <v>11073</v>
      </c>
      <c r="P8" s="0" t="n">
        <v>14552</v>
      </c>
      <c r="R8" s="0" t="n">
        <v>482</v>
      </c>
      <c r="S8" s="0" t="n">
        <v>2016</v>
      </c>
      <c r="T8" s="0" t="n">
        <v>581.4</v>
      </c>
      <c r="U8" s="0" t="n">
        <v>38</v>
      </c>
      <c r="V8" s="0" t="n">
        <v>0.2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9024</v>
      </c>
      <c r="I9" s="0" t="n">
        <v>-1514</v>
      </c>
      <c r="J9" s="0" t="n">
        <v>-16.7774822695036</v>
      </c>
      <c r="K9" s="0" t="n">
        <v>-2.6</v>
      </c>
      <c r="L9" s="0" t="n">
        <v>757</v>
      </c>
      <c r="M9" s="0" t="n">
        <v>364</v>
      </c>
      <c r="N9" s="0" t="n">
        <v>393</v>
      </c>
      <c r="O9" s="0" t="n">
        <v>10477</v>
      </c>
      <c r="P9" s="0" t="n">
        <v>16346</v>
      </c>
      <c r="R9" s="0" t="n">
        <v>2414</v>
      </c>
      <c r="S9" s="0" t="n">
        <v>2034</v>
      </c>
      <c r="T9" s="0" t="n">
        <v>582.7</v>
      </c>
      <c r="U9" s="0" t="n">
        <v>76</v>
      </c>
      <c r="V9" s="0" t="n">
        <v>0.2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10074</v>
      </c>
      <c r="I10" s="0" t="n">
        <v>228</v>
      </c>
      <c r="J10" s="0" t="n">
        <v>2.263251935676</v>
      </c>
      <c r="K10" s="0" t="n">
        <v>0.27</v>
      </c>
      <c r="L10" s="0" t="n">
        <v>928</v>
      </c>
      <c r="M10" s="0" t="n">
        <v>572</v>
      </c>
      <c r="N10" s="0" t="n">
        <v>356</v>
      </c>
      <c r="O10" s="0" t="n">
        <v>10311</v>
      </c>
      <c r="P10" s="0" t="n">
        <v>15711</v>
      </c>
      <c r="R10" s="0" t="n">
        <v>1902</v>
      </c>
      <c r="S10" s="0" t="n">
        <v>1643</v>
      </c>
      <c r="T10" s="0" t="n">
        <v>587.9</v>
      </c>
      <c r="U10" s="0" t="n">
        <v>73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9008</v>
      </c>
      <c r="I11" s="0" t="n">
        <v>-1545</v>
      </c>
      <c r="J11" s="0" t="n">
        <v>-17.1514209591474</v>
      </c>
      <c r="K11" s="0" t="n">
        <v>-2.16</v>
      </c>
      <c r="L11" s="0" t="n">
        <v>780</v>
      </c>
      <c r="M11" s="0" t="n">
        <v>438</v>
      </c>
      <c r="N11" s="0" t="n">
        <v>342</v>
      </c>
      <c r="O11" s="0" t="n">
        <v>8389</v>
      </c>
      <c r="P11" s="0" t="n">
        <v>14261</v>
      </c>
      <c r="R11" s="0" t="n">
        <v>1335</v>
      </c>
      <c r="S11" s="0" t="n">
        <v>1517</v>
      </c>
      <c r="T11" s="0" t="n">
        <v>587.9</v>
      </c>
      <c r="U11" s="0" t="n">
        <v>69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9358</v>
      </c>
      <c r="I12" s="0" t="n">
        <v>389</v>
      </c>
      <c r="J12" s="0" t="n">
        <v>4.15687112630904</v>
      </c>
      <c r="K12" s="0" t="n">
        <v>0.56</v>
      </c>
      <c r="L12" s="0" t="n">
        <v>1237</v>
      </c>
      <c r="M12" s="0" t="n">
        <v>390</v>
      </c>
      <c r="N12" s="0" t="n">
        <v>847</v>
      </c>
      <c r="O12" s="0" t="n">
        <v>9146</v>
      </c>
      <c r="P12" s="0" t="n">
        <v>16771</v>
      </c>
      <c r="R12" s="0" t="n">
        <v>2341</v>
      </c>
      <c r="S12" s="0" t="n">
        <v>2236</v>
      </c>
      <c r="T12" s="0" t="n">
        <v>593.4</v>
      </c>
      <c r="U12" s="0" t="n">
        <v>128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10385</v>
      </c>
      <c r="I13" s="0" t="n">
        <v>760</v>
      </c>
      <c r="J13" s="0" t="n">
        <v>7.31824747231584</v>
      </c>
      <c r="K13" s="0" t="n">
        <v>1.06</v>
      </c>
      <c r="L13" s="0" t="n">
        <v>1354</v>
      </c>
      <c r="M13" s="0" t="n">
        <v>499</v>
      </c>
      <c r="N13" s="0" t="n">
        <v>855</v>
      </c>
      <c r="O13" s="0" t="n">
        <v>9143</v>
      </c>
      <c r="P13" s="0" t="n">
        <v>17221</v>
      </c>
      <c r="R13" s="0" t="n">
        <v>3362</v>
      </c>
      <c r="S13" s="0" t="n">
        <v>1822</v>
      </c>
      <c r="T13" s="0" t="n">
        <v>592.5</v>
      </c>
      <c r="U13" s="0" t="n">
        <v>59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8012</v>
      </c>
      <c r="I14" s="0" t="n">
        <v>187</v>
      </c>
      <c r="J14" s="0" t="n">
        <v>2.33399900149775</v>
      </c>
      <c r="K14" s="0" t="n">
        <v>0.26</v>
      </c>
      <c r="L14" s="0" t="n">
        <v>1092</v>
      </c>
      <c r="M14" s="0" t="n">
        <v>347</v>
      </c>
      <c r="N14" s="0" t="n">
        <v>745</v>
      </c>
      <c r="O14" s="0" t="n">
        <v>8945</v>
      </c>
      <c r="P14" s="0" t="n">
        <v>16921</v>
      </c>
      <c r="R14" s="0" t="n">
        <v>2994</v>
      </c>
      <c r="S14" s="0" t="n">
        <v>1761</v>
      </c>
      <c r="T14" s="0" t="n">
        <v>578.8</v>
      </c>
      <c r="U14" s="0" t="n">
        <v>87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8252</v>
      </c>
      <c r="I15" s="0" t="n">
        <v>354</v>
      </c>
      <c r="J15" s="0" t="n">
        <v>4.28986912263694</v>
      </c>
      <c r="K15" s="0" t="n">
        <v>0.47</v>
      </c>
      <c r="L15" s="0" t="n">
        <v>1098</v>
      </c>
      <c r="M15" s="0" t="n">
        <v>357</v>
      </c>
      <c r="N15" s="0" t="n">
        <v>741</v>
      </c>
      <c r="O15" s="0" t="n">
        <v>9011</v>
      </c>
      <c r="P15" s="0" t="n">
        <v>16684</v>
      </c>
      <c r="R15" s="0" t="n">
        <v>2111</v>
      </c>
      <c r="S15" s="0" t="n">
        <v>1872</v>
      </c>
      <c r="T15" s="0" t="n">
        <v>573.5</v>
      </c>
      <c r="U15" s="0" t="n">
        <v>91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8452</v>
      </c>
      <c r="I16" s="0" t="n">
        <v>1340</v>
      </c>
      <c r="J16" s="0" t="n">
        <v>15.8542356838618</v>
      </c>
      <c r="K16" s="0" t="n">
        <v>2.08</v>
      </c>
      <c r="M16" s="0" t="n">
        <v>407</v>
      </c>
      <c r="O16" s="0" t="n">
        <v>9389</v>
      </c>
      <c r="P16" s="0" t="n">
        <v>15504</v>
      </c>
      <c r="R16" s="0" t="n">
        <v>1987</v>
      </c>
      <c r="S16" s="0" t="n">
        <v>2403</v>
      </c>
      <c r="T16" s="0" t="n">
        <v>569.9</v>
      </c>
      <c r="U16" s="0" t="n">
        <v>84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9028</v>
      </c>
      <c r="I17" s="0" t="n">
        <v>743</v>
      </c>
      <c r="J17" s="0" t="n">
        <v>8.22995126273815</v>
      </c>
      <c r="K17" s="0" t="n">
        <v>1.03</v>
      </c>
      <c r="M17" s="0" t="n">
        <v>426</v>
      </c>
      <c r="O17" s="0" t="n">
        <v>9236</v>
      </c>
      <c r="P17" s="0" t="n">
        <v>15544</v>
      </c>
      <c r="R17" s="0" t="n">
        <v>1989</v>
      </c>
      <c r="S17" s="0" t="n">
        <v>2095</v>
      </c>
      <c r="T17" s="0" t="n">
        <v>558.4</v>
      </c>
      <c r="U17" s="0" t="n">
        <v>77</v>
      </c>
      <c r="AA17" s="0" t="s">
        <v>17</v>
      </c>
      <c r="AB1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28.64</v>
      </c>
    </row>
    <row r="3" customFormat="false" ht="15" hidden="false" customHeight="false" outlineLevel="0" collapsed="false">
      <c r="A3" s="0" t="s">
        <v>82</v>
      </c>
      <c r="B3" s="3" t="n">
        <v>543</v>
      </c>
    </row>
    <row r="4" customFormat="false" ht="15" hidden="false" customHeight="false" outlineLevel="0" collapsed="false">
      <c r="A4" s="0" t="s">
        <v>83</v>
      </c>
      <c r="B4" s="3" t="n">
        <v>-106</v>
      </c>
    </row>
    <row r="5" customFormat="false" ht="15" hidden="false" customHeight="false" outlineLevel="0" collapsed="false">
      <c r="A5" s="0" t="s">
        <v>84</v>
      </c>
      <c r="B5" s="3" t="n">
        <v>950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9028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2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103</v>
      </c>
      <c r="C14" s="3" t="n">
        <v>17.4</v>
      </c>
      <c r="D14" s="3" t="n">
        <v>17.1</v>
      </c>
      <c r="E14" s="3" t="n">
        <v>16.9</v>
      </c>
      <c r="F14" s="3" t="n">
        <v>16.7</v>
      </c>
      <c r="G14" s="3" t="n">
        <v>16.6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104</v>
      </c>
      <c r="C15" s="3" t="n">
        <v>0.85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5.4</v>
      </c>
      <c r="D17" s="3" t="n">
        <v>5.3</v>
      </c>
      <c r="E17" s="3" t="n">
        <v>5.2</v>
      </c>
      <c r="F17" s="3" t="n">
        <v>5.1</v>
      </c>
      <c r="G17" s="3" t="n">
        <v>5</v>
      </c>
      <c r="H17" s="3" t="n">
        <v>4.9</v>
      </c>
      <c r="I17" s="3" t="n">
        <v>4.8</v>
      </c>
      <c r="J17" s="3" t="n">
        <v>4.7</v>
      </c>
      <c r="K17" s="3" t="n">
        <v>4.6</v>
      </c>
      <c r="L17" s="3" t="n">
        <v>4.6</v>
      </c>
    </row>
    <row r="18" customFormat="false" ht="15" hidden="false" customHeight="false" outlineLevel="0" collapsed="false">
      <c r="A18" s="0" t="s">
        <v>107</v>
      </c>
      <c r="C18" s="3" t="n">
        <v>4.7</v>
      </c>
      <c r="D18" s="3" t="n">
        <v>4.7</v>
      </c>
      <c r="E18" s="3" t="n">
        <v>4.6</v>
      </c>
      <c r="F18" s="3" t="n">
        <v>4.6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108</v>
      </c>
      <c r="C19" s="3" t="n">
        <v>43.8</v>
      </c>
      <c r="D19" s="3" t="n">
        <v>43.8</v>
      </c>
      <c r="E19" s="3" t="n">
        <v>43.8</v>
      </c>
      <c r="F19" s="3" t="n">
        <v>43.8</v>
      </c>
      <c r="G19" s="3" t="n">
        <v>43.8</v>
      </c>
      <c r="H19" s="3" t="n">
        <v>43.8</v>
      </c>
      <c r="I19" s="3" t="n">
        <v>43.8</v>
      </c>
      <c r="J19" s="3" t="n">
        <v>43.8</v>
      </c>
      <c r="K19" s="3" t="n">
        <v>43.8</v>
      </c>
      <c r="L19" s="3" t="n">
        <v>43.8</v>
      </c>
    </row>
    <row r="20" customFormat="false" ht="15" hidden="false" customHeight="false" outlineLevel="0" collapsed="false">
      <c r="A20" s="0" t="s">
        <v>109</v>
      </c>
      <c r="B20" s="3" t="n">
        <v>9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5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18.4</v>
      </c>
      <c r="D28" s="3" t="n">
        <v>18.8</v>
      </c>
      <c r="E28" s="3" t="n">
        <v>19.2</v>
      </c>
      <c r="F28" s="3" t="n">
        <v>19.6</v>
      </c>
      <c r="G28" s="3" t="n">
        <v>19.9</v>
      </c>
      <c r="H28" s="3" t="n">
        <v>20.1</v>
      </c>
      <c r="I28" s="3" t="n">
        <v>20.3</v>
      </c>
      <c r="J28" s="3" t="n">
        <v>20.5</v>
      </c>
      <c r="K28" s="3" t="n">
        <v>20.5</v>
      </c>
      <c r="L28" s="3" t="n">
        <v>20.5</v>
      </c>
    </row>
    <row r="29" customFormat="false" ht="15" hidden="false" customHeight="false" outlineLevel="0" collapsed="false">
      <c r="A29" s="0" t="s">
        <v>104</v>
      </c>
      <c r="C29" s="3" t="n">
        <v>0.85</v>
      </c>
      <c r="D29" s="3" t="n">
        <v>0.85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5.4</v>
      </c>
      <c r="D31" s="3" t="n">
        <v>5.3</v>
      </c>
      <c r="E31" s="3" t="n">
        <v>5.2</v>
      </c>
      <c r="F31" s="3" t="n">
        <v>5.1</v>
      </c>
      <c r="G31" s="3" t="n">
        <v>5</v>
      </c>
      <c r="H31" s="3" t="n">
        <v>4.9</v>
      </c>
      <c r="I31" s="3" t="n">
        <v>4.8</v>
      </c>
      <c r="J31" s="3" t="n">
        <v>4.7</v>
      </c>
      <c r="K31" s="3" t="n">
        <v>4.6</v>
      </c>
      <c r="L31" s="3" t="n">
        <v>4.6</v>
      </c>
    </row>
    <row r="32" customFormat="false" ht="15" hidden="false" customHeight="false" outlineLevel="0" collapsed="false">
      <c r="A32" s="0" t="s">
        <v>107</v>
      </c>
      <c r="C32" s="3" t="n">
        <v>4.7</v>
      </c>
      <c r="D32" s="3" t="n">
        <v>4.7</v>
      </c>
      <c r="E32" s="3" t="n">
        <v>4.6</v>
      </c>
      <c r="F32" s="3" t="n">
        <v>4.6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108</v>
      </c>
      <c r="C33" s="3" t="n">
        <v>43.8</v>
      </c>
      <c r="D33" s="3" t="n">
        <v>43.8</v>
      </c>
      <c r="E33" s="3" t="n">
        <v>44</v>
      </c>
      <c r="F33" s="3" t="n">
        <v>44</v>
      </c>
      <c r="G33" s="3" t="n">
        <v>44.2</v>
      </c>
      <c r="H33" s="3" t="n">
        <v>44.2</v>
      </c>
      <c r="I33" s="3" t="n">
        <v>44.4</v>
      </c>
      <c r="J33" s="3" t="n">
        <v>44.4</v>
      </c>
      <c r="K33" s="3" t="n">
        <v>44.5</v>
      </c>
      <c r="L33" s="3" t="n">
        <v>44.5</v>
      </c>
    </row>
    <row r="34" customFormat="false" ht="15" hidden="false" customHeight="false" outlineLevel="0" collapsed="false">
      <c r="A34" s="0" t="s">
        <v>109</v>
      </c>
      <c r="B34" s="3" t="n">
        <v>9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18.9</v>
      </c>
      <c r="D42" s="3" t="n">
        <v>19.7</v>
      </c>
      <c r="E42" s="3" t="n">
        <v>20.4</v>
      </c>
      <c r="F42" s="3" t="n">
        <v>21</v>
      </c>
      <c r="G42" s="3" t="n">
        <v>21.5</v>
      </c>
      <c r="H42" s="3" t="n">
        <v>22</v>
      </c>
      <c r="I42" s="3" t="n">
        <v>22.3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104</v>
      </c>
      <c r="C43" s="3" t="n">
        <v>0.85</v>
      </c>
      <c r="D43" s="3" t="n">
        <v>0.85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5.4</v>
      </c>
      <c r="D45" s="3" t="n">
        <v>5.3</v>
      </c>
      <c r="E45" s="3" t="n">
        <v>5.2</v>
      </c>
      <c r="F45" s="3" t="n">
        <v>5.1</v>
      </c>
      <c r="G45" s="3" t="n">
        <v>5</v>
      </c>
      <c r="H45" s="3" t="n">
        <v>4.9</v>
      </c>
      <c r="I45" s="3" t="n">
        <v>4.8</v>
      </c>
      <c r="J45" s="3" t="n">
        <v>4.7</v>
      </c>
      <c r="K45" s="3" t="n">
        <v>4.6</v>
      </c>
      <c r="L45" s="3" t="n">
        <v>4.6</v>
      </c>
    </row>
    <row r="46" customFormat="false" ht="15" hidden="false" customHeight="false" outlineLevel="0" collapsed="false">
      <c r="A46" s="0" t="s">
        <v>107</v>
      </c>
      <c r="C46" s="3" t="n">
        <v>4.7</v>
      </c>
      <c r="D46" s="3" t="n">
        <v>4.7</v>
      </c>
      <c r="E46" s="3" t="n">
        <v>4.6</v>
      </c>
      <c r="F46" s="3" t="n">
        <v>4.6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108</v>
      </c>
      <c r="C47" s="3" t="n">
        <v>43.8</v>
      </c>
      <c r="D47" s="3" t="n">
        <v>44</v>
      </c>
      <c r="E47" s="3" t="n">
        <v>44.2</v>
      </c>
      <c r="F47" s="3" t="n">
        <v>44.4</v>
      </c>
      <c r="G47" s="3" t="n">
        <v>44.6</v>
      </c>
      <c r="H47" s="3" t="n">
        <v>44.8</v>
      </c>
      <c r="I47" s="3" t="n">
        <v>45</v>
      </c>
      <c r="J47" s="3" t="n">
        <v>45.2</v>
      </c>
      <c r="K47" s="3" t="n">
        <v>45.3</v>
      </c>
      <c r="L47" s="3" t="n">
        <v>45.3</v>
      </c>
    </row>
    <row r="48" customFormat="false" ht="15" hidden="false" customHeight="false" outlineLevel="0" collapsed="false">
      <c r="A48" s="0" t="s">
        <v>109</v>
      </c>
      <c r="B48" s="3" t="n">
        <v>9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18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9028</v>
      </c>
      <c r="C6" s="0" t="n">
        <f aca="false">B6*(1+C5/100)</f>
        <v>9208.56</v>
      </c>
      <c r="D6" s="0" t="n">
        <f aca="false">C6*(1+D5/100)</f>
        <v>9346.6884</v>
      </c>
      <c r="E6" s="0" t="n">
        <f aca="false">D6*(1+E5/100)</f>
        <v>9486.888726</v>
      </c>
      <c r="F6" s="0" t="n">
        <f aca="false">E6*(1+F5/100)</f>
        <v>9629.19205689</v>
      </c>
      <c r="G6" s="0" t="n">
        <f aca="false">F6*(1+G5/100)</f>
        <v>9773.62993774335</v>
      </c>
      <c r="H6" s="0" t="n">
        <f aca="false">G6*(1+H5/100)</f>
        <v>9920.2343868095</v>
      </c>
      <c r="I6" s="0" t="n">
        <f aca="false">H6*(1+I5/100)</f>
        <v>10069.0379026116</v>
      </c>
      <c r="J6" s="0" t="n">
        <f aca="false">I6*(1+J5/100)</f>
        <v>10220.0734711508</v>
      </c>
      <c r="K6" s="0" t="n">
        <f aca="false">J6*(1+K5/100)</f>
        <v>10373.3745732181</v>
      </c>
      <c r="L6" s="0" t="n">
        <f aca="false">K6*(1+L5/100)</f>
        <v>10528.9751918163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17.4</v>
      </c>
      <c r="D7" s="4" t="n">
        <f aca="false">Assumptions!D14</f>
        <v>17.1</v>
      </c>
      <c r="E7" s="4" t="n">
        <f aca="false">Assumptions!E14</f>
        <v>16.9</v>
      </c>
      <c r="F7" s="4" t="n">
        <f aca="false">Assumptions!F14</f>
        <v>16.7</v>
      </c>
      <c r="G7" s="4" t="n">
        <f aca="false">Assumptions!G14</f>
        <v>16.6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1602.28944</v>
      </c>
      <c r="D8" s="0" t="n">
        <f aca="false">D6*D7/100</f>
        <v>1598.2837164</v>
      </c>
      <c r="E8" s="0" t="n">
        <f aca="false">E6*E7/100</f>
        <v>1603.284194694</v>
      </c>
      <c r="F8" s="0" t="n">
        <f aca="false">F6*F7/100</f>
        <v>1608.07507350063</v>
      </c>
      <c r="G8" s="0" t="n">
        <f aca="false">G6*G7/100</f>
        <v>1622.4225696654</v>
      </c>
      <c r="H8" s="0" t="n">
        <f aca="false">H6*H7/100</f>
        <v>1636.83867382357</v>
      </c>
      <c r="I8" s="0" t="n">
        <f aca="false">I6*I7/100</f>
        <v>1661.39125393092</v>
      </c>
      <c r="J8" s="0" t="n">
        <f aca="false">J6*J7/100</f>
        <v>1686.31212273988</v>
      </c>
      <c r="K8" s="0" t="n">
        <f aca="false">K6*K7/100</f>
        <v>1711.60680458098</v>
      </c>
      <c r="L8" s="0" t="n">
        <f aca="false">L6*L7/100</f>
        <v>1737.2809066497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-78.27276</v>
      </c>
      <c r="D10" s="0" t="n">
        <f aca="false">-D6*D9/100</f>
        <v>-79.4468514</v>
      </c>
      <c r="E10" s="0" t="n">
        <f aca="false">-E6*E9/100</f>
        <v>-80.638554171</v>
      </c>
      <c r="F10" s="0" t="n">
        <f aca="false">-F6*F9/100</f>
        <v>-81.848132483565</v>
      </c>
      <c r="G10" s="0" t="n">
        <f aca="false">-G6*G9/100</f>
        <v>-83.0758544708184</v>
      </c>
      <c r="H10" s="0" t="n">
        <f aca="false">-H6*H9/100</f>
        <v>-84.3219922878807</v>
      </c>
      <c r="I10" s="0" t="n">
        <f aca="false">-I6*I9/100</f>
        <v>-85.5868221721989</v>
      </c>
      <c r="J10" s="0" t="n">
        <f aca="false">-J6*J9/100</f>
        <v>-86.8706245047819</v>
      </c>
      <c r="K10" s="0" t="n">
        <f aca="false">-K6*K9/100</f>
        <v>-88.1736838723536</v>
      </c>
      <c r="L10" s="0" t="n">
        <f aca="false">-L6*L9/100</f>
        <v>-89.4962891304389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1524.01668</v>
      </c>
      <c r="D11" s="0" t="n">
        <f aca="false">D8+D10+D24</f>
        <v>1518.836865</v>
      </c>
      <c r="E11" s="0" t="n">
        <f aca="false">E8+E10+E24</f>
        <v>1522.645640523</v>
      </c>
      <c r="F11" s="0" t="n">
        <f aca="false">F8+F10+F24</f>
        <v>1526.22694101706</v>
      </c>
      <c r="G11" s="0" t="n">
        <f aca="false">G8+G10+G24</f>
        <v>1539.34671519458</v>
      </c>
      <c r="H11" s="0" t="n">
        <f aca="false">H8+H10+H24</f>
        <v>1552.51668153569</v>
      </c>
      <c r="I11" s="0" t="n">
        <f aca="false">I8+I10+I24</f>
        <v>1575.80443175872</v>
      </c>
      <c r="J11" s="0" t="n">
        <f aca="false">J8+J10+J24</f>
        <v>1599.4414982351</v>
      </c>
      <c r="K11" s="0" t="n">
        <f aca="false">K8+K10+K24</f>
        <v>1623.43312070863</v>
      </c>
      <c r="L11" s="0" t="n">
        <f aca="false">L8+L10+L24</f>
        <v>1647.78461751926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-497.26224</v>
      </c>
      <c r="D12" s="4" t="n">
        <f aca="false">-D6*Assumptions!D17/100</f>
        <v>-495.3744852</v>
      </c>
      <c r="E12" s="4" t="n">
        <f aca="false">-E6*Assumptions!E17/100</f>
        <v>-493.318213752</v>
      </c>
      <c r="F12" s="4" t="n">
        <f aca="false">-F6*Assumptions!F17/100</f>
        <v>-491.08879490139</v>
      </c>
      <c r="G12" s="4" t="n">
        <f aca="false">-G6*Assumptions!G17/100</f>
        <v>-488.681496887167</v>
      </c>
      <c r="H12" s="4" t="n">
        <f aca="false">-H6*Assumptions!H17/100</f>
        <v>-486.091484953665</v>
      </c>
      <c r="I12" s="4" t="n">
        <f aca="false">-I6*Assumptions!I17/100</f>
        <v>-483.313819325359</v>
      </c>
      <c r="J12" s="4" t="n">
        <f aca="false">-J6*Assumptions!J17/100</f>
        <v>-480.343453144088</v>
      </c>
      <c r="K12" s="4" t="n">
        <f aca="false">-K6*Assumptions!K17/100</f>
        <v>-477.175230368031</v>
      </c>
      <c r="L12" s="4" t="n">
        <f aca="false">-L6*Assumptions!L17/100</f>
        <v>-484.332858823552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1026.75444</v>
      </c>
      <c r="D13" s="0" t="n">
        <f aca="false">D11+D12</f>
        <v>1023.4623798</v>
      </c>
      <c r="E13" s="0" t="n">
        <f aca="false">E11+E12</f>
        <v>1029.327426771</v>
      </c>
      <c r="F13" s="0" t="n">
        <f aca="false">F11+F12</f>
        <v>1035.13814611567</v>
      </c>
      <c r="G13" s="0" t="n">
        <f aca="false">G11+G12</f>
        <v>1050.66521830741</v>
      </c>
      <c r="H13" s="0" t="n">
        <f aca="false">H11+H12</f>
        <v>1066.42519658202</v>
      </c>
      <c r="I13" s="0" t="n">
        <f aca="false">I11+I12</f>
        <v>1092.49061243336</v>
      </c>
      <c r="J13" s="0" t="n">
        <f aca="false">J11+J12</f>
        <v>1119.09804509101</v>
      </c>
      <c r="K13" s="0" t="n">
        <f aca="false">K11+K12</f>
        <v>1146.2578903406</v>
      </c>
      <c r="L13" s="0" t="n">
        <f aca="false">L11+L12</f>
        <v>1163.45175869571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43.8</v>
      </c>
      <c r="D14" s="4" t="n">
        <f aca="false">Assumptions!D19</f>
        <v>43.8</v>
      </c>
      <c r="E14" s="4" t="n">
        <f aca="false">Assumptions!E19</f>
        <v>43.8</v>
      </c>
      <c r="F14" s="4" t="n">
        <f aca="false">Assumptions!F19</f>
        <v>43.8</v>
      </c>
      <c r="G14" s="4" t="n">
        <f aca="false">Assumptions!G19</f>
        <v>43.8</v>
      </c>
      <c r="H14" s="4" t="n">
        <f aca="false">Assumptions!H19</f>
        <v>43.8</v>
      </c>
      <c r="I14" s="4" t="n">
        <f aca="false">Assumptions!I19</f>
        <v>43.8</v>
      </c>
      <c r="J14" s="4" t="n">
        <f aca="false">Assumptions!J19</f>
        <v>43.8</v>
      </c>
      <c r="K14" s="4" t="n">
        <f aca="false">Assumptions!K19</f>
        <v>43.8</v>
      </c>
      <c r="L14" s="4" t="n">
        <f aca="false">Assumptions!L19</f>
        <v>43.8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577.03599528</v>
      </c>
      <c r="D15" s="0" t="n">
        <f aca="false">D13-MAX(0,D13)*D14/100</f>
        <v>575.1858574476</v>
      </c>
      <c r="E15" s="0" t="n">
        <f aca="false">E13-MAX(0,E13)*E14/100</f>
        <v>578.482013845302</v>
      </c>
      <c r="F15" s="0" t="n">
        <f aca="false">F13-MAX(0,F13)*F14/100</f>
        <v>581.747638117009</v>
      </c>
      <c r="G15" s="0" t="n">
        <f aca="false">G13-MAX(0,G13)*G14/100</f>
        <v>590.473852688764</v>
      </c>
      <c r="H15" s="0" t="n">
        <f aca="false">H13-MAX(0,H13)*H14/100</f>
        <v>599.330960479096</v>
      </c>
      <c r="I15" s="0" t="n">
        <f aca="false">I13-MAX(0,I13)*I14/100</f>
        <v>613.97972418755</v>
      </c>
      <c r="J15" s="0" t="n">
        <f aca="false">J13-MAX(0,J13)*J14/100</f>
        <v>628.93310134115</v>
      </c>
      <c r="K15" s="0" t="n">
        <f aca="false">K13-MAX(0,K13)*K14/100</f>
        <v>644.196934371416</v>
      </c>
      <c r="L15" s="0" t="n">
        <f aca="false">L13-MAX(0,L13)*L14/100</f>
        <v>653.859888386987</v>
      </c>
    </row>
    <row r="16" customFormat="false" ht="15" hidden="false" customHeight="false" outlineLevel="0" collapsed="false">
      <c r="A16" s="0" t="s">
        <v>124</v>
      </c>
      <c r="C16" s="0" t="n">
        <f aca="false">-C12</f>
        <v>497.26224</v>
      </c>
      <c r="D16" s="0" t="n">
        <f aca="false">-D12</f>
        <v>495.3744852</v>
      </c>
      <c r="E16" s="0" t="n">
        <f aca="false">-E12</f>
        <v>493.318213752</v>
      </c>
      <c r="F16" s="0" t="n">
        <f aca="false">-F12</f>
        <v>491.08879490139</v>
      </c>
      <c r="G16" s="0" t="n">
        <f aca="false">-G12</f>
        <v>488.681496887167</v>
      </c>
      <c r="H16" s="0" t="n">
        <f aca="false">-H12</f>
        <v>486.091484953665</v>
      </c>
      <c r="I16" s="0" t="n">
        <f aca="false">-I12</f>
        <v>483.313819325359</v>
      </c>
      <c r="J16" s="0" t="n">
        <f aca="false">-J12</f>
        <v>480.343453144088</v>
      </c>
      <c r="K16" s="0" t="n">
        <f aca="false">-K12</f>
        <v>477.175230368031</v>
      </c>
      <c r="L16" s="0" t="n">
        <f aca="false">-L12</f>
        <v>484.332858823552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-432.80232</v>
      </c>
      <c r="D17" s="4" t="n">
        <f aca="false">-D6*Assumptions!D18/100</f>
        <v>-439.2943548</v>
      </c>
      <c r="E17" s="4" t="n">
        <f aca="false">-E6*Assumptions!E18/100</f>
        <v>-436.396881396</v>
      </c>
      <c r="F17" s="4" t="n">
        <f aca="false">-F6*Assumptions!F18/100</f>
        <v>-442.94283461694</v>
      </c>
      <c r="G17" s="4" t="n">
        <f aca="false">-G6*Assumptions!G18/100</f>
        <v>-439.813347198451</v>
      </c>
      <c r="H17" s="4" t="n">
        <f aca="false">-H6*Assumptions!H18/100</f>
        <v>-446.410547406427</v>
      </c>
      <c r="I17" s="4" t="n">
        <f aca="false">-I6*Assumptions!I18/100</f>
        <v>-453.106705617524</v>
      </c>
      <c r="J17" s="4" t="n">
        <f aca="false">-J6*Assumptions!J18/100</f>
        <v>-459.903306201786</v>
      </c>
      <c r="K17" s="4" t="n">
        <f aca="false">-K6*Assumptions!K18/100</f>
        <v>-466.801855794813</v>
      </c>
      <c r="L17" s="4" t="n">
        <f aca="false">-L6*Assumptions!L18/100</f>
        <v>-473.803883631735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641.49591528</v>
      </c>
      <c r="D19" s="0" t="n">
        <f aca="false">D15+D16+D17+D18</f>
        <v>631.2659878476</v>
      </c>
      <c r="E19" s="0" t="n">
        <f aca="false">E15+E16+E17+E18</f>
        <v>635.403346201302</v>
      </c>
      <c r="F19" s="0" t="n">
        <f aca="false">F15+F16+F17+F18</f>
        <v>629.893598401459</v>
      </c>
      <c r="G19" s="0" t="n">
        <f aca="false">G15+G16+G17+G18</f>
        <v>639.342002377481</v>
      </c>
      <c r="H19" s="0" t="n">
        <f aca="false">H15+H16+H17+H18</f>
        <v>639.011898026334</v>
      </c>
      <c r="I19" s="0" t="n">
        <f aca="false">I15+I16+I17+I18</f>
        <v>644.186837895385</v>
      </c>
      <c r="J19" s="0" t="n">
        <f aca="false">J15+J16+J17+J18</f>
        <v>649.373248283451</v>
      </c>
      <c r="K19" s="0" t="n">
        <f aca="false">K15+K16+K17+K18</f>
        <v>654.570308944634</v>
      </c>
      <c r="L19" s="0" t="n">
        <f aca="false">L15+L16+L17+L18</f>
        <v>664.388863578803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588.528362642202</v>
      </c>
      <c r="D21" s="0" t="n">
        <f aca="false">D19*D20</f>
        <v>531.323952400976</v>
      </c>
      <c r="E21" s="0" t="n">
        <f aca="false">E19*E20</f>
        <v>490.647967112167</v>
      </c>
      <c r="F21" s="0" t="n">
        <f aca="false">F19*F20</f>
        <v>446.23250539617</v>
      </c>
      <c r="G21" s="0" t="n">
        <f aca="false">G19*G20</f>
        <v>415.528433923956</v>
      </c>
      <c r="H21" s="0" t="n">
        <f aca="false">H19*H20</f>
        <v>381.021916280176</v>
      </c>
      <c r="I21" s="0" t="n">
        <f aca="false">I19*I20</f>
        <v>352.392260406106</v>
      </c>
      <c r="J21" s="0" t="n">
        <f aca="false">J19*J20</f>
        <v>325.898536235036</v>
      </c>
      <c r="K21" s="0" t="n">
        <f aca="false">K19*K20</f>
        <v>301.382353884677</v>
      </c>
      <c r="L21" s="0" t="n">
        <f aca="false">L19*L20</f>
        <v>280.645035956832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4113.6013242383</v>
      </c>
    </row>
    <row r="31" customFormat="false" ht="15" hidden="false" customHeight="false" outlineLevel="0" collapsed="false">
      <c r="A31" s="0" t="s">
        <v>133</v>
      </c>
      <c r="B31" s="0" t="n">
        <f aca="false">L19</f>
        <v>664.388863578803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8991.39595376647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7972.66636294564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7972.66636294564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3367.74043148198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7481.34175572028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8537.34175572028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15.7225446698348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-0.451028468232026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532.019963982066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511.616836017933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17.644527726925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4995.2199743147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10.1338930510897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9028</v>
      </c>
      <c r="C6" s="0" t="n">
        <f aca="false">B6*(1+C5/100)</f>
        <v>9479.4</v>
      </c>
      <c r="D6" s="0" t="n">
        <f aca="false">C6*(1+D5/100)</f>
        <v>9953.37</v>
      </c>
      <c r="E6" s="0" t="n">
        <f aca="false">D6*(1+E5/100)</f>
        <v>10401.27165</v>
      </c>
      <c r="F6" s="0" t="n">
        <f aca="false">E6*(1+F5/100)</f>
        <v>10869.32887425</v>
      </c>
      <c r="G6" s="0" t="n">
        <f aca="false">F6*(1+G5/100)</f>
        <v>11304.10202922</v>
      </c>
      <c r="H6" s="0" t="n">
        <f aca="false">G6*(1+H5/100)</f>
        <v>11699.7456002427</v>
      </c>
      <c r="I6" s="0" t="n">
        <f aca="false">H6*(1+I5/100)</f>
        <v>12109.2366962512</v>
      </c>
      <c r="J6" s="0" t="n">
        <f aca="false">I6*(1+J5/100)</f>
        <v>12472.5137971387</v>
      </c>
      <c r="K6" s="0" t="n">
        <f aca="false">J6*(1+K5/100)</f>
        <v>12846.6892110529</v>
      </c>
      <c r="L6" s="0" t="n">
        <f aca="false">K6*(1+L5/100)</f>
        <v>13167.8564413292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18.4</v>
      </c>
      <c r="D7" s="4" t="n">
        <f aca="false">Assumptions!D28</f>
        <v>18.8</v>
      </c>
      <c r="E7" s="4" t="n">
        <f aca="false">Assumptions!E28</f>
        <v>19.2</v>
      </c>
      <c r="F7" s="4" t="n">
        <f aca="false">Assumptions!F28</f>
        <v>19.6</v>
      </c>
      <c r="G7" s="4" t="n">
        <f aca="false">Assumptions!G28</f>
        <v>19.9</v>
      </c>
      <c r="H7" s="4" t="n">
        <f aca="false">Assumptions!H28</f>
        <v>20.1</v>
      </c>
      <c r="I7" s="4" t="n">
        <f aca="false">Assumptions!I28</f>
        <v>20.3</v>
      </c>
      <c r="J7" s="4" t="n">
        <f aca="false">Assumptions!J28</f>
        <v>20.5</v>
      </c>
      <c r="K7" s="4" t="n">
        <f aca="false">Assumptions!K28</f>
        <v>20.5</v>
      </c>
      <c r="L7" s="4" t="n">
        <f aca="false">Assumptions!L28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1744.2096</v>
      </c>
      <c r="D8" s="0" t="n">
        <f aca="false">D6*D7/100</f>
        <v>1871.23356</v>
      </c>
      <c r="E8" s="0" t="n">
        <f aca="false">E6*E7/100</f>
        <v>1997.0441568</v>
      </c>
      <c r="F8" s="0" t="n">
        <f aca="false">F6*F7/100</f>
        <v>2130.388459353</v>
      </c>
      <c r="G8" s="0" t="n">
        <f aca="false">G6*G7/100</f>
        <v>2249.51630381478</v>
      </c>
      <c r="H8" s="0" t="n">
        <f aca="false">H6*H7/100</f>
        <v>2351.64886564878</v>
      </c>
      <c r="I8" s="0" t="n">
        <f aca="false">I6*I7/100</f>
        <v>2458.17504933899</v>
      </c>
      <c r="J8" s="0" t="n">
        <f aca="false">J6*J7/100</f>
        <v>2556.86532841344</v>
      </c>
      <c r="K8" s="0" t="n">
        <f aca="false">K6*K7/100</f>
        <v>2633.57128826584</v>
      </c>
      <c r="L8" s="0" t="n">
        <f aca="false">L6*L7/100</f>
        <v>2699.41057047249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-80.5749</v>
      </c>
      <c r="D10" s="0" t="n">
        <f aca="false">-D6*D9/100</f>
        <v>-84.603645</v>
      </c>
      <c r="E10" s="0" t="n">
        <f aca="false">-E6*E9/100</f>
        <v>-88.410809025</v>
      </c>
      <c r="F10" s="0" t="n">
        <f aca="false">-F6*F9/100</f>
        <v>-92.389295431125</v>
      </c>
      <c r="G10" s="0" t="n">
        <f aca="false">-G6*G9/100</f>
        <v>-96.08486724837</v>
      </c>
      <c r="H10" s="0" t="n">
        <f aca="false">-H6*H9/100</f>
        <v>-99.4478376020629</v>
      </c>
      <c r="I10" s="0" t="n">
        <f aca="false">-I6*I9/100</f>
        <v>-102.928511918135</v>
      </c>
      <c r="J10" s="0" t="n">
        <f aca="false">-J6*J9/100</f>
        <v>-106.016367275679</v>
      </c>
      <c r="K10" s="0" t="n">
        <f aca="false">-K6*K9/100</f>
        <v>-109.19685829395</v>
      </c>
      <c r="L10" s="0" t="n">
        <f aca="false">-L6*L9/100</f>
        <v>-111.926779751298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1663.6347</v>
      </c>
      <c r="D11" s="0" t="n">
        <f aca="false">D8+D10+D24</f>
        <v>1786.629915</v>
      </c>
      <c r="E11" s="0" t="n">
        <f aca="false">E8+E10+E24</f>
        <v>1908.633347775</v>
      </c>
      <c r="F11" s="0" t="n">
        <f aca="false">F8+F10+F24</f>
        <v>2037.99916392188</v>
      </c>
      <c r="G11" s="0" t="n">
        <f aca="false">G8+G10+G24</f>
        <v>2153.43143656641</v>
      </c>
      <c r="H11" s="0" t="n">
        <f aca="false">H8+H10+H24</f>
        <v>2252.20102804672</v>
      </c>
      <c r="I11" s="0" t="n">
        <f aca="false">I8+I10+I24</f>
        <v>2355.24653742086</v>
      </c>
      <c r="J11" s="0" t="n">
        <f aca="false">J8+J10+J24</f>
        <v>2450.84896113776</v>
      </c>
      <c r="K11" s="0" t="n">
        <f aca="false">K8+K10+K24</f>
        <v>2524.37442997189</v>
      </c>
      <c r="L11" s="0" t="n">
        <f aca="false">L8+L10+L24</f>
        <v>2587.48379072119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-511.8876</v>
      </c>
      <c r="D12" s="4" t="n">
        <f aca="false">-D6*Assumptions!D31/100</f>
        <v>-527.52861</v>
      </c>
      <c r="E12" s="4" t="n">
        <f aca="false">-E6*Assumptions!E31/100</f>
        <v>-540.8661258</v>
      </c>
      <c r="F12" s="4" t="n">
        <f aca="false">-F6*Assumptions!F31/100</f>
        <v>-554.33577258675</v>
      </c>
      <c r="G12" s="4" t="n">
        <f aca="false">-G6*Assumptions!G31/100</f>
        <v>-565.205101461</v>
      </c>
      <c r="H12" s="4" t="n">
        <f aca="false">-H6*Assumptions!H31/100</f>
        <v>-573.287534411892</v>
      </c>
      <c r="I12" s="4" t="n">
        <f aca="false">-I6*Assumptions!I31/100</f>
        <v>-581.243361420057</v>
      </c>
      <c r="J12" s="4" t="n">
        <f aca="false">-J6*Assumptions!J31/100</f>
        <v>-586.20814846552</v>
      </c>
      <c r="K12" s="4" t="n">
        <f aca="false">-K6*Assumptions!K31/100</f>
        <v>-590.947703708433</v>
      </c>
      <c r="L12" s="4" t="n">
        <f aca="false">-L6*Assumptions!L31/100</f>
        <v>-605.721396301144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1151.7471</v>
      </c>
      <c r="D13" s="0" t="n">
        <f aca="false">D11+D12</f>
        <v>1259.101305</v>
      </c>
      <c r="E13" s="0" t="n">
        <f aca="false">E11+E12</f>
        <v>1367.767221975</v>
      </c>
      <c r="F13" s="0" t="n">
        <f aca="false">F11+F12</f>
        <v>1483.66339133513</v>
      </c>
      <c r="G13" s="0" t="n">
        <f aca="false">G11+G12</f>
        <v>1588.22633510541</v>
      </c>
      <c r="H13" s="0" t="n">
        <f aca="false">H11+H12</f>
        <v>1678.91349363483</v>
      </c>
      <c r="I13" s="0" t="n">
        <f aca="false">I11+I12</f>
        <v>1774.0031760008</v>
      </c>
      <c r="J13" s="0" t="n">
        <f aca="false">J11+J12</f>
        <v>1864.64081267224</v>
      </c>
      <c r="K13" s="0" t="n">
        <f aca="false">K11+K12</f>
        <v>1933.42672626346</v>
      </c>
      <c r="L13" s="0" t="n">
        <f aca="false">L11+L12</f>
        <v>1981.76239442005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43.8</v>
      </c>
      <c r="D14" s="4" t="n">
        <f aca="false">Assumptions!D33</f>
        <v>43.8</v>
      </c>
      <c r="E14" s="4" t="n">
        <f aca="false">Assumptions!E33</f>
        <v>44</v>
      </c>
      <c r="F14" s="4" t="n">
        <f aca="false">Assumptions!F33</f>
        <v>44</v>
      </c>
      <c r="G14" s="4" t="n">
        <f aca="false">Assumptions!G33</f>
        <v>44.2</v>
      </c>
      <c r="H14" s="4" t="n">
        <f aca="false">Assumptions!H33</f>
        <v>44.2</v>
      </c>
      <c r="I14" s="4" t="n">
        <f aca="false">Assumptions!I33</f>
        <v>44.4</v>
      </c>
      <c r="J14" s="4" t="n">
        <f aca="false">Assumptions!J33</f>
        <v>44.4</v>
      </c>
      <c r="K14" s="4" t="n">
        <f aca="false">Assumptions!K33</f>
        <v>44.5</v>
      </c>
      <c r="L14" s="4" t="n">
        <f aca="false">Assumptions!L33</f>
        <v>44.5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647.2818702</v>
      </c>
      <c r="D15" s="0" t="n">
        <f aca="false">D13-MAX(0,D13)*D14/100</f>
        <v>707.61493341</v>
      </c>
      <c r="E15" s="0" t="n">
        <f aca="false">E13-MAX(0,E13)*E14/100</f>
        <v>765.949644306</v>
      </c>
      <c r="F15" s="0" t="n">
        <f aca="false">F13-MAX(0,F13)*F14/100</f>
        <v>830.85149914767</v>
      </c>
      <c r="G15" s="0" t="n">
        <f aca="false">G13-MAX(0,G13)*G14/100</f>
        <v>886.230294988819</v>
      </c>
      <c r="H15" s="0" t="n">
        <f aca="false">H13-MAX(0,H13)*H14/100</f>
        <v>936.833729448234</v>
      </c>
      <c r="I15" s="0" t="n">
        <f aca="false">I13-MAX(0,I13)*I14/100</f>
        <v>986.345765856445</v>
      </c>
      <c r="J15" s="0" t="n">
        <f aca="false">J13-MAX(0,J13)*J14/100</f>
        <v>1036.74029184577</v>
      </c>
      <c r="K15" s="0" t="n">
        <f aca="false">K13-MAX(0,K13)*K14/100</f>
        <v>1073.05183307622</v>
      </c>
      <c r="L15" s="0" t="n">
        <f aca="false">L13-MAX(0,L13)*L14/100</f>
        <v>1099.87812890313</v>
      </c>
    </row>
    <row r="16" customFormat="false" ht="15" hidden="false" customHeight="false" outlineLevel="0" collapsed="false">
      <c r="A16" s="0" t="s">
        <v>124</v>
      </c>
      <c r="C16" s="0" t="n">
        <f aca="false">-C12</f>
        <v>511.8876</v>
      </c>
      <c r="D16" s="0" t="n">
        <f aca="false">-D12</f>
        <v>527.52861</v>
      </c>
      <c r="E16" s="0" t="n">
        <f aca="false">-E12</f>
        <v>540.8661258</v>
      </c>
      <c r="F16" s="0" t="n">
        <f aca="false">-F12</f>
        <v>554.33577258675</v>
      </c>
      <c r="G16" s="0" t="n">
        <f aca="false">-G12</f>
        <v>565.205101461</v>
      </c>
      <c r="H16" s="0" t="n">
        <f aca="false">-H12</f>
        <v>573.287534411892</v>
      </c>
      <c r="I16" s="0" t="n">
        <f aca="false">-I12</f>
        <v>581.243361420057</v>
      </c>
      <c r="J16" s="0" t="n">
        <f aca="false">-J12</f>
        <v>586.20814846552</v>
      </c>
      <c r="K16" s="0" t="n">
        <f aca="false">-K12</f>
        <v>590.947703708433</v>
      </c>
      <c r="L16" s="0" t="n">
        <f aca="false">-L12</f>
        <v>605.721396301144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-445.5318</v>
      </c>
      <c r="D17" s="4" t="n">
        <f aca="false">-D6*Assumptions!D32/100</f>
        <v>-467.80839</v>
      </c>
      <c r="E17" s="4" t="n">
        <f aca="false">-E6*Assumptions!E32/100</f>
        <v>-478.4584959</v>
      </c>
      <c r="F17" s="4" t="n">
        <f aca="false">-F6*Assumptions!F32/100</f>
        <v>-499.9891282155</v>
      </c>
      <c r="G17" s="4" t="n">
        <f aca="false">-G6*Assumptions!G32/100</f>
        <v>-508.6845913149</v>
      </c>
      <c r="H17" s="4" t="n">
        <f aca="false">-H6*Assumptions!H32/100</f>
        <v>-526.488552010922</v>
      </c>
      <c r="I17" s="4" t="n">
        <f aca="false">-I6*Assumptions!I32/100</f>
        <v>-544.915651331304</v>
      </c>
      <c r="J17" s="4" t="n">
        <f aca="false">-J6*Assumptions!J32/100</f>
        <v>-561.263120871243</v>
      </c>
      <c r="K17" s="4" t="n">
        <f aca="false">-K6*Assumptions!K32/100</f>
        <v>-578.10101449738</v>
      </c>
      <c r="L17" s="4" t="n">
        <f aca="false">-L6*Assumptions!L32/100</f>
        <v>-592.553539859815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713.6376702</v>
      </c>
      <c r="D19" s="0" t="n">
        <f aca="false">D15+D16+D17+D18</f>
        <v>767.33515341</v>
      </c>
      <c r="E19" s="0" t="n">
        <f aca="false">E15+E16+E17+E18</f>
        <v>828.357274206</v>
      </c>
      <c r="F19" s="0" t="n">
        <f aca="false">F15+F16+F17+F18</f>
        <v>885.19814351892</v>
      </c>
      <c r="G19" s="0" t="n">
        <f aca="false">G15+G16+G17+G18</f>
        <v>942.750805134919</v>
      </c>
      <c r="H19" s="0" t="n">
        <f aca="false">H15+H16+H17+H18</f>
        <v>983.632711849205</v>
      </c>
      <c r="I19" s="0" t="n">
        <f aca="false">I15+I16+I17+I18</f>
        <v>1022.6734759452</v>
      </c>
      <c r="J19" s="0" t="n">
        <f aca="false">J15+J16+J17+J18</f>
        <v>1061.68531944004</v>
      </c>
      <c r="K19" s="0" t="n">
        <f aca="false">K15+K16+K17+K18</f>
        <v>1085.89852228727</v>
      </c>
      <c r="L19" s="0" t="n">
        <f aca="false">L15+L16+L17+L18</f>
        <v>1113.04598534446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654.713458899083</v>
      </c>
      <c r="D21" s="0" t="n">
        <f aca="false">D19*D20</f>
        <v>645.850646755324</v>
      </c>
      <c r="E21" s="0" t="n">
        <f aca="false">E19*E20</f>
        <v>639.643802730286</v>
      </c>
      <c r="F21" s="0" t="n">
        <f aca="false">F19*F20</f>
        <v>627.096681656911</v>
      </c>
      <c r="G21" s="0" t="n">
        <f aca="false">G19*G20</f>
        <v>612.723337715219</v>
      </c>
      <c r="H21" s="0" t="n">
        <f aca="false">H19*H20</f>
        <v>586.508047725279</v>
      </c>
      <c r="I21" s="0" t="n">
        <f aca="false">I19*I20</f>
        <v>559.437412634972</v>
      </c>
      <c r="J21" s="0" t="n">
        <f aca="false">J19*J20</f>
        <v>532.824061450569</v>
      </c>
      <c r="K21" s="0" t="n">
        <f aca="false">K19*K20</f>
        <v>499.977845396762</v>
      </c>
      <c r="L21" s="0" t="n">
        <f aca="false">L19*L20</f>
        <v>470.162652781359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5828.93794774576</v>
      </c>
    </row>
    <row r="31" customFormat="false" ht="15" hidden="false" customHeight="false" outlineLevel="0" collapsed="false">
      <c r="A31" s="0" t="s">
        <v>133</v>
      </c>
      <c r="B31" s="0" t="n">
        <f aca="false">L19</f>
        <v>1113.04598534446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17551.8789996626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16695.6897801668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16695.6897801668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7052.43979172038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12881.3777394661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13937.3777394661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25.6673623194588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-0.103793215102695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607.665270488727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745.554744333562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28.1594802104759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9126.97707982453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14.3147211605939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9028</v>
      </c>
      <c r="C6" s="0" t="n">
        <f aca="false">B6*(1+C5/100)</f>
        <v>9659.96</v>
      </c>
      <c r="D6" s="0" t="n">
        <f aca="false">C6*(1+D5/100)</f>
        <v>10336.1572</v>
      </c>
      <c r="E6" s="0" t="n">
        <f aca="false">D6*(1+E5/100)</f>
        <v>11008.007418</v>
      </c>
      <c r="F6" s="0" t="n">
        <f aca="false">E6*(1+F5/100)</f>
        <v>11668.48786308</v>
      </c>
      <c r="G6" s="0" t="n">
        <f aca="false">F6*(1+G5/100)</f>
        <v>12310.2546955494</v>
      </c>
      <c r="H6" s="0" t="n">
        <f aca="false">G6*(1+H5/100)</f>
        <v>12925.7674303269</v>
      </c>
      <c r="I6" s="0" t="n">
        <f aca="false">H6*(1+I5/100)</f>
        <v>13507.4269646916</v>
      </c>
      <c r="J6" s="0" t="n">
        <f aca="false">I6*(1+J5/100)</f>
        <v>14047.7240432792</v>
      </c>
      <c r="K6" s="0" t="n">
        <f aca="false">J6*(1+K5/100)</f>
        <v>14539.394384794</v>
      </c>
      <c r="L6" s="0" t="n">
        <f aca="false">K6*(1+L5/100)</f>
        <v>14975.5762163378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18.9</v>
      </c>
      <c r="D7" s="4" t="n">
        <f aca="false">Assumptions!D42</f>
        <v>19.7</v>
      </c>
      <c r="E7" s="4" t="n">
        <f aca="false">Assumptions!E42</f>
        <v>20.4</v>
      </c>
      <c r="F7" s="4" t="n">
        <f aca="false">Assumptions!F42</f>
        <v>21</v>
      </c>
      <c r="G7" s="4" t="n">
        <f aca="false">Assumptions!G42</f>
        <v>21.5</v>
      </c>
      <c r="H7" s="4" t="n">
        <f aca="false">Assumptions!H42</f>
        <v>22</v>
      </c>
      <c r="I7" s="4" t="n">
        <f aca="false">Assumptions!I42</f>
        <v>22.3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1825.73244</v>
      </c>
      <c r="D8" s="0" t="n">
        <f aca="false">D6*D7/100</f>
        <v>2036.2229684</v>
      </c>
      <c r="E8" s="0" t="n">
        <f aca="false">E6*E7/100</f>
        <v>2245.633513272</v>
      </c>
      <c r="F8" s="0" t="n">
        <f aca="false">F6*F7/100</f>
        <v>2450.3824512468</v>
      </c>
      <c r="G8" s="0" t="n">
        <f aca="false">G6*G7/100</f>
        <v>2646.70475954312</v>
      </c>
      <c r="H8" s="0" t="n">
        <f aca="false">H6*H7/100</f>
        <v>2843.66883467191</v>
      </c>
      <c r="I8" s="0" t="n">
        <f aca="false">I6*I7/100</f>
        <v>3012.15621312622</v>
      </c>
      <c r="J8" s="0" t="n">
        <f aca="false">J6*J7/100</f>
        <v>3160.73790973783</v>
      </c>
      <c r="K8" s="0" t="n">
        <f aca="false">K6*K7/100</f>
        <v>3271.36373657865</v>
      </c>
      <c r="L8" s="0" t="n">
        <f aca="false">L6*L7/100</f>
        <v>3369.50464867601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0.85</v>
      </c>
      <c r="D9" s="4" t="n">
        <f aca="false">Assumptions!D43</f>
        <v>0.85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-82.10966</v>
      </c>
      <c r="D10" s="0" t="n">
        <f aca="false">-D6*D9/100</f>
        <v>-87.8573362</v>
      </c>
      <c r="E10" s="0" t="n">
        <f aca="false">-E6*E9/100</f>
        <v>-93.568063053</v>
      </c>
      <c r="F10" s="0" t="n">
        <f aca="false">-F6*F9/100</f>
        <v>-99.18214683618</v>
      </c>
      <c r="G10" s="0" t="n">
        <f aca="false">-G6*G9/100</f>
        <v>-104.63716491217</v>
      </c>
      <c r="H10" s="0" t="n">
        <f aca="false">-H6*H9/100</f>
        <v>-109.869023157778</v>
      </c>
      <c r="I10" s="0" t="n">
        <f aca="false">-I6*I9/100</f>
        <v>-114.813129199878</v>
      </c>
      <c r="J10" s="0" t="n">
        <f aca="false">-J6*J9/100</f>
        <v>-119.405654367874</v>
      </c>
      <c r="K10" s="0" t="n">
        <f aca="false">-K6*K9/100</f>
        <v>-123.584852270749</v>
      </c>
      <c r="L10" s="0" t="n">
        <f aca="false">-L6*L9/100</f>
        <v>-127.292397838872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1743.62278</v>
      </c>
      <c r="D11" s="0" t="n">
        <f aca="false">D8+D10+D24</f>
        <v>1948.3656322</v>
      </c>
      <c r="E11" s="0" t="n">
        <f aca="false">E8+E10+E24</f>
        <v>2152.065450219</v>
      </c>
      <c r="F11" s="0" t="n">
        <f aca="false">F8+F10+F24</f>
        <v>2351.20030441062</v>
      </c>
      <c r="G11" s="0" t="n">
        <f aca="false">G8+G10+G24</f>
        <v>2542.06759463095</v>
      </c>
      <c r="H11" s="0" t="n">
        <f aca="false">H8+H10+H24</f>
        <v>2733.79981151413</v>
      </c>
      <c r="I11" s="0" t="n">
        <f aca="false">I8+I10+I24</f>
        <v>2897.34308392634</v>
      </c>
      <c r="J11" s="0" t="n">
        <f aca="false">J8+J10+J24</f>
        <v>3041.33225536996</v>
      </c>
      <c r="K11" s="0" t="n">
        <f aca="false">K8+K10+K24</f>
        <v>3147.7788843079</v>
      </c>
      <c r="L11" s="0" t="n">
        <f aca="false">L8+L10+L24</f>
        <v>3242.21225083714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-521.63784</v>
      </c>
      <c r="D12" s="4" t="n">
        <f aca="false">-D6*Assumptions!D45/100</f>
        <v>-547.8163316</v>
      </c>
      <c r="E12" s="4" t="n">
        <f aca="false">-E6*Assumptions!E45/100</f>
        <v>-572.416385736</v>
      </c>
      <c r="F12" s="4" t="n">
        <f aca="false">-F6*Assumptions!F45/100</f>
        <v>-595.09288101708</v>
      </c>
      <c r="G12" s="4" t="n">
        <f aca="false">-G6*Assumptions!G45/100</f>
        <v>-615.51273477747</v>
      </c>
      <c r="H12" s="4" t="n">
        <f aca="false">-H6*Assumptions!H45/100</f>
        <v>-633.362604086017</v>
      </c>
      <c r="I12" s="4" t="n">
        <f aca="false">-I6*Assumptions!I45/100</f>
        <v>-648.356494305196</v>
      </c>
      <c r="J12" s="4" t="n">
        <f aca="false">-J6*Assumptions!J45/100</f>
        <v>-660.243030034124</v>
      </c>
      <c r="K12" s="4" t="n">
        <f aca="false">-K6*Assumptions!K45/100</f>
        <v>-668.812141700525</v>
      </c>
      <c r="L12" s="4" t="n">
        <f aca="false">-L6*Assumptions!L45/100</f>
        <v>-688.876505951541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1221.98494</v>
      </c>
      <c r="D13" s="0" t="n">
        <f aca="false">D11+D12</f>
        <v>1400.5493006</v>
      </c>
      <c r="E13" s="0" t="n">
        <f aca="false">E11+E12</f>
        <v>1579.649064483</v>
      </c>
      <c r="F13" s="0" t="n">
        <f aca="false">F11+F12</f>
        <v>1756.10742339354</v>
      </c>
      <c r="G13" s="0" t="n">
        <f aca="false">G11+G12</f>
        <v>1926.55485985348</v>
      </c>
      <c r="H13" s="0" t="n">
        <f aca="false">H11+H12</f>
        <v>2100.43720742812</v>
      </c>
      <c r="I13" s="0" t="n">
        <f aca="false">I11+I12</f>
        <v>2248.98658962115</v>
      </c>
      <c r="J13" s="0" t="n">
        <f aca="false">J11+J12</f>
        <v>2381.08922533583</v>
      </c>
      <c r="K13" s="0" t="n">
        <f aca="false">K11+K12</f>
        <v>2478.96674260738</v>
      </c>
      <c r="L13" s="0" t="n">
        <f aca="false">L11+L12</f>
        <v>2553.3357448856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43.8</v>
      </c>
      <c r="D14" s="4" t="n">
        <f aca="false">Assumptions!D47</f>
        <v>44</v>
      </c>
      <c r="E14" s="4" t="n">
        <f aca="false">Assumptions!E47</f>
        <v>44.2</v>
      </c>
      <c r="F14" s="4" t="n">
        <f aca="false">Assumptions!F47</f>
        <v>44.4</v>
      </c>
      <c r="G14" s="4" t="n">
        <f aca="false">Assumptions!G47</f>
        <v>44.6</v>
      </c>
      <c r="H14" s="4" t="n">
        <f aca="false">Assumptions!H47</f>
        <v>44.8</v>
      </c>
      <c r="I14" s="4" t="n">
        <f aca="false">Assumptions!I47</f>
        <v>45</v>
      </c>
      <c r="J14" s="4" t="n">
        <f aca="false">Assumptions!J47</f>
        <v>45.2</v>
      </c>
      <c r="K14" s="4" t="n">
        <f aca="false">Assumptions!K47</f>
        <v>45.3</v>
      </c>
      <c r="L14" s="4" t="n">
        <f aca="false">Assumptions!L47</f>
        <v>45.3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686.75553628</v>
      </c>
      <c r="D15" s="0" t="n">
        <f aca="false">D13-MAX(0,D13)*D14/100</f>
        <v>784.307608336</v>
      </c>
      <c r="E15" s="0" t="n">
        <f aca="false">E13-MAX(0,E13)*E14/100</f>
        <v>881.444177981514</v>
      </c>
      <c r="F15" s="0" t="n">
        <f aca="false">F13-MAX(0,F13)*F14/100</f>
        <v>976.395727406808</v>
      </c>
      <c r="G15" s="0" t="n">
        <f aca="false">G13-MAX(0,G13)*G14/100</f>
        <v>1067.31139235883</v>
      </c>
      <c r="H15" s="0" t="n">
        <f aca="false">H13-MAX(0,H13)*H14/100</f>
        <v>1159.44133850032</v>
      </c>
      <c r="I15" s="0" t="n">
        <f aca="false">I13-MAX(0,I13)*I14/100</f>
        <v>1236.94262429163</v>
      </c>
      <c r="J15" s="0" t="n">
        <f aca="false">J13-MAX(0,J13)*J14/100</f>
        <v>1304.83689548404</v>
      </c>
      <c r="K15" s="0" t="n">
        <f aca="false">K13-MAX(0,K13)*K14/100</f>
        <v>1355.99480820624</v>
      </c>
      <c r="L15" s="0" t="n">
        <f aca="false">L13-MAX(0,L13)*L14/100</f>
        <v>1396.67465245242</v>
      </c>
    </row>
    <row r="16" customFormat="false" ht="15" hidden="false" customHeight="false" outlineLevel="0" collapsed="false">
      <c r="A16" s="0" t="s">
        <v>124</v>
      </c>
      <c r="C16" s="0" t="n">
        <f aca="false">-C12</f>
        <v>521.63784</v>
      </c>
      <c r="D16" s="0" t="n">
        <f aca="false">-D12</f>
        <v>547.8163316</v>
      </c>
      <c r="E16" s="0" t="n">
        <f aca="false">-E12</f>
        <v>572.416385736</v>
      </c>
      <c r="F16" s="0" t="n">
        <f aca="false">-F12</f>
        <v>595.09288101708</v>
      </c>
      <c r="G16" s="0" t="n">
        <f aca="false">-G12</f>
        <v>615.51273477747</v>
      </c>
      <c r="H16" s="0" t="n">
        <f aca="false">-H12</f>
        <v>633.362604086017</v>
      </c>
      <c r="I16" s="0" t="n">
        <f aca="false">-I12</f>
        <v>648.356494305196</v>
      </c>
      <c r="J16" s="0" t="n">
        <f aca="false">-J12</f>
        <v>660.243030034124</v>
      </c>
      <c r="K16" s="0" t="n">
        <f aca="false">-K12</f>
        <v>668.812141700525</v>
      </c>
      <c r="L16" s="0" t="n">
        <f aca="false">-L12</f>
        <v>688.876505951541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-454.01812</v>
      </c>
      <c r="D17" s="4" t="n">
        <f aca="false">-D6*Assumptions!D46/100</f>
        <v>-485.7993884</v>
      </c>
      <c r="E17" s="4" t="n">
        <f aca="false">-E6*Assumptions!E46/100</f>
        <v>-506.368341228</v>
      </c>
      <c r="F17" s="4" t="n">
        <f aca="false">-F6*Assumptions!F46/100</f>
        <v>-536.75044170168</v>
      </c>
      <c r="G17" s="4" t="n">
        <f aca="false">-G6*Assumptions!G46/100</f>
        <v>-553.961461299723</v>
      </c>
      <c r="H17" s="4" t="n">
        <f aca="false">-H6*Assumptions!H46/100</f>
        <v>-581.659534364709</v>
      </c>
      <c r="I17" s="4" t="n">
        <f aca="false">-I6*Assumptions!I46/100</f>
        <v>-607.834213411121</v>
      </c>
      <c r="J17" s="4" t="n">
        <f aca="false">-J6*Assumptions!J46/100</f>
        <v>-632.147581947566</v>
      </c>
      <c r="K17" s="4" t="n">
        <f aca="false">-K6*Assumptions!K46/100</f>
        <v>-654.272747315731</v>
      </c>
      <c r="L17" s="4" t="n">
        <f aca="false">-L6*Assumptions!L46/100</f>
        <v>-673.900929735203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754.37525628</v>
      </c>
      <c r="D19" s="0" t="n">
        <f aca="false">D15+D16+D17+D18</f>
        <v>846.324551536</v>
      </c>
      <c r="E19" s="0" t="n">
        <f aca="false">E15+E16+E17+E18</f>
        <v>947.492222489514</v>
      </c>
      <c r="F19" s="0" t="n">
        <f aca="false">F15+F16+F17+F18</f>
        <v>1034.73816672221</v>
      </c>
      <c r="G19" s="0" t="n">
        <f aca="false">G15+G16+G17+G18</f>
        <v>1128.86266583658</v>
      </c>
      <c r="H19" s="0" t="n">
        <f aca="false">H15+H16+H17+H18</f>
        <v>1211.14440822163</v>
      </c>
      <c r="I19" s="0" t="n">
        <f aca="false">I15+I16+I17+I18</f>
        <v>1277.46490518571</v>
      </c>
      <c r="J19" s="0" t="n">
        <f aca="false">J15+J16+J17+J18</f>
        <v>1332.93234357059</v>
      </c>
      <c r="K19" s="0" t="n">
        <f aca="false">K15+K16+K17+K18</f>
        <v>1370.53420259103</v>
      </c>
      <c r="L19" s="0" t="n">
        <f aca="false">L15+L16+L17+L18</f>
        <v>1411.65022866876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692.087391082569</v>
      </c>
      <c r="D21" s="0" t="n">
        <f aca="false">D19*D20</f>
        <v>712.334442838145</v>
      </c>
      <c r="E21" s="0" t="n">
        <f aca="false">E19*E20</f>
        <v>731.637841692745</v>
      </c>
      <c r="F21" s="0" t="n">
        <f aca="false">F19*F20</f>
        <v>733.034604157395</v>
      </c>
      <c r="G21" s="0" t="n">
        <f aca="false">G19*G20</f>
        <v>733.683277347611</v>
      </c>
      <c r="H21" s="0" t="n">
        <f aca="false">H19*H20</f>
        <v>722.16583875502</v>
      </c>
      <c r="I21" s="0" t="n">
        <f aca="false">I19*I20</f>
        <v>698.817049722103</v>
      </c>
      <c r="J21" s="0" t="n">
        <f aca="false">J19*J20</f>
        <v>668.953796323278</v>
      </c>
      <c r="K21" s="0" t="n">
        <f aca="false">K19*K20</f>
        <v>631.032019650132</v>
      </c>
      <c r="L21" s="0" t="n">
        <f aca="false">L19*L20</f>
        <v>596.296312146455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6920.04257371545</v>
      </c>
    </row>
    <row r="31" customFormat="false" ht="15" hidden="false" customHeight="false" outlineLevel="0" collapsed="false">
      <c r="A31" s="0" t="s">
        <v>133</v>
      </c>
      <c r="B31" s="0" t="n">
        <f aca="false">L19</f>
        <v>1411.65022866876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24233.3289254804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25409.7041160377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24233.3289254804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10236.4200251808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17156.4625988963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18212.4625988963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33.5404467751313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0.171104985165197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658.714826251086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923.046250288149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36.4534505993287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12116.6644627402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17.1288240011568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15.7225446698348</v>
      </c>
      <c r="C4" s="0" t="n">
        <f aca="false">B4/Assumptions!$B$2-1</f>
        <v>-0.451028468232026</v>
      </c>
      <c r="D4" s="4" t="n">
        <f aca="false">Assumptions!$B$24</f>
        <v>0.25</v>
      </c>
      <c r="E4" s="4" t="n">
        <f aca="false">DCF_Bear!$B$43</f>
        <v>17.644527726925</v>
      </c>
      <c r="F4" s="4" t="n">
        <f aca="false">DCF_Bear!$B$47</f>
        <v>10.1338930510897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25.6673623194588</v>
      </c>
      <c r="C5" s="0" t="n">
        <f aca="false">B5/Assumptions!$B$2-1</f>
        <v>-0.103793215102695</v>
      </c>
      <c r="D5" s="4" t="n">
        <f aca="false">Assumptions!$B$38</f>
        <v>0.5</v>
      </c>
      <c r="E5" s="4" t="n">
        <f aca="false">DCF_Base!$B$43</f>
        <v>28.1594802104759</v>
      </c>
      <c r="F5" s="4" t="n">
        <f aca="false">DCF_Base!$B$47</f>
        <v>14.3147211605939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33.5404467751313</v>
      </c>
      <c r="C6" s="0" t="n">
        <f aca="false">B6/Assumptions!$B$2-1</f>
        <v>0.171104985165197</v>
      </c>
      <c r="D6" s="4" t="n">
        <f aca="false">Assumptions!$B$52</f>
        <v>0.25</v>
      </c>
      <c r="E6" s="4" t="n">
        <f aca="false">DCF_Bull!$B$43</f>
        <v>36.4534505993287</v>
      </c>
      <c r="F6" s="4" t="n">
        <f aca="false">DCF_Bull!$B$47</f>
        <v>17.1288240011568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25.1494290209709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27.6042346868014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-0.138793249585049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142.193373089197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13.9730398433585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25.6673623194588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22.9852009627454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20.4284881327323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18.4131385584863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14.3147211605939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29.4121005156814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29.4121005156814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29.4121005156814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29.4121005156814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29.4121005156814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27.4526098893749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27.4526098893749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27.4526098893749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27.4526098893749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27.4526098893749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24.397432502247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25.2962789313125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25.6673623194588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25.6673623194588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25.6673623194588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21.6215635048357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22.2607685632309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22.9852009627454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23.8131237050476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24.0389208165846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19.4361402718685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19.904748983943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20.4284881327323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21.0176946751202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21.6854620898264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2026-10-02T03:03:31Z</dcterms:created>
  <dc:creator>openpyxl</dc:creator>
  <dc:description/>
  <dc:language>en-NZ</dc:language>
  <cp:lastModifiedBy/>
  <dcterms:modified xsi:type="dcterms:W3CDTF">2026-10-02T03:03:31Z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