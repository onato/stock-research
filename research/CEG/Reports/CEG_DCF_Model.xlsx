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<sst xmlns="http://schemas.openxmlformats.org/spreadsheetml/2006/main" count="351" uniqueCount="163">
  <si>
    <t xml:space="preserve">Ticker</t>
  </si>
  <si>
    <t xml:space="preserve">CEG</t>
  </si>
  <si>
    <t xml:space="preserve">Company</t>
  </si>
  <si>
    <t xml:space="preserve">Constellation Energy Corporation</t>
  </si>
  <si>
    <t xml:space="preserve">Valuation date</t>
  </si>
  <si>
    <t xml:space="preserve">2026-09-26</t>
  </si>
  <si>
    <t xml:space="preserve">Current price</t>
  </si>
  <si>
    <t xml:space="preserve">Price as of</t>
  </si>
  <si>
    <t xml:space="preserve">2026-09-25T20:00:01Z regular close (Yahoo chart API)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</si>
  <si>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</si>
  <si>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</si>
  <si>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</si>
  <si>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</si>
  <si>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</si>
  <si>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</si>
  <si>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</si>
  <si>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</si>
  <si>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</si>
  <si>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</si>
  <si>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</si>
  <si>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</si>
  <si>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2026-09-26T00:36:54Z</t>
  </si>
  <si>
    <t xml:space="preserve">Drivers file</t>
  </si>
  <si>
    <t xml:space="preserve">CEG_Drivers.json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</si>
  <si>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</si>
  <si>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</si>
  <si>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</si>
  <si>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merchant/contracted power generator valued on owner FCF built from components off FY2026 guidance, because reported cash flow is distorted by receivable-sale classification and collateral. The market price sits well above the house base case: it is paying for margin expansion close to the bull path (AI-driven load growth persisting beyond the PJM collar).
key_risks_to_valuation: Capacity-price regime after the 2029/30 collar: each 1pp of terminal EBITDA margin is worth roughly $15-20/share; EBITDA base is derived from adjusted-EPS guidance, not a disclosed EBITDA figure; a 5% error in FY0 EBITDA moves value ~8-10%; Divestiture proceeds assumed value-neutral; the $5.2B of short-term borrowings is counted as debt; Cash-tax ramp: CEG has paid ~10-13% of pretax in FY2024-25; a slower ramp to 23% adds value; Terminal value capped at 15x FCF; nuclear licence extensions to 80 years support a long life, but the gas fleet and merchant exposure argue against a higher multiple</t>
  </si>
  <si>
    <t xml:space="preserve">Data sources</t>
  </si>
  <si>
    <t xml:space="preserve">price: Yahoo Finance chart API at inputs.price_as_of; 52-week range 228.63-412.70
financials: SEC XBRL companyfacts (CIK 1868275): FY2020-FY2025 10-K, Q1/Q2-2026 10-Q; research/CEG/Reports/CEG_Metrics.csv
qualitative: research/CEG/Reports/CEG_Analysis.json (Q2-2026 results, raised FY2026 adjusted operating EPS guidance $11.50-12.50, Calpine close 2026-01-07)</t>
  </si>
  <si>
    <t xml:space="preserve">Scenario narrative: bear</t>
  </si>
  <si>
    <t xml:space="preserve">Hyperscaler capex slows and data-center PPAs stall, the post-collar PJM market redesign or new supply pushes capacity prices toward the ~$175 floor, gas-fired spark spreads compress on the enlarged Calpine fleet, and integration and divestiture execution slip. Crane is delayed by the NRC. Margin drifts back to ~22%, below the pro-forma starting point, with ~2% revenue growth; leverage (~2.6x net debt/EBITDA) limits buybacks.</t>
  </si>
  <si>
    <t xml:space="preserve">Scenario narrative: base</t>
  </si>
  <si>
    <t xml:space="preserve">Calpine integrates without incident and the mandated divestitures clear near fair value. PJM capacity clears at or near the ~$325/MW-day collar through the 2029/30 delivery year, Crane returns to service in late 2027 under the 20-year Microsoft PPA, and the &gt;5.6 GW data-center/clean-energy contract pipeline converts at a steady pace. Margin expands ~3pp to ~28% by FY2030 and then holds; capex fades from a restart/uprate peak to maintenance plus fuel. Earnings grow well, but slower than management's 20%+ EPS CAGR, which also leans on buybacks.</t>
  </si>
  <si>
    <t xml:space="preserve">Scenario narrative: bull</t>
  </si>
  <si>
    <t xml:space="preserve">AI load growth keeps PJM and ERCOT tight after the collar expires, so capacity and energy prices stay high; more hyperscaler deals are signed at premium, long-dated prices for nuclear baseload and Calpine's firm gas, and the uprate programme is extended. Margin reaches ~32% and revenue compounds 6-7% early, broadly consistent with management's 20%+ EPS growth ambition.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</si>
  <si>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</si>
  <si>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</si>
  <si>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</si>
  <si>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</si>
  <si>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</si>
  <si>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</si>
  <si>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</si>
  <si>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</si>
  <si>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</si>
  <si>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</si>
  <si>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</si>
  <si>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</si>
  <si>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</si>
  <si>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</si>
  <si>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</si>
  <si>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</si>
  <si>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</si>
  <si>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</si>
  <si>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</si>
  <si>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</si>
  <si>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</si>
  <si>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</si>
  <si>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</si>
  <si>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</si>
  <si>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</si>
  <si>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</si>
  <si>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</si>
  <si>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</si>
  <si>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</si>
  <si>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</si>
  <si>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</si>
  <si>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</si>
  <si>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</si>
  <si>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</si>
  <si>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</si>
  <si>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</si>
  <si>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</si>
  <si>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</si>
  <si>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</si>
  <si>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</si>
  <si>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</si>
  <si>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</si>
  <si>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</si>
  <si>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FY2026E (pro-forma combined with Calpine; guidance year)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</si>
  <si>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</si>
  <si>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</si>
  <si>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</si>
  <si>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</si>
  <si>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</si>
  <si>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</si>
  <si>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</si>
  <si>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</si>
  <si>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</si>
  <si>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</si>
  <si>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</si>
  <si>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</si>
  <si>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</si>
  <si>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</si>
  <si>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</si>
  <si>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</si>
  <si>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</si>
  <si>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</si>
  <si>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</si>
  <si>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</si>
  <si>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</si>
  <si>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</si>
  <si>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</si>
  <si>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</si>
  <si>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</si>
  <si>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</si>
  <si>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</si>
  <si>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</si>
  <si>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CEG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</si>
  <si>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</si>
  <si>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</si>
  <si>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</si>
  <si>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</si>
  <si>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</si>
  <si>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</si>
  <si>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</si>
  <si>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</si>
  <si>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</si>
  <si>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</si>
  <si>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</si>
  <si>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</si>
  <si>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</si>
  <si>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</si>
  <si>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</si>
  <si>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</si>
  <si>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</si>
  <si>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</si>
  <si>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</si>
  <si>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</si>
  <si>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</si>
  <si>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</si>
  <si>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</si>
  <si>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</si>
  <si>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</si>
  <si>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</si>
  <si>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</si>
  <si>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</si>
  <si>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</si>
  <si>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</si>
  <si>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CEG owner-FCF component DCF: base case (millions, USD)</t>
  </si>
  <si>
    <t xml:space="preserve">CEG owner-FCF component DCF: bull case (millions, USD)</t>
  </si>
  <si>
    <t xml:space="preserve">CEG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</si>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</sst>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263.27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15830</v>
      </c>
      <c r="S2" s="0" t="n">
        <v>303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17603</v>
      </c>
      <c r="F3" s="0" t="n">
        <v>256</v>
      </c>
      <c r="G3" s="0" t="n">
        <v>1.45429756291541</v>
      </c>
      <c r="I3" s="0" t="n">
        <v>589</v>
      </c>
      <c r="J3" s="0" t="n">
        <v>3.34602056467648</v>
      </c>
      <c r="K3" s="0" t="n">
        <v>0</v>
      </c>
      <c r="L3" s="0" t="n">
        <v>584</v>
      </c>
      <c r="M3" s="0" t="n">
        <v>1747</v>
      </c>
      <c r="N3" s="0" t="n">
        <v>-1163</v>
      </c>
      <c r="O3" s="0" t="n">
        <v>14676</v>
      </c>
      <c r="S3" s="0" t="n">
        <v>226</v>
      </c>
      <c r="T3" s="0" t="n">
        <v>0</v>
      </c>
      <c r="U3" s="0" t="n">
        <v>27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19649</v>
      </c>
      <c r="F4" s="0" t="n">
        <v>-346</v>
      </c>
      <c r="G4" s="0" t="n">
        <v>-1.760903862792</v>
      </c>
      <c r="I4" s="0" t="n">
        <v>-205</v>
      </c>
      <c r="J4" s="0" t="n">
        <v>-1.04331009211665</v>
      </c>
      <c r="K4" s="0" t="n">
        <v>0</v>
      </c>
      <c r="L4" s="0" t="n">
        <v>-1338</v>
      </c>
      <c r="M4" s="0" t="n">
        <v>1329</v>
      </c>
      <c r="N4" s="0" t="n">
        <v>-2667</v>
      </c>
      <c r="O4" s="0" t="n">
        <v>11614</v>
      </c>
      <c r="P4" s="0" t="n">
        <v>48086</v>
      </c>
      <c r="Q4" s="0" t="n">
        <v>36472</v>
      </c>
      <c r="R4" s="0" t="n">
        <v>5795</v>
      </c>
      <c r="S4" s="0" t="n">
        <v>504</v>
      </c>
      <c r="T4" s="0" t="n">
        <v>0</v>
      </c>
      <c r="U4" s="0" t="n">
        <v>47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24440</v>
      </c>
      <c r="F5" s="0" t="n">
        <v>495</v>
      </c>
      <c r="G5" s="0" t="n">
        <v>2.0253682487725</v>
      </c>
      <c r="I5" s="0" t="n">
        <v>-167</v>
      </c>
      <c r="J5" s="0" t="n">
        <v>-0.683306055646481</v>
      </c>
      <c r="K5" s="0" t="n">
        <v>-0.49</v>
      </c>
      <c r="L5" s="0" t="n">
        <v>-2353</v>
      </c>
      <c r="M5" s="0" t="n">
        <v>1689</v>
      </c>
      <c r="N5" s="0" t="n">
        <v>-4042</v>
      </c>
      <c r="O5" s="0" t="n">
        <v>11372</v>
      </c>
      <c r="P5" s="0" t="n">
        <v>46909</v>
      </c>
      <c r="Q5" s="0" t="n">
        <v>35537</v>
      </c>
      <c r="R5" s="0" t="n">
        <v>4609</v>
      </c>
      <c r="S5" s="0" t="n">
        <v>422</v>
      </c>
      <c r="T5" s="0" t="n">
        <v>329</v>
      </c>
      <c r="U5" s="0" t="n">
        <v>116</v>
      </c>
      <c r="V5" s="0" t="n">
        <v>0.141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24918</v>
      </c>
      <c r="F6" s="0" t="n">
        <v>1610</v>
      </c>
      <c r="G6" s="0" t="n">
        <v>6.46119271209567</v>
      </c>
      <c r="I6" s="0" t="n">
        <v>1623</v>
      </c>
      <c r="J6" s="0" t="n">
        <v>6.51336383337346</v>
      </c>
      <c r="K6" s="0" t="n">
        <v>5.02</v>
      </c>
      <c r="L6" s="0" t="n">
        <v>-5301</v>
      </c>
      <c r="M6" s="0" t="n">
        <v>2422</v>
      </c>
      <c r="N6" s="0" t="n">
        <v>-7723</v>
      </c>
      <c r="O6" s="0" t="n">
        <v>11286</v>
      </c>
      <c r="P6" s="0" t="n">
        <v>50758</v>
      </c>
      <c r="Q6" s="0" t="n">
        <v>39472</v>
      </c>
      <c r="R6" s="0" t="n">
        <v>7617</v>
      </c>
      <c r="S6" s="0" t="n">
        <v>368</v>
      </c>
      <c r="T6" s="0" t="n">
        <v>324</v>
      </c>
      <c r="U6" s="0" t="n">
        <v>178</v>
      </c>
      <c r="V6" s="0" t="n">
        <v>0.282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23568</v>
      </c>
      <c r="F7" s="0" t="n">
        <v>4352</v>
      </c>
      <c r="G7" s="0" t="n">
        <v>18.4657162253904</v>
      </c>
      <c r="I7" s="0" t="n">
        <v>3749</v>
      </c>
      <c r="J7" s="0" t="n">
        <v>15.9071622539036</v>
      </c>
      <c r="K7" s="0" t="n">
        <v>11.91</v>
      </c>
      <c r="L7" s="0" t="n">
        <v>-2464</v>
      </c>
      <c r="M7" s="0" t="n">
        <v>2565</v>
      </c>
      <c r="N7" s="0" t="n">
        <v>-5029</v>
      </c>
      <c r="O7" s="0" t="n">
        <v>13539</v>
      </c>
      <c r="P7" s="0" t="n">
        <v>52926</v>
      </c>
      <c r="Q7" s="0" t="n">
        <v>39387</v>
      </c>
      <c r="R7" s="0" t="n">
        <v>8412</v>
      </c>
      <c r="S7" s="0" t="n">
        <v>3022</v>
      </c>
      <c r="T7" s="0" t="n">
        <v>315</v>
      </c>
      <c r="U7" s="0" t="n">
        <v>332</v>
      </c>
      <c r="V7" s="0" t="n">
        <v>0.3525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25533</v>
      </c>
      <c r="F8" s="0" t="n">
        <v>3086</v>
      </c>
      <c r="G8" s="0" t="n">
        <v>12.0863196647476</v>
      </c>
      <c r="I8" s="0" t="n">
        <v>2323</v>
      </c>
      <c r="J8" s="0" t="n">
        <v>9.09803000039165</v>
      </c>
      <c r="K8" s="0" t="n">
        <v>7.4</v>
      </c>
      <c r="L8" s="0" t="n">
        <v>4237</v>
      </c>
      <c r="M8" s="0" t="n">
        <v>2949</v>
      </c>
      <c r="N8" s="0" t="n">
        <v>1288</v>
      </c>
      <c r="O8" s="0" t="n">
        <v>14853</v>
      </c>
      <c r="P8" s="0" t="n">
        <v>57249</v>
      </c>
      <c r="Q8" s="0" t="n">
        <v>42396</v>
      </c>
      <c r="R8" s="0" t="n">
        <v>7495</v>
      </c>
      <c r="S8" s="0" t="n">
        <v>3641</v>
      </c>
      <c r="T8" s="0" t="n">
        <v>314</v>
      </c>
      <c r="U8" s="0" t="n">
        <v>385</v>
      </c>
      <c r="V8" s="0" t="n">
        <v>0.3878</v>
      </c>
      <c r="AA8" s="0" t="s">
        <v>17</v>
      </c>
      <c r="AB8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70</v>
      </c>
      <c r="B1" s="2" t="s">
        <v>71</v>
      </c>
    </row>
    <row r="2" customFormat="false" ht="15" hidden="false" customHeight="false" outlineLevel="0" collapsed="false">
      <c r="A2" s="0" t="s">
        <v>72</v>
      </c>
      <c r="B2" s="3" t="n">
        <v>263.27</v>
      </c>
    </row>
    <row r="3" customFormat="false" ht="15" hidden="false" customHeight="false" outlineLevel="0" collapsed="false">
      <c r="A3" s="0" t="s">
        <v>73</v>
      </c>
      <c r="B3" s="3" t="n">
        <v>355.3</v>
      </c>
    </row>
    <row r="4" customFormat="false" ht="15" hidden="false" customHeight="false" outlineLevel="0" collapsed="false">
      <c r="A4" s="0" t="s">
        <v>74</v>
      </c>
      <c r="B4" s="3" t="n">
        <v>24003</v>
      </c>
    </row>
    <row r="5" customFormat="false" ht="15" hidden="false" customHeight="false" outlineLevel="0" collapsed="false">
      <c r="A5" s="0" t="s">
        <v>75</v>
      </c>
      <c r="B5" s="3" t="n">
        <v>1055</v>
      </c>
    </row>
    <row r="6" customFormat="false" ht="15" hidden="false" customHeight="false" outlineLevel="0" collapsed="false">
      <c r="A6" s="0" t="s">
        <v>76</v>
      </c>
      <c r="B6" s="3" t="n">
        <v>15</v>
      </c>
    </row>
    <row r="7" customFormat="false" ht="15" hidden="false" customHeight="false" outlineLevel="0" collapsed="false">
      <c r="A7" s="0" t="s">
        <v>77</v>
      </c>
      <c r="B7" s="3" t="n">
        <v>37000</v>
      </c>
    </row>
    <row r="8" customFormat="false" ht="15" hidden="false" customHeight="false" outlineLevel="0" collapsed="false">
      <c r="A8" s="0" t="s">
        <v>78</v>
      </c>
      <c r="B8" s="3" t="s">
        <v>79</v>
      </c>
    </row>
    <row r="9" customFormat="false" ht="15" hidden="false" customHeight="false" outlineLevel="0" collapsed="false">
      <c r="A9" s="0" t="s">
        <v>80</v>
      </c>
      <c r="B9" s="3" t="s">
        <v>81</v>
      </c>
    </row>
    <row r="10" customFormat="false" ht="15" hidden="false" customHeight="false" outlineLevel="0" collapsed="false">
      <c r="A10" s="0" t="s">
        <v>82</v>
      </c>
      <c r="B10" s="3" t="n">
        <v>1</v>
      </c>
    </row>
    <row r="12" customFormat="false" ht="15" hidden="false" customHeight="false" outlineLevel="0" collapsed="false">
      <c r="A12" s="2" t="s">
        <v>83</v>
      </c>
      <c r="C12" s="2" t="s">
        <v>84</v>
      </c>
      <c r="D12" s="2" t="s">
        <v>85</v>
      </c>
      <c r="E12" s="2" t="s">
        <v>86</v>
      </c>
      <c r="F12" s="2" t="s">
        <v>87</v>
      </c>
      <c r="G12" s="2" t="s">
        <v>88</v>
      </c>
      <c r="H12" s="2" t="s">
        <v>89</v>
      </c>
      <c r="I12" s="2" t="s">
        <v>90</v>
      </c>
      <c r="J12" s="2" t="s">
        <v>91</v>
      </c>
      <c r="K12" s="2" t="s">
        <v>92</v>
      </c>
      <c r="L12" s="2" t="s">
        <v>93</v>
      </c>
    </row>
    <row r="13" customFormat="false" ht="15" hidden="false" customHeight="false" outlineLevel="0" collapsed="false">
      <c r="A13" s="0" t="s">
        <v>94</v>
      </c>
      <c r="C13" s="3" t="n">
        <v>1</v>
      </c>
      <c r="D13" s="3" t="n">
        <v>2</v>
      </c>
      <c r="E13" s="3" t="n">
        <v>2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95</v>
      </c>
      <c r="C14" s="3" t="n">
        <v>24</v>
      </c>
      <c r="D14" s="3" t="n">
        <v>23.5</v>
      </c>
      <c r="E14" s="3" t="n">
        <v>23</v>
      </c>
      <c r="F14" s="3" t="n">
        <v>22.5</v>
      </c>
      <c r="G14" s="3" t="n">
        <v>22</v>
      </c>
      <c r="H14" s="3" t="n">
        <v>22</v>
      </c>
      <c r="I14" s="3" t="n">
        <v>22</v>
      </c>
      <c r="J14" s="3" t="n">
        <v>22</v>
      </c>
      <c r="K14" s="3" t="n">
        <v>22</v>
      </c>
      <c r="L14" s="3" t="n">
        <v>22</v>
      </c>
    </row>
    <row r="15" customFormat="false" ht="15" hidden="false" customHeight="false" outlineLevel="0" collapsed="false">
      <c r="A15" s="0" t="s">
        <v>96</v>
      </c>
      <c r="C15" s="3" t="n">
        <v>1.2</v>
      </c>
      <c r="D15" s="3" t="n">
        <v>1.2</v>
      </c>
      <c r="E15" s="3" t="n">
        <v>1.1</v>
      </c>
      <c r="F15" s="3" t="n">
        <v>1.1</v>
      </c>
      <c r="G15" s="3" t="n">
        <v>1</v>
      </c>
      <c r="H15" s="3" t="n">
        <v>1</v>
      </c>
      <c r="I15" s="3" t="n">
        <v>1</v>
      </c>
      <c r="J15" s="3" t="n">
        <v>1</v>
      </c>
      <c r="K15" s="3" t="n">
        <v>1</v>
      </c>
      <c r="L15" s="3" t="n">
        <v>1</v>
      </c>
    </row>
    <row r="16" customFormat="false" ht="15" hidden="false" customHeight="false" outlineLevel="0" collapsed="false">
      <c r="A16" s="0" t="s">
        <v>97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98</v>
      </c>
      <c r="C17" s="3" t="n">
        <v>7.6</v>
      </c>
      <c r="D17" s="3" t="n">
        <v>7.6</v>
      </c>
      <c r="E17" s="3" t="n">
        <v>7.5</v>
      </c>
      <c r="F17" s="3" t="n">
        <v>7.4</v>
      </c>
      <c r="G17" s="3" t="n">
        <v>7.3</v>
      </c>
      <c r="H17" s="3" t="n">
        <v>7.2</v>
      </c>
      <c r="I17" s="3" t="n">
        <v>7.1</v>
      </c>
      <c r="J17" s="3" t="n">
        <v>7</v>
      </c>
      <c r="K17" s="3" t="n">
        <v>7</v>
      </c>
      <c r="L17" s="3" t="n">
        <v>7</v>
      </c>
    </row>
    <row r="18" customFormat="false" ht="15" hidden="false" customHeight="false" outlineLevel="0" collapsed="false">
      <c r="A18" s="0" t="s">
        <v>99</v>
      </c>
      <c r="C18" s="3" t="n">
        <v>13</v>
      </c>
      <c r="D18" s="3" t="n">
        <v>12</v>
      </c>
      <c r="E18" s="3" t="n">
        <v>11</v>
      </c>
      <c r="F18" s="3" t="n">
        <v>10</v>
      </c>
      <c r="G18" s="3" t="n">
        <v>9.5</v>
      </c>
      <c r="H18" s="3" t="n">
        <v>9</v>
      </c>
      <c r="I18" s="3" t="n">
        <v>9</v>
      </c>
      <c r="J18" s="3" t="n">
        <v>9</v>
      </c>
      <c r="K18" s="3" t="n">
        <v>9</v>
      </c>
      <c r="L18" s="3" t="n">
        <v>9</v>
      </c>
    </row>
    <row r="19" customFormat="false" ht="15" hidden="false" customHeight="false" outlineLevel="0" collapsed="false">
      <c r="A19" s="0" t="s">
        <v>100</v>
      </c>
      <c r="C19" s="3" t="n">
        <v>15</v>
      </c>
      <c r="D19" s="3" t="n">
        <v>17</v>
      </c>
      <c r="E19" s="3" t="n">
        <v>19</v>
      </c>
      <c r="F19" s="3" t="n">
        <v>21</v>
      </c>
      <c r="G19" s="3" t="n">
        <v>22</v>
      </c>
      <c r="H19" s="3" t="n">
        <v>23</v>
      </c>
      <c r="I19" s="3" t="n">
        <v>23</v>
      </c>
      <c r="J19" s="3" t="n">
        <v>23</v>
      </c>
      <c r="K19" s="3" t="n">
        <v>23</v>
      </c>
      <c r="L19" s="3" t="n">
        <v>23</v>
      </c>
    </row>
    <row r="20" customFormat="false" ht="15" hidden="false" customHeight="false" outlineLevel="0" collapsed="false">
      <c r="A20" s="0" t="s">
        <v>101</v>
      </c>
      <c r="B20" s="3" t="n">
        <v>8.5</v>
      </c>
    </row>
    <row r="21" customFormat="false" ht="15" hidden="false" customHeight="false" outlineLevel="0" collapsed="false">
      <c r="A21" s="0" t="s">
        <v>102</v>
      </c>
      <c r="B21" s="3" t="n">
        <v>2</v>
      </c>
    </row>
    <row r="22" customFormat="false" ht="15" hidden="false" customHeight="false" outlineLevel="0" collapsed="false">
      <c r="A22" s="0" t="s">
        <v>103</v>
      </c>
      <c r="B22" s="3" t="n">
        <v>15</v>
      </c>
    </row>
    <row r="23" customFormat="false" ht="15" hidden="false" customHeight="false" outlineLevel="0" collapsed="false">
      <c r="A23" s="0" t="s">
        <v>104</v>
      </c>
      <c r="B23" s="3" t="n">
        <v>-3</v>
      </c>
    </row>
    <row r="24" customFormat="false" ht="15" hidden="false" customHeight="false" outlineLevel="0" collapsed="false">
      <c r="A24" s="0" t="s">
        <v>105</v>
      </c>
      <c r="B24" s="3" t="n">
        <v>0.2</v>
      </c>
    </row>
    <row r="26" customFormat="false" ht="15" hidden="false" customHeight="false" outlineLevel="0" collapsed="false">
      <c r="A26" s="2" t="s">
        <v>106</v>
      </c>
      <c r="C26" s="2" t="s">
        <v>84</v>
      </c>
      <c r="D26" s="2" t="s">
        <v>85</v>
      </c>
      <c r="E26" s="2" t="s">
        <v>86</v>
      </c>
      <c r="F26" s="2" t="s">
        <v>87</v>
      </c>
      <c r="G26" s="2" t="s">
        <v>88</v>
      </c>
      <c r="H26" s="2" t="s">
        <v>89</v>
      </c>
      <c r="I26" s="2" t="s">
        <v>90</v>
      </c>
      <c r="J26" s="2" t="s">
        <v>91</v>
      </c>
      <c r="K26" s="2" t="s">
        <v>92</v>
      </c>
      <c r="L26" s="2" t="s">
        <v>93</v>
      </c>
    </row>
    <row r="27" customFormat="false" ht="15" hidden="false" customHeight="false" outlineLevel="0" collapsed="false">
      <c r="A27" s="0" t="s">
        <v>94</v>
      </c>
      <c r="C27" s="3" t="n">
        <v>4</v>
      </c>
      <c r="D27" s="3" t="n">
        <v>5</v>
      </c>
      <c r="E27" s="3" t="n">
        <v>5</v>
      </c>
      <c r="F27" s="3" t="n">
        <v>4</v>
      </c>
      <c r="G27" s="3" t="n">
        <v>4</v>
      </c>
      <c r="H27" s="3" t="n">
        <v>3.5</v>
      </c>
      <c r="I27" s="3" t="n">
        <v>3</v>
      </c>
      <c r="J27" s="3" t="n">
        <v>3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95</v>
      </c>
      <c r="C28" s="3" t="n">
        <v>26</v>
      </c>
      <c r="D28" s="3" t="n">
        <v>27</v>
      </c>
      <c r="E28" s="3" t="n">
        <v>27.5</v>
      </c>
      <c r="F28" s="3" t="n">
        <v>28</v>
      </c>
      <c r="G28" s="3" t="n">
        <v>28</v>
      </c>
      <c r="H28" s="3" t="n">
        <v>28</v>
      </c>
      <c r="I28" s="3" t="n">
        <v>28</v>
      </c>
      <c r="J28" s="3" t="n">
        <v>28</v>
      </c>
      <c r="K28" s="3" t="n">
        <v>28</v>
      </c>
      <c r="L28" s="3" t="n">
        <v>28</v>
      </c>
    </row>
    <row r="29" customFormat="false" ht="15" hidden="false" customHeight="false" outlineLevel="0" collapsed="false">
      <c r="A29" s="0" t="s">
        <v>96</v>
      </c>
      <c r="C29" s="3" t="n">
        <v>1.2</v>
      </c>
      <c r="D29" s="3" t="n">
        <v>1.2</v>
      </c>
      <c r="E29" s="3" t="n">
        <v>1.1</v>
      </c>
      <c r="F29" s="3" t="n">
        <v>1.1</v>
      </c>
      <c r="G29" s="3" t="n">
        <v>1</v>
      </c>
      <c r="H29" s="3" t="n">
        <v>1</v>
      </c>
      <c r="I29" s="3" t="n">
        <v>1</v>
      </c>
      <c r="J29" s="3" t="n">
        <v>1</v>
      </c>
      <c r="K29" s="3" t="n">
        <v>1</v>
      </c>
      <c r="L29" s="3" t="n">
        <v>1</v>
      </c>
    </row>
    <row r="30" customFormat="false" ht="15" hidden="false" customHeight="false" outlineLevel="0" collapsed="false">
      <c r="A30" s="0" t="s">
        <v>97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98</v>
      </c>
      <c r="C31" s="3" t="n">
        <v>7.6</v>
      </c>
      <c r="D31" s="3" t="n">
        <v>7.6</v>
      </c>
      <c r="E31" s="3" t="n">
        <v>7.5</v>
      </c>
      <c r="F31" s="3" t="n">
        <v>7.4</v>
      </c>
      <c r="G31" s="3" t="n">
        <v>7.3</v>
      </c>
      <c r="H31" s="3" t="n">
        <v>7.2</v>
      </c>
      <c r="I31" s="3" t="n">
        <v>7.1</v>
      </c>
      <c r="J31" s="3" t="n">
        <v>7</v>
      </c>
      <c r="K31" s="3" t="n">
        <v>7</v>
      </c>
      <c r="L31" s="3" t="n">
        <v>7</v>
      </c>
    </row>
    <row r="32" customFormat="false" ht="15" hidden="false" customHeight="false" outlineLevel="0" collapsed="false">
      <c r="A32" s="0" t="s">
        <v>99</v>
      </c>
      <c r="C32" s="3" t="n">
        <v>13</v>
      </c>
      <c r="D32" s="3" t="n">
        <v>12</v>
      </c>
      <c r="E32" s="3" t="n">
        <v>11</v>
      </c>
      <c r="F32" s="3" t="n">
        <v>10</v>
      </c>
      <c r="G32" s="3" t="n">
        <v>9.5</v>
      </c>
      <c r="H32" s="3" t="n">
        <v>9</v>
      </c>
      <c r="I32" s="3" t="n">
        <v>9</v>
      </c>
      <c r="J32" s="3" t="n">
        <v>8.5</v>
      </c>
      <c r="K32" s="3" t="n">
        <v>8.5</v>
      </c>
      <c r="L32" s="3" t="n">
        <v>8.5</v>
      </c>
    </row>
    <row r="33" customFormat="false" ht="15" hidden="false" customHeight="false" outlineLevel="0" collapsed="false">
      <c r="A33" s="0" t="s">
        <v>100</v>
      </c>
      <c r="C33" s="3" t="n">
        <v>15</v>
      </c>
      <c r="D33" s="3" t="n">
        <v>17</v>
      </c>
      <c r="E33" s="3" t="n">
        <v>19</v>
      </c>
      <c r="F33" s="3" t="n">
        <v>21</v>
      </c>
      <c r="G33" s="3" t="n">
        <v>22</v>
      </c>
      <c r="H33" s="3" t="n">
        <v>23</v>
      </c>
      <c r="I33" s="3" t="n">
        <v>23</v>
      </c>
      <c r="J33" s="3" t="n">
        <v>23</v>
      </c>
      <c r="K33" s="3" t="n">
        <v>23</v>
      </c>
      <c r="L33" s="3" t="n">
        <v>23</v>
      </c>
    </row>
    <row r="34" customFormat="false" ht="15" hidden="false" customHeight="false" outlineLevel="0" collapsed="false">
      <c r="A34" s="0" t="s">
        <v>101</v>
      </c>
      <c r="B34" s="3" t="n">
        <v>8.5</v>
      </c>
    </row>
    <row r="35" customFormat="false" ht="15" hidden="false" customHeight="false" outlineLevel="0" collapsed="false">
      <c r="A35" s="0" t="s">
        <v>102</v>
      </c>
      <c r="B35" s="3" t="n">
        <v>2.5</v>
      </c>
    </row>
    <row r="36" customFormat="false" ht="15" hidden="false" customHeight="false" outlineLevel="0" collapsed="false">
      <c r="A36" s="0" t="s">
        <v>103</v>
      </c>
      <c r="B36" s="3" t="n">
        <v>15</v>
      </c>
    </row>
    <row r="37" customFormat="false" ht="15" hidden="false" customHeight="false" outlineLevel="0" collapsed="false">
      <c r="A37" s="0" t="s">
        <v>104</v>
      </c>
      <c r="B37" s="3" t="n">
        <v>-3</v>
      </c>
    </row>
    <row r="38" customFormat="false" ht="15" hidden="false" customHeight="false" outlineLevel="0" collapsed="false">
      <c r="A38" s="0" t="s">
        <v>105</v>
      </c>
      <c r="B38" s="3" t="n">
        <v>0.5</v>
      </c>
    </row>
    <row r="40" customFormat="false" ht="15" hidden="false" customHeight="false" outlineLevel="0" collapsed="false">
      <c r="A40" s="2" t="s">
        <v>107</v>
      </c>
      <c r="C40" s="2" t="s">
        <v>84</v>
      </c>
      <c r="D40" s="2" t="s">
        <v>85</v>
      </c>
      <c r="E40" s="2" t="s">
        <v>86</v>
      </c>
      <c r="F40" s="2" t="s">
        <v>87</v>
      </c>
      <c r="G40" s="2" t="s">
        <v>88</v>
      </c>
      <c r="H40" s="2" t="s">
        <v>89</v>
      </c>
      <c r="I40" s="2" t="s">
        <v>90</v>
      </c>
      <c r="J40" s="2" t="s">
        <v>91</v>
      </c>
      <c r="K40" s="2" t="s">
        <v>92</v>
      </c>
      <c r="L40" s="2" t="s">
        <v>93</v>
      </c>
    </row>
    <row r="41" customFormat="false" ht="15" hidden="false" customHeight="false" outlineLevel="0" collapsed="false">
      <c r="A41" s="0" t="s">
        <v>94</v>
      </c>
      <c r="C41" s="3" t="n">
        <v>6</v>
      </c>
      <c r="D41" s="3" t="n">
        <v>7</v>
      </c>
      <c r="E41" s="3" t="n">
        <v>7</v>
      </c>
      <c r="F41" s="3" t="n">
        <v>6</v>
      </c>
      <c r="G41" s="3" t="n">
        <v>5</v>
      </c>
      <c r="H41" s="3" t="n">
        <v>4.5</v>
      </c>
      <c r="I41" s="3" t="n">
        <v>4</v>
      </c>
      <c r="J41" s="3" t="n">
        <v>3.5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95</v>
      </c>
      <c r="C42" s="3" t="n">
        <v>27</v>
      </c>
      <c r="D42" s="3" t="n">
        <v>28.5</v>
      </c>
      <c r="E42" s="3" t="n">
        <v>30</v>
      </c>
      <c r="F42" s="3" t="n">
        <v>31</v>
      </c>
      <c r="G42" s="3" t="n">
        <v>31.5</v>
      </c>
      <c r="H42" s="3" t="n">
        <v>32</v>
      </c>
      <c r="I42" s="3" t="n">
        <v>32</v>
      </c>
      <c r="J42" s="3" t="n">
        <v>32</v>
      </c>
      <c r="K42" s="3" t="n">
        <v>32</v>
      </c>
      <c r="L42" s="3" t="n">
        <v>32</v>
      </c>
    </row>
    <row r="43" customFormat="false" ht="15" hidden="false" customHeight="false" outlineLevel="0" collapsed="false">
      <c r="A43" s="0" t="s">
        <v>96</v>
      </c>
      <c r="C43" s="3" t="n">
        <v>1.2</v>
      </c>
      <c r="D43" s="3" t="n">
        <v>1.2</v>
      </c>
      <c r="E43" s="3" t="n">
        <v>1.1</v>
      </c>
      <c r="F43" s="3" t="n">
        <v>1.1</v>
      </c>
      <c r="G43" s="3" t="n">
        <v>1</v>
      </c>
      <c r="H43" s="3" t="n">
        <v>1</v>
      </c>
      <c r="I43" s="3" t="n">
        <v>1</v>
      </c>
      <c r="J43" s="3" t="n">
        <v>1</v>
      </c>
      <c r="K43" s="3" t="n">
        <v>1</v>
      </c>
      <c r="L43" s="3" t="n">
        <v>1</v>
      </c>
    </row>
    <row r="44" customFormat="false" ht="15" hidden="false" customHeight="false" outlineLevel="0" collapsed="false">
      <c r="A44" s="0" t="s">
        <v>97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98</v>
      </c>
      <c r="C45" s="3" t="n">
        <v>7.6</v>
      </c>
      <c r="D45" s="3" t="n">
        <v>7.6</v>
      </c>
      <c r="E45" s="3" t="n">
        <v>7.5</v>
      </c>
      <c r="F45" s="3" t="n">
        <v>7.4</v>
      </c>
      <c r="G45" s="3" t="n">
        <v>7.3</v>
      </c>
      <c r="H45" s="3" t="n">
        <v>7.2</v>
      </c>
      <c r="I45" s="3" t="n">
        <v>7.1</v>
      </c>
      <c r="J45" s="3" t="n">
        <v>7</v>
      </c>
      <c r="K45" s="3" t="n">
        <v>7</v>
      </c>
      <c r="L45" s="3" t="n">
        <v>7</v>
      </c>
    </row>
    <row r="46" customFormat="false" ht="15" hidden="false" customHeight="false" outlineLevel="0" collapsed="false">
      <c r="A46" s="0" t="s">
        <v>99</v>
      </c>
      <c r="C46" s="3" t="n">
        <v>13.5</v>
      </c>
      <c r="D46" s="3" t="n">
        <v>13</v>
      </c>
      <c r="E46" s="3" t="n">
        <v>12</v>
      </c>
      <c r="F46" s="3" t="n">
        <v>11</v>
      </c>
      <c r="G46" s="3" t="n">
        <v>10</v>
      </c>
      <c r="H46" s="3" t="n">
        <v>9.5</v>
      </c>
      <c r="I46" s="3" t="n">
        <v>9</v>
      </c>
      <c r="J46" s="3" t="n">
        <v>9</v>
      </c>
      <c r="K46" s="3" t="n">
        <v>9</v>
      </c>
      <c r="L46" s="3" t="n">
        <v>9</v>
      </c>
    </row>
    <row r="47" customFormat="false" ht="15" hidden="false" customHeight="false" outlineLevel="0" collapsed="false">
      <c r="A47" s="0" t="s">
        <v>100</v>
      </c>
      <c r="C47" s="3" t="n">
        <v>15</v>
      </c>
      <c r="D47" s="3" t="n">
        <v>17</v>
      </c>
      <c r="E47" s="3" t="n">
        <v>19</v>
      </c>
      <c r="F47" s="3" t="n">
        <v>21</v>
      </c>
      <c r="G47" s="3" t="n">
        <v>22</v>
      </c>
      <c r="H47" s="3" t="n">
        <v>23</v>
      </c>
      <c r="I47" s="3" t="n">
        <v>23</v>
      </c>
      <c r="J47" s="3" t="n">
        <v>23</v>
      </c>
      <c r="K47" s="3" t="n">
        <v>23</v>
      </c>
      <c r="L47" s="3" t="n">
        <v>23</v>
      </c>
    </row>
    <row r="48" customFormat="false" ht="15" hidden="false" customHeight="false" outlineLevel="0" collapsed="false">
      <c r="A48" s="0" t="s">
        <v>101</v>
      </c>
      <c r="B48" s="3" t="n">
        <v>8.5</v>
      </c>
    </row>
    <row r="49" customFormat="false" ht="15" hidden="false" customHeight="false" outlineLevel="0" collapsed="false">
      <c r="A49" s="0" t="s">
        <v>102</v>
      </c>
      <c r="B49" s="3" t="n">
        <v>3</v>
      </c>
    </row>
    <row r="50" customFormat="false" ht="15" hidden="false" customHeight="false" outlineLevel="0" collapsed="false">
      <c r="A50" s="0" t="s">
        <v>103</v>
      </c>
      <c r="B50" s="3" t="n">
        <v>15</v>
      </c>
    </row>
    <row r="51" customFormat="false" ht="15" hidden="false" customHeight="false" outlineLevel="0" collapsed="false">
      <c r="A51" s="0" t="s">
        <v>104</v>
      </c>
      <c r="B51" s="3" t="n">
        <v>-3</v>
      </c>
    </row>
    <row r="52" customFormat="false" ht="15" hidden="false" customHeight="false" outlineLevel="0" collapsed="false">
      <c r="A52" s="0" t="s">
        <v>105</v>
      </c>
      <c r="B52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108</v>
      </c>
    </row>
    <row r="3" customFormat="false" ht="15" hidden="false" customHeight="false" outlineLevel="0" collapsed="false">
      <c r="A3" s="0" t="s">
        <v>109</v>
      </c>
      <c r="B3" s="0" t="s">
        <v>79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</row>
    <row r="4" customFormat="false" ht="15" hidden="false" customHeight="false" outlineLevel="0" collapsed="false">
      <c r="A4" s="0" t="s">
        <v>110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94</v>
      </c>
      <c r="C5" s="4" t="n">
        <f aca="false">Assumptions!C13</f>
        <v>1</v>
      </c>
      <c r="D5" s="4" t="n">
        <f aca="false">Assumptions!D13</f>
        <v>2</v>
      </c>
      <c r="E5" s="4" t="n">
        <f aca="false">Assumptions!E13</f>
        <v>2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37000</v>
      </c>
      <c r="C6" s="0" t="n">
        <f aca="false">B6*(1+C5/100)</f>
        <v>37370</v>
      </c>
      <c r="D6" s="0" t="n">
        <f aca="false">C6*(1+D5/100)</f>
        <v>38117.4</v>
      </c>
      <c r="E6" s="0" t="n">
        <f aca="false">D6*(1+E5/100)</f>
        <v>38879.748</v>
      </c>
      <c r="F6" s="0" t="n">
        <f aca="false">E6*(1+F5/100)</f>
        <v>39657.34296</v>
      </c>
      <c r="G6" s="0" t="n">
        <f aca="false">F6*(1+G5/100)</f>
        <v>40450.4898192</v>
      </c>
      <c r="H6" s="0" t="n">
        <f aca="false">G6*(1+H5/100)</f>
        <v>41259.499615584</v>
      </c>
      <c r="I6" s="0" t="n">
        <f aca="false">H6*(1+I5/100)</f>
        <v>42084.6896078957</v>
      </c>
      <c r="J6" s="0" t="n">
        <f aca="false">I6*(1+J5/100)</f>
        <v>42926.3834000536</v>
      </c>
      <c r="K6" s="0" t="n">
        <f aca="false">J6*(1+K5/100)</f>
        <v>43784.9110680547</v>
      </c>
      <c r="L6" s="0" t="n">
        <f aca="false">K6*(1+L5/100)</f>
        <v>44660.6092894158</v>
      </c>
    </row>
    <row r="7" customFormat="false" ht="15" hidden="false" customHeight="false" outlineLevel="0" collapsed="false">
      <c r="A7" s="0" t="s">
        <v>95</v>
      </c>
      <c r="C7" s="4" t="n">
        <f aca="false">Assumptions!C14</f>
        <v>24</v>
      </c>
      <c r="D7" s="4" t="n">
        <f aca="false">Assumptions!D14</f>
        <v>23.5</v>
      </c>
      <c r="E7" s="4" t="n">
        <f aca="false">Assumptions!E14</f>
        <v>23</v>
      </c>
      <c r="F7" s="4" t="n">
        <f aca="false">Assumptions!F14</f>
        <v>22.5</v>
      </c>
      <c r="G7" s="4" t="n">
        <f aca="false">Assumptions!G14</f>
        <v>22</v>
      </c>
      <c r="H7" s="4" t="n">
        <f aca="false">Assumptions!H14</f>
        <v>22</v>
      </c>
      <c r="I7" s="4" t="n">
        <f aca="false">Assumptions!I14</f>
        <v>22</v>
      </c>
      <c r="J7" s="4" t="n">
        <f aca="false">Assumptions!J14</f>
        <v>22</v>
      </c>
      <c r="K7" s="4" t="n">
        <f aca="false">Assumptions!K14</f>
        <v>22</v>
      </c>
      <c r="L7" s="4" t="n">
        <f aca="false">Assumptions!L14</f>
        <v>22</v>
      </c>
    </row>
    <row r="8" customFormat="false" ht="15" hidden="false" customHeight="false" outlineLevel="0" collapsed="false">
      <c r="A8" s="0" t="s">
        <v>43</v>
      </c>
      <c r="C8" s="0" t="n">
        <f aca="false">C6*C7/100</f>
        <v>8968.8</v>
      </c>
      <c r="D8" s="0" t="n">
        <f aca="false">D6*D7/100</f>
        <v>8957.589</v>
      </c>
      <c r="E8" s="0" t="n">
        <f aca="false">E6*E7/100</f>
        <v>8942.34204</v>
      </c>
      <c r="F8" s="0" t="n">
        <f aca="false">F6*F7/100</f>
        <v>8922.902166</v>
      </c>
      <c r="G8" s="0" t="n">
        <f aca="false">G6*G7/100</f>
        <v>8899.107760224</v>
      </c>
      <c r="H8" s="0" t="n">
        <f aca="false">H6*H7/100</f>
        <v>9077.08991542848</v>
      </c>
      <c r="I8" s="0" t="n">
        <f aca="false">I6*I7/100</f>
        <v>9258.63171373705</v>
      </c>
      <c r="J8" s="0" t="n">
        <f aca="false">J6*J7/100</f>
        <v>9443.80434801179</v>
      </c>
      <c r="K8" s="0" t="n">
        <f aca="false">K6*K7/100</f>
        <v>9632.68043497203</v>
      </c>
      <c r="L8" s="0" t="n">
        <f aca="false">L6*L7/100</f>
        <v>9825.33404367147</v>
      </c>
    </row>
    <row r="9" customFormat="false" ht="15" hidden="false" customHeight="false" outlineLevel="0" collapsed="false">
      <c r="A9" s="0" t="s">
        <v>96</v>
      </c>
      <c r="C9" s="4" t="n">
        <f aca="false">Assumptions!C15</f>
        <v>1.2</v>
      </c>
      <c r="D9" s="4" t="n">
        <f aca="false">Assumptions!D15</f>
        <v>1.2</v>
      </c>
      <c r="E9" s="4" t="n">
        <f aca="false">Assumptions!E15</f>
        <v>1.1</v>
      </c>
      <c r="F9" s="4" t="n">
        <f aca="false">Assumptions!F15</f>
        <v>1.1</v>
      </c>
      <c r="G9" s="4" t="n">
        <f aca="false">Assumptions!G15</f>
        <v>1</v>
      </c>
      <c r="H9" s="4" t="n">
        <f aca="false">Assumptions!H15</f>
        <v>1</v>
      </c>
      <c r="I9" s="4" t="n">
        <f aca="false">Assumptions!I15</f>
        <v>1</v>
      </c>
      <c r="J9" s="4" t="n">
        <f aca="false">Assumptions!J15</f>
        <v>1</v>
      </c>
      <c r="K9" s="4" t="n">
        <f aca="false">Assumptions!K15</f>
        <v>1</v>
      </c>
      <c r="L9" s="4" t="n">
        <f aca="false">Assumptions!L15</f>
        <v>1</v>
      </c>
    </row>
    <row r="10" customFormat="false" ht="15" hidden="false" customHeight="false" outlineLevel="0" collapsed="false">
      <c r="A10" s="0" t="s">
        <v>111</v>
      </c>
      <c r="C10" s="0" t="n">
        <f aca="false">-C6*C9/100</f>
        <v>-448.44</v>
      </c>
      <c r="D10" s="0" t="n">
        <f aca="false">-D6*D9/100</f>
        <v>-457.4088</v>
      </c>
      <c r="E10" s="0" t="n">
        <f aca="false">-E6*E9/100</f>
        <v>-427.677228</v>
      </c>
      <c r="F10" s="0" t="n">
        <f aca="false">-F6*F9/100</f>
        <v>-436.23077256</v>
      </c>
      <c r="G10" s="0" t="n">
        <f aca="false">-G6*G9/100</f>
        <v>-404.504898192</v>
      </c>
      <c r="H10" s="0" t="n">
        <f aca="false">-H6*H9/100</f>
        <v>-412.59499615584</v>
      </c>
      <c r="I10" s="0" t="n">
        <f aca="false">-I6*I9/100</f>
        <v>-420.846896078957</v>
      </c>
      <c r="J10" s="0" t="n">
        <f aca="false">-J6*J9/100</f>
        <v>-429.263834000536</v>
      </c>
      <c r="K10" s="0" t="n">
        <f aca="false">-K6*K9/100</f>
        <v>-437.849110680547</v>
      </c>
      <c r="L10" s="0" t="n">
        <f aca="false">-L6*L9/100</f>
        <v>-446.606092894158</v>
      </c>
    </row>
    <row r="11" customFormat="false" ht="15" hidden="false" customHeight="false" outlineLevel="0" collapsed="false">
      <c r="A11" s="0" t="s">
        <v>112</v>
      </c>
      <c r="C11" s="0" t="n">
        <f aca="false">C8+C10+C24</f>
        <v>8520.36</v>
      </c>
      <c r="D11" s="0" t="n">
        <f aca="false">D8+D10+D24</f>
        <v>8500.1802</v>
      </c>
      <c r="E11" s="0" t="n">
        <f aca="false">E8+E10+E24</f>
        <v>8514.664812</v>
      </c>
      <c r="F11" s="0" t="n">
        <f aca="false">F8+F10+F24</f>
        <v>8486.67139344</v>
      </c>
      <c r="G11" s="0" t="n">
        <f aca="false">G8+G10+G24</f>
        <v>8494.602862032</v>
      </c>
      <c r="H11" s="0" t="n">
        <f aca="false">H8+H10+H24</f>
        <v>8664.49491927264</v>
      </c>
      <c r="I11" s="0" t="n">
        <f aca="false">I8+I10+I24</f>
        <v>8837.78481765809</v>
      </c>
      <c r="J11" s="0" t="n">
        <f aca="false">J8+J10+J24</f>
        <v>9014.54051401126</v>
      </c>
      <c r="K11" s="0" t="n">
        <f aca="false">K8+K10+K24</f>
        <v>9194.83132429148</v>
      </c>
      <c r="L11" s="0" t="n">
        <f aca="false">L8+L10+L24</f>
        <v>9378.72795077731</v>
      </c>
    </row>
    <row r="12" customFormat="false" ht="15" hidden="false" customHeight="false" outlineLevel="0" collapsed="false">
      <c r="A12" s="0" t="s">
        <v>113</v>
      </c>
      <c r="C12" s="4" t="n">
        <f aca="false">-C6*Assumptions!C17/100</f>
        <v>-2840.12</v>
      </c>
      <c r="D12" s="4" t="n">
        <f aca="false">-D6*Assumptions!D17/100</f>
        <v>-2896.9224</v>
      </c>
      <c r="E12" s="4" t="n">
        <f aca="false">-E6*Assumptions!E17/100</f>
        <v>-2915.9811</v>
      </c>
      <c r="F12" s="4" t="n">
        <f aca="false">-F6*Assumptions!F17/100</f>
        <v>-2934.64337904</v>
      </c>
      <c r="G12" s="4" t="n">
        <f aca="false">-G6*Assumptions!G17/100</f>
        <v>-2952.8857568016</v>
      </c>
      <c r="H12" s="4" t="n">
        <f aca="false">-H6*Assumptions!H17/100</f>
        <v>-2970.68397232205</v>
      </c>
      <c r="I12" s="4" t="n">
        <f aca="false">-I6*Assumptions!I17/100</f>
        <v>-2988.01296216059</v>
      </c>
      <c r="J12" s="4" t="n">
        <f aca="false">-J6*Assumptions!J17/100</f>
        <v>-3004.84683800375</v>
      </c>
      <c r="K12" s="4" t="n">
        <f aca="false">-K6*Assumptions!K17/100</f>
        <v>-3064.94377476383</v>
      </c>
      <c r="L12" s="4" t="n">
        <f aca="false">-L6*Assumptions!L17/100</f>
        <v>-3126.2426502591</v>
      </c>
    </row>
    <row r="13" customFormat="false" ht="15" hidden="false" customHeight="false" outlineLevel="0" collapsed="false">
      <c r="A13" s="0" t="s">
        <v>114</v>
      </c>
      <c r="C13" s="0" t="n">
        <f aca="false">C11+C12</f>
        <v>5680.24</v>
      </c>
      <c r="D13" s="0" t="n">
        <f aca="false">D11+D12</f>
        <v>5603.2578</v>
      </c>
      <c r="E13" s="0" t="n">
        <f aca="false">E11+E12</f>
        <v>5598.683712</v>
      </c>
      <c r="F13" s="0" t="n">
        <f aca="false">F11+F12</f>
        <v>5552.0280144</v>
      </c>
      <c r="G13" s="0" t="n">
        <f aca="false">G11+G12</f>
        <v>5541.7171052304</v>
      </c>
      <c r="H13" s="0" t="n">
        <f aca="false">H11+H12</f>
        <v>5693.81094695059</v>
      </c>
      <c r="I13" s="0" t="n">
        <f aca="false">I11+I12</f>
        <v>5849.7718554975</v>
      </c>
      <c r="J13" s="0" t="n">
        <f aca="false">J11+J12</f>
        <v>6009.6936760075</v>
      </c>
      <c r="K13" s="0" t="n">
        <f aca="false">K11+K12</f>
        <v>6129.88754952765</v>
      </c>
      <c r="L13" s="0" t="n">
        <f aca="false">L11+L12</f>
        <v>6252.48530051821</v>
      </c>
    </row>
    <row r="14" customFormat="false" ht="15" hidden="false" customHeight="false" outlineLevel="0" collapsed="false">
      <c r="A14" s="0" t="s">
        <v>100</v>
      </c>
      <c r="C14" s="4" t="n">
        <f aca="false">Assumptions!C19</f>
        <v>15</v>
      </c>
      <c r="D14" s="4" t="n">
        <f aca="false">Assumptions!D19</f>
        <v>17</v>
      </c>
      <c r="E14" s="4" t="n">
        <f aca="false">Assumptions!E19</f>
        <v>19</v>
      </c>
      <c r="F14" s="4" t="n">
        <f aca="false">Assumptions!F19</f>
        <v>21</v>
      </c>
      <c r="G14" s="4" t="n">
        <f aca="false">Assumptions!G19</f>
        <v>22</v>
      </c>
      <c r="H14" s="4" t="n">
        <f aca="false">Assumptions!H19</f>
        <v>23</v>
      </c>
      <c r="I14" s="4" t="n">
        <f aca="false">Assumptions!I19</f>
        <v>23</v>
      </c>
      <c r="J14" s="4" t="n">
        <f aca="false">Assumptions!J19</f>
        <v>23</v>
      </c>
      <c r="K14" s="4" t="n">
        <f aca="false">Assumptions!K19</f>
        <v>23</v>
      </c>
      <c r="L14" s="4" t="n">
        <f aca="false">Assumptions!L19</f>
        <v>23</v>
      </c>
    </row>
    <row r="15" customFormat="false" ht="15" hidden="false" customHeight="false" outlineLevel="0" collapsed="false">
      <c r="A15" s="0" t="s">
        <v>115</v>
      </c>
      <c r="C15" s="0" t="n">
        <f aca="false">C13-MAX(0,C13)*C14/100</f>
        <v>4828.204</v>
      </c>
      <c r="D15" s="0" t="n">
        <f aca="false">D13-MAX(0,D13)*D14/100</f>
        <v>4650.703974</v>
      </c>
      <c r="E15" s="0" t="n">
        <f aca="false">E13-MAX(0,E13)*E14/100</f>
        <v>4534.93380672</v>
      </c>
      <c r="F15" s="0" t="n">
        <f aca="false">F13-MAX(0,F13)*F14/100</f>
        <v>4386.102131376</v>
      </c>
      <c r="G15" s="0" t="n">
        <f aca="false">G13-MAX(0,G13)*G14/100</f>
        <v>4322.53934207971</v>
      </c>
      <c r="H15" s="0" t="n">
        <f aca="false">H13-MAX(0,H13)*H14/100</f>
        <v>4384.23442915196</v>
      </c>
      <c r="I15" s="0" t="n">
        <f aca="false">I13-MAX(0,I13)*I14/100</f>
        <v>4504.32432873308</v>
      </c>
      <c r="J15" s="0" t="n">
        <f aca="false">J13-MAX(0,J13)*J14/100</f>
        <v>4627.46413052578</v>
      </c>
      <c r="K15" s="0" t="n">
        <f aca="false">K13-MAX(0,K13)*K14/100</f>
        <v>4720.01341313629</v>
      </c>
      <c r="L15" s="0" t="n">
        <f aca="false">L13-MAX(0,L13)*L14/100</f>
        <v>4814.41368139902</v>
      </c>
    </row>
    <row r="16" customFormat="false" ht="15" hidden="false" customHeight="false" outlineLevel="0" collapsed="false">
      <c r="A16" s="0" t="s">
        <v>116</v>
      </c>
      <c r="C16" s="0" t="n">
        <f aca="false">-C12</f>
        <v>2840.12</v>
      </c>
      <c r="D16" s="0" t="n">
        <f aca="false">-D12</f>
        <v>2896.9224</v>
      </c>
      <c r="E16" s="0" t="n">
        <f aca="false">-E12</f>
        <v>2915.9811</v>
      </c>
      <c r="F16" s="0" t="n">
        <f aca="false">-F12</f>
        <v>2934.64337904</v>
      </c>
      <c r="G16" s="0" t="n">
        <f aca="false">-G12</f>
        <v>2952.8857568016</v>
      </c>
      <c r="H16" s="0" t="n">
        <f aca="false">-H12</f>
        <v>2970.68397232205</v>
      </c>
      <c r="I16" s="0" t="n">
        <f aca="false">-I12</f>
        <v>2988.01296216059</v>
      </c>
      <c r="J16" s="0" t="n">
        <f aca="false">-J12</f>
        <v>3004.84683800375</v>
      </c>
      <c r="K16" s="0" t="n">
        <f aca="false">-K12</f>
        <v>3064.94377476383</v>
      </c>
      <c r="L16" s="0" t="n">
        <f aca="false">-L12</f>
        <v>3126.2426502591</v>
      </c>
    </row>
    <row r="17" customFormat="false" ht="15" hidden="false" customHeight="false" outlineLevel="0" collapsed="false">
      <c r="A17" s="0" t="s">
        <v>117</v>
      </c>
      <c r="C17" s="4" t="n">
        <f aca="false">-C6*Assumptions!C18/100</f>
        <v>-4858.1</v>
      </c>
      <c r="D17" s="4" t="n">
        <f aca="false">-D6*Assumptions!D18/100</f>
        <v>-4574.088</v>
      </c>
      <c r="E17" s="4" t="n">
        <f aca="false">-E6*Assumptions!E18/100</f>
        <v>-4276.77228</v>
      </c>
      <c r="F17" s="4" t="n">
        <f aca="false">-F6*Assumptions!F18/100</f>
        <v>-3965.734296</v>
      </c>
      <c r="G17" s="4" t="n">
        <f aca="false">-G6*Assumptions!G18/100</f>
        <v>-3842.796532824</v>
      </c>
      <c r="H17" s="4" t="n">
        <f aca="false">-H6*Assumptions!H18/100</f>
        <v>-3713.35496540256</v>
      </c>
      <c r="I17" s="4" t="n">
        <f aca="false">-I6*Assumptions!I18/100</f>
        <v>-3787.62206471061</v>
      </c>
      <c r="J17" s="4" t="n">
        <f aca="false">-J6*Assumptions!J18/100</f>
        <v>-3863.37450600482</v>
      </c>
      <c r="K17" s="4" t="n">
        <f aca="false">-K6*Assumptions!K18/100</f>
        <v>-3940.64199612492</v>
      </c>
      <c r="L17" s="4" t="n">
        <f aca="false">-L6*Assumptions!L18/100</f>
        <v>-4019.45483604742</v>
      </c>
    </row>
    <row r="18" customFormat="false" ht="15" hidden="false" customHeight="false" outlineLevel="0" collapsed="false">
      <c r="A18" s="0" t="s">
        <v>118</v>
      </c>
      <c r="C18" s="4" t="n">
        <f aca="false">(C6-B6)*Assumptions!$B$23/100</f>
        <v>-11.1</v>
      </c>
      <c r="D18" s="4" t="n">
        <f aca="false">(D6-C6)*Assumptions!$B$23/100</f>
        <v>-22.422</v>
      </c>
      <c r="E18" s="4" t="n">
        <f aca="false">(E6-D6)*Assumptions!$B$23/100</f>
        <v>-22.8704399999999</v>
      </c>
      <c r="F18" s="4" t="n">
        <f aca="false">(F6-E6)*Assumptions!$B$23/100</f>
        <v>-23.3278488000001</v>
      </c>
      <c r="G18" s="4" t="n">
        <f aca="false">(G6-F6)*Assumptions!$B$23/100</f>
        <v>-23.7944057760001</v>
      </c>
      <c r="H18" s="4" t="n">
        <f aca="false">(H6-G6)*Assumptions!$B$23/100</f>
        <v>-24.2702938915201</v>
      </c>
      <c r="I18" s="4" t="n">
        <f aca="false">(I6-H6)*Assumptions!$B$23/100</f>
        <v>-24.7556997693504</v>
      </c>
      <c r="J18" s="4" t="n">
        <f aca="false">(J6-I6)*Assumptions!$B$23/100</f>
        <v>-25.2508137647375</v>
      </c>
      <c r="K18" s="4" t="n">
        <f aca="false">(K6-J6)*Assumptions!$B$23/100</f>
        <v>-25.7558300400322</v>
      </c>
      <c r="L18" s="4" t="n">
        <f aca="false">(L6-K6)*Assumptions!$B$23/100</f>
        <v>-26.2709466408329</v>
      </c>
    </row>
    <row r="19" customFormat="false" ht="15" hidden="false" customHeight="false" outlineLevel="0" collapsed="false">
      <c r="A19" s="0" t="s">
        <v>119</v>
      </c>
      <c r="C19" s="0" t="n">
        <f aca="false">C15+C16+C17+C18</f>
        <v>2799.124</v>
      </c>
      <c r="D19" s="0" t="n">
        <f aca="false">D15+D16+D17+D18</f>
        <v>2951.116374</v>
      </c>
      <c r="E19" s="0" t="n">
        <f aca="false">E15+E16+E17+E18</f>
        <v>3151.27218672</v>
      </c>
      <c r="F19" s="0" t="n">
        <f aca="false">F15+F16+F17+F18</f>
        <v>3331.683365616</v>
      </c>
      <c r="G19" s="0" t="n">
        <f aca="false">G15+G16+G17+G18</f>
        <v>3408.83416028131</v>
      </c>
      <c r="H19" s="0" t="n">
        <f aca="false">H15+H16+H17+H18</f>
        <v>3617.29314217992</v>
      </c>
      <c r="I19" s="0" t="n">
        <f aca="false">I15+I16+I17+I18</f>
        <v>3679.95952641371</v>
      </c>
      <c r="J19" s="0" t="n">
        <f aca="false">J15+J16+J17+J18</f>
        <v>3743.68564875997</v>
      </c>
      <c r="K19" s="0" t="n">
        <f aca="false">K15+K16+K17+K18</f>
        <v>3818.55936173517</v>
      </c>
      <c r="L19" s="0" t="n">
        <f aca="false">L15+L16+L17+L18</f>
        <v>3894.93054896987</v>
      </c>
    </row>
    <row r="20" customFormat="false" ht="15" hidden="false" customHeight="false" outlineLevel="0" collapsed="false">
      <c r="A20" s="0" t="s">
        <v>120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121</v>
      </c>
      <c r="C21" s="0" t="n">
        <f aca="false">C19*C20</f>
        <v>2579.83778801843</v>
      </c>
      <c r="D21" s="0" t="n">
        <f aca="false">D19*D20</f>
        <v>2506.8414058485</v>
      </c>
      <c r="E21" s="0" t="n">
        <f aca="false">E19*E20</f>
        <v>2467.1565153426</v>
      </c>
      <c r="F21" s="0" t="n">
        <f aca="false">F19*F20</f>
        <v>2404.05703995181</v>
      </c>
      <c r="G21" s="0" t="n">
        <f aca="false">G19*G20</f>
        <v>2267.02955704437</v>
      </c>
      <c r="H21" s="0" t="n">
        <f aca="false">H19*H20</f>
        <v>2217.20207271835</v>
      </c>
      <c r="I21" s="0" t="n">
        <f aca="false">I19*I20</f>
        <v>2078.90610624827</v>
      </c>
      <c r="J21" s="0" t="n">
        <f aca="false">J19*J20</f>
        <v>1949.2227391652</v>
      </c>
      <c r="K21" s="0" t="n">
        <f aca="false">K19*K20</f>
        <v>1832.44902668065</v>
      </c>
      <c r="L21" s="0" t="n">
        <f aca="false">L19*L20</f>
        <v>1722.67097439102</v>
      </c>
    </row>
    <row r="23" customFormat="false" ht="15" hidden="false" customHeight="false" outlineLevel="0" collapsed="false">
      <c r="A23" s="0" t="s">
        <v>97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123</v>
      </c>
    </row>
    <row r="27" customFormat="false" ht="15" hidden="false" customHeight="false" outlineLevel="0" collapsed="false">
      <c r="A27" s="0" t="s">
        <v>101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102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103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124</v>
      </c>
      <c r="B30" s="0" t="n">
        <f aca="false">SUM(C21:L21)</f>
        <v>22025.3732254092</v>
      </c>
    </row>
    <row r="31" customFormat="false" ht="15" hidden="false" customHeight="false" outlineLevel="0" collapsed="false">
      <c r="A31" s="0" t="s">
        <v>125</v>
      </c>
      <c r="B31" s="0" t="n">
        <f aca="false">L19</f>
        <v>3894.93054896987</v>
      </c>
    </row>
    <row r="32" customFormat="false" ht="15" hidden="false" customHeight="false" outlineLevel="0" collapsed="false">
      <c r="A32" s="0" t="s">
        <v>126</v>
      </c>
      <c r="B32" s="0" t="n">
        <f aca="false">IF(B27&gt;B28,B31*(1+B28/100)/((B27-B28)/100),B31*B29)</f>
        <v>61120.4486146042</v>
      </c>
    </row>
    <row r="33" customFormat="false" ht="15" hidden="false" customHeight="false" outlineLevel="0" collapsed="false">
      <c r="A33" s="0" t="s">
        <v>127</v>
      </c>
      <c r="B33" s="0" t="n">
        <f aca="false">B31*B29</f>
        <v>58423.9582345481</v>
      </c>
    </row>
    <row r="34" customFormat="false" ht="15" hidden="false" customHeight="false" outlineLevel="0" collapsed="false">
      <c r="A34" s="0" t="s">
        <v>128</v>
      </c>
      <c r="B34" s="0" t="n">
        <f aca="false">MAX(0,MIN(B32,B33))</f>
        <v>58423.9582345481</v>
      </c>
    </row>
    <row r="35" customFormat="false" ht="15" hidden="false" customHeight="false" outlineLevel="0" collapsed="false">
      <c r="A35" s="0" t="s">
        <v>129</v>
      </c>
      <c r="B35" s="0" t="n">
        <f aca="false">B34/(1+B27/100)^L4</f>
        <v>25840.0646158653</v>
      </c>
    </row>
    <row r="36" customFormat="false" ht="15" hidden="false" customHeight="false" outlineLevel="0" collapsed="false">
      <c r="A36" s="0" t="s">
        <v>130</v>
      </c>
      <c r="B36" s="0" t="n">
        <f aca="false">B30+B35</f>
        <v>47865.4378412745</v>
      </c>
    </row>
    <row r="37" customFormat="false" ht="15" hidden="false" customHeight="false" outlineLevel="0" collapsed="false">
      <c r="A37" s="0" t="s">
        <v>131</v>
      </c>
      <c r="B37" s="0" t="n">
        <f aca="false">B36+Assumptions!$B$5-Assumptions!$B$4</f>
        <v>24917.4378412745</v>
      </c>
    </row>
    <row r="38" customFormat="false" ht="15" hidden="false" customHeight="false" outlineLevel="0" collapsed="false">
      <c r="A38" s="0" t="s">
        <v>132</v>
      </c>
      <c r="B38" s="0" t="n">
        <f aca="false">B37/Assumptions!$B$3*Assumptions!$B$10</f>
        <v>70.1307003694752</v>
      </c>
    </row>
    <row r="39" customFormat="false" ht="15" hidden="false" customHeight="false" outlineLevel="0" collapsed="false">
      <c r="A39" s="0" t="s">
        <v>133</v>
      </c>
      <c r="B39" s="4" t="n">
        <f aca="false">B38/Assumptions!$B$2-1</f>
        <v>-0.733616817831598</v>
      </c>
    </row>
    <row r="41" customFormat="false" ht="15" hidden="false" customHeight="false" outlineLevel="0" collapsed="false">
      <c r="A41" s="0" t="s">
        <v>134</v>
      </c>
      <c r="B41" s="0" t="n">
        <f aca="false">SUMPRODUCT(-C10:L10/(1+$B$27/100)^C4:L4)</f>
        <v>2842.26847531849</v>
      </c>
    </row>
    <row r="42" customFormat="false" ht="15" hidden="false" customHeight="false" outlineLevel="0" collapsed="false">
      <c r="A42" s="0" t="s">
        <v>135</v>
      </c>
      <c r="B42" s="0" t="n">
        <f aca="false">IF(B27&gt;B28,-L10*(1+B28/100)/((B27-B28)/100),-L10*20)/(1+B27/100)^L4</f>
        <v>3099.66012887343</v>
      </c>
    </row>
    <row r="43" customFormat="false" ht="15" hidden="false" customHeight="false" outlineLevel="0" collapsed="false">
      <c r="A43" s="0" t="s">
        <v>136</v>
      </c>
      <c r="B43" s="0" t="n">
        <f aca="false">(B37+B41+B42)/Assumptions!$B$3*Assumptions!$B$10</f>
        <v>86.8543947240823</v>
      </c>
    </row>
    <row r="45" customFormat="false" ht="15" hidden="false" customHeight="false" outlineLevel="0" collapsed="false">
      <c r="A45" s="0" t="s">
        <v>76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137</v>
      </c>
      <c r="B46" s="0" t="n">
        <f aca="false">MAX(0,MIN(IF(B45&gt;B28,B31*(1+B28/100)/((B45-B28)/100),B31*B29),B31*B29))</f>
        <v>30560.2243073021</v>
      </c>
    </row>
    <row r="47" customFormat="false" ht="15" hidden="false" customHeight="false" outlineLevel="0" collapsed="false">
      <c r="A47" s="0" t="s">
        <v>138</v>
      </c>
      <c r="B47" s="0" t="n">
        <f aca="false">(SUMPRODUCT(C19:L19/(1+B45/100)^C4:L4)+B46/(1+B45/100)^L4+Assumptions!$B$5-Assumptions!$B$4)/Assumptions!$B$3*Assumptions!$B$10</f>
        <v>3.27205657231453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139</v>
      </c>
    </row>
    <row r="3" customFormat="false" ht="15" hidden="false" customHeight="false" outlineLevel="0" collapsed="false">
      <c r="A3" s="0" t="s">
        <v>109</v>
      </c>
      <c r="B3" s="0" t="s">
        <v>79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</row>
    <row r="4" customFormat="false" ht="15" hidden="false" customHeight="false" outlineLevel="0" collapsed="false">
      <c r="A4" s="0" t="s">
        <v>110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94</v>
      </c>
      <c r="C5" s="4" t="n">
        <f aca="false">Assumptions!C27</f>
        <v>4</v>
      </c>
      <c r="D5" s="4" t="n">
        <f aca="false">Assumptions!D27</f>
        <v>5</v>
      </c>
      <c r="E5" s="4" t="n">
        <f aca="false">Assumptions!E27</f>
        <v>5</v>
      </c>
      <c r="F5" s="4" t="n">
        <f aca="false">Assumptions!F27</f>
        <v>4</v>
      </c>
      <c r="G5" s="4" t="n">
        <f aca="false">Assumptions!G27</f>
        <v>4</v>
      </c>
      <c r="H5" s="4" t="n">
        <f aca="false">Assumptions!H27</f>
        <v>3.5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37000</v>
      </c>
      <c r="C6" s="0" t="n">
        <f aca="false">B6*(1+C5/100)</f>
        <v>38480</v>
      </c>
      <c r="D6" s="0" t="n">
        <f aca="false">C6*(1+D5/100)</f>
        <v>40404</v>
      </c>
      <c r="E6" s="0" t="n">
        <f aca="false">D6*(1+E5/100)</f>
        <v>42424.2</v>
      </c>
      <c r="F6" s="0" t="n">
        <f aca="false">E6*(1+F5/100)</f>
        <v>44121.168</v>
      </c>
      <c r="G6" s="0" t="n">
        <f aca="false">F6*(1+G5/100)</f>
        <v>45886.01472</v>
      </c>
      <c r="H6" s="0" t="n">
        <f aca="false">G6*(1+H5/100)</f>
        <v>47492.0252352</v>
      </c>
      <c r="I6" s="0" t="n">
        <f aca="false">H6*(1+I5/100)</f>
        <v>48916.785992256</v>
      </c>
      <c r="J6" s="0" t="n">
        <f aca="false">I6*(1+J5/100)</f>
        <v>50384.2895720237</v>
      </c>
      <c r="K6" s="0" t="n">
        <f aca="false">J6*(1+K5/100)</f>
        <v>51643.8968113243</v>
      </c>
      <c r="L6" s="0" t="n">
        <f aca="false">K6*(1+L5/100)</f>
        <v>52934.9942316074</v>
      </c>
    </row>
    <row r="7" customFormat="false" ht="15" hidden="false" customHeight="false" outlineLevel="0" collapsed="false">
      <c r="A7" s="0" t="s">
        <v>95</v>
      </c>
      <c r="C7" s="4" t="n">
        <f aca="false">Assumptions!C28</f>
        <v>26</v>
      </c>
      <c r="D7" s="4" t="n">
        <f aca="false">Assumptions!D28</f>
        <v>27</v>
      </c>
      <c r="E7" s="4" t="n">
        <f aca="false">Assumptions!E28</f>
        <v>27.5</v>
      </c>
      <c r="F7" s="4" t="n">
        <f aca="false">Assumptions!F28</f>
        <v>28</v>
      </c>
      <c r="G7" s="4" t="n">
        <f aca="false">Assumptions!G28</f>
        <v>28</v>
      </c>
      <c r="H7" s="4" t="n">
        <f aca="false">Assumptions!H28</f>
        <v>28</v>
      </c>
      <c r="I7" s="4" t="n">
        <f aca="false">Assumptions!I28</f>
        <v>28</v>
      </c>
      <c r="J7" s="4" t="n">
        <f aca="false">Assumptions!J28</f>
        <v>28</v>
      </c>
      <c r="K7" s="4" t="n">
        <f aca="false">Assumptions!K28</f>
        <v>28</v>
      </c>
      <c r="L7" s="4" t="n">
        <f aca="false">Assumptions!L28</f>
        <v>28</v>
      </c>
    </row>
    <row r="8" customFormat="false" ht="15" hidden="false" customHeight="false" outlineLevel="0" collapsed="false">
      <c r="A8" s="0" t="s">
        <v>43</v>
      </c>
      <c r="C8" s="0" t="n">
        <f aca="false">C6*C7/100</f>
        <v>10004.8</v>
      </c>
      <c r="D8" s="0" t="n">
        <f aca="false">D6*D7/100</f>
        <v>10909.08</v>
      </c>
      <c r="E8" s="0" t="n">
        <f aca="false">E6*E7/100</f>
        <v>11666.655</v>
      </c>
      <c r="F8" s="0" t="n">
        <f aca="false">F6*F7/100</f>
        <v>12353.92704</v>
      </c>
      <c r="G8" s="0" t="n">
        <f aca="false">G6*G7/100</f>
        <v>12848.0841216</v>
      </c>
      <c r="H8" s="0" t="n">
        <f aca="false">H6*H7/100</f>
        <v>13297.767065856</v>
      </c>
      <c r="I8" s="0" t="n">
        <f aca="false">I6*I7/100</f>
        <v>13696.7000778317</v>
      </c>
      <c r="J8" s="0" t="n">
        <f aca="false">J6*J7/100</f>
        <v>14107.6010801666</v>
      </c>
      <c r="K8" s="0" t="n">
        <f aca="false">K6*K7/100</f>
        <v>14460.2911071708</v>
      </c>
      <c r="L8" s="0" t="n">
        <f aca="false">L6*L7/100</f>
        <v>14821.7983848501</v>
      </c>
    </row>
    <row r="9" customFormat="false" ht="15" hidden="false" customHeight="false" outlineLevel="0" collapsed="false">
      <c r="A9" s="0" t="s">
        <v>96</v>
      </c>
      <c r="C9" s="4" t="n">
        <f aca="false">Assumptions!C29</f>
        <v>1.2</v>
      </c>
      <c r="D9" s="4" t="n">
        <f aca="false">Assumptions!D29</f>
        <v>1.2</v>
      </c>
      <c r="E9" s="4" t="n">
        <f aca="false">Assumptions!E29</f>
        <v>1.1</v>
      </c>
      <c r="F9" s="4" t="n">
        <f aca="false">Assumptions!F29</f>
        <v>1.1</v>
      </c>
      <c r="G9" s="4" t="n">
        <f aca="false">Assumptions!G29</f>
        <v>1</v>
      </c>
      <c r="H9" s="4" t="n">
        <f aca="false">Assumptions!H29</f>
        <v>1</v>
      </c>
      <c r="I9" s="4" t="n">
        <f aca="false">Assumptions!I29</f>
        <v>1</v>
      </c>
      <c r="J9" s="4" t="n">
        <f aca="false">Assumptions!J29</f>
        <v>1</v>
      </c>
      <c r="K9" s="4" t="n">
        <f aca="false">Assumptions!K29</f>
        <v>1</v>
      </c>
      <c r="L9" s="4" t="n">
        <f aca="false">Assumptions!L29</f>
        <v>1</v>
      </c>
    </row>
    <row r="10" customFormat="false" ht="15" hidden="false" customHeight="false" outlineLevel="0" collapsed="false">
      <c r="A10" s="0" t="s">
        <v>111</v>
      </c>
      <c r="C10" s="0" t="n">
        <f aca="false">-C6*C9/100</f>
        <v>-461.76</v>
      </c>
      <c r="D10" s="0" t="n">
        <f aca="false">-D6*D9/100</f>
        <v>-484.848</v>
      </c>
      <c r="E10" s="0" t="n">
        <f aca="false">-E6*E9/100</f>
        <v>-466.6662</v>
      </c>
      <c r="F10" s="0" t="n">
        <f aca="false">-F6*F9/100</f>
        <v>-485.332848</v>
      </c>
      <c r="G10" s="0" t="n">
        <f aca="false">-G6*G9/100</f>
        <v>-458.8601472</v>
      </c>
      <c r="H10" s="0" t="n">
        <f aca="false">-H6*H9/100</f>
        <v>-474.920252352</v>
      </c>
      <c r="I10" s="0" t="n">
        <f aca="false">-I6*I9/100</f>
        <v>-489.16785992256</v>
      </c>
      <c r="J10" s="0" t="n">
        <f aca="false">-J6*J9/100</f>
        <v>-503.842895720237</v>
      </c>
      <c r="K10" s="0" t="n">
        <f aca="false">-K6*K9/100</f>
        <v>-516.438968113243</v>
      </c>
      <c r="L10" s="0" t="n">
        <f aca="false">-L6*L9/100</f>
        <v>-529.349942316074</v>
      </c>
    </row>
    <row r="11" customFormat="false" ht="15" hidden="false" customHeight="false" outlineLevel="0" collapsed="false">
      <c r="A11" s="0" t="s">
        <v>112</v>
      </c>
      <c r="C11" s="0" t="n">
        <f aca="false">C8+C10+C24</f>
        <v>9543.04</v>
      </c>
      <c r="D11" s="0" t="n">
        <f aca="false">D8+D10+D24</f>
        <v>10424.232</v>
      </c>
      <c r="E11" s="0" t="n">
        <f aca="false">E8+E10+E24</f>
        <v>11199.9888</v>
      </c>
      <c r="F11" s="0" t="n">
        <f aca="false">F8+F10+F24</f>
        <v>11868.594192</v>
      </c>
      <c r="G11" s="0" t="n">
        <f aca="false">G8+G10+G24</f>
        <v>12389.2239744</v>
      </c>
      <c r="H11" s="0" t="n">
        <f aca="false">H8+H10+H24</f>
        <v>12822.846813504</v>
      </c>
      <c r="I11" s="0" t="n">
        <f aca="false">I8+I10+I24</f>
        <v>13207.5322179091</v>
      </c>
      <c r="J11" s="0" t="n">
        <f aca="false">J8+J10+J24</f>
        <v>13603.7581844464</v>
      </c>
      <c r="K11" s="0" t="n">
        <f aca="false">K8+K10+K24</f>
        <v>13943.8521390576</v>
      </c>
      <c r="L11" s="0" t="n">
        <f aca="false">L8+L10+L24</f>
        <v>14292.448442534</v>
      </c>
    </row>
    <row r="12" customFormat="false" ht="15" hidden="false" customHeight="false" outlineLevel="0" collapsed="false">
      <c r="A12" s="0" t="s">
        <v>113</v>
      </c>
      <c r="C12" s="4" t="n">
        <f aca="false">-C6*Assumptions!C31/100</f>
        <v>-2924.48</v>
      </c>
      <c r="D12" s="4" t="n">
        <f aca="false">-D6*Assumptions!D31/100</f>
        <v>-3070.704</v>
      </c>
      <c r="E12" s="4" t="n">
        <f aca="false">-E6*Assumptions!E31/100</f>
        <v>-3181.815</v>
      </c>
      <c r="F12" s="4" t="n">
        <f aca="false">-F6*Assumptions!F31/100</f>
        <v>-3264.966432</v>
      </c>
      <c r="G12" s="4" t="n">
        <f aca="false">-G6*Assumptions!G31/100</f>
        <v>-3349.67907456</v>
      </c>
      <c r="H12" s="4" t="n">
        <f aca="false">-H6*Assumptions!H31/100</f>
        <v>-3419.4258169344</v>
      </c>
      <c r="I12" s="4" t="n">
        <f aca="false">-I6*Assumptions!I31/100</f>
        <v>-3473.09180545018</v>
      </c>
      <c r="J12" s="4" t="n">
        <f aca="false">-J6*Assumptions!J31/100</f>
        <v>-3526.90027004166</v>
      </c>
      <c r="K12" s="4" t="n">
        <f aca="false">-K6*Assumptions!K31/100</f>
        <v>-3615.0727767927</v>
      </c>
      <c r="L12" s="4" t="n">
        <f aca="false">-L6*Assumptions!L31/100</f>
        <v>-3705.44959621252</v>
      </c>
    </row>
    <row r="13" customFormat="false" ht="15" hidden="false" customHeight="false" outlineLevel="0" collapsed="false">
      <c r="A13" s="0" t="s">
        <v>114</v>
      </c>
      <c r="C13" s="0" t="n">
        <f aca="false">C11+C12</f>
        <v>6618.56</v>
      </c>
      <c r="D13" s="0" t="n">
        <f aca="false">D11+D12</f>
        <v>7353.528</v>
      </c>
      <c r="E13" s="0" t="n">
        <f aca="false">E11+E12</f>
        <v>8018.1738</v>
      </c>
      <c r="F13" s="0" t="n">
        <f aca="false">F11+F12</f>
        <v>8603.62776</v>
      </c>
      <c r="G13" s="0" t="n">
        <f aca="false">G11+G12</f>
        <v>9039.54489984</v>
      </c>
      <c r="H13" s="0" t="n">
        <f aca="false">H11+H12</f>
        <v>9403.4209965696</v>
      </c>
      <c r="I13" s="0" t="n">
        <f aca="false">I11+I12</f>
        <v>9734.44041245894</v>
      </c>
      <c r="J13" s="0" t="n">
        <f aca="false">J11+J12</f>
        <v>10076.8579144047</v>
      </c>
      <c r="K13" s="0" t="n">
        <f aca="false">K11+K12</f>
        <v>10328.7793622649</v>
      </c>
      <c r="L13" s="0" t="n">
        <f aca="false">L11+L12</f>
        <v>10586.9988463215</v>
      </c>
    </row>
    <row r="14" customFormat="false" ht="15" hidden="false" customHeight="false" outlineLevel="0" collapsed="false">
      <c r="A14" s="0" t="s">
        <v>100</v>
      </c>
      <c r="C14" s="4" t="n">
        <f aca="false">Assumptions!C33</f>
        <v>15</v>
      </c>
      <c r="D14" s="4" t="n">
        <f aca="false">Assumptions!D33</f>
        <v>17</v>
      </c>
      <c r="E14" s="4" t="n">
        <f aca="false">Assumptions!E33</f>
        <v>19</v>
      </c>
      <c r="F14" s="4" t="n">
        <f aca="false">Assumptions!F33</f>
        <v>21</v>
      </c>
      <c r="G14" s="4" t="n">
        <f aca="false">Assumptions!G33</f>
        <v>22</v>
      </c>
      <c r="H14" s="4" t="n">
        <f aca="false">Assumptions!H33</f>
        <v>23</v>
      </c>
      <c r="I14" s="4" t="n">
        <f aca="false">Assumptions!I33</f>
        <v>23</v>
      </c>
      <c r="J14" s="4" t="n">
        <f aca="false">Assumptions!J33</f>
        <v>23</v>
      </c>
      <c r="K14" s="4" t="n">
        <f aca="false">Assumptions!K33</f>
        <v>23</v>
      </c>
      <c r="L14" s="4" t="n">
        <f aca="false">Assumptions!L33</f>
        <v>23</v>
      </c>
    </row>
    <row r="15" customFormat="false" ht="15" hidden="false" customHeight="false" outlineLevel="0" collapsed="false">
      <c r="A15" s="0" t="s">
        <v>115</v>
      </c>
      <c r="C15" s="0" t="n">
        <f aca="false">C13-MAX(0,C13)*C14/100</f>
        <v>5625.776</v>
      </c>
      <c r="D15" s="0" t="n">
        <f aca="false">D13-MAX(0,D13)*D14/100</f>
        <v>6103.42824</v>
      </c>
      <c r="E15" s="0" t="n">
        <f aca="false">E13-MAX(0,E13)*E14/100</f>
        <v>6494.720778</v>
      </c>
      <c r="F15" s="0" t="n">
        <f aca="false">F13-MAX(0,F13)*F14/100</f>
        <v>6796.8659304</v>
      </c>
      <c r="G15" s="0" t="n">
        <f aca="false">G13-MAX(0,G13)*G14/100</f>
        <v>7050.8450218752</v>
      </c>
      <c r="H15" s="0" t="n">
        <f aca="false">H13-MAX(0,H13)*H14/100</f>
        <v>7240.63416735859</v>
      </c>
      <c r="I15" s="0" t="n">
        <f aca="false">I13-MAX(0,I13)*I14/100</f>
        <v>7495.51911759339</v>
      </c>
      <c r="J15" s="0" t="n">
        <f aca="false">J13-MAX(0,J13)*J14/100</f>
        <v>7759.18059409165</v>
      </c>
      <c r="K15" s="0" t="n">
        <f aca="false">K13-MAX(0,K13)*K14/100</f>
        <v>7953.16010894394</v>
      </c>
      <c r="L15" s="0" t="n">
        <f aca="false">L13-MAX(0,L13)*L14/100</f>
        <v>8151.98911166754</v>
      </c>
    </row>
    <row r="16" customFormat="false" ht="15" hidden="false" customHeight="false" outlineLevel="0" collapsed="false">
      <c r="A16" s="0" t="s">
        <v>116</v>
      </c>
      <c r="C16" s="0" t="n">
        <f aca="false">-C12</f>
        <v>2924.48</v>
      </c>
      <c r="D16" s="0" t="n">
        <f aca="false">-D12</f>
        <v>3070.704</v>
      </c>
      <c r="E16" s="0" t="n">
        <f aca="false">-E12</f>
        <v>3181.815</v>
      </c>
      <c r="F16" s="0" t="n">
        <f aca="false">-F12</f>
        <v>3264.966432</v>
      </c>
      <c r="G16" s="0" t="n">
        <f aca="false">-G12</f>
        <v>3349.67907456</v>
      </c>
      <c r="H16" s="0" t="n">
        <f aca="false">-H12</f>
        <v>3419.4258169344</v>
      </c>
      <c r="I16" s="0" t="n">
        <f aca="false">-I12</f>
        <v>3473.09180545018</v>
      </c>
      <c r="J16" s="0" t="n">
        <f aca="false">-J12</f>
        <v>3526.90027004166</v>
      </c>
      <c r="K16" s="0" t="n">
        <f aca="false">-K12</f>
        <v>3615.0727767927</v>
      </c>
      <c r="L16" s="0" t="n">
        <f aca="false">-L12</f>
        <v>3705.44959621252</v>
      </c>
    </row>
    <row r="17" customFormat="false" ht="15" hidden="false" customHeight="false" outlineLevel="0" collapsed="false">
      <c r="A17" s="0" t="s">
        <v>117</v>
      </c>
      <c r="C17" s="4" t="n">
        <f aca="false">-C6*Assumptions!C32/100</f>
        <v>-5002.4</v>
      </c>
      <c r="D17" s="4" t="n">
        <f aca="false">-D6*Assumptions!D32/100</f>
        <v>-4848.48</v>
      </c>
      <c r="E17" s="4" t="n">
        <f aca="false">-E6*Assumptions!E32/100</f>
        <v>-4666.662</v>
      </c>
      <c r="F17" s="4" t="n">
        <f aca="false">-F6*Assumptions!F32/100</f>
        <v>-4412.1168</v>
      </c>
      <c r="G17" s="4" t="n">
        <f aca="false">-G6*Assumptions!G32/100</f>
        <v>-4359.1713984</v>
      </c>
      <c r="H17" s="4" t="n">
        <f aca="false">-H6*Assumptions!H32/100</f>
        <v>-4274.282271168</v>
      </c>
      <c r="I17" s="4" t="n">
        <f aca="false">-I6*Assumptions!I32/100</f>
        <v>-4402.51073930304</v>
      </c>
      <c r="J17" s="4" t="n">
        <f aca="false">-J6*Assumptions!J32/100</f>
        <v>-4282.66461362201</v>
      </c>
      <c r="K17" s="4" t="n">
        <f aca="false">-K6*Assumptions!K32/100</f>
        <v>-4389.73122896256</v>
      </c>
      <c r="L17" s="4" t="n">
        <f aca="false">-L6*Assumptions!L32/100</f>
        <v>-4499.47450968663</v>
      </c>
    </row>
    <row r="18" customFormat="false" ht="15" hidden="false" customHeight="false" outlineLevel="0" collapsed="false">
      <c r="A18" s="0" t="s">
        <v>118</v>
      </c>
      <c r="C18" s="4" t="n">
        <f aca="false">(C6-B6)*Assumptions!$B$37/100</f>
        <v>-44.4</v>
      </c>
      <c r="D18" s="4" t="n">
        <f aca="false">(D6-C6)*Assumptions!$B$37/100</f>
        <v>-57.72</v>
      </c>
      <c r="E18" s="4" t="n">
        <f aca="false">(E6-D6)*Assumptions!$B$37/100</f>
        <v>-60.6060000000001</v>
      </c>
      <c r="F18" s="4" t="n">
        <f aca="false">(F6-E6)*Assumptions!$B$37/100</f>
        <v>-50.90904</v>
      </c>
      <c r="G18" s="4" t="n">
        <f aca="false">(G6-F6)*Assumptions!$B$37/100</f>
        <v>-52.9454016</v>
      </c>
      <c r="H18" s="4" t="n">
        <f aca="false">(H6-G6)*Assumptions!$B$37/100</f>
        <v>-48.1803154559999</v>
      </c>
      <c r="I18" s="4" t="n">
        <f aca="false">(I6-H6)*Assumptions!$B$37/100</f>
        <v>-42.74282271168</v>
      </c>
      <c r="J18" s="4" t="n">
        <f aca="false">(J6-I6)*Assumptions!$B$37/100</f>
        <v>-44.0251073930305</v>
      </c>
      <c r="K18" s="4" t="n">
        <f aca="false">(K6-J6)*Assumptions!$B$37/100</f>
        <v>-37.7882171790177</v>
      </c>
      <c r="L18" s="4" t="n">
        <f aca="false">(L6-K6)*Assumptions!$B$37/100</f>
        <v>-38.7329226084932</v>
      </c>
    </row>
    <row r="19" customFormat="false" ht="15" hidden="false" customHeight="false" outlineLevel="0" collapsed="false">
      <c r="A19" s="0" t="s">
        <v>119</v>
      </c>
      <c r="C19" s="0" t="n">
        <f aca="false">C15+C16+C17+C18</f>
        <v>3503.456</v>
      </c>
      <c r="D19" s="0" t="n">
        <f aca="false">D15+D16+D17+D18</f>
        <v>4267.93224</v>
      </c>
      <c r="E19" s="0" t="n">
        <f aca="false">E15+E16+E17+E18</f>
        <v>4949.267778</v>
      </c>
      <c r="F19" s="0" t="n">
        <f aca="false">F15+F16+F17+F18</f>
        <v>5598.8065224</v>
      </c>
      <c r="G19" s="0" t="n">
        <f aca="false">G15+G16+G17+G18</f>
        <v>5988.4072964352</v>
      </c>
      <c r="H19" s="0" t="n">
        <f aca="false">H15+H16+H17+H18</f>
        <v>6337.59739766899</v>
      </c>
      <c r="I19" s="0" t="n">
        <f aca="false">I15+I16+I17+I18</f>
        <v>6523.35736102884</v>
      </c>
      <c r="J19" s="0" t="n">
        <f aca="false">J15+J16+J17+J18</f>
        <v>6959.39114311826</v>
      </c>
      <c r="K19" s="0" t="n">
        <f aca="false">K15+K16+K17+K18</f>
        <v>7140.71343959506</v>
      </c>
      <c r="L19" s="0" t="n">
        <f aca="false">L15+L16+L17+L18</f>
        <v>7319.23127558493</v>
      </c>
    </row>
    <row r="20" customFormat="false" ht="15" hidden="false" customHeight="false" outlineLevel="0" collapsed="false">
      <c r="A20" s="0" t="s">
        <v>120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121</v>
      </c>
      <c r="C21" s="0" t="n">
        <f aca="false">C19*C20</f>
        <v>3228.99170506912</v>
      </c>
      <c r="D21" s="0" t="n">
        <f aca="false">D19*D20</f>
        <v>3625.41760496082</v>
      </c>
      <c r="E21" s="0" t="n">
        <f aca="false">E19*E20</f>
        <v>3874.82182469846</v>
      </c>
      <c r="F21" s="0" t="n">
        <f aca="false">F19*F20</f>
        <v>4039.95480915553</v>
      </c>
      <c r="G21" s="0" t="n">
        <f aca="false">G19*G20</f>
        <v>3982.56286528131</v>
      </c>
      <c r="H21" s="0" t="n">
        <f aca="false">H19*H20</f>
        <v>3884.59921102716</v>
      </c>
      <c r="I21" s="0" t="n">
        <f aca="false">I19*I20</f>
        <v>3685.2164687525</v>
      </c>
      <c r="J21" s="0" t="n">
        <f aca="false">J19*J20</f>
        <v>3623.54234293264</v>
      </c>
      <c r="K21" s="0" t="n">
        <f aca="false">K19*K20</f>
        <v>3426.68324691056</v>
      </c>
      <c r="L21" s="0" t="n">
        <f aca="false">L19*L20</f>
        <v>3237.18924247311</v>
      </c>
    </row>
    <row r="23" customFormat="false" ht="15" hidden="false" customHeight="false" outlineLevel="0" collapsed="false">
      <c r="A23" s="0" t="s">
        <v>97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123</v>
      </c>
    </row>
    <row r="27" customFormat="false" ht="15" hidden="false" customHeight="false" outlineLevel="0" collapsed="false">
      <c r="A27" s="0" t="s">
        <v>101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102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103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124</v>
      </c>
      <c r="B30" s="0" t="n">
        <f aca="false">SUM(C21:L21)</f>
        <v>36608.9793212612</v>
      </c>
    </row>
    <row r="31" customFormat="false" ht="15" hidden="false" customHeight="false" outlineLevel="0" collapsed="false">
      <c r="A31" s="0" t="s">
        <v>125</v>
      </c>
      <c r="B31" s="0" t="n">
        <f aca="false">L19</f>
        <v>7319.23127558493</v>
      </c>
    </row>
    <row r="32" customFormat="false" ht="15" hidden="false" customHeight="false" outlineLevel="0" collapsed="false">
      <c r="A32" s="0" t="s">
        <v>126</v>
      </c>
      <c r="B32" s="0" t="n">
        <f aca="false">IF(B27&gt;B28,B31*(1+B28/100)/((B27-B28)/100),B31*B29)</f>
        <v>125036.867624576</v>
      </c>
    </row>
    <row r="33" customFormat="false" ht="15" hidden="false" customHeight="false" outlineLevel="0" collapsed="false">
      <c r="A33" s="0" t="s">
        <v>127</v>
      </c>
      <c r="B33" s="0" t="n">
        <f aca="false">B31*B29</f>
        <v>109788.469133774</v>
      </c>
    </row>
    <row r="34" customFormat="false" ht="15" hidden="false" customHeight="false" outlineLevel="0" collapsed="false">
      <c r="A34" s="0" t="s">
        <v>128</v>
      </c>
      <c r="B34" s="0" t="n">
        <f aca="false">MAX(0,MIN(B32,B33))</f>
        <v>109788.469133774</v>
      </c>
    </row>
    <row r="35" customFormat="false" ht="15" hidden="false" customHeight="false" outlineLevel="0" collapsed="false">
      <c r="A35" s="0" t="s">
        <v>129</v>
      </c>
      <c r="B35" s="0" t="n">
        <f aca="false">B34/(1+B27/100)^L4</f>
        <v>48557.8386370966</v>
      </c>
    </row>
    <row r="36" customFormat="false" ht="15" hidden="false" customHeight="false" outlineLevel="0" collapsed="false">
      <c r="A36" s="0" t="s">
        <v>130</v>
      </c>
      <c r="B36" s="0" t="n">
        <f aca="false">B30+B35</f>
        <v>85166.8179583578</v>
      </c>
    </row>
    <row r="37" customFormat="false" ht="15" hidden="false" customHeight="false" outlineLevel="0" collapsed="false">
      <c r="A37" s="0" t="s">
        <v>131</v>
      </c>
      <c r="B37" s="0" t="n">
        <f aca="false">B36+Assumptions!$B$5-Assumptions!$B$4</f>
        <v>62218.8179583578</v>
      </c>
    </row>
    <row r="38" customFormat="false" ht="15" hidden="false" customHeight="false" outlineLevel="0" collapsed="false">
      <c r="A38" s="0" t="s">
        <v>132</v>
      </c>
      <c r="B38" s="0" t="n">
        <f aca="false">B37/Assumptions!$B$3*Assumptions!$B$10</f>
        <v>175.116290341564</v>
      </c>
    </row>
    <row r="39" customFormat="false" ht="15" hidden="false" customHeight="false" outlineLevel="0" collapsed="false">
      <c r="A39" s="0" t="s">
        <v>133</v>
      </c>
      <c r="B39" s="4" t="n">
        <f aca="false">B38/Assumptions!$B$2-1</f>
        <v>-0.334841454242548</v>
      </c>
    </row>
    <row r="41" customFormat="false" ht="15" hidden="false" customHeight="false" outlineLevel="0" collapsed="false">
      <c r="A41" s="0" t="s">
        <v>134</v>
      </c>
      <c r="B41" s="0" t="n">
        <f aca="false">SUMPRODUCT(-C10:L10/(1+$B$27/100)^C4:L4)</f>
        <v>3169.89701749284</v>
      </c>
    </row>
    <row r="42" customFormat="false" ht="15" hidden="false" customHeight="false" outlineLevel="0" collapsed="false">
      <c r="A42" s="0" t="s">
        <v>135</v>
      </c>
      <c r="B42" s="0" t="n">
        <f aca="false">IF(B27&gt;B28,-L10*(1+B28/100)/((B27-B28)/100),-L10*20)/(1+B27/100)^L4</f>
        <v>3999.61421517411</v>
      </c>
    </row>
    <row r="43" customFormat="false" ht="15" hidden="false" customHeight="false" outlineLevel="0" collapsed="false">
      <c r="A43" s="0" t="s">
        <v>136</v>
      </c>
      <c r="B43" s="0" t="n">
        <f aca="false">(B37+B41+B42)/Assumptions!$B$3*Assumptions!$B$10</f>
        <v>195.295044162749</v>
      </c>
    </row>
    <row r="45" customFormat="false" ht="15" hidden="false" customHeight="false" outlineLevel="0" collapsed="false">
      <c r="A45" s="0" t="s">
        <v>76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137</v>
      </c>
      <c r="B46" s="0" t="n">
        <f aca="false">MAX(0,MIN(IF(B45&gt;B28,B31*(1+B28/100)/((B45-B28)/100),B31*B29),B31*B29))</f>
        <v>60017.6964597965</v>
      </c>
    </row>
    <row r="47" customFormat="false" ht="15" hidden="false" customHeight="false" outlineLevel="0" collapsed="false">
      <c r="A47" s="0" t="s">
        <v>138</v>
      </c>
      <c r="B47" s="0" t="n">
        <f aca="false">(SUMPRODUCT(C19:L19/(1+B45/100)^C4:L4)+B46/(1+B45/100)^L4+Assumptions!$B$5-Assumptions!$B$4)/Assumptions!$B$3*Assumptions!$B$10</f>
        <v>53.1948557249094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0" t="s">
        <v>109</v>
      </c>
      <c r="B3" s="0" t="s">
        <v>79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</row>
    <row r="4" customFormat="false" ht="15" hidden="false" customHeight="false" outlineLevel="0" collapsed="false">
      <c r="A4" s="0" t="s">
        <v>110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94</v>
      </c>
      <c r="C5" s="4" t="n">
        <f aca="false">Assumptions!C41</f>
        <v>6</v>
      </c>
      <c r="D5" s="4" t="n">
        <f aca="false">Assumptions!D41</f>
        <v>7</v>
      </c>
      <c r="E5" s="4" t="n">
        <f aca="false">Assumptions!E41</f>
        <v>7</v>
      </c>
      <c r="F5" s="4" t="n">
        <f aca="false">Assumptions!F41</f>
        <v>6</v>
      </c>
      <c r="G5" s="4" t="n">
        <f aca="false">Assumptions!G41</f>
        <v>5</v>
      </c>
      <c r="H5" s="4" t="n">
        <f aca="false">Assumptions!H41</f>
        <v>4.5</v>
      </c>
      <c r="I5" s="4" t="n">
        <f aca="false">Assumptions!I41</f>
        <v>4</v>
      </c>
      <c r="J5" s="4" t="n">
        <f aca="false">Assumptions!J41</f>
        <v>3.5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37000</v>
      </c>
      <c r="C6" s="0" t="n">
        <f aca="false">B6*(1+C5/100)</f>
        <v>39220</v>
      </c>
      <c r="D6" s="0" t="n">
        <f aca="false">C6*(1+D5/100)</f>
        <v>41965.4</v>
      </c>
      <c r="E6" s="0" t="n">
        <f aca="false">D6*(1+E5/100)</f>
        <v>44902.978</v>
      </c>
      <c r="F6" s="0" t="n">
        <f aca="false">E6*(1+F5/100)</f>
        <v>47597.15668</v>
      </c>
      <c r="G6" s="0" t="n">
        <f aca="false">F6*(1+G5/100)</f>
        <v>49977.014514</v>
      </c>
      <c r="H6" s="0" t="n">
        <f aca="false">G6*(1+H5/100)</f>
        <v>52225.98016713</v>
      </c>
      <c r="I6" s="0" t="n">
        <f aca="false">H6*(1+I5/100)</f>
        <v>54315.0193738152</v>
      </c>
      <c r="J6" s="0" t="n">
        <f aca="false">I6*(1+J5/100)</f>
        <v>56216.0450518987</v>
      </c>
      <c r="K6" s="0" t="n">
        <f aca="false">J6*(1+K5/100)</f>
        <v>57902.5264034557</v>
      </c>
      <c r="L6" s="0" t="n">
        <f aca="false">K6*(1+L5/100)</f>
        <v>59639.6021955594</v>
      </c>
    </row>
    <row r="7" customFormat="false" ht="15" hidden="false" customHeight="false" outlineLevel="0" collapsed="false">
      <c r="A7" s="0" t="s">
        <v>95</v>
      </c>
      <c r="C7" s="4" t="n">
        <f aca="false">Assumptions!C42</f>
        <v>27</v>
      </c>
      <c r="D7" s="4" t="n">
        <f aca="false">Assumptions!D42</f>
        <v>28.5</v>
      </c>
      <c r="E7" s="4" t="n">
        <f aca="false">Assumptions!E42</f>
        <v>30</v>
      </c>
      <c r="F7" s="4" t="n">
        <f aca="false">Assumptions!F42</f>
        <v>31</v>
      </c>
      <c r="G7" s="4" t="n">
        <f aca="false">Assumptions!G42</f>
        <v>31.5</v>
      </c>
      <c r="H7" s="4" t="n">
        <f aca="false">Assumptions!H42</f>
        <v>32</v>
      </c>
      <c r="I7" s="4" t="n">
        <f aca="false">Assumptions!I42</f>
        <v>32</v>
      </c>
      <c r="J7" s="4" t="n">
        <f aca="false">Assumptions!J42</f>
        <v>32</v>
      </c>
      <c r="K7" s="4" t="n">
        <f aca="false">Assumptions!K42</f>
        <v>32</v>
      </c>
      <c r="L7" s="4" t="n">
        <f aca="false">Assumptions!L42</f>
        <v>32</v>
      </c>
    </row>
    <row r="8" customFormat="false" ht="15" hidden="false" customHeight="false" outlineLevel="0" collapsed="false">
      <c r="A8" s="0" t="s">
        <v>43</v>
      </c>
      <c r="C8" s="0" t="n">
        <f aca="false">C6*C7/100</f>
        <v>10589.4</v>
      </c>
      <c r="D8" s="0" t="n">
        <f aca="false">D6*D7/100</f>
        <v>11960.139</v>
      </c>
      <c r="E8" s="0" t="n">
        <f aca="false">E6*E7/100</f>
        <v>13470.8934</v>
      </c>
      <c r="F8" s="0" t="n">
        <f aca="false">F6*F7/100</f>
        <v>14755.1185708</v>
      </c>
      <c r="G8" s="0" t="n">
        <f aca="false">G6*G7/100</f>
        <v>15742.75957191</v>
      </c>
      <c r="H8" s="0" t="n">
        <f aca="false">H6*H7/100</f>
        <v>16712.3136534816</v>
      </c>
      <c r="I8" s="0" t="n">
        <f aca="false">I6*I7/100</f>
        <v>17380.8061996209</v>
      </c>
      <c r="J8" s="0" t="n">
        <f aca="false">J6*J7/100</f>
        <v>17989.1344166076</v>
      </c>
      <c r="K8" s="0" t="n">
        <f aca="false">K6*K7/100</f>
        <v>18528.8084491058</v>
      </c>
      <c r="L8" s="0" t="n">
        <f aca="false">L6*L7/100</f>
        <v>19084.672702579</v>
      </c>
    </row>
    <row r="9" customFormat="false" ht="15" hidden="false" customHeight="false" outlineLevel="0" collapsed="false">
      <c r="A9" s="0" t="s">
        <v>96</v>
      </c>
      <c r="C9" s="4" t="n">
        <f aca="false">Assumptions!C43</f>
        <v>1.2</v>
      </c>
      <c r="D9" s="4" t="n">
        <f aca="false">Assumptions!D43</f>
        <v>1.2</v>
      </c>
      <c r="E9" s="4" t="n">
        <f aca="false">Assumptions!E43</f>
        <v>1.1</v>
      </c>
      <c r="F9" s="4" t="n">
        <f aca="false">Assumptions!F43</f>
        <v>1.1</v>
      </c>
      <c r="G9" s="4" t="n">
        <f aca="false">Assumptions!G43</f>
        <v>1</v>
      </c>
      <c r="H9" s="4" t="n">
        <f aca="false">Assumptions!H43</f>
        <v>1</v>
      </c>
      <c r="I9" s="4" t="n">
        <f aca="false">Assumptions!I43</f>
        <v>1</v>
      </c>
      <c r="J9" s="4" t="n">
        <f aca="false">Assumptions!J43</f>
        <v>1</v>
      </c>
      <c r="K9" s="4" t="n">
        <f aca="false">Assumptions!K43</f>
        <v>1</v>
      </c>
      <c r="L9" s="4" t="n">
        <f aca="false">Assumptions!L43</f>
        <v>1</v>
      </c>
    </row>
    <row r="10" customFormat="false" ht="15" hidden="false" customHeight="false" outlineLevel="0" collapsed="false">
      <c r="A10" s="0" t="s">
        <v>111</v>
      </c>
      <c r="C10" s="0" t="n">
        <f aca="false">-C6*C9/100</f>
        <v>-470.64</v>
      </c>
      <c r="D10" s="0" t="n">
        <f aca="false">-D6*D9/100</f>
        <v>-503.5848</v>
      </c>
      <c r="E10" s="0" t="n">
        <f aca="false">-E6*E9/100</f>
        <v>-493.932758</v>
      </c>
      <c r="F10" s="0" t="n">
        <f aca="false">-F6*F9/100</f>
        <v>-523.56872348</v>
      </c>
      <c r="G10" s="0" t="n">
        <f aca="false">-G6*G9/100</f>
        <v>-499.77014514</v>
      </c>
      <c r="H10" s="0" t="n">
        <f aca="false">-H6*H9/100</f>
        <v>-522.2598016713</v>
      </c>
      <c r="I10" s="0" t="n">
        <f aca="false">-I6*I9/100</f>
        <v>-543.150193738152</v>
      </c>
      <c r="J10" s="0" t="n">
        <f aca="false">-J6*J9/100</f>
        <v>-562.160450518987</v>
      </c>
      <c r="K10" s="0" t="n">
        <f aca="false">-K6*K9/100</f>
        <v>-579.025264034557</v>
      </c>
      <c r="L10" s="0" t="n">
        <f aca="false">-L6*L9/100</f>
        <v>-596.396021955594</v>
      </c>
    </row>
    <row r="11" customFormat="false" ht="15" hidden="false" customHeight="false" outlineLevel="0" collapsed="false">
      <c r="A11" s="0" t="s">
        <v>112</v>
      </c>
      <c r="C11" s="0" t="n">
        <f aca="false">C8+C10+C24</f>
        <v>10118.76</v>
      </c>
      <c r="D11" s="0" t="n">
        <f aca="false">D8+D10+D24</f>
        <v>11456.5542</v>
      </c>
      <c r="E11" s="0" t="n">
        <f aca="false">E8+E10+E24</f>
        <v>12976.960642</v>
      </c>
      <c r="F11" s="0" t="n">
        <f aca="false">F8+F10+F24</f>
        <v>14231.54984732</v>
      </c>
      <c r="G11" s="0" t="n">
        <f aca="false">G8+G10+G24</f>
        <v>15242.98942677</v>
      </c>
      <c r="H11" s="0" t="n">
        <f aca="false">H8+H10+H24</f>
        <v>16190.0538518103</v>
      </c>
      <c r="I11" s="0" t="n">
        <f aca="false">I8+I10+I24</f>
        <v>16837.6560058827</v>
      </c>
      <c r="J11" s="0" t="n">
        <f aca="false">J8+J10+J24</f>
        <v>17426.9739660886</v>
      </c>
      <c r="K11" s="0" t="n">
        <f aca="false">K8+K10+K24</f>
        <v>17949.7831850713</v>
      </c>
      <c r="L11" s="0" t="n">
        <f aca="false">L8+L10+L24</f>
        <v>18488.2766806234</v>
      </c>
    </row>
    <row r="12" customFormat="false" ht="15" hidden="false" customHeight="false" outlineLevel="0" collapsed="false">
      <c r="A12" s="0" t="s">
        <v>113</v>
      </c>
      <c r="C12" s="4" t="n">
        <f aca="false">-C6*Assumptions!C45/100</f>
        <v>-2980.72</v>
      </c>
      <c r="D12" s="4" t="n">
        <f aca="false">-D6*Assumptions!D45/100</f>
        <v>-3189.3704</v>
      </c>
      <c r="E12" s="4" t="n">
        <f aca="false">-E6*Assumptions!E45/100</f>
        <v>-3367.72335</v>
      </c>
      <c r="F12" s="4" t="n">
        <f aca="false">-F6*Assumptions!F45/100</f>
        <v>-3522.18959432</v>
      </c>
      <c r="G12" s="4" t="n">
        <f aca="false">-G6*Assumptions!G45/100</f>
        <v>-3648.322059522</v>
      </c>
      <c r="H12" s="4" t="n">
        <f aca="false">-H6*Assumptions!H45/100</f>
        <v>-3760.27057203336</v>
      </c>
      <c r="I12" s="4" t="n">
        <f aca="false">-I6*Assumptions!I45/100</f>
        <v>-3856.36637554088</v>
      </c>
      <c r="J12" s="4" t="n">
        <f aca="false">-J6*Assumptions!J45/100</f>
        <v>-3935.12315363291</v>
      </c>
      <c r="K12" s="4" t="n">
        <f aca="false">-K6*Assumptions!K45/100</f>
        <v>-4053.1768482419</v>
      </c>
      <c r="L12" s="4" t="n">
        <f aca="false">-L6*Assumptions!L45/100</f>
        <v>-4174.77215368916</v>
      </c>
    </row>
    <row r="13" customFormat="false" ht="15" hidden="false" customHeight="false" outlineLevel="0" collapsed="false">
      <c r="A13" s="0" t="s">
        <v>114</v>
      </c>
      <c r="C13" s="0" t="n">
        <f aca="false">C11+C12</f>
        <v>7138.04</v>
      </c>
      <c r="D13" s="0" t="n">
        <f aca="false">D11+D12</f>
        <v>8267.1838</v>
      </c>
      <c r="E13" s="0" t="n">
        <f aca="false">E11+E12</f>
        <v>9609.237292</v>
      </c>
      <c r="F13" s="0" t="n">
        <f aca="false">F11+F12</f>
        <v>10709.360253</v>
      </c>
      <c r="G13" s="0" t="n">
        <f aca="false">G11+G12</f>
        <v>11594.667367248</v>
      </c>
      <c r="H13" s="0" t="n">
        <f aca="false">H11+H12</f>
        <v>12429.7832797769</v>
      </c>
      <c r="I13" s="0" t="n">
        <f aca="false">I11+I12</f>
        <v>12981.2896303418</v>
      </c>
      <c r="J13" s="0" t="n">
        <f aca="false">J11+J12</f>
        <v>13491.8508124557</v>
      </c>
      <c r="K13" s="0" t="n">
        <f aca="false">K11+K12</f>
        <v>13896.6063368294</v>
      </c>
      <c r="L13" s="0" t="n">
        <f aca="false">L11+L12</f>
        <v>14313.5045269343</v>
      </c>
    </row>
    <row r="14" customFormat="false" ht="15" hidden="false" customHeight="false" outlineLevel="0" collapsed="false">
      <c r="A14" s="0" t="s">
        <v>100</v>
      </c>
      <c r="C14" s="4" t="n">
        <f aca="false">Assumptions!C47</f>
        <v>15</v>
      </c>
      <c r="D14" s="4" t="n">
        <f aca="false">Assumptions!D47</f>
        <v>17</v>
      </c>
      <c r="E14" s="4" t="n">
        <f aca="false">Assumptions!E47</f>
        <v>19</v>
      </c>
      <c r="F14" s="4" t="n">
        <f aca="false">Assumptions!F47</f>
        <v>21</v>
      </c>
      <c r="G14" s="4" t="n">
        <f aca="false">Assumptions!G47</f>
        <v>22</v>
      </c>
      <c r="H14" s="4" t="n">
        <f aca="false">Assumptions!H47</f>
        <v>23</v>
      </c>
      <c r="I14" s="4" t="n">
        <f aca="false">Assumptions!I47</f>
        <v>23</v>
      </c>
      <c r="J14" s="4" t="n">
        <f aca="false">Assumptions!J47</f>
        <v>23</v>
      </c>
      <c r="K14" s="4" t="n">
        <f aca="false">Assumptions!K47</f>
        <v>23</v>
      </c>
      <c r="L14" s="4" t="n">
        <f aca="false">Assumptions!L47</f>
        <v>23</v>
      </c>
    </row>
    <row r="15" customFormat="false" ht="15" hidden="false" customHeight="false" outlineLevel="0" collapsed="false">
      <c r="A15" s="0" t="s">
        <v>115</v>
      </c>
      <c r="C15" s="0" t="n">
        <f aca="false">C13-MAX(0,C13)*C14/100</f>
        <v>6067.334</v>
      </c>
      <c r="D15" s="0" t="n">
        <f aca="false">D13-MAX(0,D13)*D14/100</f>
        <v>6861.762554</v>
      </c>
      <c r="E15" s="0" t="n">
        <f aca="false">E13-MAX(0,E13)*E14/100</f>
        <v>7783.48220652</v>
      </c>
      <c r="F15" s="0" t="n">
        <f aca="false">F13-MAX(0,F13)*F14/100</f>
        <v>8460.39459987</v>
      </c>
      <c r="G15" s="0" t="n">
        <f aca="false">G13-MAX(0,G13)*G14/100</f>
        <v>9043.84054645344</v>
      </c>
      <c r="H15" s="0" t="n">
        <f aca="false">H13-MAX(0,H13)*H14/100</f>
        <v>9570.93312542825</v>
      </c>
      <c r="I15" s="0" t="n">
        <f aca="false">I13-MAX(0,I13)*I14/100</f>
        <v>9995.59301536321</v>
      </c>
      <c r="J15" s="0" t="n">
        <f aca="false">J13-MAX(0,J13)*J14/100</f>
        <v>10388.7251255909</v>
      </c>
      <c r="K15" s="0" t="n">
        <f aca="false">K13-MAX(0,K13)*K14/100</f>
        <v>10700.3868793586</v>
      </c>
      <c r="L15" s="0" t="n">
        <f aca="false">L13-MAX(0,L13)*L14/100</f>
        <v>11021.3984857394</v>
      </c>
    </row>
    <row r="16" customFormat="false" ht="15" hidden="false" customHeight="false" outlineLevel="0" collapsed="false">
      <c r="A16" s="0" t="s">
        <v>116</v>
      </c>
      <c r="C16" s="0" t="n">
        <f aca="false">-C12</f>
        <v>2980.72</v>
      </c>
      <c r="D16" s="0" t="n">
        <f aca="false">-D12</f>
        <v>3189.3704</v>
      </c>
      <c r="E16" s="0" t="n">
        <f aca="false">-E12</f>
        <v>3367.72335</v>
      </c>
      <c r="F16" s="0" t="n">
        <f aca="false">-F12</f>
        <v>3522.18959432</v>
      </c>
      <c r="G16" s="0" t="n">
        <f aca="false">-G12</f>
        <v>3648.322059522</v>
      </c>
      <c r="H16" s="0" t="n">
        <f aca="false">-H12</f>
        <v>3760.27057203336</v>
      </c>
      <c r="I16" s="0" t="n">
        <f aca="false">-I12</f>
        <v>3856.36637554088</v>
      </c>
      <c r="J16" s="0" t="n">
        <f aca="false">-J12</f>
        <v>3935.12315363291</v>
      </c>
      <c r="K16" s="0" t="n">
        <f aca="false">-K12</f>
        <v>4053.1768482419</v>
      </c>
      <c r="L16" s="0" t="n">
        <f aca="false">-L12</f>
        <v>4174.77215368916</v>
      </c>
    </row>
    <row r="17" customFormat="false" ht="15" hidden="false" customHeight="false" outlineLevel="0" collapsed="false">
      <c r="A17" s="0" t="s">
        <v>117</v>
      </c>
      <c r="C17" s="4" t="n">
        <f aca="false">-C6*Assumptions!C46/100</f>
        <v>-5294.7</v>
      </c>
      <c r="D17" s="4" t="n">
        <f aca="false">-D6*Assumptions!D46/100</f>
        <v>-5455.502</v>
      </c>
      <c r="E17" s="4" t="n">
        <f aca="false">-E6*Assumptions!E46/100</f>
        <v>-5388.35736</v>
      </c>
      <c r="F17" s="4" t="n">
        <f aca="false">-F6*Assumptions!F46/100</f>
        <v>-5235.6872348</v>
      </c>
      <c r="G17" s="4" t="n">
        <f aca="false">-G6*Assumptions!G46/100</f>
        <v>-4997.7014514</v>
      </c>
      <c r="H17" s="4" t="n">
        <f aca="false">-H6*Assumptions!H46/100</f>
        <v>-4961.46811587735</v>
      </c>
      <c r="I17" s="4" t="n">
        <f aca="false">-I6*Assumptions!I46/100</f>
        <v>-4888.35174364337</v>
      </c>
      <c r="J17" s="4" t="n">
        <f aca="false">-J6*Assumptions!J46/100</f>
        <v>-5059.44405467089</v>
      </c>
      <c r="K17" s="4" t="n">
        <f aca="false">-K6*Assumptions!K46/100</f>
        <v>-5211.22737631101</v>
      </c>
      <c r="L17" s="4" t="n">
        <f aca="false">-L6*Assumptions!L46/100</f>
        <v>-5367.56419760034</v>
      </c>
    </row>
    <row r="18" customFormat="false" ht="15" hidden="false" customHeight="false" outlineLevel="0" collapsed="false">
      <c r="A18" s="0" t="s">
        <v>118</v>
      </c>
      <c r="C18" s="4" t="n">
        <f aca="false">(C6-B6)*Assumptions!$B$51/100</f>
        <v>-66.6</v>
      </c>
      <c r="D18" s="4" t="n">
        <f aca="false">(D6-C6)*Assumptions!$B$51/100</f>
        <v>-82.362</v>
      </c>
      <c r="E18" s="4" t="n">
        <f aca="false">(E6-D6)*Assumptions!$B$51/100</f>
        <v>-88.1273400000001</v>
      </c>
      <c r="F18" s="4" t="n">
        <f aca="false">(F6-E6)*Assumptions!$B$51/100</f>
        <v>-80.8253604000001</v>
      </c>
      <c r="G18" s="4" t="n">
        <f aca="false">(G6-F6)*Assumptions!$B$51/100</f>
        <v>-71.3957350200001</v>
      </c>
      <c r="H18" s="4" t="n">
        <f aca="false">(H6-G6)*Assumptions!$B$51/100</f>
        <v>-67.4689695939</v>
      </c>
      <c r="I18" s="4" t="n">
        <f aca="false">(I6-H6)*Assumptions!$B$51/100</f>
        <v>-62.671176200556</v>
      </c>
      <c r="J18" s="4" t="n">
        <f aca="false">(J6-I6)*Assumptions!$B$51/100</f>
        <v>-57.0307703425058</v>
      </c>
      <c r="K18" s="4" t="n">
        <f aca="false">(K6-J6)*Assumptions!$B$51/100</f>
        <v>-50.5944405467089</v>
      </c>
      <c r="L18" s="4" t="n">
        <f aca="false">(L6-K6)*Assumptions!$B$51/100</f>
        <v>-52.1122737631101</v>
      </c>
    </row>
    <row r="19" customFormat="false" ht="15" hidden="false" customHeight="false" outlineLevel="0" collapsed="false">
      <c r="A19" s="0" t="s">
        <v>119</v>
      </c>
      <c r="C19" s="0" t="n">
        <f aca="false">C15+C16+C17+C18</f>
        <v>3686.754</v>
      </c>
      <c r="D19" s="0" t="n">
        <f aca="false">D15+D16+D17+D18</f>
        <v>4513.268954</v>
      </c>
      <c r="E19" s="0" t="n">
        <f aca="false">E15+E16+E17+E18</f>
        <v>5674.72085652</v>
      </c>
      <c r="F19" s="0" t="n">
        <f aca="false">F15+F16+F17+F18</f>
        <v>6666.07159899</v>
      </c>
      <c r="G19" s="0" t="n">
        <f aca="false">G15+G16+G17+G18</f>
        <v>7623.06541955544</v>
      </c>
      <c r="H19" s="0" t="n">
        <f aca="false">H15+H16+H17+H18</f>
        <v>8302.26661199036</v>
      </c>
      <c r="I19" s="0" t="n">
        <f aca="false">I15+I16+I17+I18</f>
        <v>8900.93647106017</v>
      </c>
      <c r="J19" s="0" t="n">
        <f aca="false">J15+J16+J17+J18</f>
        <v>9207.37345421041</v>
      </c>
      <c r="K19" s="0" t="n">
        <f aca="false">K15+K16+K17+K18</f>
        <v>9491.74191074279</v>
      </c>
      <c r="L19" s="0" t="n">
        <f aca="false">L15+L16+L17+L18</f>
        <v>9776.49416806508</v>
      </c>
    </row>
    <row r="20" customFormat="false" ht="15" hidden="false" customHeight="false" outlineLevel="0" collapsed="false">
      <c r="A20" s="0" t="s">
        <v>120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121</v>
      </c>
      <c r="C21" s="0" t="n">
        <f aca="false">C19*C20</f>
        <v>3397.92995391705</v>
      </c>
      <c r="D21" s="0" t="n">
        <f aca="false">D19*D20</f>
        <v>3833.82017371361</v>
      </c>
      <c r="E21" s="0" t="n">
        <f aca="false">E19*E20</f>
        <v>4442.78491490327</v>
      </c>
      <c r="F21" s="0" t="n">
        <f aca="false">F19*F20</f>
        <v>4810.06584292014</v>
      </c>
      <c r="G21" s="0" t="n">
        <f aca="false">G19*G20</f>
        <v>5069.68476870369</v>
      </c>
      <c r="H21" s="0" t="n">
        <f aca="false">H19*H20</f>
        <v>5088.83356057565</v>
      </c>
      <c r="I21" s="0" t="n">
        <f aca="false">I19*I20</f>
        <v>5028.37355905599</v>
      </c>
      <c r="J21" s="0" t="n">
        <f aca="false">J19*J20</f>
        <v>4793.99805132614</v>
      </c>
      <c r="K21" s="0" t="n">
        <f aca="false">K19*K20</f>
        <v>4554.89402630133</v>
      </c>
      <c r="L21" s="0" t="n">
        <f aca="false">L19*L20</f>
        <v>4324.00078072845</v>
      </c>
    </row>
    <row r="23" customFormat="false" ht="15" hidden="false" customHeight="false" outlineLevel="0" collapsed="false">
      <c r="A23" s="0" t="s">
        <v>97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123</v>
      </c>
    </row>
    <row r="27" customFormat="false" ht="15" hidden="false" customHeight="false" outlineLevel="0" collapsed="false">
      <c r="A27" s="0" t="s">
        <v>101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102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103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124</v>
      </c>
      <c r="B30" s="0" t="n">
        <f aca="false">SUM(C21:L21)</f>
        <v>45344.3856321453</v>
      </c>
    </row>
    <row r="31" customFormat="false" ht="15" hidden="false" customHeight="false" outlineLevel="0" collapsed="false">
      <c r="A31" s="0" t="s">
        <v>125</v>
      </c>
      <c r="B31" s="0" t="n">
        <f aca="false">L19</f>
        <v>9776.49416806508</v>
      </c>
    </row>
    <row r="32" customFormat="false" ht="15" hidden="false" customHeight="false" outlineLevel="0" collapsed="false">
      <c r="A32" s="0" t="s">
        <v>126</v>
      </c>
      <c r="B32" s="0" t="n">
        <f aca="false">IF(B27&gt;B28,B31*(1+B28/100)/((B27-B28)/100),B31*B29)</f>
        <v>183087.072601946</v>
      </c>
    </row>
    <row r="33" customFormat="false" ht="15" hidden="false" customHeight="false" outlineLevel="0" collapsed="false">
      <c r="A33" s="0" t="s">
        <v>127</v>
      </c>
      <c r="B33" s="0" t="n">
        <f aca="false">B31*B29</f>
        <v>146647.412520976</v>
      </c>
    </row>
    <row r="34" customFormat="false" ht="15" hidden="false" customHeight="false" outlineLevel="0" collapsed="false">
      <c r="A34" s="0" t="s">
        <v>128</v>
      </c>
      <c r="B34" s="0" t="n">
        <f aca="false">MAX(0,MIN(B32,B33))</f>
        <v>146647.412520976</v>
      </c>
    </row>
    <row r="35" customFormat="false" ht="15" hidden="false" customHeight="false" outlineLevel="0" collapsed="false">
      <c r="A35" s="0" t="s">
        <v>129</v>
      </c>
      <c r="B35" s="0" t="n">
        <f aca="false">B34/(1+B27/100)^L4</f>
        <v>64860.0117109267</v>
      </c>
    </row>
    <row r="36" customFormat="false" ht="15" hidden="false" customHeight="false" outlineLevel="0" collapsed="false">
      <c r="A36" s="0" t="s">
        <v>130</v>
      </c>
      <c r="B36" s="0" t="n">
        <f aca="false">B30+B35</f>
        <v>110204.397343072</v>
      </c>
    </row>
    <row r="37" customFormat="false" ht="15" hidden="false" customHeight="false" outlineLevel="0" collapsed="false">
      <c r="A37" s="0" t="s">
        <v>131</v>
      </c>
      <c r="B37" s="0" t="n">
        <f aca="false">B36+Assumptions!$B$5-Assumptions!$B$4</f>
        <v>87256.3973430721</v>
      </c>
    </row>
    <row r="38" customFormat="false" ht="15" hidden="false" customHeight="false" outlineLevel="0" collapsed="false">
      <c r="A38" s="0" t="s">
        <v>132</v>
      </c>
      <c r="B38" s="0" t="n">
        <f aca="false">B37/Assumptions!$B$3*Assumptions!$B$10</f>
        <v>245.585131840901</v>
      </c>
    </row>
    <row r="39" customFormat="false" ht="15" hidden="false" customHeight="false" outlineLevel="0" collapsed="false">
      <c r="A39" s="0" t="s">
        <v>133</v>
      </c>
      <c r="B39" s="4" t="n">
        <f aca="false">B38/Assumptions!$B$2-1</f>
        <v>-0.0671738829304487</v>
      </c>
    </row>
    <row r="41" customFormat="false" ht="15" hidden="false" customHeight="false" outlineLevel="0" collapsed="false">
      <c r="A41" s="0" t="s">
        <v>134</v>
      </c>
      <c r="B41" s="0" t="n">
        <f aca="false">SUMPRODUCT(-C10:L10/(1+$B$27/100)^C4:L4)</f>
        <v>3419.70581433153</v>
      </c>
    </row>
    <row r="42" customFormat="false" ht="15" hidden="false" customHeight="false" outlineLevel="0" collapsed="false">
      <c r="A42" s="0" t="s">
        <v>135</v>
      </c>
      <c r="B42" s="0" t="n">
        <f aca="false">IF(B27&gt;B28,-L10*(1+B28/100)/((B27-B28)/100),-L10*20)/(1+B27/100)^L4</f>
        <v>4939.8287265435</v>
      </c>
    </row>
    <row r="43" customFormat="false" ht="15" hidden="false" customHeight="false" outlineLevel="0" collapsed="false">
      <c r="A43" s="0" t="s">
        <v>136</v>
      </c>
      <c r="B43" s="0" t="n">
        <f aca="false">(B37+B41+B42)/Assumptions!$B$3*Assumptions!$B$10</f>
        <v>269.113233560223</v>
      </c>
    </row>
    <row r="45" customFormat="false" ht="15" hidden="false" customHeight="false" outlineLevel="0" collapsed="false">
      <c r="A45" s="0" t="s">
        <v>76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137</v>
      </c>
      <c r="B46" s="0" t="n">
        <f aca="false">MAX(0,MIN(IF(B45&gt;B28,B31*(1+B28/100)/((B45-B28)/100),B31*B29),B31*B29))</f>
        <v>83914.9082758919</v>
      </c>
    </row>
    <row r="47" customFormat="false" ht="15" hidden="false" customHeight="false" outlineLevel="0" collapsed="false">
      <c r="A47" s="0" t="s">
        <v>138</v>
      </c>
      <c r="B47" s="0" t="n">
        <f aca="false">(SUMPRODUCT(C19:L19/(1+B45/100)^C4:L4)+B46/(1+B45/100)^L4+Assumptions!$B$5-Assumptions!$B$4)/Assumptions!$B$3*Assumptions!$B$10</f>
        <v>86.7035106339317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2" t="s">
        <v>142</v>
      </c>
      <c r="B3" s="2" t="s">
        <v>143</v>
      </c>
      <c r="C3" s="2" t="s">
        <v>133</v>
      </c>
      <c r="D3" s="2" t="s">
        <v>144</v>
      </c>
      <c r="E3" s="2" t="s">
        <v>136</v>
      </c>
      <c r="F3" s="2" t="s">
        <v>145</v>
      </c>
    </row>
    <row r="4" customFormat="false" ht="15" hidden="false" customHeight="false" outlineLevel="0" collapsed="false">
      <c r="A4" s="0" t="s">
        <v>146</v>
      </c>
      <c r="B4" s="4" t="n">
        <f aca="false">DCF_Bear!$B$38</f>
        <v>70.1307003694752</v>
      </c>
      <c r="C4" s="0" t="n">
        <f aca="false">B4/Assumptions!$B$2-1</f>
        <v>-0.733616817831598</v>
      </c>
      <c r="D4" s="4" t="n">
        <f aca="false">Assumptions!$B$24</f>
        <v>0.2</v>
      </c>
      <c r="E4" s="4" t="n">
        <f aca="false">DCF_Bear!$B$43</f>
        <v>86.8543947240823</v>
      </c>
      <c r="F4" s="4" t="n">
        <f aca="false">DCF_Bear!$B$47</f>
        <v>3.27205657231453</v>
      </c>
    </row>
    <row r="5" customFormat="false" ht="15" hidden="false" customHeight="false" outlineLevel="0" collapsed="false">
      <c r="A5" s="0" t="s">
        <v>147</v>
      </c>
      <c r="B5" s="4" t="n">
        <f aca="false">DCF_Base!$B$38</f>
        <v>175.116290341564</v>
      </c>
      <c r="C5" s="0" t="n">
        <f aca="false">B5/Assumptions!$B$2-1</f>
        <v>-0.334841454242548</v>
      </c>
      <c r="D5" s="4" t="n">
        <f aca="false">Assumptions!$B$38</f>
        <v>0.5</v>
      </c>
      <c r="E5" s="4" t="n">
        <f aca="false">DCF_Base!$B$43</f>
        <v>195.295044162749</v>
      </c>
      <c r="F5" s="4" t="n">
        <f aca="false">DCF_Base!$B$47</f>
        <v>53.1948557249094</v>
      </c>
    </row>
    <row r="6" customFormat="false" ht="15" hidden="false" customHeight="false" outlineLevel="0" collapsed="false">
      <c r="A6" s="0" t="s">
        <v>148</v>
      </c>
      <c r="B6" s="4" t="n">
        <f aca="false">DCF_Bull!$B$38</f>
        <v>245.585131840901</v>
      </c>
      <c r="C6" s="0" t="n">
        <f aca="false">B6/Assumptions!$B$2-1</f>
        <v>-0.0671738829304487</v>
      </c>
      <c r="D6" s="4" t="n">
        <f aca="false">Assumptions!$B$52</f>
        <v>0.3</v>
      </c>
      <c r="E6" s="4" t="n">
        <f aca="false">DCF_Bull!$B$43</f>
        <v>269.113233560223</v>
      </c>
      <c r="F6" s="4" t="n">
        <f aca="false">DCF_Bull!$B$47</f>
        <v>86.7035106339317</v>
      </c>
    </row>
    <row r="8" customFormat="false" ht="15" hidden="false" customHeight="false" outlineLevel="0" collapsed="false">
      <c r="A8" s="0" t="s">
        <v>149</v>
      </c>
      <c r="B8" s="0" t="n">
        <f aca="false">SUMPRODUCT(B4:B6,D4:D6)</f>
        <v>175.259824796947</v>
      </c>
    </row>
    <row r="9" customFormat="false" ht="15" hidden="false" customHeight="false" outlineLevel="0" collapsed="false">
      <c r="A9" s="0" t="s">
        <v>150</v>
      </c>
      <c r="B9" s="0" t="n">
        <f aca="false">SUMPRODUCT(E4:E6,D4:D6)</f>
        <v>195.752371094258</v>
      </c>
    </row>
    <row r="10" customFormat="false" ht="15" hidden="false" customHeight="false" outlineLevel="0" collapsed="false">
      <c r="A10" s="0" t="s">
        <v>151</v>
      </c>
      <c r="B10" s="0" t="n">
        <f aca="false">1-Assumptions!$B$2/B8</f>
        <v>-0.502169708916572</v>
      </c>
    </row>
    <row r="11" customFormat="false" ht="15" hidden="false" customHeight="false" outlineLevel="0" collapsed="false">
      <c r="A11" s="0" t="s">
        <v>152</v>
      </c>
      <c r="B11" s="0" t="n">
        <f aca="false">IF(ABS(B9-B8)&gt;0.01*ABS(B8),(Assumptions!$B$2-B8)/(B9-B8)*100,"n/a")</f>
        <v>429.474082557539</v>
      </c>
    </row>
    <row r="12" customFormat="false" ht="15" hidden="false" customHeight="false" outlineLevel="0" collapsed="false">
      <c r="A12" s="0" t="s">
        <v>153</v>
      </c>
      <c r="B12" s="0" t="n">
        <f aca="false">SUMPRODUCT(F4:F6,D4:D6)</f>
        <v>53.2628923670971</v>
      </c>
    </row>
    <row r="14" customFormat="false" ht="15" hidden="false" customHeight="false" outlineLevel="0" collapsed="false">
      <c r="A14" s="2" t="s">
        <v>154</v>
      </c>
      <c r="C14" s="0" t="s">
        <v>155</v>
      </c>
    </row>
    <row r="15" customFormat="false" ht="15" hidden="false" customHeight="false" outlineLevel="0" collapsed="false">
      <c r="A15" s="0" t="s">
        <v>156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175.116290341564</v>
      </c>
      <c r="C15" s="3" t="n">
        <v>8.5</v>
      </c>
    </row>
    <row r="16" customFormat="false" ht="15" hidden="false" customHeight="false" outlineLevel="0" collapsed="false">
      <c r="A16" s="0" t="s">
        <v>157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166.433921435064</v>
      </c>
      <c r="C16" s="3" t="n">
        <v>9</v>
      </c>
    </row>
    <row r="17" customFormat="false" ht="15" hidden="false" customHeight="false" outlineLevel="0" collapsed="false">
      <c r="A17" s="0" t="s">
        <v>158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139.635504422713</v>
      </c>
      <c r="C17" s="3" t="n">
        <v>10</v>
      </c>
    </row>
    <row r="18" customFormat="false" ht="15" hidden="false" customHeight="false" outlineLevel="0" collapsed="false">
      <c r="A18" s="0" t="s">
        <v>159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114.091511495388</v>
      </c>
      <c r="C18" s="3" t="n">
        <v>11</v>
      </c>
    </row>
    <row r="19" customFormat="false" ht="15" hidden="false" customHeight="false" outlineLevel="0" collapsed="false">
      <c r="A19" s="0" t="s">
        <v>160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93.9821541471302</v>
      </c>
      <c r="C19" s="3" t="n">
        <v>12</v>
      </c>
    </row>
    <row r="20" customFormat="false" ht="15" hidden="false" customHeight="false" outlineLevel="0" collapsed="false">
      <c r="A20" s="0" t="s">
        <v>161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53.1948557249094</v>
      </c>
      <c r="C20" s="3" t="n">
        <v>15</v>
      </c>
    </row>
    <row r="22" customFormat="false" ht="15" hidden="false" customHeight="false" outlineLevel="0" collapsed="false">
      <c r="A22" s="2" t="s">
        <v>162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214.209248443013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214.209248443013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214.209248443013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214.209248443013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214.209248443013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193.743077984118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193.743077984118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193.743077984118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193.743077984118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193.743077984118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170.560718652185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175.116290341564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175.116290341564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175.116290341564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175.116290341564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138.921006955807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146.506118019274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155.174816377521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158.143548691989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158.143548691989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114.407856321598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119.88959501955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126.056551054747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133.045767894636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141.033444283081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2026-09-26T00:36:54Z</dcterms:created>
  <dc:creator>openpyxl</dc:creator>
  <dc:description/>
  <dc:language>en-NZ</dc:language>
  <cp:lastModifiedBy/>
  <dcterms:modified xsi:type="dcterms:W3CDTF">2026-09-26T00:36:54Z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