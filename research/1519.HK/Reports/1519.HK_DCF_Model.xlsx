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<sst xmlns="http://schemas.openxmlformats.org/spreadsheetml/2006/main" count="345" uniqueCount="163">
  <si>
    <t xml:space="preserve">Ticker</t>
  </si>
  <si>
    <t xml:space="preserve">1519.HK</t>
  </si>
  <si>
    <t xml:space="preserve">Company</t>
  </si>
  <si>
    <t xml:space="preserve">J&amp;T Global Express Limited</t>
  </si>
  <si>
    <t xml:space="preserve">Valuation date</t>
  </si>
  <si>
    <t xml:space="preserve">2026-10-17</t>
  </si>
  <si>
    <t xml:space="preserve">Current price</t>
  </si>
  <si>
    <t xml:space="preserve">Price as of</t>
  </si>
  <si>
    <t xml:space="preserve">2026-10-16T08:08:14Z regular close (HKEX)</t>
  </si>
  <si>
    <t xml:space="preserve">Balance sheet date</t>
  </si>
  <si>
    <t xml:space="preserve">2026-06-30</t>
  </si>
  <si>
    <t xml:space="preserve">Model</t>
  </si>
  <si>
    <t xml:space="preserve">owner_fcf_dcf_component</t>
  </si>
  <si>
    <t xml:space="preserve">Currency (model)</t>
  </si>
  <si>
    <t xml:space="preserve">USD</t>
  </si>
  <si>
    <t xml:space="preserve">Currency (quote)</t>
  </si>
  <si>
    <t xml:space="preserve">HKD</t>
  </si>
  <si>
    <t xml:space="preserve">Units</t>
  </si>
  <si>
    <t xml:space="preserve">millions</t>
  </si>
  <si>
    <t xml:space="preserve">Engine</t>
  </si>
  <si>
    <t xml:space="preserve">dcf_engine v1</t>
  </si>
  <si>
    <t xml:space="preserve">Built at</t>
  </si>
  <si>
    <t xml:space="preserve">2026-10-16T13:41:45Z</t>
  </si>
  <si>
    <t xml:space="preserve">Drivers file</t>
  </si>
  <si>
    <t xml:space="preserve">1519.HK_Drivers.json</t>
  </si>
  <si>
    <t xml:space="preserve">Convention</t>
  </si>
  <si>
    <t xml:space="preserve">Percents stored as percents; formulas divide by 100. Blue = input, green = link, black = formula.</t>
  </si>
  <si>
    <t xml:space="preserve">Methodology</t>
  </si>
  <si>
    <t xml:space="preserve">summary: A capital-intensive, volume-driven logistics operator valued on the cash it will keep after SBC, lease cash and reinvestment, not on adjusted EBITDA. Today it reinvests almost everything (FY2025 owner FCF after lease cash US$64.5m on US$12.2bn revenue), so the value is a bet on the margin and capex paths of the next decade; the model charges that uncertainty through a 25% bear weight and a USD WACC above the arithmetic build, and treats the HK$4.65bn convertible as debt, the S.F. stake as an asset at its 30-June mark, and the level-3 related-party investments at haircuts.
key_risks_to_valuation: China price competition: China is ~55% of H1 FY2026 revenue at the thinnest margin; a renewed price war takes the group margin back to the bear path.; Platform concentration: Shopee, TikTok Shop, Temu, SHEIN, Pinduoduo and Lazada can move volume to captive or rival carriers and set per-parcel pricing.; Capex guided at US$700-800m for FY2026 with lease liabilities up 38% in six months; owner FCF is near zero until intensity falls.; Balance-sheet items valued by management: Yimi Global related-party CB (US$427m, level 3, -US$53m in H1), Windfall fund (US$185m), JET Global preferred-share buy-out (US$464m).; Multi-currency EM exposure (IDR, THB, VND, PHP, BRL, RMB) against USD reporting and a USD-built WACC.; WVR structure: founder control over strategic transactions; the S.F. cross-shareholding was done at HK$10.10 against an HK$11.74 market price.</t>
  </si>
  <si>
    <t xml:space="preserve">Data sources</t>
  </si>
  <si>
    <t xml:space="preserve">price: Yahoo Finance chart API at inputs.price_as_of (HKEX regular close); 52-week range 7.54-12.20. FX: Yahoo HKD=X, 2026-10-16.
financials: research/1519.HK/Reports/1519.HK_Metrics.csv (core_metrics, USD m, FY2022-H1 FY2026); H1 FY2026 interim report (balance sheet, cash flow, notes 13, 15, 18, 21, 23, 25, 26, 27, 28) for the 30-June-2026 anchors; FY2025 annual report for the FY0 flows, lease cash and ROU depreciation.
qualitative: research/1519.HK/Reports/1519.HK_Analysis.json; H1 FY2026 interim MD&amp;A (segment volumes, market share, outlook, capex guidance per analyst summaries).</t>
  </si>
  <si>
    <t xml:space="preserve">Scenario narrative: bear</t>
  </si>
  <si>
    <t xml:space="preserve">China price war returns, platform-captive logistics claw back SEA share, New Markets need more capital, capex stays elevated; margin stalls at 9-10% and growth fades to 3%.</t>
  </si>
  <si>
    <t xml:space="preserve">Scenario narrative: base</t>
  </si>
  <si>
    <t xml:space="preserve">SEA leadership compounds (38.1% share, falling cost/parcel), China stays a rational #5 under anti-involution, Other Markets stay profitable; EBITDA margin 10% -&gt; 12.5%, capex 4.8% -&gt; 3%, owner FCF margin matures to ~5%.</t>
  </si>
  <si>
    <t xml:space="preserve">Scenario narrative: bull</t>
  </si>
  <si>
    <t xml:space="preserve">SEA playbook replicates in LatAm/Middle East, S.F. partnership opens cross-border and Europe, China pricing recovers; margin 15% by year 10 and double-digit growth through year 6.</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</si>
  <si>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</si>
  <si>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</si>
  <si>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</si>
  <si>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</si>
  <si>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</si>
  <si>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</si>
  <si>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</si>
  <si>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</si>
  <si>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</si>
  <si>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</si>
  <si>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</si>
  <si>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</si>
  <si>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</si>
  <si>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</si>
  <si>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</si>
  <si>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</si>
  <si>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</si>
  <si>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</si>
  <si>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</si>
  <si>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</si>
  <si>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</si>
  <si>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</si>
  <si>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</si>
  <si>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</si>
  <si>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</si>
  <si>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</si>
  <si>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</si>
  <si>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NetIncomeInclNCI</t>
  </si>
  <si>
    <t xml:space="preserve">ShortTermInvestments</t>
  </si>
  <si>
    <t xml:space="preserve">TotalEquityInclNCI</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</si>
  <si>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</si>
  <si>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</si>
  <si>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</si>
  <si>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</si>
  <si>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</si>
  <si>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</si>
  <si>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</si>
  <si>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</si>
  <si>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</si>
  <si>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</si>
  <si>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</si>
  <si>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</si>
  <si>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</si>
  <si>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</si>
  <si>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USD millions</t>
  </si>
  <si>
    <t xml:space="preserve">FX rate (model -&gt; quote)</t>
  </si>
  <si>
    <t xml:space="preserve">BEAR</t>
  </si>
  <si>
    <t xml:space="preserve">FY2026</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</si>
  <si>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</si>
  <si>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</si>
  <si>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</si>
  <si>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</si>
  <si>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</si>
  <si>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</si>
  <si>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</si>
  <si>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</si>
  <si>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</si>
  <si>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</si>
  <si>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</si>
  <si>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</si>
  <si>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</si>
  <si>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</si>
  <si>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</si>
  <si>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</si>
  <si>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</si>
  <si>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</si>
  <si>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</si>
  <si>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</si>
  <si>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</si>
  <si>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</si>
  <si>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</si>
  <si>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1519.HK owner-FCF component DCF: bear case (millions, USD)</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</si>
  <si>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</si>
  <si>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</si>
  <si>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</si>
  <si>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</si>
  <si>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</si>
  <si>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</si>
  <si>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</si>
  <si>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</si>
  <si>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</si>
  <si>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</si>
  <si>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</si>
  <si>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</si>
  <si>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</si>
  <si>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</si>
  <si>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</si>
  <si>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</si>
  <si>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</si>
  <si>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</si>
  <si>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</si>
  <si>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</si>
  <si>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</si>
  <si>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</si>
  <si>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</si>
  <si>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</si>
  <si>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</si>
  <si>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</si>
  <si>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</si>
  <si>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</si>
  <si>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</si>
  <si>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</si>
  <si>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1519.HK owner-FCF component DCF: base case (millions, USD)</t>
  </si>
  <si>
    <t xml:space="preserve">1519.HK owner-FCF component DCF: bull case (millions, USD)</t>
  </si>
  <si>
    <t xml:space="preserve">1519.HK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</si>
  <si>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</si>
  <si>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</si>
  <si>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</si>
  <si>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</si>
  <si>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</si>
  <si>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</si>
  <si>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</si>
  <si>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</si>
  <si>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</si>
  <si>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</si>
  <si>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</si>
  <si>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</si>
  <si>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</si>
  <si>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</si>
  <si>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t>
  </si>
  <si>
    <t xml:space="preserve">Value per share at 9.5% (WACC)</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</si>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</sst>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9.3</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16</v>
      </c>
    </row>
    <row r="10" customFormat="false" ht="15" hidden="false" customHeight="false" outlineLevel="0" collapsed="false">
      <c r="A10" s="0" t="s">
        <v>17</v>
      </c>
      <c r="B10" s="0" t="s">
        <v>18</v>
      </c>
    </row>
    <row r="11" customFormat="false" ht="15" hidden="false" customHeight="false" outlineLevel="0" collapsed="false">
      <c r="A11" s="0" t="s">
        <v>19</v>
      </c>
      <c r="B11" s="0" t="s">
        <v>20</v>
      </c>
    </row>
    <row r="12" customFormat="false" ht="15" hidden="false" customHeight="false" outlineLevel="0" collapsed="false">
      <c r="A12" s="0" t="s">
        <v>21</v>
      </c>
      <c r="B12" s="0" t="s">
        <v>22</v>
      </c>
    </row>
    <row r="13" customFormat="false" ht="15" hidden="false" customHeight="false" outlineLevel="0" collapsed="false">
      <c r="A13" s="0" t="s">
        <v>23</v>
      </c>
      <c r="B13" s="0" t="s">
        <v>24</v>
      </c>
    </row>
    <row r="14" customFormat="false" ht="15" hidden="false" customHeight="false" outlineLevel="0" collapsed="false">
      <c r="A14" s="0" t="s">
        <v>25</v>
      </c>
      <c r="B14" s="0" t="s">
        <v>26</v>
      </c>
    </row>
    <row r="15" customFormat="false" ht="23.85" hidden="false" customHeight="false" outlineLevel="0" collapsed="false">
      <c r="A15" s="0" t="s">
        <v>27</v>
      </c>
      <c r="B15" s="1" t="s">
        <v>28</v>
      </c>
    </row>
    <row r="16" customFormat="false" ht="35.05" hidden="false" customHeight="false" outlineLevel="0" collapsed="false">
      <c r="A16" s="0" t="s">
        <v>29</v>
      </c>
      <c r="B16" s="1" t="s">
        <v>30</v>
      </c>
    </row>
    <row r="17" customFormat="false" ht="15" hidden="false" customHeight="false" outlineLevel="0" collapsed="false">
      <c r="A17" s="0" t="s">
        <v>31</v>
      </c>
      <c r="B17" s="0" t="s">
        <v>32</v>
      </c>
    </row>
    <row r="18" customFormat="false" ht="15" hidden="false" customHeight="false" outlineLevel="0" collapsed="false">
      <c r="A18" s="0" t="s">
        <v>33</v>
      </c>
      <c r="B18" s="0" t="s">
        <v>34</v>
      </c>
    </row>
    <row r="19" customFormat="false" ht="15" hidden="false" customHeight="false" outlineLevel="0" collapsed="false">
      <c r="A19" s="0" t="s">
        <v>35</v>
      </c>
      <c r="B19" s="0"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E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37</v>
      </c>
      <c r="B1" s="2" t="s">
        <v>38</v>
      </c>
      <c r="C1" s="2" t="s">
        <v>39</v>
      </c>
      <c r="D1" s="2" t="s">
        <v>40</v>
      </c>
      <c r="E1" s="2" t="s">
        <v>41</v>
      </c>
      <c r="F1" s="2" t="s">
        <v>42</v>
      </c>
      <c r="G1" s="2" t="s">
        <v>43</v>
      </c>
      <c r="H1" s="2" t="s">
        <v>44</v>
      </c>
      <c r="I1" s="2" t="s">
        <v>45</v>
      </c>
      <c r="J1" s="2" t="s">
        <v>46</v>
      </c>
      <c r="K1" s="2" t="s">
        <v>47</v>
      </c>
      <c r="L1" s="2" t="s">
        <v>48</v>
      </c>
      <c r="M1" s="2" t="s">
        <v>49</v>
      </c>
      <c r="N1" s="2" t="s">
        <v>50</v>
      </c>
      <c r="O1" s="2" t="s">
        <v>51</v>
      </c>
      <c r="P1" s="2" t="s">
        <v>52</v>
      </c>
      <c r="Q1" s="2" t="s">
        <v>53</v>
      </c>
      <c r="R1" s="2" t="s">
        <v>54</v>
      </c>
      <c r="S1" s="2" t="s">
        <v>55</v>
      </c>
      <c r="T1" s="2" t="s">
        <v>56</v>
      </c>
      <c r="U1" s="2" t="s">
        <v>57</v>
      </c>
      <c r="V1" s="2" t="s">
        <v>58</v>
      </c>
      <c r="W1" s="2" t="s">
        <v>59</v>
      </c>
      <c r="X1" s="2" t="s">
        <v>60</v>
      </c>
      <c r="Y1" s="2" t="s">
        <v>61</v>
      </c>
      <c r="Z1" s="2" t="s">
        <v>62</v>
      </c>
      <c r="AA1" s="2" t="s">
        <v>17</v>
      </c>
      <c r="AB1" s="2" t="s">
        <v>63</v>
      </c>
      <c r="AC1" s="2" t="s">
        <v>64</v>
      </c>
      <c r="AD1" s="2" t="s">
        <v>65</v>
      </c>
      <c r="AE1" s="2" t="s">
        <v>66</v>
      </c>
    </row>
    <row r="2" customFormat="false" ht="15" hidden="false" customHeight="false" outlineLevel="0" collapsed="false">
      <c r="A2" s="0" t="s">
        <v>67</v>
      </c>
      <c r="B2" s="0" t="n">
        <v>7267.428</v>
      </c>
      <c r="C2" s="0" t="n">
        <v>7537.666</v>
      </c>
      <c r="D2" s="0" t="n">
        <v>-270.238</v>
      </c>
      <c r="E2" s="0" t="n">
        <v>-3.7</v>
      </c>
      <c r="F2" s="0" t="n">
        <v>-1389.565</v>
      </c>
      <c r="G2" s="0" t="n">
        <v>-19.1</v>
      </c>
      <c r="H2" s="0" t="n">
        <v>-894.09</v>
      </c>
      <c r="I2" s="0" t="n">
        <v>1656.168</v>
      </c>
      <c r="J2" s="0" t="n">
        <v>22.8</v>
      </c>
      <c r="K2" s="0" t="n">
        <v>-0.235</v>
      </c>
      <c r="L2" s="0" t="n">
        <v>-519.817</v>
      </c>
      <c r="M2" s="0" t="n">
        <v>580.677</v>
      </c>
      <c r="N2" s="0" t="n">
        <v>-1100.494</v>
      </c>
      <c r="O2" s="0" t="n">
        <v>-4847.033</v>
      </c>
      <c r="P2" s="0" t="n">
        <v>5935.559</v>
      </c>
      <c r="Q2" s="0" t="n">
        <v>10919.807</v>
      </c>
      <c r="R2" s="0" t="n">
        <v>1098.377</v>
      </c>
      <c r="S2" s="0" t="n">
        <v>1504.048</v>
      </c>
      <c r="U2" s="0" t="n">
        <v>244.104</v>
      </c>
      <c r="AA2" s="0" t="s">
        <v>18</v>
      </c>
      <c r="AB2" s="0" t="s">
        <v>14</v>
      </c>
      <c r="AC2" s="0" t="n">
        <v>1572.567</v>
      </c>
      <c r="AE2" s="0" t="n">
        <v>-4984.248</v>
      </c>
    </row>
    <row r="3" customFormat="false" ht="15" hidden="false" customHeight="false" outlineLevel="0" collapsed="false">
      <c r="A3" s="0" t="s">
        <v>68</v>
      </c>
      <c r="B3" s="0" t="n">
        <v>8849.251</v>
      </c>
      <c r="C3" s="0" t="n">
        <v>8376.453</v>
      </c>
      <c r="D3" s="0" t="n">
        <v>472.798</v>
      </c>
      <c r="E3" s="0" t="n">
        <v>5.3</v>
      </c>
      <c r="F3" s="0" t="n">
        <v>-1766.55</v>
      </c>
      <c r="G3" s="0" t="n">
        <v>-20</v>
      </c>
      <c r="H3" s="0" t="n">
        <v>146.694</v>
      </c>
      <c r="I3" s="0" t="n">
        <v>-1100.988</v>
      </c>
      <c r="J3" s="0" t="n">
        <v>-12.4</v>
      </c>
      <c r="K3" s="0" t="n">
        <v>-0.263</v>
      </c>
      <c r="L3" s="0" t="n">
        <v>341.953</v>
      </c>
      <c r="M3" s="0" t="n">
        <v>474.583</v>
      </c>
      <c r="N3" s="0" t="n">
        <v>-132.63</v>
      </c>
      <c r="O3" s="0" t="n">
        <v>2749.682</v>
      </c>
      <c r="P3" s="0" t="n">
        <v>6601.414</v>
      </c>
      <c r="Q3" s="0" t="n">
        <v>4121.815</v>
      </c>
      <c r="R3" s="0" t="n">
        <v>1282.549</v>
      </c>
      <c r="S3" s="0" t="n">
        <v>1483.198</v>
      </c>
      <c r="T3" s="0" t="n">
        <v>4179.37</v>
      </c>
      <c r="U3" s="0" t="n">
        <v>45.85</v>
      </c>
      <c r="AA3" s="0" t="s">
        <v>18</v>
      </c>
      <c r="AB3" s="0" t="s">
        <v>14</v>
      </c>
      <c r="AC3" s="0" t="n">
        <v>-1156.378</v>
      </c>
      <c r="AD3" s="0" t="n">
        <v>49.957</v>
      </c>
      <c r="AE3" s="0" t="n">
        <v>2479.599</v>
      </c>
    </row>
    <row r="4" customFormat="false" ht="15" hidden="false" customHeight="false" outlineLevel="0" collapsed="false">
      <c r="A4" s="0" t="s">
        <v>69</v>
      </c>
      <c r="B4" s="0" t="n">
        <v>10259.104</v>
      </c>
      <c r="C4" s="0" t="n">
        <v>9180.889</v>
      </c>
      <c r="D4" s="0" t="n">
        <v>1078.215</v>
      </c>
      <c r="E4" s="0" t="n">
        <v>10.5</v>
      </c>
      <c r="F4" s="0" t="n">
        <v>210.543</v>
      </c>
      <c r="G4" s="0" t="n">
        <v>2.1</v>
      </c>
      <c r="H4" s="0" t="n">
        <v>778.279</v>
      </c>
      <c r="I4" s="0" t="n">
        <v>100.559</v>
      </c>
      <c r="J4" s="0" t="n">
        <v>1</v>
      </c>
      <c r="K4" s="0" t="n">
        <v>0.006</v>
      </c>
      <c r="L4" s="0" t="n">
        <v>807.428</v>
      </c>
      <c r="M4" s="0" t="n">
        <v>554.935</v>
      </c>
      <c r="N4" s="0" t="n">
        <v>252.493</v>
      </c>
      <c r="O4" s="0" t="n">
        <v>2825.313</v>
      </c>
      <c r="P4" s="0" t="n">
        <v>7294.506</v>
      </c>
      <c r="Q4" s="0" t="n">
        <v>4771.958</v>
      </c>
      <c r="R4" s="0" t="n">
        <v>1583.192</v>
      </c>
      <c r="S4" s="0" t="n">
        <v>1596.931</v>
      </c>
      <c r="T4" s="0" t="n">
        <v>9324.886</v>
      </c>
      <c r="U4" s="0" t="n">
        <v>86.629</v>
      </c>
      <c r="AA4" s="0" t="s">
        <v>18</v>
      </c>
      <c r="AB4" s="0" t="s">
        <v>14</v>
      </c>
      <c r="AC4" s="0" t="n">
        <v>113.704</v>
      </c>
      <c r="AD4" s="0" t="n">
        <v>101.196</v>
      </c>
      <c r="AE4" s="0" t="n">
        <v>2522.548</v>
      </c>
    </row>
    <row r="5" customFormat="false" ht="15" hidden="false" customHeight="false" outlineLevel="0" collapsed="false">
      <c r="A5" s="0" t="s">
        <v>70</v>
      </c>
      <c r="B5" s="0" t="n">
        <v>12157.806</v>
      </c>
      <c r="C5" s="0" t="n">
        <v>10695.131</v>
      </c>
      <c r="D5" s="0" t="n">
        <v>1462.675</v>
      </c>
      <c r="E5" s="0" t="n">
        <v>12</v>
      </c>
      <c r="F5" s="0" t="n">
        <v>472.513</v>
      </c>
      <c r="G5" s="0" t="n">
        <v>3.9</v>
      </c>
      <c r="H5" s="0" t="n">
        <v>1049.058</v>
      </c>
      <c r="I5" s="0" t="n">
        <v>198.412</v>
      </c>
      <c r="J5" s="0" t="n">
        <v>1.6</v>
      </c>
      <c r="K5" s="0" t="n">
        <v>0.022</v>
      </c>
      <c r="L5" s="0" t="n">
        <v>1088.03</v>
      </c>
      <c r="M5" s="0" t="n">
        <v>593.63</v>
      </c>
      <c r="N5" s="0" t="n">
        <v>494.4</v>
      </c>
      <c r="O5" s="0" t="n">
        <v>3155.231</v>
      </c>
      <c r="P5" s="0" t="n">
        <v>8800.621</v>
      </c>
      <c r="Q5" s="0" t="n">
        <v>5956.453</v>
      </c>
      <c r="R5" s="0" t="n">
        <v>2408.988</v>
      </c>
      <c r="S5" s="0" t="n">
        <v>2009.499</v>
      </c>
      <c r="T5" s="0" t="n">
        <v>8840.141</v>
      </c>
      <c r="U5" s="0" t="n">
        <v>112.551</v>
      </c>
      <c r="AA5" s="0" t="s">
        <v>18</v>
      </c>
      <c r="AB5" s="0" t="s">
        <v>14</v>
      </c>
      <c r="AC5" s="0" t="n">
        <v>225.334</v>
      </c>
      <c r="AD5" s="0" t="n">
        <v>121.04</v>
      </c>
      <c r="AE5" s="0" t="n">
        <v>2844.168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71</v>
      </c>
      <c r="B1" s="2" t="s">
        <v>72</v>
      </c>
    </row>
    <row r="2" customFormat="false" ht="15" hidden="false" customHeight="false" outlineLevel="0" collapsed="false">
      <c r="A2" s="0" t="s">
        <v>73</v>
      </c>
      <c r="B2" s="3" t="n">
        <v>9.3</v>
      </c>
    </row>
    <row r="3" customFormat="false" ht="15" hidden="false" customHeight="false" outlineLevel="0" collapsed="false">
      <c r="A3" s="0" t="s">
        <v>74</v>
      </c>
      <c r="B3" s="3" t="n">
        <v>9731.7</v>
      </c>
    </row>
    <row r="4" customFormat="false" ht="15" hidden="false" customHeight="false" outlineLevel="0" collapsed="false">
      <c r="A4" s="0" t="s">
        <v>75</v>
      </c>
      <c r="B4" s="3" t="n">
        <v>554.8</v>
      </c>
    </row>
    <row r="5" customFormat="false" ht="15" hidden="false" customHeight="false" outlineLevel="0" collapsed="false">
      <c r="A5" s="0" t="s">
        <v>76</v>
      </c>
      <c r="B5" s="3" t="n">
        <v>699.5</v>
      </c>
    </row>
    <row r="6" customFormat="false" ht="15" hidden="false" customHeight="false" outlineLevel="0" collapsed="false">
      <c r="A6" s="0" t="s">
        <v>77</v>
      </c>
      <c r="B6" s="3" t="n">
        <v>15</v>
      </c>
    </row>
    <row r="7" customFormat="false" ht="15" hidden="false" customHeight="false" outlineLevel="0" collapsed="false">
      <c r="A7" s="0" t="s">
        <v>78</v>
      </c>
      <c r="B7" s="3" t="n">
        <v>12157.806</v>
      </c>
    </row>
    <row r="8" customFormat="false" ht="15" hidden="false" customHeight="false" outlineLevel="0" collapsed="false">
      <c r="A8" s="0" t="s">
        <v>79</v>
      </c>
      <c r="B8" s="3" t="s">
        <v>70</v>
      </c>
    </row>
    <row r="9" customFormat="false" ht="15" hidden="false" customHeight="false" outlineLevel="0" collapsed="false">
      <c r="A9" s="0" t="s">
        <v>80</v>
      </c>
      <c r="B9" s="3" t="s">
        <v>81</v>
      </c>
    </row>
    <row r="10" customFormat="false" ht="15" hidden="false" customHeight="false" outlineLevel="0" collapsed="false">
      <c r="A10" s="0" t="s">
        <v>82</v>
      </c>
      <c r="B10" s="3" t="n">
        <v>7.8473</v>
      </c>
    </row>
    <row r="12" customFormat="false" ht="15" hidden="false" customHeight="false" outlineLevel="0" collapsed="false">
      <c r="A12" s="2" t="s">
        <v>83</v>
      </c>
      <c r="C12" s="2" t="s">
        <v>84</v>
      </c>
      <c r="D12" s="2" t="s">
        <v>85</v>
      </c>
      <c r="E12" s="2" t="s">
        <v>86</v>
      </c>
      <c r="F12" s="2" t="s">
        <v>87</v>
      </c>
      <c r="G12" s="2" t="s">
        <v>88</v>
      </c>
      <c r="H12" s="2" t="s">
        <v>89</v>
      </c>
      <c r="I12" s="2" t="s">
        <v>90</v>
      </c>
      <c r="J12" s="2" t="s">
        <v>91</v>
      </c>
      <c r="K12" s="2" t="s">
        <v>92</v>
      </c>
      <c r="L12" s="2" t="s">
        <v>93</v>
      </c>
    </row>
    <row r="13" customFormat="false" ht="15" hidden="false" customHeight="false" outlineLevel="0" collapsed="false">
      <c r="A13" s="0" t="s">
        <v>94</v>
      </c>
      <c r="C13" s="3" t="n">
        <v>28</v>
      </c>
      <c r="D13" s="3" t="n">
        <v>12</v>
      </c>
      <c r="E13" s="3" t="n">
        <v>8</v>
      </c>
      <c r="F13" s="3" t="n">
        <v>6</v>
      </c>
      <c r="G13" s="3" t="n">
        <v>5</v>
      </c>
      <c r="H13" s="3" t="n">
        <v>4</v>
      </c>
      <c r="I13" s="3" t="n">
        <v>4</v>
      </c>
      <c r="J13" s="3" t="n">
        <v>3</v>
      </c>
      <c r="K13" s="3" t="n">
        <v>3</v>
      </c>
      <c r="L13" s="3" t="n">
        <v>3</v>
      </c>
    </row>
    <row r="14" customFormat="false" ht="15" hidden="false" customHeight="false" outlineLevel="0" collapsed="false">
      <c r="A14" s="0" t="s">
        <v>95</v>
      </c>
      <c r="C14" s="3" t="n">
        <v>9.6</v>
      </c>
      <c r="D14" s="3" t="n">
        <v>9.2</v>
      </c>
      <c r="E14" s="3" t="n">
        <v>9</v>
      </c>
      <c r="F14" s="3" t="n">
        <v>9</v>
      </c>
      <c r="G14" s="3" t="n">
        <v>9.2</v>
      </c>
      <c r="H14" s="3" t="n">
        <v>9.4</v>
      </c>
      <c r="I14" s="3" t="n">
        <v>9.6</v>
      </c>
      <c r="J14" s="3" t="n">
        <v>9.8</v>
      </c>
      <c r="K14" s="3" t="n">
        <v>10</v>
      </c>
      <c r="L14" s="3" t="n">
        <v>10</v>
      </c>
    </row>
    <row r="15" customFormat="false" ht="15" hidden="false" customHeight="false" outlineLevel="0" collapsed="false">
      <c r="A15" s="0" t="s">
        <v>96</v>
      </c>
      <c r="C15" s="3" t="n">
        <v>0.8</v>
      </c>
      <c r="D15" s="3" t="n">
        <v>0.8</v>
      </c>
      <c r="E15" s="3" t="n">
        <v>0.75</v>
      </c>
      <c r="F15" s="3" t="n">
        <v>0.7</v>
      </c>
      <c r="G15" s="3" t="n">
        <v>0.7</v>
      </c>
      <c r="H15" s="3" t="n">
        <v>0.7</v>
      </c>
      <c r="I15" s="3" t="n">
        <v>0.7</v>
      </c>
      <c r="J15" s="3" t="n">
        <v>0.7</v>
      </c>
      <c r="K15" s="3" t="n">
        <v>0.7</v>
      </c>
      <c r="L15" s="3" t="n">
        <v>0.7</v>
      </c>
    </row>
    <row r="16" customFormat="false" ht="15" hidden="false" customHeight="false" outlineLevel="0" collapsed="false">
      <c r="A16" s="0" t="s">
        <v>97</v>
      </c>
      <c r="C16" s="3" t="n">
        <v>2.2</v>
      </c>
      <c r="D16" s="3" t="n">
        <v>2.2</v>
      </c>
      <c r="E16" s="3" t="n">
        <v>2.2</v>
      </c>
      <c r="F16" s="3" t="n">
        <v>2.2</v>
      </c>
      <c r="G16" s="3" t="n">
        <v>2.2</v>
      </c>
      <c r="H16" s="3" t="n">
        <v>2.2</v>
      </c>
      <c r="I16" s="3" t="n">
        <v>2.2</v>
      </c>
      <c r="J16" s="3" t="n">
        <v>2.2</v>
      </c>
      <c r="K16" s="3" t="n">
        <v>2.2</v>
      </c>
      <c r="L16" s="3" t="n">
        <v>2.2</v>
      </c>
    </row>
    <row r="17" customFormat="false" ht="15" hidden="false" customHeight="false" outlineLevel="0" collapsed="false">
      <c r="A17" s="0" t="s">
        <v>98</v>
      </c>
      <c r="C17" s="3" t="n">
        <v>2.2</v>
      </c>
      <c r="D17" s="3" t="n">
        <v>2.3</v>
      </c>
      <c r="E17" s="3" t="n">
        <v>2.4</v>
      </c>
      <c r="F17" s="3" t="n">
        <v>2.5</v>
      </c>
      <c r="G17" s="3" t="n">
        <v>2.6</v>
      </c>
      <c r="H17" s="3" t="n">
        <v>2.7</v>
      </c>
      <c r="I17" s="3" t="n">
        <v>2.7</v>
      </c>
      <c r="J17" s="3" t="n">
        <v>2.7</v>
      </c>
      <c r="K17" s="3" t="n">
        <v>2.7</v>
      </c>
      <c r="L17" s="3" t="n">
        <v>2.7</v>
      </c>
    </row>
    <row r="18" customFormat="false" ht="15" hidden="false" customHeight="false" outlineLevel="0" collapsed="false">
      <c r="A18" s="0" t="s">
        <v>99</v>
      </c>
      <c r="C18" s="3" t="n">
        <v>4.8</v>
      </c>
      <c r="D18" s="3" t="n">
        <v>4.8</v>
      </c>
      <c r="E18" s="3" t="n">
        <v>4.6</v>
      </c>
      <c r="F18" s="3" t="n">
        <v>4.4</v>
      </c>
      <c r="G18" s="3" t="n">
        <v>4.2</v>
      </c>
      <c r="H18" s="3" t="n">
        <v>4</v>
      </c>
      <c r="I18" s="3" t="n">
        <v>3.8</v>
      </c>
      <c r="J18" s="3" t="n">
        <v>3.6</v>
      </c>
      <c r="K18" s="3" t="n">
        <v>3.5</v>
      </c>
      <c r="L18" s="3" t="n">
        <v>3.4</v>
      </c>
    </row>
    <row r="19" customFormat="false" ht="15" hidden="false" customHeight="false" outlineLevel="0" collapsed="false">
      <c r="A19" s="0" t="s">
        <v>100</v>
      </c>
      <c r="C19" s="3" t="n">
        <v>23.5</v>
      </c>
      <c r="D19" s="3" t="n">
        <v>24.5</v>
      </c>
      <c r="E19" s="3" t="n">
        <v>25.5</v>
      </c>
      <c r="F19" s="3" t="n">
        <v>26</v>
      </c>
      <c r="G19" s="3" t="n">
        <v>26</v>
      </c>
      <c r="H19" s="3" t="n">
        <v>26</v>
      </c>
      <c r="I19" s="3" t="n">
        <v>26</v>
      </c>
      <c r="J19" s="3" t="n">
        <v>26</v>
      </c>
      <c r="K19" s="3" t="n">
        <v>26</v>
      </c>
      <c r="L19" s="3" t="n">
        <v>26</v>
      </c>
    </row>
    <row r="20" customFormat="false" ht="15" hidden="false" customHeight="false" outlineLevel="0" collapsed="false">
      <c r="A20" s="0" t="s">
        <v>101</v>
      </c>
      <c r="B20" s="3" t="n">
        <v>9.5</v>
      </c>
    </row>
    <row r="21" customFormat="false" ht="15" hidden="false" customHeight="false" outlineLevel="0" collapsed="false">
      <c r="A21" s="0" t="s">
        <v>102</v>
      </c>
      <c r="B21" s="3" t="n">
        <v>2.5</v>
      </c>
    </row>
    <row r="22" customFormat="false" ht="15" hidden="false" customHeight="false" outlineLevel="0" collapsed="false">
      <c r="A22" s="0" t="s">
        <v>103</v>
      </c>
      <c r="B22" s="3" t="n">
        <v>14</v>
      </c>
    </row>
    <row r="23" customFormat="false" ht="15" hidden="false" customHeight="false" outlineLevel="0" collapsed="false">
      <c r="A23" s="0" t="s">
        <v>104</v>
      </c>
      <c r="B23" s="3" t="n">
        <v>0</v>
      </c>
    </row>
    <row r="24" customFormat="false" ht="15" hidden="false" customHeight="false" outlineLevel="0" collapsed="false">
      <c r="A24" s="0" t="s">
        <v>105</v>
      </c>
      <c r="B24" s="3" t="n">
        <v>0.25</v>
      </c>
    </row>
    <row r="26" customFormat="false" ht="15" hidden="false" customHeight="false" outlineLevel="0" collapsed="false">
      <c r="A26" s="2" t="s">
        <v>106</v>
      </c>
      <c r="C26" s="2" t="s">
        <v>84</v>
      </c>
      <c r="D26" s="2" t="s">
        <v>85</v>
      </c>
      <c r="E26" s="2" t="s">
        <v>86</v>
      </c>
      <c r="F26" s="2" t="s">
        <v>87</v>
      </c>
      <c r="G26" s="2" t="s">
        <v>88</v>
      </c>
      <c r="H26" s="2" t="s">
        <v>89</v>
      </c>
      <c r="I26" s="2" t="s">
        <v>90</v>
      </c>
      <c r="J26" s="2" t="s">
        <v>91</v>
      </c>
      <c r="K26" s="2" t="s">
        <v>92</v>
      </c>
      <c r="L26" s="2" t="s">
        <v>93</v>
      </c>
    </row>
    <row r="27" customFormat="false" ht="15" hidden="false" customHeight="false" outlineLevel="0" collapsed="false">
      <c r="A27" s="0" t="s">
        <v>94</v>
      </c>
      <c r="C27" s="3" t="n">
        <v>32</v>
      </c>
      <c r="D27" s="3" t="n">
        <v>20</v>
      </c>
      <c r="E27" s="3" t="n">
        <v>15</v>
      </c>
      <c r="F27" s="3" t="n">
        <v>12</v>
      </c>
      <c r="G27" s="3" t="n">
        <v>10</v>
      </c>
      <c r="H27" s="3" t="n">
        <v>8</v>
      </c>
      <c r="I27" s="3" t="n">
        <v>7</v>
      </c>
      <c r="J27" s="3" t="n">
        <v>6</v>
      </c>
      <c r="K27" s="3" t="n">
        <v>5</v>
      </c>
      <c r="L27" s="3" t="n">
        <v>4</v>
      </c>
    </row>
    <row r="28" customFormat="false" ht="15" hidden="false" customHeight="false" outlineLevel="0" collapsed="false">
      <c r="A28" s="0" t="s">
        <v>95</v>
      </c>
      <c r="C28" s="3" t="n">
        <v>10</v>
      </c>
      <c r="D28" s="3" t="n">
        <v>10.5</v>
      </c>
      <c r="E28" s="3" t="n">
        <v>11</v>
      </c>
      <c r="F28" s="3" t="n">
        <v>11.4</v>
      </c>
      <c r="G28" s="3" t="n">
        <v>11.7</v>
      </c>
      <c r="H28" s="3" t="n">
        <v>12</v>
      </c>
      <c r="I28" s="3" t="n">
        <v>12.2</v>
      </c>
      <c r="J28" s="3" t="n">
        <v>12.3</v>
      </c>
      <c r="K28" s="3" t="n">
        <v>12.4</v>
      </c>
      <c r="L28" s="3" t="n">
        <v>12.5</v>
      </c>
    </row>
    <row r="29" customFormat="false" ht="15" hidden="false" customHeight="false" outlineLevel="0" collapsed="false">
      <c r="A29" s="0" t="s">
        <v>96</v>
      </c>
      <c r="C29" s="3" t="n">
        <v>0.8</v>
      </c>
      <c r="D29" s="3" t="n">
        <v>0.75</v>
      </c>
      <c r="E29" s="3" t="n">
        <v>0.7</v>
      </c>
      <c r="F29" s="3" t="n">
        <v>0.65</v>
      </c>
      <c r="G29" s="3" t="n">
        <v>0.6</v>
      </c>
      <c r="H29" s="3" t="n">
        <v>0.6</v>
      </c>
      <c r="I29" s="3" t="n">
        <v>0.6</v>
      </c>
      <c r="J29" s="3" t="n">
        <v>0.6</v>
      </c>
      <c r="K29" s="3" t="n">
        <v>0.6</v>
      </c>
      <c r="L29" s="3" t="n">
        <v>0.6</v>
      </c>
    </row>
    <row r="30" customFormat="false" ht="15" hidden="false" customHeight="false" outlineLevel="0" collapsed="false">
      <c r="A30" s="0" t="s">
        <v>97</v>
      </c>
      <c r="C30" s="3" t="n">
        <v>2.1</v>
      </c>
      <c r="D30" s="3" t="n">
        <v>2.1</v>
      </c>
      <c r="E30" s="3" t="n">
        <v>2.1</v>
      </c>
      <c r="F30" s="3" t="n">
        <v>2.05</v>
      </c>
      <c r="G30" s="3" t="n">
        <v>2</v>
      </c>
      <c r="H30" s="3" t="n">
        <v>2</v>
      </c>
      <c r="I30" s="3" t="n">
        <v>2</v>
      </c>
      <c r="J30" s="3" t="n">
        <v>2</v>
      </c>
      <c r="K30" s="3" t="n">
        <v>2</v>
      </c>
      <c r="L30" s="3" t="n">
        <v>2</v>
      </c>
    </row>
    <row r="31" customFormat="false" ht="15" hidden="false" customHeight="false" outlineLevel="0" collapsed="false">
      <c r="A31" s="0" t="s">
        <v>98</v>
      </c>
      <c r="C31" s="3" t="n">
        <v>2.2</v>
      </c>
      <c r="D31" s="3" t="n">
        <v>2.3</v>
      </c>
      <c r="E31" s="3" t="n">
        <v>2.4</v>
      </c>
      <c r="F31" s="3" t="n">
        <v>2.5</v>
      </c>
      <c r="G31" s="3" t="n">
        <v>2.5</v>
      </c>
      <c r="H31" s="3" t="n">
        <v>2.6</v>
      </c>
      <c r="I31" s="3" t="n">
        <v>2.6</v>
      </c>
      <c r="J31" s="3" t="n">
        <v>2.6</v>
      </c>
      <c r="K31" s="3" t="n">
        <v>2.6</v>
      </c>
      <c r="L31" s="3" t="n">
        <v>2.6</v>
      </c>
    </row>
    <row r="32" customFormat="false" ht="15" hidden="false" customHeight="false" outlineLevel="0" collapsed="false">
      <c r="A32" s="0" t="s">
        <v>99</v>
      </c>
      <c r="C32" s="3" t="n">
        <v>4.8</v>
      </c>
      <c r="D32" s="3" t="n">
        <v>4.5</v>
      </c>
      <c r="E32" s="3" t="n">
        <v>4.2</v>
      </c>
      <c r="F32" s="3" t="n">
        <v>4</v>
      </c>
      <c r="G32" s="3" t="n">
        <v>3.8</v>
      </c>
      <c r="H32" s="3" t="n">
        <v>3.6</v>
      </c>
      <c r="I32" s="3" t="n">
        <v>3.4</v>
      </c>
      <c r="J32" s="3" t="n">
        <v>3.2</v>
      </c>
      <c r="K32" s="3" t="n">
        <v>3.1</v>
      </c>
      <c r="L32" s="3" t="n">
        <v>3</v>
      </c>
    </row>
    <row r="33" customFormat="false" ht="15" hidden="false" customHeight="false" outlineLevel="0" collapsed="false">
      <c r="A33" s="0" t="s">
        <v>100</v>
      </c>
      <c r="C33" s="3" t="n">
        <v>23.5</v>
      </c>
      <c r="D33" s="3" t="n">
        <v>24.5</v>
      </c>
      <c r="E33" s="3" t="n">
        <v>25.5</v>
      </c>
      <c r="F33" s="3" t="n">
        <v>26</v>
      </c>
      <c r="G33" s="3" t="n">
        <v>26</v>
      </c>
      <c r="H33" s="3" t="n">
        <v>26</v>
      </c>
      <c r="I33" s="3" t="n">
        <v>26</v>
      </c>
      <c r="J33" s="3" t="n">
        <v>26</v>
      </c>
      <c r="K33" s="3" t="n">
        <v>26</v>
      </c>
      <c r="L33" s="3" t="n">
        <v>26</v>
      </c>
    </row>
    <row r="34" customFormat="false" ht="15" hidden="false" customHeight="false" outlineLevel="0" collapsed="false">
      <c r="A34" s="0" t="s">
        <v>101</v>
      </c>
      <c r="B34" s="3" t="n">
        <v>9.5</v>
      </c>
    </row>
    <row r="35" customFormat="false" ht="15" hidden="false" customHeight="false" outlineLevel="0" collapsed="false">
      <c r="A35" s="0" t="s">
        <v>102</v>
      </c>
      <c r="B35" s="3" t="n">
        <v>3</v>
      </c>
    </row>
    <row r="36" customFormat="false" ht="15" hidden="false" customHeight="false" outlineLevel="0" collapsed="false">
      <c r="A36" s="0" t="s">
        <v>103</v>
      </c>
      <c r="B36" s="3" t="n">
        <v>16</v>
      </c>
    </row>
    <row r="37" customFormat="false" ht="15" hidden="false" customHeight="false" outlineLevel="0" collapsed="false">
      <c r="A37" s="0" t="s">
        <v>104</v>
      </c>
      <c r="B37" s="3" t="n">
        <v>0</v>
      </c>
    </row>
    <row r="38" customFormat="false" ht="15" hidden="false" customHeight="false" outlineLevel="0" collapsed="false">
      <c r="A38" s="0" t="s">
        <v>105</v>
      </c>
      <c r="B38" s="3" t="n">
        <v>0.5</v>
      </c>
    </row>
    <row r="40" customFormat="false" ht="15" hidden="false" customHeight="false" outlineLevel="0" collapsed="false">
      <c r="A40" s="2" t="s">
        <v>107</v>
      </c>
      <c r="C40" s="2" t="s">
        <v>84</v>
      </c>
      <c r="D40" s="2" t="s">
        <v>85</v>
      </c>
      <c r="E40" s="2" t="s">
        <v>86</v>
      </c>
      <c r="F40" s="2" t="s">
        <v>87</v>
      </c>
      <c r="G40" s="2" t="s">
        <v>88</v>
      </c>
      <c r="H40" s="2" t="s">
        <v>89</v>
      </c>
      <c r="I40" s="2" t="s">
        <v>90</v>
      </c>
      <c r="J40" s="2" t="s">
        <v>91</v>
      </c>
      <c r="K40" s="2" t="s">
        <v>92</v>
      </c>
      <c r="L40" s="2" t="s">
        <v>93</v>
      </c>
    </row>
    <row r="41" customFormat="false" ht="15" hidden="false" customHeight="false" outlineLevel="0" collapsed="false">
      <c r="A41" s="0" t="s">
        <v>94</v>
      </c>
      <c r="C41" s="3" t="n">
        <v>35</v>
      </c>
      <c r="D41" s="3" t="n">
        <v>25</v>
      </c>
      <c r="E41" s="3" t="n">
        <v>20</v>
      </c>
      <c r="F41" s="3" t="n">
        <v>16</v>
      </c>
      <c r="G41" s="3" t="n">
        <v>13</v>
      </c>
      <c r="H41" s="3" t="n">
        <v>10</v>
      </c>
      <c r="I41" s="3" t="n">
        <v>8</v>
      </c>
      <c r="J41" s="3" t="n">
        <v>7</v>
      </c>
      <c r="K41" s="3" t="n">
        <v>6</v>
      </c>
      <c r="L41" s="3" t="n">
        <v>5</v>
      </c>
    </row>
    <row r="42" customFormat="false" ht="15" hidden="false" customHeight="false" outlineLevel="0" collapsed="false">
      <c r="A42" s="0" t="s">
        <v>95</v>
      </c>
      <c r="C42" s="3" t="n">
        <v>10.3</v>
      </c>
      <c r="D42" s="3" t="n">
        <v>11.2</v>
      </c>
      <c r="E42" s="3" t="n">
        <v>12</v>
      </c>
      <c r="F42" s="3" t="n">
        <v>12.7</v>
      </c>
      <c r="G42" s="3" t="n">
        <v>13.3</v>
      </c>
      <c r="H42" s="3" t="n">
        <v>13.8</v>
      </c>
      <c r="I42" s="3" t="n">
        <v>14.2</v>
      </c>
      <c r="J42" s="3" t="n">
        <v>14.5</v>
      </c>
      <c r="K42" s="3" t="n">
        <v>14.7</v>
      </c>
      <c r="L42" s="3" t="n">
        <v>15</v>
      </c>
    </row>
    <row r="43" customFormat="false" ht="15" hidden="false" customHeight="false" outlineLevel="0" collapsed="false">
      <c r="A43" s="0" t="s">
        <v>96</v>
      </c>
      <c r="C43" s="3" t="n">
        <v>0.8</v>
      </c>
      <c r="D43" s="3" t="n">
        <v>0.75</v>
      </c>
      <c r="E43" s="3" t="n">
        <v>0.7</v>
      </c>
      <c r="F43" s="3" t="n">
        <v>0.65</v>
      </c>
      <c r="G43" s="3" t="n">
        <v>0.6</v>
      </c>
      <c r="H43" s="3" t="n">
        <v>0.6</v>
      </c>
      <c r="I43" s="3" t="n">
        <v>0.6</v>
      </c>
      <c r="J43" s="3" t="n">
        <v>0.6</v>
      </c>
      <c r="K43" s="3" t="n">
        <v>0.6</v>
      </c>
      <c r="L43" s="3" t="n">
        <v>0.6</v>
      </c>
    </row>
    <row r="44" customFormat="false" ht="15" hidden="false" customHeight="false" outlineLevel="0" collapsed="false">
      <c r="A44" s="0" t="s">
        <v>97</v>
      </c>
      <c r="C44" s="3" t="n">
        <v>2.1</v>
      </c>
      <c r="D44" s="3" t="n">
        <v>2.1</v>
      </c>
      <c r="E44" s="3" t="n">
        <v>2.05</v>
      </c>
      <c r="F44" s="3" t="n">
        <v>2</v>
      </c>
      <c r="G44" s="3" t="n">
        <v>2</v>
      </c>
      <c r="H44" s="3" t="n">
        <v>1.9</v>
      </c>
      <c r="I44" s="3" t="n">
        <v>1.9</v>
      </c>
      <c r="J44" s="3" t="n">
        <v>1.9</v>
      </c>
      <c r="K44" s="3" t="n">
        <v>1.9</v>
      </c>
      <c r="L44" s="3" t="n">
        <v>1.9</v>
      </c>
    </row>
    <row r="45" customFormat="false" ht="15" hidden="false" customHeight="false" outlineLevel="0" collapsed="false">
      <c r="A45" s="0" t="s">
        <v>98</v>
      </c>
      <c r="C45" s="3" t="n">
        <v>2.2</v>
      </c>
      <c r="D45" s="3" t="n">
        <v>2.3</v>
      </c>
      <c r="E45" s="3" t="n">
        <v>2.4</v>
      </c>
      <c r="F45" s="3" t="n">
        <v>2.5</v>
      </c>
      <c r="G45" s="3" t="n">
        <v>2.5</v>
      </c>
      <c r="H45" s="3" t="n">
        <v>2.6</v>
      </c>
      <c r="I45" s="3" t="n">
        <v>2.6</v>
      </c>
      <c r="J45" s="3" t="n">
        <v>2.6</v>
      </c>
      <c r="K45" s="3" t="n">
        <v>2.6</v>
      </c>
      <c r="L45" s="3" t="n">
        <v>2.6</v>
      </c>
    </row>
    <row r="46" customFormat="false" ht="15" hidden="false" customHeight="false" outlineLevel="0" collapsed="false">
      <c r="A46" s="0" t="s">
        <v>99</v>
      </c>
      <c r="C46" s="3" t="n">
        <v>4.8</v>
      </c>
      <c r="D46" s="3" t="n">
        <v>4.4</v>
      </c>
      <c r="E46" s="3" t="n">
        <v>4</v>
      </c>
      <c r="F46" s="3" t="n">
        <v>3.7</v>
      </c>
      <c r="G46" s="3" t="n">
        <v>3.5</v>
      </c>
      <c r="H46" s="3" t="n">
        <v>3.3</v>
      </c>
      <c r="I46" s="3" t="n">
        <v>3.2</v>
      </c>
      <c r="J46" s="3" t="n">
        <v>3.1</v>
      </c>
      <c r="K46" s="3" t="n">
        <v>3</v>
      </c>
      <c r="L46" s="3" t="n">
        <v>3</v>
      </c>
    </row>
    <row r="47" customFormat="false" ht="15" hidden="false" customHeight="false" outlineLevel="0" collapsed="false">
      <c r="A47" s="0" t="s">
        <v>100</v>
      </c>
      <c r="C47" s="3" t="n">
        <v>23.5</v>
      </c>
      <c r="D47" s="3" t="n">
        <v>24.5</v>
      </c>
      <c r="E47" s="3" t="n">
        <v>25.5</v>
      </c>
      <c r="F47" s="3" t="n">
        <v>26</v>
      </c>
      <c r="G47" s="3" t="n">
        <v>26</v>
      </c>
      <c r="H47" s="3" t="n">
        <v>26</v>
      </c>
      <c r="I47" s="3" t="n">
        <v>26</v>
      </c>
      <c r="J47" s="3" t="n">
        <v>26</v>
      </c>
      <c r="K47" s="3" t="n">
        <v>26</v>
      </c>
      <c r="L47" s="3" t="n">
        <v>26</v>
      </c>
    </row>
    <row r="48" customFormat="false" ht="15" hidden="false" customHeight="false" outlineLevel="0" collapsed="false">
      <c r="A48" s="0" t="s">
        <v>101</v>
      </c>
      <c r="B48" s="3" t="n">
        <v>9.5</v>
      </c>
    </row>
    <row r="49" customFormat="false" ht="15" hidden="false" customHeight="false" outlineLevel="0" collapsed="false">
      <c r="A49" s="0" t="s">
        <v>102</v>
      </c>
      <c r="B49" s="3" t="n">
        <v>3.5</v>
      </c>
    </row>
    <row r="50" customFormat="false" ht="15" hidden="false" customHeight="false" outlineLevel="0" collapsed="false">
      <c r="A50" s="0" t="s">
        <v>103</v>
      </c>
      <c r="B50" s="3" t="n">
        <v>16</v>
      </c>
    </row>
    <row r="51" customFormat="false" ht="15" hidden="false" customHeight="false" outlineLevel="0" collapsed="false">
      <c r="A51" s="0" t="s">
        <v>104</v>
      </c>
      <c r="B51" s="3" t="n">
        <v>0</v>
      </c>
    </row>
    <row r="52" customFormat="false" ht="15" hidden="false" customHeight="false" outlineLevel="0" collapsed="false">
      <c r="A52" s="0" t="s">
        <v>105</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108</v>
      </c>
    </row>
    <row r="3" customFormat="false" ht="15" hidden="false" customHeight="false" outlineLevel="0" collapsed="false">
      <c r="A3" s="0" t="s">
        <v>109</v>
      </c>
      <c r="B3" s="0" t="s">
        <v>70</v>
      </c>
      <c r="C3" s="2" t="s">
        <v>84</v>
      </c>
      <c r="D3" s="2" t="s">
        <v>85</v>
      </c>
      <c r="E3" s="2" t="s">
        <v>86</v>
      </c>
      <c r="F3" s="2" t="s">
        <v>87</v>
      </c>
      <c r="G3" s="2" t="s">
        <v>88</v>
      </c>
      <c r="H3" s="2" t="s">
        <v>89</v>
      </c>
      <c r="I3" s="2" t="s">
        <v>90</v>
      </c>
      <c r="J3" s="2" t="s">
        <v>91</v>
      </c>
      <c r="K3" s="2" t="s">
        <v>92</v>
      </c>
      <c r="L3" s="2" t="s">
        <v>93</v>
      </c>
    </row>
    <row r="4" customFormat="false" ht="15" hidden="false" customHeight="false" outlineLevel="0" collapsed="false">
      <c r="A4" s="0" t="s">
        <v>110</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94</v>
      </c>
      <c r="C5" s="4" t="n">
        <f aca="false">Assumptions!C13</f>
        <v>28</v>
      </c>
      <c r="D5" s="4" t="n">
        <f aca="false">Assumptions!D13</f>
        <v>12</v>
      </c>
      <c r="E5" s="4" t="n">
        <f aca="false">Assumptions!E13</f>
        <v>8</v>
      </c>
      <c r="F5" s="4" t="n">
        <f aca="false">Assumptions!F13</f>
        <v>6</v>
      </c>
      <c r="G5" s="4" t="n">
        <f aca="false">Assumptions!G13</f>
        <v>5</v>
      </c>
      <c r="H5" s="4" t="n">
        <f aca="false">Assumptions!H13</f>
        <v>4</v>
      </c>
      <c r="I5" s="4" t="n">
        <f aca="false">Assumptions!I13</f>
        <v>4</v>
      </c>
      <c r="J5" s="4" t="n">
        <f aca="false">Assumptions!J13</f>
        <v>3</v>
      </c>
      <c r="K5" s="4" t="n">
        <f aca="false">Assumptions!K13</f>
        <v>3</v>
      </c>
      <c r="L5" s="4" t="n">
        <f aca="false">Assumptions!L13</f>
        <v>3</v>
      </c>
    </row>
    <row r="6" customFormat="false" ht="15" hidden="false" customHeight="false" outlineLevel="0" collapsed="false">
      <c r="A6" s="0" t="s">
        <v>38</v>
      </c>
      <c r="B6" s="3" t="n">
        <v>12157.806</v>
      </c>
      <c r="C6" s="0" t="n">
        <f aca="false">B6*(1+C5/100)</f>
        <v>15561.99168</v>
      </c>
      <c r="D6" s="0" t="n">
        <f aca="false">C6*(1+D5/100)</f>
        <v>17429.4306816</v>
      </c>
      <c r="E6" s="0" t="n">
        <f aca="false">D6*(1+E5/100)</f>
        <v>18823.785136128</v>
      </c>
      <c r="F6" s="0" t="n">
        <f aca="false">E6*(1+F5/100)</f>
        <v>19953.2122442957</v>
      </c>
      <c r="G6" s="0" t="n">
        <f aca="false">F6*(1+G5/100)</f>
        <v>20950.8728565105</v>
      </c>
      <c r="H6" s="0" t="n">
        <f aca="false">G6*(1+H5/100)</f>
        <v>21788.9077707709</v>
      </c>
      <c r="I6" s="0" t="n">
        <f aca="false">H6*(1+I5/100)</f>
        <v>22660.4640816017</v>
      </c>
      <c r="J6" s="0" t="n">
        <f aca="false">I6*(1+J5/100)</f>
        <v>23340.2780040498</v>
      </c>
      <c r="K6" s="0" t="n">
        <f aca="false">J6*(1+K5/100)</f>
        <v>24040.4863441713</v>
      </c>
      <c r="L6" s="0" t="n">
        <f aca="false">K6*(1+L5/100)</f>
        <v>24761.7009344964</v>
      </c>
    </row>
    <row r="7" customFormat="false" ht="15" hidden="false" customHeight="false" outlineLevel="0" collapsed="false">
      <c r="A7" s="0" t="s">
        <v>95</v>
      </c>
      <c r="C7" s="4" t="n">
        <f aca="false">Assumptions!C14</f>
        <v>9.6</v>
      </c>
      <c r="D7" s="4" t="n">
        <f aca="false">Assumptions!D14</f>
        <v>9.2</v>
      </c>
      <c r="E7" s="4" t="n">
        <f aca="false">Assumptions!E14</f>
        <v>9</v>
      </c>
      <c r="F7" s="4" t="n">
        <f aca="false">Assumptions!F14</f>
        <v>9</v>
      </c>
      <c r="G7" s="4" t="n">
        <f aca="false">Assumptions!G14</f>
        <v>9.2</v>
      </c>
      <c r="H7" s="4" t="n">
        <f aca="false">Assumptions!H14</f>
        <v>9.4</v>
      </c>
      <c r="I7" s="4" t="n">
        <f aca="false">Assumptions!I14</f>
        <v>9.6</v>
      </c>
      <c r="J7" s="4" t="n">
        <f aca="false">Assumptions!J14</f>
        <v>9.8</v>
      </c>
      <c r="K7" s="4" t="n">
        <f aca="false">Assumptions!K14</f>
        <v>10</v>
      </c>
      <c r="L7" s="4" t="n">
        <f aca="false">Assumptions!L14</f>
        <v>10</v>
      </c>
    </row>
    <row r="8" customFormat="false" ht="15" hidden="false" customHeight="false" outlineLevel="0" collapsed="false">
      <c r="A8" s="0" t="s">
        <v>44</v>
      </c>
      <c r="C8" s="0" t="n">
        <f aca="false">C6*C7/100</f>
        <v>1493.95120128</v>
      </c>
      <c r="D8" s="0" t="n">
        <f aca="false">D6*D7/100</f>
        <v>1603.5076227072</v>
      </c>
      <c r="E8" s="0" t="n">
        <f aca="false">E6*E7/100</f>
        <v>1694.14066225152</v>
      </c>
      <c r="F8" s="0" t="n">
        <f aca="false">F6*F7/100</f>
        <v>1795.78910198661</v>
      </c>
      <c r="G8" s="0" t="n">
        <f aca="false">G6*G7/100</f>
        <v>1927.48030279896</v>
      </c>
      <c r="H8" s="0" t="n">
        <f aca="false">H6*H7/100</f>
        <v>2048.15733045246</v>
      </c>
      <c r="I8" s="0" t="n">
        <f aca="false">I6*I7/100</f>
        <v>2175.40455183377</v>
      </c>
      <c r="J8" s="0" t="n">
        <f aca="false">J6*J7/100</f>
        <v>2287.34724439688</v>
      </c>
      <c r="K8" s="0" t="n">
        <f aca="false">K6*K7/100</f>
        <v>2404.04863441713</v>
      </c>
      <c r="L8" s="0" t="n">
        <f aca="false">L6*L7/100</f>
        <v>2476.17009344964</v>
      </c>
    </row>
    <row r="9" customFormat="false" ht="15" hidden="false" customHeight="false" outlineLevel="0" collapsed="false">
      <c r="A9" s="0" t="s">
        <v>96</v>
      </c>
      <c r="C9" s="4" t="n">
        <f aca="false">Assumptions!C15</f>
        <v>0.8</v>
      </c>
      <c r="D9" s="4" t="n">
        <f aca="false">Assumptions!D15</f>
        <v>0.8</v>
      </c>
      <c r="E9" s="4" t="n">
        <f aca="false">Assumptions!E15</f>
        <v>0.75</v>
      </c>
      <c r="F9" s="4" t="n">
        <f aca="false">Assumptions!F15</f>
        <v>0.7</v>
      </c>
      <c r="G9" s="4" t="n">
        <f aca="false">Assumptions!G15</f>
        <v>0.7</v>
      </c>
      <c r="H9" s="4" t="n">
        <f aca="false">Assumptions!H15</f>
        <v>0.7</v>
      </c>
      <c r="I9" s="4" t="n">
        <f aca="false">Assumptions!I15</f>
        <v>0.7</v>
      </c>
      <c r="J9" s="4" t="n">
        <f aca="false">Assumptions!J15</f>
        <v>0.7</v>
      </c>
      <c r="K9" s="4" t="n">
        <f aca="false">Assumptions!K15</f>
        <v>0.7</v>
      </c>
      <c r="L9" s="4" t="n">
        <f aca="false">Assumptions!L15</f>
        <v>0.7</v>
      </c>
    </row>
    <row r="10" customFormat="false" ht="15" hidden="false" customHeight="false" outlineLevel="0" collapsed="false">
      <c r="A10" s="0" t="s">
        <v>111</v>
      </c>
      <c r="C10" s="0" t="n">
        <f aca="false">-C6*C9/100</f>
        <v>-124.49593344</v>
      </c>
      <c r="D10" s="0" t="n">
        <f aca="false">-D6*D9/100</f>
        <v>-139.4354454528</v>
      </c>
      <c r="E10" s="0" t="n">
        <f aca="false">-E6*E9/100</f>
        <v>-141.17838852096</v>
      </c>
      <c r="F10" s="0" t="n">
        <f aca="false">-F6*F9/100</f>
        <v>-139.67248571007</v>
      </c>
      <c r="G10" s="0" t="n">
        <f aca="false">-G6*G9/100</f>
        <v>-146.656109995573</v>
      </c>
      <c r="H10" s="0" t="n">
        <f aca="false">-H6*H9/100</f>
        <v>-152.522354395396</v>
      </c>
      <c r="I10" s="0" t="n">
        <f aca="false">-I6*I9/100</f>
        <v>-158.623248571212</v>
      </c>
      <c r="J10" s="0" t="n">
        <f aca="false">-J6*J9/100</f>
        <v>-163.381946028348</v>
      </c>
      <c r="K10" s="0" t="n">
        <f aca="false">-K6*K9/100</f>
        <v>-168.283404409199</v>
      </c>
      <c r="L10" s="0" t="n">
        <f aca="false">-L6*L9/100</f>
        <v>-173.331906541475</v>
      </c>
    </row>
    <row r="11" customFormat="false" ht="15" hidden="false" customHeight="false" outlineLevel="0" collapsed="false">
      <c r="A11" s="0" t="s">
        <v>112</v>
      </c>
      <c r="C11" s="0" t="n">
        <f aca="false">C8+C10+C24</f>
        <v>1027.09145088</v>
      </c>
      <c r="D11" s="0" t="n">
        <f aca="false">D8+D10+D24</f>
        <v>1080.6247022592</v>
      </c>
      <c r="E11" s="0" t="n">
        <f aca="false">E8+E10+E24</f>
        <v>1138.83900073574</v>
      </c>
      <c r="F11" s="0" t="n">
        <f aca="false">F8+F10+F24</f>
        <v>1217.14594690204</v>
      </c>
      <c r="G11" s="0" t="n">
        <f aca="false">G8+G10+G24</f>
        <v>1319.90498996016</v>
      </c>
      <c r="H11" s="0" t="n">
        <f aca="false">H8+H10+H24</f>
        <v>1416.27900510011</v>
      </c>
      <c r="I11" s="0" t="n">
        <f aca="false">I8+I10+I24</f>
        <v>1518.25109346732</v>
      </c>
      <c r="J11" s="0" t="n">
        <f aca="false">J8+J10+J24</f>
        <v>1610.47918227944</v>
      </c>
      <c r="K11" s="0" t="n">
        <f aca="false">K8+K10+K24</f>
        <v>1706.87453043616</v>
      </c>
      <c r="L11" s="0" t="n">
        <f aca="false">L8+L10+L24</f>
        <v>1758.08076634925</v>
      </c>
    </row>
    <row r="12" customFormat="false" ht="15" hidden="false" customHeight="false" outlineLevel="0" collapsed="false">
      <c r="A12" s="0" t="s">
        <v>113</v>
      </c>
      <c r="C12" s="4" t="n">
        <f aca="false">-C6*Assumptions!C17/100</f>
        <v>-342.36381696</v>
      </c>
      <c r="D12" s="4" t="n">
        <f aca="false">-D6*Assumptions!D17/100</f>
        <v>-400.8769056768</v>
      </c>
      <c r="E12" s="4" t="n">
        <f aca="false">-E6*Assumptions!E17/100</f>
        <v>-451.770843267072</v>
      </c>
      <c r="F12" s="4" t="n">
        <f aca="false">-F6*Assumptions!F17/100</f>
        <v>-498.830306107392</v>
      </c>
      <c r="G12" s="4" t="n">
        <f aca="false">-G6*Assumptions!G17/100</f>
        <v>-544.722694269272</v>
      </c>
      <c r="H12" s="4" t="n">
        <f aca="false">-H6*Assumptions!H17/100</f>
        <v>-588.300509810814</v>
      </c>
      <c r="I12" s="4" t="n">
        <f aca="false">-I6*Assumptions!I17/100</f>
        <v>-611.832530203247</v>
      </c>
      <c r="J12" s="4" t="n">
        <f aca="false">-J6*Assumptions!J17/100</f>
        <v>-630.187506109344</v>
      </c>
      <c r="K12" s="4" t="n">
        <f aca="false">-K6*Assumptions!K17/100</f>
        <v>-649.093131292625</v>
      </c>
      <c r="L12" s="4" t="n">
        <f aca="false">-L6*Assumptions!L17/100</f>
        <v>-668.565925231403</v>
      </c>
    </row>
    <row r="13" customFormat="false" ht="15" hidden="false" customHeight="false" outlineLevel="0" collapsed="false">
      <c r="A13" s="0" t="s">
        <v>114</v>
      </c>
      <c r="C13" s="0" t="n">
        <f aca="false">C11+C12</f>
        <v>684.72763392</v>
      </c>
      <c r="D13" s="0" t="n">
        <f aca="false">D11+D12</f>
        <v>679.7477965824</v>
      </c>
      <c r="E13" s="0" t="n">
        <f aca="false">E11+E12</f>
        <v>687.068157468672</v>
      </c>
      <c r="F13" s="0" t="n">
        <f aca="false">F11+F12</f>
        <v>718.315640794645</v>
      </c>
      <c r="G13" s="0" t="n">
        <f aca="false">G11+G12</f>
        <v>775.182295690887</v>
      </c>
      <c r="H13" s="0" t="n">
        <f aca="false">H11+H12</f>
        <v>827.978495289294</v>
      </c>
      <c r="I13" s="0" t="n">
        <f aca="false">I11+I12</f>
        <v>906.418563264069</v>
      </c>
      <c r="J13" s="0" t="n">
        <f aca="false">J11+J12</f>
        <v>980.291676170091</v>
      </c>
      <c r="K13" s="0" t="n">
        <f aca="false">K11+K12</f>
        <v>1057.78139914354</v>
      </c>
      <c r="L13" s="0" t="n">
        <f aca="false">L11+L12</f>
        <v>1089.51484111784</v>
      </c>
    </row>
    <row r="14" customFormat="false" ht="15" hidden="false" customHeight="false" outlineLevel="0" collapsed="false">
      <c r="A14" s="0" t="s">
        <v>100</v>
      </c>
      <c r="C14" s="4" t="n">
        <f aca="false">Assumptions!C19</f>
        <v>23.5</v>
      </c>
      <c r="D14" s="4" t="n">
        <f aca="false">Assumptions!D19</f>
        <v>24.5</v>
      </c>
      <c r="E14" s="4" t="n">
        <f aca="false">Assumptions!E19</f>
        <v>25.5</v>
      </c>
      <c r="F14" s="4" t="n">
        <f aca="false">Assumptions!F19</f>
        <v>26</v>
      </c>
      <c r="G14" s="4" t="n">
        <f aca="false">Assumptions!G19</f>
        <v>26</v>
      </c>
      <c r="H14" s="4" t="n">
        <f aca="false">Assumptions!H19</f>
        <v>26</v>
      </c>
      <c r="I14" s="4" t="n">
        <f aca="false">Assumptions!I19</f>
        <v>26</v>
      </c>
      <c r="J14" s="4" t="n">
        <f aca="false">Assumptions!J19</f>
        <v>26</v>
      </c>
      <c r="K14" s="4" t="n">
        <f aca="false">Assumptions!K19</f>
        <v>26</v>
      </c>
      <c r="L14" s="4" t="n">
        <f aca="false">Assumptions!L19</f>
        <v>26</v>
      </c>
    </row>
    <row r="15" customFormat="false" ht="15" hidden="false" customHeight="false" outlineLevel="0" collapsed="false">
      <c r="A15" s="0" t="s">
        <v>115</v>
      </c>
      <c r="C15" s="0" t="n">
        <f aca="false">C13-MAX(0,C13)*C14/100</f>
        <v>523.8166399488</v>
      </c>
      <c r="D15" s="0" t="n">
        <f aca="false">D13-MAX(0,D13)*D14/100</f>
        <v>513.209586419712</v>
      </c>
      <c r="E15" s="0" t="n">
        <f aca="false">E13-MAX(0,E13)*E14/100</f>
        <v>511.865777314161</v>
      </c>
      <c r="F15" s="0" t="n">
        <f aca="false">F13-MAX(0,F13)*F14/100</f>
        <v>531.553574188037</v>
      </c>
      <c r="G15" s="0" t="n">
        <f aca="false">G13-MAX(0,G13)*G14/100</f>
        <v>573.634898811257</v>
      </c>
      <c r="H15" s="0" t="n">
        <f aca="false">H13-MAX(0,H13)*H14/100</f>
        <v>612.704086514078</v>
      </c>
      <c r="I15" s="0" t="n">
        <f aca="false">I13-MAX(0,I13)*I14/100</f>
        <v>670.749736815411</v>
      </c>
      <c r="J15" s="0" t="n">
        <f aca="false">J13-MAX(0,J13)*J14/100</f>
        <v>725.415840365867</v>
      </c>
      <c r="K15" s="0" t="n">
        <f aca="false">K13-MAX(0,K13)*K14/100</f>
        <v>782.758235366217</v>
      </c>
      <c r="L15" s="0" t="n">
        <f aca="false">L13-MAX(0,L13)*L14/100</f>
        <v>806.240982427203</v>
      </c>
    </row>
    <row r="16" customFormat="false" ht="15" hidden="false" customHeight="false" outlineLevel="0" collapsed="false">
      <c r="A16" s="0" t="s">
        <v>116</v>
      </c>
      <c r="C16" s="0" t="n">
        <f aca="false">-C12</f>
        <v>342.36381696</v>
      </c>
      <c r="D16" s="0" t="n">
        <f aca="false">-D12</f>
        <v>400.8769056768</v>
      </c>
      <c r="E16" s="0" t="n">
        <f aca="false">-E12</f>
        <v>451.770843267072</v>
      </c>
      <c r="F16" s="0" t="n">
        <f aca="false">-F12</f>
        <v>498.830306107392</v>
      </c>
      <c r="G16" s="0" t="n">
        <f aca="false">-G12</f>
        <v>544.722694269272</v>
      </c>
      <c r="H16" s="0" t="n">
        <f aca="false">-H12</f>
        <v>588.300509810814</v>
      </c>
      <c r="I16" s="0" t="n">
        <f aca="false">-I12</f>
        <v>611.832530203247</v>
      </c>
      <c r="J16" s="0" t="n">
        <f aca="false">-J12</f>
        <v>630.187506109344</v>
      </c>
      <c r="K16" s="0" t="n">
        <f aca="false">-K12</f>
        <v>649.093131292625</v>
      </c>
      <c r="L16" s="0" t="n">
        <f aca="false">-L12</f>
        <v>668.565925231403</v>
      </c>
    </row>
    <row r="17" customFormat="false" ht="15" hidden="false" customHeight="false" outlineLevel="0" collapsed="false">
      <c r="A17" s="0" t="s">
        <v>117</v>
      </c>
      <c r="C17" s="4" t="n">
        <f aca="false">-C6*Assumptions!C18/100</f>
        <v>-746.97560064</v>
      </c>
      <c r="D17" s="4" t="n">
        <f aca="false">-D6*Assumptions!D18/100</f>
        <v>-836.6126727168</v>
      </c>
      <c r="E17" s="4" t="n">
        <f aca="false">-E6*Assumptions!E18/100</f>
        <v>-865.894116261888</v>
      </c>
      <c r="F17" s="4" t="n">
        <f aca="false">-F6*Assumptions!F18/100</f>
        <v>-877.94133874901</v>
      </c>
      <c r="G17" s="4" t="n">
        <f aca="false">-G6*Assumptions!G18/100</f>
        <v>-879.93665997344</v>
      </c>
      <c r="H17" s="4" t="n">
        <f aca="false">-H6*Assumptions!H18/100</f>
        <v>-871.556310830836</v>
      </c>
      <c r="I17" s="4" t="n">
        <f aca="false">-I6*Assumptions!I18/100</f>
        <v>-861.097635100866</v>
      </c>
      <c r="J17" s="4" t="n">
        <f aca="false">-J6*Assumptions!J18/100</f>
        <v>-840.250008145792</v>
      </c>
      <c r="K17" s="4" t="n">
        <f aca="false">-K6*Assumptions!K18/100</f>
        <v>-841.417022045995</v>
      </c>
      <c r="L17" s="4" t="n">
        <f aca="false">-L6*Assumptions!L18/100</f>
        <v>-841.897831772878</v>
      </c>
    </row>
    <row r="18" customFormat="false" ht="15" hidden="false" customHeight="false" outlineLevel="0" collapsed="false">
      <c r="A18" s="0" t="s">
        <v>118</v>
      </c>
      <c r="C18" s="4" t="n">
        <f aca="false">(C6-B6)*Assumptions!$B$23/100</f>
        <v>0</v>
      </c>
      <c r="D18" s="4" t="n">
        <f aca="false">(D6-C6)*Assumptions!$B$23/100</f>
        <v>0</v>
      </c>
      <c r="E18" s="4" t="n">
        <f aca="false">(E6-D6)*Assumptions!$B$23/100</f>
        <v>0</v>
      </c>
      <c r="F18" s="4" t="n">
        <f aca="false">(F6-E6)*Assumptions!$B$23/100</f>
        <v>0</v>
      </c>
      <c r="G18" s="4" t="n">
        <f aca="false">(G6-F6)*Assumptions!$B$23/100</f>
        <v>0</v>
      </c>
      <c r="H18" s="4" t="n">
        <f aca="false">(H6-G6)*Assumptions!$B$23/100</f>
        <v>0</v>
      </c>
      <c r="I18" s="4" t="n">
        <f aca="false">(I6-H6)*Assumptions!$B$23/100</f>
        <v>0</v>
      </c>
      <c r="J18" s="4" t="n">
        <f aca="false">(J6-I6)*Assumptions!$B$23/100</f>
        <v>0</v>
      </c>
      <c r="K18" s="4" t="n">
        <f aca="false">(K6-J6)*Assumptions!$B$23/100</f>
        <v>0</v>
      </c>
      <c r="L18" s="4" t="n">
        <f aca="false">(L6-K6)*Assumptions!$B$23/100</f>
        <v>0</v>
      </c>
    </row>
    <row r="19" customFormat="false" ht="15" hidden="false" customHeight="false" outlineLevel="0" collapsed="false">
      <c r="A19" s="0" t="s">
        <v>119</v>
      </c>
      <c r="C19" s="0" t="n">
        <f aca="false">C15+C16+C17+C18</f>
        <v>119.2048562688</v>
      </c>
      <c r="D19" s="0" t="n">
        <f aca="false">D15+D16+D17+D18</f>
        <v>77.4738193797118</v>
      </c>
      <c r="E19" s="0" t="n">
        <f aca="false">E15+E16+E17+E18</f>
        <v>97.7425043193448</v>
      </c>
      <c r="F19" s="0" t="n">
        <f aca="false">F15+F16+F17+F18</f>
        <v>152.442541546419</v>
      </c>
      <c r="G19" s="0" t="n">
        <f aca="false">G15+G16+G17+G18</f>
        <v>238.420933107089</v>
      </c>
      <c r="H19" s="0" t="n">
        <f aca="false">H15+H16+H17+H18</f>
        <v>329.448285494056</v>
      </c>
      <c r="I19" s="0" t="n">
        <f aca="false">I15+I16+I17+I18</f>
        <v>421.484631917792</v>
      </c>
      <c r="J19" s="0" t="n">
        <f aca="false">J15+J16+J17+J18</f>
        <v>515.353338329419</v>
      </c>
      <c r="K19" s="0" t="n">
        <f aca="false">K15+K16+K17+K18</f>
        <v>590.434344612847</v>
      </c>
      <c r="L19" s="0" t="n">
        <f aca="false">L15+L16+L17+L18</f>
        <v>632.909075885729</v>
      </c>
    </row>
    <row r="20" customFormat="false" ht="15" hidden="false" customHeight="false" outlineLevel="0" collapsed="false">
      <c r="A20" s="0" t="s">
        <v>120</v>
      </c>
      <c r="C20" s="0" t="n">
        <f aca="false">1/(1+$B$27/100)^C4</f>
        <v>0.91324200913242</v>
      </c>
      <c r="D20" s="0" t="n">
        <f aca="false">1/(1+$B$27/100)^D4</f>
        <v>0.834010967244219</v>
      </c>
      <c r="E20" s="0" t="n">
        <f aca="false">1/(1+$B$27/100)^E4</f>
        <v>0.761653851364584</v>
      </c>
      <c r="F20" s="0" t="n">
        <f aca="false">1/(1+$B$27/100)^F4</f>
        <v>0.695574293483638</v>
      </c>
      <c r="G20" s="0" t="n">
        <f aca="false">1/(1+$B$27/100)^G4</f>
        <v>0.635227665281862</v>
      </c>
      <c r="H20" s="0" t="n">
        <f aca="false">1/(1+$B$27/100)^H4</f>
        <v>0.580116589298504</v>
      </c>
      <c r="I20" s="0" t="n">
        <f aca="false">1/(1+$B$27/100)^I4</f>
        <v>0.529786839542012</v>
      </c>
      <c r="J20" s="0" t="n">
        <f aca="false">1/(1+$B$27/100)^J4</f>
        <v>0.483823597755263</v>
      </c>
      <c r="K20" s="0" t="n">
        <f aca="false">1/(1+$B$27/100)^K4</f>
        <v>0.441848034479692</v>
      </c>
      <c r="L20" s="0" t="n">
        <f aca="false">1/(1+$B$27/100)^L4</f>
        <v>0.403514186739445</v>
      </c>
    </row>
    <row r="21" customFormat="false" ht="15" hidden="false" customHeight="false" outlineLevel="0" collapsed="false">
      <c r="A21" s="0" t="s">
        <v>121</v>
      </c>
      <c r="C21" s="0" t="n">
        <f aca="false">C19*C20</f>
        <v>108.86288243726</v>
      </c>
      <c r="D21" s="0" t="n">
        <f aca="false">D19*D20</f>
        <v>64.6140150369774</v>
      </c>
      <c r="E21" s="0" t="n">
        <f aca="false">E19*E20</f>
        <v>74.4459548568484</v>
      </c>
      <c r="F21" s="0" t="n">
        <f aca="false">F19*F20</f>
        <v>106.035113133</v>
      </c>
      <c r="G21" s="0" t="n">
        <f aca="false">G19*G20</f>
        <v>151.451572691939</v>
      </c>
      <c r="H21" s="0" t="n">
        <f aca="false">H19*H20</f>
        <v>191.118415731051</v>
      </c>
      <c r="I21" s="0" t="n">
        <f aca="false">I19*I20</f>
        <v>223.297011059256</v>
      </c>
      <c r="J21" s="0" t="n">
        <f aca="false">J19*J20</f>
        <v>249.340106265725</v>
      </c>
      <c r="K21" s="0" t="n">
        <f aca="false">K19*K20</f>
        <v>260.882254656491</v>
      </c>
      <c r="L21" s="0" t="n">
        <f aca="false">L19*L20</f>
        <v>255.387791036043</v>
      </c>
    </row>
    <row r="23" customFormat="false" ht="15" hidden="false" customHeight="false" outlineLevel="0" collapsed="false">
      <c r="A23" s="0" t="s">
        <v>97</v>
      </c>
      <c r="C23" s="4" t="n">
        <f aca="false">Assumptions!C16</f>
        <v>2.2</v>
      </c>
      <c r="D23" s="4" t="n">
        <f aca="false">Assumptions!D16</f>
        <v>2.2</v>
      </c>
      <c r="E23" s="4" t="n">
        <f aca="false">Assumptions!E16</f>
        <v>2.2</v>
      </c>
      <c r="F23" s="4" t="n">
        <f aca="false">Assumptions!F16</f>
        <v>2.2</v>
      </c>
      <c r="G23" s="4" t="n">
        <f aca="false">Assumptions!G16</f>
        <v>2.2</v>
      </c>
      <c r="H23" s="4" t="n">
        <f aca="false">Assumptions!H16</f>
        <v>2.2</v>
      </c>
      <c r="I23" s="4" t="n">
        <f aca="false">Assumptions!I16</f>
        <v>2.2</v>
      </c>
      <c r="J23" s="4" t="n">
        <f aca="false">Assumptions!J16</f>
        <v>2.2</v>
      </c>
      <c r="K23" s="4" t="n">
        <f aca="false">Assumptions!K16</f>
        <v>2.2</v>
      </c>
      <c r="L23" s="4" t="n">
        <f aca="false">Assumptions!L16</f>
        <v>2.2</v>
      </c>
    </row>
    <row r="24" customFormat="false" ht="15" hidden="false" customHeight="false" outlineLevel="0" collapsed="false">
      <c r="A24" s="0" t="s">
        <v>122</v>
      </c>
      <c r="C24" s="0" t="n">
        <f aca="false">-C6*C23/100</f>
        <v>-342.36381696</v>
      </c>
      <c r="D24" s="0" t="n">
        <f aca="false">-D6*D23/100</f>
        <v>-383.4474749952</v>
      </c>
      <c r="E24" s="0" t="n">
        <f aca="false">-E6*E23/100</f>
        <v>-414.123272994816</v>
      </c>
      <c r="F24" s="0" t="n">
        <f aca="false">-F6*F23/100</f>
        <v>-438.970669374505</v>
      </c>
      <c r="G24" s="0" t="n">
        <f aca="false">-G6*G23/100</f>
        <v>-460.91920284323</v>
      </c>
      <c r="H24" s="0" t="n">
        <f aca="false">-H6*H23/100</f>
        <v>-479.35597095696</v>
      </c>
      <c r="I24" s="0" t="n">
        <f aca="false">-I6*I23/100</f>
        <v>-498.530209795238</v>
      </c>
      <c r="J24" s="0" t="n">
        <f aca="false">-J6*J23/100</f>
        <v>-513.486116089095</v>
      </c>
      <c r="K24" s="0" t="n">
        <f aca="false">-K6*K23/100</f>
        <v>-528.890699571768</v>
      </c>
      <c r="L24" s="0" t="n">
        <f aca="false">-L6*L23/100</f>
        <v>-544.757420558921</v>
      </c>
    </row>
    <row r="26" customFormat="false" ht="15" hidden="false" customHeight="false" outlineLevel="0" collapsed="false">
      <c r="A26" s="2" t="s">
        <v>123</v>
      </c>
    </row>
    <row r="27" customFormat="false" ht="15" hidden="false" customHeight="false" outlineLevel="0" collapsed="false">
      <c r="A27" s="0" t="s">
        <v>101</v>
      </c>
      <c r="B27" s="4" t="n">
        <f aca="false">Assumptions!$B$20</f>
        <v>9.5</v>
      </c>
    </row>
    <row r="28" customFormat="false" ht="15" hidden="false" customHeight="false" outlineLevel="0" collapsed="false">
      <c r="A28" s="0" t="s">
        <v>102</v>
      </c>
      <c r="B28" s="4" t="n">
        <f aca="false">Assumptions!$B$21</f>
        <v>2.5</v>
      </c>
    </row>
    <row r="29" customFormat="false" ht="15" hidden="false" customHeight="false" outlineLevel="0" collapsed="false">
      <c r="A29" s="0" t="s">
        <v>103</v>
      </c>
      <c r="B29" s="4" t="n">
        <f aca="false">Assumptions!$B$22</f>
        <v>14</v>
      </c>
    </row>
    <row r="30" customFormat="false" ht="15" hidden="false" customHeight="false" outlineLevel="0" collapsed="false">
      <c r="A30" s="0" t="s">
        <v>124</v>
      </c>
      <c r="B30" s="0" t="n">
        <f aca="false">SUM(C21:L21)</f>
        <v>1685.43511690459</v>
      </c>
    </row>
    <row r="31" customFormat="false" ht="15" hidden="false" customHeight="false" outlineLevel="0" collapsed="false">
      <c r="A31" s="0" t="s">
        <v>125</v>
      </c>
      <c r="B31" s="0" t="n">
        <f aca="false">L19</f>
        <v>632.909075885729</v>
      </c>
    </row>
    <row r="32" customFormat="false" ht="15" hidden="false" customHeight="false" outlineLevel="0" collapsed="false">
      <c r="A32" s="0" t="s">
        <v>126</v>
      </c>
      <c r="B32" s="0" t="n">
        <f aca="false">IF(B27&gt;B28,B31*(1+B28/100)/((B27-B28)/100),B31*B29)</f>
        <v>9267.59718261245</v>
      </c>
    </row>
    <row r="33" customFormat="false" ht="15" hidden="false" customHeight="false" outlineLevel="0" collapsed="false">
      <c r="A33" s="0" t="s">
        <v>127</v>
      </c>
      <c r="B33" s="0" t="n">
        <f aca="false">B31*B29</f>
        <v>8860.7270624002</v>
      </c>
    </row>
    <row r="34" customFormat="false" ht="15" hidden="false" customHeight="false" outlineLevel="0" collapsed="false">
      <c r="A34" s="0" t="s">
        <v>128</v>
      </c>
      <c r="B34" s="0" t="n">
        <f aca="false">MAX(0,MIN(B32,B33))</f>
        <v>8860.7270624002</v>
      </c>
    </row>
    <row r="35" customFormat="false" ht="15" hidden="false" customHeight="false" outlineLevel="0" collapsed="false">
      <c r="A35" s="0" t="s">
        <v>129</v>
      </c>
      <c r="B35" s="0" t="n">
        <f aca="false">B34/(1+B27/100)^L4</f>
        <v>3575.4290745046</v>
      </c>
    </row>
    <row r="36" customFormat="false" ht="15" hidden="false" customHeight="false" outlineLevel="0" collapsed="false">
      <c r="A36" s="0" t="s">
        <v>130</v>
      </c>
      <c r="B36" s="0" t="n">
        <f aca="false">B30+B35</f>
        <v>5260.8641914092</v>
      </c>
    </row>
    <row r="37" customFormat="false" ht="15" hidden="false" customHeight="false" outlineLevel="0" collapsed="false">
      <c r="A37" s="0" t="s">
        <v>131</v>
      </c>
      <c r="B37" s="0" t="n">
        <f aca="false">B36+Assumptions!$B$5-Assumptions!$B$4</f>
        <v>5405.5641914092</v>
      </c>
    </row>
    <row r="38" customFormat="false" ht="15" hidden="false" customHeight="false" outlineLevel="0" collapsed="false">
      <c r="A38" s="0" t="s">
        <v>132</v>
      </c>
      <c r="B38" s="0" t="n">
        <f aca="false">B37/Assumptions!$B$3*Assumptions!$B$10</f>
        <v>4.35885650803512</v>
      </c>
    </row>
    <row r="39" customFormat="false" ht="15" hidden="false" customHeight="false" outlineLevel="0" collapsed="false">
      <c r="A39" s="0" t="s">
        <v>133</v>
      </c>
      <c r="B39" s="4" t="n">
        <f aca="false">B38/Assumptions!$B$2-1</f>
        <v>-0.531305751824181</v>
      </c>
    </row>
    <row r="41" customFormat="false" ht="15" hidden="false" customHeight="false" outlineLevel="0" collapsed="false">
      <c r="A41" s="0" t="s">
        <v>134</v>
      </c>
      <c r="B41" s="0" t="n">
        <f aca="false">SUMPRODUCT(-C10:L10/(1+$B$27/100)^C4:L4)</f>
        <v>923.6901526545</v>
      </c>
    </row>
    <row r="42" customFormat="false" ht="15" hidden="false" customHeight="false" outlineLevel="0" collapsed="false">
      <c r="A42" s="0" t="s">
        <v>135</v>
      </c>
      <c r="B42" s="0" t="n">
        <f aca="false">IF(B27&gt;B28,-L10*(1+B28/100)/((B27-B28)/100),-L10*20)/(1+B27/100)^L4</f>
        <v>1024.14900552404</v>
      </c>
    </row>
    <row r="43" customFormat="false" ht="15" hidden="false" customHeight="false" outlineLevel="0" collapsed="false">
      <c r="A43" s="0" t="s">
        <v>136</v>
      </c>
      <c r="B43" s="0" t="n">
        <f aca="false">(B37+B41+B42)/Assumptions!$B$3*Assumptions!$B$10</f>
        <v>5.92952537636999</v>
      </c>
    </row>
    <row r="45" customFormat="false" ht="15" hidden="false" customHeight="false" outlineLevel="0" collapsed="false">
      <c r="A45" s="0" t="s">
        <v>77</v>
      </c>
      <c r="B45" s="4" t="n">
        <f aca="false">Assumptions!$B$6</f>
        <v>15</v>
      </c>
    </row>
    <row r="46" customFormat="false" ht="15" hidden="false" customHeight="false" outlineLevel="0" collapsed="false">
      <c r="A46" s="0" t="s">
        <v>137</v>
      </c>
      <c r="B46" s="0" t="n">
        <f aca="false">MAX(0,MIN(IF(B45&gt;B28,B31*(1+B28/100)/((B45-B28)/100),B31*B29),B31*B29))</f>
        <v>5189.85442226297</v>
      </c>
    </row>
    <row r="47" customFormat="false" ht="15" hidden="false" customHeight="false" outlineLevel="0" collapsed="false">
      <c r="A47" s="0" t="s">
        <v>138</v>
      </c>
      <c r="B47" s="0" t="n">
        <f aca="false">(SUMPRODUCT(C19:L19/(1+B45/100)^C4:L4)+B46/(1+B45/100)^L4+Assumptions!$B$5-Assumptions!$B$4)/Assumptions!$B$3*Assumptions!$B$10</f>
        <v>2.13959975878062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139</v>
      </c>
    </row>
    <row r="3" customFormat="false" ht="15" hidden="false" customHeight="false" outlineLevel="0" collapsed="false">
      <c r="A3" s="0" t="s">
        <v>109</v>
      </c>
      <c r="B3" s="0" t="s">
        <v>70</v>
      </c>
      <c r="C3" s="2" t="s">
        <v>84</v>
      </c>
      <c r="D3" s="2" t="s">
        <v>85</v>
      </c>
      <c r="E3" s="2" t="s">
        <v>86</v>
      </c>
      <c r="F3" s="2" t="s">
        <v>87</v>
      </c>
      <c r="G3" s="2" t="s">
        <v>88</v>
      </c>
      <c r="H3" s="2" t="s">
        <v>89</v>
      </c>
      <c r="I3" s="2" t="s">
        <v>90</v>
      </c>
      <c r="J3" s="2" t="s">
        <v>91</v>
      </c>
      <c r="K3" s="2" t="s">
        <v>92</v>
      </c>
      <c r="L3" s="2" t="s">
        <v>93</v>
      </c>
    </row>
    <row r="4" customFormat="false" ht="15" hidden="false" customHeight="false" outlineLevel="0" collapsed="false">
      <c r="A4" s="0" t="s">
        <v>110</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94</v>
      </c>
      <c r="C5" s="4" t="n">
        <f aca="false">Assumptions!C27</f>
        <v>32</v>
      </c>
      <c r="D5" s="4" t="n">
        <f aca="false">Assumptions!D27</f>
        <v>20</v>
      </c>
      <c r="E5" s="4" t="n">
        <f aca="false">Assumptions!E27</f>
        <v>15</v>
      </c>
      <c r="F5" s="4" t="n">
        <f aca="false">Assumptions!F27</f>
        <v>12</v>
      </c>
      <c r="G5" s="4" t="n">
        <f aca="false">Assumptions!G27</f>
        <v>10</v>
      </c>
      <c r="H5" s="4" t="n">
        <f aca="false">Assumptions!H27</f>
        <v>8</v>
      </c>
      <c r="I5" s="4" t="n">
        <f aca="false">Assumptions!I27</f>
        <v>7</v>
      </c>
      <c r="J5" s="4" t="n">
        <f aca="false">Assumptions!J27</f>
        <v>6</v>
      </c>
      <c r="K5" s="4" t="n">
        <f aca="false">Assumptions!K27</f>
        <v>5</v>
      </c>
      <c r="L5" s="4" t="n">
        <f aca="false">Assumptions!L27</f>
        <v>4</v>
      </c>
    </row>
    <row r="6" customFormat="false" ht="15" hidden="false" customHeight="false" outlineLevel="0" collapsed="false">
      <c r="A6" s="0" t="s">
        <v>38</v>
      </c>
      <c r="B6" s="3" t="n">
        <v>12157.806</v>
      </c>
      <c r="C6" s="0" t="n">
        <f aca="false">B6*(1+C5/100)</f>
        <v>16048.30392</v>
      </c>
      <c r="D6" s="0" t="n">
        <f aca="false">C6*(1+D5/100)</f>
        <v>19257.964704</v>
      </c>
      <c r="E6" s="0" t="n">
        <f aca="false">D6*(1+E5/100)</f>
        <v>22146.6594096</v>
      </c>
      <c r="F6" s="0" t="n">
        <f aca="false">E6*(1+F5/100)</f>
        <v>24804.258538752</v>
      </c>
      <c r="G6" s="0" t="n">
        <f aca="false">F6*(1+G5/100)</f>
        <v>27284.6843926272</v>
      </c>
      <c r="H6" s="0" t="n">
        <f aca="false">G6*(1+H5/100)</f>
        <v>29467.4591440374</v>
      </c>
      <c r="I6" s="0" t="n">
        <f aca="false">H6*(1+I5/100)</f>
        <v>31530.18128412</v>
      </c>
      <c r="J6" s="0" t="n">
        <f aca="false">I6*(1+J5/100)</f>
        <v>33421.9921611672</v>
      </c>
      <c r="K6" s="0" t="n">
        <f aca="false">J6*(1+K5/100)</f>
        <v>35093.0917692256</v>
      </c>
      <c r="L6" s="0" t="n">
        <f aca="false">K6*(1+L5/100)</f>
        <v>36496.8154399946</v>
      </c>
    </row>
    <row r="7" customFormat="false" ht="15" hidden="false" customHeight="false" outlineLevel="0" collapsed="false">
      <c r="A7" s="0" t="s">
        <v>95</v>
      </c>
      <c r="C7" s="4" t="n">
        <f aca="false">Assumptions!C28</f>
        <v>10</v>
      </c>
      <c r="D7" s="4" t="n">
        <f aca="false">Assumptions!D28</f>
        <v>10.5</v>
      </c>
      <c r="E7" s="4" t="n">
        <f aca="false">Assumptions!E28</f>
        <v>11</v>
      </c>
      <c r="F7" s="4" t="n">
        <f aca="false">Assumptions!F28</f>
        <v>11.4</v>
      </c>
      <c r="G7" s="4" t="n">
        <f aca="false">Assumptions!G28</f>
        <v>11.7</v>
      </c>
      <c r="H7" s="4" t="n">
        <f aca="false">Assumptions!H28</f>
        <v>12</v>
      </c>
      <c r="I7" s="4" t="n">
        <f aca="false">Assumptions!I28</f>
        <v>12.2</v>
      </c>
      <c r="J7" s="4" t="n">
        <f aca="false">Assumptions!J28</f>
        <v>12.3</v>
      </c>
      <c r="K7" s="4" t="n">
        <f aca="false">Assumptions!K28</f>
        <v>12.4</v>
      </c>
      <c r="L7" s="4" t="n">
        <f aca="false">Assumptions!L28</f>
        <v>12.5</v>
      </c>
    </row>
    <row r="8" customFormat="false" ht="15" hidden="false" customHeight="false" outlineLevel="0" collapsed="false">
      <c r="A8" s="0" t="s">
        <v>44</v>
      </c>
      <c r="C8" s="0" t="n">
        <f aca="false">C6*C7/100</f>
        <v>1604.830392</v>
      </c>
      <c r="D8" s="0" t="n">
        <f aca="false">D6*D7/100</f>
        <v>2022.08629392</v>
      </c>
      <c r="E8" s="0" t="n">
        <f aca="false">E6*E7/100</f>
        <v>2436.132535056</v>
      </c>
      <c r="F8" s="0" t="n">
        <f aca="false">F6*F7/100</f>
        <v>2827.68547341773</v>
      </c>
      <c r="G8" s="0" t="n">
        <f aca="false">G6*G7/100</f>
        <v>3192.30807393738</v>
      </c>
      <c r="H8" s="0" t="n">
        <f aca="false">H6*H7/100</f>
        <v>3536.09509728449</v>
      </c>
      <c r="I8" s="0" t="n">
        <f aca="false">I6*I7/100</f>
        <v>3846.68211666264</v>
      </c>
      <c r="J8" s="0" t="n">
        <f aca="false">J6*J7/100</f>
        <v>4110.90503582357</v>
      </c>
      <c r="K8" s="0" t="n">
        <f aca="false">K6*K7/100</f>
        <v>4351.54337938397</v>
      </c>
      <c r="L8" s="0" t="n">
        <f aca="false">L6*L7/100</f>
        <v>4562.10192999933</v>
      </c>
    </row>
    <row r="9" customFormat="false" ht="15" hidden="false" customHeight="false" outlineLevel="0" collapsed="false">
      <c r="A9" s="0" t="s">
        <v>96</v>
      </c>
      <c r="C9" s="4" t="n">
        <f aca="false">Assumptions!C29</f>
        <v>0.8</v>
      </c>
      <c r="D9" s="4" t="n">
        <f aca="false">Assumptions!D29</f>
        <v>0.75</v>
      </c>
      <c r="E9" s="4" t="n">
        <f aca="false">Assumptions!E29</f>
        <v>0.7</v>
      </c>
      <c r="F9" s="4" t="n">
        <f aca="false">Assumptions!F29</f>
        <v>0.65</v>
      </c>
      <c r="G9" s="4" t="n">
        <f aca="false">Assumptions!G29</f>
        <v>0.6</v>
      </c>
      <c r="H9" s="4" t="n">
        <f aca="false">Assumptions!H29</f>
        <v>0.6</v>
      </c>
      <c r="I9" s="4" t="n">
        <f aca="false">Assumptions!I29</f>
        <v>0.6</v>
      </c>
      <c r="J9" s="4" t="n">
        <f aca="false">Assumptions!J29</f>
        <v>0.6</v>
      </c>
      <c r="K9" s="4" t="n">
        <f aca="false">Assumptions!K29</f>
        <v>0.6</v>
      </c>
      <c r="L9" s="4" t="n">
        <f aca="false">Assumptions!L29</f>
        <v>0.6</v>
      </c>
    </row>
    <row r="10" customFormat="false" ht="15" hidden="false" customHeight="false" outlineLevel="0" collapsed="false">
      <c r="A10" s="0" t="s">
        <v>111</v>
      </c>
      <c r="C10" s="0" t="n">
        <f aca="false">-C6*C9/100</f>
        <v>-128.38643136</v>
      </c>
      <c r="D10" s="0" t="n">
        <f aca="false">-D6*D9/100</f>
        <v>-144.43473528</v>
      </c>
      <c r="E10" s="0" t="n">
        <f aca="false">-E6*E9/100</f>
        <v>-155.0266158672</v>
      </c>
      <c r="F10" s="0" t="n">
        <f aca="false">-F6*F9/100</f>
        <v>-161.227680501888</v>
      </c>
      <c r="G10" s="0" t="n">
        <f aca="false">-G6*G9/100</f>
        <v>-163.708106355763</v>
      </c>
      <c r="H10" s="0" t="n">
        <f aca="false">-H6*H9/100</f>
        <v>-176.804754864224</v>
      </c>
      <c r="I10" s="0" t="n">
        <f aca="false">-I6*I9/100</f>
        <v>-189.18108770472</v>
      </c>
      <c r="J10" s="0" t="n">
        <f aca="false">-J6*J9/100</f>
        <v>-200.531952967003</v>
      </c>
      <c r="K10" s="0" t="n">
        <f aca="false">-K6*K9/100</f>
        <v>-210.558550615353</v>
      </c>
      <c r="L10" s="0" t="n">
        <f aca="false">-L6*L9/100</f>
        <v>-218.980892639968</v>
      </c>
    </row>
    <row r="11" customFormat="false" ht="15" hidden="false" customHeight="false" outlineLevel="0" collapsed="false">
      <c r="A11" s="0" t="s">
        <v>112</v>
      </c>
      <c r="C11" s="0" t="n">
        <f aca="false">C8+C10+C24</f>
        <v>1139.42957832</v>
      </c>
      <c r="D11" s="0" t="n">
        <f aca="false">D8+D10+D24</f>
        <v>1473.234299856</v>
      </c>
      <c r="E11" s="0" t="n">
        <f aca="false">E8+E10+E24</f>
        <v>1816.0260715872</v>
      </c>
      <c r="F11" s="0" t="n">
        <f aca="false">F8+F10+F24</f>
        <v>2157.97049287142</v>
      </c>
      <c r="G11" s="0" t="n">
        <f aca="false">G8+G10+G24</f>
        <v>2482.90627972908</v>
      </c>
      <c r="H11" s="0" t="n">
        <f aca="false">H8+H10+H24</f>
        <v>2769.94115953951</v>
      </c>
      <c r="I11" s="0" t="n">
        <f aca="false">I8+I10+I24</f>
        <v>3026.89740327552</v>
      </c>
      <c r="J11" s="0" t="n">
        <f aca="false">J8+J10+J24</f>
        <v>3241.93323963322</v>
      </c>
      <c r="K11" s="0" t="n">
        <f aca="false">K8+K10+K24</f>
        <v>3439.12299338411</v>
      </c>
      <c r="L11" s="0" t="n">
        <f aca="false">L8+L10+L24</f>
        <v>3613.18472855947</v>
      </c>
    </row>
    <row r="12" customFormat="false" ht="15" hidden="false" customHeight="false" outlineLevel="0" collapsed="false">
      <c r="A12" s="0" t="s">
        <v>113</v>
      </c>
      <c r="C12" s="4" t="n">
        <f aca="false">-C6*Assumptions!C31/100</f>
        <v>-353.06268624</v>
      </c>
      <c r="D12" s="4" t="n">
        <f aca="false">-D6*Assumptions!D31/100</f>
        <v>-442.933188192</v>
      </c>
      <c r="E12" s="4" t="n">
        <f aca="false">-E6*Assumptions!E31/100</f>
        <v>-531.5198258304</v>
      </c>
      <c r="F12" s="4" t="n">
        <f aca="false">-F6*Assumptions!F31/100</f>
        <v>-620.1064634688</v>
      </c>
      <c r="G12" s="4" t="n">
        <f aca="false">-G6*Assumptions!G31/100</f>
        <v>-682.11710981568</v>
      </c>
      <c r="H12" s="4" t="n">
        <f aca="false">-H6*Assumptions!H31/100</f>
        <v>-766.153937744972</v>
      </c>
      <c r="I12" s="4" t="n">
        <f aca="false">-I6*Assumptions!I31/100</f>
        <v>-819.78471338712</v>
      </c>
      <c r="J12" s="4" t="n">
        <f aca="false">-J6*Assumptions!J31/100</f>
        <v>-868.971796190348</v>
      </c>
      <c r="K12" s="4" t="n">
        <f aca="false">-K6*Assumptions!K31/100</f>
        <v>-912.420385999865</v>
      </c>
      <c r="L12" s="4" t="n">
        <f aca="false">-L6*Assumptions!L31/100</f>
        <v>-948.91720143986</v>
      </c>
    </row>
    <row r="13" customFormat="false" ht="15" hidden="false" customHeight="false" outlineLevel="0" collapsed="false">
      <c r="A13" s="0" t="s">
        <v>114</v>
      </c>
      <c r="C13" s="0" t="n">
        <f aca="false">C11+C12</f>
        <v>786.36689208</v>
      </c>
      <c r="D13" s="0" t="n">
        <f aca="false">D11+D12</f>
        <v>1030.301111664</v>
      </c>
      <c r="E13" s="0" t="n">
        <f aca="false">E11+E12</f>
        <v>1284.5062457568</v>
      </c>
      <c r="F13" s="0" t="n">
        <f aca="false">F11+F12</f>
        <v>1537.86402940262</v>
      </c>
      <c r="G13" s="0" t="n">
        <f aca="false">G11+G12</f>
        <v>1800.7891699134</v>
      </c>
      <c r="H13" s="0" t="n">
        <f aca="false">H11+H12</f>
        <v>2003.78722179454</v>
      </c>
      <c r="I13" s="0" t="n">
        <f aca="false">I11+I12</f>
        <v>2207.1126898884</v>
      </c>
      <c r="J13" s="0" t="n">
        <f aca="false">J11+J12</f>
        <v>2372.96144344287</v>
      </c>
      <c r="K13" s="0" t="n">
        <f aca="false">K11+K12</f>
        <v>2526.70260738424</v>
      </c>
      <c r="L13" s="0" t="n">
        <f aca="false">L11+L12</f>
        <v>2664.26752711961</v>
      </c>
    </row>
    <row r="14" customFormat="false" ht="15" hidden="false" customHeight="false" outlineLevel="0" collapsed="false">
      <c r="A14" s="0" t="s">
        <v>100</v>
      </c>
      <c r="C14" s="4" t="n">
        <f aca="false">Assumptions!C33</f>
        <v>23.5</v>
      </c>
      <c r="D14" s="4" t="n">
        <f aca="false">Assumptions!D33</f>
        <v>24.5</v>
      </c>
      <c r="E14" s="4" t="n">
        <f aca="false">Assumptions!E33</f>
        <v>25.5</v>
      </c>
      <c r="F14" s="4" t="n">
        <f aca="false">Assumptions!F33</f>
        <v>26</v>
      </c>
      <c r="G14" s="4" t="n">
        <f aca="false">Assumptions!G33</f>
        <v>26</v>
      </c>
      <c r="H14" s="4" t="n">
        <f aca="false">Assumptions!H33</f>
        <v>26</v>
      </c>
      <c r="I14" s="4" t="n">
        <f aca="false">Assumptions!I33</f>
        <v>26</v>
      </c>
      <c r="J14" s="4" t="n">
        <f aca="false">Assumptions!J33</f>
        <v>26</v>
      </c>
      <c r="K14" s="4" t="n">
        <f aca="false">Assumptions!K33</f>
        <v>26</v>
      </c>
      <c r="L14" s="4" t="n">
        <f aca="false">Assumptions!L33</f>
        <v>26</v>
      </c>
    </row>
    <row r="15" customFormat="false" ht="15" hidden="false" customHeight="false" outlineLevel="0" collapsed="false">
      <c r="A15" s="0" t="s">
        <v>115</v>
      </c>
      <c r="C15" s="0" t="n">
        <f aca="false">C13-MAX(0,C13)*C14/100</f>
        <v>601.5706724412</v>
      </c>
      <c r="D15" s="0" t="n">
        <f aca="false">D13-MAX(0,D13)*D14/100</f>
        <v>777.87733930632</v>
      </c>
      <c r="E15" s="0" t="n">
        <f aca="false">E13-MAX(0,E13)*E14/100</f>
        <v>956.957153088816</v>
      </c>
      <c r="F15" s="0" t="n">
        <f aca="false">F13-MAX(0,F13)*F14/100</f>
        <v>1138.01938175794</v>
      </c>
      <c r="G15" s="0" t="n">
        <f aca="false">G13-MAX(0,G13)*G14/100</f>
        <v>1332.58398573591</v>
      </c>
      <c r="H15" s="0" t="n">
        <f aca="false">H13-MAX(0,H13)*H14/100</f>
        <v>1482.80254412796</v>
      </c>
      <c r="I15" s="0" t="n">
        <f aca="false">I13-MAX(0,I13)*I14/100</f>
        <v>1633.26339051742</v>
      </c>
      <c r="J15" s="0" t="n">
        <f aca="false">J13-MAX(0,J13)*J14/100</f>
        <v>1755.99146814773</v>
      </c>
      <c r="K15" s="0" t="n">
        <f aca="false">K13-MAX(0,K13)*K14/100</f>
        <v>1869.75992946434</v>
      </c>
      <c r="L15" s="0" t="n">
        <f aca="false">L13-MAX(0,L13)*L14/100</f>
        <v>1971.55797006851</v>
      </c>
    </row>
    <row r="16" customFormat="false" ht="15" hidden="false" customHeight="false" outlineLevel="0" collapsed="false">
      <c r="A16" s="0" t="s">
        <v>116</v>
      </c>
      <c r="C16" s="0" t="n">
        <f aca="false">-C12</f>
        <v>353.06268624</v>
      </c>
      <c r="D16" s="0" t="n">
        <f aca="false">-D12</f>
        <v>442.933188192</v>
      </c>
      <c r="E16" s="0" t="n">
        <f aca="false">-E12</f>
        <v>531.5198258304</v>
      </c>
      <c r="F16" s="0" t="n">
        <f aca="false">-F12</f>
        <v>620.1064634688</v>
      </c>
      <c r="G16" s="0" t="n">
        <f aca="false">-G12</f>
        <v>682.11710981568</v>
      </c>
      <c r="H16" s="0" t="n">
        <f aca="false">-H12</f>
        <v>766.153937744972</v>
      </c>
      <c r="I16" s="0" t="n">
        <f aca="false">-I12</f>
        <v>819.78471338712</v>
      </c>
      <c r="J16" s="0" t="n">
        <f aca="false">-J12</f>
        <v>868.971796190348</v>
      </c>
      <c r="K16" s="0" t="n">
        <f aca="false">-K12</f>
        <v>912.420385999865</v>
      </c>
      <c r="L16" s="0" t="n">
        <f aca="false">-L12</f>
        <v>948.91720143986</v>
      </c>
    </row>
    <row r="17" customFormat="false" ht="15" hidden="false" customHeight="false" outlineLevel="0" collapsed="false">
      <c r="A17" s="0" t="s">
        <v>117</v>
      </c>
      <c r="C17" s="4" t="n">
        <f aca="false">-C6*Assumptions!C32/100</f>
        <v>-770.31858816</v>
      </c>
      <c r="D17" s="4" t="n">
        <f aca="false">-D6*Assumptions!D32/100</f>
        <v>-866.60841168</v>
      </c>
      <c r="E17" s="4" t="n">
        <f aca="false">-E6*Assumptions!E32/100</f>
        <v>-930.1596952032</v>
      </c>
      <c r="F17" s="4" t="n">
        <f aca="false">-F6*Assumptions!F32/100</f>
        <v>-992.17034155008</v>
      </c>
      <c r="G17" s="4" t="n">
        <f aca="false">-G6*Assumptions!G32/100</f>
        <v>-1036.81800691983</v>
      </c>
      <c r="H17" s="4" t="n">
        <f aca="false">-H6*Assumptions!H32/100</f>
        <v>-1060.82852918535</v>
      </c>
      <c r="I17" s="4" t="n">
        <f aca="false">-I6*Assumptions!I32/100</f>
        <v>-1072.02616366008</v>
      </c>
      <c r="J17" s="4" t="n">
        <f aca="false">-J6*Assumptions!J32/100</f>
        <v>-1069.50374915735</v>
      </c>
      <c r="K17" s="4" t="n">
        <f aca="false">-K6*Assumptions!K32/100</f>
        <v>-1087.88584484599</v>
      </c>
      <c r="L17" s="4" t="n">
        <f aca="false">-L6*Assumptions!L32/100</f>
        <v>-1094.90446319984</v>
      </c>
    </row>
    <row r="18" customFormat="false" ht="15" hidden="false" customHeight="false" outlineLevel="0" collapsed="false">
      <c r="A18" s="0" t="s">
        <v>118</v>
      </c>
      <c r="C18" s="4" t="n">
        <f aca="false">(C6-B6)*Assumptions!$B$37/100</f>
        <v>0</v>
      </c>
      <c r="D18" s="4" t="n">
        <f aca="false">(D6-C6)*Assumptions!$B$37/100</f>
        <v>0</v>
      </c>
      <c r="E18" s="4" t="n">
        <f aca="false">(E6-D6)*Assumptions!$B$37/100</f>
        <v>0</v>
      </c>
      <c r="F18" s="4" t="n">
        <f aca="false">(F6-E6)*Assumptions!$B$37/100</f>
        <v>0</v>
      </c>
      <c r="G18" s="4" t="n">
        <f aca="false">(G6-F6)*Assumptions!$B$37/100</f>
        <v>0</v>
      </c>
      <c r="H18" s="4" t="n">
        <f aca="false">(H6-G6)*Assumptions!$B$37/100</f>
        <v>0</v>
      </c>
      <c r="I18" s="4" t="n">
        <f aca="false">(I6-H6)*Assumptions!$B$37/100</f>
        <v>0</v>
      </c>
      <c r="J18" s="4" t="n">
        <f aca="false">(J6-I6)*Assumptions!$B$37/100</f>
        <v>0</v>
      </c>
      <c r="K18" s="4" t="n">
        <f aca="false">(K6-J6)*Assumptions!$B$37/100</f>
        <v>0</v>
      </c>
      <c r="L18" s="4" t="n">
        <f aca="false">(L6-K6)*Assumptions!$B$37/100</f>
        <v>0</v>
      </c>
    </row>
    <row r="19" customFormat="false" ht="15" hidden="false" customHeight="false" outlineLevel="0" collapsed="false">
      <c r="A19" s="0" t="s">
        <v>119</v>
      </c>
      <c r="C19" s="0" t="n">
        <f aca="false">C15+C16+C17+C18</f>
        <v>184.3147705212</v>
      </c>
      <c r="D19" s="0" t="n">
        <f aca="false">D15+D16+D17+D18</f>
        <v>354.20211581832</v>
      </c>
      <c r="E19" s="0" t="n">
        <f aca="false">E15+E16+E17+E18</f>
        <v>558.317283716016</v>
      </c>
      <c r="F19" s="0" t="n">
        <f aca="false">F15+F16+F17+F18</f>
        <v>765.955503676662</v>
      </c>
      <c r="G19" s="0" t="n">
        <f aca="false">G15+G16+G17+G18</f>
        <v>977.883088631759</v>
      </c>
      <c r="H19" s="0" t="n">
        <f aca="false">H15+H16+H17+H18</f>
        <v>1188.12795268759</v>
      </c>
      <c r="I19" s="0" t="n">
        <f aca="false">I15+I16+I17+I18</f>
        <v>1381.02194024446</v>
      </c>
      <c r="J19" s="0" t="n">
        <f aca="false">J15+J16+J17+J18</f>
        <v>1555.45951518072</v>
      </c>
      <c r="K19" s="0" t="n">
        <f aca="false">K15+K16+K17+K18</f>
        <v>1694.29447061821</v>
      </c>
      <c r="L19" s="0" t="n">
        <f aca="false">L15+L16+L17+L18</f>
        <v>1825.57070830853</v>
      </c>
    </row>
    <row r="20" customFormat="false" ht="15" hidden="false" customHeight="false" outlineLevel="0" collapsed="false">
      <c r="A20" s="0" t="s">
        <v>120</v>
      </c>
      <c r="C20" s="0" t="n">
        <f aca="false">1/(1+$B$27/100)^C4</f>
        <v>0.91324200913242</v>
      </c>
      <c r="D20" s="0" t="n">
        <f aca="false">1/(1+$B$27/100)^D4</f>
        <v>0.834010967244219</v>
      </c>
      <c r="E20" s="0" t="n">
        <f aca="false">1/(1+$B$27/100)^E4</f>
        <v>0.761653851364584</v>
      </c>
      <c r="F20" s="0" t="n">
        <f aca="false">1/(1+$B$27/100)^F4</f>
        <v>0.695574293483638</v>
      </c>
      <c r="G20" s="0" t="n">
        <f aca="false">1/(1+$B$27/100)^G4</f>
        <v>0.635227665281862</v>
      </c>
      <c r="H20" s="0" t="n">
        <f aca="false">1/(1+$B$27/100)^H4</f>
        <v>0.580116589298504</v>
      </c>
      <c r="I20" s="0" t="n">
        <f aca="false">1/(1+$B$27/100)^I4</f>
        <v>0.529786839542012</v>
      </c>
      <c r="J20" s="0" t="n">
        <f aca="false">1/(1+$B$27/100)^J4</f>
        <v>0.483823597755263</v>
      </c>
      <c r="K20" s="0" t="n">
        <f aca="false">1/(1+$B$27/100)^K4</f>
        <v>0.441848034479692</v>
      </c>
      <c r="L20" s="0" t="n">
        <f aca="false">1/(1+$B$27/100)^L4</f>
        <v>0.403514186739445</v>
      </c>
    </row>
    <row r="21" customFormat="false" ht="15" hidden="false" customHeight="false" outlineLevel="0" collapsed="false">
      <c r="A21" s="0" t="s">
        <v>121</v>
      </c>
      <c r="C21" s="0" t="n">
        <f aca="false">C19*C20</f>
        <v>168.323991343562</v>
      </c>
      <c r="D21" s="0" t="n">
        <f aca="false">D19*D20</f>
        <v>295.408449213586</v>
      </c>
      <c r="E21" s="0" t="n">
        <f aca="false">E19*E20</f>
        <v>425.244509425716</v>
      </c>
      <c r="F21" s="0" t="n">
        <f aca="false">F19*F20</f>
        <v>532.778958309798</v>
      </c>
      <c r="G21" s="0" t="n">
        <f aca="false">G19*G20</f>
        <v>621.178391310168</v>
      </c>
      <c r="H21" s="0" t="n">
        <f aca="false">H19*H20</f>
        <v>689.252735563337</v>
      </c>
      <c r="I21" s="0" t="n">
        <f aca="false">I19*I20</f>
        <v>731.647249060288</v>
      </c>
      <c r="J21" s="0" t="n">
        <f aca="false">J19*J20</f>
        <v>752.568018797393</v>
      </c>
      <c r="K21" s="0" t="n">
        <f aca="false">K19*K20</f>
        <v>748.620681672466</v>
      </c>
      <c r="L21" s="0" t="n">
        <f aca="false">L19*L20</f>
        <v>736.643679698468</v>
      </c>
    </row>
    <row r="23" customFormat="false" ht="15" hidden="false" customHeight="false" outlineLevel="0" collapsed="false">
      <c r="A23" s="0" t="s">
        <v>97</v>
      </c>
      <c r="C23" s="4" t="n">
        <f aca="false">Assumptions!C30</f>
        <v>2.1</v>
      </c>
      <c r="D23" s="4" t="n">
        <f aca="false">Assumptions!D30</f>
        <v>2.1</v>
      </c>
      <c r="E23" s="4" t="n">
        <f aca="false">Assumptions!E30</f>
        <v>2.1</v>
      </c>
      <c r="F23" s="4" t="n">
        <f aca="false">Assumptions!F30</f>
        <v>2.05</v>
      </c>
      <c r="G23" s="4" t="n">
        <f aca="false">Assumptions!G30</f>
        <v>2</v>
      </c>
      <c r="H23" s="4" t="n">
        <f aca="false">Assumptions!H30</f>
        <v>2</v>
      </c>
      <c r="I23" s="4" t="n">
        <f aca="false">Assumptions!I30</f>
        <v>2</v>
      </c>
      <c r="J23" s="4" t="n">
        <f aca="false">Assumptions!J30</f>
        <v>2</v>
      </c>
      <c r="K23" s="4" t="n">
        <f aca="false">Assumptions!K30</f>
        <v>2</v>
      </c>
      <c r="L23" s="4" t="n">
        <f aca="false">Assumptions!L30</f>
        <v>2</v>
      </c>
    </row>
    <row r="24" customFormat="false" ht="15" hidden="false" customHeight="false" outlineLevel="0" collapsed="false">
      <c r="A24" s="0" t="s">
        <v>122</v>
      </c>
      <c r="C24" s="0" t="n">
        <f aca="false">-C6*C23/100</f>
        <v>-337.01438232</v>
      </c>
      <c r="D24" s="0" t="n">
        <f aca="false">-D6*D23/100</f>
        <v>-404.417258784</v>
      </c>
      <c r="E24" s="0" t="n">
        <f aca="false">-E6*E23/100</f>
        <v>-465.0798476016</v>
      </c>
      <c r="F24" s="0" t="n">
        <f aca="false">-F6*F23/100</f>
        <v>-508.487300044416</v>
      </c>
      <c r="G24" s="0" t="n">
        <f aca="false">-G6*G23/100</f>
        <v>-545.693687852544</v>
      </c>
      <c r="H24" s="0" t="n">
        <f aca="false">-H6*H23/100</f>
        <v>-589.349182880748</v>
      </c>
      <c r="I24" s="0" t="n">
        <f aca="false">-I6*I23/100</f>
        <v>-630.6036256824</v>
      </c>
      <c r="J24" s="0" t="n">
        <f aca="false">-J6*J23/100</f>
        <v>-668.439843223344</v>
      </c>
      <c r="K24" s="0" t="n">
        <f aca="false">-K6*K23/100</f>
        <v>-701.861835384512</v>
      </c>
      <c r="L24" s="0" t="n">
        <f aca="false">-L6*L23/100</f>
        <v>-729.936308799892</v>
      </c>
    </row>
    <row r="26" customFormat="false" ht="15" hidden="false" customHeight="false" outlineLevel="0" collapsed="false">
      <c r="A26" s="2" t="s">
        <v>123</v>
      </c>
    </row>
    <row r="27" customFormat="false" ht="15" hidden="false" customHeight="false" outlineLevel="0" collapsed="false">
      <c r="A27" s="0" t="s">
        <v>101</v>
      </c>
      <c r="B27" s="4" t="n">
        <f aca="false">Assumptions!$B$34</f>
        <v>9.5</v>
      </c>
    </row>
    <row r="28" customFormat="false" ht="15" hidden="false" customHeight="false" outlineLevel="0" collapsed="false">
      <c r="A28" s="0" t="s">
        <v>102</v>
      </c>
      <c r="B28" s="4" t="n">
        <f aca="false">Assumptions!$B$35</f>
        <v>3</v>
      </c>
    </row>
    <row r="29" customFormat="false" ht="15" hidden="false" customHeight="false" outlineLevel="0" collapsed="false">
      <c r="A29" s="0" t="s">
        <v>103</v>
      </c>
      <c r="B29" s="4" t="n">
        <f aca="false">Assumptions!$B$36</f>
        <v>16</v>
      </c>
    </row>
    <row r="30" customFormat="false" ht="15" hidden="false" customHeight="false" outlineLevel="0" collapsed="false">
      <c r="A30" s="0" t="s">
        <v>124</v>
      </c>
      <c r="B30" s="0" t="n">
        <f aca="false">SUM(C21:L21)</f>
        <v>5701.66666439478</v>
      </c>
    </row>
    <row r="31" customFormat="false" ht="15" hidden="false" customHeight="false" outlineLevel="0" collapsed="false">
      <c r="A31" s="0" t="s">
        <v>125</v>
      </c>
      <c r="B31" s="0" t="n">
        <f aca="false">L19</f>
        <v>1825.57070830853</v>
      </c>
    </row>
    <row r="32" customFormat="false" ht="15" hidden="false" customHeight="false" outlineLevel="0" collapsed="false">
      <c r="A32" s="0" t="s">
        <v>126</v>
      </c>
      <c r="B32" s="0" t="n">
        <f aca="false">IF(B27&gt;B28,B31*(1+B28/100)/((B27-B28)/100),B31*B29)</f>
        <v>28928.274300889</v>
      </c>
    </row>
    <row r="33" customFormat="false" ht="15" hidden="false" customHeight="false" outlineLevel="0" collapsed="false">
      <c r="A33" s="0" t="s">
        <v>127</v>
      </c>
      <c r="B33" s="0" t="n">
        <f aca="false">B31*B29</f>
        <v>29209.1313329365</v>
      </c>
    </row>
    <row r="34" customFormat="false" ht="15" hidden="false" customHeight="false" outlineLevel="0" collapsed="false">
      <c r="A34" s="0" t="s">
        <v>128</v>
      </c>
      <c r="B34" s="0" t="n">
        <f aca="false">MAX(0,MIN(B32,B33))</f>
        <v>28928.274300889</v>
      </c>
    </row>
    <row r="35" customFormat="false" ht="15" hidden="false" customHeight="false" outlineLevel="0" collapsed="false">
      <c r="A35" s="0" t="s">
        <v>129</v>
      </c>
      <c r="B35" s="0" t="n">
        <f aca="false">B34/(1+B27/100)^L4</f>
        <v>11672.9690782988</v>
      </c>
    </row>
    <row r="36" customFormat="false" ht="15" hidden="false" customHeight="false" outlineLevel="0" collapsed="false">
      <c r="A36" s="0" t="s">
        <v>130</v>
      </c>
      <c r="B36" s="0" t="n">
        <f aca="false">B30+B35</f>
        <v>17374.6357426936</v>
      </c>
    </row>
    <row r="37" customFormat="false" ht="15" hidden="false" customHeight="false" outlineLevel="0" collapsed="false">
      <c r="A37" s="0" t="s">
        <v>131</v>
      </c>
      <c r="B37" s="0" t="n">
        <f aca="false">B36+Assumptions!$B$5-Assumptions!$B$4</f>
        <v>17519.3357426936</v>
      </c>
    </row>
    <row r="38" customFormat="false" ht="15" hidden="false" customHeight="false" outlineLevel="0" collapsed="false">
      <c r="A38" s="0" t="s">
        <v>132</v>
      </c>
      <c r="B38" s="0" t="n">
        <f aca="false">B37/Assumptions!$B$3*Assumptions!$B$10</f>
        <v>14.1269750787262</v>
      </c>
    </row>
    <row r="39" customFormat="false" ht="15" hidden="false" customHeight="false" outlineLevel="0" collapsed="false">
      <c r="A39" s="0" t="s">
        <v>133</v>
      </c>
      <c r="B39" s="4" t="n">
        <f aca="false">B38/Assumptions!$B$2-1</f>
        <v>0.519029578357652</v>
      </c>
    </row>
    <row r="41" customFormat="false" ht="15" hidden="false" customHeight="false" outlineLevel="0" collapsed="false">
      <c r="A41" s="0" t="s">
        <v>134</v>
      </c>
      <c r="B41" s="0" t="n">
        <f aca="false">SUMPRODUCT(-C10:L10/(1+$B$27/100)^C4:L4)</f>
        <v>1053.13429438411</v>
      </c>
    </row>
    <row r="42" customFormat="false" ht="15" hidden="false" customHeight="false" outlineLevel="0" collapsed="false">
      <c r="A42" s="0" t="s">
        <v>135</v>
      </c>
      <c r="B42" s="0" t="n">
        <f aca="false">IF(B27&gt;B28,-L10*(1+B28/100)/((B27-B28)/100),-L10*20)/(1+B27/100)^L4</f>
        <v>1400.19621091149</v>
      </c>
    </row>
    <row r="43" customFormat="false" ht="15" hidden="false" customHeight="false" outlineLevel="0" collapsed="false">
      <c r="A43" s="0" t="s">
        <v>136</v>
      </c>
      <c r="B43" s="0" t="n">
        <f aca="false">(B37+B41+B42)/Assumptions!$B$3*Assumptions!$B$10</f>
        <v>16.105254359243</v>
      </c>
    </row>
    <row r="45" customFormat="false" ht="15" hidden="false" customHeight="false" outlineLevel="0" collapsed="false">
      <c r="A45" s="0" t="s">
        <v>77</v>
      </c>
      <c r="B45" s="4" t="n">
        <f aca="false">Assumptions!$B$6</f>
        <v>15</v>
      </c>
    </row>
    <row r="46" customFormat="false" ht="15" hidden="false" customHeight="false" outlineLevel="0" collapsed="false">
      <c r="A46" s="0" t="s">
        <v>137</v>
      </c>
      <c r="B46" s="0" t="n">
        <f aca="false">MAX(0,MIN(IF(B45&gt;B28,B31*(1+B28/100)/((B45-B28)/100),B31*B29),B31*B29))</f>
        <v>15669.4819129816</v>
      </c>
    </row>
    <row r="47" customFormat="false" ht="15" hidden="false" customHeight="false" outlineLevel="0" collapsed="false">
      <c r="A47" s="0" t="s">
        <v>138</v>
      </c>
      <c r="B47" s="0" t="n">
        <f aca="false">(SUMPRODUCT(C19:L19/(1+B45/100)^C4:L4)+B46/(1+B45/100)^L4+Assumptions!$B$5-Assumptions!$B$4)/Assumptions!$B$3*Assumptions!$B$10</f>
        <v>6.62144516598677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140</v>
      </c>
    </row>
    <row r="3" customFormat="false" ht="15" hidden="false" customHeight="false" outlineLevel="0" collapsed="false">
      <c r="A3" s="0" t="s">
        <v>109</v>
      </c>
      <c r="B3" s="0" t="s">
        <v>70</v>
      </c>
      <c r="C3" s="2" t="s">
        <v>84</v>
      </c>
      <c r="D3" s="2" t="s">
        <v>85</v>
      </c>
      <c r="E3" s="2" t="s">
        <v>86</v>
      </c>
      <c r="F3" s="2" t="s">
        <v>87</v>
      </c>
      <c r="G3" s="2" t="s">
        <v>88</v>
      </c>
      <c r="H3" s="2" t="s">
        <v>89</v>
      </c>
      <c r="I3" s="2" t="s">
        <v>90</v>
      </c>
      <c r="J3" s="2" t="s">
        <v>91</v>
      </c>
      <c r="K3" s="2" t="s">
        <v>92</v>
      </c>
      <c r="L3" s="2" t="s">
        <v>93</v>
      </c>
    </row>
    <row r="4" customFormat="false" ht="15" hidden="false" customHeight="false" outlineLevel="0" collapsed="false">
      <c r="A4" s="0" t="s">
        <v>110</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94</v>
      </c>
      <c r="C5" s="4" t="n">
        <f aca="false">Assumptions!C41</f>
        <v>35</v>
      </c>
      <c r="D5" s="4" t="n">
        <f aca="false">Assumptions!D41</f>
        <v>25</v>
      </c>
      <c r="E5" s="4" t="n">
        <f aca="false">Assumptions!E41</f>
        <v>20</v>
      </c>
      <c r="F5" s="4" t="n">
        <f aca="false">Assumptions!F41</f>
        <v>16</v>
      </c>
      <c r="G5" s="4" t="n">
        <f aca="false">Assumptions!G41</f>
        <v>13</v>
      </c>
      <c r="H5" s="4" t="n">
        <f aca="false">Assumptions!H41</f>
        <v>10</v>
      </c>
      <c r="I5" s="4" t="n">
        <f aca="false">Assumptions!I41</f>
        <v>8</v>
      </c>
      <c r="J5" s="4" t="n">
        <f aca="false">Assumptions!J41</f>
        <v>7</v>
      </c>
      <c r="K5" s="4" t="n">
        <f aca="false">Assumptions!K41</f>
        <v>6</v>
      </c>
      <c r="L5" s="4" t="n">
        <f aca="false">Assumptions!L41</f>
        <v>5</v>
      </c>
    </row>
    <row r="6" customFormat="false" ht="15" hidden="false" customHeight="false" outlineLevel="0" collapsed="false">
      <c r="A6" s="0" t="s">
        <v>38</v>
      </c>
      <c r="B6" s="3" t="n">
        <v>12157.806</v>
      </c>
      <c r="C6" s="0" t="n">
        <f aca="false">B6*(1+C5/100)</f>
        <v>16413.0381</v>
      </c>
      <c r="D6" s="0" t="n">
        <f aca="false">C6*(1+D5/100)</f>
        <v>20516.297625</v>
      </c>
      <c r="E6" s="0" t="n">
        <f aca="false">D6*(1+E5/100)</f>
        <v>24619.55715</v>
      </c>
      <c r="F6" s="0" t="n">
        <f aca="false">E6*(1+F5/100)</f>
        <v>28558.686294</v>
      </c>
      <c r="G6" s="0" t="n">
        <f aca="false">F6*(1+G5/100)</f>
        <v>32271.31551222</v>
      </c>
      <c r="H6" s="0" t="n">
        <f aca="false">G6*(1+H5/100)</f>
        <v>35498.447063442</v>
      </c>
      <c r="I6" s="0" t="n">
        <f aca="false">H6*(1+I5/100)</f>
        <v>38338.3228285174</v>
      </c>
      <c r="J6" s="0" t="n">
        <f aca="false">I6*(1+J5/100)</f>
        <v>41022.0054265136</v>
      </c>
      <c r="K6" s="0" t="n">
        <f aca="false">J6*(1+K5/100)</f>
        <v>43483.3257521044</v>
      </c>
      <c r="L6" s="0" t="n">
        <f aca="false">K6*(1+L5/100)</f>
        <v>45657.4920397096</v>
      </c>
    </row>
    <row r="7" customFormat="false" ht="15" hidden="false" customHeight="false" outlineLevel="0" collapsed="false">
      <c r="A7" s="0" t="s">
        <v>95</v>
      </c>
      <c r="C7" s="4" t="n">
        <f aca="false">Assumptions!C42</f>
        <v>10.3</v>
      </c>
      <c r="D7" s="4" t="n">
        <f aca="false">Assumptions!D42</f>
        <v>11.2</v>
      </c>
      <c r="E7" s="4" t="n">
        <f aca="false">Assumptions!E42</f>
        <v>12</v>
      </c>
      <c r="F7" s="4" t="n">
        <f aca="false">Assumptions!F42</f>
        <v>12.7</v>
      </c>
      <c r="G7" s="4" t="n">
        <f aca="false">Assumptions!G42</f>
        <v>13.3</v>
      </c>
      <c r="H7" s="4" t="n">
        <f aca="false">Assumptions!H42</f>
        <v>13.8</v>
      </c>
      <c r="I7" s="4" t="n">
        <f aca="false">Assumptions!I42</f>
        <v>14.2</v>
      </c>
      <c r="J7" s="4" t="n">
        <f aca="false">Assumptions!J42</f>
        <v>14.5</v>
      </c>
      <c r="K7" s="4" t="n">
        <f aca="false">Assumptions!K42</f>
        <v>14.7</v>
      </c>
      <c r="L7" s="4" t="n">
        <f aca="false">Assumptions!L42</f>
        <v>15</v>
      </c>
    </row>
    <row r="8" customFormat="false" ht="15" hidden="false" customHeight="false" outlineLevel="0" collapsed="false">
      <c r="A8" s="0" t="s">
        <v>44</v>
      </c>
      <c r="C8" s="0" t="n">
        <f aca="false">C6*C7/100</f>
        <v>1690.5429243</v>
      </c>
      <c r="D8" s="0" t="n">
        <f aca="false">D6*D7/100</f>
        <v>2297.825334</v>
      </c>
      <c r="E8" s="0" t="n">
        <f aca="false">E6*E7/100</f>
        <v>2954.346858</v>
      </c>
      <c r="F8" s="0" t="n">
        <f aca="false">F6*F7/100</f>
        <v>3626.953159338</v>
      </c>
      <c r="G8" s="0" t="n">
        <f aca="false">G6*G7/100</f>
        <v>4292.08496312526</v>
      </c>
      <c r="H8" s="0" t="n">
        <f aca="false">H6*H7/100</f>
        <v>4898.785694755</v>
      </c>
      <c r="I8" s="0" t="n">
        <f aca="false">I6*I7/100</f>
        <v>5444.04184164947</v>
      </c>
      <c r="J8" s="0" t="n">
        <f aca="false">J6*J7/100</f>
        <v>5948.19078684447</v>
      </c>
      <c r="K8" s="0" t="n">
        <f aca="false">K6*K7/100</f>
        <v>6392.04888555935</v>
      </c>
      <c r="L8" s="0" t="n">
        <f aca="false">L6*L7/100</f>
        <v>6848.62380595644</v>
      </c>
    </row>
    <row r="9" customFormat="false" ht="15" hidden="false" customHeight="false" outlineLevel="0" collapsed="false">
      <c r="A9" s="0" t="s">
        <v>96</v>
      </c>
      <c r="C9" s="4" t="n">
        <f aca="false">Assumptions!C43</f>
        <v>0.8</v>
      </c>
      <c r="D9" s="4" t="n">
        <f aca="false">Assumptions!D43</f>
        <v>0.75</v>
      </c>
      <c r="E9" s="4" t="n">
        <f aca="false">Assumptions!E43</f>
        <v>0.7</v>
      </c>
      <c r="F9" s="4" t="n">
        <f aca="false">Assumptions!F43</f>
        <v>0.65</v>
      </c>
      <c r="G9" s="4" t="n">
        <f aca="false">Assumptions!G43</f>
        <v>0.6</v>
      </c>
      <c r="H9" s="4" t="n">
        <f aca="false">Assumptions!H43</f>
        <v>0.6</v>
      </c>
      <c r="I9" s="4" t="n">
        <f aca="false">Assumptions!I43</f>
        <v>0.6</v>
      </c>
      <c r="J9" s="4" t="n">
        <f aca="false">Assumptions!J43</f>
        <v>0.6</v>
      </c>
      <c r="K9" s="4" t="n">
        <f aca="false">Assumptions!K43</f>
        <v>0.6</v>
      </c>
      <c r="L9" s="4" t="n">
        <f aca="false">Assumptions!L43</f>
        <v>0.6</v>
      </c>
    </row>
    <row r="10" customFormat="false" ht="15" hidden="false" customHeight="false" outlineLevel="0" collapsed="false">
      <c r="A10" s="0" t="s">
        <v>111</v>
      </c>
      <c r="C10" s="0" t="n">
        <f aca="false">-C6*C9/100</f>
        <v>-131.3043048</v>
      </c>
      <c r="D10" s="0" t="n">
        <f aca="false">-D6*D9/100</f>
        <v>-153.8722321875</v>
      </c>
      <c r="E10" s="0" t="n">
        <f aca="false">-E6*E9/100</f>
        <v>-172.33690005</v>
      </c>
      <c r="F10" s="0" t="n">
        <f aca="false">-F6*F9/100</f>
        <v>-185.631460911</v>
      </c>
      <c r="G10" s="0" t="n">
        <f aca="false">-G6*G9/100</f>
        <v>-193.62789307332</v>
      </c>
      <c r="H10" s="0" t="n">
        <f aca="false">-H6*H9/100</f>
        <v>-212.990682380652</v>
      </c>
      <c r="I10" s="0" t="n">
        <f aca="false">-I6*I9/100</f>
        <v>-230.029936971104</v>
      </c>
      <c r="J10" s="0" t="n">
        <f aca="false">-J6*J9/100</f>
        <v>-246.132032559082</v>
      </c>
      <c r="K10" s="0" t="n">
        <f aca="false">-K6*K9/100</f>
        <v>-260.899954512626</v>
      </c>
      <c r="L10" s="0" t="n">
        <f aca="false">-L6*L9/100</f>
        <v>-273.944952238258</v>
      </c>
    </row>
    <row r="11" customFormat="false" ht="15" hidden="false" customHeight="false" outlineLevel="0" collapsed="false">
      <c r="A11" s="0" t="s">
        <v>112</v>
      </c>
      <c r="C11" s="0" t="n">
        <f aca="false">C8+C10+C24</f>
        <v>1214.5648194</v>
      </c>
      <c r="D11" s="0" t="n">
        <f aca="false">D8+D10+D24</f>
        <v>1713.1108516875</v>
      </c>
      <c r="E11" s="0" t="n">
        <f aca="false">E8+E10+E24</f>
        <v>2277.309036375</v>
      </c>
      <c r="F11" s="0" t="n">
        <f aca="false">F8+F10+F24</f>
        <v>2870.147972547</v>
      </c>
      <c r="G11" s="0" t="n">
        <f aca="false">G8+G10+G24</f>
        <v>3453.03075980754</v>
      </c>
      <c r="H11" s="0" t="n">
        <f aca="false">H8+H10+H24</f>
        <v>4011.32451816895</v>
      </c>
      <c r="I11" s="0" t="n">
        <f aca="false">I8+I10+I24</f>
        <v>4485.58377093653</v>
      </c>
      <c r="J11" s="0" t="n">
        <f aca="false">J8+J10+J24</f>
        <v>4922.64065118163</v>
      </c>
      <c r="K11" s="0" t="n">
        <f aca="false">K8+K10+K24</f>
        <v>5304.96574175674</v>
      </c>
      <c r="L11" s="0" t="n">
        <f aca="false">L8+L10+L24</f>
        <v>5707.1865049637</v>
      </c>
    </row>
    <row r="12" customFormat="false" ht="15" hidden="false" customHeight="false" outlineLevel="0" collapsed="false">
      <c r="A12" s="0" t="s">
        <v>113</v>
      </c>
      <c r="C12" s="4" t="n">
        <f aca="false">-C6*Assumptions!C45/100</f>
        <v>-361.0868382</v>
      </c>
      <c r="D12" s="4" t="n">
        <f aca="false">-D6*Assumptions!D45/100</f>
        <v>-471.874845375</v>
      </c>
      <c r="E12" s="4" t="n">
        <f aca="false">-E6*Assumptions!E45/100</f>
        <v>-590.8693716</v>
      </c>
      <c r="F12" s="4" t="n">
        <f aca="false">-F6*Assumptions!F45/100</f>
        <v>-713.96715735</v>
      </c>
      <c r="G12" s="4" t="n">
        <f aca="false">-G6*Assumptions!G45/100</f>
        <v>-806.7828878055</v>
      </c>
      <c r="H12" s="4" t="n">
        <f aca="false">-H6*Assumptions!H45/100</f>
        <v>-922.959623649492</v>
      </c>
      <c r="I12" s="4" t="n">
        <f aca="false">-I6*Assumptions!I45/100</f>
        <v>-996.796393541452</v>
      </c>
      <c r="J12" s="4" t="n">
        <f aca="false">-J6*Assumptions!J45/100</f>
        <v>-1066.57214108935</v>
      </c>
      <c r="K12" s="4" t="n">
        <f aca="false">-K6*Assumptions!K45/100</f>
        <v>-1130.56646955471</v>
      </c>
      <c r="L12" s="4" t="n">
        <f aca="false">-L6*Assumptions!L45/100</f>
        <v>-1187.09479303245</v>
      </c>
    </row>
    <row r="13" customFormat="false" ht="15" hidden="false" customHeight="false" outlineLevel="0" collapsed="false">
      <c r="A13" s="0" t="s">
        <v>114</v>
      </c>
      <c r="C13" s="0" t="n">
        <f aca="false">C11+C12</f>
        <v>853.4779812</v>
      </c>
      <c r="D13" s="0" t="n">
        <f aca="false">D11+D12</f>
        <v>1241.2360063125</v>
      </c>
      <c r="E13" s="0" t="n">
        <f aca="false">E11+E12</f>
        <v>1686.439664775</v>
      </c>
      <c r="F13" s="0" t="n">
        <f aca="false">F11+F12</f>
        <v>2156.180815197</v>
      </c>
      <c r="G13" s="0" t="n">
        <f aca="false">G11+G12</f>
        <v>2646.24787200204</v>
      </c>
      <c r="H13" s="0" t="n">
        <f aca="false">H11+H12</f>
        <v>3088.36489451945</v>
      </c>
      <c r="I13" s="0" t="n">
        <f aca="false">I11+I12</f>
        <v>3488.78737739508</v>
      </c>
      <c r="J13" s="0" t="n">
        <f aca="false">J11+J12</f>
        <v>3856.06851009228</v>
      </c>
      <c r="K13" s="0" t="n">
        <f aca="false">K11+K12</f>
        <v>4174.39927220202</v>
      </c>
      <c r="L13" s="0" t="n">
        <f aca="false">L11+L12</f>
        <v>4520.09171193125</v>
      </c>
    </row>
    <row r="14" customFormat="false" ht="15" hidden="false" customHeight="false" outlineLevel="0" collapsed="false">
      <c r="A14" s="0" t="s">
        <v>100</v>
      </c>
      <c r="C14" s="4" t="n">
        <f aca="false">Assumptions!C47</f>
        <v>23.5</v>
      </c>
      <c r="D14" s="4" t="n">
        <f aca="false">Assumptions!D47</f>
        <v>24.5</v>
      </c>
      <c r="E14" s="4" t="n">
        <f aca="false">Assumptions!E47</f>
        <v>25.5</v>
      </c>
      <c r="F14" s="4" t="n">
        <f aca="false">Assumptions!F47</f>
        <v>26</v>
      </c>
      <c r="G14" s="4" t="n">
        <f aca="false">Assumptions!G47</f>
        <v>26</v>
      </c>
      <c r="H14" s="4" t="n">
        <f aca="false">Assumptions!H47</f>
        <v>26</v>
      </c>
      <c r="I14" s="4" t="n">
        <f aca="false">Assumptions!I47</f>
        <v>26</v>
      </c>
      <c r="J14" s="4" t="n">
        <f aca="false">Assumptions!J47</f>
        <v>26</v>
      </c>
      <c r="K14" s="4" t="n">
        <f aca="false">Assumptions!K47</f>
        <v>26</v>
      </c>
      <c r="L14" s="4" t="n">
        <f aca="false">Assumptions!L47</f>
        <v>26</v>
      </c>
    </row>
    <row r="15" customFormat="false" ht="15" hidden="false" customHeight="false" outlineLevel="0" collapsed="false">
      <c r="A15" s="0" t="s">
        <v>115</v>
      </c>
      <c r="C15" s="0" t="n">
        <f aca="false">C13-MAX(0,C13)*C14/100</f>
        <v>652.910655618</v>
      </c>
      <c r="D15" s="0" t="n">
        <f aca="false">D13-MAX(0,D13)*D14/100</f>
        <v>937.133184765937</v>
      </c>
      <c r="E15" s="0" t="n">
        <f aca="false">E13-MAX(0,E13)*E14/100</f>
        <v>1256.39755025737</v>
      </c>
      <c r="F15" s="0" t="n">
        <f aca="false">F13-MAX(0,F13)*F14/100</f>
        <v>1595.57380324578</v>
      </c>
      <c r="G15" s="0" t="n">
        <f aca="false">G13-MAX(0,G13)*G14/100</f>
        <v>1958.22342528151</v>
      </c>
      <c r="H15" s="0" t="n">
        <f aca="false">H13-MAX(0,H13)*H14/100</f>
        <v>2285.3900219444</v>
      </c>
      <c r="I15" s="0" t="n">
        <f aca="false">I13-MAX(0,I13)*I14/100</f>
        <v>2581.70265927236</v>
      </c>
      <c r="J15" s="0" t="n">
        <f aca="false">J13-MAX(0,J13)*J14/100</f>
        <v>2853.49069746829</v>
      </c>
      <c r="K15" s="0" t="n">
        <f aca="false">K13-MAX(0,K13)*K14/100</f>
        <v>3089.0554614295</v>
      </c>
      <c r="L15" s="0" t="n">
        <f aca="false">L13-MAX(0,L13)*L14/100</f>
        <v>3344.86786682913</v>
      </c>
    </row>
    <row r="16" customFormat="false" ht="15" hidden="false" customHeight="false" outlineLevel="0" collapsed="false">
      <c r="A16" s="0" t="s">
        <v>116</v>
      </c>
      <c r="C16" s="0" t="n">
        <f aca="false">-C12</f>
        <v>361.0868382</v>
      </c>
      <c r="D16" s="0" t="n">
        <f aca="false">-D12</f>
        <v>471.874845375</v>
      </c>
      <c r="E16" s="0" t="n">
        <f aca="false">-E12</f>
        <v>590.8693716</v>
      </c>
      <c r="F16" s="0" t="n">
        <f aca="false">-F12</f>
        <v>713.96715735</v>
      </c>
      <c r="G16" s="0" t="n">
        <f aca="false">-G12</f>
        <v>806.7828878055</v>
      </c>
      <c r="H16" s="0" t="n">
        <f aca="false">-H12</f>
        <v>922.959623649492</v>
      </c>
      <c r="I16" s="0" t="n">
        <f aca="false">-I12</f>
        <v>996.796393541452</v>
      </c>
      <c r="J16" s="0" t="n">
        <f aca="false">-J12</f>
        <v>1066.57214108935</v>
      </c>
      <c r="K16" s="0" t="n">
        <f aca="false">-K12</f>
        <v>1130.56646955471</v>
      </c>
      <c r="L16" s="0" t="n">
        <f aca="false">-L12</f>
        <v>1187.09479303245</v>
      </c>
    </row>
    <row r="17" customFormat="false" ht="15" hidden="false" customHeight="false" outlineLevel="0" collapsed="false">
      <c r="A17" s="0" t="s">
        <v>117</v>
      </c>
      <c r="C17" s="4" t="n">
        <f aca="false">-C6*Assumptions!C46/100</f>
        <v>-787.8258288</v>
      </c>
      <c r="D17" s="4" t="n">
        <f aca="false">-D6*Assumptions!D46/100</f>
        <v>-902.7170955</v>
      </c>
      <c r="E17" s="4" t="n">
        <f aca="false">-E6*Assumptions!E46/100</f>
        <v>-984.782286</v>
      </c>
      <c r="F17" s="4" t="n">
        <f aca="false">-F6*Assumptions!F46/100</f>
        <v>-1056.671392878</v>
      </c>
      <c r="G17" s="4" t="n">
        <f aca="false">-G6*Assumptions!G46/100</f>
        <v>-1129.4960429277</v>
      </c>
      <c r="H17" s="4" t="n">
        <f aca="false">-H6*Assumptions!H46/100</f>
        <v>-1171.44875309359</v>
      </c>
      <c r="I17" s="4" t="n">
        <f aca="false">-I6*Assumptions!I46/100</f>
        <v>-1226.82633051256</v>
      </c>
      <c r="J17" s="4" t="n">
        <f aca="false">-J6*Assumptions!J46/100</f>
        <v>-1271.68216822192</v>
      </c>
      <c r="K17" s="4" t="n">
        <f aca="false">-K6*Assumptions!K46/100</f>
        <v>-1304.49977256313</v>
      </c>
      <c r="L17" s="4" t="n">
        <f aca="false">-L6*Assumptions!L46/100</f>
        <v>-1369.72476119129</v>
      </c>
    </row>
    <row r="18" customFormat="false" ht="15" hidden="false" customHeight="false" outlineLevel="0" collapsed="false">
      <c r="A18" s="0" t="s">
        <v>118</v>
      </c>
      <c r="C18" s="4" t="n">
        <f aca="false">(C6-B6)*Assumptions!$B$51/100</f>
        <v>0</v>
      </c>
      <c r="D18" s="4" t="n">
        <f aca="false">(D6-C6)*Assumptions!$B$51/100</f>
        <v>0</v>
      </c>
      <c r="E18" s="4" t="n">
        <f aca="false">(E6-D6)*Assumptions!$B$51/100</f>
        <v>0</v>
      </c>
      <c r="F18" s="4" t="n">
        <f aca="false">(F6-E6)*Assumptions!$B$51/100</f>
        <v>0</v>
      </c>
      <c r="G18" s="4" t="n">
        <f aca="false">(G6-F6)*Assumptions!$B$51/100</f>
        <v>0</v>
      </c>
      <c r="H18" s="4" t="n">
        <f aca="false">(H6-G6)*Assumptions!$B$51/100</f>
        <v>0</v>
      </c>
      <c r="I18" s="4" t="n">
        <f aca="false">(I6-H6)*Assumptions!$B$51/100</f>
        <v>0</v>
      </c>
      <c r="J18" s="4" t="n">
        <f aca="false">(J6-I6)*Assumptions!$B$51/100</f>
        <v>0</v>
      </c>
      <c r="K18" s="4" t="n">
        <f aca="false">(K6-J6)*Assumptions!$B$51/100</f>
        <v>0</v>
      </c>
      <c r="L18" s="4" t="n">
        <f aca="false">(L6-K6)*Assumptions!$B$51/100</f>
        <v>0</v>
      </c>
    </row>
    <row r="19" customFormat="false" ht="15" hidden="false" customHeight="false" outlineLevel="0" collapsed="false">
      <c r="A19" s="0" t="s">
        <v>119</v>
      </c>
      <c r="C19" s="0" t="n">
        <f aca="false">C15+C16+C17+C18</f>
        <v>226.171665018</v>
      </c>
      <c r="D19" s="0" t="n">
        <f aca="false">D15+D16+D17+D18</f>
        <v>506.290934640937</v>
      </c>
      <c r="E19" s="0" t="n">
        <f aca="false">E15+E16+E17+E18</f>
        <v>862.484635857375</v>
      </c>
      <c r="F19" s="0" t="n">
        <f aca="false">F15+F16+F17+F18</f>
        <v>1252.86956771778</v>
      </c>
      <c r="G19" s="0" t="n">
        <f aca="false">G15+G16+G17+G18</f>
        <v>1635.51027015931</v>
      </c>
      <c r="H19" s="0" t="n">
        <f aca="false">H15+H16+H17+H18</f>
        <v>2036.9008925003</v>
      </c>
      <c r="I19" s="0" t="n">
        <f aca="false">I15+I16+I17+I18</f>
        <v>2351.67272230126</v>
      </c>
      <c r="J19" s="0" t="n">
        <f aca="false">J15+J16+J17+J18</f>
        <v>2648.38067033572</v>
      </c>
      <c r="K19" s="0" t="n">
        <f aca="false">K15+K16+K17+K18</f>
        <v>2915.12215842108</v>
      </c>
      <c r="L19" s="0" t="n">
        <f aca="false">L15+L16+L17+L18</f>
        <v>3162.23789867029</v>
      </c>
    </row>
    <row r="20" customFormat="false" ht="15" hidden="false" customHeight="false" outlineLevel="0" collapsed="false">
      <c r="A20" s="0" t="s">
        <v>120</v>
      </c>
      <c r="C20" s="0" t="n">
        <f aca="false">1/(1+$B$27/100)^C4</f>
        <v>0.91324200913242</v>
      </c>
      <c r="D20" s="0" t="n">
        <f aca="false">1/(1+$B$27/100)^D4</f>
        <v>0.834010967244219</v>
      </c>
      <c r="E20" s="0" t="n">
        <f aca="false">1/(1+$B$27/100)^E4</f>
        <v>0.761653851364584</v>
      </c>
      <c r="F20" s="0" t="n">
        <f aca="false">1/(1+$B$27/100)^F4</f>
        <v>0.695574293483638</v>
      </c>
      <c r="G20" s="0" t="n">
        <f aca="false">1/(1+$B$27/100)^G4</f>
        <v>0.635227665281862</v>
      </c>
      <c r="H20" s="0" t="n">
        <f aca="false">1/(1+$B$27/100)^H4</f>
        <v>0.580116589298504</v>
      </c>
      <c r="I20" s="0" t="n">
        <f aca="false">1/(1+$B$27/100)^I4</f>
        <v>0.529786839542012</v>
      </c>
      <c r="J20" s="0" t="n">
        <f aca="false">1/(1+$B$27/100)^J4</f>
        <v>0.483823597755263</v>
      </c>
      <c r="K20" s="0" t="n">
        <f aca="false">1/(1+$B$27/100)^K4</f>
        <v>0.441848034479692</v>
      </c>
      <c r="L20" s="0" t="n">
        <f aca="false">1/(1+$B$27/100)^L4</f>
        <v>0.403514186739445</v>
      </c>
    </row>
    <row r="21" customFormat="false" ht="15" hidden="false" customHeight="false" outlineLevel="0" collapsed="false">
      <c r="A21" s="0" t="s">
        <v>121</v>
      </c>
      <c r="C21" s="0" t="n">
        <f aca="false">C19*C20</f>
        <v>206.549465769863</v>
      </c>
      <c r="D21" s="0" t="n">
        <f aca="false">D19*D20</f>
        <v>422.252192106868</v>
      </c>
      <c r="E21" s="0" t="n">
        <f aca="false">E19*E20</f>
        <v>656.91474464355</v>
      </c>
      <c r="F21" s="0" t="n">
        <f aca="false">F19*F20</f>
        <v>871.463864392446</v>
      </c>
      <c r="G21" s="0" t="n">
        <f aca="false">G19*G20</f>
        <v>1038.9213704578</v>
      </c>
      <c r="H21" s="0" t="n">
        <f aca="false">H19*H20</f>
        <v>1181.63999849635</v>
      </c>
      <c r="I21" s="0" t="n">
        <f aca="false">I19*I20</f>
        <v>1245.88525918514</v>
      </c>
      <c r="J21" s="0" t="n">
        <f aca="false">J19*J20</f>
        <v>1281.34906414732</v>
      </c>
      <c r="K21" s="0" t="n">
        <f aca="false">K19*K20</f>
        <v>1288.04099596655</v>
      </c>
      <c r="L21" s="0" t="n">
        <f aca="false">L19*L20</f>
        <v>1276.00785395859</v>
      </c>
    </row>
    <row r="23" customFormat="false" ht="15" hidden="false" customHeight="false" outlineLevel="0" collapsed="false">
      <c r="A23" s="0" t="s">
        <v>97</v>
      </c>
      <c r="C23" s="4" t="n">
        <f aca="false">Assumptions!C44</f>
        <v>2.1</v>
      </c>
      <c r="D23" s="4" t="n">
        <f aca="false">Assumptions!D44</f>
        <v>2.1</v>
      </c>
      <c r="E23" s="4" t="n">
        <f aca="false">Assumptions!E44</f>
        <v>2.05</v>
      </c>
      <c r="F23" s="4" t="n">
        <f aca="false">Assumptions!F44</f>
        <v>2</v>
      </c>
      <c r="G23" s="4" t="n">
        <f aca="false">Assumptions!G44</f>
        <v>2</v>
      </c>
      <c r="H23" s="4" t="n">
        <f aca="false">Assumptions!H44</f>
        <v>1.9</v>
      </c>
      <c r="I23" s="4" t="n">
        <f aca="false">Assumptions!I44</f>
        <v>1.9</v>
      </c>
      <c r="J23" s="4" t="n">
        <f aca="false">Assumptions!J44</f>
        <v>1.9</v>
      </c>
      <c r="K23" s="4" t="n">
        <f aca="false">Assumptions!K44</f>
        <v>1.9</v>
      </c>
      <c r="L23" s="4" t="n">
        <f aca="false">Assumptions!L44</f>
        <v>1.9</v>
      </c>
    </row>
    <row r="24" customFormat="false" ht="15" hidden="false" customHeight="false" outlineLevel="0" collapsed="false">
      <c r="A24" s="0" t="s">
        <v>122</v>
      </c>
      <c r="C24" s="0" t="n">
        <f aca="false">-C6*C23/100</f>
        <v>-344.6738001</v>
      </c>
      <c r="D24" s="0" t="n">
        <f aca="false">-D6*D23/100</f>
        <v>-430.842250125</v>
      </c>
      <c r="E24" s="0" t="n">
        <f aca="false">-E6*E23/100</f>
        <v>-504.700921575</v>
      </c>
      <c r="F24" s="0" t="n">
        <f aca="false">-F6*F23/100</f>
        <v>-571.17372588</v>
      </c>
      <c r="G24" s="0" t="n">
        <f aca="false">-G6*G23/100</f>
        <v>-645.4263102444</v>
      </c>
      <c r="H24" s="0" t="n">
        <f aca="false">-H6*H23/100</f>
        <v>-674.470494205398</v>
      </c>
      <c r="I24" s="0" t="n">
        <f aca="false">-I6*I23/100</f>
        <v>-728.42813374183</v>
      </c>
      <c r="J24" s="0" t="n">
        <f aca="false">-J6*J23/100</f>
        <v>-779.418103103758</v>
      </c>
      <c r="K24" s="0" t="n">
        <f aca="false">-K6*K23/100</f>
        <v>-826.183189289984</v>
      </c>
      <c r="L24" s="0" t="n">
        <f aca="false">-L6*L23/100</f>
        <v>-867.492348754483</v>
      </c>
    </row>
    <row r="26" customFormat="false" ht="15" hidden="false" customHeight="false" outlineLevel="0" collapsed="false">
      <c r="A26" s="2" t="s">
        <v>123</v>
      </c>
    </row>
    <row r="27" customFormat="false" ht="15" hidden="false" customHeight="false" outlineLevel="0" collapsed="false">
      <c r="A27" s="0" t="s">
        <v>101</v>
      </c>
      <c r="B27" s="4" t="n">
        <f aca="false">Assumptions!$B$48</f>
        <v>9.5</v>
      </c>
    </row>
    <row r="28" customFormat="false" ht="15" hidden="false" customHeight="false" outlineLevel="0" collapsed="false">
      <c r="A28" s="0" t="s">
        <v>102</v>
      </c>
      <c r="B28" s="4" t="n">
        <f aca="false">Assumptions!$B$49</f>
        <v>3.5</v>
      </c>
    </row>
    <row r="29" customFormat="false" ht="15" hidden="false" customHeight="false" outlineLevel="0" collapsed="false">
      <c r="A29" s="0" t="s">
        <v>103</v>
      </c>
      <c r="B29" s="4" t="n">
        <f aca="false">Assumptions!$B$50</f>
        <v>16</v>
      </c>
    </row>
    <row r="30" customFormat="false" ht="15" hidden="false" customHeight="false" outlineLevel="0" collapsed="false">
      <c r="A30" s="0" t="s">
        <v>124</v>
      </c>
      <c r="B30" s="0" t="n">
        <f aca="false">SUM(C21:L21)</f>
        <v>9469.02480912449</v>
      </c>
    </row>
    <row r="31" customFormat="false" ht="15" hidden="false" customHeight="false" outlineLevel="0" collapsed="false">
      <c r="A31" s="0" t="s">
        <v>125</v>
      </c>
      <c r="B31" s="0" t="n">
        <f aca="false">L19</f>
        <v>3162.23789867029</v>
      </c>
    </row>
    <row r="32" customFormat="false" ht="15" hidden="false" customHeight="false" outlineLevel="0" collapsed="false">
      <c r="A32" s="0" t="s">
        <v>126</v>
      </c>
      <c r="B32" s="0" t="n">
        <f aca="false">IF(B27&gt;B28,B31*(1+B28/100)/((B27-B28)/100),B31*B29)</f>
        <v>54548.6037520625</v>
      </c>
    </row>
    <row r="33" customFormat="false" ht="15" hidden="false" customHeight="false" outlineLevel="0" collapsed="false">
      <c r="A33" s="0" t="s">
        <v>127</v>
      </c>
      <c r="B33" s="0" t="n">
        <f aca="false">B31*B29</f>
        <v>50595.8063787246</v>
      </c>
    </row>
    <row r="34" customFormat="false" ht="15" hidden="false" customHeight="false" outlineLevel="0" collapsed="false">
      <c r="A34" s="0" t="s">
        <v>128</v>
      </c>
      <c r="B34" s="0" t="n">
        <f aca="false">MAX(0,MIN(B32,B33))</f>
        <v>50595.8063787246</v>
      </c>
    </row>
    <row r="35" customFormat="false" ht="15" hidden="false" customHeight="false" outlineLevel="0" collapsed="false">
      <c r="A35" s="0" t="s">
        <v>129</v>
      </c>
      <c r="B35" s="0" t="n">
        <f aca="false">B34/(1+B27/100)^L4</f>
        <v>20416.1256633375</v>
      </c>
    </row>
    <row r="36" customFormat="false" ht="15" hidden="false" customHeight="false" outlineLevel="0" collapsed="false">
      <c r="A36" s="0" t="s">
        <v>130</v>
      </c>
      <c r="B36" s="0" t="n">
        <f aca="false">B30+B35</f>
        <v>29885.150472462</v>
      </c>
    </row>
    <row r="37" customFormat="false" ht="15" hidden="false" customHeight="false" outlineLevel="0" collapsed="false">
      <c r="A37" s="0" t="s">
        <v>131</v>
      </c>
      <c r="B37" s="0" t="n">
        <f aca="false">B36+Assumptions!$B$5-Assumptions!$B$4</f>
        <v>30029.850472462</v>
      </c>
    </row>
    <row r="38" customFormat="false" ht="15" hidden="false" customHeight="false" outlineLevel="0" collapsed="false">
      <c r="A38" s="0" t="s">
        <v>132</v>
      </c>
      <c r="B38" s="0" t="n">
        <f aca="false">B37/Assumptions!$B$3*Assumptions!$B$10</f>
        <v>24.2150133699714</v>
      </c>
    </row>
    <row r="39" customFormat="false" ht="15" hidden="false" customHeight="false" outlineLevel="0" collapsed="false">
      <c r="A39" s="0" t="s">
        <v>133</v>
      </c>
      <c r="B39" s="4" t="n">
        <f aca="false">B38/Assumptions!$B$2-1</f>
        <v>1.60376487849155</v>
      </c>
    </row>
    <row r="41" customFormat="false" ht="15" hidden="false" customHeight="false" outlineLevel="0" collapsed="false">
      <c r="A41" s="0" t="s">
        <v>134</v>
      </c>
      <c r="B41" s="0" t="n">
        <f aca="false">SUMPRODUCT(-C10:L10/(1+$B$27/100)^C4:L4)</f>
        <v>1221.95262044883</v>
      </c>
    </row>
    <row r="42" customFormat="false" ht="15" hidden="false" customHeight="false" outlineLevel="0" collapsed="false">
      <c r="A42" s="0" t="s">
        <v>135</v>
      </c>
      <c r="B42" s="0" t="n">
        <f aca="false">IF(B27&gt;B28,-L10*(1+B28/100)/((B27-B28)/100),-L10*20)/(1+B27/100)^L4</f>
        <v>1906.82663708799</v>
      </c>
    </row>
    <row r="43" customFormat="false" ht="15" hidden="false" customHeight="false" outlineLevel="0" collapsed="false">
      <c r="A43" s="0" t="s">
        <v>136</v>
      </c>
      <c r="B43" s="0" t="n">
        <f aca="false">(B37+B41+B42)/Assumptions!$B$3*Assumptions!$B$10</f>
        <v>26.7379507260005</v>
      </c>
    </row>
    <row r="45" customFormat="false" ht="15" hidden="false" customHeight="false" outlineLevel="0" collapsed="false">
      <c r="A45" s="0" t="s">
        <v>77</v>
      </c>
      <c r="B45" s="4" t="n">
        <f aca="false">Assumptions!$B$6</f>
        <v>15</v>
      </c>
    </row>
    <row r="46" customFormat="false" ht="15" hidden="false" customHeight="false" outlineLevel="0" collapsed="false">
      <c r="A46" s="0" t="s">
        <v>137</v>
      </c>
      <c r="B46" s="0" t="n">
        <f aca="false">MAX(0,MIN(IF(B45&gt;B28,B31*(1+B28/100)/((B45-B28)/100),B31*B29),B31*B29))</f>
        <v>28460.1410880326</v>
      </c>
    </row>
    <row r="47" customFormat="false" ht="15" hidden="false" customHeight="false" outlineLevel="0" collapsed="false">
      <c r="A47" s="0" t="s">
        <v>138</v>
      </c>
      <c r="B47" s="0" t="n">
        <f aca="false">(SUMPRODUCT(C19:L19/(1+B45/100)^C4:L4)+B46/(1+B45/100)^L4+Assumptions!$B$5-Assumptions!$B$4)/Assumptions!$B$3*Assumptions!$B$10</f>
        <v>11.3668766187155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141</v>
      </c>
    </row>
    <row r="3" customFormat="false" ht="15" hidden="false" customHeight="false" outlineLevel="0" collapsed="false">
      <c r="A3" s="2" t="s">
        <v>142</v>
      </c>
      <c r="B3" s="2" t="s">
        <v>143</v>
      </c>
      <c r="C3" s="2" t="s">
        <v>133</v>
      </c>
      <c r="D3" s="2" t="s">
        <v>144</v>
      </c>
      <c r="E3" s="2" t="s">
        <v>136</v>
      </c>
      <c r="F3" s="2" t="s">
        <v>145</v>
      </c>
    </row>
    <row r="4" customFormat="false" ht="15" hidden="false" customHeight="false" outlineLevel="0" collapsed="false">
      <c r="A4" s="0" t="s">
        <v>146</v>
      </c>
      <c r="B4" s="4" t="n">
        <f aca="false">DCF_Bear!$B$38</f>
        <v>4.35885650803512</v>
      </c>
      <c r="C4" s="0" t="n">
        <f aca="false">B4/Assumptions!$B$2-1</f>
        <v>-0.531305751824181</v>
      </c>
      <c r="D4" s="4" t="n">
        <f aca="false">Assumptions!$B$24</f>
        <v>0.25</v>
      </c>
      <c r="E4" s="4" t="n">
        <f aca="false">DCF_Bear!$B$43</f>
        <v>5.92952537636999</v>
      </c>
      <c r="F4" s="4" t="n">
        <f aca="false">DCF_Bear!$B$47</f>
        <v>2.13959975878062</v>
      </c>
    </row>
    <row r="5" customFormat="false" ht="15" hidden="false" customHeight="false" outlineLevel="0" collapsed="false">
      <c r="A5" s="0" t="s">
        <v>147</v>
      </c>
      <c r="B5" s="4" t="n">
        <f aca="false">DCF_Base!$B$38</f>
        <v>14.1269750787262</v>
      </c>
      <c r="C5" s="0" t="n">
        <f aca="false">B5/Assumptions!$B$2-1</f>
        <v>0.519029578357652</v>
      </c>
      <c r="D5" s="4" t="n">
        <f aca="false">Assumptions!$B$38</f>
        <v>0.5</v>
      </c>
      <c r="E5" s="4" t="n">
        <f aca="false">DCF_Base!$B$43</f>
        <v>16.105254359243</v>
      </c>
      <c r="F5" s="4" t="n">
        <f aca="false">DCF_Base!$B$47</f>
        <v>6.62144516598677</v>
      </c>
    </row>
    <row r="6" customFormat="false" ht="15" hidden="false" customHeight="false" outlineLevel="0" collapsed="false">
      <c r="A6" s="0" t="s">
        <v>148</v>
      </c>
      <c r="B6" s="4" t="n">
        <f aca="false">DCF_Bull!$B$38</f>
        <v>24.2150133699714</v>
      </c>
      <c r="C6" s="0" t="n">
        <f aca="false">B6/Assumptions!$B$2-1</f>
        <v>1.60376487849155</v>
      </c>
      <c r="D6" s="4" t="n">
        <f aca="false">Assumptions!$B$52</f>
        <v>0.25</v>
      </c>
      <c r="E6" s="4" t="n">
        <f aca="false">DCF_Bull!$B$43</f>
        <v>26.7379507260005</v>
      </c>
      <c r="F6" s="4" t="n">
        <f aca="false">DCF_Bull!$B$47</f>
        <v>11.3668766187155</v>
      </c>
    </row>
    <row r="8" customFormat="false" ht="15" hidden="false" customHeight="false" outlineLevel="0" collapsed="false">
      <c r="A8" s="0" t="s">
        <v>149</v>
      </c>
      <c r="B8" s="0" t="n">
        <f aca="false">SUMPRODUCT(B4:B6,D4:D6)</f>
        <v>14.2069550088647</v>
      </c>
    </row>
    <row r="9" customFormat="false" ht="15" hidden="false" customHeight="false" outlineLevel="0" collapsed="false">
      <c r="A9" s="0" t="s">
        <v>150</v>
      </c>
      <c r="B9" s="0" t="n">
        <f aca="false">SUMPRODUCT(E4:E6,D4:D6)</f>
        <v>16.2194962052142</v>
      </c>
    </row>
    <row r="10" customFormat="false" ht="15" hidden="false" customHeight="false" outlineLevel="0" collapsed="false">
      <c r="A10" s="0" t="s">
        <v>151</v>
      </c>
      <c r="B10" s="0" t="n">
        <f aca="false">1-Assumptions!$B$2/B8</f>
        <v>0.345391043035113</v>
      </c>
    </row>
    <row r="11" customFormat="false" ht="15" hidden="false" customHeight="false" outlineLevel="0" collapsed="false">
      <c r="A11" s="0" t="s">
        <v>152</v>
      </c>
      <c r="B11" s="0" t="n">
        <f aca="false">IF(ABS(B9-B8)&gt;0.01*ABS(B8),(Assumptions!$B$2-B8)/(B9-B8)*100,"n/a")</f>
        <v>-243.818860342609</v>
      </c>
    </row>
    <row r="12" customFormat="false" ht="15" hidden="false" customHeight="false" outlineLevel="0" collapsed="false">
      <c r="A12" s="0" t="s">
        <v>153</v>
      </c>
      <c r="B12" s="0" t="n">
        <f aca="false">SUMPRODUCT(F4:F6,D4:D6)</f>
        <v>6.68734167736741</v>
      </c>
    </row>
    <row r="14" customFormat="false" ht="15" hidden="false" customHeight="false" outlineLevel="0" collapsed="false">
      <c r="A14" s="2" t="s">
        <v>154</v>
      </c>
      <c r="C14" s="0" t="s">
        <v>155</v>
      </c>
    </row>
    <row r="15" customFormat="false" ht="15" hidden="false" customHeight="false" outlineLevel="0" collapsed="false">
      <c r="A15" s="0" t="s">
        <v>156</v>
      </c>
      <c r="B15" s="0" t="n">
        <f aca="false">(SUMPRODUCT(DCF_Base!$C$19:$L$19/(1+$C$15/100)^DCF_Base!$C$4:$L$4)+MAX(0,MIN(IF($C$15&gt;DCF_Base!$B$28,DCF_Base!$L$19*(1+DCF_Base!$B$28/100)/(($C$15-DCF_Base!$B$28)/100),DCF_Base!$L$19*DCF_Base!$B$29),DCF_Base!$L$19*DCF_Base!$B$29))/(1+$C$15/100)^DCF_Base!$L$4+Assumptions!$B$5-Assumptions!$B$4)/Assumptions!$B$3*Assumptions!$B$10</f>
        <v>14.8010333852465</v>
      </c>
      <c r="C15" s="3" t="n">
        <v>9</v>
      </c>
    </row>
    <row r="16" customFormat="false" ht="15" hidden="false" customHeight="false" outlineLevel="0" collapsed="false">
      <c r="A16" s="0" t="s">
        <v>157</v>
      </c>
      <c r="B16" s="0" t="n">
        <f aca="false">(SUMPRODUCT(DCF_Base!$C$19:$L$19/(1+$C$16/100)^DCF_Base!$C$4:$L$4)+MAX(0,MIN(IF($C$16&gt;DCF_Base!$B$28,DCF_Base!$L$19*(1+DCF_Base!$B$28/100)/(($C$16-DCF_Base!$B$28)/100),DCF_Base!$L$19*DCF_Base!$B$29),DCF_Base!$L$19*DCF_Base!$B$29))/(1+$C$16/100)^DCF_Base!$L$4+Assumptions!$B$5-Assumptions!$B$4)/Assumptions!$B$3*Assumptions!$B$10</f>
        <v>14.1269750787262</v>
      </c>
      <c r="C16" s="3" t="n">
        <v>9.5</v>
      </c>
    </row>
    <row r="17" customFormat="false" ht="15" hidden="false" customHeight="false" outlineLevel="0" collapsed="false">
      <c r="A17" s="0" t="s">
        <v>158</v>
      </c>
      <c r="B17" s="0" t="n">
        <f aca="false">(SUMPRODUCT(DCF_Base!$C$19:$L$19/(1+$C$17/100)^DCF_Base!$C$4:$L$4)+MAX(0,MIN(IF($C$17&gt;DCF_Base!$B$28,DCF_Base!$L$19*(1+DCF_Base!$B$28/100)/(($C$17-DCF_Base!$B$28)/100),DCF_Base!$L$19*DCF_Base!$B$29),DCF_Base!$L$19*DCF_Base!$B$29))/(1+$C$17/100)^DCF_Base!$L$4+Assumptions!$B$5-Assumptions!$B$4)/Assumptions!$B$3*Assumptions!$B$10</f>
        <v>12.9329814686902</v>
      </c>
      <c r="C17" s="3" t="n">
        <v>10</v>
      </c>
    </row>
    <row r="18" customFormat="false" ht="15" hidden="false" customHeight="false" outlineLevel="0" collapsed="false">
      <c r="A18" s="0" t="s">
        <v>159</v>
      </c>
      <c r="B18" s="0" t="n">
        <f aca="false">(SUMPRODUCT(DCF_Base!$C$19:$L$19/(1+$C$18/100)^DCF_Base!$C$4:$L$4)+MAX(0,MIN(IF($C$18&gt;DCF_Base!$B$28,DCF_Base!$L$19*(1+DCF_Base!$B$28/100)/(($C$18-DCF_Base!$B$28)/100),DCF_Base!$L$19*DCF_Base!$B$29),DCF_Base!$L$19*DCF_Base!$B$29))/(1+$C$18/100)^DCF_Base!$L$4+Assumptions!$B$5-Assumptions!$B$4)/Assumptions!$B$3*Assumptions!$B$10</f>
        <v>11.0067247469092</v>
      </c>
      <c r="C18" s="3" t="n">
        <v>11</v>
      </c>
    </row>
    <row r="19" customFormat="false" ht="15" hidden="false" customHeight="false" outlineLevel="0" collapsed="false">
      <c r="A19" s="0" t="s">
        <v>160</v>
      </c>
      <c r="B19" s="0" t="n">
        <f aca="false">(SUMPRODUCT(DCF_Base!$C$19:$L$19/(1+$C$19/100)^DCF_Base!$C$4:$L$4)+MAX(0,MIN(IF($C$19&gt;DCF_Base!$B$28,DCF_Base!$L$19*(1+DCF_Base!$B$28/100)/(($C$19-DCF_Base!$B$28)/100),DCF_Base!$L$19*DCF_Base!$B$29),DCF_Base!$L$19*DCF_Base!$B$29))/(1+$C$19/100)^DCF_Base!$L$4+Assumptions!$B$5-Assumptions!$B$4)/Assumptions!$B$3*Assumptions!$B$10</f>
        <v>9.52413266964865</v>
      </c>
      <c r="C19" s="3" t="n">
        <v>12</v>
      </c>
    </row>
    <row r="20" customFormat="false" ht="15" hidden="false" customHeight="false" outlineLevel="0" collapsed="false">
      <c r="A20" s="0" t="s">
        <v>161</v>
      </c>
      <c r="B20" s="0" t="n">
        <f aca="false">(SUMPRODUCT(DCF_Base!$C$19:$L$19/(1+$C$20/100)^DCF_Base!$C$4:$L$4)+MAX(0,MIN(IF($C$20&gt;DCF_Base!$B$28,DCF_Base!$L$19*(1+DCF_Base!$B$28/100)/(($C$20-DCF_Base!$B$28)/100),DCF_Base!$L$19*DCF_Base!$B$29),DCF_Base!$L$19*DCF_Base!$B$29))/(1+$C$20/100)^DCF_Base!$L$4+Assumptions!$B$5-Assumptions!$B$4)/Assumptions!$B$3*Assumptions!$B$10</f>
        <v>6.62144516598677</v>
      </c>
      <c r="C20" s="3" t="n">
        <v>15</v>
      </c>
    </row>
    <row r="22" customFormat="false" ht="15" hidden="false" customHeight="false" outlineLevel="0" collapsed="false">
      <c r="A22" s="2" t="s">
        <v>162</v>
      </c>
    </row>
    <row r="23" customFormat="false" ht="15" hidden="false" customHeight="false" outlineLevel="0" collapsed="false">
      <c r="B23" s="3" t="n">
        <v>2</v>
      </c>
      <c r="C23" s="3" t="n">
        <v>2.5</v>
      </c>
      <c r="D23" s="3" t="n">
        <v>3</v>
      </c>
      <c r="E23" s="3" t="n">
        <v>3.5</v>
      </c>
      <c r="F23" s="3" t="n">
        <v>4</v>
      </c>
    </row>
    <row r="24" customFormat="false" ht="15" hidden="false" customHeight="false" outlineLevel="0" collapsed="false">
      <c r="A24" s="3" t="n">
        <v>7.5</v>
      </c>
      <c r="B24" s="0" t="n">
        <f aca="false">(SUMPRODUCT(DCF_Base!$C$19:$L$19/(1+$A$24/100)^DCF_Base!$C$4:$L$4)+MAX(0,MIN(IF($A$24&gt;$B$23,DCF_Base!$L$19*(1+$B$23/100)/(($A$24-$B$23)/100),DCF_Base!$L$19*DCF_Base!$B$29),DCF_Base!$L$19*DCF_Base!$B$29))/(1+$A$24/100)^DCF_Base!$L$4+Assumptions!$B$5-Assumptions!$B$4)/Assumptions!$B$3*Assumptions!$B$10</f>
        <v>16.7262437180077</v>
      </c>
      <c r="C24" s="0" t="n">
        <f aca="false">(SUMPRODUCT(DCF_Base!$C$19:$L$19/(1+$A$24/100)^DCF_Base!$C$4:$L$4)+MAX(0,MIN(IF($A$24&gt;$C$23,DCF_Base!$L$19*(1+$C$23/100)/(($A$24-$C$23)/100),DCF_Base!$L$19*DCF_Base!$B$29),DCF_Base!$L$19*DCF_Base!$B$29))/(1+$A$24/100)^DCF_Base!$L$4+Assumptions!$B$5-Assumptions!$B$4)/Assumptions!$B$3*Assumptions!$B$10</f>
        <v>16.7262437180077</v>
      </c>
      <c r="D24" s="0" t="n">
        <f aca="false">(SUMPRODUCT(DCF_Base!$C$19:$L$19/(1+$A$24/100)^DCF_Base!$C$4:$L$4)+MAX(0,MIN(IF($A$24&gt;$D$23,DCF_Base!$L$19*(1+$D$23/100)/(($A$24-$D$23)/100),DCF_Base!$L$19*DCF_Base!$B$29),DCF_Base!$L$19*DCF_Base!$B$29))/(1+$A$24/100)^DCF_Base!$L$4+Assumptions!$B$5-Assumptions!$B$4)/Assumptions!$B$3*Assumptions!$B$10</f>
        <v>16.7262437180077</v>
      </c>
      <c r="E24" s="0" t="n">
        <f aca="false">(SUMPRODUCT(DCF_Base!$C$19:$L$19/(1+$A$24/100)^DCF_Base!$C$4:$L$4)+MAX(0,MIN(IF($A$24&gt;$E$23,DCF_Base!$L$19*(1+$E$23/100)/(($A$24-$E$23)/100),DCF_Base!$L$19*DCF_Base!$B$29),DCF_Base!$L$19*DCF_Base!$B$29))/(1+$A$24/100)^DCF_Base!$L$4+Assumptions!$B$5-Assumptions!$B$4)/Assumptions!$B$3*Assumptions!$B$10</f>
        <v>16.7262437180077</v>
      </c>
      <c r="F24" s="0" t="n">
        <f aca="false">(SUMPRODUCT(DCF_Base!$C$19:$L$19/(1+$A$24/100)^DCF_Base!$C$4:$L$4)+MAX(0,MIN(IF($A$24&gt;$F$23,DCF_Base!$L$19*(1+$F$23/100)/(($A$24-$F$23)/100),DCF_Base!$L$19*DCF_Base!$B$29),DCF_Base!$L$19*DCF_Base!$B$29))/(1+$A$24/100)^DCF_Base!$L$4+Assumptions!$B$5-Assumptions!$B$4)/Assumptions!$B$3*Assumptions!$B$10</f>
        <v>16.7262437180077</v>
      </c>
    </row>
    <row r="25" customFormat="false" ht="15" hidden="false" customHeight="false" outlineLevel="0" collapsed="false">
      <c r="A25" s="3" t="n">
        <v>8.5</v>
      </c>
      <c r="B25" s="0" t="n">
        <f aca="false">(SUMPRODUCT(DCF_Base!$C$19:$L$19/(1+$A$25/100)^DCF_Base!$C$4:$L$4)+MAX(0,MIN(IF($A$25&gt;$B$23,DCF_Base!$L$19*(1+$B$23/100)/(($A$25-$B$23)/100),DCF_Base!$L$19*DCF_Base!$B$29),DCF_Base!$L$19*DCF_Base!$B$29))/(1+$A$25/100)^DCF_Base!$L$4+Assumptions!$B$5-Assumptions!$B$4)/Assumptions!$B$3*Assumptions!$B$10</f>
        <v>15.2118492160509</v>
      </c>
      <c r="C25" s="0" t="n">
        <f aca="false">(SUMPRODUCT(DCF_Base!$C$19:$L$19/(1+$A$25/100)^DCF_Base!$C$4:$L$4)+MAX(0,MIN(IF($A$25&gt;$C$23,DCF_Base!$L$19*(1+$C$23/100)/(($A$25-$C$23)/100),DCF_Base!$L$19*DCF_Base!$B$29),DCF_Base!$L$19*DCF_Base!$B$29))/(1+$A$25/100)^DCF_Base!$L$4+Assumptions!$B$5-Assumptions!$B$4)/Assumptions!$B$3*Assumptions!$B$10</f>
        <v>15.4121808159393</v>
      </c>
      <c r="D25" s="0" t="n">
        <f aca="false">(SUMPRODUCT(DCF_Base!$C$19:$L$19/(1+$A$25/100)^DCF_Base!$C$4:$L$4)+MAX(0,MIN(IF($A$25&gt;$D$23,DCF_Base!$L$19*(1+$D$23/100)/(($A$25-$D$23)/100),DCF_Base!$L$19*DCF_Base!$B$29),DCF_Base!$L$19*DCF_Base!$B$29))/(1+$A$25/100)^DCF_Base!$L$4+Assumptions!$B$5-Assumptions!$B$4)/Assumptions!$B$3*Assumptions!$B$10</f>
        <v>15.4121808159393</v>
      </c>
      <c r="E25" s="0" t="n">
        <f aca="false">(SUMPRODUCT(DCF_Base!$C$19:$L$19/(1+$A$25/100)^DCF_Base!$C$4:$L$4)+MAX(0,MIN(IF($A$25&gt;$E$23,DCF_Base!$L$19*(1+$E$23/100)/(($A$25-$E$23)/100),DCF_Base!$L$19*DCF_Base!$B$29),DCF_Base!$L$19*DCF_Base!$B$29))/(1+$A$25/100)^DCF_Base!$L$4+Assumptions!$B$5-Assumptions!$B$4)/Assumptions!$B$3*Assumptions!$B$10</f>
        <v>15.4121808159393</v>
      </c>
      <c r="F25" s="0" t="n">
        <f aca="false">(SUMPRODUCT(DCF_Base!$C$19:$L$19/(1+$A$25/100)^DCF_Base!$C$4:$L$4)+MAX(0,MIN(IF($A$25&gt;$F$23,DCF_Base!$L$19*(1+$F$23/100)/(($A$25-$F$23)/100),DCF_Base!$L$19*DCF_Base!$B$29),DCF_Base!$L$19*DCF_Base!$B$29))/(1+$A$25/100)^DCF_Base!$L$4+Assumptions!$B$5-Assumptions!$B$4)/Assumptions!$B$3*Assumptions!$B$10</f>
        <v>15.4121808159393</v>
      </c>
    </row>
    <row r="26" customFormat="false" ht="15" hidden="false" customHeight="false" outlineLevel="0" collapsed="false">
      <c r="A26" s="3" t="n">
        <v>9.5</v>
      </c>
      <c r="B26" s="0" t="n">
        <f aca="false">(SUMPRODUCT(DCF_Base!$C$19:$L$19/(1+$A$26/100)^DCF_Base!$C$4:$L$4)+MAX(0,MIN(IF($A$26&gt;$B$23,DCF_Base!$L$19*(1+$B$23/100)/(($A$26-$B$23)/100),DCF_Base!$L$19*DCF_Base!$B$29),DCF_Base!$L$19*DCF_Base!$B$29))/(1+$A$26/100)^DCF_Base!$L$4+Assumptions!$B$5-Assumptions!$B$4)/Assumptions!$B$3*Assumptions!$B$10</f>
        <v>12.7927518125502</v>
      </c>
      <c r="C26" s="0" t="n">
        <f aca="false">(SUMPRODUCT(DCF_Base!$C$19:$L$19/(1+$A$26/100)^DCF_Base!$C$4:$L$4)+MAX(0,MIN(IF($A$26&gt;$C$23,DCF_Base!$L$19*(1+$C$23/100)/(($A$26-$C$23)/100),DCF_Base!$L$19*DCF_Base!$B$29),DCF_Base!$L$19*DCF_Base!$B$29))/(1+$A$26/100)^DCF_Base!$L$4+Assumptions!$B$5-Assumptions!$B$4)/Assumptions!$B$3*Assumptions!$B$10</f>
        <v>13.4122126147033</v>
      </c>
      <c r="D26" s="0" t="n">
        <f aca="false">(SUMPRODUCT(DCF_Base!$C$19:$L$19/(1+$A$26/100)^DCF_Base!$C$4:$L$4)+MAX(0,MIN(IF($A$26&gt;$D$23,DCF_Base!$L$19*(1+$D$23/100)/(($A$26-$D$23)/100),DCF_Base!$L$19*DCF_Base!$B$29),DCF_Base!$L$19*DCF_Base!$B$29))/(1+$A$26/100)^DCF_Base!$L$4+Assumptions!$B$5-Assumptions!$B$4)/Assumptions!$B$3*Assumptions!$B$10</f>
        <v>14.1269750787262</v>
      </c>
      <c r="E26" s="0" t="n">
        <f aca="false">(SUMPRODUCT(DCF_Base!$C$19:$L$19/(1+$A$26/100)^DCF_Base!$C$4:$L$4)+MAX(0,MIN(IF($A$26&gt;$E$23,DCF_Base!$L$19*(1+$E$23/100)/(($A$26-$E$23)/100),DCF_Base!$L$19*DCF_Base!$B$29),DCF_Base!$L$19*DCF_Base!$B$29))/(1+$A$26/100)^DCF_Base!$L$4+Assumptions!$B$5-Assumptions!$B$4)/Assumptions!$B$3*Assumptions!$B$10</f>
        <v>14.2183602339437</v>
      </c>
      <c r="F26" s="0" t="n">
        <f aca="false">(SUMPRODUCT(DCF_Base!$C$19:$L$19/(1+$A$26/100)^DCF_Base!$C$4:$L$4)+MAX(0,MIN(IF($A$26&gt;$F$23,DCF_Base!$L$19*(1+$F$23/100)/(($A$26-$F$23)/100),DCF_Base!$L$19*DCF_Base!$B$29),DCF_Base!$L$19*DCF_Base!$B$29))/(1+$A$26/100)^DCF_Base!$L$4+Assumptions!$B$5-Assumptions!$B$4)/Assumptions!$B$3*Assumptions!$B$10</f>
        <v>14.2183602339437</v>
      </c>
    </row>
    <row r="27" customFormat="false" ht="15" hidden="false" customHeight="false" outlineLevel="0" collapsed="false">
      <c r="A27" s="3" t="n">
        <v>10.5</v>
      </c>
      <c r="B27" s="0" t="n">
        <f aca="false">(SUMPRODUCT(DCF_Base!$C$19:$L$19/(1+$A$27/100)^DCF_Base!$C$4:$L$4)+MAX(0,MIN(IF($A$27&gt;$B$23,DCF_Base!$L$19*(1+$B$23/100)/(($A$27-$B$23)/100),DCF_Base!$L$19*DCF_Base!$B$29),DCF_Base!$L$19*DCF_Base!$B$29))/(1+$A$27/100)^DCF_Base!$L$4+Assumptions!$B$5-Assumptions!$B$4)/Assumptions!$B$3*Assumptions!$B$10</f>
        <v>10.9630849951985</v>
      </c>
      <c r="C27" s="0" t="n">
        <f aca="false">(SUMPRODUCT(DCF_Base!$C$19:$L$19/(1+$A$27/100)^DCF_Base!$C$4:$L$4)+MAX(0,MIN(IF($A$27&gt;$C$23,DCF_Base!$L$19*(1+$C$23/100)/(($A$27-$C$23)/100),DCF_Base!$L$19*DCF_Base!$B$29),DCF_Base!$L$19*DCF_Base!$B$29))/(1+$A$27/100)^DCF_Base!$L$4+Assumptions!$B$5-Assumptions!$B$4)/Assumptions!$B$3*Assumptions!$B$10</f>
        <v>11.4037725557215</v>
      </c>
      <c r="D27" s="0" t="n">
        <f aca="false">(SUMPRODUCT(DCF_Base!$C$19:$L$19/(1+$A$27/100)^DCF_Base!$C$4:$L$4)+MAX(0,MIN(IF($A$27&gt;$D$23,DCF_Base!$L$19*(1+$D$23/100)/(($A$27-$D$23)/100),DCF_Base!$L$19*DCF_Base!$B$29),DCF_Base!$L$19*DCF_Base!$B$29))/(1+$A$27/100)^DCF_Base!$L$4+Assumptions!$B$5-Assumptions!$B$4)/Assumptions!$B$3*Assumptions!$B$10</f>
        <v>11.9032184576476</v>
      </c>
      <c r="E27" s="0" t="n">
        <f aca="false">(SUMPRODUCT(DCF_Base!$C$19:$L$19/(1+$A$27/100)^DCF_Base!$C$4:$L$4)+MAX(0,MIN(IF($A$27&gt;$E$23,DCF_Base!$L$19*(1+$E$23/100)/(($A$27-$E$23)/100),DCF_Base!$L$19*DCF_Base!$B$29),DCF_Base!$L$19*DCF_Base!$B$29))/(1+$A$27/100)^DCF_Base!$L$4+Assumptions!$B$5-Assumptions!$B$4)/Assumptions!$B$3*Assumptions!$B$10</f>
        <v>12.4740137741345</v>
      </c>
      <c r="F27" s="0" t="n">
        <f aca="false">(SUMPRODUCT(DCF_Base!$C$19:$L$19/(1+$A$27/100)^DCF_Base!$C$4:$L$4)+MAX(0,MIN(IF($A$27&gt;$F$23,DCF_Base!$L$19*(1+$F$23/100)/(($A$27-$F$23)/100),DCF_Base!$L$19*DCF_Base!$B$29),DCF_Base!$L$19*DCF_Base!$B$29))/(1+$A$27/100)^DCF_Base!$L$4+Assumptions!$B$5-Assumptions!$B$4)/Assumptions!$B$3*Assumptions!$B$10</f>
        <v>13.1326237546964</v>
      </c>
    </row>
    <row r="28" customFormat="false" ht="15" hidden="false" customHeight="false" outlineLevel="0" collapsed="false">
      <c r="A28" s="3" t="n">
        <v>11.5</v>
      </c>
      <c r="B28" s="0" t="n">
        <f aca="false">(SUMPRODUCT(DCF_Base!$C$19:$L$19/(1+$A$28/100)^DCF_Base!$C$4:$L$4)+MAX(0,MIN(IF($A$28&gt;$B$23,DCF_Base!$L$19*(1+$B$23/100)/(($A$28-$B$23)/100),DCF_Base!$L$19*DCF_Base!$B$29),DCF_Base!$L$19*DCF_Base!$B$29))/(1+$A$28/100)^DCF_Base!$L$4+Assumptions!$B$5-Assumptions!$B$4)/Assumptions!$B$3*Assumptions!$B$10</f>
        <v>9.53542463019623</v>
      </c>
      <c r="C28" s="0" t="n">
        <f aca="false">(SUMPRODUCT(DCF_Base!$C$19:$L$19/(1+$A$28/100)^DCF_Base!$C$4:$L$4)+MAX(0,MIN(IF($A$28&gt;$C$23,DCF_Base!$L$19*(1+$C$23/100)/(($A$28-$C$23)/100),DCF_Base!$L$19*DCF_Base!$B$29),DCF_Base!$L$19*DCF_Base!$B$29))/(1+$A$28/100)^DCF_Base!$L$4+Assumptions!$B$5-Assumptions!$B$4)/Assumptions!$B$3*Assumptions!$B$10</f>
        <v>9.8586163944936</v>
      </c>
      <c r="D28" s="0" t="n">
        <f aca="false">(SUMPRODUCT(DCF_Base!$C$19:$L$19/(1+$A$28/100)^DCF_Base!$C$4:$L$4)+MAX(0,MIN(IF($A$28&gt;$D$23,DCF_Base!$L$19*(1+$D$23/100)/(($A$28-$D$23)/100),DCF_Base!$L$19*DCF_Base!$B$29),DCF_Base!$L$19*DCF_Base!$B$29))/(1+$A$28/100)^DCF_Base!$L$4+Assumptions!$B$5-Assumptions!$B$4)/Assumptions!$B$3*Assumptions!$B$10</f>
        <v>10.2198307192965</v>
      </c>
      <c r="E28" s="0" t="n">
        <f aca="false">(SUMPRODUCT(DCF_Base!$C$19:$L$19/(1+$A$28/100)^DCF_Base!$C$4:$L$4)+MAX(0,MIN(IF($A$28&gt;$E$23,DCF_Base!$L$19*(1+$E$23/100)/(($A$28-$E$23)/100),DCF_Base!$L$19*DCF_Base!$B$29),DCF_Base!$L$19*DCF_Base!$B$29))/(1+$A$28/100)^DCF_Base!$L$4+Assumptions!$B$5-Assumptions!$B$4)/Assumptions!$B$3*Assumptions!$B$10</f>
        <v>10.6261968346998</v>
      </c>
      <c r="F28" s="0" t="n">
        <f aca="false">(SUMPRODUCT(DCF_Base!$C$19:$L$19/(1+$A$28/100)^DCF_Base!$C$4:$L$4)+MAX(0,MIN(IF($A$28&gt;$F$23,DCF_Base!$L$19*(1+$F$23/100)/(($A$28-$F$23)/100),DCF_Base!$L$19*DCF_Base!$B$29),DCF_Base!$L$19*DCF_Base!$B$29))/(1+$A$28/100)^DCF_Base!$L$4+Assumptions!$B$5-Assumptions!$B$4)/Assumptions!$B$3*Assumptions!$B$10</f>
        <v>11.0867450988236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2026-10-16T13:41:45Z</dcterms:created>
  <dc:creator>openpyxl</dc:creator>
  <dc:description/>
  <dc:language>en-NZ</dc:language>
  <cp:lastModifiedBy/>
  <dcterms:modified xsi:type="dcterms:W3CDTF">2026-10-16T13:41:45Z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