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<sst xmlns="http://schemas.openxmlformats.org/spreadsheetml/2006/main" count="363" uniqueCount="166">
  <si>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</si>
  <si>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IPH.AX</t>
  </si>
  <si>
    <t xml:space="preserve">Company</t>
  </si>
  <si>
    <t xml:space="preserve">IPH Limited</t>
  </si>
  <si>
    <t xml:space="preserve">Valuation date</t>
  </si>
  <si>
    <t xml:space="preserve">2026-09-23</t>
  </si>
  <si>
    <t xml:space="preserve">Current price</t>
  </si>
  <si>
    <t xml:space="preserve">Price as of</t>
  </si>
  <si>
    <t xml:space="preserve">2026-09-23T02:27:52Z (ASX regular session, intraday)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</si>
  <si>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</si>
  <si>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</si>
  <si>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</si>
  <si>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</si>
  <si>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</si>
  <si>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</si>
  <si>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</si>
  <si>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</si>
  <si>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</si>
  <si>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</si>
  <si>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</si>
  <si>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</si>
  <si>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2026-09-23T02:52:48Z</t>
  </si>
  <si>
    <t xml:space="preserve">Drivers file</t>
  </si>
  <si>
    <t xml:space="preserve">IPH.AX_Drivers.json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</si>
  <si>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</si>
  <si>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</si>
  <si>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</si>
  <si>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IPH is valued as a mature, ~70%-recurring professional-services cash-flow stream on an owner-FCF basis: SBC expensed, leases charged as operating cost, acquired-intangible amortisation ignored as non-cash (but not tax-deductible), net debt and the just-paid final dividend deducted. The roll-up era is over -- management has said so -- so the historical acquisition-driven revenue CAGRs are discarded in favour of organic growth judgments per region. The stock trades at ~6x EV/EBITDA and ~10x underlying EPS with an ~11% dividend yield, which prices sustained decline; the valuation question is whether the FY26 ANZ share loss is a trough or the start of a trend, and the 30% bear weight is where that uncertainty lives.
key_risks_to_valuation: Australian patent market share continues to fall from 24.1% rather than stabilising (bear axis; ANZ is 42% of EBITDA); Inbound US-origin PCT filings (42% of patent volume) stay depressed or re-route away from IPH's jurisdictions; Generative-AI drafting compresses prosecution fees faster than productivity gains offset them; AUD strength against CAD/USD reduces the AUD value of the 58% of earnings generated outside ANZ; Dividend (~117m/yr incl. buy-back) exceeds levered owner FCF without growth; a cut would hit the yield-driven shareholder base; Negative NTA (-$0.94/share): goodwill impairment risk if Canadian or ANZ firms underperform, and the 1.8x net debt/EBITDA facility covenant (maturities Sept 2027-Dec 2028) limits flexibility in the bear path; Terminal value is capped at 13x owner FCF (base), which still implies an exit EV/EBITDA above today's ~6x -- the DCF assumes the market stops pricing terminal decline</t>
  </si>
  <si>
    <t xml:space="preserve">Data sources</t>
  </si>
  <si>
    <t xml:space="preserve">price: Yahoo Finance chart API at inputs.price_as_of; 52-week range 3.155-4.42
financials: IPH.AX_Metrics.csv (core_metrics, AUD millions, FY2016-FY2026) and IPH.AX_Annual_FY2026.txt: cash-flow statement (OCF 151.4, capex 2.9, lease principal 12.6, dividends 98.9, buy-back 18.7), net-debt table (debt 376.3 face / 374.7 carrying, cash 59.8), note 3.2 issued capital (256,293,158 shares), Directors' Report performance rights (2,044,498), underlying-to-statutory EBITDA reconciliation (205.9 -&gt; 196.5), note 1.9 (SBC 1.7, D&amp;A 66.9, ROU depreciation 10.2), segment table (ANZ / Canada / Asia)
qualitative: IPH.AX_Analysis.json (2026-09-23): ANZ share 29.3% -&gt; 24.1%, Canada 37% of EBITDA, no FY27 guidance, CEO transition 1 July 2026, bull/bear axes</t>
  </si>
  <si>
    <t xml:space="preserve">Scenario narrative: bear</t>
  </si>
  <si>
    <t xml:space="preserve">ANZ erosion and soft US-origin filings persist, AI compresses attorney fees, AUD stays strong; revenue down ~9% over four years, margin 24%, dividend cut, 10x terminal cap.</t>
  </si>
  <si>
    <t xml:space="preserve">Scenario narrative: base</t>
  </si>
  <si>
    <t xml:space="preserve">Post-acquisition IPH grows organically at 1-2.5%: Canada mid-single-digit, Asia flat, ANZ stabilised but not recovered. Margin returns to the FY26 underlying 29% via the Griffith Hack consolidation and Canadian synergies. Dividend is held but coverage stays tight because levered owner FCF (~107m) sits just below the FY26 dividend-plus-buyback (117.6m) until growth lifts it.</t>
  </si>
  <si>
    <t xml:space="preserve">Scenario narrative: bull</t>
  </si>
  <si>
    <t xml:space="preserve">New CEO stabilises ANZ share, US filings recover, Canada compounds, trade marks/legal outgrow patents, AI lifts productivity; margin 30.5%, growth 3.5-5% for four years then tapering.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</si>
  <si>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</si>
  <si>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</si>
  <si>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</si>
  <si>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</si>
  <si>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</si>
  <si>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</si>
  <si>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</si>
  <si>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</si>
  <si>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</si>
  <si>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</si>
  <si>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</si>
  <si>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</si>
  <si>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</si>
  <si>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</si>
  <si>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</si>
  <si>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</si>
  <si>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</si>
  <si>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</si>
  <si>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</si>
  <si>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</si>
  <si>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</si>
  <si>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</si>
  <si>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</si>
  <si>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</si>
  <si>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</si>
  <si>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</si>
  <si>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</si>
  <si>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</si>
  <si>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</si>
  <si>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</si>
  <si>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</si>
  <si>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</si>
  <si>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</si>
  <si>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</si>
  <si>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</si>
  <si>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</si>
  <si>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</si>
  <si>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</si>
  <si>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</si>
  <si>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</si>
  <si>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</si>
  <si>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</si>
  <si>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</si>
  <si>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</si>
  <si>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</si>
  <si>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</si>
  <si>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</si>
  <si>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</si>
  <si>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</si>
  <si>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</si>
  <si>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</si>
  <si>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</si>
  <si>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</si>
  <si>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</si>
  <si>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</si>
  <si>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</si>
  <si>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</si>
  <si>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</si>
  <si>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</si>
  <si>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</si>
  <si>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</si>
  <si>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</si>
  <si>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</si>
  <si>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</si>
  <si>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</si>
  <si>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</si>
  <si>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</si>
  <si>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</si>
  <si>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</si>
  <si>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</si>
  <si>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</si>
  <si>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</si>
  <si>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</si>
  <si>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</si>
  <si>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</si>
  <si>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IPH.AX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</si>
  <si>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</si>
  <si>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</si>
  <si>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</si>
  <si>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</si>
  <si>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</si>
  <si>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</si>
  <si>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</si>
  <si>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</si>
  <si>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</si>
  <si>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</si>
  <si>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</si>
  <si>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</si>
  <si>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</si>
  <si>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</si>
  <si>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</si>
  <si>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</si>
  <si>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</si>
  <si>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</si>
  <si>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</si>
  <si>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</si>
  <si>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</si>
  <si>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</si>
  <si>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</si>
  <si>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</si>
  <si>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</si>
  <si>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</si>
  <si>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</si>
  <si>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</si>
  <si>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</si>
  <si>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</si>
  <si>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IPH.AX owner-FCF component DCF: base case (millions, AUD)</t>
  </si>
  <si>
    <t xml:space="preserve">IPH.AX owner-FCF component DCF: bull case (millions, AUD)</t>
  </si>
  <si>
    <t xml:space="preserve">IPH.AX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</si>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</sst>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3.41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140.04</v>
      </c>
      <c r="F2" s="0" t="n">
        <v>52.306</v>
      </c>
      <c r="G2" s="0" t="n">
        <v>37.4</v>
      </c>
      <c r="H2" s="0" t="n">
        <v>59.47</v>
      </c>
      <c r="I2" s="0" t="n">
        <v>38.843</v>
      </c>
      <c r="J2" s="0" t="n">
        <v>27.7</v>
      </c>
      <c r="K2" s="0" t="n">
        <v>0.2192</v>
      </c>
      <c r="L2" s="0" t="n">
        <v>42.055</v>
      </c>
      <c r="M2" s="0" t="n">
        <v>3.295</v>
      </c>
      <c r="N2" s="0" t="n">
        <v>38.76</v>
      </c>
      <c r="O2" s="0" t="n">
        <v>221.812</v>
      </c>
      <c r="P2" s="0" t="n">
        <v>297.98</v>
      </c>
      <c r="Q2" s="0" t="n">
        <v>76.168</v>
      </c>
      <c r="R2" s="0" t="n">
        <v>0</v>
      </c>
      <c r="S2" s="0" t="n">
        <v>58.761</v>
      </c>
      <c r="T2" s="0" t="n">
        <v>179</v>
      </c>
      <c r="U2" s="0" t="n">
        <v>0.845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182.041</v>
      </c>
      <c r="F3" s="0" t="n">
        <v>58.329</v>
      </c>
      <c r="G3" s="0" t="n">
        <v>32</v>
      </c>
      <c r="H3" s="0" t="n">
        <v>68.658</v>
      </c>
      <c r="I3" s="0" t="n">
        <v>42.893</v>
      </c>
      <c r="J3" s="0" t="n">
        <v>23.6</v>
      </c>
      <c r="K3" s="0" t="n">
        <v>0.2246</v>
      </c>
      <c r="L3" s="0" t="n">
        <v>49.922</v>
      </c>
      <c r="M3" s="0" t="n">
        <v>3.289</v>
      </c>
      <c r="N3" s="0" t="n">
        <v>46.633</v>
      </c>
      <c r="O3" s="0" t="n">
        <v>239.694</v>
      </c>
      <c r="P3" s="0" t="n">
        <v>287.031</v>
      </c>
      <c r="Q3" s="0" t="n">
        <v>47.337</v>
      </c>
      <c r="R3" s="0" t="n">
        <v>0</v>
      </c>
      <c r="S3" s="0" t="n">
        <v>24.398</v>
      </c>
      <c r="T3" s="0" t="n">
        <v>192.09</v>
      </c>
      <c r="U3" s="0" t="n">
        <v>1.336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221.956</v>
      </c>
      <c r="F4" s="0" t="n">
        <v>54.828</v>
      </c>
      <c r="G4" s="0" t="n">
        <v>24.7</v>
      </c>
      <c r="H4" s="0" t="n">
        <v>67.92</v>
      </c>
      <c r="I4" s="0" t="n">
        <v>40.673</v>
      </c>
      <c r="J4" s="0" t="n">
        <v>18.3</v>
      </c>
      <c r="K4" s="0" t="n">
        <v>0.2079</v>
      </c>
      <c r="L4" s="0" t="n">
        <v>46.457</v>
      </c>
      <c r="M4" s="0" t="n">
        <v>4.014</v>
      </c>
      <c r="N4" s="0" t="n">
        <v>42.443</v>
      </c>
      <c r="O4" s="0" t="n">
        <v>267.588</v>
      </c>
      <c r="P4" s="0" t="n">
        <v>367.89</v>
      </c>
      <c r="Q4" s="0" t="n">
        <v>100.302</v>
      </c>
      <c r="R4" s="0" t="n">
        <v>40.102</v>
      </c>
      <c r="S4" s="0" t="n">
        <v>26.213</v>
      </c>
      <c r="T4" s="0" t="n">
        <v>195.64</v>
      </c>
      <c r="U4" s="0" t="n">
        <v>0.676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252.544</v>
      </c>
      <c r="F5" s="0" t="n">
        <v>73.201</v>
      </c>
      <c r="G5" s="0" t="n">
        <v>29</v>
      </c>
      <c r="H5" s="0" t="n">
        <v>85.856</v>
      </c>
      <c r="I5" s="0" t="n">
        <v>53.111</v>
      </c>
      <c r="J5" s="0" t="n">
        <v>21</v>
      </c>
      <c r="K5" s="0" t="n">
        <v>0.2691</v>
      </c>
      <c r="L5" s="0" t="n">
        <v>61.55</v>
      </c>
      <c r="M5" s="0" t="n">
        <v>5.89</v>
      </c>
      <c r="N5" s="0" t="n">
        <v>55.66</v>
      </c>
      <c r="O5" s="0" t="n">
        <v>284.75</v>
      </c>
      <c r="P5" s="0" t="n">
        <v>414.896</v>
      </c>
      <c r="Q5" s="0" t="n">
        <v>130.146</v>
      </c>
      <c r="R5" s="0" t="n">
        <v>65.47</v>
      </c>
      <c r="S5" s="0" t="n">
        <v>35.263</v>
      </c>
      <c r="T5" s="0" t="n">
        <v>197.37</v>
      </c>
      <c r="U5" s="0" t="n">
        <v>2.2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365.674</v>
      </c>
      <c r="F6" s="0" t="n">
        <v>78.742</v>
      </c>
      <c r="G6" s="0" t="n">
        <v>21.5</v>
      </c>
      <c r="H6" s="0" t="n">
        <v>113.223</v>
      </c>
      <c r="I6" s="0" t="n">
        <v>54.752</v>
      </c>
      <c r="J6" s="0" t="n">
        <v>15</v>
      </c>
      <c r="K6" s="0" t="n">
        <v>0.2585</v>
      </c>
      <c r="L6" s="0" t="n">
        <v>89.818</v>
      </c>
      <c r="M6" s="0" t="n">
        <v>5.163</v>
      </c>
      <c r="N6" s="0" t="n">
        <v>84.655</v>
      </c>
      <c r="O6" s="0" t="n">
        <v>422.662</v>
      </c>
      <c r="P6" s="0" t="n">
        <v>739.108</v>
      </c>
      <c r="Q6" s="0" t="n">
        <v>316.446</v>
      </c>
      <c r="R6" s="0" t="n">
        <v>151.238</v>
      </c>
      <c r="S6" s="0" t="n">
        <v>82.91</v>
      </c>
      <c r="T6" s="0" t="n">
        <v>211.81</v>
      </c>
      <c r="U6" s="0" t="n">
        <v>2.696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359.684</v>
      </c>
      <c r="F7" s="0" t="n">
        <v>75.796</v>
      </c>
      <c r="G7" s="0" t="n">
        <v>21.1</v>
      </c>
      <c r="H7" s="0" t="n">
        <v>113.266</v>
      </c>
      <c r="I7" s="0" t="n">
        <v>53.6</v>
      </c>
      <c r="J7" s="0" t="n">
        <v>14.9</v>
      </c>
      <c r="K7" s="0" t="n">
        <v>0.248</v>
      </c>
      <c r="L7" s="0" t="n">
        <v>92.649</v>
      </c>
      <c r="M7" s="0" t="n">
        <v>6.178</v>
      </c>
      <c r="N7" s="0" t="n">
        <v>86.471</v>
      </c>
      <c r="O7" s="0" t="n">
        <v>426.792</v>
      </c>
      <c r="P7" s="0" t="n">
        <v>674.824</v>
      </c>
      <c r="Q7" s="0" t="n">
        <v>248.032</v>
      </c>
      <c r="R7" s="0" t="n">
        <v>116.159</v>
      </c>
      <c r="S7" s="0" t="n">
        <v>71.152</v>
      </c>
      <c r="T7" s="0" t="n">
        <v>216.65</v>
      </c>
      <c r="U7" s="0" t="n">
        <v>3.051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374.33</v>
      </c>
      <c r="F8" s="0" t="n">
        <v>76.377</v>
      </c>
      <c r="G8" s="0" t="n">
        <v>20.4</v>
      </c>
      <c r="H8" s="0" t="n">
        <v>115.94</v>
      </c>
      <c r="I8" s="0" t="n">
        <v>52.564</v>
      </c>
      <c r="J8" s="0" t="n">
        <v>14</v>
      </c>
      <c r="K8" s="0" t="n">
        <v>0.2409</v>
      </c>
      <c r="L8" s="0" t="n">
        <v>94.879</v>
      </c>
      <c r="M8" s="0" t="n">
        <v>7.19</v>
      </c>
      <c r="N8" s="0" t="n">
        <v>87.689</v>
      </c>
      <c r="O8" s="0" t="n">
        <v>429.711</v>
      </c>
      <c r="P8" s="0" t="n">
        <v>688.417</v>
      </c>
      <c r="Q8" s="0" t="n">
        <v>258.706</v>
      </c>
      <c r="R8" s="0" t="n">
        <v>118.477</v>
      </c>
      <c r="S8" s="0" t="n">
        <v>88.399</v>
      </c>
      <c r="T8" s="0" t="n">
        <v>219.11</v>
      </c>
      <c r="U8" s="0" t="n">
        <v>4.85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482.865</v>
      </c>
      <c r="F9" s="0" t="n">
        <v>105.689</v>
      </c>
      <c r="G9" s="0" t="n">
        <v>21.9</v>
      </c>
      <c r="H9" s="0" t="n">
        <v>159.04</v>
      </c>
      <c r="I9" s="0" t="n">
        <v>64.541</v>
      </c>
      <c r="J9" s="0" t="n">
        <v>13.4</v>
      </c>
      <c r="K9" s="0" t="n">
        <v>0.2862</v>
      </c>
      <c r="L9" s="0" t="n">
        <v>91.79</v>
      </c>
      <c r="M9" s="0" t="n">
        <v>6.892</v>
      </c>
      <c r="N9" s="0" t="n">
        <v>84.898</v>
      </c>
      <c r="O9" s="0" t="n">
        <v>577.126</v>
      </c>
      <c r="P9" s="0" t="n">
        <v>1196.625</v>
      </c>
      <c r="Q9" s="0" t="n">
        <v>619.499</v>
      </c>
      <c r="R9" s="0" t="n">
        <v>387.744</v>
      </c>
      <c r="S9" s="0" t="n">
        <v>103.267</v>
      </c>
      <c r="T9" s="0" t="n">
        <v>227.02</v>
      </c>
      <c r="U9" s="0" t="n">
        <v>6.144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605.6</v>
      </c>
      <c r="F10" s="0" t="n">
        <v>110.7</v>
      </c>
      <c r="G10" s="0" t="n">
        <v>18.3</v>
      </c>
      <c r="H10" s="0" t="n">
        <v>175.7</v>
      </c>
      <c r="I10" s="0" t="n">
        <v>60.8</v>
      </c>
      <c r="J10" s="0" t="n">
        <v>10</v>
      </c>
      <c r="K10" s="0" t="n">
        <v>0.2512</v>
      </c>
      <c r="L10" s="0" t="n">
        <v>131.9</v>
      </c>
      <c r="M10" s="0" t="n">
        <v>11</v>
      </c>
      <c r="N10" s="0" t="n">
        <v>120.9</v>
      </c>
      <c r="O10" s="0" t="n">
        <v>634.3</v>
      </c>
      <c r="P10" s="0" t="n">
        <v>1313.4</v>
      </c>
      <c r="Q10" s="0" t="n">
        <v>679.1</v>
      </c>
      <c r="R10" s="0" t="n">
        <v>434.1</v>
      </c>
      <c r="S10" s="0" t="n">
        <v>75.5</v>
      </c>
      <c r="T10" s="0" t="n">
        <v>243.79</v>
      </c>
      <c r="U10" s="0" t="n">
        <v>8.1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706.2</v>
      </c>
      <c r="F11" s="0" t="n">
        <v>114.3</v>
      </c>
      <c r="G11" s="0" t="n">
        <v>16.2</v>
      </c>
      <c r="H11" s="0" t="n">
        <v>186.4</v>
      </c>
      <c r="I11" s="0" t="n">
        <v>68.8</v>
      </c>
      <c r="J11" s="0" t="n">
        <v>9.7</v>
      </c>
      <c r="K11" s="0" t="n">
        <v>0.2584</v>
      </c>
      <c r="L11" s="0" t="n">
        <v>133.7</v>
      </c>
      <c r="M11" s="0" t="n">
        <v>7.9</v>
      </c>
      <c r="N11" s="0" t="n">
        <v>125.8</v>
      </c>
      <c r="O11" s="0" t="n">
        <v>699.4</v>
      </c>
      <c r="P11" s="0" t="n">
        <v>1350.5</v>
      </c>
      <c r="Q11" s="0" t="n">
        <v>651.1</v>
      </c>
      <c r="R11" s="0" t="n">
        <v>413.4</v>
      </c>
      <c r="S11" s="0" t="n">
        <v>59</v>
      </c>
      <c r="T11" s="0" t="n">
        <v>267.5</v>
      </c>
      <c r="U11" s="0" t="n">
        <v>4.9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710.4</v>
      </c>
      <c r="F12" s="0" t="n">
        <v>129.7</v>
      </c>
      <c r="G12" s="0" t="n">
        <v>18.3</v>
      </c>
      <c r="H12" s="0" t="n">
        <v>196.5</v>
      </c>
      <c r="I12" s="0" t="n">
        <v>80.4</v>
      </c>
      <c r="J12" s="0" t="n">
        <v>11.3</v>
      </c>
      <c r="K12" s="0" t="n">
        <v>0.3094</v>
      </c>
      <c r="L12" s="0" t="n">
        <v>151.4</v>
      </c>
      <c r="M12" s="0" t="n">
        <v>2.9</v>
      </c>
      <c r="N12" s="0" t="n">
        <v>148.5</v>
      </c>
      <c r="O12" s="0" t="n">
        <v>622.3</v>
      </c>
      <c r="P12" s="0" t="n">
        <v>1208.4</v>
      </c>
      <c r="Q12" s="0" t="n">
        <v>586.1</v>
      </c>
      <c r="R12" s="0" t="n">
        <v>374.7</v>
      </c>
      <c r="S12" s="0" t="n">
        <v>59.8</v>
      </c>
      <c r="T12" s="0" t="n">
        <v>260.87</v>
      </c>
      <c r="U12" s="0" t="n">
        <v>1.7</v>
      </c>
      <c r="AA12" s="0" t="s">
        <v>17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3.41</v>
      </c>
    </row>
    <row r="3" customFormat="false" ht="15" hidden="false" customHeight="false" outlineLevel="0" collapsed="false">
      <c r="A3" s="0" t="s">
        <v>77</v>
      </c>
      <c r="B3" s="3" t="n">
        <v>258.3</v>
      </c>
    </row>
    <row r="4" customFormat="false" ht="15" hidden="false" customHeight="false" outlineLevel="0" collapsed="false">
      <c r="A4" s="0" t="s">
        <v>78</v>
      </c>
      <c r="B4" s="3" t="n">
        <v>314.9</v>
      </c>
    </row>
    <row r="5" customFormat="false" ht="15" hidden="false" customHeight="false" outlineLevel="0" collapsed="false">
      <c r="A5" s="0" t="s">
        <v>79</v>
      </c>
      <c r="B5" s="3" t="n">
        <v>-51.2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710.4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-3</v>
      </c>
      <c r="D13" s="3" t="n">
        <v>-3</v>
      </c>
      <c r="E13" s="3" t="n">
        <v>-2</v>
      </c>
      <c r="F13" s="3" t="n">
        <v>-1</v>
      </c>
      <c r="G13" s="3" t="n">
        <v>0</v>
      </c>
      <c r="H13" s="3" t="n">
        <v>0</v>
      </c>
      <c r="I13" s="3" t="n">
        <v>0.5</v>
      </c>
      <c r="J13" s="3" t="n">
        <v>0.5</v>
      </c>
      <c r="K13" s="3" t="n">
        <v>0.5</v>
      </c>
      <c r="L13" s="3" t="n">
        <v>0.5</v>
      </c>
    </row>
    <row r="14" customFormat="false" ht="15" hidden="false" customHeight="false" outlineLevel="0" collapsed="false">
      <c r="A14" s="0" t="s">
        <v>98</v>
      </c>
      <c r="C14" s="3" t="n">
        <v>27.5</v>
      </c>
      <c r="D14" s="3" t="n">
        <v>26.5</v>
      </c>
      <c r="E14" s="3" t="n">
        <v>25.5</v>
      </c>
      <c r="F14" s="3" t="n">
        <v>25</v>
      </c>
      <c r="G14" s="3" t="n">
        <v>24.5</v>
      </c>
      <c r="H14" s="3" t="n">
        <v>24</v>
      </c>
      <c r="I14" s="3" t="n">
        <v>24</v>
      </c>
      <c r="J14" s="3" t="n">
        <v>24</v>
      </c>
      <c r="K14" s="3" t="n">
        <v>24</v>
      </c>
      <c r="L14" s="3" t="n">
        <v>24</v>
      </c>
    </row>
    <row r="15" customFormat="false" ht="15" hidden="false" customHeight="false" outlineLevel="0" collapsed="false">
      <c r="A15" s="0" t="s">
        <v>99</v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100</v>
      </c>
      <c r="C16" s="3" t="n">
        <v>2.1</v>
      </c>
      <c r="D16" s="3" t="n">
        <v>2.2</v>
      </c>
      <c r="E16" s="3" t="n">
        <v>2.3</v>
      </c>
      <c r="F16" s="3" t="n">
        <v>2.3</v>
      </c>
      <c r="G16" s="3" t="n">
        <v>2.3</v>
      </c>
      <c r="H16" s="3" t="n">
        <v>2.3</v>
      </c>
      <c r="I16" s="3" t="n">
        <v>2.3</v>
      </c>
      <c r="J16" s="3" t="n">
        <v>2.3</v>
      </c>
      <c r="K16" s="3" t="n">
        <v>2.3</v>
      </c>
      <c r="L16" s="3" t="n">
        <v>2.3</v>
      </c>
    </row>
    <row r="17" customFormat="false" ht="15" hidden="false" customHeight="false" outlineLevel="0" collapsed="false">
      <c r="A17" s="0" t="s">
        <v>101</v>
      </c>
      <c r="C17" s="3" t="n">
        <v>1.2</v>
      </c>
      <c r="D17" s="3" t="n">
        <v>1.2</v>
      </c>
      <c r="E17" s="3" t="n">
        <v>1.2</v>
      </c>
      <c r="F17" s="3" t="n">
        <v>1.2</v>
      </c>
      <c r="G17" s="3" t="n">
        <v>1.2</v>
      </c>
      <c r="H17" s="3" t="n">
        <v>1.2</v>
      </c>
      <c r="I17" s="3" t="n">
        <v>1.2</v>
      </c>
      <c r="J17" s="3" t="n">
        <v>1.2</v>
      </c>
      <c r="K17" s="3" t="n">
        <v>1.2</v>
      </c>
      <c r="L17" s="3" t="n">
        <v>1.2</v>
      </c>
    </row>
    <row r="18" customFormat="false" ht="15" hidden="false" customHeight="false" outlineLevel="0" collapsed="false">
      <c r="A18" s="0" t="s">
        <v>102</v>
      </c>
      <c r="C18" s="3" t="n">
        <v>1</v>
      </c>
      <c r="D18" s="3" t="n">
        <v>1.2</v>
      </c>
      <c r="E18" s="3" t="n">
        <v>1.2</v>
      </c>
      <c r="F18" s="3" t="n">
        <v>1.2</v>
      </c>
      <c r="G18" s="3" t="n">
        <v>1.2</v>
      </c>
      <c r="H18" s="3" t="n">
        <v>1.2</v>
      </c>
      <c r="I18" s="3" t="n">
        <v>1.2</v>
      </c>
      <c r="J18" s="3" t="n">
        <v>1.2</v>
      </c>
      <c r="K18" s="3" t="n">
        <v>1.2</v>
      </c>
      <c r="L18" s="3" t="n">
        <v>1.2</v>
      </c>
    </row>
    <row r="19" customFormat="false" ht="15" hidden="false" customHeight="false" outlineLevel="0" collapsed="false">
      <c r="A19" s="0" t="s">
        <v>103</v>
      </c>
      <c r="C19" s="3" t="n">
        <v>27.5</v>
      </c>
      <c r="D19" s="3" t="n">
        <v>27.5</v>
      </c>
      <c r="E19" s="3" t="n">
        <v>27.5</v>
      </c>
      <c r="F19" s="3" t="n">
        <v>27.5</v>
      </c>
      <c r="G19" s="3" t="n">
        <v>27.5</v>
      </c>
      <c r="H19" s="3" t="n">
        <v>27.5</v>
      </c>
      <c r="I19" s="3" t="n">
        <v>27.5</v>
      </c>
      <c r="J19" s="3" t="n">
        <v>27.5</v>
      </c>
      <c r="K19" s="3" t="n">
        <v>27.5</v>
      </c>
      <c r="L19" s="3" t="n">
        <v>27.5</v>
      </c>
    </row>
    <row r="20" customFormat="false" ht="15" hidden="false" customHeight="false" outlineLevel="0" collapsed="false">
      <c r="A20" s="0" t="s">
        <v>104</v>
      </c>
      <c r="B20" s="3" t="n">
        <v>8.5</v>
      </c>
    </row>
    <row r="21" customFormat="false" ht="15" hidden="false" customHeight="false" outlineLevel="0" collapsed="false">
      <c r="A21" s="0" t="s">
        <v>105</v>
      </c>
      <c r="B21" s="3" t="n">
        <v>0.5</v>
      </c>
    </row>
    <row r="22" customFormat="false" ht="15" hidden="false" customHeight="false" outlineLevel="0" collapsed="false">
      <c r="A22" s="0" t="s">
        <v>106</v>
      </c>
      <c r="B22" s="3" t="n">
        <v>10</v>
      </c>
    </row>
    <row r="23" customFormat="false" ht="15" hidden="false" customHeight="false" outlineLevel="0" collapsed="false">
      <c r="A23" s="0" t="s">
        <v>107</v>
      </c>
      <c r="B23" s="3" t="n">
        <v>-15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1</v>
      </c>
      <c r="D27" s="3" t="n">
        <v>2</v>
      </c>
      <c r="E27" s="3" t="n">
        <v>2.5</v>
      </c>
      <c r="F27" s="3" t="n">
        <v>2.5</v>
      </c>
      <c r="G27" s="3" t="n">
        <v>2.5</v>
      </c>
      <c r="H27" s="3" t="n">
        <v>2.5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28</v>
      </c>
      <c r="D28" s="3" t="n">
        <v>28.3</v>
      </c>
      <c r="E28" s="3" t="n">
        <v>28.6</v>
      </c>
      <c r="F28" s="3" t="n">
        <v>28.8</v>
      </c>
      <c r="G28" s="3" t="n">
        <v>29</v>
      </c>
      <c r="H28" s="3" t="n">
        <v>29</v>
      </c>
      <c r="I28" s="3" t="n">
        <v>29</v>
      </c>
      <c r="J28" s="3" t="n">
        <v>29</v>
      </c>
      <c r="K28" s="3" t="n">
        <v>29</v>
      </c>
      <c r="L28" s="3" t="n">
        <v>29</v>
      </c>
    </row>
    <row r="29" customFormat="false" ht="15" hidden="false" customHeight="false" outlineLevel="0" collapsed="false">
      <c r="A29" s="0" t="s">
        <v>99</v>
      </c>
      <c r="C29" s="3" t="n">
        <v>1</v>
      </c>
      <c r="D29" s="3" t="n">
        <v>1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100</v>
      </c>
      <c r="C30" s="3" t="n">
        <v>2.1</v>
      </c>
      <c r="D30" s="3" t="n">
        <v>2.1</v>
      </c>
      <c r="E30" s="3" t="n">
        <v>2.1</v>
      </c>
      <c r="F30" s="3" t="n">
        <v>2.1</v>
      </c>
      <c r="G30" s="3" t="n">
        <v>2.1</v>
      </c>
      <c r="H30" s="3" t="n">
        <v>2.1</v>
      </c>
      <c r="I30" s="3" t="n">
        <v>2.1</v>
      </c>
      <c r="J30" s="3" t="n">
        <v>2.1</v>
      </c>
      <c r="K30" s="3" t="n">
        <v>2.1</v>
      </c>
      <c r="L30" s="3" t="n">
        <v>2.1</v>
      </c>
    </row>
    <row r="31" customFormat="false" ht="15" hidden="false" customHeight="false" outlineLevel="0" collapsed="false">
      <c r="A31" s="0" t="s">
        <v>101</v>
      </c>
      <c r="C31" s="3" t="n">
        <v>1.2</v>
      </c>
      <c r="D31" s="3" t="n">
        <v>1.2</v>
      </c>
      <c r="E31" s="3" t="n">
        <v>1.2</v>
      </c>
      <c r="F31" s="3" t="n">
        <v>1.2</v>
      </c>
      <c r="G31" s="3" t="n">
        <v>1.2</v>
      </c>
      <c r="H31" s="3" t="n">
        <v>1.2</v>
      </c>
      <c r="I31" s="3" t="n">
        <v>1.2</v>
      </c>
      <c r="J31" s="3" t="n">
        <v>1.2</v>
      </c>
      <c r="K31" s="3" t="n">
        <v>1.2</v>
      </c>
      <c r="L31" s="3" t="n">
        <v>1.2</v>
      </c>
    </row>
    <row r="32" customFormat="false" ht="15" hidden="false" customHeight="false" outlineLevel="0" collapsed="false">
      <c r="A32" s="0" t="s">
        <v>102</v>
      </c>
      <c r="C32" s="3" t="n">
        <v>1</v>
      </c>
      <c r="D32" s="3" t="n">
        <v>1.1</v>
      </c>
      <c r="E32" s="3" t="n">
        <v>1.2</v>
      </c>
      <c r="F32" s="3" t="n">
        <v>1.2</v>
      </c>
      <c r="G32" s="3" t="n">
        <v>1.2</v>
      </c>
      <c r="H32" s="3" t="n">
        <v>1.2</v>
      </c>
      <c r="I32" s="3" t="n">
        <v>1.2</v>
      </c>
      <c r="J32" s="3" t="n">
        <v>1.2</v>
      </c>
      <c r="K32" s="3" t="n">
        <v>1.2</v>
      </c>
      <c r="L32" s="3" t="n">
        <v>1.2</v>
      </c>
    </row>
    <row r="33" customFormat="false" ht="15" hidden="false" customHeight="false" outlineLevel="0" collapsed="false">
      <c r="A33" s="0" t="s">
        <v>103</v>
      </c>
      <c r="C33" s="3" t="n">
        <v>27</v>
      </c>
      <c r="D33" s="3" t="n">
        <v>27</v>
      </c>
      <c r="E33" s="3" t="n">
        <v>27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104</v>
      </c>
      <c r="B34" s="3" t="n">
        <v>8.5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13</v>
      </c>
    </row>
    <row r="37" customFormat="false" ht="15" hidden="false" customHeight="false" outlineLevel="0" collapsed="false">
      <c r="A37" s="0" t="s">
        <v>107</v>
      </c>
      <c r="B37" s="3" t="n">
        <v>-15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3.5</v>
      </c>
      <c r="D41" s="3" t="n">
        <v>5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28.5</v>
      </c>
      <c r="D42" s="3" t="n">
        <v>29</v>
      </c>
      <c r="E42" s="3" t="n">
        <v>29.5</v>
      </c>
      <c r="F42" s="3" t="n">
        <v>30</v>
      </c>
      <c r="G42" s="3" t="n">
        <v>30.5</v>
      </c>
      <c r="H42" s="3" t="n">
        <v>30.5</v>
      </c>
      <c r="I42" s="3" t="n">
        <v>30.5</v>
      </c>
      <c r="J42" s="3" t="n">
        <v>30.5</v>
      </c>
      <c r="K42" s="3" t="n">
        <v>30.5</v>
      </c>
      <c r="L42" s="3" t="n">
        <v>30.5</v>
      </c>
    </row>
    <row r="43" customFormat="false" ht="15" hidden="false" customHeight="false" outlineLevel="0" collapsed="false">
      <c r="A43" s="0" t="s">
        <v>99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100</v>
      </c>
      <c r="C44" s="3" t="n">
        <v>2.1</v>
      </c>
      <c r="D44" s="3" t="n">
        <v>2.1</v>
      </c>
      <c r="E44" s="3" t="n">
        <v>2</v>
      </c>
      <c r="F44" s="3" t="n">
        <v>2</v>
      </c>
      <c r="G44" s="3" t="n">
        <v>2</v>
      </c>
      <c r="H44" s="3" t="n">
        <v>2</v>
      </c>
      <c r="I44" s="3" t="n">
        <v>2</v>
      </c>
      <c r="J44" s="3" t="n">
        <v>2</v>
      </c>
      <c r="K44" s="3" t="n">
        <v>2</v>
      </c>
      <c r="L44" s="3" t="n">
        <v>2</v>
      </c>
    </row>
    <row r="45" customFormat="false" ht="15" hidden="false" customHeight="false" outlineLevel="0" collapsed="false">
      <c r="A45" s="0" t="s">
        <v>101</v>
      </c>
      <c r="C45" s="3" t="n">
        <v>1.2</v>
      </c>
      <c r="D45" s="3" t="n">
        <v>1.2</v>
      </c>
      <c r="E45" s="3" t="n">
        <v>1.2</v>
      </c>
      <c r="F45" s="3" t="n">
        <v>1.2</v>
      </c>
      <c r="G45" s="3" t="n">
        <v>1.2</v>
      </c>
      <c r="H45" s="3" t="n">
        <v>1.2</v>
      </c>
      <c r="I45" s="3" t="n">
        <v>1.2</v>
      </c>
      <c r="J45" s="3" t="n">
        <v>1.2</v>
      </c>
      <c r="K45" s="3" t="n">
        <v>1.2</v>
      </c>
      <c r="L45" s="3" t="n">
        <v>1.2</v>
      </c>
    </row>
    <row r="46" customFormat="false" ht="15" hidden="false" customHeight="false" outlineLevel="0" collapsed="false">
      <c r="A46" s="0" t="s">
        <v>102</v>
      </c>
      <c r="C46" s="3" t="n">
        <v>1.2</v>
      </c>
      <c r="D46" s="3" t="n">
        <v>1.3</v>
      </c>
      <c r="E46" s="3" t="n">
        <v>1.3</v>
      </c>
      <c r="F46" s="3" t="n">
        <v>1.3</v>
      </c>
      <c r="G46" s="3" t="n">
        <v>1.3</v>
      </c>
      <c r="H46" s="3" t="n">
        <v>1.2</v>
      </c>
      <c r="I46" s="3" t="n">
        <v>1.2</v>
      </c>
      <c r="J46" s="3" t="n">
        <v>1.2</v>
      </c>
      <c r="K46" s="3" t="n">
        <v>1.2</v>
      </c>
      <c r="L46" s="3" t="n">
        <v>1.2</v>
      </c>
    </row>
    <row r="47" customFormat="false" ht="15" hidden="false" customHeight="false" outlineLevel="0" collapsed="false">
      <c r="A47" s="0" t="s">
        <v>103</v>
      </c>
      <c r="C47" s="3" t="n">
        <v>27</v>
      </c>
      <c r="D47" s="3" t="n">
        <v>26.5</v>
      </c>
      <c r="E47" s="3" t="n">
        <v>26.5</v>
      </c>
      <c r="F47" s="3" t="n">
        <v>26.5</v>
      </c>
      <c r="G47" s="3" t="n">
        <v>26.5</v>
      </c>
      <c r="H47" s="3" t="n">
        <v>26.5</v>
      </c>
      <c r="I47" s="3" t="n">
        <v>26.5</v>
      </c>
      <c r="J47" s="3" t="n">
        <v>26.5</v>
      </c>
      <c r="K47" s="3" t="n">
        <v>26.5</v>
      </c>
      <c r="L47" s="3" t="n">
        <v>26.5</v>
      </c>
    </row>
    <row r="48" customFormat="false" ht="15" hidden="false" customHeight="false" outlineLevel="0" collapsed="false">
      <c r="A48" s="0" t="s">
        <v>104</v>
      </c>
      <c r="B48" s="3" t="n">
        <v>8.5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15</v>
      </c>
    </row>
    <row r="51" customFormat="false" ht="15" hidden="false" customHeight="false" outlineLevel="0" collapsed="false">
      <c r="A51" s="0" t="s">
        <v>107</v>
      </c>
      <c r="B51" s="3" t="n">
        <v>-15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-3</v>
      </c>
      <c r="D5" s="4" t="n">
        <f aca="false">Assumptions!D13</f>
        <v>-3</v>
      </c>
      <c r="E5" s="4" t="n">
        <f aca="false">Assumptions!E13</f>
        <v>-2</v>
      </c>
      <c r="F5" s="4" t="n">
        <f aca="false">Assumptions!F13</f>
        <v>-1</v>
      </c>
      <c r="G5" s="4" t="n">
        <f aca="false">Assumptions!G13</f>
        <v>0</v>
      </c>
      <c r="H5" s="4" t="n">
        <f aca="false">Assumptions!H13</f>
        <v>0</v>
      </c>
      <c r="I5" s="4" t="n">
        <f aca="false">Assumptions!I13</f>
        <v>0.5</v>
      </c>
      <c r="J5" s="4" t="n">
        <f aca="false">Assumptions!J13</f>
        <v>0.5</v>
      </c>
      <c r="K5" s="4" t="n">
        <f aca="false">Assumptions!K13</f>
        <v>0.5</v>
      </c>
      <c r="L5" s="4" t="n">
        <f aca="false">Assumptions!L13</f>
        <v>0.5</v>
      </c>
    </row>
    <row r="6" customFormat="false" ht="15" hidden="false" customHeight="false" outlineLevel="0" collapsed="false">
      <c r="A6" s="0" t="s">
        <v>37</v>
      </c>
      <c r="B6" s="3" t="n">
        <v>710.4</v>
      </c>
      <c r="C6" s="0" t="n">
        <f aca="false">B6*(1+C5/100)</f>
        <v>689.088</v>
      </c>
      <c r="D6" s="0" t="n">
        <f aca="false">C6*(1+D5/100)</f>
        <v>668.41536</v>
      </c>
      <c r="E6" s="0" t="n">
        <f aca="false">D6*(1+E5/100)</f>
        <v>655.0470528</v>
      </c>
      <c r="F6" s="0" t="n">
        <f aca="false">E6*(1+F5/100)</f>
        <v>648.496582272</v>
      </c>
      <c r="G6" s="0" t="n">
        <f aca="false">F6*(1+G5/100)</f>
        <v>648.496582272</v>
      </c>
      <c r="H6" s="0" t="n">
        <f aca="false">G6*(1+H5/100)</f>
        <v>648.496582272</v>
      </c>
      <c r="I6" s="0" t="n">
        <f aca="false">H6*(1+I5/100)</f>
        <v>651.73906518336</v>
      </c>
      <c r="J6" s="0" t="n">
        <f aca="false">I6*(1+J5/100)</f>
        <v>654.997760509277</v>
      </c>
      <c r="K6" s="0" t="n">
        <f aca="false">J6*(1+K5/100)</f>
        <v>658.272749311823</v>
      </c>
      <c r="L6" s="0" t="n">
        <f aca="false">K6*(1+L5/100)</f>
        <v>661.564113058382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27.5</v>
      </c>
      <c r="D7" s="4" t="n">
        <f aca="false">Assumptions!D14</f>
        <v>26.5</v>
      </c>
      <c r="E7" s="4" t="n">
        <f aca="false">Assumptions!E14</f>
        <v>25.5</v>
      </c>
      <c r="F7" s="4" t="n">
        <f aca="false">Assumptions!F14</f>
        <v>25</v>
      </c>
      <c r="G7" s="4" t="n">
        <f aca="false">Assumptions!G14</f>
        <v>24.5</v>
      </c>
      <c r="H7" s="4" t="n">
        <f aca="false">Assumptions!H14</f>
        <v>24</v>
      </c>
      <c r="I7" s="4" t="n">
        <f aca="false">Assumptions!I14</f>
        <v>24</v>
      </c>
      <c r="J7" s="4" t="n">
        <f aca="false">Assumptions!J14</f>
        <v>24</v>
      </c>
      <c r="K7" s="4" t="n">
        <f aca="false">Assumptions!K14</f>
        <v>24</v>
      </c>
      <c r="L7" s="4" t="n">
        <f aca="false">Assumptions!L14</f>
        <v>24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189.4992</v>
      </c>
      <c r="D8" s="0" t="n">
        <f aca="false">D6*D7/100</f>
        <v>177.1300704</v>
      </c>
      <c r="E8" s="0" t="n">
        <f aca="false">E6*E7/100</f>
        <v>167.036998464</v>
      </c>
      <c r="F8" s="0" t="n">
        <f aca="false">F6*F7/100</f>
        <v>162.124145568</v>
      </c>
      <c r="G8" s="0" t="n">
        <f aca="false">G6*G7/100</f>
        <v>158.88166265664</v>
      </c>
      <c r="H8" s="0" t="n">
        <f aca="false">H6*H7/100</f>
        <v>155.63917974528</v>
      </c>
      <c r="I8" s="0" t="n">
        <f aca="false">I6*I7/100</f>
        <v>156.417375644006</v>
      </c>
      <c r="J8" s="0" t="n">
        <f aca="false">J6*J7/100</f>
        <v>157.199462522226</v>
      </c>
      <c r="K8" s="0" t="n">
        <f aca="false">K6*K7/100</f>
        <v>157.985459834838</v>
      </c>
      <c r="L8" s="0" t="n">
        <f aca="false">L6*L7/100</f>
        <v>158.775387134012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1</v>
      </c>
      <c r="D9" s="4" t="n">
        <f aca="false">Assumptions!D15</f>
        <v>1</v>
      </c>
      <c r="E9" s="4" t="n">
        <f aca="false">Assumptions!E15</f>
        <v>1</v>
      </c>
      <c r="F9" s="4" t="n">
        <f aca="false">Assumptions!F15</f>
        <v>1</v>
      </c>
      <c r="G9" s="4" t="n">
        <f aca="false">Assumptions!G15</f>
        <v>1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-6.89088</v>
      </c>
      <c r="D10" s="0" t="n">
        <f aca="false">-D6*D9/100</f>
        <v>-6.6841536</v>
      </c>
      <c r="E10" s="0" t="n">
        <f aca="false">-E6*E9/100</f>
        <v>-6.550470528</v>
      </c>
      <c r="F10" s="0" t="n">
        <f aca="false">-F6*F9/100</f>
        <v>-6.48496582272</v>
      </c>
      <c r="G10" s="0" t="n">
        <f aca="false">-G6*G9/100</f>
        <v>-6.48496582272</v>
      </c>
      <c r="H10" s="0" t="n">
        <f aca="false">-H6*H9/100</f>
        <v>-6.48496582272</v>
      </c>
      <c r="I10" s="0" t="n">
        <f aca="false">-I6*I9/100</f>
        <v>-6.5173906518336</v>
      </c>
      <c r="J10" s="0" t="n">
        <f aca="false">-J6*J9/100</f>
        <v>-6.54997760509277</v>
      </c>
      <c r="K10" s="0" t="n">
        <f aca="false">-K6*K9/100</f>
        <v>-6.58272749311823</v>
      </c>
      <c r="L10" s="0" t="n">
        <f aca="false">-L6*L9/100</f>
        <v>-6.61564113058382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168.137472</v>
      </c>
      <c r="D11" s="0" t="n">
        <f aca="false">D8+D10+D24</f>
        <v>155.74077888</v>
      </c>
      <c r="E11" s="0" t="n">
        <f aca="false">E8+E10+E24</f>
        <v>145.4204457216</v>
      </c>
      <c r="F11" s="0" t="n">
        <f aca="false">F8+F10+F24</f>
        <v>140.723758353024</v>
      </c>
      <c r="G11" s="0" t="n">
        <f aca="false">G8+G10+G24</f>
        <v>137.481275441664</v>
      </c>
      <c r="H11" s="0" t="n">
        <f aca="false">H8+H10+H24</f>
        <v>134.238792530304</v>
      </c>
      <c r="I11" s="0" t="n">
        <f aca="false">I8+I10+I24</f>
        <v>134.909986492956</v>
      </c>
      <c r="J11" s="0" t="n">
        <f aca="false">J8+J10+J24</f>
        <v>135.58453642542</v>
      </c>
      <c r="K11" s="0" t="n">
        <f aca="false">K8+K10+K24</f>
        <v>136.262459107547</v>
      </c>
      <c r="L11" s="0" t="n">
        <f aca="false">L8+L10+L24</f>
        <v>136.943771403085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-8.269056</v>
      </c>
      <c r="D12" s="4" t="n">
        <f aca="false">-D6*Assumptions!D17/100</f>
        <v>-8.02098432</v>
      </c>
      <c r="E12" s="4" t="n">
        <f aca="false">-E6*Assumptions!E17/100</f>
        <v>-7.8605646336</v>
      </c>
      <c r="F12" s="4" t="n">
        <f aca="false">-F6*Assumptions!F17/100</f>
        <v>-7.781958987264</v>
      </c>
      <c r="G12" s="4" t="n">
        <f aca="false">-G6*Assumptions!G17/100</f>
        <v>-7.781958987264</v>
      </c>
      <c r="H12" s="4" t="n">
        <f aca="false">-H6*Assumptions!H17/100</f>
        <v>-7.781958987264</v>
      </c>
      <c r="I12" s="4" t="n">
        <f aca="false">-I6*Assumptions!I17/100</f>
        <v>-7.82086878220032</v>
      </c>
      <c r="J12" s="4" t="n">
        <f aca="false">-J6*Assumptions!J17/100</f>
        <v>-7.85997312611132</v>
      </c>
      <c r="K12" s="4" t="n">
        <f aca="false">-K6*Assumptions!K17/100</f>
        <v>-7.89927299174188</v>
      </c>
      <c r="L12" s="4" t="n">
        <f aca="false">-L6*Assumptions!L17/100</f>
        <v>-7.93876935670058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159.868416</v>
      </c>
      <c r="D13" s="0" t="n">
        <f aca="false">D11+D12</f>
        <v>147.71979456</v>
      </c>
      <c r="E13" s="0" t="n">
        <f aca="false">E11+E12</f>
        <v>137.559881088</v>
      </c>
      <c r="F13" s="0" t="n">
        <f aca="false">F11+F12</f>
        <v>132.94179936576</v>
      </c>
      <c r="G13" s="0" t="n">
        <f aca="false">G11+G12</f>
        <v>129.6993164544</v>
      </c>
      <c r="H13" s="0" t="n">
        <f aca="false">H11+H12</f>
        <v>126.45683354304</v>
      </c>
      <c r="I13" s="0" t="n">
        <f aca="false">I11+I12</f>
        <v>127.089117710755</v>
      </c>
      <c r="J13" s="0" t="n">
        <f aca="false">J11+J12</f>
        <v>127.724563299309</v>
      </c>
      <c r="K13" s="0" t="n">
        <f aca="false">K11+K12</f>
        <v>128.363186115806</v>
      </c>
      <c r="L13" s="0" t="n">
        <f aca="false">L11+L12</f>
        <v>129.005002046385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27.5</v>
      </c>
      <c r="D14" s="4" t="n">
        <f aca="false">Assumptions!D19</f>
        <v>27.5</v>
      </c>
      <c r="E14" s="4" t="n">
        <f aca="false">Assumptions!E19</f>
        <v>27.5</v>
      </c>
      <c r="F14" s="4" t="n">
        <f aca="false">Assumptions!F19</f>
        <v>27.5</v>
      </c>
      <c r="G14" s="4" t="n">
        <f aca="false">Assumptions!G19</f>
        <v>27.5</v>
      </c>
      <c r="H14" s="4" t="n">
        <f aca="false">Assumptions!H19</f>
        <v>27.5</v>
      </c>
      <c r="I14" s="4" t="n">
        <f aca="false">Assumptions!I19</f>
        <v>27.5</v>
      </c>
      <c r="J14" s="4" t="n">
        <f aca="false">Assumptions!J19</f>
        <v>27.5</v>
      </c>
      <c r="K14" s="4" t="n">
        <f aca="false">Assumptions!K19</f>
        <v>27.5</v>
      </c>
      <c r="L14" s="4" t="n">
        <f aca="false">Assumptions!L19</f>
        <v>27.5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115.9046016</v>
      </c>
      <c r="D15" s="0" t="n">
        <f aca="false">D13-MAX(0,D13)*D14/100</f>
        <v>107.096851056</v>
      </c>
      <c r="E15" s="0" t="n">
        <f aca="false">E13-MAX(0,E13)*E14/100</f>
        <v>99.7309137888</v>
      </c>
      <c r="F15" s="0" t="n">
        <f aca="false">F13-MAX(0,F13)*F14/100</f>
        <v>96.382804540176</v>
      </c>
      <c r="G15" s="0" t="n">
        <f aca="false">G13-MAX(0,G13)*G14/100</f>
        <v>94.03200442944</v>
      </c>
      <c r="H15" s="0" t="n">
        <f aca="false">H13-MAX(0,H13)*H14/100</f>
        <v>91.681204318704</v>
      </c>
      <c r="I15" s="0" t="n">
        <f aca="false">I13-MAX(0,I13)*I14/100</f>
        <v>92.1396103402975</v>
      </c>
      <c r="J15" s="0" t="n">
        <f aca="false">J13-MAX(0,J13)*J14/100</f>
        <v>92.600308391999</v>
      </c>
      <c r="K15" s="0" t="n">
        <f aca="false">K13-MAX(0,K13)*K14/100</f>
        <v>93.063309933959</v>
      </c>
      <c r="L15" s="0" t="n">
        <f aca="false">L13-MAX(0,L13)*L14/100</f>
        <v>93.5286264836288</v>
      </c>
    </row>
    <row r="16" customFormat="false" ht="15" hidden="false" customHeight="false" outlineLevel="0" collapsed="false">
      <c r="A16" s="0" t="s">
        <v>119</v>
      </c>
      <c r="C16" s="0" t="n">
        <f aca="false">-C12</f>
        <v>8.269056</v>
      </c>
      <c r="D16" s="0" t="n">
        <f aca="false">-D12</f>
        <v>8.02098432</v>
      </c>
      <c r="E16" s="0" t="n">
        <f aca="false">-E12</f>
        <v>7.8605646336</v>
      </c>
      <c r="F16" s="0" t="n">
        <f aca="false">-F12</f>
        <v>7.781958987264</v>
      </c>
      <c r="G16" s="0" t="n">
        <f aca="false">-G12</f>
        <v>7.781958987264</v>
      </c>
      <c r="H16" s="0" t="n">
        <f aca="false">-H12</f>
        <v>7.781958987264</v>
      </c>
      <c r="I16" s="0" t="n">
        <f aca="false">-I12</f>
        <v>7.82086878220032</v>
      </c>
      <c r="J16" s="0" t="n">
        <f aca="false">-J12</f>
        <v>7.85997312611132</v>
      </c>
      <c r="K16" s="0" t="n">
        <f aca="false">-K12</f>
        <v>7.89927299174188</v>
      </c>
      <c r="L16" s="0" t="n">
        <f aca="false">-L12</f>
        <v>7.93876935670058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-6.89088</v>
      </c>
      <c r="D17" s="4" t="n">
        <f aca="false">-D6*Assumptions!D18/100</f>
        <v>-8.02098432</v>
      </c>
      <c r="E17" s="4" t="n">
        <f aca="false">-E6*Assumptions!E18/100</f>
        <v>-7.8605646336</v>
      </c>
      <c r="F17" s="4" t="n">
        <f aca="false">-F6*Assumptions!F18/100</f>
        <v>-7.781958987264</v>
      </c>
      <c r="G17" s="4" t="n">
        <f aca="false">-G6*Assumptions!G18/100</f>
        <v>-7.781958987264</v>
      </c>
      <c r="H17" s="4" t="n">
        <f aca="false">-H6*Assumptions!H18/100</f>
        <v>-7.781958987264</v>
      </c>
      <c r="I17" s="4" t="n">
        <f aca="false">-I6*Assumptions!I18/100</f>
        <v>-7.82086878220032</v>
      </c>
      <c r="J17" s="4" t="n">
        <f aca="false">-J6*Assumptions!J18/100</f>
        <v>-7.85997312611132</v>
      </c>
      <c r="K17" s="4" t="n">
        <f aca="false">-K6*Assumptions!K18/100</f>
        <v>-7.89927299174188</v>
      </c>
      <c r="L17" s="4" t="n">
        <f aca="false">-L6*Assumptions!L18/100</f>
        <v>-7.93876935670058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3.1968</v>
      </c>
      <c r="D18" s="4" t="n">
        <f aca="false">(D6-C6)*Assumptions!$B$23/100</f>
        <v>3.100896</v>
      </c>
      <c r="E18" s="4" t="n">
        <f aca="false">(E6-D6)*Assumptions!$B$23/100</f>
        <v>2.00524608</v>
      </c>
      <c r="F18" s="4" t="n">
        <f aca="false">(F6-E6)*Assumptions!$B$23/100</f>
        <v>0.982570579200001</v>
      </c>
      <c r="G18" s="4" t="n">
        <f aca="false">(G6-F6)*Assumptions!$B$23/100</f>
        <v>-0</v>
      </c>
      <c r="H18" s="4" t="n">
        <f aca="false">(H6-G6)*Assumptions!$B$23/100</f>
        <v>-0</v>
      </c>
      <c r="I18" s="4" t="n">
        <f aca="false">(I6-H6)*Assumptions!$B$23/100</f>
        <v>-0.486372436703994</v>
      </c>
      <c r="J18" s="4" t="n">
        <f aca="false">(J6-I6)*Assumptions!$B$23/100</f>
        <v>-0.48880429888751</v>
      </c>
      <c r="K18" s="4" t="n">
        <f aca="false">(K6-J6)*Assumptions!$B$23/100</f>
        <v>-0.491248320381948</v>
      </c>
      <c r="L18" s="4" t="n">
        <f aca="false">(L6-K6)*Assumptions!$B$23/100</f>
        <v>-0.49370456198385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120.4795776</v>
      </c>
      <c r="D19" s="0" t="n">
        <f aca="false">D15+D16+D17+D18</f>
        <v>110.197747056</v>
      </c>
      <c r="E19" s="0" t="n">
        <f aca="false">E15+E16+E17+E18</f>
        <v>101.7361598688</v>
      </c>
      <c r="F19" s="0" t="n">
        <f aca="false">F15+F16+F17+F18</f>
        <v>97.365375119376</v>
      </c>
      <c r="G19" s="0" t="n">
        <f aca="false">G15+G16+G17+G18</f>
        <v>94.03200442944</v>
      </c>
      <c r="H19" s="0" t="n">
        <f aca="false">H15+H16+H17+H18</f>
        <v>91.681204318704</v>
      </c>
      <c r="I19" s="0" t="n">
        <f aca="false">I15+I16+I17+I18</f>
        <v>91.6532379035935</v>
      </c>
      <c r="J19" s="0" t="n">
        <f aca="false">J15+J16+J17+J18</f>
        <v>92.1115040931115</v>
      </c>
      <c r="K19" s="0" t="n">
        <f aca="false">K15+K16+K17+K18</f>
        <v>92.572061613577</v>
      </c>
      <c r="L19" s="0" t="n">
        <f aca="false">L15+L16+L17+L18</f>
        <v>93.0349219216449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111.041085345622</v>
      </c>
      <c r="D21" s="0" t="n">
        <f aca="false">D19*D20</f>
        <v>93.6080588298754</v>
      </c>
      <c r="E21" s="0" t="n">
        <f aca="false">E19*E20</f>
        <v>79.6500634645269</v>
      </c>
      <c r="F21" s="0" t="n">
        <f aca="false">F19*F20</f>
        <v>70.2563508642445</v>
      </c>
      <c r="G21" s="0" t="n">
        <f aca="false">G19*G20</f>
        <v>62.535554188437</v>
      </c>
      <c r="H21" s="0" t="n">
        <f aca="false">H19*H20</f>
        <v>56.1955440863835</v>
      </c>
      <c r="I21" s="0" t="n">
        <f aca="false">I19*I20</f>
        <v>51.7773292253827</v>
      </c>
      <c r="J21" s="0" t="n">
        <f aca="false">J19*J20</f>
        <v>47.9596459645249</v>
      </c>
      <c r="K21" s="0" t="n">
        <f aca="false">K19*K20</f>
        <v>44.4234508703664</v>
      </c>
      <c r="L21" s="0" t="n">
        <f aca="false">L19*L20</f>
        <v>41.1479890550399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2.1</v>
      </c>
      <c r="D23" s="4" t="n">
        <f aca="false">Assumptions!D16</f>
        <v>2.2</v>
      </c>
      <c r="E23" s="4" t="n">
        <f aca="false">Assumptions!E16</f>
        <v>2.3</v>
      </c>
      <c r="F23" s="4" t="n">
        <f aca="false">Assumptions!F16</f>
        <v>2.3</v>
      </c>
      <c r="G23" s="4" t="n">
        <f aca="false">Assumptions!G16</f>
        <v>2.3</v>
      </c>
      <c r="H23" s="4" t="n">
        <f aca="false">Assumptions!H16</f>
        <v>2.3</v>
      </c>
      <c r="I23" s="4" t="n">
        <f aca="false">Assumptions!I16</f>
        <v>2.3</v>
      </c>
      <c r="J23" s="4" t="n">
        <f aca="false">Assumptions!J16</f>
        <v>2.3</v>
      </c>
      <c r="K23" s="4" t="n">
        <f aca="false">Assumptions!K16</f>
        <v>2.3</v>
      </c>
      <c r="L23" s="4" t="n">
        <f aca="false">Assumptions!L16</f>
        <v>2.3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-14.470848</v>
      </c>
      <c r="D24" s="0" t="n">
        <f aca="false">-D6*D23/100</f>
        <v>-14.70513792</v>
      </c>
      <c r="E24" s="0" t="n">
        <f aca="false">-E6*E23/100</f>
        <v>-15.0660822144</v>
      </c>
      <c r="F24" s="0" t="n">
        <f aca="false">-F6*F23/100</f>
        <v>-14.915421392256</v>
      </c>
      <c r="G24" s="0" t="n">
        <f aca="false">-G6*G23/100</f>
        <v>-14.915421392256</v>
      </c>
      <c r="H24" s="0" t="n">
        <f aca="false">-H6*H23/100</f>
        <v>-14.915421392256</v>
      </c>
      <c r="I24" s="0" t="n">
        <f aca="false">-I6*I23/100</f>
        <v>-14.9899984992173</v>
      </c>
      <c r="J24" s="0" t="n">
        <f aca="false">-J6*J23/100</f>
        <v>-15.0649484917134</v>
      </c>
      <c r="K24" s="0" t="n">
        <f aca="false">-K6*K23/100</f>
        <v>-15.1402732341719</v>
      </c>
      <c r="L24" s="0" t="n">
        <f aca="false">-L6*L23/100</f>
        <v>-15.2159746003428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658.595071894403</v>
      </c>
    </row>
    <row r="31" customFormat="false" ht="15" hidden="false" customHeight="false" outlineLevel="0" collapsed="false">
      <c r="A31" s="0" t="s">
        <v>128</v>
      </c>
      <c r="B31" s="0" t="n">
        <f aca="false">L19</f>
        <v>93.0349219216449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1168.75120664066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930.349219216449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930.349219216449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411.479890550399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1070.0749624448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703.974962444802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2.72541603733954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-0.200757760310987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43.3015945440881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36.7578948886412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3.03536373162033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644.828251939677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1.17773780264108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1</v>
      </c>
      <c r="D5" s="4" t="n">
        <f aca="false">Assumptions!D27</f>
        <v>2</v>
      </c>
      <c r="E5" s="4" t="n">
        <f aca="false">Assumptions!E27</f>
        <v>2.5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710.4</v>
      </c>
      <c r="C6" s="0" t="n">
        <f aca="false">B6*(1+C5/100)</f>
        <v>717.504</v>
      </c>
      <c r="D6" s="0" t="n">
        <f aca="false">C6*(1+D5/100)</f>
        <v>731.85408</v>
      </c>
      <c r="E6" s="0" t="n">
        <f aca="false">D6*(1+E5/100)</f>
        <v>750.150432</v>
      </c>
      <c r="F6" s="0" t="n">
        <f aca="false">E6*(1+F5/100)</f>
        <v>768.9041928</v>
      </c>
      <c r="G6" s="0" t="n">
        <f aca="false">F6*(1+G5/100)</f>
        <v>788.12679762</v>
      </c>
      <c r="H6" s="0" t="n">
        <f aca="false">G6*(1+H5/100)</f>
        <v>807.8299675605</v>
      </c>
      <c r="I6" s="0" t="n">
        <f aca="false">H6*(1+I5/100)</f>
        <v>823.98656691171</v>
      </c>
      <c r="J6" s="0" t="n">
        <f aca="false">I6*(1+J5/100)</f>
        <v>840.466298249944</v>
      </c>
      <c r="K6" s="0" t="n">
        <f aca="false">J6*(1+K5/100)</f>
        <v>857.275624214943</v>
      </c>
      <c r="L6" s="0" t="n">
        <f aca="false">K6*(1+L5/100)</f>
        <v>874.421136699242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28</v>
      </c>
      <c r="D7" s="4" t="n">
        <f aca="false">Assumptions!D28</f>
        <v>28.3</v>
      </c>
      <c r="E7" s="4" t="n">
        <f aca="false">Assumptions!E28</f>
        <v>28.6</v>
      </c>
      <c r="F7" s="4" t="n">
        <f aca="false">Assumptions!F28</f>
        <v>28.8</v>
      </c>
      <c r="G7" s="4" t="n">
        <f aca="false">Assumptions!G28</f>
        <v>29</v>
      </c>
      <c r="H7" s="4" t="n">
        <f aca="false">Assumptions!H28</f>
        <v>29</v>
      </c>
      <c r="I7" s="4" t="n">
        <f aca="false">Assumptions!I28</f>
        <v>29</v>
      </c>
      <c r="J7" s="4" t="n">
        <f aca="false">Assumptions!J28</f>
        <v>29</v>
      </c>
      <c r="K7" s="4" t="n">
        <f aca="false">Assumptions!K28</f>
        <v>29</v>
      </c>
      <c r="L7" s="4" t="n">
        <f aca="false">Assumptions!L28</f>
        <v>29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200.90112</v>
      </c>
      <c r="D8" s="0" t="n">
        <f aca="false">D6*D7/100</f>
        <v>207.11470464</v>
      </c>
      <c r="E8" s="0" t="n">
        <f aca="false">E6*E7/100</f>
        <v>214.543023552</v>
      </c>
      <c r="F8" s="0" t="n">
        <f aca="false">F6*F7/100</f>
        <v>221.4444075264</v>
      </c>
      <c r="G8" s="0" t="n">
        <f aca="false">G6*G7/100</f>
        <v>228.5567713098</v>
      </c>
      <c r="H8" s="0" t="n">
        <f aca="false">H6*H7/100</f>
        <v>234.270690592545</v>
      </c>
      <c r="I8" s="0" t="n">
        <f aca="false">I6*I7/100</f>
        <v>238.956104404396</v>
      </c>
      <c r="J8" s="0" t="n">
        <f aca="false">J6*J7/100</f>
        <v>243.735226492484</v>
      </c>
      <c r="K8" s="0" t="n">
        <f aca="false">K6*K7/100</f>
        <v>248.609931022333</v>
      </c>
      <c r="L8" s="0" t="n">
        <f aca="false">L6*L7/100</f>
        <v>253.58212964278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1</v>
      </c>
      <c r="D9" s="4" t="n">
        <f aca="false">Assumptions!D29</f>
        <v>1</v>
      </c>
      <c r="E9" s="4" t="n">
        <f aca="false">Assumptions!E29</f>
        <v>1</v>
      </c>
      <c r="F9" s="4" t="n">
        <f aca="false">Assumptions!F29</f>
        <v>1</v>
      </c>
      <c r="G9" s="4" t="n">
        <f aca="false">Assumptions!G29</f>
        <v>1</v>
      </c>
      <c r="H9" s="4" t="n">
        <f aca="false">Assumptions!H29</f>
        <v>1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-7.17504</v>
      </c>
      <c r="D10" s="0" t="n">
        <f aca="false">-D6*D9/100</f>
        <v>-7.3185408</v>
      </c>
      <c r="E10" s="0" t="n">
        <f aca="false">-E6*E9/100</f>
        <v>-7.50150432</v>
      </c>
      <c r="F10" s="0" t="n">
        <f aca="false">-F6*F9/100</f>
        <v>-7.689041928</v>
      </c>
      <c r="G10" s="0" t="n">
        <f aca="false">-G6*G9/100</f>
        <v>-7.8812679762</v>
      </c>
      <c r="H10" s="0" t="n">
        <f aca="false">-H6*H9/100</f>
        <v>-8.078299675605</v>
      </c>
      <c r="I10" s="0" t="n">
        <f aca="false">-I6*I9/100</f>
        <v>-8.2398656691171</v>
      </c>
      <c r="J10" s="0" t="n">
        <f aca="false">-J6*J9/100</f>
        <v>-8.40466298249944</v>
      </c>
      <c r="K10" s="0" t="n">
        <f aca="false">-K6*K9/100</f>
        <v>-8.57275624214943</v>
      </c>
      <c r="L10" s="0" t="n">
        <f aca="false">-L6*L9/100</f>
        <v>-8.74421136699242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178.658496</v>
      </c>
      <c r="D11" s="0" t="n">
        <f aca="false">D8+D10+D24</f>
        <v>184.42722816</v>
      </c>
      <c r="E11" s="0" t="n">
        <f aca="false">E8+E10+E24</f>
        <v>191.28836016</v>
      </c>
      <c r="F11" s="0" t="n">
        <f aca="false">F8+F10+F24</f>
        <v>197.6083775496</v>
      </c>
      <c r="G11" s="0" t="n">
        <f aca="false">G8+G10+G24</f>
        <v>204.12484058358</v>
      </c>
      <c r="H11" s="0" t="n">
        <f aca="false">H8+H10+H24</f>
        <v>209.227961598169</v>
      </c>
      <c r="I11" s="0" t="n">
        <f aca="false">I8+I10+I24</f>
        <v>213.412520830133</v>
      </c>
      <c r="J11" s="0" t="n">
        <f aca="false">J8+J10+J24</f>
        <v>217.680771246735</v>
      </c>
      <c r="K11" s="0" t="n">
        <f aca="false">K8+K10+K24</f>
        <v>222.03438667167</v>
      </c>
      <c r="L11" s="0" t="n">
        <f aca="false">L8+L10+L24</f>
        <v>226.475074405104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-8.610048</v>
      </c>
      <c r="D12" s="4" t="n">
        <f aca="false">-D6*Assumptions!D31/100</f>
        <v>-8.78224896</v>
      </c>
      <c r="E12" s="4" t="n">
        <f aca="false">-E6*Assumptions!E31/100</f>
        <v>-9.001805184</v>
      </c>
      <c r="F12" s="4" t="n">
        <f aca="false">-F6*Assumptions!F31/100</f>
        <v>-9.2268503136</v>
      </c>
      <c r="G12" s="4" t="n">
        <f aca="false">-G6*Assumptions!G31/100</f>
        <v>-9.45752157144</v>
      </c>
      <c r="H12" s="4" t="n">
        <f aca="false">-H6*Assumptions!H31/100</f>
        <v>-9.693959610726</v>
      </c>
      <c r="I12" s="4" t="n">
        <f aca="false">-I6*Assumptions!I31/100</f>
        <v>-9.88783880294052</v>
      </c>
      <c r="J12" s="4" t="n">
        <f aca="false">-J6*Assumptions!J31/100</f>
        <v>-10.0855955789993</v>
      </c>
      <c r="K12" s="4" t="n">
        <f aca="false">-K6*Assumptions!K31/100</f>
        <v>-10.2873074905793</v>
      </c>
      <c r="L12" s="4" t="n">
        <f aca="false">-L6*Assumptions!L31/100</f>
        <v>-10.4930536403909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170.048448</v>
      </c>
      <c r="D13" s="0" t="n">
        <f aca="false">D11+D12</f>
        <v>175.6449792</v>
      </c>
      <c r="E13" s="0" t="n">
        <f aca="false">E11+E12</f>
        <v>182.286554976</v>
      </c>
      <c r="F13" s="0" t="n">
        <f aca="false">F11+F12</f>
        <v>188.381527236</v>
      </c>
      <c r="G13" s="0" t="n">
        <f aca="false">G11+G12</f>
        <v>194.66731901214</v>
      </c>
      <c r="H13" s="0" t="n">
        <f aca="false">H11+H12</f>
        <v>199.534001987443</v>
      </c>
      <c r="I13" s="0" t="n">
        <f aca="false">I11+I12</f>
        <v>203.524682027192</v>
      </c>
      <c r="J13" s="0" t="n">
        <f aca="false">J11+J12</f>
        <v>207.595175667736</v>
      </c>
      <c r="K13" s="0" t="n">
        <f aca="false">K11+K12</f>
        <v>211.747079181091</v>
      </c>
      <c r="L13" s="0" t="n">
        <f aca="false">L11+L12</f>
        <v>215.982020764713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27</v>
      </c>
      <c r="D14" s="4" t="n">
        <f aca="false">Assumptions!D33</f>
        <v>27</v>
      </c>
      <c r="E14" s="4" t="n">
        <f aca="false">Assumptions!E33</f>
        <v>27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124.13536704</v>
      </c>
      <c r="D15" s="0" t="n">
        <f aca="false">D13-MAX(0,D13)*D14/100</f>
        <v>128.220834816</v>
      </c>
      <c r="E15" s="0" t="n">
        <f aca="false">E13-MAX(0,E13)*E14/100</f>
        <v>133.06918513248</v>
      </c>
      <c r="F15" s="0" t="n">
        <f aca="false">F13-MAX(0,F13)*F14/100</f>
        <v>137.51851488228</v>
      </c>
      <c r="G15" s="0" t="n">
        <f aca="false">G13-MAX(0,G13)*G14/100</f>
        <v>142.107142878862</v>
      </c>
      <c r="H15" s="0" t="n">
        <f aca="false">H13-MAX(0,H13)*H14/100</f>
        <v>145.659821450834</v>
      </c>
      <c r="I15" s="0" t="n">
        <f aca="false">I13-MAX(0,I13)*I14/100</f>
        <v>148.57301787985</v>
      </c>
      <c r="J15" s="0" t="n">
        <f aca="false">J13-MAX(0,J13)*J14/100</f>
        <v>151.544478237447</v>
      </c>
      <c r="K15" s="0" t="n">
        <f aca="false">K13-MAX(0,K13)*K14/100</f>
        <v>154.575367802196</v>
      </c>
      <c r="L15" s="0" t="n">
        <f aca="false">L13-MAX(0,L13)*L14/100</f>
        <v>157.66687515824</v>
      </c>
    </row>
    <row r="16" customFormat="false" ht="15" hidden="false" customHeight="false" outlineLevel="0" collapsed="false">
      <c r="A16" s="0" t="s">
        <v>119</v>
      </c>
      <c r="C16" s="0" t="n">
        <f aca="false">-C12</f>
        <v>8.610048</v>
      </c>
      <c r="D16" s="0" t="n">
        <f aca="false">-D12</f>
        <v>8.78224896</v>
      </c>
      <c r="E16" s="0" t="n">
        <f aca="false">-E12</f>
        <v>9.001805184</v>
      </c>
      <c r="F16" s="0" t="n">
        <f aca="false">-F12</f>
        <v>9.2268503136</v>
      </c>
      <c r="G16" s="0" t="n">
        <f aca="false">-G12</f>
        <v>9.45752157144</v>
      </c>
      <c r="H16" s="0" t="n">
        <f aca="false">-H12</f>
        <v>9.693959610726</v>
      </c>
      <c r="I16" s="0" t="n">
        <f aca="false">-I12</f>
        <v>9.88783880294052</v>
      </c>
      <c r="J16" s="0" t="n">
        <f aca="false">-J12</f>
        <v>10.0855955789993</v>
      </c>
      <c r="K16" s="0" t="n">
        <f aca="false">-K12</f>
        <v>10.2873074905793</v>
      </c>
      <c r="L16" s="0" t="n">
        <f aca="false">-L12</f>
        <v>10.4930536403909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-7.17504</v>
      </c>
      <c r="D17" s="4" t="n">
        <f aca="false">-D6*Assumptions!D32/100</f>
        <v>-8.05039488</v>
      </c>
      <c r="E17" s="4" t="n">
        <f aca="false">-E6*Assumptions!E32/100</f>
        <v>-9.001805184</v>
      </c>
      <c r="F17" s="4" t="n">
        <f aca="false">-F6*Assumptions!F32/100</f>
        <v>-9.2268503136</v>
      </c>
      <c r="G17" s="4" t="n">
        <f aca="false">-G6*Assumptions!G32/100</f>
        <v>-9.45752157144</v>
      </c>
      <c r="H17" s="4" t="n">
        <f aca="false">-H6*Assumptions!H32/100</f>
        <v>-9.693959610726</v>
      </c>
      <c r="I17" s="4" t="n">
        <f aca="false">-I6*Assumptions!I32/100</f>
        <v>-9.88783880294052</v>
      </c>
      <c r="J17" s="4" t="n">
        <f aca="false">-J6*Assumptions!J32/100</f>
        <v>-10.0855955789993</v>
      </c>
      <c r="K17" s="4" t="n">
        <f aca="false">-K6*Assumptions!K32/100</f>
        <v>-10.2873074905793</v>
      </c>
      <c r="L17" s="4" t="n">
        <f aca="false">-L6*Assumptions!L32/100</f>
        <v>-10.4930536403909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-1.06560000000001</v>
      </c>
      <c r="D18" s="4" t="n">
        <f aca="false">(D6-C6)*Assumptions!$B$37/100</f>
        <v>-2.15251200000001</v>
      </c>
      <c r="E18" s="4" t="n">
        <f aca="false">(E6-D6)*Assumptions!$B$37/100</f>
        <v>-2.74445279999999</v>
      </c>
      <c r="F18" s="4" t="n">
        <f aca="false">(F6-E6)*Assumptions!$B$37/100</f>
        <v>-2.81306411999998</v>
      </c>
      <c r="G18" s="4" t="n">
        <f aca="false">(G6-F6)*Assumptions!$B$37/100</f>
        <v>-2.88339072299999</v>
      </c>
      <c r="H18" s="4" t="n">
        <f aca="false">(H6-G6)*Assumptions!$B$37/100</f>
        <v>-2.95547549107499</v>
      </c>
      <c r="I18" s="4" t="n">
        <f aca="false">(I6-H6)*Assumptions!$B$37/100</f>
        <v>-2.42348990268151</v>
      </c>
      <c r="J18" s="4" t="n">
        <f aca="false">(J6-I6)*Assumptions!$B$37/100</f>
        <v>-2.47195970073512</v>
      </c>
      <c r="K18" s="4" t="n">
        <f aca="false">(K6-J6)*Assumptions!$B$37/100</f>
        <v>-2.52139889474984</v>
      </c>
      <c r="L18" s="4" t="n">
        <f aca="false">(L6-K6)*Assumptions!$B$37/100</f>
        <v>-2.57182687264482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124.50477504</v>
      </c>
      <c r="D19" s="0" t="n">
        <f aca="false">D15+D16+D17+D18</f>
        <v>126.800176896</v>
      </c>
      <c r="E19" s="0" t="n">
        <f aca="false">E15+E16+E17+E18</f>
        <v>130.32473233248</v>
      </c>
      <c r="F19" s="0" t="n">
        <f aca="false">F15+F16+F17+F18</f>
        <v>134.70545076228</v>
      </c>
      <c r="G19" s="0" t="n">
        <f aca="false">G15+G16+G17+G18</f>
        <v>139.223752155862</v>
      </c>
      <c r="H19" s="0" t="n">
        <f aca="false">H15+H16+H17+H18</f>
        <v>142.704345959759</v>
      </c>
      <c r="I19" s="0" t="n">
        <f aca="false">I15+I16+I17+I18</f>
        <v>146.149527977169</v>
      </c>
      <c r="J19" s="0" t="n">
        <f aca="false">J15+J16+J17+J18</f>
        <v>149.072518536712</v>
      </c>
      <c r="K19" s="0" t="n">
        <f aca="false">K15+K16+K17+K18</f>
        <v>152.053968907447</v>
      </c>
      <c r="L19" s="0" t="n">
        <f aca="false">L15+L16+L17+L18</f>
        <v>155.095048285595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114.750944737327</v>
      </c>
      <c r="D21" s="0" t="n">
        <f aca="false">D19*D20</f>
        <v>107.711080631145</v>
      </c>
      <c r="E21" s="0" t="n">
        <f aca="false">E19*E20</f>
        <v>102.032288368916</v>
      </c>
      <c r="F21" s="0" t="n">
        <f aca="false">F19*F20</f>
        <v>97.1999892207842</v>
      </c>
      <c r="G21" s="0" t="n">
        <f aca="false">G19*G20</f>
        <v>92.5901191842997</v>
      </c>
      <c r="H21" s="0" t="n">
        <f aca="false">H19*H20</f>
        <v>87.4699282616656</v>
      </c>
      <c r="I21" s="0" t="n">
        <f aca="false">I19*I20</f>
        <v>82.5637195073002</v>
      </c>
      <c r="J21" s="0" t="n">
        <f aca="false">J19*J20</f>
        <v>77.6175058962638</v>
      </c>
      <c r="K21" s="0" t="n">
        <f aca="false">K19*K20</f>
        <v>72.9676092296673</v>
      </c>
      <c r="L21" s="0" t="n">
        <f aca="false">L19*L20</f>
        <v>68.5962778011619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2.1</v>
      </c>
      <c r="D23" s="4" t="n">
        <f aca="false">Assumptions!D30</f>
        <v>2.1</v>
      </c>
      <c r="E23" s="4" t="n">
        <f aca="false">Assumptions!E30</f>
        <v>2.1</v>
      </c>
      <c r="F23" s="4" t="n">
        <f aca="false">Assumptions!F30</f>
        <v>2.1</v>
      </c>
      <c r="G23" s="4" t="n">
        <f aca="false">Assumptions!G30</f>
        <v>2.1</v>
      </c>
      <c r="H23" s="4" t="n">
        <f aca="false">Assumptions!H30</f>
        <v>2.1</v>
      </c>
      <c r="I23" s="4" t="n">
        <f aca="false">Assumptions!I30</f>
        <v>2.1</v>
      </c>
      <c r="J23" s="4" t="n">
        <f aca="false">Assumptions!J30</f>
        <v>2.1</v>
      </c>
      <c r="K23" s="4" t="n">
        <f aca="false">Assumptions!K30</f>
        <v>2.1</v>
      </c>
      <c r="L23" s="4" t="n">
        <f aca="false">Assumptions!L30</f>
        <v>2.1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-15.067584</v>
      </c>
      <c r="D24" s="0" t="n">
        <f aca="false">-D6*D23/100</f>
        <v>-15.36893568</v>
      </c>
      <c r="E24" s="0" t="n">
        <f aca="false">-E6*E23/100</f>
        <v>-15.753159072</v>
      </c>
      <c r="F24" s="0" t="n">
        <f aca="false">-F6*F23/100</f>
        <v>-16.1469880488</v>
      </c>
      <c r="G24" s="0" t="n">
        <f aca="false">-G6*G23/100</f>
        <v>-16.55066275002</v>
      </c>
      <c r="H24" s="0" t="n">
        <f aca="false">-H6*H23/100</f>
        <v>-16.9644293187705</v>
      </c>
      <c r="I24" s="0" t="n">
        <f aca="false">-I6*I23/100</f>
        <v>-17.3037179051459</v>
      </c>
      <c r="J24" s="0" t="n">
        <f aca="false">-J6*J23/100</f>
        <v>-17.6497922632488</v>
      </c>
      <c r="K24" s="0" t="n">
        <f aca="false">-K6*K23/100</f>
        <v>-18.0027881085138</v>
      </c>
      <c r="L24" s="0" t="n">
        <f aca="false">-L6*L23/100</f>
        <v>-18.3628438706841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903.499462838531</v>
      </c>
    </row>
    <row r="31" customFormat="false" ht="15" hidden="false" customHeight="false" outlineLevel="0" collapsed="false">
      <c r="A31" s="0" t="s">
        <v>128</v>
      </c>
      <c r="B31" s="0" t="n">
        <f aca="false">L19</f>
        <v>155.095048285595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2433.79921925088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2016.23562771274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2016.23562771274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891.751611415105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1795.25107425364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1429.15107425364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5.53291163086967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0.622554730460314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51.4561691108715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60.6890137952768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5.96707803778469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1216.89960962544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2.39141049769928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3.5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710.4</v>
      </c>
      <c r="C6" s="0" t="n">
        <f aca="false">B6*(1+C5/100)</f>
        <v>735.264</v>
      </c>
      <c r="D6" s="0" t="n">
        <f aca="false">C6*(1+D5/100)</f>
        <v>772.0272</v>
      </c>
      <c r="E6" s="0" t="n">
        <f aca="false">D6*(1+E5/100)</f>
        <v>810.62856</v>
      </c>
      <c r="F6" s="0" t="n">
        <f aca="false">E6*(1+F5/100)</f>
        <v>847.1068452</v>
      </c>
      <c r="G6" s="0" t="n">
        <f aca="false">F6*(1+G5/100)</f>
        <v>880.991119008</v>
      </c>
      <c r="H6" s="0" t="n">
        <f aca="false">G6*(1+H5/100)</f>
        <v>911.82580817328</v>
      </c>
      <c r="I6" s="0" t="n">
        <f aca="false">H6*(1+I5/100)</f>
        <v>939.180582418478</v>
      </c>
      <c r="J6" s="0" t="n">
        <f aca="false">I6*(1+J5/100)</f>
        <v>967.355999891033</v>
      </c>
      <c r="K6" s="0" t="n">
        <f aca="false">J6*(1+K5/100)</f>
        <v>991.539899888308</v>
      </c>
      <c r="L6" s="0" t="n">
        <f aca="false">K6*(1+L5/100)</f>
        <v>1016.32839738552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28.5</v>
      </c>
      <c r="D7" s="4" t="n">
        <f aca="false">Assumptions!D42</f>
        <v>29</v>
      </c>
      <c r="E7" s="4" t="n">
        <f aca="false">Assumptions!E42</f>
        <v>29.5</v>
      </c>
      <c r="F7" s="4" t="n">
        <f aca="false">Assumptions!F42</f>
        <v>30</v>
      </c>
      <c r="G7" s="4" t="n">
        <f aca="false">Assumptions!G42</f>
        <v>30.5</v>
      </c>
      <c r="H7" s="4" t="n">
        <f aca="false">Assumptions!H42</f>
        <v>30.5</v>
      </c>
      <c r="I7" s="4" t="n">
        <f aca="false">Assumptions!I42</f>
        <v>30.5</v>
      </c>
      <c r="J7" s="4" t="n">
        <f aca="false">Assumptions!J42</f>
        <v>30.5</v>
      </c>
      <c r="K7" s="4" t="n">
        <f aca="false">Assumptions!K42</f>
        <v>30.5</v>
      </c>
      <c r="L7" s="4" t="n">
        <f aca="false">Assumptions!L42</f>
        <v>30.5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209.55024</v>
      </c>
      <c r="D8" s="0" t="n">
        <f aca="false">D6*D7/100</f>
        <v>223.887888</v>
      </c>
      <c r="E8" s="0" t="n">
        <f aca="false">E6*E7/100</f>
        <v>239.1354252</v>
      </c>
      <c r="F8" s="0" t="n">
        <f aca="false">F6*F7/100</f>
        <v>254.13205356</v>
      </c>
      <c r="G8" s="0" t="n">
        <f aca="false">G6*G7/100</f>
        <v>268.70229129744</v>
      </c>
      <c r="H8" s="0" t="n">
        <f aca="false">H6*H7/100</f>
        <v>278.10687149285</v>
      </c>
      <c r="I8" s="0" t="n">
        <f aca="false">I6*I7/100</f>
        <v>286.450077637636</v>
      </c>
      <c r="J8" s="0" t="n">
        <f aca="false">J6*J7/100</f>
        <v>295.043579966765</v>
      </c>
      <c r="K8" s="0" t="n">
        <f aca="false">K6*K7/100</f>
        <v>302.419669465934</v>
      </c>
      <c r="L8" s="0" t="n">
        <f aca="false">L6*L7/100</f>
        <v>309.980161202582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1</v>
      </c>
      <c r="D9" s="4" t="n">
        <f aca="false">Assumptions!D43</f>
        <v>1</v>
      </c>
      <c r="E9" s="4" t="n">
        <f aca="false">Assumptions!E43</f>
        <v>1</v>
      </c>
      <c r="F9" s="4" t="n">
        <f aca="false">Assumptions!F43</f>
        <v>1</v>
      </c>
      <c r="G9" s="4" t="n">
        <f aca="false">Assumptions!G43</f>
        <v>1</v>
      </c>
      <c r="H9" s="4" t="n">
        <f aca="false">Assumptions!H43</f>
        <v>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-7.35264</v>
      </c>
      <c r="D10" s="0" t="n">
        <f aca="false">-D6*D9/100</f>
        <v>-7.720272</v>
      </c>
      <c r="E10" s="0" t="n">
        <f aca="false">-E6*E9/100</f>
        <v>-8.1062856</v>
      </c>
      <c r="F10" s="0" t="n">
        <f aca="false">-F6*F9/100</f>
        <v>-8.471068452</v>
      </c>
      <c r="G10" s="0" t="n">
        <f aca="false">-G6*G9/100</f>
        <v>-8.80991119008</v>
      </c>
      <c r="H10" s="0" t="n">
        <f aca="false">-H6*H9/100</f>
        <v>-9.1182580817328</v>
      </c>
      <c r="I10" s="0" t="n">
        <f aca="false">-I6*I9/100</f>
        <v>-9.39180582418478</v>
      </c>
      <c r="J10" s="0" t="n">
        <f aca="false">-J6*J9/100</f>
        <v>-9.67355999891033</v>
      </c>
      <c r="K10" s="0" t="n">
        <f aca="false">-K6*K9/100</f>
        <v>-9.91539899888308</v>
      </c>
      <c r="L10" s="0" t="n">
        <f aca="false">-L6*L9/100</f>
        <v>-10.1632839738552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186.757056</v>
      </c>
      <c r="D11" s="0" t="n">
        <f aca="false">D8+D10+D24</f>
        <v>199.9550448</v>
      </c>
      <c r="E11" s="0" t="n">
        <f aca="false">E8+E10+E24</f>
        <v>214.8165684</v>
      </c>
      <c r="F11" s="0" t="n">
        <f aca="false">F8+F10+F24</f>
        <v>228.718848204</v>
      </c>
      <c r="G11" s="0" t="n">
        <f aca="false">G8+G10+G24</f>
        <v>242.2725577272</v>
      </c>
      <c r="H11" s="0" t="n">
        <f aca="false">H8+H10+H24</f>
        <v>250.752097247652</v>
      </c>
      <c r="I11" s="0" t="n">
        <f aca="false">I8+I10+I24</f>
        <v>258.274660165082</v>
      </c>
      <c r="J11" s="0" t="n">
        <f aca="false">J8+J10+J24</f>
        <v>266.022899970034</v>
      </c>
      <c r="K11" s="0" t="n">
        <f aca="false">K8+K10+K24</f>
        <v>272.673472469285</v>
      </c>
      <c r="L11" s="0" t="n">
        <f aca="false">L8+L10+L24</f>
        <v>279.490309281017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-8.823168</v>
      </c>
      <c r="D12" s="4" t="n">
        <f aca="false">-D6*Assumptions!D45/100</f>
        <v>-9.2643264</v>
      </c>
      <c r="E12" s="4" t="n">
        <f aca="false">-E6*Assumptions!E45/100</f>
        <v>-9.72754272</v>
      </c>
      <c r="F12" s="4" t="n">
        <f aca="false">-F6*Assumptions!F45/100</f>
        <v>-10.1652821424</v>
      </c>
      <c r="G12" s="4" t="n">
        <f aca="false">-G6*Assumptions!G45/100</f>
        <v>-10.571893428096</v>
      </c>
      <c r="H12" s="4" t="n">
        <f aca="false">-H6*Assumptions!H45/100</f>
        <v>-10.9419096980794</v>
      </c>
      <c r="I12" s="4" t="n">
        <f aca="false">-I6*Assumptions!I45/100</f>
        <v>-11.2701669890217</v>
      </c>
      <c r="J12" s="4" t="n">
        <f aca="false">-J6*Assumptions!J45/100</f>
        <v>-11.6082719986924</v>
      </c>
      <c r="K12" s="4" t="n">
        <f aca="false">-K6*Assumptions!K45/100</f>
        <v>-11.8984787986597</v>
      </c>
      <c r="L12" s="4" t="n">
        <f aca="false">-L6*Assumptions!L45/100</f>
        <v>-12.1959407686262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177.933888</v>
      </c>
      <c r="D13" s="0" t="n">
        <f aca="false">D11+D12</f>
        <v>190.6907184</v>
      </c>
      <c r="E13" s="0" t="n">
        <f aca="false">E11+E12</f>
        <v>205.08902568</v>
      </c>
      <c r="F13" s="0" t="n">
        <f aca="false">F11+F12</f>
        <v>218.5535660616</v>
      </c>
      <c r="G13" s="0" t="n">
        <f aca="false">G11+G12</f>
        <v>231.700664299104</v>
      </c>
      <c r="H13" s="0" t="n">
        <f aca="false">H11+H12</f>
        <v>239.810187549573</v>
      </c>
      <c r="I13" s="0" t="n">
        <f aca="false">I11+I12</f>
        <v>247.00449317606</v>
      </c>
      <c r="J13" s="0" t="n">
        <f aca="false">J11+J12</f>
        <v>254.414627971342</v>
      </c>
      <c r="K13" s="0" t="n">
        <f aca="false">K11+K12</f>
        <v>260.774993670625</v>
      </c>
      <c r="L13" s="0" t="n">
        <f aca="false">L11+L12</f>
        <v>267.294368512391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27</v>
      </c>
      <c r="D14" s="4" t="n">
        <f aca="false">Assumptions!D47</f>
        <v>26.5</v>
      </c>
      <c r="E14" s="4" t="n">
        <f aca="false">Assumptions!E47</f>
        <v>26.5</v>
      </c>
      <c r="F14" s="4" t="n">
        <f aca="false">Assumptions!F47</f>
        <v>26.5</v>
      </c>
      <c r="G14" s="4" t="n">
        <f aca="false">Assumptions!G47</f>
        <v>26.5</v>
      </c>
      <c r="H14" s="4" t="n">
        <f aca="false">Assumptions!H47</f>
        <v>26.5</v>
      </c>
      <c r="I14" s="4" t="n">
        <f aca="false">Assumptions!I47</f>
        <v>26.5</v>
      </c>
      <c r="J14" s="4" t="n">
        <f aca="false">Assumptions!J47</f>
        <v>26.5</v>
      </c>
      <c r="K14" s="4" t="n">
        <f aca="false">Assumptions!K47</f>
        <v>26.5</v>
      </c>
      <c r="L14" s="4" t="n">
        <f aca="false">Assumptions!L47</f>
        <v>26.5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129.89173824</v>
      </c>
      <c r="D15" s="0" t="n">
        <f aca="false">D13-MAX(0,D13)*D14/100</f>
        <v>140.157678024</v>
      </c>
      <c r="E15" s="0" t="n">
        <f aca="false">E13-MAX(0,E13)*E14/100</f>
        <v>150.7404338748</v>
      </c>
      <c r="F15" s="0" t="n">
        <f aca="false">F13-MAX(0,F13)*F14/100</f>
        <v>160.636871055276</v>
      </c>
      <c r="G15" s="0" t="n">
        <f aca="false">G13-MAX(0,G13)*G14/100</f>
        <v>170.299988259841</v>
      </c>
      <c r="H15" s="0" t="n">
        <f aca="false">H13-MAX(0,H13)*H14/100</f>
        <v>176.260487848936</v>
      </c>
      <c r="I15" s="0" t="n">
        <f aca="false">I13-MAX(0,I13)*I14/100</f>
        <v>181.548302484404</v>
      </c>
      <c r="J15" s="0" t="n">
        <f aca="false">J13-MAX(0,J13)*J14/100</f>
        <v>186.994751558936</v>
      </c>
      <c r="K15" s="0" t="n">
        <f aca="false">K13-MAX(0,K13)*K14/100</f>
        <v>191.669620347909</v>
      </c>
      <c r="L15" s="0" t="n">
        <f aca="false">L13-MAX(0,L13)*L14/100</f>
        <v>196.461360856607</v>
      </c>
    </row>
    <row r="16" customFormat="false" ht="15" hidden="false" customHeight="false" outlineLevel="0" collapsed="false">
      <c r="A16" s="0" t="s">
        <v>119</v>
      </c>
      <c r="C16" s="0" t="n">
        <f aca="false">-C12</f>
        <v>8.823168</v>
      </c>
      <c r="D16" s="0" t="n">
        <f aca="false">-D12</f>
        <v>9.2643264</v>
      </c>
      <c r="E16" s="0" t="n">
        <f aca="false">-E12</f>
        <v>9.72754272</v>
      </c>
      <c r="F16" s="0" t="n">
        <f aca="false">-F12</f>
        <v>10.1652821424</v>
      </c>
      <c r="G16" s="0" t="n">
        <f aca="false">-G12</f>
        <v>10.571893428096</v>
      </c>
      <c r="H16" s="0" t="n">
        <f aca="false">-H12</f>
        <v>10.9419096980794</v>
      </c>
      <c r="I16" s="0" t="n">
        <f aca="false">-I12</f>
        <v>11.2701669890217</v>
      </c>
      <c r="J16" s="0" t="n">
        <f aca="false">-J12</f>
        <v>11.6082719986924</v>
      </c>
      <c r="K16" s="0" t="n">
        <f aca="false">-K12</f>
        <v>11.8984787986597</v>
      </c>
      <c r="L16" s="0" t="n">
        <f aca="false">-L12</f>
        <v>12.1959407686262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-8.823168</v>
      </c>
      <c r="D17" s="4" t="n">
        <f aca="false">-D6*Assumptions!D46/100</f>
        <v>-10.0363536</v>
      </c>
      <c r="E17" s="4" t="n">
        <f aca="false">-E6*Assumptions!E46/100</f>
        <v>-10.53817128</v>
      </c>
      <c r="F17" s="4" t="n">
        <f aca="false">-F6*Assumptions!F46/100</f>
        <v>-11.0123889876</v>
      </c>
      <c r="G17" s="4" t="n">
        <f aca="false">-G6*Assumptions!G46/100</f>
        <v>-11.452884547104</v>
      </c>
      <c r="H17" s="4" t="n">
        <f aca="false">-H6*Assumptions!H46/100</f>
        <v>-10.9419096980794</v>
      </c>
      <c r="I17" s="4" t="n">
        <f aca="false">-I6*Assumptions!I46/100</f>
        <v>-11.2701669890217</v>
      </c>
      <c r="J17" s="4" t="n">
        <f aca="false">-J6*Assumptions!J46/100</f>
        <v>-11.6082719986924</v>
      </c>
      <c r="K17" s="4" t="n">
        <f aca="false">-K6*Assumptions!K46/100</f>
        <v>-11.8984787986597</v>
      </c>
      <c r="L17" s="4" t="n">
        <f aca="false">-L6*Assumptions!L46/100</f>
        <v>-12.1959407686262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-3.72959999999999</v>
      </c>
      <c r="D18" s="4" t="n">
        <f aca="false">(D6-C6)*Assumptions!$B$51/100</f>
        <v>-5.51448</v>
      </c>
      <c r="E18" s="4" t="n">
        <f aca="false">(E6-D6)*Assumptions!$B$51/100</f>
        <v>-5.790204</v>
      </c>
      <c r="F18" s="4" t="n">
        <f aca="false">(F6-E6)*Assumptions!$B$51/100</f>
        <v>-5.47174277999999</v>
      </c>
      <c r="G18" s="4" t="n">
        <f aca="false">(G6-F6)*Assumptions!$B$51/100</f>
        <v>-5.0826410712</v>
      </c>
      <c r="H18" s="4" t="n">
        <f aca="false">(H6-G6)*Assumptions!$B$51/100</f>
        <v>-4.62520337479198</v>
      </c>
      <c r="I18" s="4" t="n">
        <f aca="false">(I6-H6)*Assumptions!$B$51/100</f>
        <v>-4.10321613677976</v>
      </c>
      <c r="J18" s="4" t="n">
        <f aca="false">(J6-I6)*Assumptions!$B$51/100</f>
        <v>-4.22631262088316</v>
      </c>
      <c r="K18" s="4" t="n">
        <f aca="false">(K6-J6)*Assumptions!$B$51/100</f>
        <v>-3.62758499959136</v>
      </c>
      <c r="L18" s="4" t="n">
        <f aca="false">(L6-K6)*Assumptions!$B$51/100</f>
        <v>-3.71827462458114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126.16213824</v>
      </c>
      <c r="D19" s="0" t="n">
        <f aca="false">D15+D16+D17+D18</f>
        <v>133.871170824</v>
      </c>
      <c r="E19" s="0" t="n">
        <f aca="false">E15+E16+E17+E18</f>
        <v>144.1396013148</v>
      </c>
      <c r="F19" s="0" t="n">
        <f aca="false">F15+F16+F17+F18</f>
        <v>154.318021430076</v>
      </c>
      <c r="G19" s="0" t="n">
        <f aca="false">G15+G16+G17+G18</f>
        <v>164.336356069633</v>
      </c>
      <c r="H19" s="0" t="n">
        <f aca="false">H15+H16+H17+H18</f>
        <v>171.635284474144</v>
      </c>
      <c r="I19" s="0" t="n">
        <f aca="false">I15+I16+I17+I18</f>
        <v>177.445086347624</v>
      </c>
      <c r="J19" s="0" t="n">
        <f aca="false">J15+J16+J17+J18</f>
        <v>182.768438938053</v>
      </c>
      <c r="K19" s="0" t="n">
        <f aca="false">K15+K16+K17+K18</f>
        <v>188.042035348318</v>
      </c>
      <c r="L19" s="0" t="n">
        <f aca="false">L15+L16+L17+L18</f>
        <v>192.743086232026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116.278468423963</v>
      </c>
      <c r="D21" s="0" t="n">
        <f aca="false">D19*D20</f>
        <v>113.717573806197</v>
      </c>
      <c r="E21" s="0" t="n">
        <f aca="false">E19*E20</f>
        <v>112.848061173934</v>
      </c>
      <c r="F21" s="0" t="n">
        <f aca="false">F19*F20</f>
        <v>111.351915863054</v>
      </c>
      <c r="G21" s="0" t="n">
        <f aca="false">G19*G20</f>
        <v>109.291141484009</v>
      </c>
      <c r="H21" s="0" t="n">
        <f aca="false">H19*H20</f>
        <v>105.203004990173</v>
      </c>
      <c r="I21" s="0" t="n">
        <f aca="false">I19*I20</f>
        <v>100.243405092917</v>
      </c>
      <c r="J21" s="0" t="n">
        <f aca="false">J19*J20</f>
        <v>95.1619421619393</v>
      </c>
      <c r="K21" s="0" t="n">
        <f aca="false">K19*K20</f>
        <v>90.2375508685285</v>
      </c>
      <c r="L21" s="0" t="n">
        <f aca="false">L19*L20</f>
        <v>85.2474558896237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2.1</v>
      </c>
      <c r="D23" s="4" t="n">
        <f aca="false">Assumptions!D44</f>
        <v>2.1</v>
      </c>
      <c r="E23" s="4" t="n">
        <f aca="false">Assumptions!E44</f>
        <v>2</v>
      </c>
      <c r="F23" s="4" t="n">
        <f aca="false">Assumptions!F44</f>
        <v>2</v>
      </c>
      <c r="G23" s="4" t="n">
        <f aca="false">Assumptions!G44</f>
        <v>2</v>
      </c>
      <c r="H23" s="4" t="n">
        <f aca="false">Assumptions!H44</f>
        <v>2</v>
      </c>
      <c r="I23" s="4" t="n">
        <f aca="false">Assumptions!I44</f>
        <v>2</v>
      </c>
      <c r="J23" s="4" t="n">
        <f aca="false">Assumptions!J44</f>
        <v>2</v>
      </c>
      <c r="K23" s="4" t="n">
        <f aca="false">Assumptions!K44</f>
        <v>2</v>
      </c>
      <c r="L23" s="4" t="n">
        <f aca="false">Assumptions!L44</f>
        <v>2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-15.440544</v>
      </c>
      <c r="D24" s="0" t="n">
        <f aca="false">-D6*D23/100</f>
        <v>-16.2125712</v>
      </c>
      <c r="E24" s="0" t="n">
        <f aca="false">-E6*E23/100</f>
        <v>-16.2125712</v>
      </c>
      <c r="F24" s="0" t="n">
        <f aca="false">-F6*F23/100</f>
        <v>-16.942136904</v>
      </c>
      <c r="G24" s="0" t="n">
        <f aca="false">-G6*G23/100</f>
        <v>-17.61982238016</v>
      </c>
      <c r="H24" s="0" t="n">
        <f aca="false">-H6*H23/100</f>
        <v>-18.2365161634656</v>
      </c>
      <c r="I24" s="0" t="n">
        <f aca="false">-I6*I23/100</f>
        <v>-18.7836116483696</v>
      </c>
      <c r="J24" s="0" t="n">
        <f aca="false">-J6*J23/100</f>
        <v>-19.3471199978207</v>
      </c>
      <c r="K24" s="0" t="n">
        <f aca="false">-K6*K23/100</f>
        <v>-19.8307979977662</v>
      </c>
      <c r="L24" s="0" t="n">
        <f aca="false">-L6*L23/100</f>
        <v>-20.3265679477103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1039.58051975434</v>
      </c>
    </row>
    <row r="31" customFormat="false" ht="15" hidden="false" customHeight="false" outlineLevel="0" collapsed="false">
      <c r="A31" s="0" t="s">
        <v>128</v>
      </c>
      <c r="B31" s="0" t="n">
        <f aca="false">L19</f>
        <v>192.743086232026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3292.69438979711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2891.14629348039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2891.14629348039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1278.71183834436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2318.29235809869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1952.19235809869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7.5578488505563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1.21637796203997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56.8372934923781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76.7908179546203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8.07518571252688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1580.49330710261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3.10480291150812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2.72541603733954</v>
      </c>
      <c r="C4" s="0" t="n">
        <f aca="false">B4/Assumptions!$B$2-1</f>
        <v>-0.200757760310987</v>
      </c>
      <c r="D4" s="4" t="n">
        <f aca="false">Assumptions!$B$24</f>
        <v>0.3</v>
      </c>
      <c r="E4" s="4" t="n">
        <f aca="false">DCF_Bear!$B$43</f>
        <v>3.03536373162033</v>
      </c>
      <c r="F4" s="4" t="n">
        <f aca="false">DCF_Bear!$B$47</f>
        <v>1.17773780264108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5.53291163086967</v>
      </c>
      <c r="C5" s="0" t="n">
        <f aca="false">B5/Assumptions!$B$2-1</f>
        <v>0.622554730460314</v>
      </c>
      <c r="D5" s="4" t="n">
        <f aca="false">Assumptions!$B$38</f>
        <v>0.5</v>
      </c>
      <c r="E5" s="4" t="n">
        <f aca="false">DCF_Base!$B$43</f>
        <v>5.96707803778469</v>
      </c>
      <c r="F5" s="4" t="n">
        <f aca="false">DCF_Base!$B$47</f>
        <v>2.39141049769928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7.5578488505563</v>
      </c>
      <c r="C6" s="0" t="n">
        <f aca="false">B6/Assumptions!$B$2-1</f>
        <v>1.21637796203997</v>
      </c>
      <c r="D6" s="4" t="n">
        <f aca="false">Assumptions!$B$52</f>
        <v>0.2</v>
      </c>
      <c r="E6" s="4" t="n">
        <f aca="false">DCF_Bull!$B$43</f>
        <v>8.07518571252688</v>
      </c>
      <c r="F6" s="4" t="n">
        <f aca="false">DCF_Bull!$B$47</f>
        <v>3.10480291150812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5.09565039674796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5.50918528088382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0.330801814391297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-407.619879582918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2.16998717194359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5.53291163086967</v>
      </c>
      <c r="C15" s="3" t="n">
        <v>8.5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5.29793103090321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4.80069720967053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4.10421953796335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3.54725657300349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2.39141049769928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6.58819708461633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6.58819708461633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6.58819708461633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6.58819708461633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6.58819708461633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6.03625193291867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6.03625193291867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6.03625193291867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6.03625193291867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6.03625193291867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5.53291163086967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5.53291163086967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5.53291163086967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5.53291163086967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5.53291163086967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4.80253295878234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4.99761062224515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5.07332569710514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5.07332569710514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5.07332569710514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4.12920011723966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4.27216089873447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4.43194059569927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4.61169275478465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4.6531740222659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2026-09-23T02:52:48Z</dcterms:created>
  <dc:creator>openpyxl</dc:creator>
  <dc:description/>
  <dc:language>en-NZ</dc:language>
  <cp:lastModifiedBy/>
  <dcterms:modified xsi:type="dcterms:W3CDTF">2026-09-23T02:52:48Z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