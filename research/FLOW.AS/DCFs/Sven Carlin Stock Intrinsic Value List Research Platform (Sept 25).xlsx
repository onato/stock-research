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queryTables/queryTable1.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carli\Desktop\"/>
    </mc:Choice>
  </mc:AlternateContent>
  <xr:revisionPtr revIDLastSave="0" documentId="13_ncr:1_{0282A9EA-E851-4C5A-817B-285A1EDEE50F}" xr6:coauthVersionLast="47" xr6:coauthVersionMax="47" xr10:uidLastSave="{00000000-0000-0000-0000-000000000000}"/>
  <bookViews>
    <workbookView xWindow="-120" yWindow="-120" windowWidth="29040" windowHeight="15840" firstSheet="1" activeTab="1" xr2:uid="{9B3D0507-3FCF-4BF7-B8E2-05D9214F0678}"/>
  </bookViews>
  <sheets>
    <sheet name="Template" sheetId="131" r:id="rId1"/>
    <sheet name="COMPARATIVE TABLE" sheetId="35" r:id="rId2"/>
    <sheet name="MKT CAP - Price" sheetId="36" r:id="rId3"/>
    <sheet name="LXS" sheetId="160" r:id="rId4"/>
    <sheet name="AKER" sheetId="159" r:id="rId5"/>
    <sheet name="Ahold" sheetId="132" r:id="rId6"/>
    <sheet name="BABA" sheetId="133" r:id="rId7"/>
    <sheet name="ACOMO" sheetId="134" r:id="rId8"/>
    <sheet name="ADM" sheetId="120" r:id="rId9"/>
    <sheet name="ABF" sheetId="136" r:id="rId10"/>
    <sheet name="BRK.B" sheetId="135" r:id="rId11"/>
    <sheet name="LND" sheetId="137" r:id="rId12"/>
    <sheet name="CEMBRE" sheetId="138" r:id="rId13"/>
    <sheet name="CHM" sheetId="139" r:id="rId14"/>
    <sheet name="CK" sheetId="141" r:id="rId15"/>
    <sheet name="Clarks" sheetId="140" r:id="rId16"/>
    <sheet name="FP" sheetId="142" r:id="rId17"/>
    <sheet name="FLOW" sheetId="143" r:id="rId18"/>
    <sheet name="ICL" sheetId="144" r:id="rId19"/>
    <sheet name="LBTYK" sheetId="147" r:id="rId20"/>
    <sheet name="LUNDIN" sheetId="146" r:id="rId21"/>
    <sheet name="Maersk" sheetId="145" r:id="rId22"/>
    <sheet name="Nine D" sheetId="148" r:id="rId23"/>
    <sheet name="NTR" sheetId="149" r:id="rId24"/>
    <sheet name="MOS" sheetId="151" r:id="rId25"/>
    <sheet name="RHIM" sheetId="152" r:id="rId26"/>
    <sheet name="RUI" sheetId="153" r:id="rId27"/>
    <sheet name="LIGHT" sheetId="157" r:id="rId28"/>
    <sheet name="SIRI" sheetId="154" r:id="rId29"/>
    <sheet name="SNRE" sheetId="155" r:id="rId30"/>
    <sheet name="TIBN" sheetId="158" r:id="rId31"/>
    <sheet name="Wilmar" sheetId="156" r:id="rId32"/>
    <sheet name="GLEN" sheetId="150" r:id="rId33"/>
    <sheet name="VZ" sheetId="130" r:id="rId34"/>
    <sheet name="MDLZ" sheetId="129" r:id="rId35"/>
    <sheet name="APPLE" sheetId="114" r:id="rId36"/>
    <sheet name="S&amp;P 500" sheetId="116" r:id="rId37"/>
    <sheet name="GDX" sheetId="117" r:id="rId38"/>
    <sheet name="AMZN" sheetId="118" r:id="rId39"/>
    <sheet name="10yT" sheetId="119" r:id="rId40"/>
    <sheet name="MCD" sheetId="123" r:id="rId41"/>
    <sheet name="NESN" sheetId="122" r:id="rId42"/>
    <sheet name="NKE" sheetId="121" r:id="rId43"/>
    <sheet name="DHL" sheetId="124" r:id="rId44"/>
    <sheet name="SCHD" sheetId="125" r:id="rId45"/>
    <sheet name="GOOG" sheetId="126" r:id="rId46"/>
    <sheet name="PBR" sheetId="127" r:id="rId47"/>
    <sheet name="BRK" sheetId="128" r:id="rId48"/>
    <sheet name="= (3)" sheetId="111" r:id="rId49"/>
  </sheets>
  <definedNames>
    <definedName name="pubhtml" localSheetId="2">'MKT CAP - Price'!$A$1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35" l="1"/>
  <c r="C17" i="35"/>
  <c r="C7" i="35"/>
  <c r="C19" i="35"/>
  <c r="E19" i="35" s="1"/>
  <c r="O19" i="160"/>
  <c r="N17" i="160"/>
  <c r="D17" i="160"/>
  <c r="E17" i="160" s="1"/>
  <c r="F17" i="160" s="1"/>
  <c r="G17" i="160" s="1"/>
  <c r="H17" i="160" s="1"/>
  <c r="I17" i="160" s="1"/>
  <c r="J17" i="160" s="1"/>
  <c r="K17" i="160" s="1"/>
  <c r="L17" i="160" s="1"/>
  <c r="M17" i="160" s="1"/>
  <c r="O13" i="160"/>
  <c r="B13" i="160"/>
  <c r="C12" i="160"/>
  <c r="D12" i="160" s="1"/>
  <c r="N11" i="160"/>
  <c r="E11" i="160"/>
  <c r="F11" i="160" s="1"/>
  <c r="G11" i="160" s="1"/>
  <c r="H11" i="160" s="1"/>
  <c r="I11" i="160" s="1"/>
  <c r="J11" i="160" s="1"/>
  <c r="K11" i="160" s="1"/>
  <c r="L11" i="160" s="1"/>
  <c r="M11" i="160" s="1"/>
  <c r="D11" i="160"/>
  <c r="C11" i="160"/>
  <c r="C17" i="160" s="1"/>
  <c r="C7" i="160"/>
  <c r="C13" i="160" s="1"/>
  <c r="C19" i="160" s="1"/>
  <c r="D6" i="160"/>
  <c r="E6" i="160" s="1"/>
  <c r="E5" i="160"/>
  <c r="F5" i="160" s="1"/>
  <c r="G5" i="160" s="1"/>
  <c r="H5" i="160" s="1"/>
  <c r="I5" i="160" s="1"/>
  <c r="J5" i="160" s="1"/>
  <c r="K5" i="160" s="1"/>
  <c r="L5" i="160" s="1"/>
  <c r="M5" i="160" s="1"/>
  <c r="D26" i="159"/>
  <c r="C18" i="159"/>
  <c r="D18" i="159" s="1"/>
  <c r="N17" i="159"/>
  <c r="C17" i="159"/>
  <c r="O13" i="159"/>
  <c r="O19" i="159" s="1"/>
  <c r="B13" i="159"/>
  <c r="D12" i="159"/>
  <c r="E12" i="159" s="1"/>
  <c r="C12" i="159"/>
  <c r="N11" i="159"/>
  <c r="D11" i="159"/>
  <c r="E11" i="159" s="1"/>
  <c r="F11" i="159" s="1"/>
  <c r="G11" i="159" s="1"/>
  <c r="H11" i="159" s="1"/>
  <c r="I11" i="159" s="1"/>
  <c r="J11" i="159" s="1"/>
  <c r="K11" i="159" s="1"/>
  <c r="L11" i="159" s="1"/>
  <c r="M11" i="159" s="1"/>
  <c r="C11" i="159"/>
  <c r="C7" i="159"/>
  <c r="C13" i="159" s="1"/>
  <c r="C19" i="159" s="1"/>
  <c r="E6" i="159"/>
  <c r="F6" i="159" s="1"/>
  <c r="D6" i="159"/>
  <c r="D7" i="159" s="1"/>
  <c r="E5" i="159"/>
  <c r="F5" i="159" s="1"/>
  <c r="G5" i="159" s="1"/>
  <c r="H5" i="159" s="1"/>
  <c r="I5" i="159" s="1"/>
  <c r="J5" i="159" s="1"/>
  <c r="K5" i="159" s="1"/>
  <c r="L5" i="159" s="1"/>
  <c r="M5" i="159" s="1"/>
  <c r="C18" i="160" l="1"/>
  <c r="D18" i="160" s="1"/>
  <c r="D19" i="160" s="1"/>
  <c r="F6" i="160"/>
  <c r="E12" i="160"/>
  <c r="D13" i="160"/>
  <c r="E18" i="159"/>
  <c r="G6" i="159"/>
  <c r="F7" i="159"/>
  <c r="E13" i="159"/>
  <c r="F12" i="159"/>
  <c r="D13" i="159"/>
  <c r="D17" i="159"/>
  <c r="E17" i="159" s="1"/>
  <c r="F17" i="159" s="1"/>
  <c r="G17" i="159" s="1"/>
  <c r="H17" i="159" s="1"/>
  <c r="I17" i="159" s="1"/>
  <c r="J17" i="159" s="1"/>
  <c r="K17" i="159" s="1"/>
  <c r="L17" i="159" s="1"/>
  <c r="M17" i="159" s="1"/>
  <c r="E7" i="159"/>
  <c r="E18" i="160" l="1"/>
  <c r="F18" i="160" s="1"/>
  <c r="E13" i="160"/>
  <c r="F12" i="160"/>
  <c r="G6" i="160"/>
  <c r="F7" i="160"/>
  <c r="D19" i="159"/>
  <c r="F18" i="159"/>
  <c r="E19" i="159"/>
  <c r="H6" i="159"/>
  <c r="G7" i="159"/>
  <c r="F13" i="159"/>
  <c r="G12" i="159"/>
  <c r="E19" i="160" l="1"/>
  <c r="F19" i="160"/>
  <c r="G18" i="160"/>
  <c r="H6" i="160"/>
  <c r="G7" i="160"/>
  <c r="F13" i="160"/>
  <c r="G12" i="160"/>
  <c r="F19" i="159"/>
  <c r="G18" i="159"/>
  <c r="I6" i="159"/>
  <c r="H7" i="159"/>
  <c r="G13" i="159"/>
  <c r="H12" i="159"/>
  <c r="G13" i="160" l="1"/>
  <c r="H12" i="160"/>
  <c r="I6" i="160"/>
  <c r="H7" i="160"/>
  <c r="H18" i="160"/>
  <c r="G19" i="160"/>
  <c r="H13" i="159"/>
  <c r="I12" i="159"/>
  <c r="J6" i="159"/>
  <c r="I7" i="159"/>
  <c r="G19" i="159"/>
  <c r="H18" i="159"/>
  <c r="H19" i="160" l="1"/>
  <c r="I18" i="160"/>
  <c r="I7" i="160"/>
  <c r="J6" i="160"/>
  <c r="H13" i="160"/>
  <c r="I12" i="160"/>
  <c r="I18" i="159"/>
  <c r="H19" i="159"/>
  <c r="J7" i="159"/>
  <c r="K6" i="159"/>
  <c r="I13" i="159"/>
  <c r="J12" i="159"/>
  <c r="K6" i="160" l="1"/>
  <c r="J7" i="160"/>
  <c r="J18" i="160"/>
  <c r="I19" i="160"/>
  <c r="I13" i="160"/>
  <c r="J12" i="160"/>
  <c r="L6" i="159"/>
  <c r="K7" i="159"/>
  <c r="J13" i="159"/>
  <c r="K12" i="159"/>
  <c r="J18" i="159"/>
  <c r="I19" i="159"/>
  <c r="J13" i="160" l="1"/>
  <c r="K12" i="160"/>
  <c r="K18" i="160"/>
  <c r="J19" i="160"/>
  <c r="K7" i="160"/>
  <c r="L6" i="160"/>
  <c r="K18" i="159"/>
  <c r="J19" i="159"/>
  <c r="K13" i="159"/>
  <c r="L12" i="159"/>
  <c r="M6" i="159"/>
  <c r="M7" i="159" s="1"/>
  <c r="N6" i="159"/>
  <c r="N7" i="159" s="1"/>
  <c r="L7" i="159"/>
  <c r="L18" i="160" l="1"/>
  <c r="K19" i="160"/>
  <c r="K13" i="160"/>
  <c r="L12" i="160"/>
  <c r="N6" i="160"/>
  <c r="N7" i="160" s="1"/>
  <c r="M6" i="160"/>
  <c r="M7" i="160" s="1"/>
  <c r="L7" i="160"/>
  <c r="N12" i="159"/>
  <c r="N13" i="159" s="1"/>
  <c r="L13" i="159"/>
  <c r="M12" i="159"/>
  <c r="M13" i="159" s="1"/>
  <c r="D8" i="159"/>
  <c r="E23" i="159" s="1"/>
  <c r="F23" i="159" s="1"/>
  <c r="L18" i="159"/>
  <c r="K19" i="159"/>
  <c r="D8" i="160" l="1"/>
  <c r="E23" i="160" s="1"/>
  <c r="F23" i="160" s="1"/>
  <c r="N12" i="160"/>
  <c r="N13" i="160" s="1"/>
  <c r="L13" i="160"/>
  <c r="M12" i="160"/>
  <c r="M13" i="160" s="1"/>
  <c r="L19" i="160"/>
  <c r="N18" i="160"/>
  <c r="N19" i="160" s="1"/>
  <c r="M18" i="160"/>
  <c r="M19" i="160" s="1"/>
  <c r="L19" i="159"/>
  <c r="N18" i="159"/>
  <c r="N19" i="159" s="1"/>
  <c r="M18" i="159"/>
  <c r="M19" i="159" s="1"/>
  <c r="D14" i="159"/>
  <c r="E24" i="159" s="1"/>
  <c r="F24" i="159" s="1"/>
  <c r="D20" i="160" l="1"/>
  <c r="E25" i="160" s="1"/>
  <c r="F25" i="160" s="1"/>
  <c r="D14" i="160"/>
  <c r="E24" i="160" s="1"/>
  <c r="F24" i="160" s="1"/>
  <c r="F26" i="160" s="1"/>
  <c r="D19" i="35" s="1"/>
  <c r="D20" i="159"/>
  <c r="E25" i="159" s="1"/>
  <c r="F25" i="159" s="1"/>
  <c r="F26" i="159" s="1"/>
  <c r="D7" i="35" s="1"/>
  <c r="E7" i="35" s="1"/>
  <c r="C3" i="150" l="1"/>
  <c r="O19" i="141"/>
  <c r="C31" i="35"/>
  <c r="C3" i="158" s="1"/>
  <c r="D26" i="158" s="1"/>
  <c r="C28" i="35"/>
  <c r="C3" i="157" s="1"/>
  <c r="D26" i="157" s="1"/>
  <c r="C18" i="158"/>
  <c r="D18" i="158" s="1"/>
  <c r="N17" i="158"/>
  <c r="C17" i="158"/>
  <c r="O13" i="158"/>
  <c r="O19" i="158" s="1"/>
  <c r="B13" i="158"/>
  <c r="D12" i="158"/>
  <c r="C12" i="158"/>
  <c r="N11" i="158"/>
  <c r="D11" i="158"/>
  <c r="D17" i="158" s="1"/>
  <c r="E17" i="158" s="1"/>
  <c r="F17" i="158" s="1"/>
  <c r="G17" i="158" s="1"/>
  <c r="H17" i="158" s="1"/>
  <c r="I17" i="158" s="1"/>
  <c r="J17" i="158" s="1"/>
  <c r="K17" i="158" s="1"/>
  <c r="L17" i="158" s="1"/>
  <c r="M17" i="158" s="1"/>
  <c r="C11" i="158"/>
  <c r="C7" i="158"/>
  <c r="C13" i="158" s="1"/>
  <c r="C19" i="158" s="1"/>
  <c r="E6" i="158"/>
  <c r="F6" i="158" s="1"/>
  <c r="D6" i="158"/>
  <c r="D7" i="158" s="1"/>
  <c r="E5" i="158"/>
  <c r="F5" i="158" s="1"/>
  <c r="G5" i="158" s="1"/>
  <c r="H5" i="158" s="1"/>
  <c r="I5" i="158" s="1"/>
  <c r="J5" i="158" s="1"/>
  <c r="K5" i="158" s="1"/>
  <c r="L5" i="158" s="1"/>
  <c r="M5" i="158" s="1"/>
  <c r="N17" i="157"/>
  <c r="O13" i="157"/>
  <c r="O19" i="157" s="1"/>
  <c r="B13" i="157"/>
  <c r="C12" i="157"/>
  <c r="D12" i="157" s="1"/>
  <c r="D13" i="157" s="1"/>
  <c r="N11" i="157"/>
  <c r="D11" i="157"/>
  <c r="D17" i="157" s="1"/>
  <c r="E17" i="157" s="1"/>
  <c r="F17" i="157" s="1"/>
  <c r="G17" i="157" s="1"/>
  <c r="H17" i="157" s="1"/>
  <c r="I17" i="157" s="1"/>
  <c r="J17" i="157" s="1"/>
  <c r="K17" i="157" s="1"/>
  <c r="L17" i="157" s="1"/>
  <c r="M17" i="157" s="1"/>
  <c r="C11" i="157"/>
  <c r="C17" i="157" s="1"/>
  <c r="C7" i="157"/>
  <c r="C13" i="157" s="1"/>
  <c r="C19" i="157" s="1"/>
  <c r="D6" i="157"/>
  <c r="D7" i="157" s="1"/>
  <c r="E5" i="157"/>
  <c r="F5" i="157" s="1"/>
  <c r="G5" i="157" s="1"/>
  <c r="H5" i="157" s="1"/>
  <c r="I5" i="157" s="1"/>
  <c r="J5" i="157" s="1"/>
  <c r="K5" i="157" s="1"/>
  <c r="L5" i="157" s="1"/>
  <c r="M5" i="157" s="1"/>
  <c r="C30" i="35"/>
  <c r="C3" i="155" s="1"/>
  <c r="D26" i="155" s="1"/>
  <c r="C29" i="35"/>
  <c r="C3" i="154" s="1"/>
  <c r="D26" i="154" s="1"/>
  <c r="C27" i="35"/>
  <c r="C3" i="153" s="1"/>
  <c r="D26" i="153" s="1"/>
  <c r="C26" i="35"/>
  <c r="C3" i="152" s="1"/>
  <c r="D26" i="152" s="1"/>
  <c r="C25" i="35"/>
  <c r="C3" i="151" s="1"/>
  <c r="D26" i="151" s="1"/>
  <c r="C24" i="35"/>
  <c r="C3" i="149" s="1"/>
  <c r="D26" i="149" s="1"/>
  <c r="C23" i="35"/>
  <c r="C3" i="148" s="1"/>
  <c r="D26" i="148" s="1"/>
  <c r="C22" i="35"/>
  <c r="C3" i="145" s="1"/>
  <c r="D26" i="145" s="1"/>
  <c r="C21" i="35"/>
  <c r="C3" i="146" s="1"/>
  <c r="D26" i="146" s="1"/>
  <c r="C20" i="35"/>
  <c r="C3" i="147" s="1"/>
  <c r="D26" i="147" s="1"/>
  <c r="C18" i="35"/>
  <c r="C3" i="144" s="1"/>
  <c r="D26" i="144" s="1"/>
  <c r="C16" i="35"/>
  <c r="C3" i="143" s="1"/>
  <c r="D26" i="143" s="1"/>
  <c r="C15" i="35"/>
  <c r="C3" i="142" s="1"/>
  <c r="D26" i="142" s="1"/>
  <c r="C14" i="35"/>
  <c r="C3" i="140" s="1"/>
  <c r="D26" i="140" s="1"/>
  <c r="C13" i="35"/>
  <c r="C3" i="141" s="1"/>
  <c r="D26" i="141" s="1"/>
  <c r="C12" i="35"/>
  <c r="C3" i="139" s="1"/>
  <c r="D26" i="139" s="1"/>
  <c r="C11" i="35"/>
  <c r="C3" i="138" s="1"/>
  <c r="D26" i="138" s="1"/>
  <c r="C10" i="35"/>
  <c r="C3" i="137" s="1"/>
  <c r="D26" i="137" s="1"/>
  <c r="D32" i="35"/>
  <c r="C3" i="156"/>
  <c r="D26" i="156" s="1"/>
  <c r="N17" i="156"/>
  <c r="C17" i="156"/>
  <c r="O13" i="156"/>
  <c r="O19" i="156" s="1"/>
  <c r="C13" i="156"/>
  <c r="C19" i="156" s="1"/>
  <c r="B13" i="156"/>
  <c r="C12" i="156"/>
  <c r="C18" i="156" s="1"/>
  <c r="D18" i="156" s="1"/>
  <c r="N11" i="156"/>
  <c r="D11" i="156"/>
  <c r="D17" i="156" s="1"/>
  <c r="E17" i="156" s="1"/>
  <c r="F17" i="156" s="1"/>
  <c r="G17" i="156" s="1"/>
  <c r="H17" i="156" s="1"/>
  <c r="I17" i="156" s="1"/>
  <c r="J17" i="156" s="1"/>
  <c r="K17" i="156" s="1"/>
  <c r="L17" i="156" s="1"/>
  <c r="M17" i="156" s="1"/>
  <c r="C11" i="156"/>
  <c r="C7" i="156"/>
  <c r="D6" i="156"/>
  <c r="D7" i="156" s="1"/>
  <c r="E5" i="156"/>
  <c r="F5" i="156" s="1"/>
  <c r="G5" i="156" s="1"/>
  <c r="H5" i="156" s="1"/>
  <c r="I5" i="156" s="1"/>
  <c r="J5" i="156" s="1"/>
  <c r="K5" i="156" s="1"/>
  <c r="L5" i="156" s="1"/>
  <c r="M5" i="156" s="1"/>
  <c r="N17" i="155"/>
  <c r="O13" i="155"/>
  <c r="O19" i="155" s="1"/>
  <c r="C13" i="155"/>
  <c r="C19" i="155" s="1"/>
  <c r="B13" i="155"/>
  <c r="C12" i="155"/>
  <c r="C18" i="155" s="1"/>
  <c r="D18" i="155" s="1"/>
  <c r="N11" i="155"/>
  <c r="D11" i="155"/>
  <c r="D17" i="155" s="1"/>
  <c r="E17" i="155" s="1"/>
  <c r="F17" i="155" s="1"/>
  <c r="G17" i="155" s="1"/>
  <c r="H17" i="155" s="1"/>
  <c r="I17" i="155" s="1"/>
  <c r="J17" i="155" s="1"/>
  <c r="K17" i="155" s="1"/>
  <c r="L17" i="155" s="1"/>
  <c r="M17" i="155" s="1"/>
  <c r="C11" i="155"/>
  <c r="C17" i="155" s="1"/>
  <c r="C7" i="155"/>
  <c r="D6" i="155"/>
  <c r="D7" i="155" s="1"/>
  <c r="E5" i="155"/>
  <c r="F5" i="155" s="1"/>
  <c r="G5" i="155" s="1"/>
  <c r="H5" i="155" s="1"/>
  <c r="I5" i="155" s="1"/>
  <c r="J5" i="155" s="1"/>
  <c r="K5" i="155" s="1"/>
  <c r="L5" i="155" s="1"/>
  <c r="M5" i="155" s="1"/>
  <c r="E17" i="154"/>
  <c r="F17" i="154" s="1"/>
  <c r="G17" i="154" s="1"/>
  <c r="H17" i="154" s="1"/>
  <c r="I17" i="154" s="1"/>
  <c r="J17" i="154" s="1"/>
  <c r="K17" i="154" s="1"/>
  <c r="L17" i="154" s="1"/>
  <c r="M17" i="154" s="1"/>
  <c r="O13" i="154"/>
  <c r="O19" i="154" s="1"/>
  <c r="B13" i="154"/>
  <c r="C12" i="154"/>
  <c r="C18" i="154" s="1"/>
  <c r="D18" i="154" s="1"/>
  <c r="E18" i="154" s="1"/>
  <c r="F18" i="154" s="1"/>
  <c r="N11" i="154"/>
  <c r="N17" i="154" s="1"/>
  <c r="D11" i="154"/>
  <c r="D17" i="154" s="1"/>
  <c r="C11" i="154"/>
  <c r="C17" i="154" s="1"/>
  <c r="C7" i="154"/>
  <c r="C13" i="154" s="1"/>
  <c r="C19" i="154" s="1"/>
  <c r="D6" i="154"/>
  <c r="D7" i="154" s="1"/>
  <c r="G5" i="154"/>
  <c r="H5" i="154" s="1"/>
  <c r="I5" i="154" s="1"/>
  <c r="J5" i="154" s="1"/>
  <c r="K5" i="154" s="1"/>
  <c r="L5" i="154" s="1"/>
  <c r="M5" i="154" s="1"/>
  <c r="E5" i="154"/>
  <c r="F5" i="154" s="1"/>
  <c r="O13" i="153"/>
  <c r="O19" i="153" s="1"/>
  <c r="B13" i="153"/>
  <c r="C12" i="153"/>
  <c r="C18" i="153" s="1"/>
  <c r="D18" i="153" s="1"/>
  <c r="N11" i="153"/>
  <c r="N17" i="153" s="1"/>
  <c r="D11" i="153"/>
  <c r="C11" i="153"/>
  <c r="C17" i="153" s="1"/>
  <c r="C7" i="153"/>
  <c r="C13" i="153" s="1"/>
  <c r="C19" i="153" s="1"/>
  <c r="D6" i="153"/>
  <c r="E6" i="153" s="1"/>
  <c r="G5" i="153"/>
  <c r="H5" i="153" s="1"/>
  <c r="I5" i="153" s="1"/>
  <c r="J5" i="153" s="1"/>
  <c r="K5" i="153" s="1"/>
  <c r="L5" i="153" s="1"/>
  <c r="M5" i="153" s="1"/>
  <c r="F5" i="153"/>
  <c r="E5" i="153"/>
  <c r="O19" i="152"/>
  <c r="C17" i="152"/>
  <c r="O13" i="152"/>
  <c r="B13" i="152"/>
  <c r="C12" i="152"/>
  <c r="D12" i="152" s="1"/>
  <c r="N11" i="152"/>
  <c r="N17" i="152" s="1"/>
  <c r="D11" i="152"/>
  <c r="C11" i="152"/>
  <c r="C7" i="152"/>
  <c r="C13" i="152" s="1"/>
  <c r="C19" i="152" s="1"/>
  <c r="D6" i="152"/>
  <c r="D7" i="152" s="1"/>
  <c r="F5" i="152"/>
  <c r="G5" i="152" s="1"/>
  <c r="H5" i="152" s="1"/>
  <c r="I5" i="152" s="1"/>
  <c r="J5" i="152" s="1"/>
  <c r="K5" i="152" s="1"/>
  <c r="L5" i="152" s="1"/>
  <c r="M5" i="152" s="1"/>
  <c r="E5" i="152"/>
  <c r="N17" i="151"/>
  <c r="F17" i="151"/>
  <c r="G17" i="151" s="1"/>
  <c r="H17" i="151" s="1"/>
  <c r="I17" i="151" s="1"/>
  <c r="J17" i="151" s="1"/>
  <c r="K17" i="151" s="1"/>
  <c r="L17" i="151" s="1"/>
  <c r="M17" i="151" s="1"/>
  <c r="O13" i="151"/>
  <c r="O19" i="151" s="1"/>
  <c r="C13" i="151"/>
  <c r="C19" i="151" s="1"/>
  <c r="B13" i="151"/>
  <c r="C12" i="151"/>
  <c r="N11" i="151"/>
  <c r="D11" i="151"/>
  <c r="D17" i="151" s="1"/>
  <c r="E17" i="151" s="1"/>
  <c r="C11" i="151"/>
  <c r="C17" i="151" s="1"/>
  <c r="C7" i="151"/>
  <c r="D6" i="151"/>
  <c r="E6" i="151" s="1"/>
  <c r="E5" i="151"/>
  <c r="F5" i="151" s="1"/>
  <c r="G5" i="151" s="1"/>
  <c r="H5" i="151" s="1"/>
  <c r="I5" i="151" s="1"/>
  <c r="J5" i="151" s="1"/>
  <c r="K5" i="151" s="1"/>
  <c r="L5" i="151" s="1"/>
  <c r="M5" i="151" s="1"/>
  <c r="N17" i="150"/>
  <c r="O13" i="150"/>
  <c r="O19" i="150" s="1"/>
  <c r="C13" i="150"/>
  <c r="C19" i="150" s="1"/>
  <c r="B13" i="150"/>
  <c r="C12" i="150"/>
  <c r="C18" i="150" s="1"/>
  <c r="D18" i="150" s="1"/>
  <c r="N11" i="150"/>
  <c r="D11" i="150"/>
  <c r="D17" i="150" s="1"/>
  <c r="E17" i="150" s="1"/>
  <c r="F17" i="150" s="1"/>
  <c r="G17" i="150" s="1"/>
  <c r="H17" i="150" s="1"/>
  <c r="I17" i="150" s="1"/>
  <c r="J17" i="150" s="1"/>
  <c r="K17" i="150" s="1"/>
  <c r="L17" i="150" s="1"/>
  <c r="M17" i="150" s="1"/>
  <c r="C11" i="150"/>
  <c r="C17" i="150" s="1"/>
  <c r="C7" i="150"/>
  <c r="D6" i="150"/>
  <c r="D7" i="150" s="1"/>
  <c r="E5" i="150"/>
  <c r="F5" i="150" s="1"/>
  <c r="G5" i="150" s="1"/>
  <c r="H5" i="150" s="1"/>
  <c r="I5" i="150" s="1"/>
  <c r="J5" i="150" s="1"/>
  <c r="K5" i="150" s="1"/>
  <c r="L5" i="150" s="1"/>
  <c r="M5" i="150" s="1"/>
  <c r="N17" i="149"/>
  <c r="O13" i="149"/>
  <c r="O19" i="149" s="1"/>
  <c r="C13" i="149"/>
  <c r="C19" i="149" s="1"/>
  <c r="B13" i="149"/>
  <c r="C12" i="149"/>
  <c r="C18" i="149" s="1"/>
  <c r="D18" i="149" s="1"/>
  <c r="N11" i="149"/>
  <c r="D11" i="149"/>
  <c r="D17" i="149" s="1"/>
  <c r="E17" i="149" s="1"/>
  <c r="F17" i="149" s="1"/>
  <c r="G17" i="149" s="1"/>
  <c r="H17" i="149" s="1"/>
  <c r="I17" i="149" s="1"/>
  <c r="J17" i="149" s="1"/>
  <c r="K17" i="149" s="1"/>
  <c r="L17" i="149" s="1"/>
  <c r="M17" i="149" s="1"/>
  <c r="C11" i="149"/>
  <c r="C17" i="149" s="1"/>
  <c r="C7" i="149"/>
  <c r="D6" i="149"/>
  <c r="E6" i="149" s="1"/>
  <c r="E5" i="149"/>
  <c r="F5" i="149" s="1"/>
  <c r="G5" i="149" s="1"/>
  <c r="H5" i="149" s="1"/>
  <c r="I5" i="149" s="1"/>
  <c r="J5" i="149" s="1"/>
  <c r="K5" i="149" s="1"/>
  <c r="L5" i="149" s="1"/>
  <c r="M5" i="149" s="1"/>
  <c r="O13" i="148"/>
  <c r="O19" i="148" s="1"/>
  <c r="B13" i="148"/>
  <c r="C12" i="148"/>
  <c r="D12" i="148" s="1"/>
  <c r="N11" i="148"/>
  <c r="N17" i="148" s="1"/>
  <c r="D11" i="148"/>
  <c r="D17" i="148" s="1"/>
  <c r="E17" i="148" s="1"/>
  <c r="F17" i="148" s="1"/>
  <c r="G17" i="148" s="1"/>
  <c r="H17" i="148" s="1"/>
  <c r="I17" i="148" s="1"/>
  <c r="J17" i="148" s="1"/>
  <c r="K17" i="148" s="1"/>
  <c r="L17" i="148" s="1"/>
  <c r="M17" i="148" s="1"/>
  <c r="C11" i="148"/>
  <c r="C17" i="148" s="1"/>
  <c r="C7" i="148"/>
  <c r="C13" i="148" s="1"/>
  <c r="C19" i="148" s="1"/>
  <c r="D6" i="148"/>
  <c r="E6" i="148" s="1"/>
  <c r="E5" i="148"/>
  <c r="F5" i="148" s="1"/>
  <c r="G5" i="148" s="1"/>
  <c r="H5" i="148" s="1"/>
  <c r="I5" i="148" s="1"/>
  <c r="J5" i="148" s="1"/>
  <c r="K5" i="148" s="1"/>
  <c r="L5" i="148" s="1"/>
  <c r="M5" i="148" s="1"/>
  <c r="N17" i="147"/>
  <c r="O13" i="147"/>
  <c r="O19" i="147" s="1"/>
  <c r="B13" i="147"/>
  <c r="C12" i="147"/>
  <c r="C18" i="147" s="1"/>
  <c r="D18" i="147" s="1"/>
  <c r="N11" i="147"/>
  <c r="D11" i="147"/>
  <c r="D17" i="147" s="1"/>
  <c r="E17" i="147" s="1"/>
  <c r="F17" i="147" s="1"/>
  <c r="G17" i="147" s="1"/>
  <c r="H17" i="147" s="1"/>
  <c r="I17" i="147" s="1"/>
  <c r="J17" i="147" s="1"/>
  <c r="K17" i="147" s="1"/>
  <c r="L17" i="147" s="1"/>
  <c r="M17" i="147" s="1"/>
  <c r="C11" i="147"/>
  <c r="C17" i="147" s="1"/>
  <c r="C7" i="147"/>
  <c r="C13" i="147" s="1"/>
  <c r="C19" i="147" s="1"/>
  <c r="D6" i="147"/>
  <c r="D7" i="147" s="1"/>
  <c r="E5" i="147"/>
  <c r="F5" i="147" s="1"/>
  <c r="G5" i="147" s="1"/>
  <c r="H5" i="147" s="1"/>
  <c r="I5" i="147" s="1"/>
  <c r="J5" i="147" s="1"/>
  <c r="K5" i="147" s="1"/>
  <c r="L5" i="147" s="1"/>
  <c r="M5" i="147" s="1"/>
  <c r="N17" i="146"/>
  <c r="O13" i="146"/>
  <c r="O19" i="146" s="1"/>
  <c r="C13" i="146"/>
  <c r="C19" i="146" s="1"/>
  <c r="B13" i="146"/>
  <c r="C12" i="146"/>
  <c r="D12" i="146" s="1"/>
  <c r="E12" i="146" s="1"/>
  <c r="N11" i="146"/>
  <c r="D11" i="146"/>
  <c r="D17" i="146" s="1"/>
  <c r="E17" i="146" s="1"/>
  <c r="F17" i="146" s="1"/>
  <c r="G17" i="146" s="1"/>
  <c r="H17" i="146" s="1"/>
  <c r="I17" i="146" s="1"/>
  <c r="J17" i="146" s="1"/>
  <c r="K17" i="146" s="1"/>
  <c r="L17" i="146" s="1"/>
  <c r="M17" i="146" s="1"/>
  <c r="C11" i="146"/>
  <c r="C17" i="146" s="1"/>
  <c r="C7" i="146"/>
  <c r="D6" i="146"/>
  <c r="D7" i="146" s="1"/>
  <c r="E5" i="146"/>
  <c r="F5" i="146" s="1"/>
  <c r="G5" i="146" s="1"/>
  <c r="H5" i="146" s="1"/>
  <c r="I5" i="146" s="1"/>
  <c r="J5" i="146" s="1"/>
  <c r="K5" i="146" s="1"/>
  <c r="L5" i="146" s="1"/>
  <c r="M5" i="146" s="1"/>
  <c r="O19" i="145"/>
  <c r="C18" i="145"/>
  <c r="D18" i="145" s="1"/>
  <c r="N17" i="145"/>
  <c r="D17" i="145"/>
  <c r="E17" i="145" s="1"/>
  <c r="F17" i="145" s="1"/>
  <c r="G17" i="145" s="1"/>
  <c r="H17" i="145" s="1"/>
  <c r="I17" i="145" s="1"/>
  <c r="J17" i="145" s="1"/>
  <c r="K17" i="145" s="1"/>
  <c r="L17" i="145" s="1"/>
  <c r="M17" i="145" s="1"/>
  <c r="O13" i="145"/>
  <c r="B13" i="145"/>
  <c r="D12" i="145"/>
  <c r="D13" i="145" s="1"/>
  <c r="C12" i="145"/>
  <c r="N11" i="145"/>
  <c r="E11" i="145"/>
  <c r="F11" i="145" s="1"/>
  <c r="G11" i="145" s="1"/>
  <c r="H11" i="145" s="1"/>
  <c r="I11" i="145" s="1"/>
  <c r="J11" i="145" s="1"/>
  <c r="K11" i="145" s="1"/>
  <c r="L11" i="145" s="1"/>
  <c r="M11" i="145" s="1"/>
  <c r="D11" i="145"/>
  <c r="C11" i="145"/>
  <c r="C17" i="145" s="1"/>
  <c r="C7" i="145"/>
  <c r="C13" i="145" s="1"/>
  <c r="C19" i="145" s="1"/>
  <c r="D6" i="145"/>
  <c r="D7" i="145" s="1"/>
  <c r="E5" i="145"/>
  <c r="F5" i="145" s="1"/>
  <c r="G5" i="145" s="1"/>
  <c r="H5" i="145" s="1"/>
  <c r="I5" i="145" s="1"/>
  <c r="J5" i="145" s="1"/>
  <c r="K5" i="145" s="1"/>
  <c r="L5" i="145" s="1"/>
  <c r="M5" i="145" s="1"/>
  <c r="O19" i="144"/>
  <c r="D17" i="144"/>
  <c r="E17" i="144" s="1"/>
  <c r="F17" i="144" s="1"/>
  <c r="G17" i="144" s="1"/>
  <c r="H17" i="144" s="1"/>
  <c r="I17" i="144" s="1"/>
  <c r="J17" i="144" s="1"/>
  <c r="K17" i="144" s="1"/>
  <c r="L17" i="144" s="1"/>
  <c r="M17" i="144" s="1"/>
  <c r="O13" i="144"/>
  <c r="B13" i="144"/>
  <c r="C12" i="144"/>
  <c r="C18" i="144" s="1"/>
  <c r="D18" i="144" s="1"/>
  <c r="N11" i="144"/>
  <c r="N17" i="144" s="1"/>
  <c r="E11" i="144"/>
  <c r="F11" i="144" s="1"/>
  <c r="G11" i="144" s="1"/>
  <c r="H11" i="144" s="1"/>
  <c r="I11" i="144" s="1"/>
  <c r="J11" i="144" s="1"/>
  <c r="K11" i="144" s="1"/>
  <c r="L11" i="144" s="1"/>
  <c r="M11" i="144" s="1"/>
  <c r="D11" i="144"/>
  <c r="C11" i="144"/>
  <c r="C17" i="144" s="1"/>
  <c r="C7" i="144"/>
  <c r="C13" i="144" s="1"/>
  <c r="C19" i="144" s="1"/>
  <c r="D6" i="144"/>
  <c r="D7" i="144" s="1"/>
  <c r="F5" i="144"/>
  <c r="G5" i="144" s="1"/>
  <c r="H5" i="144" s="1"/>
  <c r="I5" i="144" s="1"/>
  <c r="J5" i="144" s="1"/>
  <c r="K5" i="144" s="1"/>
  <c r="L5" i="144" s="1"/>
  <c r="M5" i="144" s="1"/>
  <c r="E5" i="144"/>
  <c r="C17" i="143"/>
  <c r="O13" i="143"/>
  <c r="O19" i="143" s="1"/>
  <c r="C13" i="143"/>
  <c r="C19" i="143" s="1"/>
  <c r="B13" i="143"/>
  <c r="C12" i="143"/>
  <c r="C18" i="143" s="1"/>
  <c r="D18" i="143" s="1"/>
  <c r="N11" i="143"/>
  <c r="N17" i="143" s="1"/>
  <c r="D11" i="143"/>
  <c r="D17" i="143" s="1"/>
  <c r="E17" i="143" s="1"/>
  <c r="F17" i="143" s="1"/>
  <c r="G17" i="143" s="1"/>
  <c r="H17" i="143" s="1"/>
  <c r="I17" i="143" s="1"/>
  <c r="J17" i="143" s="1"/>
  <c r="K17" i="143" s="1"/>
  <c r="L17" i="143" s="1"/>
  <c r="M17" i="143" s="1"/>
  <c r="C11" i="143"/>
  <c r="C7" i="143"/>
  <c r="D6" i="143"/>
  <c r="D7" i="143" s="1"/>
  <c r="E5" i="143"/>
  <c r="F5" i="143" s="1"/>
  <c r="G5" i="143" s="1"/>
  <c r="H5" i="143" s="1"/>
  <c r="I5" i="143" s="1"/>
  <c r="J5" i="143" s="1"/>
  <c r="K5" i="143" s="1"/>
  <c r="L5" i="143" s="1"/>
  <c r="M5" i="143" s="1"/>
  <c r="N17" i="142"/>
  <c r="O13" i="142"/>
  <c r="O19" i="142" s="1"/>
  <c r="C13" i="142"/>
  <c r="C19" i="142" s="1"/>
  <c r="B13" i="142"/>
  <c r="D12" i="142"/>
  <c r="D13" i="142" s="1"/>
  <c r="C12" i="142"/>
  <c r="C18" i="142" s="1"/>
  <c r="D18" i="142" s="1"/>
  <c r="N11" i="142"/>
  <c r="D11" i="142"/>
  <c r="D17" i="142" s="1"/>
  <c r="E17" i="142" s="1"/>
  <c r="F17" i="142" s="1"/>
  <c r="G17" i="142" s="1"/>
  <c r="H17" i="142" s="1"/>
  <c r="I17" i="142" s="1"/>
  <c r="J17" i="142" s="1"/>
  <c r="K17" i="142" s="1"/>
  <c r="L17" i="142" s="1"/>
  <c r="M17" i="142" s="1"/>
  <c r="C11" i="142"/>
  <c r="C17" i="142" s="1"/>
  <c r="C7" i="142"/>
  <c r="D6" i="142"/>
  <c r="D7" i="142" s="1"/>
  <c r="E5" i="142"/>
  <c r="F5" i="142" s="1"/>
  <c r="G5" i="142" s="1"/>
  <c r="H5" i="142" s="1"/>
  <c r="I5" i="142" s="1"/>
  <c r="J5" i="142" s="1"/>
  <c r="K5" i="142" s="1"/>
  <c r="L5" i="142" s="1"/>
  <c r="M5" i="142" s="1"/>
  <c r="N17" i="141"/>
  <c r="O13" i="141"/>
  <c r="C13" i="141"/>
  <c r="C19" i="141" s="1"/>
  <c r="B13" i="141"/>
  <c r="C12" i="141"/>
  <c r="C18" i="141" s="1"/>
  <c r="D18" i="141" s="1"/>
  <c r="N11" i="141"/>
  <c r="D11" i="141"/>
  <c r="C11" i="141"/>
  <c r="C17" i="141" s="1"/>
  <c r="C7" i="141"/>
  <c r="D6" i="141"/>
  <c r="D7" i="141" s="1"/>
  <c r="E5" i="141"/>
  <c r="F5" i="141" s="1"/>
  <c r="G5" i="141" s="1"/>
  <c r="H5" i="141" s="1"/>
  <c r="I5" i="141" s="1"/>
  <c r="J5" i="141" s="1"/>
  <c r="K5" i="141" s="1"/>
  <c r="L5" i="141" s="1"/>
  <c r="M5" i="141" s="1"/>
  <c r="N17" i="140"/>
  <c r="O13" i="140"/>
  <c r="O19" i="140" s="1"/>
  <c r="C13" i="140"/>
  <c r="C19" i="140" s="1"/>
  <c r="B13" i="140"/>
  <c r="C12" i="140"/>
  <c r="D12" i="140" s="1"/>
  <c r="N11" i="140"/>
  <c r="D11" i="140"/>
  <c r="C11" i="140"/>
  <c r="C17" i="140" s="1"/>
  <c r="C7" i="140"/>
  <c r="D6" i="140"/>
  <c r="D7" i="140" s="1"/>
  <c r="E5" i="140"/>
  <c r="F5" i="140" s="1"/>
  <c r="G5" i="140" s="1"/>
  <c r="H5" i="140" s="1"/>
  <c r="I5" i="140" s="1"/>
  <c r="J5" i="140" s="1"/>
  <c r="K5" i="140" s="1"/>
  <c r="L5" i="140" s="1"/>
  <c r="M5" i="140" s="1"/>
  <c r="O13" i="139"/>
  <c r="O19" i="139" s="1"/>
  <c r="C13" i="139"/>
  <c r="C19" i="139" s="1"/>
  <c r="B13" i="139"/>
  <c r="C12" i="139"/>
  <c r="C18" i="139" s="1"/>
  <c r="D18" i="139" s="1"/>
  <c r="N11" i="139"/>
  <c r="N17" i="139" s="1"/>
  <c r="D11" i="139"/>
  <c r="E11" i="139" s="1"/>
  <c r="F11" i="139" s="1"/>
  <c r="G11" i="139" s="1"/>
  <c r="H11" i="139" s="1"/>
  <c r="I11" i="139" s="1"/>
  <c r="J11" i="139" s="1"/>
  <c r="K11" i="139" s="1"/>
  <c r="L11" i="139" s="1"/>
  <c r="M11" i="139" s="1"/>
  <c r="C11" i="139"/>
  <c r="C17" i="139" s="1"/>
  <c r="C7" i="139"/>
  <c r="D6" i="139"/>
  <c r="D7" i="139" s="1"/>
  <c r="E5" i="139"/>
  <c r="F5" i="139" s="1"/>
  <c r="G5" i="139" s="1"/>
  <c r="H5" i="139" s="1"/>
  <c r="I5" i="139" s="1"/>
  <c r="J5" i="139" s="1"/>
  <c r="K5" i="139" s="1"/>
  <c r="L5" i="139" s="1"/>
  <c r="M5" i="139" s="1"/>
  <c r="N17" i="138"/>
  <c r="C17" i="138"/>
  <c r="O13" i="138"/>
  <c r="O19" i="138" s="1"/>
  <c r="C13" i="138"/>
  <c r="C19" i="138" s="1"/>
  <c r="B13" i="138"/>
  <c r="C12" i="138"/>
  <c r="D12" i="138" s="1"/>
  <c r="N11" i="138"/>
  <c r="D11" i="138"/>
  <c r="C11" i="138"/>
  <c r="C7" i="138"/>
  <c r="D6" i="138"/>
  <c r="D7" i="138" s="1"/>
  <c r="E5" i="138"/>
  <c r="F5" i="138" s="1"/>
  <c r="G5" i="138" s="1"/>
  <c r="H5" i="138" s="1"/>
  <c r="I5" i="138" s="1"/>
  <c r="J5" i="138" s="1"/>
  <c r="K5" i="138" s="1"/>
  <c r="L5" i="138" s="1"/>
  <c r="M5" i="138" s="1"/>
  <c r="N17" i="137"/>
  <c r="C17" i="137"/>
  <c r="O13" i="137"/>
  <c r="O19" i="137" s="1"/>
  <c r="C13" i="137"/>
  <c r="C19" i="137" s="1"/>
  <c r="B13" i="137"/>
  <c r="C12" i="137"/>
  <c r="C18" i="137" s="1"/>
  <c r="D18" i="137" s="1"/>
  <c r="N11" i="137"/>
  <c r="D11" i="137"/>
  <c r="D17" i="137" s="1"/>
  <c r="E17" i="137" s="1"/>
  <c r="F17" i="137" s="1"/>
  <c r="G17" i="137" s="1"/>
  <c r="H17" i="137" s="1"/>
  <c r="I17" i="137" s="1"/>
  <c r="J17" i="137" s="1"/>
  <c r="K17" i="137" s="1"/>
  <c r="L17" i="137" s="1"/>
  <c r="M17" i="137" s="1"/>
  <c r="C11" i="137"/>
  <c r="C7" i="137"/>
  <c r="D6" i="137"/>
  <c r="D7" i="137" s="1"/>
  <c r="E5" i="137"/>
  <c r="F5" i="137" s="1"/>
  <c r="G5" i="137" s="1"/>
  <c r="H5" i="137" s="1"/>
  <c r="I5" i="137" s="1"/>
  <c r="J5" i="137" s="1"/>
  <c r="K5" i="137" s="1"/>
  <c r="L5" i="137" s="1"/>
  <c r="M5" i="137" s="1"/>
  <c r="C3" i="135"/>
  <c r="C4" i="35"/>
  <c r="C3" i="133" s="1"/>
  <c r="C3" i="136"/>
  <c r="D26" i="136" s="1"/>
  <c r="C8" i="35"/>
  <c r="N17" i="136"/>
  <c r="C17" i="136"/>
  <c r="O13" i="136"/>
  <c r="O19" i="136" s="1"/>
  <c r="C13" i="136"/>
  <c r="C19" i="136" s="1"/>
  <c r="B13" i="136"/>
  <c r="C12" i="136"/>
  <c r="C18" i="136" s="1"/>
  <c r="D18" i="136" s="1"/>
  <c r="N11" i="136"/>
  <c r="D11" i="136"/>
  <c r="C11" i="136"/>
  <c r="C7" i="136"/>
  <c r="D6" i="136"/>
  <c r="D7" i="136" s="1"/>
  <c r="E5" i="136"/>
  <c r="F5" i="136" s="1"/>
  <c r="G5" i="136" s="1"/>
  <c r="H5" i="136" s="1"/>
  <c r="I5" i="136" s="1"/>
  <c r="J5" i="136" s="1"/>
  <c r="K5" i="136" s="1"/>
  <c r="L5" i="136" s="1"/>
  <c r="M5" i="136" s="1"/>
  <c r="O13" i="135"/>
  <c r="O19" i="135" s="1"/>
  <c r="B13" i="135"/>
  <c r="C12" i="135"/>
  <c r="C18" i="135" s="1"/>
  <c r="D18" i="135" s="1"/>
  <c r="N11" i="135"/>
  <c r="N17" i="135" s="1"/>
  <c r="D11" i="135"/>
  <c r="D17" i="135" s="1"/>
  <c r="E17" i="135" s="1"/>
  <c r="F17" i="135" s="1"/>
  <c r="G17" i="135" s="1"/>
  <c r="H17" i="135" s="1"/>
  <c r="I17" i="135" s="1"/>
  <c r="J17" i="135" s="1"/>
  <c r="K17" i="135" s="1"/>
  <c r="L17" i="135" s="1"/>
  <c r="M17" i="135" s="1"/>
  <c r="C11" i="135"/>
  <c r="C17" i="135" s="1"/>
  <c r="C7" i="135"/>
  <c r="C13" i="135" s="1"/>
  <c r="C19" i="135" s="1"/>
  <c r="D6" i="135"/>
  <c r="D7" i="135" s="1"/>
  <c r="E5" i="135"/>
  <c r="F5" i="135" s="1"/>
  <c r="G5" i="135" s="1"/>
  <c r="H5" i="135" s="1"/>
  <c r="I5" i="135" s="1"/>
  <c r="J5" i="135" s="1"/>
  <c r="K5" i="135" s="1"/>
  <c r="L5" i="135" s="1"/>
  <c r="M5" i="135" s="1"/>
  <c r="C6" i="35"/>
  <c r="D12" i="139" l="1"/>
  <c r="D13" i="139" s="1"/>
  <c r="D12" i="135"/>
  <c r="D13" i="135" s="1"/>
  <c r="D12" i="141"/>
  <c r="D12" i="150"/>
  <c r="D13" i="150" s="1"/>
  <c r="E6" i="150"/>
  <c r="F6" i="150" s="1"/>
  <c r="F7" i="150" s="1"/>
  <c r="D12" i="143"/>
  <c r="D13" i="143" s="1"/>
  <c r="D13" i="158"/>
  <c r="G6" i="158"/>
  <c r="F7" i="158"/>
  <c r="E18" i="158"/>
  <c r="D19" i="158"/>
  <c r="E11" i="158"/>
  <c r="F11" i="158" s="1"/>
  <c r="G11" i="158" s="1"/>
  <c r="H11" i="158" s="1"/>
  <c r="I11" i="158" s="1"/>
  <c r="J11" i="158" s="1"/>
  <c r="K11" i="158" s="1"/>
  <c r="L11" i="158" s="1"/>
  <c r="M11" i="158" s="1"/>
  <c r="E12" i="158"/>
  <c r="E7" i="158"/>
  <c r="C18" i="157"/>
  <c r="D18" i="157" s="1"/>
  <c r="E6" i="157"/>
  <c r="E7" i="157" s="1"/>
  <c r="E18" i="157"/>
  <c r="D19" i="157"/>
  <c r="F6" i="157"/>
  <c r="E12" i="157"/>
  <c r="E11" i="157"/>
  <c r="F11" i="157" s="1"/>
  <c r="G11" i="157" s="1"/>
  <c r="H11" i="157" s="1"/>
  <c r="I11" i="157" s="1"/>
  <c r="J11" i="157" s="1"/>
  <c r="K11" i="157" s="1"/>
  <c r="L11" i="157" s="1"/>
  <c r="M11" i="157" s="1"/>
  <c r="E6" i="156"/>
  <c r="D12" i="156"/>
  <c r="E12" i="156" s="1"/>
  <c r="E13" i="156" s="1"/>
  <c r="E6" i="154"/>
  <c r="F6" i="154" s="1"/>
  <c r="D7" i="153"/>
  <c r="C18" i="152"/>
  <c r="D18" i="152" s="1"/>
  <c r="E18" i="152" s="1"/>
  <c r="E6" i="152"/>
  <c r="D7" i="151"/>
  <c r="E12" i="145"/>
  <c r="E13" i="145" s="1"/>
  <c r="E6" i="145"/>
  <c r="C18" i="146"/>
  <c r="D18" i="146" s="1"/>
  <c r="E6" i="146"/>
  <c r="F6" i="146" s="1"/>
  <c r="F7" i="146" s="1"/>
  <c r="E6" i="147"/>
  <c r="E7" i="147" s="1"/>
  <c r="D12" i="147"/>
  <c r="D13" i="147" s="1"/>
  <c r="F18" i="152"/>
  <c r="F6" i="151"/>
  <c r="E7" i="151"/>
  <c r="G18" i="154"/>
  <c r="F19" i="154"/>
  <c r="C18" i="151"/>
  <c r="D18" i="151" s="1"/>
  <c r="D12" i="151"/>
  <c r="D13" i="152"/>
  <c r="E12" i="152"/>
  <c r="D19" i="153"/>
  <c r="E18" i="153"/>
  <c r="D17" i="152"/>
  <c r="E11" i="152"/>
  <c r="F11" i="152" s="1"/>
  <c r="G11" i="152" s="1"/>
  <c r="H11" i="152" s="1"/>
  <c r="I11" i="152" s="1"/>
  <c r="J11" i="152" s="1"/>
  <c r="K11" i="152" s="1"/>
  <c r="L11" i="152" s="1"/>
  <c r="M11" i="152" s="1"/>
  <c r="F6" i="153"/>
  <c r="E7" i="153"/>
  <c r="D17" i="153"/>
  <c r="E17" i="153" s="1"/>
  <c r="F17" i="153" s="1"/>
  <c r="G17" i="153" s="1"/>
  <c r="H17" i="153" s="1"/>
  <c r="I17" i="153" s="1"/>
  <c r="J17" i="153" s="1"/>
  <c r="K17" i="153" s="1"/>
  <c r="L17" i="153" s="1"/>
  <c r="M17" i="153" s="1"/>
  <c r="E11" i="153"/>
  <c r="F11" i="153" s="1"/>
  <c r="G11" i="153" s="1"/>
  <c r="H11" i="153" s="1"/>
  <c r="I11" i="153" s="1"/>
  <c r="J11" i="153" s="1"/>
  <c r="K11" i="153" s="1"/>
  <c r="L11" i="153" s="1"/>
  <c r="M11" i="153" s="1"/>
  <c r="F12" i="156"/>
  <c r="E19" i="154"/>
  <c r="E18" i="155"/>
  <c r="D19" i="155"/>
  <c r="E11" i="155"/>
  <c r="F11" i="155" s="1"/>
  <c r="G11" i="155" s="1"/>
  <c r="H11" i="155" s="1"/>
  <c r="I11" i="155" s="1"/>
  <c r="J11" i="155" s="1"/>
  <c r="K11" i="155" s="1"/>
  <c r="L11" i="155" s="1"/>
  <c r="M11" i="155" s="1"/>
  <c r="D12" i="155"/>
  <c r="E18" i="156"/>
  <c r="D19" i="156"/>
  <c r="E11" i="151"/>
  <c r="F11" i="151" s="1"/>
  <c r="G11" i="151" s="1"/>
  <c r="H11" i="151" s="1"/>
  <c r="I11" i="151" s="1"/>
  <c r="J11" i="151" s="1"/>
  <c r="K11" i="151" s="1"/>
  <c r="L11" i="151" s="1"/>
  <c r="M11" i="151" s="1"/>
  <c r="D12" i="153"/>
  <c r="D19" i="154"/>
  <c r="E11" i="156"/>
  <c r="F11" i="156" s="1"/>
  <c r="G11" i="156" s="1"/>
  <c r="H11" i="156" s="1"/>
  <c r="I11" i="156" s="1"/>
  <c r="J11" i="156" s="1"/>
  <c r="K11" i="156" s="1"/>
  <c r="L11" i="156" s="1"/>
  <c r="M11" i="156" s="1"/>
  <c r="E11" i="154"/>
  <c r="F11" i="154" s="1"/>
  <c r="G11" i="154" s="1"/>
  <c r="H11" i="154" s="1"/>
  <c r="I11" i="154" s="1"/>
  <c r="J11" i="154" s="1"/>
  <c r="K11" i="154" s="1"/>
  <c r="L11" i="154" s="1"/>
  <c r="M11" i="154" s="1"/>
  <c r="D12" i="154"/>
  <c r="E6" i="155"/>
  <c r="E18" i="149"/>
  <c r="D19" i="149"/>
  <c r="D13" i="148"/>
  <c r="E12" i="148"/>
  <c r="F6" i="149"/>
  <c r="E7" i="149"/>
  <c r="E7" i="148"/>
  <c r="F6" i="148"/>
  <c r="E18" i="150"/>
  <c r="D19" i="150"/>
  <c r="D7" i="149"/>
  <c r="E7" i="150"/>
  <c r="D12" i="149"/>
  <c r="E11" i="150"/>
  <c r="F11" i="150" s="1"/>
  <c r="G11" i="150" s="1"/>
  <c r="H11" i="150" s="1"/>
  <c r="I11" i="150" s="1"/>
  <c r="J11" i="150" s="1"/>
  <c r="K11" i="150" s="1"/>
  <c r="L11" i="150" s="1"/>
  <c r="M11" i="150" s="1"/>
  <c r="E11" i="149"/>
  <c r="F11" i="149" s="1"/>
  <c r="G11" i="149" s="1"/>
  <c r="H11" i="149" s="1"/>
  <c r="I11" i="149" s="1"/>
  <c r="J11" i="149" s="1"/>
  <c r="K11" i="149" s="1"/>
  <c r="L11" i="149" s="1"/>
  <c r="M11" i="149" s="1"/>
  <c r="E11" i="148"/>
  <c r="F11" i="148" s="1"/>
  <c r="G11" i="148" s="1"/>
  <c r="H11" i="148" s="1"/>
  <c r="I11" i="148" s="1"/>
  <c r="J11" i="148" s="1"/>
  <c r="K11" i="148" s="1"/>
  <c r="L11" i="148" s="1"/>
  <c r="M11" i="148" s="1"/>
  <c r="D7" i="148"/>
  <c r="C18" i="148"/>
  <c r="D18" i="148" s="1"/>
  <c r="D19" i="147"/>
  <c r="E18" i="147"/>
  <c r="E11" i="147"/>
  <c r="F11" i="147" s="1"/>
  <c r="G11" i="147" s="1"/>
  <c r="H11" i="147" s="1"/>
  <c r="I11" i="147" s="1"/>
  <c r="J11" i="147" s="1"/>
  <c r="K11" i="147" s="1"/>
  <c r="L11" i="147" s="1"/>
  <c r="M11" i="147" s="1"/>
  <c r="G6" i="146"/>
  <c r="E13" i="146"/>
  <c r="F12" i="146"/>
  <c r="D19" i="146"/>
  <c r="E18" i="146"/>
  <c r="E11" i="146"/>
  <c r="F11" i="146" s="1"/>
  <c r="G11" i="146" s="1"/>
  <c r="H11" i="146" s="1"/>
  <c r="I11" i="146" s="1"/>
  <c r="J11" i="146" s="1"/>
  <c r="K11" i="146" s="1"/>
  <c r="L11" i="146" s="1"/>
  <c r="M11" i="146" s="1"/>
  <c r="D13" i="146"/>
  <c r="E18" i="145"/>
  <c r="D19" i="145"/>
  <c r="F12" i="145"/>
  <c r="D19" i="144"/>
  <c r="E18" i="144"/>
  <c r="E6" i="144"/>
  <c r="D12" i="144"/>
  <c r="E6" i="143"/>
  <c r="E7" i="143" s="1"/>
  <c r="E18" i="143"/>
  <c r="D19" i="143"/>
  <c r="F6" i="143"/>
  <c r="E11" i="143"/>
  <c r="F11" i="143" s="1"/>
  <c r="G11" i="143" s="1"/>
  <c r="H11" i="143" s="1"/>
  <c r="I11" i="143" s="1"/>
  <c r="J11" i="143" s="1"/>
  <c r="K11" i="143" s="1"/>
  <c r="L11" i="143" s="1"/>
  <c r="M11" i="143" s="1"/>
  <c r="E12" i="143"/>
  <c r="E6" i="142"/>
  <c r="E7" i="142" s="1"/>
  <c r="E6" i="140"/>
  <c r="C18" i="140"/>
  <c r="D18" i="140" s="1"/>
  <c r="E18" i="140" s="1"/>
  <c r="E6" i="141"/>
  <c r="F6" i="141" s="1"/>
  <c r="F7" i="141" s="1"/>
  <c r="E6" i="139"/>
  <c r="F6" i="139" s="1"/>
  <c r="F7" i="139" s="1"/>
  <c r="E6" i="138"/>
  <c r="C18" i="138"/>
  <c r="D18" i="138" s="1"/>
  <c r="E18" i="142"/>
  <c r="D19" i="142"/>
  <c r="F6" i="142"/>
  <c r="E11" i="142"/>
  <c r="F11" i="142" s="1"/>
  <c r="G11" i="142" s="1"/>
  <c r="H11" i="142" s="1"/>
  <c r="I11" i="142" s="1"/>
  <c r="J11" i="142" s="1"/>
  <c r="K11" i="142" s="1"/>
  <c r="L11" i="142" s="1"/>
  <c r="M11" i="142" s="1"/>
  <c r="E12" i="142"/>
  <c r="G6" i="141"/>
  <c r="D17" i="141"/>
  <c r="E17" i="141" s="1"/>
  <c r="F17" i="141" s="1"/>
  <c r="G17" i="141" s="1"/>
  <c r="H17" i="141" s="1"/>
  <c r="I17" i="141" s="1"/>
  <c r="J17" i="141" s="1"/>
  <c r="K17" i="141" s="1"/>
  <c r="L17" i="141" s="1"/>
  <c r="M17" i="141" s="1"/>
  <c r="E11" i="141"/>
  <c r="F11" i="141" s="1"/>
  <c r="G11" i="141" s="1"/>
  <c r="H11" i="141" s="1"/>
  <c r="I11" i="141" s="1"/>
  <c r="J11" i="141" s="1"/>
  <c r="K11" i="141" s="1"/>
  <c r="L11" i="141" s="1"/>
  <c r="M11" i="141" s="1"/>
  <c r="E7" i="141"/>
  <c r="E12" i="141"/>
  <c r="D13" i="141"/>
  <c r="E18" i="141"/>
  <c r="D19" i="141"/>
  <c r="D13" i="140"/>
  <c r="E12" i="140"/>
  <c r="D17" i="140"/>
  <c r="E17" i="140" s="1"/>
  <c r="F17" i="140" s="1"/>
  <c r="G17" i="140" s="1"/>
  <c r="H17" i="140" s="1"/>
  <c r="I17" i="140" s="1"/>
  <c r="J17" i="140" s="1"/>
  <c r="K17" i="140" s="1"/>
  <c r="L17" i="140" s="1"/>
  <c r="M17" i="140" s="1"/>
  <c r="E11" i="140"/>
  <c r="F11" i="140" s="1"/>
  <c r="G11" i="140" s="1"/>
  <c r="H11" i="140" s="1"/>
  <c r="I11" i="140" s="1"/>
  <c r="J11" i="140" s="1"/>
  <c r="K11" i="140" s="1"/>
  <c r="L11" i="140" s="1"/>
  <c r="M11" i="140" s="1"/>
  <c r="G6" i="139"/>
  <c r="E18" i="139"/>
  <c r="E12" i="139"/>
  <c r="D17" i="139"/>
  <c r="E17" i="139" s="1"/>
  <c r="F17" i="139" s="1"/>
  <c r="G17" i="139" s="1"/>
  <c r="H17" i="139" s="1"/>
  <c r="I17" i="139" s="1"/>
  <c r="J17" i="139" s="1"/>
  <c r="K17" i="139" s="1"/>
  <c r="L17" i="139" s="1"/>
  <c r="M17" i="139" s="1"/>
  <c r="E7" i="139"/>
  <c r="D13" i="138"/>
  <c r="E12" i="138"/>
  <c r="D17" i="138"/>
  <c r="E17" i="138" s="1"/>
  <c r="F17" i="138" s="1"/>
  <c r="G17" i="138" s="1"/>
  <c r="H17" i="138" s="1"/>
  <c r="I17" i="138" s="1"/>
  <c r="J17" i="138" s="1"/>
  <c r="K17" i="138" s="1"/>
  <c r="L17" i="138" s="1"/>
  <c r="M17" i="138" s="1"/>
  <c r="E11" i="138"/>
  <c r="F11" i="138" s="1"/>
  <c r="G11" i="138" s="1"/>
  <c r="H11" i="138" s="1"/>
  <c r="I11" i="138" s="1"/>
  <c r="J11" i="138" s="1"/>
  <c r="K11" i="138" s="1"/>
  <c r="L11" i="138" s="1"/>
  <c r="M11" i="138" s="1"/>
  <c r="E18" i="138"/>
  <c r="E6" i="137"/>
  <c r="E7" i="137" s="1"/>
  <c r="D12" i="137"/>
  <c r="D13" i="137" s="1"/>
  <c r="E18" i="137"/>
  <c r="D19" i="137"/>
  <c r="F6" i="137"/>
  <c r="E11" i="137"/>
  <c r="F11" i="137" s="1"/>
  <c r="G11" i="137" s="1"/>
  <c r="H11" i="137" s="1"/>
  <c r="I11" i="137" s="1"/>
  <c r="J11" i="137" s="1"/>
  <c r="K11" i="137" s="1"/>
  <c r="L11" i="137" s="1"/>
  <c r="M11" i="137" s="1"/>
  <c r="E6" i="135"/>
  <c r="F6" i="135" s="1"/>
  <c r="G6" i="135" s="1"/>
  <c r="E6" i="136"/>
  <c r="D12" i="136"/>
  <c r="D13" i="136" s="1"/>
  <c r="E18" i="136"/>
  <c r="D19" i="136"/>
  <c r="E12" i="136"/>
  <c r="D17" i="136"/>
  <c r="E17" i="136" s="1"/>
  <c r="F17" i="136" s="1"/>
  <c r="G17" i="136" s="1"/>
  <c r="H17" i="136" s="1"/>
  <c r="I17" i="136" s="1"/>
  <c r="J17" i="136" s="1"/>
  <c r="K17" i="136" s="1"/>
  <c r="L17" i="136" s="1"/>
  <c r="M17" i="136" s="1"/>
  <c r="E11" i="136"/>
  <c r="F11" i="136" s="1"/>
  <c r="G11" i="136" s="1"/>
  <c r="H11" i="136" s="1"/>
  <c r="I11" i="136" s="1"/>
  <c r="J11" i="136" s="1"/>
  <c r="K11" i="136" s="1"/>
  <c r="L11" i="136" s="1"/>
  <c r="M11" i="136" s="1"/>
  <c r="E18" i="135"/>
  <c r="D19" i="135"/>
  <c r="E7" i="135"/>
  <c r="E11" i="135"/>
  <c r="F11" i="135" s="1"/>
  <c r="G11" i="135" s="1"/>
  <c r="H11" i="135" s="1"/>
  <c r="I11" i="135" s="1"/>
  <c r="J11" i="135" s="1"/>
  <c r="K11" i="135" s="1"/>
  <c r="L11" i="135" s="1"/>
  <c r="M11" i="135" s="1"/>
  <c r="E12" i="135"/>
  <c r="C5" i="35"/>
  <c r="C3" i="134" s="1"/>
  <c r="C17" i="134"/>
  <c r="O13" i="134"/>
  <c r="O19" i="134" s="1"/>
  <c r="C13" i="134"/>
  <c r="C19" i="134" s="1"/>
  <c r="B13" i="134"/>
  <c r="C12" i="134"/>
  <c r="D12" i="134" s="1"/>
  <c r="N11" i="134"/>
  <c r="N17" i="134" s="1"/>
  <c r="D11" i="134"/>
  <c r="D17" i="134" s="1"/>
  <c r="E17" i="134" s="1"/>
  <c r="F17" i="134" s="1"/>
  <c r="G17" i="134" s="1"/>
  <c r="H17" i="134" s="1"/>
  <c r="I17" i="134" s="1"/>
  <c r="J17" i="134" s="1"/>
  <c r="K17" i="134" s="1"/>
  <c r="L17" i="134" s="1"/>
  <c r="M17" i="134" s="1"/>
  <c r="C11" i="134"/>
  <c r="C7" i="134"/>
  <c r="D6" i="134"/>
  <c r="D7" i="134" s="1"/>
  <c r="E5" i="134"/>
  <c r="F5" i="134" s="1"/>
  <c r="G5" i="134" s="1"/>
  <c r="H5" i="134" s="1"/>
  <c r="I5" i="134" s="1"/>
  <c r="J5" i="134" s="1"/>
  <c r="K5" i="134" s="1"/>
  <c r="L5" i="134" s="1"/>
  <c r="M5" i="134" s="1"/>
  <c r="O13" i="133"/>
  <c r="O19" i="133" s="1"/>
  <c r="B13" i="133"/>
  <c r="C12" i="133"/>
  <c r="C18" i="133" s="1"/>
  <c r="D18" i="133" s="1"/>
  <c r="N11" i="133"/>
  <c r="N17" i="133" s="1"/>
  <c r="D11" i="133"/>
  <c r="D17" i="133" s="1"/>
  <c r="E17" i="133" s="1"/>
  <c r="F17" i="133" s="1"/>
  <c r="G17" i="133" s="1"/>
  <c r="H17" i="133" s="1"/>
  <c r="I17" i="133" s="1"/>
  <c r="J17" i="133" s="1"/>
  <c r="K17" i="133" s="1"/>
  <c r="L17" i="133" s="1"/>
  <c r="M17" i="133" s="1"/>
  <c r="C11" i="133"/>
  <c r="C17" i="133" s="1"/>
  <c r="C7" i="133"/>
  <c r="C13" i="133" s="1"/>
  <c r="C19" i="133" s="1"/>
  <c r="D6" i="133"/>
  <c r="D7" i="133" s="1"/>
  <c r="E5" i="133"/>
  <c r="F5" i="133" s="1"/>
  <c r="G5" i="133" s="1"/>
  <c r="H5" i="133" s="1"/>
  <c r="I5" i="133" s="1"/>
  <c r="J5" i="133" s="1"/>
  <c r="K5" i="133" s="1"/>
  <c r="L5" i="133" s="1"/>
  <c r="M5" i="133" s="1"/>
  <c r="E32" i="35"/>
  <c r="E33" i="35"/>
  <c r="E34" i="35"/>
  <c r="E35" i="35"/>
  <c r="N17" i="132"/>
  <c r="O13" i="132"/>
  <c r="O19" i="132" s="1"/>
  <c r="C13" i="132"/>
  <c r="C19" i="132" s="1"/>
  <c r="B13" i="132"/>
  <c r="C12" i="132"/>
  <c r="C18" i="132" s="1"/>
  <c r="D18" i="132" s="1"/>
  <c r="N11" i="132"/>
  <c r="D11" i="132"/>
  <c r="D17" i="132" s="1"/>
  <c r="E17" i="132" s="1"/>
  <c r="F17" i="132" s="1"/>
  <c r="G17" i="132" s="1"/>
  <c r="H17" i="132" s="1"/>
  <c r="I17" i="132" s="1"/>
  <c r="J17" i="132" s="1"/>
  <c r="K17" i="132" s="1"/>
  <c r="L17" i="132" s="1"/>
  <c r="M17" i="132" s="1"/>
  <c r="C11" i="132"/>
  <c r="C17" i="132" s="1"/>
  <c r="C7" i="132"/>
  <c r="D6" i="132"/>
  <c r="D7" i="132" s="1"/>
  <c r="E5" i="132"/>
  <c r="F5" i="132" s="1"/>
  <c r="G5" i="132" s="1"/>
  <c r="H5" i="132" s="1"/>
  <c r="I5" i="132" s="1"/>
  <c r="J5" i="132" s="1"/>
  <c r="K5" i="132" s="1"/>
  <c r="L5" i="132" s="1"/>
  <c r="M5" i="132" s="1"/>
  <c r="N17" i="131"/>
  <c r="C17" i="131"/>
  <c r="O13" i="131"/>
  <c r="O19" i="131" s="1"/>
  <c r="B13" i="131"/>
  <c r="D12" i="131"/>
  <c r="D13" i="131" s="1"/>
  <c r="C12" i="131"/>
  <c r="C18" i="131" s="1"/>
  <c r="D18" i="131" s="1"/>
  <c r="N11" i="131"/>
  <c r="D11" i="131"/>
  <c r="D17" i="131" s="1"/>
  <c r="E17" i="131" s="1"/>
  <c r="F17" i="131" s="1"/>
  <c r="G17" i="131" s="1"/>
  <c r="H17" i="131" s="1"/>
  <c r="I17" i="131" s="1"/>
  <c r="J17" i="131" s="1"/>
  <c r="K17" i="131" s="1"/>
  <c r="L17" i="131" s="1"/>
  <c r="M17" i="131" s="1"/>
  <c r="C11" i="131"/>
  <c r="C7" i="131"/>
  <c r="C13" i="131" s="1"/>
  <c r="C19" i="131" s="1"/>
  <c r="D6" i="131"/>
  <c r="D7" i="131" s="1"/>
  <c r="E5" i="131"/>
  <c r="F5" i="131" s="1"/>
  <c r="G5" i="131" s="1"/>
  <c r="H5" i="131" s="1"/>
  <c r="I5" i="131" s="1"/>
  <c r="J5" i="131" s="1"/>
  <c r="K5" i="131" s="1"/>
  <c r="L5" i="131" s="1"/>
  <c r="M5" i="131" s="1"/>
  <c r="C3" i="35"/>
  <c r="C3" i="132" s="1"/>
  <c r="D26" i="132" s="1"/>
  <c r="D43" i="35"/>
  <c r="C43" i="35"/>
  <c r="D42" i="35"/>
  <c r="D41" i="35"/>
  <c r="C41" i="35"/>
  <c r="D40" i="35"/>
  <c r="C40" i="35"/>
  <c r="D39" i="35"/>
  <c r="C39" i="35"/>
  <c r="C3" i="160" s="1"/>
  <c r="D26" i="160" s="1"/>
  <c r="N17" i="130"/>
  <c r="C17" i="130"/>
  <c r="O13" i="130"/>
  <c r="O19" i="130" s="1"/>
  <c r="B13" i="130"/>
  <c r="C12" i="130"/>
  <c r="C18" i="130" s="1"/>
  <c r="D18" i="130" s="1"/>
  <c r="N11" i="130"/>
  <c r="D11" i="130"/>
  <c r="D17" i="130" s="1"/>
  <c r="E17" i="130" s="1"/>
  <c r="F17" i="130" s="1"/>
  <c r="G17" i="130" s="1"/>
  <c r="H17" i="130" s="1"/>
  <c r="I17" i="130" s="1"/>
  <c r="J17" i="130" s="1"/>
  <c r="K17" i="130" s="1"/>
  <c r="L17" i="130" s="1"/>
  <c r="M17" i="130" s="1"/>
  <c r="C11" i="130"/>
  <c r="C7" i="130"/>
  <c r="C13" i="130" s="1"/>
  <c r="C19" i="130" s="1"/>
  <c r="D6" i="130"/>
  <c r="D7" i="130" s="1"/>
  <c r="F5" i="130"/>
  <c r="G5" i="130" s="1"/>
  <c r="H5" i="130" s="1"/>
  <c r="I5" i="130" s="1"/>
  <c r="J5" i="130" s="1"/>
  <c r="K5" i="130" s="1"/>
  <c r="L5" i="130" s="1"/>
  <c r="M5" i="130" s="1"/>
  <c r="E5" i="130"/>
  <c r="C53" i="35"/>
  <c r="O13" i="129"/>
  <c r="O19" i="129" s="1"/>
  <c r="B13" i="129"/>
  <c r="C12" i="129"/>
  <c r="D12" i="129" s="1"/>
  <c r="D13" i="129" s="1"/>
  <c r="N11" i="129"/>
  <c r="N17" i="129" s="1"/>
  <c r="D11" i="129"/>
  <c r="D17" i="129" s="1"/>
  <c r="E17" i="129" s="1"/>
  <c r="F17" i="129" s="1"/>
  <c r="G17" i="129" s="1"/>
  <c r="H17" i="129" s="1"/>
  <c r="I17" i="129" s="1"/>
  <c r="J17" i="129" s="1"/>
  <c r="K17" i="129" s="1"/>
  <c r="L17" i="129" s="1"/>
  <c r="M17" i="129" s="1"/>
  <c r="C11" i="129"/>
  <c r="C17" i="129" s="1"/>
  <c r="C7" i="129"/>
  <c r="C13" i="129" s="1"/>
  <c r="C19" i="129" s="1"/>
  <c r="D6" i="129"/>
  <c r="D7" i="129" s="1"/>
  <c r="F5" i="129"/>
  <c r="G5" i="129" s="1"/>
  <c r="H5" i="129" s="1"/>
  <c r="I5" i="129" s="1"/>
  <c r="J5" i="129" s="1"/>
  <c r="K5" i="129" s="1"/>
  <c r="L5" i="129" s="1"/>
  <c r="M5" i="129" s="1"/>
  <c r="E5" i="129"/>
  <c r="C52" i="35"/>
  <c r="C3" i="129" s="1"/>
  <c r="D26" i="129" s="1"/>
  <c r="D51" i="35"/>
  <c r="N17" i="128"/>
  <c r="O13" i="128"/>
  <c r="O19" i="128" s="1"/>
  <c r="B13" i="128"/>
  <c r="C12" i="128"/>
  <c r="D12" i="128" s="1"/>
  <c r="N11" i="128"/>
  <c r="D11" i="128"/>
  <c r="D17" i="128" s="1"/>
  <c r="E17" i="128" s="1"/>
  <c r="F17" i="128" s="1"/>
  <c r="G17" i="128" s="1"/>
  <c r="H17" i="128" s="1"/>
  <c r="I17" i="128" s="1"/>
  <c r="J17" i="128" s="1"/>
  <c r="K17" i="128" s="1"/>
  <c r="L17" i="128" s="1"/>
  <c r="M17" i="128" s="1"/>
  <c r="C11" i="128"/>
  <c r="C17" i="128" s="1"/>
  <c r="C7" i="128"/>
  <c r="C13" i="128" s="1"/>
  <c r="C19" i="128" s="1"/>
  <c r="D6" i="128"/>
  <c r="D7" i="128" s="1"/>
  <c r="E5" i="128"/>
  <c r="F5" i="128" s="1"/>
  <c r="G5" i="128" s="1"/>
  <c r="H5" i="128" s="1"/>
  <c r="I5" i="128" s="1"/>
  <c r="J5" i="128" s="1"/>
  <c r="K5" i="128" s="1"/>
  <c r="L5" i="128" s="1"/>
  <c r="M5" i="128" s="1"/>
  <c r="C51" i="35"/>
  <c r="C3" i="118"/>
  <c r="C42" i="35" s="1"/>
  <c r="E13" i="111"/>
  <c r="F13" i="111"/>
  <c r="G13" i="111"/>
  <c r="H13" i="111"/>
  <c r="I13" i="111"/>
  <c r="J13" i="111"/>
  <c r="K13" i="111"/>
  <c r="L13" i="111"/>
  <c r="M13" i="111"/>
  <c r="D13" i="111"/>
  <c r="D13" i="119"/>
  <c r="E13" i="116"/>
  <c r="F13" i="116"/>
  <c r="L13" i="116"/>
  <c r="D7" i="116"/>
  <c r="C49" i="35"/>
  <c r="C3" i="120"/>
  <c r="C50" i="35" s="1"/>
  <c r="C3" i="127"/>
  <c r="D26" i="127" s="1"/>
  <c r="C3" i="123"/>
  <c r="D26" i="123" s="1"/>
  <c r="C3" i="122"/>
  <c r="D26" i="122" s="1"/>
  <c r="C3" i="121"/>
  <c r="D26" i="121" s="1"/>
  <c r="C3" i="124"/>
  <c r="D26" i="124" s="1"/>
  <c r="C3" i="125"/>
  <c r="D26" i="125" s="1"/>
  <c r="C3" i="126"/>
  <c r="D26" i="126" s="1"/>
  <c r="C47" i="35"/>
  <c r="C46" i="35"/>
  <c r="C45" i="35"/>
  <c r="C44" i="35"/>
  <c r="C3" i="117"/>
  <c r="D26" i="117" s="1"/>
  <c r="C3" i="116"/>
  <c r="D26" i="116" s="1"/>
  <c r="N17" i="127"/>
  <c r="O13" i="127"/>
  <c r="O19" i="127" s="1"/>
  <c r="C13" i="127"/>
  <c r="C19" i="127" s="1"/>
  <c r="B13" i="127"/>
  <c r="C12" i="127"/>
  <c r="D12" i="127" s="1"/>
  <c r="D13" i="127" s="1"/>
  <c r="N11" i="127"/>
  <c r="D11" i="127"/>
  <c r="D17" i="127" s="1"/>
  <c r="E17" i="127" s="1"/>
  <c r="F17" i="127" s="1"/>
  <c r="G17" i="127" s="1"/>
  <c r="H17" i="127" s="1"/>
  <c r="I17" i="127" s="1"/>
  <c r="J17" i="127" s="1"/>
  <c r="K17" i="127" s="1"/>
  <c r="L17" i="127" s="1"/>
  <c r="M17" i="127" s="1"/>
  <c r="C11" i="127"/>
  <c r="C17" i="127" s="1"/>
  <c r="C7" i="127"/>
  <c r="D6" i="127"/>
  <c r="D7" i="127" s="1"/>
  <c r="E5" i="127"/>
  <c r="F5" i="127" s="1"/>
  <c r="G5" i="127" s="1"/>
  <c r="H5" i="127" s="1"/>
  <c r="I5" i="127" s="1"/>
  <c r="J5" i="127" s="1"/>
  <c r="K5" i="127" s="1"/>
  <c r="L5" i="127" s="1"/>
  <c r="M5" i="127" s="1"/>
  <c r="N17" i="126"/>
  <c r="O13" i="126"/>
  <c r="O19" i="126" s="1"/>
  <c r="C13" i="126"/>
  <c r="C19" i="126" s="1"/>
  <c r="B13" i="126"/>
  <c r="C12" i="126"/>
  <c r="D12" i="126" s="1"/>
  <c r="D13" i="126" s="1"/>
  <c r="N11" i="126"/>
  <c r="D11" i="126"/>
  <c r="D17" i="126" s="1"/>
  <c r="E17" i="126" s="1"/>
  <c r="F17" i="126" s="1"/>
  <c r="G17" i="126" s="1"/>
  <c r="H17" i="126" s="1"/>
  <c r="I17" i="126" s="1"/>
  <c r="J17" i="126" s="1"/>
  <c r="K17" i="126" s="1"/>
  <c r="L17" i="126" s="1"/>
  <c r="M17" i="126" s="1"/>
  <c r="C11" i="126"/>
  <c r="C17" i="126" s="1"/>
  <c r="C7" i="126"/>
  <c r="D6" i="126"/>
  <c r="D7" i="126" s="1"/>
  <c r="E5" i="126"/>
  <c r="F5" i="126" s="1"/>
  <c r="G5" i="126" s="1"/>
  <c r="H5" i="126" s="1"/>
  <c r="I5" i="126" s="1"/>
  <c r="J5" i="126" s="1"/>
  <c r="K5" i="126" s="1"/>
  <c r="L5" i="126" s="1"/>
  <c r="M5" i="126" s="1"/>
  <c r="N17" i="125"/>
  <c r="C17" i="125"/>
  <c r="O13" i="125"/>
  <c r="O19" i="125" s="1"/>
  <c r="C13" i="125"/>
  <c r="C19" i="125" s="1"/>
  <c r="B13" i="125"/>
  <c r="D12" i="125"/>
  <c r="D13" i="125" s="1"/>
  <c r="C12" i="125"/>
  <c r="C18" i="125" s="1"/>
  <c r="D18" i="125" s="1"/>
  <c r="N11" i="125"/>
  <c r="D11" i="125"/>
  <c r="D17" i="125" s="1"/>
  <c r="E17" i="125" s="1"/>
  <c r="F17" i="125" s="1"/>
  <c r="G17" i="125" s="1"/>
  <c r="H17" i="125" s="1"/>
  <c r="I17" i="125" s="1"/>
  <c r="J17" i="125" s="1"/>
  <c r="K17" i="125" s="1"/>
  <c r="L17" i="125" s="1"/>
  <c r="M17" i="125" s="1"/>
  <c r="C11" i="125"/>
  <c r="C7" i="125"/>
  <c r="D6" i="125"/>
  <c r="D7" i="125" s="1"/>
  <c r="E5" i="125"/>
  <c r="F5" i="125" s="1"/>
  <c r="G5" i="125" s="1"/>
  <c r="H5" i="125" s="1"/>
  <c r="I5" i="125" s="1"/>
  <c r="J5" i="125" s="1"/>
  <c r="K5" i="125" s="1"/>
  <c r="L5" i="125" s="1"/>
  <c r="M5" i="125" s="1"/>
  <c r="N17" i="124"/>
  <c r="O13" i="124"/>
  <c r="O19" i="124" s="1"/>
  <c r="C13" i="124"/>
  <c r="C19" i="124" s="1"/>
  <c r="B13" i="124"/>
  <c r="C12" i="124"/>
  <c r="D12" i="124" s="1"/>
  <c r="D13" i="124" s="1"/>
  <c r="N11" i="124"/>
  <c r="D11" i="124"/>
  <c r="D17" i="124" s="1"/>
  <c r="E17" i="124" s="1"/>
  <c r="F17" i="124" s="1"/>
  <c r="G17" i="124" s="1"/>
  <c r="H17" i="124" s="1"/>
  <c r="I17" i="124" s="1"/>
  <c r="J17" i="124" s="1"/>
  <c r="K17" i="124" s="1"/>
  <c r="L17" i="124" s="1"/>
  <c r="M17" i="124" s="1"/>
  <c r="C11" i="124"/>
  <c r="C17" i="124" s="1"/>
  <c r="C7" i="124"/>
  <c r="D6" i="124"/>
  <c r="D7" i="124" s="1"/>
  <c r="E5" i="124"/>
  <c r="F5" i="124" s="1"/>
  <c r="G5" i="124" s="1"/>
  <c r="H5" i="124" s="1"/>
  <c r="I5" i="124" s="1"/>
  <c r="J5" i="124" s="1"/>
  <c r="K5" i="124" s="1"/>
  <c r="L5" i="124" s="1"/>
  <c r="M5" i="124" s="1"/>
  <c r="N17" i="123"/>
  <c r="O13" i="123"/>
  <c r="O19" i="123" s="1"/>
  <c r="C13" i="123"/>
  <c r="C19" i="123" s="1"/>
  <c r="B13" i="123"/>
  <c r="C12" i="123"/>
  <c r="C18" i="123" s="1"/>
  <c r="D18" i="123" s="1"/>
  <c r="N11" i="123"/>
  <c r="D11" i="123"/>
  <c r="D17" i="123" s="1"/>
  <c r="E17" i="123" s="1"/>
  <c r="F17" i="123" s="1"/>
  <c r="G17" i="123" s="1"/>
  <c r="H17" i="123" s="1"/>
  <c r="I17" i="123" s="1"/>
  <c r="J17" i="123" s="1"/>
  <c r="K17" i="123" s="1"/>
  <c r="L17" i="123" s="1"/>
  <c r="M17" i="123" s="1"/>
  <c r="C11" i="123"/>
  <c r="C17" i="123" s="1"/>
  <c r="C7" i="123"/>
  <c r="D6" i="123"/>
  <c r="D7" i="123" s="1"/>
  <c r="E5" i="123"/>
  <c r="F5" i="123" s="1"/>
  <c r="G5" i="123" s="1"/>
  <c r="H5" i="123" s="1"/>
  <c r="I5" i="123" s="1"/>
  <c r="J5" i="123" s="1"/>
  <c r="K5" i="123" s="1"/>
  <c r="L5" i="123" s="1"/>
  <c r="M5" i="123" s="1"/>
  <c r="N17" i="122"/>
  <c r="O13" i="122"/>
  <c r="O19" i="122" s="1"/>
  <c r="C13" i="122"/>
  <c r="C19" i="122" s="1"/>
  <c r="B13" i="122"/>
  <c r="C12" i="122"/>
  <c r="C18" i="122" s="1"/>
  <c r="D18" i="122" s="1"/>
  <c r="N11" i="122"/>
  <c r="D11" i="122"/>
  <c r="D17" i="122" s="1"/>
  <c r="E17" i="122" s="1"/>
  <c r="F17" i="122" s="1"/>
  <c r="G17" i="122" s="1"/>
  <c r="H17" i="122" s="1"/>
  <c r="I17" i="122" s="1"/>
  <c r="J17" i="122" s="1"/>
  <c r="K17" i="122" s="1"/>
  <c r="L17" i="122" s="1"/>
  <c r="M17" i="122" s="1"/>
  <c r="C11" i="122"/>
  <c r="C17" i="122" s="1"/>
  <c r="C7" i="122"/>
  <c r="D6" i="122"/>
  <c r="D7" i="122" s="1"/>
  <c r="E5" i="122"/>
  <c r="F5" i="122" s="1"/>
  <c r="G5" i="122" s="1"/>
  <c r="H5" i="122" s="1"/>
  <c r="I5" i="122" s="1"/>
  <c r="J5" i="122" s="1"/>
  <c r="K5" i="122" s="1"/>
  <c r="L5" i="122" s="1"/>
  <c r="M5" i="122" s="1"/>
  <c r="N17" i="121"/>
  <c r="C17" i="121"/>
  <c r="O13" i="121"/>
  <c r="O19" i="121" s="1"/>
  <c r="B13" i="121"/>
  <c r="C12" i="121"/>
  <c r="C18" i="121" s="1"/>
  <c r="D18" i="121" s="1"/>
  <c r="N11" i="121"/>
  <c r="D11" i="121"/>
  <c r="D17" i="121" s="1"/>
  <c r="E17" i="121" s="1"/>
  <c r="F17" i="121" s="1"/>
  <c r="G17" i="121" s="1"/>
  <c r="H17" i="121" s="1"/>
  <c r="I17" i="121" s="1"/>
  <c r="J17" i="121" s="1"/>
  <c r="K17" i="121" s="1"/>
  <c r="L17" i="121" s="1"/>
  <c r="M17" i="121" s="1"/>
  <c r="C11" i="121"/>
  <c r="C7" i="121"/>
  <c r="C13" i="121" s="1"/>
  <c r="C19" i="121" s="1"/>
  <c r="D6" i="121"/>
  <c r="D7" i="121" s="1"/>
  <c r="E5" i="121"/>
  <c r="F5" i="121" s="1"/>
  <c r="G5" i="121" s="1"/>
  <c r="H5" i="121" s="1"/>
  <c r="I5" i="121" s="1"/>
  <c r="J5" i="121" s="1"/>
  <c r="K5" i="121" s="1"/>
  <c r="L5" i="121" s="1"/>
  <c r="M5" i="121" s="1"/>
  <c r="N17" i="120"/>
  <c r="O13" i="120"/>
  <c r="O19" i="120" s="1"/>
  <c r="C13" i="120"/>
  <c r="C19" i="120" s="1"/>
  <c r="B13" i="120"/>
  <c r="C12" i="120"/>
  <c r="C18" i="120" s="1"/>
  <c r="D18" i="120" s="1"/>
  <c r="N11" i="120"/>
  <c r="D11" i="120"/>
  <c r="D17" i="120" s="1"/>
  <c r="E17" i="120" s="1"/>
  <c r="F17" i="120" s="1"/>
  <c r="G17" i="120" s="1"/>
  <c r="H17" i="120" s="1"/>
  <c r="I17" i="120" s="1"/>
  <c r="J17" i="120" s="1"/>
  <c r="K17" i="120" s="1"/>
  <c r="L17" i="120" s="1"/>
  <c r="M17" i="120" s="1"/>
  <c r="C11" i="120"/>
  <c r="C17" i="120" s="1"/>
  <c r="C7" i="120"/>
  <c r="D6" i="120"/>
  <c r="D7" i="120" s="1"/>
  <c r="E5" i="120"/>
  <c r="F5" i="120" s="1"/>
  <c r="G5" i="120" s="1"/>
  <c r="H5" i="120" s="1"/>
  <c r="I5" i="120" s="1"/>
  <c r="J5" i="120" s="1"/>
  <c r="K5" i="120" s="1"/>
  <c r="L5" i="120" s="1"/>
  <c r="M5" i="120" s="1"/>
  <c r="D26" i="119"/>
  <c r="N17" i="119"/>
  <c r="O13" i="119"/>
  <c r="O19" i="119" s="1"/>
  <c r="B13" i="119"/>
  <c r="C12" i="119"/>
  <c r="C18" i="119" s="1"/>
  <c r="D18" i="119" s="1"/>
  <c r="N11" i="119"/>
  <c r="D11" i="119"/>
  <c r="D17" i="119" s="1"/>
  <c r="E17" i="119" s="1"/>
  <c r="F17" i="119" s="1"/>
  <c r="G17" i="119" s="1"/>
  <c r="H17" i="119" s="1"/>
  <c r="I17" i="119" s="1"/>
  <c r="J17" i="119" s="1"/>
  <c r="K17" i="119" s="1"/>
  <c r="L17" i="119" s="1"/>
  <c r="M17" i="119" s="1"/>
  <c r="C11" i="119"/>
  <c r="C17" i="119" s="1"/>
  <c r="C7" i="119"/>
  <c r="C13" i="119" s="1"/>
  <c r="C19" i="119" s="1"/>
  <c r="D6" i="119"/>
  <c r="D7" i="119" s="1"/>
  <c r="E5" i="119"/>
  <c r="F5" i="119" s="1"/>
  <c r="G5" i="119" s="1"/>
  <c r="H5" i="119" s="1"/>
  <c r="I5" i="119" s="1"/>
  <c r="J5" i="119" s="1"/>
  <c r="K5" i="119" s="1"/>
  <c r="L5" i="119" s="1"/>
  <c r="M5" i="119" s="1"/>
  <c r="N17" i="118"/>
  <c r="O13" i="118"/>
  <c r="O19" i="118" s="1"/>
  <c r="C13" i="118"/>
  <c r="C19" i="118" s="1"/>
  <c r="B13" i="118"/>
  <c r="C12" i="118"/>
  <c r="D12" i="118" s="1"/>
  <c r="D13" i="118" s="1"/>
  <c r="N11" i="118"/>
  <c r="D11" i="118"/>
  <c r="C11" i="118"/>
  <c r="C17" i="118" s="1"/>
  <c r="C7" i="118"/>
  <c r="D6" i="118"/>
  <c r="D7" i="118" s="1"/>
  <c r="E5" i="118"/>
  <c r="F5" i="118" s="1"/>
  <c r="G5" i="118" s="1"/>
  <c r="H5" i="118" s="1"/>
  <c r="I5" i="118" s="1"/>
  <c r="J5" i="118" s="1"/>
  <c r="K5" i="118" s="1"/>
  <c r="L5" i="118" s="1"/>
  <c r="M5" i="118" s="1"/>
  <c r="N17" i="117"/>
  <c r="O13" i="117"/>
  <c r="O19" i="117" s="1"/>
  <c r="C13" i="117"/>
  <c r="C19" i="117" s="1"/>
  <c r="B13" i="117"/>
  <c r="C12" i="117"/>
  <c r="D12" i="117" s="1"/>
  <c r="D13" i="117" s="1"/>
  <c r="N11" i="117"/>
  <c r="D11" i="117"/>
  <c r="D17" i="117" s="1"/>
  <c r="E17" i="117" s="1"/>
  <c r="F17" i="117" s="1"/>
  <c r="G17" i="117" s="1"/>
  <c r="H17" i="117" s="1"/>
  <c r="I17" i="117" s="1"/>
  <c r="J17" i="117" s="1"/>
  <c r="K17" i="117" s="1"/>
  <c r="L17" i="117" s="1"/>
  <c r="M17" i="117" s="1"/>
  <c r="C11" i="117"/>
  <c r="C17" i="117" s="1"/>
  <c r="C7" i="117"/>
  <c r="D6" i="117"/>
  <c r="D7" i="117" s="1"/>
  <c r="E5" i="117"/>
  <c r="F5" i="117" s="1"/>
  <c r="G5" i="117" s="1"/>
  <c r="H5" i="117" s="1"/>
  <c r="I5" i="117" s="1"/>
  <c r="J5" i="117" s="1"/>
  <c r="K5" i="117" s="1"/>
  <c r="L5" i="117" s="1"/>
  <c r="M5" i="117" s="1"/>
  <c r="C18" i="116"/>
  <c r="D18" i="116" s="1"/>
  <c r="N17" i="116"/>
  <c r="O13" i="116"/>
  <c r="O19" i="116" s="1"/>
  <c r="B13" i="116"/>
  <c r="D12" i="116"/>
  <c r="C12" i="116"/>
  <c r="N11" i="116"/>
  <c r="D11" i="116"/>
  <c r="D17" i="116" s="1"/>
  <c r="E17" i="116" s="1"/>
  <c r="F17" i="116" s="1"/>
  <c r="G17" i="116" s="1"/>
  <c r="H17" i="116" s="1"/>
  <c r="I17" i="116" s="1"/>
  <c r="J17" i="116" s="1"/>
  <c r="K17" i="116" s="1"/>
  <c r="L17" i="116" s="1"/>
  <c r="M17" i="116" s="1"/>
  <c r="C11" i="116"/>
  <c r="C17" i="116" s="1"/>
  <c r="C7" i="116"/>
  <c r="C13" i="116" s="1"/>
  <c r="C19" i="116" s="1"/>
  <c r="E6" i="116"/>
  <c r="F6" i="116" s="1"/>
  <c r="D6" i="116"/>
  <c r="E5" i="116"/>
  <c r="F5" i="116" s="1"/>
  <c r="G5" i="116" s="1"/>
  <c r="H5" i="116" s="1"/>
  <c r="I5" i="116" s="1"/>
  <c r="J5" i="116" s="1"/>
  <c r="K5" i="116" s="1"/>
  <c r="L5" i="116" s="1"/>
  <c r="M5" i="116" s="1"/>
  <c r="E19" i="111"/>
  <c r="F19" i="111"/>
  <c r="G19" i="111"/>
  <c r="H19" i="111"/>
  <c r="I19" i="111"/>
  <c r="J19" i="111"/>
  <c r="K19" i="111"/>
  <c r="L19" i="111"/>
  <c r="M19" i="111"/>
  <c r="D19" i="111"/>
  <c r="D12" i="114"/>
  <c r="N17" i="114"/>
  <c r="O13" i="114"/>
  <c r="O19" i="114" s="1"/>
  <c r="D19" i="114" s="1"/>
  <c r="B13" i="114"/>
  <c r="C12" i="114"/>
  <c r="C18" i="114" s="1"/>
  <c r="D18" i="114" s="1"/>
  <c r="N11" i="114"/>
  <c r="D11" i="114"/>
  <c r="D17" i="114" s="1"/>
  <c r="E17" i="114" s="1"/>
  <c r="F17" i="114" s="1"/>
  <c r="G17" i="114" s="1"/>
  <c r="H17" i="114" s="1"/>
  <c r="I17" i="114" s="1"/>
  <c r="J17" i="114" s="1"/>
  <c r="K17" i="114" s="1"/>
  <c r="L17" i="114" s="1"/>
  <c r="M17" i="114" s="1"/>
  <c r="C11" i="114"/>
  <c r="C17" i="114" s="1"/>
  <c r="C7" i="114"/>
  <c r="C13" i="114" s="1"/>
  <c r="C19" i="114" s="1"/>
  <c r="D6" i="114"/>
  <c r="D7" i="114" s="1"/>
  <c r="E5" i="114"/>
  <c r="F5" i="114" s="1"/>
  <c r="G5" i="114" s="1"/>
  <c r="H5" i="114" s="1"/>
  <c r="I5" i="114" s="1"/>
  <c r="J5" i="114" s="1"/>
  <c r="K5" i="114" s="1"/>
  <c r="L5" i="114" s="1"/>
  <c r="M5" i="114" s="1"/>
  <c r="E7" i="111"/>
  <c r="F7" i="111"/>
  <c r="G7" i="111"/>
  <c r="H7" i="111"/>
  <c r="I7" i="111"/>
  <c r="J7" i="111"/>
  <c r="K7" i="111"/>
  <c r="L7" i="111"/>
  <c r="M7" i="111"/>
  <c r="D7" i="111"/>
  <c r="D19" i="139" l="1"/>
  <c r="F7" i="135"/>
  <c r="D13" i="134"/>
  <c r="E12" i="150"/>
  <c r="G6" i="150"/>
  <c r="D26" i="134"/>
  <c r="C3" i="131"/>
  <c r="D26" i="131" s="1"/>
  <c r="E12" i="147"/>
  <c r="E13" i="147" s="1"/>
  <c r="F6" i="147"/>
  <c r="G6" i="147" s="1"/>
  <c r="E7" i="154"/>
  <c r="F18" i="158"/>
  <c r="E19" i="158"/>
  <c r="E13" i="158"/>
  <c r="F12" i="158"/>
  <c r="H6" i="158"/>
  <c r="G7" i="158"/>
  <c r="E13" i="157"/>
  <c r="F12" i="157"/>
  <c r="F7" i="157"/>
  <c r="G6" i="157"/>
  <c r="F18" i="157"/>
  <c r="E19" i="157"/>
  <c r="C48" i="35"/>
  <c r="D26" i="133"/>
  <c r="D26" i="150"/>
  <c r="D13" i="156"/>
  <c r="F6" i="156"/>
  <c r="E7" i="156"/>
  <c r="F6" i="152"/>
  <c r="E7" i="152"/>
  <c r="E7" i="145"/>
  <c r="F6" i="145"/>
  <c r="E7" i="146"/>
  <c r="D13" i="155"/>
  <c r="E12" i="155"/>
  <c r="G6" i="153"/>
  <c r="F7" i="153"/>
  <c r="E18" i="151"/>
  <c r="D19" i="151"/>
  <c r="E7" i="155"/>
  <c r="F6" i="155"/>
  <c r="E12" i="153"/>
  <c r="D13" i="153"/>
  <c r="F13" i="156"/>
  <c r="G12" i="156"/>
  <c r="E13" i="152"/>
  <c r="F12" i="152"/>
  <c r="D13" i="154"/>
  <c r="E12" i="154"/>
  <c r="E17" i="152"/>
  <c r="F17" i="152" s="1"/>
  <c r="G17" i="152" s="1"/>
  <c r="H17" i="152" s="1"/>
  <c r="I17" i="152" s="1"/>
  <c r="J17" i="152" s="1"/>
  <c r="K17" i="152" s="1"/>
  <c r="L17" i="152" s="1"/>
  <c r="M17" i="152" s="1"/>
  <c r="D19" i="152"/>
  <c r="H18" i="154"/>
  <c r="G19" i="154"/>
  <c r="G6" i="154"/>
  <c r="F7" i="154"/>
  <c r="F18" i="156"/>
  <c r="E19" i="156"/>
  <c r="E19" i="155"/>
  <c r="F18" i="155"/>
  <c r="E19" i="153"/>
  <c r="F18" i="153"/>
  <c r="D13" i="151"/>
  <c r="E12" i="151"/>
  <c r="G6" i="151"/>
  <c r="F7" i="151"/>
  <c r="G18" i="152"/>
  <c r="F19" i="152"/>
  <c r="D19" i="148"/>
  <c r="E18" i="148"/>
  <c r="D13" i="149"/>
  <c r="E12" i="149"/>
  <c r="G6" i="149"/>
  <c r="F7" i="149"/>
  <c r="H6" i="150"/>
  <c r="G7" i="150"/>
  <c r="E13" i="148"/>
  <c r="F12" i="148"/>
  <c r="G6" i="148"/>
  <c r="F7" i="148"/>
  <c r="E13" i="150"/>
  <c r="F12" i="150"/>
  <c r="F18" i="150"/>
  <c r="E19" i="150"/>
  <c r="E19" i="149"/>
  <c r="F18" i="149"/>
  <c r="F18" i="147"/>
  <c r="E19" i="147"/>
  <c r="F12" i="147"/>
  <c r="F13" i="146"/>
  <c r="G12" i="146"/>
  <c r="H6" i="146"/>
  <c r="G7" i="146"/>
  <c r="F18" i="146"/>
  <c r="E19" i="146"/>
  <c r="F18" i="145"/>
  <c r="E19" i="145"/>
  <c r="F13" i="145"/>
  <c r="G12" i="145"/>
  <c r="D13" i="144"/>
  <c r="E12" i="144"/>
  <c r="F6" i="144"/>
  <c r="E7" i="144"/>
  <c r="E19" i="144"/>
  <c r="F18" i="144"/>
  <c r="G6" i="143"/>
  <c r="F7" i="143"/>
  <c r="F18" i="143"/>
  <c r="E19" i="143"/>
  <c r="E13" i="143"/>
  <c r="F12" i="143"/>
  <c r="F6" i="140"/>
  <c r="E7" i="140"/>
  <c r="F6" i="138"/>
  <c r="E7" i="138"/>
  <c r="G6" i="142"/>
  <c r="F7" i="142"/>
  <c r="F18" i="142"/>
  <c r="E19" i="142"/>
  <c r="E13" i="142"/>
  <c r="F12" i="142"/>
  <c r="E13" i="141"/>
  <c r="F12" i="141"/>
  <c r="F18" i="141"/>
  <c r="E19" i="141"/>
  <c r="H6" i="141"/>
  <c r="G7" i="141"/>
  <c r="F18" i="140"/>
  <c r="E19" i="140"/>
  <c r="D19" i="140"/>
  <c r="E13" i="140"/>
  <c r="F12" i="140"/>
  <c r="F18" i="139"/>
  <c r="E19" i="139"/>
  <c r="G7" i="139"/>
  <c r="H6" i="139"/>
  <c r="E13" i="139"/>
  <c r="F12" i="139"/>
  <c r="D19" i="138"/>
  <c r="E13" i="138"/>
  <c r="F12" i="138"/>
  <c r="F18" i="138"/>
  <c r="E19" i="138"/>
  <c r="E12" i="137"/>
  <c r="G6" i="137"/>
  <c r="F7" i="137"/>
  <c r="F18" i="137"/>
  <c r="E19" i="137"/>
  <c r="E13" i="137"/>
  <c r="F12" i="137"/>
  <c r="D26" i="120"/>
  <c r="C3" i="114"/>
  <c r="D26" i="114" s="1"/>
  <c r="D26" i="135"/>
  <c r="F6" i="136"/>
  <c r="E7" i="136"/>
  <c r="F18" i="136"/>
  <c r="E19" i="136"/>
  <c r="E13" i="136"/>
  <c r="F12" i="136"/>
  <c r="F18" i="135"/>
  <c r="E19" i="135"/>
  <c r="E13" i="135"/>
  <c r="F12" i="135"/>
  <c r="H6" i="135"/>
  <c r="G7" i="135"/>
  <c r="C18" i="134"/>
  <c r="D18" i="134" s="1"/>
  <c r="E18" i="134" s="1"/>
  <c r="E6" i="134"/>
  <c r="E7" i="134" s="1"/>
  <c r="D12" i="133"/>
  <c r="D13" i="133" s="1"/>
  <c r="E6" i="133"/>
  <c r="E7" i="133" s="1"/>
  <c r="E11" i="134"/>
  <c r="F11" i="134" s="1"/>
  <c r="G11" i="134" s="1"/>
  <c r="H11" i="134" s="1"/>
  <c r="I11" i="134" s="1"/>
  <c r="J11" i="134" s="1"/>
  <c r="K11" i="134" s="1"/>
  <c r="L11" i="134" s="1"/>
  <c r="M11" i="134" s="1"/>
  <c r="E12" i="134"/>
  <c r="E18" i="133"/>
  <c r="D19" i="133"/>
  <c r="E11" i="133"/>
  <c r="F11" i="133" s="1"/>
  <c r="G11" i="133" s="1"/>
  <c r="H11" i="133" s="1"/>
  <c r="I11" i="133" s="1"/>
  <c r="J11" i="133" s="1"/>
  <c r="K11" i="133" s="1"/>
  <c r="L11" i="133" s="1"/>
  <c r="M11" i="133" s="1"/>
  <c r="E6" i="132"/>
  <c r="E7" i="132" s="1"/>
  <c r="D12" i="132"/>
  <c r="D13" i="132" s="1"/>
  <c r="E18" i="132"/>
  <c r="D19" i="132"/>
  <c r="F6" i="132"/>
  <c r="E11" i="132"/>
  <c r="F11" i="132" s="1"/>
  <c r="G11" i="132" s="1"/>
  <c r="H11" i="132" s="1"/>
  <c r="I11" i="132" s="1"/>
  <c r="J11" i="132" s="1"/>
  <c r="K11" i="132" s="1"/>
  <c r="L11" i="132" s="1"/>
  <c r="M11" i="132" s="1"/>
  <c r="E6" i="131"/>
  <c r="F6" i="131"/>
  <c r="E7" i="131"/>
  <c r="D19" i="131"/>
  <c r="E18" i="131"/>
  <c r="E11" i="131"/>
  <c r="F11" i="131" s="1"/>
  <c r="G11" i="131" s="1"/>
  <c r="H11" i="131" s="1"/>
  <c r="I11" i="131" s="1"/>
  <c r="J11" i="131" s="1"/>
  <c r="K11" i="131" s="1"/>
  <c r="L11" i="131" s="1"/>
  <c r="M11" i="131" s="1"/>
  <c r="E12" i="131"/>
  <c r="E41" i="35"/>
  <c r="E39" i="35"/>
  <c r="E42" i="35"/>
  <c r="E40" i="35"/>
  <c r="E43" i="35"/>
  <c r="E51" i="35"/>
  <c r="C3" i="130"/>
  <c r="D26" i="130" s="1"/>
  <c r="C3" i="128"/>
  <c r="D26" i="128" s="1"/>
  <c r="D26" i="118"/>
  <c r="D12" i="130"/>
  <c r="D13" i="130" s="1"/>
  <c r="E6" i="130"/>
  <c r="F6" i="130" s="1"/>
  <c r="G6" i="130" s="1"/>
  <c r="D19" i="130"/>
  <c r="E7" i="130"/>
  <c r="E11" i="130"/>
  <c r="F11" i="130" s="1"/>
  <c r="G11" i="130" s="1"/>
  <c r="H11" i="130" s="1"/>
  <c r="I11" i="130" s="1"/>
  <c r="J11" i="130" s="1"/>
  <c r="K11" i="130" s="1"/>
  <c r="L11" i="130" s="1"/>
  <c r="M11" i="130" s="1"/>
  <c r="E18" i="130"/>
  <c r="C18" i="129"/>
  <c r="D18" i="129" s="1"/>
  <c r="E6" i="129"/>
  <c r="F6" i="129" s="1"/>
  <c r="G6" i="129" s="1"/>
  <c r="F7" i="129"/>
  <c r="D19" i="129"/>
  <c r="E7" i="129"/>
  <c r="E11" i="129"/>
  <c r="F11" i="129" s="1"/>
  <c r="G11" i="129" s="1"/>
  <c r="H11" i="129" s="1"/>
  <c r="I11" i="129" s="1"/>
  <c r="J11" i="129" s="1"/>
  <c r="K11" i="129" s="1"/>
  <c r="L11" i="129" s="1"/>
  <c r="M11" i="129" s="1"/>
  <c r="E12" i="129"/>
  <c r="E18" i="129"/>
  <c r="D13" i="128"/>
  <c r="C18" i="128"/>
  <c r="D18" i="128" s="1"/>
  <c r="D19" i="128" s="1"/>
  <c r="E6" i="128"/>
  <c r="F6" i="128" s="1"/>
  <c r="G6" i="128"/>
  <c r="F7" i="128"/>
  <c r="E18" i="128"/>
  <c r="E11" i="128"/>
  <c r="F11" i="128" s="1"/>
  <c r="G11" i="128" s="1"/>
  <c r="H11" i="128" s="1"/>
  <c r="I11" i="128" s="1"/>
  <c r="J11" i="128" s="1"/>
  <c r="K11" i="128" s="1"/>
  <c r="L11" i="128" s="1"/>
  <c r="M11" i="128" s="1"/>
  <c r="E12" i="128"/>
  <c r="D12" i="120"/>
  <c r="D13" i="120" s="1"/>
  <c r="E6" i="120"/>
  <c r="F6" i="120" s="1"/>
  <c r="G6" i="120" s="1"/>
  <c r="C18" i="127"/>
  <c r="D18" i="127" s="1"/>
  <c r="E6" i="127"/>
  <c r="C18" i="126"/>
  <c r="D18" i="126" s="1"/>
  <c r="E6" i="126"/>
  <c r="E7" i="126" s="1"/>
  <c r="E6" i="124"/>
  <c r="E7" i="124" s="1"/>
  <c r="C18" i="118"/>
  <c r="D18" i="118" s="1"/>
  <c r="E6" i="118"/>
  <c r="C18" i="117"/>
  <c r="D18" i="117" s="1"/>
  <c r="E18" i="117" s="1"/>
  <c r="F18" i="117" s="1"/>
  <c r="E6" i="117"/>
  <c r="F6" i="117" s="1"/>
  <c r="K13" i="116"/>
  <c r="J13" i="116"/>
  <c r="I13" i="116"/>
  <c r="D13" i="116"/>
  <c r="H13" i="116"/>
  <c r="M13" i="116"/>
  <c r="G13" i="116"/>
  <c r="D13" i="114"/>
  <c r="E18" i="127"/>
  <c r="D19" i="127"/>
  <c r="E11" i="127"/>
  <c r="F11" i="127" s="1"/>
  <c r="G11" i="127" s="1"/>
  <c r="H11" i="127" s="1"/>
  <c r="I11" i="127" s="1"/>
  <c r="J11" i="127" s="1"/>
  <c r="K11" i="127" s="1"/>
  <c r="L11" i="127" s="1"/>
  <c r="M11" i="127" s="1"/>
  <c r="E12" i="127"/>
  <c r="E13" i="127" s="1"/>
  <c r="E18" i="126"/>
  <c r="D19" i="126"/>
  <c r="F6" i="126"/>
  <c r="E11" i="126"/>
  <c r="F11" i="126" s="1"/>
  <c r="G11" i="126" s="1"/>
  <c r="H11" i="126" s="1"/>
  <c r="I11" i="126" s="1"/>
  <c r="J11" i="126" s="1"/>
  <c r="K11" i="126" s="1"/>
  <c r="L11" i="126" s="1"/>
  <c r="M11" i="126" s="1"/>
  <c r="E12" i="126"/>
  <c r="E13" i="126" s="1"/>
  <c r="E6" i="125"/>
  <c r="F6" i="125" s="1"/>
  <c r="F7" i="125" s="1"/>
  <c r="C18" i="124"/>
  <c r="D18" i="124" s="1"/>
  <c r="D19" i="124" s="1"/>
  <c r="D12" i="121"/>
  <c r="D13" i="121" s="1"/>
  <c r="E6" i="121"/>
  <c r="F6" i="121" s="1"/>
  <c r="G6" i="121" s="1"/>
  <c r="G6" i="125"/>
  <c r="D19" i="125"/>
  <c r="E18" i="125"/>
  <c r="E11" i="125"/>
  <c r="F11" i="125" s="1"/>
  <c r="G11" i="125" s="1"/>
  <c r="H11" i="125" s="1"/>
  <c r="I11" i="125" s="1"/>
  <c r="J11" i="125" s="1"/>
  <c r="K11" i="125" s="1"/>
  <c r="L11" i="125" s="1"/>
  <c r="M11" i="125" s="1"/>
  <c r="E12" i="125"/>
  <c r="E7" i="125"/>
  <c r="E18" i="124"/>
  <c r="F6" i="124"/>
  <c r="E11" i="124"/>
  <c r="F11" i="124" s="1"/>
  <c r="G11" i="124" s="1"/>
  <c r="H11" i="124" s="1"/>
  <c r="I11" i="124" s="1"/>
  <c r="J11" i="124" s="1"/>
  <c r="K11" i="124" s="1"/>
  <c r="L11" i="124" s="1"/>
  <c r="M11" i="124" s="1"/>
  <c r="E12" i="124"/>
  <c r="D12" i="122"/>
  <c r="E6" i="122"/>
  <c r="F6" i="122" s="1"/>
  <c r="G6" i="122" s="1"/>
  <c r="E6" i="123"/>
  <c r="E7" i="123" s="1"/>
  <c r="D12" i="123"/>
  <c r="D13" i="123" s="1"/>
  <c r="E18" i="123"/>
  <c r="D19" i="123"/>
  <c r="E11" i="123"/>
  <c r="F11" i="123" s="1"/>
  <c r="G11" i="123" s="1"/>
  <c r="H11" i="123" s="1"/>
  <c r="I11" i="123" s="1"/>
  <c r="J11" i="123" s="1"/>
  <c r="K11" i="123" s="1"/>
  <c r="L11" i="123" s="1"/>
  <c r="M11" i="123" s="1"/>
  <c r="E12" i="123"/>
  <c r="E13" i="123" s="1"/>
  <c r="F7" i="122"/>
  <c r="E18" i="122"/>
  <c r="D19" i="122"/>
  <c r="E7" i="122"/>
  <c r="E11" i="122"/>
  <c r="F11" i="122" s="1"/>
  <c r="G11" i="122" s="1"/>
  <c r="H11" i="122" s="1"/>
  <c r="I11" i="122" s="1"/>
  <c r="J11" i="122" s="1"/>
  <c r="K11" i="122" s="1"/>
  <c r="L11" i="122" s="1"/>
  <c r="M11" i="122" s="1"/>
  <c r="E18" i="121"/>
  <c r="D19" i="121"/>
  <c r="E11" i="121"/>
  <c r="F11" i="121" s="1"/>
  <c r="G11" i="121" s="1"/>
  <c r="H11" i="121" s="1"/>
  <c r="I11" i="121" s="1"/>
  <c r="J11" i="121" s="1"/>
  <c r="K11" i="121" s="1"/>
  <c r="L11" i="121" s="1"/>
  <c r="M11" i="121" s="1"/>
  <c r="E12" i="121"/>
  <c r="E18" i="120"/>
  <c r="D19" i="120"/>
  <c r="E11" i="120"/>
  <c r="F11" i="120" s="1"/>
  <c r="G11" i="120" s="1"/>
  <c r="H11" i="120" s="1"/>
  <c r="I11" i="120" s="1"/>
  <c r="J11" i="120" s="1"/>
  <c r="K11" i="120" s="1"/>
  <c r="L11" i="120" s="1"/>
  <c r="M11" i="120" s="1"/>
  <c r="E12" i="120"/>
  <c r="D12" i="119"/>
  <c r="E6" i="119"/>
  <c r="F6" i="119" s="1"/>
  <c r="F7" i="119" s="1"/>
  <c r="G6" i="119"/>
  <c r="E18" i="119"/>
  <c r="D19" i="119"/>
  <c r="E11" i="119"/>
  <c r="F11" i="119" s="1"/>
  <c r="G11" i="119" s="1"/>
  <c r="H11" i="119" s="1"/>
  <c r="I11" i="119" s="1"/>
  <c r="J11" i="119" s="1"/>
  <c r="K11" i="119" s="1"/>
  <c r="L11" i="119" s="1"/>
  <c r="M11" i="119" s="1"/>
  <c r="E12" i="118"/>
  <c r="E13" i="118" s="1"/>
  <c r="D19" i="118"/>
  <c r="E18" i="118"/>
  <c r="D17" i="118"/>
  <c r="E17" i="118" s="1"/>
  <c r="F17" i="118" s="1"/>
  <c r="G17" i="118" s="1"/>
  <c r="H17" i="118" s="1"/>
  <c r="I17" i="118" s="1"/>
  <c r="J17" i="118" s="1"/>
  <c r="K17" i="118" s="1"/>
  <c r="L17" i="118" s="1"/>
  <c r="M17" i="118" s="1"/>
  <c r="E11" i="118"/>
  <c r="F11" i="118" s="1"/>
  <c r="G11" i="118" s="1"/>
  <c r="H11" i="118" s="1"/>
  <c r="I11" i="118" s="1"/>
  <c r="J11" i="118" s="1"/>
  <c r="K11" i="118" s="1"/>
  <c r="L11" i="118" s="1"/>
  <c r="M11" i="118" s="1"/>
  <c r="G6" i="117"/>
  <c r="F7" i="117"/>
  <c r="E7" i="117"/>
  <c r="E11" i="117"/>
  <c r="F11" i="117" s="1"/>
  <c r="G11" i="117" s="1"/>
  <c r="H11" i="117" s="1"/>
  <c r="I11" i="117" s="1"/>
  <c r="J11" i="117" s="1"/>
  <c r="K11" i="117" s="1"/>
  <c r="L11" i="117" s="1"/>
  <c r="M11" i="117" s="1"/>
  <c r="E12" i="117"/>
  <c r="E13" i="117" s="1"/>
  <c r="E18" i="116"/>
  <c r="D19" i="116"/>
  <c r="G6" i="116"/>
  <c r="F7" i="116"/>
  <c r="E11" i="116"/>
  <c r="F11" i="116" s="1"/>
  <c r="G11" i="116" s="1"/>
  <c r="H11" i="116" s="1"/>
  <c r="I11" i="116" s="1"/>
  <c r="J11" i="116" s="1"/>
  <c r="K11" i="116" s="1"/>
  <c r="L11" i="116" s="1"/>
  <c r="M11" i="116" s="1"/>
  <c r="E12" i="116"/>
  <c r="E7" i="116"/>
  <c r="E6" i="114"/>
  <c r="E7" i="114" s="1"/>
  <c r="E18" i="114"/>
  <c r="E19" i="114" s="1"/>
  <c r="E11" i="114"/>
  <c r="F11" i="114" s="1"/>
  <c r="G11" i="114" s="1"/>
  <c r="H11" i="114" s="1"/>
  <c r="I11" i="114" s="1"/>
  <c r="J11" i="114" s="1"/>
  <c r="K11" i="114" s="1"/>
  <c r="L11" i="114" s="1"/>
  <c r="M11" i="114" s="1"/>
  <c r="D26" i="111"/>
  <c r="O13" i="111"/>
  <c r="O19" i="111" s="1"/>
  <c r="B13" i="111"/>
  <c r="D12" i="111"/>
  <c r="E12" i="111" s="1"/>
  <c r="C12" i="111"/>
  <c r="C18" i="111" s="1"/>
  <c r="D18" i="111" s="1"/>
  <c r="N11" i="111"/>
  <c r="N17" i="111" s="1"/>
  <c r="D11" i="111"/>
  <c r="D17" i="111" s="1"/>
  <c r="E17" i="111" s="1"/>
  <c r="F17" i="111" s="1"/>
  <c r="G17" i="111" s="1"/>
  <c r="H17" i="111" s="1"/>
  <c r="I17" i="111" s="1"/>
  <c r="J17" i="111" s="1"/>
  <c r="K17" i="111" s="1"/>
  <c r="L17" i="111" s="1"/>
  <c r="M17" i="111" s="1"/>
  <c r="C11" i="111"/>
  <c r="C17" i="111" s="1"/>
  <c r="C7" i="111"/>
  <c r="C13" i="111" s="1"/>
  <c r="C19" i="111" s="1"/>
  <c r="F6" i="111"/>
  <c r="G6" i="111" s="1"/>
  <c r="E6" i="111"/>
  <c r="D6" i="111"/>
  <c r="E5" i="111"/>
  <c r="D19" i="134" l="1"/>
  <c r="F7" i="147"/>
  <c r="E12" i="133"/>
  <c r="F6" i="133"/>
  <c r="F13" i="158"/>
  <c r="G12" i="158"/>
  <c r="F19" i="158"/>
  <c r="G18" i="158"/>
  <c r="I6" i="158"/>
  <c r="H7" i="158"/>
  <c r="F19" i="157"/>
  <c r="G18" i="157"/>
  <c r="H6" i="157"/>
  <c r="G7" i="157"/>
  <c r="F13" i="157"/>
  <c r="G12" i="157"/>
  <c r="G6" i="156"/>
  <c r="F7" i="156"/>
  <c r="G6" i="152"/>
  <c r="F7" i="152"/>
  <c r="G6" i="145"/>
  <c r="F7" i="145"/>
  <c r="F19" i="156"/>
  <c r="G18" i="156"/>
  <c r="G12" i="152"/>
  <c r="F13" i="152"/>
  <c r="G6" i="155"/>
  <c r="F7" i="155"/>
  <c r="G7" i="153"/>
  <c r="H6" i="153"/>
  <c r="E13" i="155"/>
  <c r="F12" i="155"/>
  <c r="G18" i="153"/>
  <c r="F19" i="153"/>
  <c r="H18" i="152"/>
  <c r="G19" i="152"/>
  <c r="E19" i="151"/>
  <c r="F18" i="151"/>
  <c r="G13" i="156"/>
  <c r="H12" i="156"/>
  <c r="H6" i="151"/>
  <c r="G7" i="151"/>
  <c r="G18" i="155"/>
  <c r="F19" i="155"/>
  <c r="E19" i="152"/>
  <c r="H6" i="154"/>
  <c r="G7" i="154"/>
  <c r="E13" i="154"/>
  <c r="F12" i="154"/>
  <c r="E13" i="151"/>
  <c r="F12" i="151"/>
  <c r="I18" i="154"/>
  <c r="H19" i="154"/>
  <c r="E13" i="153"/>
  <c r="F12" i="153"/>
  <c r="F13" i="148"/>
  <c r="G12" i="148"/>
  <c r="H6" i="148"/>
  <c r="G7" i="148"/>
  <c r="E13" i="149"/>
  <c r="F12" i="149"/>
  <c r="F19" i="150"/>
  <c r="G18" i="150"/>
  <c r="I6" i="150"/>
  <c r="H7" i="150"/>
  <c r="E19" i="148"/>
  <c r="F18" i="148"/>
  <c r="F13" i="150"/>
  <c r="G12" i="150"/>
  <c r="G18" i="149"/>
  <c r="F19" i="149"/>
  <c r="H6" i="149"/>
  <c r="G7" i="149"/>
  <c r="F19" i="147"/>
  <c r="G18" i="147"/>
  <c r="F13" i="147"/>
  <c r="G12" i="147"/>
  <c r="H6" i="147"/>
  <c r="G7" i="147"/>
  <c r="I6" i="146"/>
  <c r="H7" i="146"/>
  <c r="G13" i="146"/>
  <c r="H12" i="146"/>
  <c r="F19" i="146"/>
  <c r="G18" i="146"/>
  <c r="G13" i="145"/>
  <c r="H12" i="145"/>
  <c r="F19" i="145"/>
  <c r="G18" i="145"/>
  <c r="G18" i="144"/>
  <c r="F19" i="144"/>
  <c r="E13" i="144"/>
  <c r="F12" i="144"/>
  <c r="G6" i="144"/>
  <c r="F7" i="144"/>
  <c r="F19" i="143"/>
  <c r="G18" i="143"/>
  <c r="F13" i="143"/>
  <c r="G12" i="143"/>
  <c r="H6" i="143"/>
  <c r="G7" i="143"/>
  <c r="G6" i="140"/>
  <c r="F7" i="140"/>
  <c r="F7" i="138"/>
  <c r="G6" i="138"/>
  <c r="F19" i="142"/>
  <c r="G18" i="142"/>
  <c r="F13" i="142"/>
  <c r="G12" i="142"/>
  <c r="H6" i="142"/>
  <c r="G7" i="142"/>
  <c r="F19" i="141"/>
  <c r="G18" i="141"/>
  <c r="F13" i="141"/>
  <c r="G12" i="141"/>
  <c r="I6" i="141"/>
  <c r="H7" i="141"/>
  <c r="F19" i="140"/>
  <c r="G18" i="140"/>
  <c r="F13" i="140"/>
  <c r="G12" i="140"/>
  <c r="I6" i="139"/>
  <c r="H7" i="139"/>
  <c r="F19" i="139"/>
  <c r="G18" i="139"/>
  <c r="F13" i="139"/>
  <c r="G12" i="139"/>
  <c r="F13" i="138"/>
  <c r="G12" i="138"/>
  <c r="F19" i="138"/>
  <c r="G18" i="138"/>
  <c r="F19" i="137"/>
  <c r="G18" i="137"/>
  <c r="H6" i="137"/>
  <c r="G7" i="137"/>
  <c r="F13" i="137"/>
  <c r="G12" i="137"/>
  <c r="G6" i="136"/>
  <c r="F7" i="136"/>
  <c r="F7" i="120"/>
  <c r="F13" i="136"/>
  <c r="G12" i="136"/>
  <c r="F19" i="136"/>
  <c r="G18" i="136"/>
  <c r="I6" i="135"/>
  <c r="H7" i="135"/>
  <c r="G12" i="135"/>
  <c r="F13" i="135"/>
  <c r="F19" i="135"/>
  <c r="G18" i="135"/>
  <c r="F6" i="134"/>
  <c r="G6" i="134" s="1"/>
  <c r="F18" i="134"/>
  <c r="E19" i="134"/>
  <c r="E13" i="134"/>
  <c r="F12" i="134"/>
  <c r="E13" i="133"/>
  <c r="F12" i="133"/>
  <c r="G6" i="133"/>
  <c r="F7" i="133"/>
  <c r="F18" i="133"/>
  <c r="E19" i="133"/>
  <c r="E12" i="132"/>
  <c r="E13" i="132" s="1"/>
  <c r="G6" i="132"/>
  <c r="F7" i="132"/>
  <c r="F18" i="132"/>
  <c r="E19" i="132"/>
  <c r="F18" i="131"/>
  <c r="E19" i="131"/>
  <c r="G6" i="131"/>
  <c r="F7" i="131"/>
  <c r="E13" i="131"/>
  <c r="F12" i="131"/>
  <c r="F7" i="130"/>
  <c r="E12" i="130"/>
  <c r="F12" i="130" s="1"/>
  <c r="H6" i="130"/>
  <c r="G7" i="130"/>
  <c r="F18" i="130"/>
  <c r="E19" i="130"/>
  <c r="E12" i="122"/>
  <c r="F12" i="122" s="1"/>
  <c r="D13" i="122"/>
  <c r="F18" i="129"/>
  <c r="E19" i="129"/>
  <c r="E13" i="129"/>
  <c r="F12" i="129"/>
  <c r="H6" i="129"/>
  <c r="G7" i="129"/>
  <c r="E7" i="128"/>
  <c r="F18" i="128"/>
  <c r="E19" i="128"/>
  <c r="E13" i="128"/>
  <c r="F12" i="128"/>
  <c r="H6" i="128"/>
  <c r="G7" i="128"/>
  <c r="E7" i="120"/>
  <c r="F6" i="127"/>
  <c r="E7" i="127"/>
  <c r="F7" i="121"/>
  <c r="F6" i="123"/>
  <c r="F6" i="118"/>
  <c r="E7" i="118"/>
  <c r="E19" i="117"/>
  <c r="D19" i="117"/>
  <c r="F6" i="114"/>
  <c r="F7" i="114" s="1"/>
  <c r="F18" i="127"/>
  <c r="E19" i="127"/>
  <c r="F12" i="127"/>
  <c r="F13" i="127" s="1"/>
  <c r="G6" i="126"/>
  <c r="F7" i="126"/>
  <c r="F12" i="126"/>
  <c r="F13" i="126" s="1"/>
  <c r="F18" i="126"/>
  <c r="E19" i="126"/>
  <c r="E7" i="121"/>
  <c r="F18" i="125"/>
  <c r="E19" i="125"/>
  <c r="E13" i="125"/>
  <c r="F12" i="125"/>
  <c r="H6" i="125"/>
  <c r="G7" i="125"/>
  <c r="G6" i="124"/>
  <c r="F7" i="124"/>
  <c r="F18" i="124"/>
  <c r="E19" i="124"/>
  <c r="E13" i="124"/>
  <c r="F12" i="124"/>
  <c r="E12" i="119"/>
  <c r="F18" i="123"/>
  <c r="E19" i="123"/>
  <c r="F12" i="123"/>
  <c r="F13" i="123" s="1"/>
  <c r="G6" i="123"/>
  <c r="F7" i="123"/>
  <c r="G12" i="122"/>
  <c r="F13" i="122"/>
  <c r="E13" i="122"/>
  <c r="H6" i="122"/>
  <c r="G7" i="122"/>
  <c r="F18" i="122"/>
  <c r="E19" i="122"/>
  <c r="F18" i="121"/>
  <c r="E19" i="121"/>
  <c r="E13" i="121"/>
  <c r="F12" i="121"/>
  <c r="H6" i="121"/>
  <c r="G7" i="121"/>
  <c r="F18" i="120"/>
  <c r="E19" i="120"/>
  <c r="E13" i="120"/>
  <c r="F12" i="120"/>
  <c r="G7" i="120"/>
  <c r="H6" i="120"/>
  <c r="E7" i="119"/>
  <c r="F18" i="119"/>
  <c r="E19" i="119"/>
  <c r="E13" i="119"/>
  <c r="F12" i="119"/>
  <c r="H6" i="119"/>
  <c r="G7" i="119"/>
  <c r="F18" i="118"/>
  <c r="E19" i="118"/>
  <c r="F12" i="118"/>
  <c r="F13" i="118" s="1"/>
  <c r="F19" i="117"/>
  <c r="G18" i="117"/>
  <c r="F12" i="117"/>
  <c r="F13" i="117" s="1"/>
  <c r="G7" i="117"/>
  <c r="H6" i="117"/>
  <c r="H6" i="116"/>
  <c r="G7" i="116"/>
  <c r="F18" i="116"/>
  <c r="E19" i="116"/>
  <c r="F12" i="116"/>
  <c r="E12" i="114"/>
  <c r="E13" i="114" s="1"/>
  <c r="F18" i="114"/>
  <c r="F19" i="114" s="1"/>
  <c r="G6" i="114"/>
  <c r="E11" i="111"/>
  <c r="F11" i="111" s="1"/>
  <c r="G11" i="111" s="1"/>
  <c r="H11" i="111" s="1"/>
  <c r="I11" i="111" s="1"/>
  <c r="J11" i="111" s="1"/>
  <c r="K11" i="111" s="1"/>
  <c r="L11" i="111" s="1"/>
  <c r="M11" i="111" s="1"/>
  <c r="F5" i="111"/>
  <c r="G5" i="111" s="1"/>
  <c r="H5" i="111" s="1"/>
  <c r="I5" i="111" s="1"/>
  <c r="J5" i="111" s="1"/>
  <c r="K5" i="111" s="1"/>
  <c r="L5" i="111" s="1"/>
  <c r="M5" i="111" s="1"/>
  <c r="H6" i="111"/>
  <c r="E18" i="111"/>
  <c r="F12" i="111"/>
  <c r="F7" i="134" l="1"/>
  <c r="E13" i="130"/>
  <c r="F12" i="132"/>
  <c r="G19" i="158"/>
  <c r="H18" i="158"/>
  <c r="G13" i="158"/>
  <c r="H12" i="158"/>
  <c r="J6" i="158"/>
  <c r="I7" i="158"/>
  <c r="G13" i="157"/>
  <c r="H12" i="157"/>
  <c r="I6" i="157"/>
  <c r="H7" i="157"/>
  <c r="H18" i="157"/>
  <c r="G19" i="157"/>
  <c r="H6" i="156"/>
  <c r="G7" i="156"/>
  <c r="H6" i="152"/>
  <c r="G7" i="152"/>
  <c r="H6" i="145"/>
  <c r="G7" i="145"/>
  <c r="G18" i="151"/>
  <c r="F19" i="151"/>
  <c r="H13" i="156"/>
  <c r="I12" i="156"/>
  <c r="J18" i="154"/>
  <c r="I19" i="154"/>
  <c r="F13" i="154"/>
  <c r="G12" i="154"/>
  <c r="H6" i="155"/>
  <c r="G7" i="155"/>
  <c r="H18" i="155"/>
  <c r="G19" i="155"/>
  <c r="F13" i="155"/>
  <c r="G12" i="155"/>
  <c r="H19" i="152"/>
  <c r="I18" i="152"/>
  <c r="F13" i="153"/>
  <c r="G12" i="153"/>
  <c r="H12" i="152"/>
  <c r="G13" i="152"/>
  <c r="F13" i="151"/>
  <c r="G12" i="151"/>
  <c r="H7" i="154"/>
  <c r="I6" i="154"/>
  <c r="I6" i="151"/>
  <c r="H7" i="151"/>
  <c r="H18" i="153"/>
  <c r="G19" i="153"/>
  <c r="H7" i="153"/>
  <c r="I6" i="153"/>
  <c r="H18" i="156"/>
  <c r="G19" i="156"/>
  <c r="I6" i="149"/>
  <c r="H7" i="149"/>
  <c r="G18" i="148"/>
  <c r="F19" i="148"/>
  <c r="F13" i="149"/>
  <c r="G12" i="149"/>
  <c r="H18" i="149"/>
  <c r="G19" i="149"/>
  <c r="J6" i="150"/>
  <c r="I7" i="150"/>
  <c r="G13" i="150"/>
  <c r="H12" i="150"/>
  <c r="H18" i="150"/>
  <c r="G19" i="150"/>
  <c r="H7" i="148"/>
  <c r="I6" i="148"/>
  <c r="G13" i="148"/>
  <c r="H12" i="148"/>
  <c r="H18" i="147"/>
  <c r="G19" i="147"/>
  <c r="I6" i="147"/>
  <c r="H7" i="147"/>
  <c r="G13" i="147"/>
  <c r="H12" i="147"/>
  <c r="H13" i="146"/>
  <c r="I12" i="146"/>
  <c r="J6" i="146"/>
  <c r="I7" i="146"/>
  <c r="H18" i="146"/>
  <c r="G19" i="146"/>
  <c r="H13" i="145"/>
  <c r="I12" i="145"/>
  <c r="H18" i="145"/>
  <c r="G19" i="145"/>
  <c r="F13" i="144"/>
  <c r="G12" i="144"/>
  <c r="H18" i="144"/>
  <c r="G19" i="144"/>
  <c r="H6" i="144"/>
  <c r="G7" i="144"/>
  <c r="G19" i="143"/>
  <c r="H18" i="143"/>
  <c r="I6" i="143"/>
  <c r="H7" i="143"/>
  <c r="G13" i="143"/>
  <c r="H12" i="143"/>
  <c r="H6" i="140"/>
  <c r="G7" i="140"/>
  <c r="H6" i="138"/>
  <c r="G7" i="138"/>
  <c r="G19" i="142"/>
  <c r="H18" i="142"/>
  <c r="I6" i="142"/>
  <c r="H7" i="142"/>
  <c r="G13" i="142"/>
  <c r="H12" i="142"/>
  <c r="J6" i="141"/>
  <c r="I7" i="141"/>
  <c r="H18" i="141"/>
  <c r="G19" i="141"/>
  <c r="G13" i="141"/>
  <c r="H12" i="141"/>
  <c r="G13" i="140"/>
  <c r="H12" i="140"/>
  <c r="H18" i="140"/>
  <c r="G19" i="140"/>
  <c r="G19" i="139"/>
  <c r="H18" i="139"/>
  <c r="J6" i="139"/>
  <c r="I7" i="139"/>
  <c r="G13" i="139"/>
  <c r="H12" i="139"/>
  <c r="G13" i="138"/>
  <c r="H12" i="138"/>
  <c r="H18" i="138"/>
  <c r="G19" i="138"/>
  <c r="I6" i="137"/>
  <c r="H7" i="137"/>
  <c r="H18" i="137"/>
  <c r="G19" i="137"/>
  <c r="G13" i="137"/>
  <c r="H12" i="137"/>
  <c r="H6" i="136"/>
  <c r="G7" i="136"/>
  <c r="H18" i="136"/>
  <c r="G19" i="136"/>
  <c r="G13" i="136"/>
  <c r="H12" i="136"/>
  <c r="H18" i="135"/>
  <c r="G19" i="135"/>
  <c r="J6" i="135"/>
  <c r="I7" i="135"/>
  <c r="G13" i="135"/>
  <c r="H12" i="135"/>
  <c r="F19" i="134"/>
  <c r="G18" i="134"/>
  <c r="F13" i="134"/>
  <c r="G12" i="134"/>
  <c r="H6" i="134"/>
  <c r="G7" i="134"/>
  <c r="F19" i="133"/>
  <c r="G18" i="133"/>
  <c r="H6" i="133"/>
  <c r="G7" i="133"/>
  <c r="F13" i="133"/>
  <c r="G12" i="133"/>
  <c r="F19" i="132"/>
  <c r="G18" i="132"/>
  <c r="F13" i="132"/>
  <c r="G12" i="132"/>
  <c r="H6" i="132"/>
  <c r="G7" i="132"/>
  <c r="H6" i="131"/>
  <c r="G7" i="131"/>
  <c r="F13" i="131"/>
  <c r="G12" i="131"/>
  <c r="F19" i="131"/>
  <c r="G18" i="131"/>
  <c r="F19" i="130"/>
  <c r="G18" i="130"/>
  <c r="I6" i="130"/>
  <c r="H7" i="130"/>
  <c r="F13" i="130"/>
  <c r="G12" i="130"/>
  <c r="F19" i="129"/>
  <c r="G18" i="129"/>
  <c r="F13" i="129"/>
  <c r="G12" i="129"/>
  <c r="I6" i="129"/>
  <c r="H7" i="129"/>
  <c r="G12" i="128"/>
  <c r="F13" i="128"/>
  <c r="F19" i="128"/>
  <c r="G18" i="128"/>
  <c r="I6" i="128"/>
  <c r="H7" i="128"/>
  <c r="F7" i="127"/>
  <c r="G6" i="127"/>
  <c r="G6" i="118"/>
  <c r="F7" i="118"/>
  <c r="F19" i="127"/>
  <c r="G18" i="127"/>
  <c r="G12" i="127"/>
  <c r="G13" i="127" s="1"/>
  <c r="F19" i="126"/>
  <c r="G18" i="126"/>
  <c r="G12" i="126"/>
  <c r="G13" i="126" s="1"/>
  <c r="H6" i="126"/>
  <c r="G7" i="126"/>
  <c r="F13" i="125"/>
  <c r="G12" i="125"/>
  <c r="F19" i="125"/>
  <c r="G18" i="125"/>
  <c r="I6" i="125"/>
  <c r="H7" i="125"/>
  <c r="F19" i="124"/>
  <c r="G18" i="124"/>
  <c r="F13" i="124"/>
  <c r="G12" i="124"/>
  <c r="H6" i="124"/>
  <c r="G7" i="124"/>
  <c r="G12" i="123"/>
  <c r="G13" i="123" s="1"/>
  <c r="F19" i="123"/>
  <c r="G18" i="123"/>
  <c r="H6" i="123"/>
  <c r="G7" i="123"/>
  <c r="H7" i="122"/>
  <c r="I6" i="122"/>
  <c r="G13" i="122"/>
  <c r="H12" i="122"/>
  <c r="F19" i="122"/>
  <c r="G18" i="122"/>
  <c r="F13" i="121"/>
  <c r="G12" i="121"/>
  <c r="F19" i="121"/>
  <c r="G18" i="121"/>
  <c r="I6" i="121"/>
  <c r="H7" i="121"/>
  <c r="F13" i="120"/>
  <c r="G12" i="120"/>
  <c r="F19" i="120"/>
  <c r="G18" i="120"/>
  <c r="I6" i="120"/>
  <c r="H7" i="120"/>
  <c r="F13" i="119"/>
  <c r="G12" i="119"/>
  <c r="F19" i="119"/>
  <c r="G18" i="119"/>
  <c r="I6" i="119"/>
  <c r="H7" i="119"/>
  <c r="F19" i="118"/>
  <c r="G18" i="118"/>
  <c r="G12" i="118"/>
  <c r="G13" i="118" s="1"/>
  <c r="G12" i="117"/>
  <c r="G13" i="117" s="1"/>
  <c r="H18" i="117"/>
  <c r="G19" i="117"/>
  <c r="I6" i="117"/>
  <c r="H7" i="117"/>
  <c r="F19" i="116"/>
  <c r="G18" i="116"/>
  <c r="G12" i="116"/>
  <c r="I6" i="116"/>
  <c r="H7" i="116"/>
  <c r="F12" i="114"/>
  <c r="F13" i="114" s="1"/>
  <c r="H6" i="114"/>
  <c r="G7" i="114"/>
  <c r="G18" i="114"/>
  <c r="G19" i="114" s="1"/>
  <c r="I6" i="111"/>
  <c r="G12" i="111"/>
  <c r="F18" i="111"/>
  <c r="H13" i="158" l="1"/>
  <c r="I12" i="158"/>
  <c r="I18" i="158"/>
  <c r="H19" i="158"/>
  <c r="J7" i="158"/>
  <c r="K6" i="158"/>
  <c r="J6" i="157"/>
  <c r="I7" i="157"/>
  <c r="H13" i="157"/>
  <c r="I12" i="157"/>
  <c r="I18" i="157"/>
  <c r="H19" i="157"/>
  <c r="H7" i="156"/>
  <c r="I6" i="156"/>
  <c r="I6" i="152"/>
  <c r="H7" i="152"/>
  <c r="I6" i="145"/>
  <c r="H7" i="145"/>
  <c r="G13" i="153"/>
  <c r="H12" i="153"/>
  <c r="H18" i="151"/>
  <c r="G19" i="151"/>
  <c r="I7" i="153"/>
  <c r="J6" i="153"/>
  <c r="I7" i="154"/>
  <c r="J6" i="154"/>
  <c r="G13" i="151"/>
  <c r="H12" i="151"/>
  <c r="I19" i="152"/>
  <c r="J18" i="152"/>
  <c r="J19" i="154"/>
  <c r="K18" i="154"/>
  <c r="G13" i="155"/>
  <c r="H12" i="155"/>
  <c r="I6" i="155"/>
  <c r="H7" i="155"/>
  <c r="I18" i="153"/>
  <c r="H19" i="153"/>
  <c r="I18" i="155"/>
  <c r="H19" i="155"/>
  <c r="J12" i="156"/>
  <c r="I13" i="156"/>
  <c r="I18" i="156"/>
  <c r="H19" i="156"/>
  <c r="I7" i="151"/>
  <c r="J6" i="151"/>
  <c r="I12" i="152"/>
  <c r="H13" i="152"/>
  <c r="G13" i="154"/>
  <c r="H12" i="154"/>
  <c r="H13" i="148"/>
  <c r="I12" i="148"/>
  <c r="I18" i="150"/>
  <c r="H19" i="150"/>
  <c r="I18" i="149"/>
  <c r="H19" i="149"/>
  <c r="I7" i="149"/>
  <c r="J6" i="149"/>
  <c r="H13" i="150"/>
  <c r="I12" i="150"/>
  <c r="G13" i="149"/>
  <c r="H12" i="149"/>
  <c r="J6" i="148"/>
  <c r="I7" i="148"/>
  <c r="J7" i="150"/>
  <c r="K6" i="150"/>
  <c r="G19" i="148"/>
  <c r="H18" i="148"/>
  <c r="J6" i="147"/>
  <c r="I7" i="147"/>
  <c r="I18" i="147"/>
  <c r="H19" i="147"/>
  <c r="H13" i="147"/>
  <c r="I12" i="147"/>
  <c r="J7" i="146"/>
  <c r="K6" i="146"/>
  <c r="I13" i="146"/>
  <c r="J12" i="146"/>
  <c r="I18" i="146"/>
  <c r="H19" i="146"/>
  <c r="H19" i="145"/>
  <c r="I18" i="145"/>
  <c r="I13" i="145"/>
  <c r="J12" i="145"/>
  <c r="I18" i="144"/>
  <c r="H19" i="144"/>
  <c r="G13" i="144"/>
  <c r="H12" i="144"/>
  <c r="I6" i="144"/>
  <c r="H7" i="144"/>
  <c r="J6" i="143"/>
  <c r="I7" i="143"/>
  <c r="I18" i="143"/>
  <c r="H19" i="143"/>
  <c r="H13" i="143"/>
  <c r="I12" i="143"/>
  <c r="I6" i="140"/>
  <c r="H7" i="140"/>
  <c r="I6" i="138"/>
  <c r="H7" i="138"/>
  <c r="H13" i="142"/>
  <c r="I12" i="142"/>
  <c r="J6" i="142"/>
  <c r="I7" i="142"/>
  <c r="I18" i="142"/>
  <c r="H19" i="142"/>
  <c r="I18" i="141"/>
  <c r="H19" i="141"/>
  <c r="J7" i="141"/>
  <c r="K6" i="141"/>
  <c r="H13" i="141"/>
  <c r="I12" i="141"/>
  <c r="I18" i="140"/>
  <c r="H19" i="140"/>
  <c r="H13" i="140"/>
  <c r="I12" i="140"/>
  <c r="J7" i="139"/>
  <c r="K6" i="139"/>
  <c r="I18" i="139"/>
  <c r="H19" i="139"/>
  <c r="H13" i="139"/>
  <c r="I12" i="139"/>
  <c r="I18" i="138"/>
  <c r="H19" i="138"/>
  <c r="H13" i="138"/>
  <c r="I12" i="138"/>
  <c r="I18" i="137"/>
  <c r="H19" i="137"/>
  <c r="J6" i="137"/>
  <c r="I7" i="137"/>
  <c r="H13" i="137"/>
  <c r="I12" i="137"/>
  <c r="I6" i="136"/>
  <c r="H7" i="136"/>
  <c r="I18" i="136"/>
  <c r="H19" i="136"/>
  <c r="H13" i="136"/>
  <c r="I12" i="136"/>
  <c r="J7" i="135"/>
  <c r="K6" i="135"/>
  <c r="I18" i="135"/>
  <c r="H19" i="135"/>
  <c r="H13" i="135"/>
  <c r="I12" i="135"/>
  <c r="G13" i="134"/>
  <c r="H12" i="134"/>
  <c r="G19" i="134"/>
  <c r="H18" i="134"/>
  <c r="I6" i="134"/>
  <c r="H7" i="134"/>
  <c r="I6" i="133"/>
  <c r="H7" i="133"/>
  <c r="G19" i="133"/>
  <c r="H18" i="133"/>
  <c r="G13" i="133"/>
  <c r="H12" i="133"/>
  <c r="G19" i="132"/>
  <c r="H18" i="132"/>
  <c r="I6" i="132"/>
  <c r="H7" i="132"/>
  <c r="G13" i="132"/>
  <c r="H12" i="132"/>
  <c r="I6" i="131"/>
  <c r="H7" i="131"/>
  <c r="G13" i="131"/>
  <c r="H12" i="131"/>
  <c r="H18" i="131"/>
  <c r="G19" i="131"/>
  <c r="G19" i="130"/>
  <c r="H18" i="130"/>
  <c r="J6" i="130"/>
  <c r="I7" i="130"/>
  <c r="G13" i="130"/>
  <c r="H12" i="130"/>
  <c r="G13" i="129"/>
  <c r="H12" i="129"/>
  <c r="G19" i="129"/>
  <c r="H18" i="129"/>
  <c r="J6" i="129"/>
  <c r="I7" i="129"/>
  <c r="G13" i="128"/>
  <c r="H12" i="128"/>
  <c r="J6" i="128"/>
  <c r="I7" i="128"/>
  <c r="G19" i="128"/>
  <c r="H18" i="128"/>
  <c r="H6" i="127"/>
  <c r="G7" i="127"/>
  <c r="H6" i="118"/>
  <c r="G7" i="118"/>
  <c r="H18" i="127"/>
  <c r="G19" i="127"/>
  <c r="H12" i="127"/>
  <c r="H13" i="127" s="1"/>
  <c r="H12" i="126"/>
  <c r="H13" i="126" s="1"/>
  <c r="G19" i="126"/>
  <c r="H18" i="126"/>
  <c r="I6" i="126"/>
  <c r="H7" i="126"/>
  <c r="G13" i="125"/>
  <c r="H12" i="125"/>
  <c r="H18" i="125"/>
  <c r="G19" i="125"/>
  <c r="J6" i="125"/>
  <c r="I7" i="125"/>
  <c r="G19" i="124"/>
  <c r="H18" i="124"/>
  <c r="I6" i="124"/>
  <c r="H7" i="124"/>
  <c r="G13" i="124"/>
  <c r="H12" i="124"/>
  <c r="H12" i="123"/>
  <c r="H13" i="123" s="1"/>
  <c r="I6" i="123"/>
  <c r="H7" i="123"/>
  <c r="H18" i="123"/>
  <c r="G19" i="123"/>
  <c r="H13" i="122"/>
  <c r="I12" i="122"/>
  <c r="J6" i="122"/>
  <c r="I7" i="122"/>
  <c r="H18" i="122"/>
  <c r="G19" i="122"/>
  <c r="G13" i="121"/>
  <c r="H12" i="121"/>
  <c r="J6" i="121"/>
  <c r="I7" i="121"/>
  <c r="G19" i="121"/>
  <c r="H18" i="121"/>
  <c r="G13" i="120"/>
  <c r="H12" i="120"/>
  <c r="J6" i="120"/>
  <c r="I7" i="120"/>
  <c r="H18" i="120"/>
  <c r="G19" i="120"/>
  <c r="G13" i="119"/>
  <c r="H12" i="119"/>
  <c r="J6" i="119"/>
  <c r="I7" i="119"/>
  <c r="H18" i="119"/>
  <c r="G19" i="119"/>
  <c r="H18" i="118"/>
  <c r="G19" i="118"/>
  <c r="H12" i="118"/>
  <c r="H13" i="118" s="1"/>
  <c r="H12" i="117"/>
  <c r="H13" i="117" s="1"/>
  <c r="I18" i="117"/>
  <c r="H19" i="117"/>
  <c r="J6" i="117"/>
  <c r="I7" i="117"/>
  <c r="H18" i="116"/>
  <c r="G19" i="116"/>
  <c r="H12" i="116"/>
  <c r="J6" i="116"/>
  <c r="I7" i="116"/>
  <c r="G12" i="114"/>
  <c r="G13" i="114" s="1"/>
  <c r="H18" i="114"/>
  <c r="H19" i="114" s="1"/>
  <c r="H12" i="114"/>
  <c r="H13" i="114" s="1"/>
  <c r="I6" i="114"/>
  <c r="H7" i="114"/>
  <c r="J6" i="111"/>
  <c r="G18" i="111"/>
  <c r="H12" i="111"/>
  <c r="J12" i="158" l="1"/>
  <c r="I13" i="158"/>
  <c r="J18" i="158"/>
  <c r="I19" i="158"/>
  <c r="K7" i="158"/>
  <c r="J18" i="157"/>
  <c r="I19" i="157"/>
  <c r="I13" i="157"/>
  <c r="J12" i="157"/>
  <c r="J7" i="157"/>
  <c r="K6" i="157"/>
  <c r="I7" i="156"/>
  <c r="J6" i="156"/>
  <c r="J6" i="152"/>
  <c r="I7" i="152"/>
  <c r="J6" i="145"/>
  <c r="I7" i="145"/>
  <c r="H13" i="155"/>
  <c r="I12" i="155"/>
  <c r="I12" i="151"/>
  <c r="H13" i="151"/>
  <c r="K6" i="153"/>
  <c r="J7" i="153"/>
  <c r="I19" i="153"/>
  <c r="J18" i="153"/>
  <c r="J18" i="156"/>
  <c r="I19" i="156"/>
  <c r="J13" i="156"/>
  <c r="K12" i="156"/>
  <c r="L18" i="154"/>
  <c r="K19" i="154"/>
  <c r="I7" i="155"/>
  <c r="J6" i="155"/>
  <c r="I18" i="151"/>
  <c r="H19" i="151"/>
  <c r="J12" i="152"/>
  <c r="I13" i="152"/>
  <c r="J18" i="155"/>
  <c r="I19" i="155"/>
  <c r="J19" i="152"/>
  <c r="K18" i="152"/>
  <c r="J7" i="154"/>
  <c r="K6" i="154"/>
  <c r="H13" i="154"/>
  <c r="I12" i="154"/>
  <c r="J7" i="151"/>
  <c r="K6" i="151"/>
  <c r="I12" i="153"/>
  <c r="H13" i="153"/>
  <c r="K6" i="148"/>
  <c r="J7" i="148"/>
  <c r="J18" i="150"/>
  <c r="I19" i="150"/>
  <c r="I18" i="148"/>
  <c r="H19" i="148"/>
  <c r="K6" i="149"/>
  <c r="J7" i="149"/>
  <c r="I13" i="148"/>
  <c r="J12" i="148"/>
  <c r="L6" i="150"/>
  <c r="K7" i="150"/>
  <c r="H13" i="149"/>
  <c r="I12" i="149"/>
  <c r="J18" i="149"/>
  <c r="I19" i="149"/>
  <c r="I13" i="150"/>
  <c r="J12" i="150"/>
  <c r="J18" i="147"/>
  <c r="I19" i="147"/>
  <c r="J7" i="147"/>
  <c r="K6" i="147"/>
  <c r="I13" i="147"/>
  <c r="J12" i="147"/>
  <c r="J18" i="146"/>
  <c r="I19" i="146"/>
  <c r="J13" i="146"/>
  <c r="K12" i="146"/>
  <c r="L6" i="146"/>
  <c r="K7" i="146"/>
  <c r="J13" i="145"/>
  <c r="K12" i="145"/>
  <c r="J18" i="145"/>
  <c r="I19" i="145"/>
  <c r="H13" i="144"/>
  <c r="I12" i="144"/>
  <c r="J18" i="144"/>
  <c r="I19" i="144"/>
  <c r="J6" i="144"/>
  <c r="I7" i="144"/>
  <c r="J18" i="143"/>
  <c r="I19" i="143"/>
  <c r="J12" i="143"/>
  <c r="I13" i="143"/>
  <c r="J7" i="143"/>
  <c r="K6" i="143"/>
  <c r="J6" i="140"/>
  <c r="I7" i="140"/>
  <c r="J6" i="138"/>
  <c r="I7" i="138"/>
  <c r="J18" i="142"/>
  <c r="I19" i="142"/>
  <c r="J7" i="142"/>
  <c r="K6" i="142"/>
  <c r="J12" i="142"/>
  <c r="I13" i="142"/>
  <c r="I13" i="141"/>
  <c r="J12" i="141"/>
  <c r="L6" i="141"/>
  <c r="K7" i="141"/>
  <c r="J18" i="141"/>
  <c r="I19" i="141"/>
  <c r="I13" i="140"/>
  <c r="J12" i="140"/>
  <c r="J18" i="140"/>
  <c r="I19" i="140"/>
  <c r="J12" i="139"/>
  <c r="I13" i="139"/>
  <c r="I19" i="139"/>
  <c r="J18" i="139"/>
  <c r="K7" i="139"/>
  <c r="L6" i="139"/>
  <c r="J12" i="138"/>
  <c r="I13" i="138"/>
  <c r="J18" i="138"/>
  <c r="I19" i="138"/>
  <c r="J7" i="137"/>
  <c r="K6" i="137"/>
  <c r="J12" i="137"/>
  <c r="I13" i="137"/>
  <c r="J18" i="137"/>
  <c r="I19" i="137"/>
  <c r="J6" i="136"/>
  <c r="I7" i="136"/>
  <c r="J12" i="136"/>
  <c r="I13" i="136"/>
  <c r="J18" i="136"/>
  <c r="I19" i="136"/>
  <c r="J18" i="135"/>
  <c r="I19" i="135"/>
  <c r="L6" i="135"/>
  <c r="K7" i="135"/>
  <c r="I13" i="135"/>
  <c r="J12" i="135"/>
  <c r="J6" i="134"/>
  <c r="I7" i="134"/>
  <c r="I18" i="134"/>
  <c r="H19" i="134"/>
  <c r="H13" i="134"/>
  <c r="I12" i="134"/>
  <c r="I18" i="133"/>
  <c r="H19" i="133"/>
  <c r="J6" i="133"/>
  <c r="I7" i="133"/>
  <c r="H13" i="133"/>
  <c r="I12" i="133"/>
  <c r="J6" i="132"/>
  <c r="I7" i="132"/>
  <c r="I18" i="132"/>
  <c r="H19" i="132"/>
  <c r="H13" i="132"/>
  <c r="I12" i="132"/>
  <c r="H13" i="131"/>
  <c r="I12" i="131"/>
  <c r="J6" i="131"/>
  <c r="I7" i="131"/>
  <c r="I18" i="131"/>
  <c r="H19" i="131"/>
  <c r="J7" i="130"/>
  <c r="K6" i="130"/>
  <c r="H13" i="130"/>
  <c r="I12" i="130"/>
  <c r="I18" i="130"/>
  <c r="H19" i="130"/>
  <c r="I18" i="129"/>
  <c r="H19" i="129"/>
  <c r="H13" i="129"/>
  <c r="I12" i="129"/>
  <c r="J7" i="129"/>
  <c r="K6" i="129"/>
  <c r="J7" i="128"/>
  <c r="K6" i="128"/>
  <c r="H13" i="128"/>
  <c r="I12" i="128"/>
  <c r="I18" i="128"/>
  <c r="H19" i="128"/>
  <c r="I6" i="127"/>
  <c r="H7" i="127"/>
  <c r="I6" i="118"/>
  <c r="H7" i="118"/>
  <c r="I18" i="127"/>
  <c r="H19" i="127"/>
  <c r="I12" i="127"/>
  <c r="I13" i="127" s="1"/>
  <c r="J6" i="126"/>
  <c r="I7" i="126"/>
  <c r="I18" i="126"/>
  <c r="H19" i="126"/>
  <c r="I12" i="126"/>
  <c r="I13" i="126" s="1"/>
  <c r="J7" i="125"/>
  <c r="K6" i="125"/>
  <c r="H13" i="125"/>
  <c r="I12" i="125"/>
  <c r="I18" i="125"/>
  <c r="H19" i="125"/>
  <c r="J6" i="124"/>
  <c r="I7" i="124"/>
  <c r="I18" i="124"/>
  <c r="H19" i="124"/>
  <c r="H13" i="124"/>
  <c r="I12" i="124"/>
  <c r="I18" i="123"/>
  <c r="H19" i="123"/>
  <c r="J6" i="123"/>
  <c r="I7" i="123"/>
  <c r="I12" i="123"/>
  <c r="I13" i="123" s="1"/>
  <c r="I18" i="122"/>
  <c r="H19" i="122"/>
  <c r="J7" i="122"/>
  <c r="K6" i="122"/>
  <c r="J12" i="122"/>
  <c r="I13" i="122"/>
  <c r="J7" i="121"/>
  <c r="K6" i="121"/>
  <c r="H13" i="121"/>
  <c r="I12" i="121"/>
  <c r="I18" i="121"/>
  <c r="H19" i="121"/>
  <c r="I18" i="120"/>
  <c r="H19" i="120"/>
  <c r="J7" i="120"/>
  <c r="K6" i="120"/>
  <c r="H13" i="120"/>
  <c r="I12" i="120"/>
  <c r="I18" i="119"/>
  <c r="H19" i="119"/>
  <c r="J7" i="119"/>
  <c r="K6" i="119"/>
  <c r="H13" i="119"/>
  <c r="I12" i="119"/>
  <c r="I12" i="118"/>
  <c r="I13" i="118" s="1"/>
  <c r="I18" i="118"/>
  <c r="H19" i="118"/>
  <c r="J18" i="117"/>
  <c r="I19" i="117"/>
  <c r="I12" i="117"/>
  <c r="I13" i="117" s="1"/>
  <c r="J7" i="117"/>
  <c r="K6" i="117"/>
  <c r="I18" i="116"/>
  <c r="H19" i="116"/>
  <c r="I12" i="116"/>
  <c r="J7" i="116"/>
  <c r="K6" i="116"/>
  <c r="J6" i="114"/>
  <c r="I7" i="114"/>
  <c r="I18" i="114"/>
  <c r="I19" i="114" s="1"/>
  <c r="I12" i="114"/>
  <c r="I13" i="114" s="1"/>
  <c r="K6" i="111"/>
  <c r="I12" i="111"/>
  <c r="H18" i="111"/>
  <c r="K18" i="158" l="1"/>
  <c r="J19" i="158"/>
  <c r="N6" i="158"/>
  <c r="N7" i="158" s="1"/>
  <c r="L7" i="158"/>
  <c r="M7" i="158"/>
  <c r="K12" i="158"/>
  <c r="J13" i="158"/>
  <c r="J13" i="157"/>
  <c r="K12" i="157"/>
  <c r="K18" i="157"/>
  <c r="J19" i="157"/>
  <c r="L6" i="157"/>
  <c r="K7" i="157"/>
  <c r="J7" i="156"/>
  <c r="K6" i="156"/>
  <c r="J7" i="152"/>
  <c r="K6" i="152"/>
  <c r="J7" i="145"/>
  <c r="K6" i="145"/>
  <c r="L6" i="154"/>
  <c r="K7" i="154"/>
  <c r="J18" i="151"/>
  <c r="I19" i="151"/>
  <c r="I13" i="155"/>
  <c r="J12" i="155"/>
  <c r="J12" i="153"/>
  <c r="I13" i="153"/>
  <c r="J7" i="155"/>
  <c r="K6" i="155"/>
  <c r="L6" i="153"/>
  <c r="K7" i="153"/>
  <c r="K7" i="151"/>
  <c r="L6" i="151"/>
  <c r="L18" i="152"/>
  <c r="K19" i="152"/>
  <c r="K18" i="156"/>
  <c r="J19" i="156"/>
  <c r="J19" i="153"/>
  <c r="K18" i="153"/>
  <c r="I13" i="154"/>
  <c r="J12" i="154"/>
  <c r="J13" i="152"/>
  <c r="K12" i="152"/>
  <c r="N18" i="154"/>
  <c r="N19" i="154" s="1"/>
  <c r="M18" i="154"/>
  <c r="M19" i="154" s="1"/>
  <c r="L19" i="154"/>
  <c r="K18" i="155"/>
  <c r="J19" i="155"/>
  <c r="K13" i="156"/>
  <c r="L12" i="156"/>
  <c r="I13" i="151"/>
  <c r="J12" i="151"/>
  <c r="J13" i="150"/>
  <c r="K12" i="150"/>
  <c r="N6" i="150"/>
  <c r="N7" i="150" s="1"/>
  <c r="M6" i="150"/>
  <c r="M7" i="150" s="1"/>
  <c r="L7" i="150"/>
  <c r="J18" i="148"/>
  <c r="I19" i="148"/>
  <c r="J13" i="148"/>
  <c r="K12" i="148"/>
  <c r="K18" i="149"/>
  <c r="J19" i="149"/>
  <c r="K18" i="150"/>
  <c r="J19" i="150"/>
  <c r="I13" i="149"/>
  <c r="J12" i="149"/>
  <c r="L6" i="149"/>
  <c r="K7" i="149"/>
  <c r="L6" i="148"/>
  <c r="K7" i="148"/>
  <c r="K7" i="147"/>
  <c r="L6" i="147"/>
  <c r="J13" i="147"/>
  <c r="K12" i="147"/>
  <c r="J19" i="147"/>
  <c r="K18" i="147"/>
  <c r="N6" i="146"/>
  <c r="N7" i="146" s="1"/>
  <c r="M6" i="146"/>
  <c r="M7" i="146" s="1"/>
  <c r="L7" i="146"/>
  <c r="K13" i="146"/>
  <c r="L12" i="146"/>
  <c r="J19" i="146"/>
  <c r="K18" i="146"/>
  <c r="K18" i="145"/>
  <c r="J19" i="145"/>
  <c r="K13" i="145"/>
  <c r="L12" i="145"/>
  <c r="J7" i="144"/>
  <c r="K6" i="144"/>
  <c r="J19" i="144"/>
  <c r="K18" i="144"/>
  <c r="I13" i="144"/>
  <c r="J12" i="144"/>
  <c r="L6" i="143"/>
  <c r="K7" i="143"/>
  <c r="J13" i="143"/>
  <c r="K12" i="143"/>
  <c r="K18" i="143"/>
  <c r="J19" i="143"/>
  <c r="J7" i="140"/>
  <c r="K6" i="140"/>
  <c r="J7" i="138"/>
  <c r="K6" i="138"/>
  <c r="J13" i="142"/>
  <c r="K12" i="142"/>
  <c r="K7" i="142"/>
  <c r="L6" i="142"/>
  <c r="K18" i="142"/>
  <c r="J19" i="142"/>
  <c r="K18" i="141"/>
  <c r="J19" i="141"/>
  <c r="N6" i="141"/>
  <c r="N7" i="141" s="1"/>
  <c r="M6" i="141"/>
  <c r="M7" i="141" s="1"/>
  <c r="L7" i="141"/>
  <c r="J13" i="141"/>
  <c r="K12" i="141"/>
  <c r="K18" i="140"/>
  <c r="J19" i="140"/>
  <c r="J13" i="140"/>
  <c r="K12" i="140"/>
  <c r="L7" i="139"/>
  <c r="N6" i="139"/>
  <c r="N7" i="139" s="1"/>
  <c r="M6" i="139"/>
  <c r="M7" i="139" s="1"/>
  <c r="K18" i="139"/>
  <c r="J19" i="139"/>
  <c r="J13" i="139"/>
  <c r="K12" i="139"/>
  <c r="J19" i="138"/>
  <c r="K18" i="138"/>
  <c r="J13" i="138"/>
  <c r="K12" i="138"/>
  <c r="K18" i="137"/>
  <c r="J19" i="137"/>
  <c r="J13" i="137"/>
  <c r="K12" i="137"/>
  <c r="K7" i="137"/>
  <c r="L6" i="137"/>
  <c r="J7" i="136"/>
  <c r="K6" i="136"/>
  <c r="K18" i="136"/>
  <c r="J19" i="136"/>
  <c r="J13" i="136"/>
  <c r="K12" i="136"/>
  <c r="J13" i="135"/>
  <c r="K12" i="135"/>
  <c r="N6" i="135"/>
  <c r="N7" i="135" s="1"/>
  <c r="M6" i="135"/>
  <c r="M7" i="135" s="1"/>
  <c r="L7" i="135"/>
  <c r="K18" i="135"/>
  <c r="J19" i="135"/>
  <c r="J18" i="134"/>
  <c r="I19" i="134"/>
  <c r="I13" i="134"/>
  <c r="J12" i="134"/>
  <c r="J7" i="134"/>
  <c r="K6" i="134"/>
  <c r="I19" i="133"/>
  <c r="J18" i="133"/>
  <c r="J7" i="133"/>
  <c r="K6" i="133"/>
  <c r="I13" i="133"/>
  <c r="J12" i="133"/>
  <c r="J18" i="132"/>
  <c r="I19" i="132"/>
  <c r="J7" i="132"/>
  <c r="K6" i="132"/>
  <c r="I13" i="132"/>
  <c r="J12" i="132"/>
  <c r="J18" i="131"/>
  <c r="I19" i="131"/>
  <c r="J7" i="131"/>
  <c r="K6" i="131"/>
  <c r="I13" i="131"/>
  <c r="J12" i="131"/>
  <c r="J18" i="130"/>
  <c r="I19" i="130"/>
  <c r="I13" i="130"/>
  <c r="J12" i="130"/>
  <c r="L6" i="130"/>
  <c r="K7" i="130"/>
  <c r="L6" i="129"/>
  <c r="K7" i="129"/>
  <c r="I13" i="129"/>
  <c r="J12" i="129"/>
  <c r="J18" i="129"/>
  <c r="I19" i="129"/>
  <c r="L6" i="128"/>
  <c r="K7" i="128"/>
  <c r="J18" i="128"/>
  <c r="I19" i="128"/>
  <c r="I13" i="128"/>
  <c r="J12" i="128"/>
  <c r="I7" i="127"/>
  <c r="J6" i="127"/>
  <c r="I7" i="118"/>
  <c r="J6" i="118"/>
  <c r="J18" i="127"/>
  <c r="I19" i="127"/>
  <c r="J12" i="127"/>
  <c r="J13" i="127" s="1"/>
  <c r="J18" i="126"/>
  <c r="I19" i="126"/>
  <c r="J7" i="126"/>
  <c r="K6" i="126"/>
  <c r="J12" i="126"/>
  <c r="J13" i="126" s="1"/>
  <c r="J18" i="125"/>
  <c r="I19" i="125"/>
  <c r="I13" i="125"/>
  <c r="J12" i="125"/>
  <c r="L6" i="125"/>
  <c r="K7" i="125"/>
  <c r="J18" i="124"/>
  <c r="I19" i="124"/>
  <c r="J7" i="124"/>
  <c r="K6" i="124"/>
  <c r="I13" i="124"/>
  <c r="J12" i="124"/>
  <c r="J12" i="123"/>
  <c r="J13" i="123" s="1"/>
  <c r="J7" i="123"/>
  <c r="K6" i="123"/>
  <c r="J18" i="123"/>
  <c r="I19" i="123"/>
  <c r="J13" i="122"/>
  <c r="K12" i="122"/>
  <c r="L6" i="122"/>
  <c r="K7" i="122"/>
  <c r="J18" i="122"/>
  <c r="I19" i="122"/>
  <c r="I13" i="121"/>
  <c r="J12" i="121"/>
  <c r="K7" i="121"/>
  <c r="L6" i="121"/>
  <c r="J18" i="121"/>
  <c r="I19" i="121"/>
  <c r="L6" i="120"/>
  <c r="K7" i="120"/>
  <c r="J18" i="120"/>
  <c r="I19" i="120"/>
  <c r="I13" i="120"/>
  <c r="J12" i="120"/>
  <c r="K7" i="119"/>
  <c r="L6" i="119"/>
  <c r="I13" i="119"/>
  <c r="J12" i="119"/>
  <c r="J18" i="119"/>
  <c r="I19" i="119"/>
  <c r="J18" i="118"/>
  <c r="I19" i="118"/>
  <c r="J12" i="118"/>
  <c r="J13" i="118" s="1"/>
  <c r="J12" i="117"/>
  <c r="J13" i="117" s="1"/>
  <c r="K18" i="117"/>
  <c r="J19" i="117"/>
  <c r="K7" i="117"/>
  <c r="L6" i="117"/>
  <c r="K7" i="116"/>
  <c r="L6" i="116"/>
  <c r="J12" i="116"/>
  <c r="J18" i="116"/>
  <c r="I19" i="116"/>
  <c r="J12" i="114"/>
  <c r="J13" i="114" s="1"/>
  <c r="J18" i="114"/>
  <c r="J19" i="114" s="1"/>
  <c r="J7" i="114"/>
  <c r="K6" i="114"/>
  <c r="I18" i="111"/>
  <c r="J12" i="111"/>
  <c r="L6" i="111"/>
  <c r="D8" i="158" l="1"/>
  <c r="E23" i="158" s="1"/>
  <c r="F23" i="158" s="1"/>
  <c r="K13" i="158"/>
  <c r="L12" i="158"/>
  <c r="L18" i="158"/>
  <c r="K19" i="158"/>
  <c r="N6" i="157"/>
  <c r="N7" i="157" s="1"/>
  <c r="M6" i="157"/>
  <c r="M7" i="157" s="1"/>
  <c r="L7" i="157"/>
  <c r="L18" i="157"/>
  <c r="K19" i="157"/>
  <c r="K13" i="157"/>
  <c r="L12" i="157"/>
  <c r="L6" i="156"/>
  <c r="K7" i="156"/>
  <c r="D20" i="154"/>
  <c r="E25" i="154" s="1"/>
  <c r="F25" i="154" s="1"/>
  <c r="K7" i="152"/>
  <c r="L6" i="152"/>
  <c r="L6" i="145"/>
  <c r="K7" i="145"/>
  <c r="J13" i="155"/>
  <c r="K12" i="155"/>
  <c r="K19" i="153"/>
  <c r="L18" i="153"/>
  <c r="M6" i="151"/>
  <c r="M7" i="151" s="1"/>
  <c r="N6" i="151"/>
  <c r="N7" i="151" s="1"/>
  <c r="L7" i="151"/>
  <c r="N12" i="156"/>
  <c r="N13" i="156" s="1"/>
  <c r="L13" i="156"/>
  <c r="M12" i="156"/>
  <c r="M13" i="156" s="1"/>
  <c r="K13" i="152"/>
  <c r="L12" i="152"/>
  <c r="K7" i="155"/>
  <c r="L6" i="155"/>
  <c r="L18" i="156"/>
  <c r="K19" i="156"/>
  <c r="K18" i="151"/>
  <c r="J19" i="151"/>
  <c r="K19" i="155"/>
  <c r="L18" i="155"/>
  <c r="J13" i="154"/>
  <c r="K12" i="154"/>
  <c r="M6" i="153"/>
  <c r="M7" i="153" s="1"/>
  <c r="N6" i="153"/>
  <c r="N7" i="153" s="1"/>
  <c r="L7" i="153"/>
  <c r="J13" i="151"/>
  <c r="K12" i="151"/>
  <c r="N18" i="152"/>
  <c r="N19" i="152" s="1"/>
  <c r="M18" i="152"/>
  <c r="M19" i="152" s="1"/>
  <c r="L19" i="152"/>
  <c r="K12" i="153"/>
  <c r="J13" i="153"/>
  <c r="N6" i="154"/>
  <c r="N7" i="154" s="1"/>
  <c r="M6" i="154"/>
  <c r="M7" i="154" s="1"/>
  <c r="L7" i="154"/>
  <c r="J19" i="148"/>
  <c r="K18" i="148"/>
  <c r="L18" i="150"/>
  <c r="K19" i="150"/>
  <c r="N6" i="149"/>
  <c r="N7" i="149" s="1"/>
  <c r="M6" i="149"/>
  <c r="M7" i="149" s="1"/>
  <c r="L7" i="149"/>
  <c r="K19" i="149"/>
  <c r="L18" i="149"/>
  <c r="J13" i="149"/>
  <c r="K12" i="149"/>
  <c r="K13" i="148"/>
  <c r="L12" i="148"/>
  <c r="D8" i="150"/>
  <c r="K13" i="150"/>
  <c r="L12" i="150"/>
  <c r="N6" i="148"/>
  <c r="N7" i="148" s="1"/>
  <c r="M6" i="148"/>
  <c r="M7" i="148" s="1"/>
  <c r="L7" i="148"/>
  <c r="L18" i="147"/>
  <c r="K19" i="147"/>
  <c r="K13" i="147"/>
  <c r="L12" i="147"/>
  <c r="N6" i="147"/>
  <c r="N7" i="147" s="1"/>
  <c r="M6" i="147"/>
  <c r="M7" i="147" s="1"/>
  <c r="L7" i="147"/>
  <c r="L13" i="146"/>
  <c r="M12" i="146"/>
  <c r="M13" i="146" s="1"/>
  <c r="N12" i="146"/>
  <c r="N13" i="146" s="1"/>
  <c r="D14" i="146" s="1"/>
  <c r="E24" i="146" s="1"/>
  <c r="F24" i="146" s="1"/>
  <c r="L18" i="146"/>
  <c r="K19" i="146"/>
  <c r="D8" i="146"/>
  <c r="E23" i="146" s="1"/>
  <c r="F23" i="146" s="1"/>
  <c r="L18" i="145"/>
  <c r="K19" i="145"/>
  <c r="N12" i="145"/>
  <c r="N13" i="145" s="1"/>
  <c r="L13" i="145"/>
  <c r="M12" i="145"/>
  <c r="M13" i="145" s="1"/>
  <c r="K19" i="144"/>
  <c r="L18" i="144"/>
  <c r="L6" i="144"/>
  <c r="K7" i="144"/>
  <c r="J13" i="144"/>
  <c r="K12" i="144"/>
  <c r="L18" i="143"/>
  <c r="K19" i="143"/>
  <c r="K13" i="143"/>
  <c r="L12" i="143"/>
  <c r="M6" i="143"/>
  <c r="M7" i="143" s="1"/>
  <c r="N6" i="143"/>
  <c r="N7" i="143" s="1"/>
  <c r="L7" i="143"/>
  <c r="L6" i="140"/>
  <c r="K7" i="140"/>
  <c r="K7" i="138"/>
  <c r="L6" i="138"/>
  <c r="L18" i="142"/>
  <c r="K19" i="142"/>
  <c r="N6" i="142"/>
  <c r="N7" i="142" s="1"/>
  <c r="M6" i="142"/>
  <c r="M7" i="142" s="1"/>
  <c r="L7" i="142"/>
  <c r="L12" i="142"/>
  <c r="K13" i="142"/>
  <c r="D8" i="141"/>
  <c r="E23" i="141" s="1"/>
  <c r="F23" i="141" s="1"/>
  <c r="K13" i="141"/>
  <c r="L12" i="141"/>
  <c r="L18" i="141"/>
  <c r="K19" i="141"/>
  <c r="K13" i="140"/>
  <c r="L12" i="140"/>
  <c r="L18" i="140"/>
  <c r="K19" i="140"/>
  <c r="L18" i="139"/>
  <c r="K19" i="139"/>
  <c r="D8" i="139"/>
  <c r="E23" i="139" s="1"/>
  <c r="F23" i="139" s="1"/>
  <c r="K13" i="139"/>
  <c r="L12" i="139"/>
  <c r="L18" i="138"/>
  <c r="K19" i="138"/>
  <c r="K13" i="138"/>
  <c r="L12" i="138"/>
  <c r="N6" i="137"/>
  <c r="N7" i="137" s="1"/>
  <c r="M6" i="137"/>
  <c r="M7" i="137" s="1"/>
  <c r="L7" i="137"/>
  <c r="K13" i="137"/>
  <c r="L12" i="137"/>
  <c r="L18" i="137"/>
  <c r="K19" i="137"/>
  <c r="L6" i="136"/>
  <c r="K7" i="136"/>
  <c r="L18" i="136"/>
  <c r="K19" i="136"/>
  <c r="K13" i="136"/>
  <c r="L12" i="136"/>
  <c r="L18" i="135"/>
  <c r="K19" i="135"/>
  <c r="D8" i="135"/>
  <c r="E23" i="135" s="1"/>
  <c r="F23" i="135" s="1"/>
  <c r="K13" i="135"/>
  <c r="L12" i="135"/>
  <c r="K7" i="134"/>
  <c r="L6" i="134"/>
  <c r="J13" i="134"/>
  <c r="K12" i="134"/>
  <c r="K18" i="134"/>
  <c r="J19" i="134"/>
  <c r="J13" i="133"/>
  <c r="K12" i="133"/>
  <c r="K7" i="133"/>
  <c r="L6" i="133"/>
  <c r="K18" i="133"/>
  <c r="J19" i="133"/>
  <c r="L6" i="132"/>
  <c r="K7" i="132"/>
  <c r="J13" i="132"/>
  <c r="K12" i="132"/>
  <c r="K18" i="132"/>
  <c r="J19" i="132"/>
  <c r="L6" i="131"/>
  <c r="K7" i="131"/>
  <c r="J19" i="131"/>
  <c r="K18" i="131"/>
  <c r="J13" i="131"/>
  <c r="K12" i="131"/>
  <c r="N6" i="130"/>
  <c r="N7" i="130" s="1"/>
  <c r="M6" i="130"/>
  <c r="M7" i="130" s="1"/>
  <c r="L7" i="130"/>
  <c r="J13" i="130"/>
  <c r="K12" i="130"/>
  <c r="J19" i="130"/>
  <c r="K18" i="130"/>
  <c r="J13" i="129"/>
  <c r="K12" i="129"/>
  <c r="J19" i="129"/>
  <c r="K18" i="129"/>
  <c r="N6" i="129"/>
  <c r="N7" i="129" s="1"/>
  <c r="M6" i="129"/>
  <c r="M7" i="129" s="1"/>
  <c r="L7" i="129"/>
  <c r="J13" i="128"/>
  <c r="K12" i="128"/>
  <c r="K18" i="128"/>
  <c r="J19" i="128"/>
  <c r="M6" i="128"/>
  <c r="M7" i="128" s="1"/>
  <c r="L7" i="128"/>
  <c r="N6" i="128"/>
  <c r="N7" i="128" s="1"/>
  <c r="J7" i="127"/>
  <c r="K6" i="127"/>
  <c r="K6" i="118"/>
  <c r="J7" i="118"/>
  <c r="K12" i="127"/>
  <c r="K13" i="127" s="1"/>
  <c r="J19" i="127"/>
  <c r="K18" i="127"/>
  <c r="K12" i="126"/>
  <c r="K13" i="126" s="1"/>
  <c r="L6" i="126"/>
  <c r="K7" i="126"/>
  <c r="J19" i="126"/>
  <c r="K18" i="126"/>
  <c r="N6" i="125"/>
  <c r="N7" i="125" s="1"/>
  <c r="M6" i="125"/>
  <c r="M7" i="125" s="1"/>
  <c r="L7" i="125"/>
  <c r="J13" i="125"/>
  <c r="K12" i="125"/>
  <c r="J19" i="125"/>
  <c r="K18" i="125"/>
  <c r="J13" i="124"/>
  <c r="K12" i="124"/>
  <c r="L6" i="124"/>
  <c r="K7" i="124"/>
  <c r="K18" i="124"/>
  <c r="J19" i="124"/>
  <c r="K7" i="123"/>
  <c r="L6" i="123"/>
  <c r="K18" i="123"/>
  <c r="J19" i="123"/>
  <c r="K12" i="123"/>
  <c r="K13" i="123" s="1"/>
  <c r="K18" i="122"/>
  <c r="J19" i="122"/>
  <c r="M6" i="122"/>
  <c r="M7" i="122" s="1"/>
  <c r="N6" i="122"/>
  <c r="N7" i="122" s="1"/>
  <c r="L7" i="122"/>
  <c r="L12" i="122"/>
  <c r="K13" i="122"/>
  <c r="K18" i="121"/>
  <c r="J19" i="121"/>
  <c r="M6" i="121"/>
  <c r="M7" i="121" s="1"/>
  <c r="N6" i="121"/>
  <c r="N7" i="121" s="1"/>
  <c r="L7" i="121"/>
  <c r="J13" i="121"/>
  <c r="K12" i="121"/>
  <c r="K12" i="120"/>
  <c r="J13" i="120"/>
  <c r="K18" i="120"/>
  <c r="J19" i="120"/>
  <c r="N6" i="120"/>
  <c r="N7" i="120" s="1"/>
  <c r="M6" i="120"/>
  <c r="M7" i="120" s="1"/>
  <c r="L7" i="120"/>
  <c r="J13" i="119"/>
  <c r="K12" i="119"/>
  <c r="K18" i="119"/>
  <c r="J19" i="119"/>
  <c r="N6" i="119"/>
  <c r="N7" i="119" s="1"/>
  <c r="M6" i="119"/>
  <c r="M7" i="119" s="1"/>
  <c r="L7" i="119"/>
  <c r="K12" i="118"/>
  <c r="K13" i="118" s="1"/>
  <c r="K18" i="118"/>
  <c r="J19" i="118"/>
  <c r="N6" i="117"/>
  <c r="N7" i="117" s="1"/>
  <c r="M6" i="117"/>
  <c r="M7" i="117" s="1"/>
  <c r="L7" i="117"/>
  <c r="L18" i="117"/>
  <c r="K19" i="117"/>
  <c r="K12" i="117"/>
  <c r="K13" i="117" s="1"/>
  <c r="K18" i="116"/>
  <c r="J19" i="116"/>
  <c r="K12" i="116"/>
  <c r="N6" i="116"/>
  <c r="N7" i="116" s="1"/>
  <c r="M6" i="116"/>
  <c r="M7" i="116" s="1"/>
  <c r="L7" i="116"/>
  <c r="L6" i="114"/>
  <c r="N6" i="114" s="1"/>
  <c r="K7" i="114"/>
  <c r="K18" i="114"/>
  <c r="K19" i="114" s="1"/>
  <c r="K12" i="114"/>
  <c r="K13" i="114" s="1"/>
  <c r="N6" i="111"/>
  <c r="N7" i="111" s="1"/>
  <c r="D8" i="111" s="1"/>
  <c r="E23" i="111" s="1"/>
  <c r="F23" i="111" s="1"/>
  <c r="M6" i="111"/>
  <c r="K12" i="111"/>
  <c r="J18" i="111"/>
  <c r="E23" i="150" l="1"/>
  <c r="F23" i="150" s="1"/>
  <c r="D17" i="35"/>
  <c r="E17" i="35" s="1"/>
  <c r="D8" i="143"/>
  <c r="E23" i="143" s="1"/>
  <c r="F23" i="143" s="1"/>
  <c r="L19" i="158"/>
  <c r="N18" i="158"/>
  <c r="N19" i="158" s="1"/>
  <c r="M18" i="158"/>
  <c r="M19" i="158" s="1"/>
  <c r="N12" i="158"/>
  <c r="N13" i="158" s="1"/>
  <c r="L13" i="158"/>
  <c r="M12" i="158"/>
  <c r="M13" i="158" s="1"/>
  <c r="L19" i="157"/>
  <c r="N18" i="157"/>
  <c r="N19" i="157" s="1"/>
  <c r="M18" i="157"/>
  <c r="M19" i="157" s="1"/>
  <c r="N12" i="157"/>
  <c r="N13" i="157" s="1"/>
  <c r="L13" i="157"/>
  <c r="M12" i="157"/>
  <c r="M13" i="157" s="1"/>
  <c r="D8" i="157"/>
  <c r="E23" i="157" s="1"/>
  <c r="F23" i="157" s="1"/>
  <c r="M6" i="156"/>
  <c r="M7" i="156" s="1"/>
  <c r="L7" i="156"/>
  <c r="N6" i="156"/>
  <c r="N7" i="156" s="1"/>
  <c r="D8" i="156" s="1"/>
  <c r="E23" i="156" s="1"/>
  <c r="F23" i="156" s="1"/>
  <c r="N6" i="152"/>
  <c r="N7" i="152" s="1"/>
  <c r="M6" i="152"/>
  <c r="M7" i="152" s="1"/>
  <c r="L7" i="152"/>
  <c r="N6" i="145"/>
  <c r="N7" i="145" s="1"/>
  <c r="M6" i="145"/>
  <c r="M7" i="145" s="1"/>
  <c r="L7" i="145"/>
  <c r="K19" i="151"/>
  <c r="L18" i="151"/>
  <c r="D8" i="151"/>
  <c r="E23" i="151" s="1"/>
  <c r="F23" i="151" s="1"/>
  <c r="D8" i="154"/>
  <c r="E23" i="154" s="1"/>
  <c r="F23" i="154" s="1"/>
  <c r="K13" i="151"/>
  <c r="L12" i="151"/>
  <c r="L19" i="156"/>
  <c r="N18" i="156"/>
  <c r="N19" i="156" s="1"/>
  <c r="M18" i="156"/>
  <c r="M19" i="156" s="1"/>
  <c r="L19" i="153"/>
  <c r="N18" i="153"/>
  <c r="N19" i="153" s="1"/>
  <c r="M18" i="153"/>
  <c r="M19" i="153" s="1"/>
  <c r="N6" i="155"/>
  <c r="N7" i="155" s="1"/>
  <c r="M6" i="155"/>
  <c r="M7" i="155" s="1"/>
  <c r="L7" i="155"/>
  <c r="K13" i="154"/>
  <c r="L12" i="154"/>
  <c r="K13" i="153"/>
  <c r="L12" i="153"/>
  <c r="D14" i="156"/>
  <c r="E24" i="156" s="1"/>
  <c r="F24" i="156" s="1"/>
  <c r="K13" i="155"/>
  <c r="L12" i="155"/>
  <c r="D20" i="152"/>
  <c r="E25" i="152" s="1"/>
  <c r="F25" i="152" s="1"/>
  <c r="N18" i="155"/>
  <c r="N19" i="155" s="1"/>
  <c r="M18" i="155"/>
  <c r="M19" i="155" s="1"/>
  <c r="L19" i="155"/>
  <c r="D8" i="153"/>
  <c r="E23" i="153" s="1"/>
  <c r="F23" i="153" s="1"/>
  <c r="L13" i="152"/>
  <c r="N12" i="152"/>
  <c r="N13" i="152" s="1"/>
  <c r="M12" i="152"/>
  <c r="M13" i="152" s="1"/>
  <c r="D8" i="148"/>
  <c r="E23" i="148" s="1"/>
  <c r="F23" i="148" s="1"/>
  <c r="N18" i="149"/>
  <c r="N19" i="149" s="1"/>
  <c r="M18" i="149"/>
  <c r="M19" i="149" s="1"/>
  <c r="L19" i="149"/>
  <c r="L19" i="150"/>
  <c r="N18" i="150"/>
  <c r="N19" i="150" s="1"/>
  <c r="M18" i="150"/>
  <c r="M19" i="150" s="1"/>
  <c r="D8" i="149"/>
  <c r="E23" i="149" s="1"/>
  <c r="F23" i="149" s="1"/>
  <c r="N12" i="150"/>
  <c r="N13" i="150" s="1"/>
  <c r="L13" i="150"/>
  <c r="M12" i="150"/>
  <c r="M13" i="150" s="1"/>
  <c r="L18" i="148"/>
  <c r="K19" i="148"/>
  <c r="K13" i="149"/>
  <c r="L12" i="149"/>
  <c r="L13" i="148"/>
  <c r="M12" i="148"/>
  <c r="M13" i="148" s="1"/>
  <c r="N12" i="148"/>
  <c r="N13" i="148" s="1"/>
  <c r="L13" i="147"/>
  <c r="M12" i="147"/>
  <c r="M13" i="147" s="1"/>
  <c r="N12" i="147"/>
  <c r="N13" i="147" s="1"/>
  <c r="D8" i="147"/>
  <c r="E23" i="147" s="1"/>
  <c r="F23" i="147" s="1"/>
  <c r="L19" i="147"/>
  <c r="N18" i="147"/>
  <c r="N19" i="147" s="1"/>
  <c r="M18" i="147"/>
  <c r="M19" i="147" s="1"/>
  <c r="L19" i="146"/>
  <c r="N18" i="146"/>
  <c r="N19" i="146" s="1"/>
  <c r="M18" i="146"/>
  <c r="M19" i="146" s="1"/>
  <c r="D14" i="145"/>
  <c r="E24" i="145" s="1"/>
  <c r="F24" i="145" s="1"/>
  <c r="L19" i="145"/>
  <c r="N18" i="145"/>
  <c r="N19" i="145" s="1"/>
  <c r="M18" i="145"/>
  <c r="M19" i="145" s="1"/>
  <c r="K13" i="144"/>
  <c r="L12" i="144"/>
  <c r="N6" i="144"/>
  <c r="N7" i="144" s="1"/>
  <c r="M6" i="144"/>
  <c r="M7" i="144" s="1"/>
  <c r="L7" i="144"/>
  <c r="N18" i="144"/>
  <c r="N19" i="144" s="1"/>
  <c r="D20" i="144" s="1"/>
  <c r="E25" i="144" s="1"/>
  <c r="F25" i="144" s="1"/>
  <c r="M18" i="144"/>
  <c r="M19" i="144" s="1"/>
  <c r="L19" i="144"/>
  <c r="N12" i="143"/>
  <c r="N13" i="143" s="1"/>
  <c r="L13" i="143"/>
  <c r="M12" i="143"/>
  <c r="M13" i="143" s="1"/>
  <c r="L19" i="143"/>
  <c r="M18" i="143"/>
  <c r="M19" i="143" s="1"/>
  <c r="N18" i="143"/>
  <c r="N19" i="143" s="1"/>
  <c r="N6" i="140"/>
  <c r="N7" i="140" s="1"/>
  <c r="M6" i="140"/>
  <c r="M7" i="140" s="1"/>
  <c r="L7" i="140"/>
  <c r="D8" i="140" s="1"/>
  <c r="E23" i="140" s="1"/>
  <c r="F23" i="140" s="1"/>
  <c r="M6" i="138"/>
  <c r="M7" i="138" s="1"/>
  <c r="L7" i="138"/>
  <c r="N6" i="138"/>
  <c r="N7" i="138" s="1"/>
  <c r="N12" i="142"/>
  <c r="N13" i="142" s="1"/>
  <c r="L13" i="142"/>
  <c r="M12" i="142"/>
  <c r="M13" i="142" s="1"/>
  <c r="D8" i="142"/>
  <c r="E23" i="142" s="1"/>
  <c r="F23" i="142" s="1"/>
  <c r="L19" i="142"/>
  <c r="M18" i="142"/>
  <c r="M19" i="142" s="1"/>
  <c r="N18" i="142"/>
  <c r="N19" i="142" s="1"/>
  <c r="L19" i="141"/>
  <c r="N18" i="141"/>
  <c r="N19" i="141" s="1"/>
  <c r="M18" i="141"/>
  <c r="M19" i="141" s="1"/>
  <c r="N12" i="141"/>
  <c r="N13" i="141" s="1"/>
  <c r="L13" i="141"/>
  <c r="M12" i="141"/>
  <c r="M13" i="141" s="1"/>
  <c r="L19" i="140"/>
  <c r="N18" i="140"/>
  <c r="N19" i="140" s="1"/>
  <c r="M18" i="140"/>
  <c r="M19" i="140" s="1"/>
  <c r="L13" i="140"/>
  <c r="M12" i="140"/>
  <c r="M13" i="140" s="1"/>
  <c r="N12" i="140"/>
  <c r="N13" i="140" s="1"/>
  <c r="N12" i="139"/>
  <c r="N13" i="139" s="1"/>
  <c r="L13" i="139"/>
  <c r="M12" i="139"/>
  <c r="M13" i="139" s="1"/>
  <c r="L19" i="139"/>
  <c r="N18" i="139"/>
  <c r="N19" i="139" s="1"/>
  <c r="M18" i="139"/>
  <c r="M19" i="139" s="1"/>
  <c r="L13" i="138"/>
  <c r="M12" i="138"/>
  <c r="M13" i="138" s="1"/>
  <c r="N12" i="138"/>
  <c r="N13" i="138" s="1"/>
  <c r="L19" i="138"/>
  <c r="N18" i="138"/>
  <c r="N19" i="138" s="1"/>
  <c r="M18" i="138"/>
  <c r="M19" i="138" s="1"/>
  <c r="N12" i="137"/>
  <c r="N13" i="137" s="1"/>
  <c r="L13" i="137"/>
  <c r="M12" i="137"/>
  <c r="M13" i="137" s="1"/>
  <c r="L19" i="137"/>
  <c r="N18" i="137"/>
  <c r="N19" i="137" s="1"/>
  <c r="M18" i="137"/>
  <c r="M19" i="137" s="1"/>
  <c r="D8" i="137"/>
  <c r="E23" i="137" s="1"/>
  <c r="F23" i="137" s="1"/>
  <c r="N6" i="136"/>
  <c r="N7" i="136" s="1"/>
  <c r="L7" i="136"/>
  <c r="M6" i="136"/>
  <c r="M7" i="136" s="1"/>
  <c r="D8" i="136" s="1"/>
  <c r="E23" i="136" s="1"/>
  <c r="F23" i="136" s="1"/>
  <c r="N12" i="136"/>
  <c r="N13" i="136" s="1"/>
  <c r="L13" i="136"/>
  <c r="M12" i="136"/>
  <c r="M13" i="136" s="1"/>
  <c r="L19" i="136"/>
  <c r="N18" i="136"/>
  <c r="N19" i="136" s="1"/>
  <c r="M18" i="136"/>
  <c r="M19" i="136" s="1"/>
  <c r="N12" i="135"/>
  <c r="N13" i="135" s="1"/>
  <c r="L13" i="135"/>
  <c r="M12" i="135"/>
  <c r="M13" i="135" s="1"/>
  <c r="L19" i="135"/>
  <c r="N18" i="135"/>
  <c r="N19" i="135" s="1"/>
  <c r="M18" i="135"/>
  <c r="M19" i="135" s="1"/>
  <c r="L18" i="134"/>
  <c r="K19" i="134"/>
  <c r="K13" i="134"/>
  <c r="L12" i="134"/>
  <c r="N6" i="134"/>
  <c r="N7" i="134" s="1"/>
  <c r="M6" i="134"/>
  <c r="M7" i="134" s="1"/>
  <c r="L7" i="134"/>
  <c r="L18" i="133"/>
  <c r="K19" i="133"/>
  <c r="M6" i="133"/>
  <c r="M7" i="133" s="1"/>
  <c r="L7" i="133"/>
  <c r="N6" i="133"/>
  <c r="N7" i="133" s="1"/>
  <c r="L12" i="133"/>
  <c r="K13" i="133"/>
  <c r="L18" i="132"/>
  <c r="K19" i="132"/>
  <c r="K13" i="132"/>
  <c r="L12" i="132"/>
  <c r="N6" i="132"/>
  <c r="N7" i="132" s="1"/>
  <c r="M6" i="132"/>
  <c r="M7" i="132" s="1"/>
  <c r="L7" i="132"/>
  <c r="L18" i="131"/>
  <c r="K19" i="131"/>
  <c r="N6" i="131"/>
  <c r="N7" i="131" s="1"/>
  <c r="M6" i="131"/>
  <c r="M7" i="131" s="1"/>
  <c r="L7" i="131"/>
  <c r="K13" i="131"/>
  <c r="L12" i="131"/>
  <c r="K13" i="130"/>
  <c r="L12" i="130"/>
  <c r="L18" i="130"/>
  <c r="K19" i="130"/>
  <c r="D8" i="130"/>
  <c r="E23" i="130" s="1"/>
  <c r="F23" i="130" s="1"/>
  <c r="D8" i="129"/>
  <c r="E23" i="129" s="1"/>
  <c r="F23" i="129" s="1"/>
  <c r="K13" i="129"/>
  <c r="L12" i="129"/>
  <c r="L18" i="129"/>
  <c r="K19" i="129"/>
  <c r="L18" i="128"/>
  <c r="K19" i="128"/>
  <c r="K13" i="128"/>
  <c r="L12" i="128"/>
  <c r="D8" i="128"/>
  <c r="E23" i="128" s="1"/>
  <c r="F23" i="128" s="1"/>
  <c r="K7" i="127"/>
  <c r="L6" i="127"/>
  <c r="L6" i="118"/>
  <c r="K7" i="118"/>
  <c r="L12" i="127"/>
  <c r="L13" i="127" s="1"/>
  <c r="L18" i="127"/>
  <c r="K19" i="127"/>
  <c r="L18" i="126"/>
  <c r="K19" i="126"/>
  <c r="N6" i="126"/>
  <c r="N7" i="126" s="1"/>
  <c r="M6" i="126"/>
  <c r="M7" i="126" s="1"/>
  <c r="L7" i="126"/>
  <c r="L12" i="126"/>
  <c r="L13" i="126" s="1"/>
  <c r="K13" i="125"/>
  <c r="L12" i="125"/>
  <c r="L18" i="125"/>
  <c r="K19" i="125"/>
  <c r="D8" i="125"/>
  <c r="E23" i="125" s="1"/>
  <c r="F23" i="125" s="1"/>
  <c r="L18" i="124"/>
  <c r="K19" i="124"/>
  <c r="N6" i="124"/>
  <c r="N7" i="124" s="1"/>
  <c r="M6" i="124"/>
  <c r="M7" i="124" s="1"/>
  <c r="L7" i="124"/>
  <c r="K13" i="124"/>
  <c r="L12" i="124"/>
  <c r="L18" i="123"/>
  <c r="K19" i="123"/>
  <c r="N6" i="123"/>
  <c r="N7" i="123" s="1"/>
  <c r="M6" i="123"/>
  <c r="M7" i="123" s="1"/>
  <c r="L7" i="123"/>
  <c r="L12" i="123"/>
  <c r="L13" i="123" s="1"/>
  <c r="N12" i="122"/>
  <c r="N13" i="122" s="1"/>
  <c r="L13" i="122"/>
  <c r="M12" i="122"/>
  <c r="M13" i="122" s="1"/>
  <c r="D8" i="122"/>
  <c r="E23" i="122" s="1"/>
  <c r="F23" i="122" s="1"/>
  <c r="L18" i="122"/>
  <c r="K19" i="122"/>
  <c r="D8" i="121"/>
  <c r="E23" i="121" s="1"/>
  <c r="F23" i="121" s="1"/>
  <c r="K13" i="121"/>
  <c r="L12" i="121"/>
  <c r="L18" i="121"/>
  <c r="K19" i="121"/>
  <c r="D8" i="120"/>
  <c r="E23" i="120" s="1"/>
  <c r="F23" i="120" s="1"/>
  <c r="L18" i="120"/>
  <c r="K19" i="120"/>
  <c r="K13" i="120"/>
  <c r="L12" i="120"/>
  <c r="D8" i="119"/>
  <c r="E23" i="119" s="1"/>
  <c r="F23" i="119" s="1"/>
  <c r="L18" i="119"/>
  <c r="K19" i="119"/>
  <c r="K13" i="119"/>
  <c r="L12" i="119"/>
  <c r="L18" i="118"/>
  <c r="K19" i="118"/>
  <c r="L12" i="118"/>
  <c r="L13" i="118" s="1"/>
  <c r="L19" i="117"/>
  <c r="M18" i="117"/>
  <c r="M19" i="117" s="1"/>
  <c r="N18" i="117"/>
  <c r="N19" i="117" s="1"/>
  <c r="L12" i="117"/>
  <c r="L13" i="117" s="1"/>
  <c r="D8" i="117"/>
  <c r="E23" i="117" s="1"/>
  <c r="F23" i="117" s="1"/>
  <c r="L12" i="116"/>
  <c r="D8" i="116"/>
  <c r="E23" i="116" s="1"/>
  <c r="F23" i="116" s="1"/>
  <c r="L18" i="116"/>
  <c r="K19" i="116"/>
  <c r="L12" i="114"/>
  <c r="L13" i="114" s="1"/>
  <c r="L18" i="114"/>
  <c r="L19" i="114" s="1"/>
  <c r="N7" i="114"/>
  <c r="M6" i="114"/>
  <c r="M7" i="114" s="1"/>
  <c r="L7" i="114"/>
  <c r="L12" i="111"/>
  <c r="K18" i="111"/>
  <c r="D20" i="150" l="1"/>
  <c r="E25" i="150" s="1"/>
  <c r="F25" i="150" s="1"/>
  <c r="D20" i="147"/>
  <c r="E25" i="147" s="1"/>
  <c r="F25" i="147" s="1"/>
  <c r="D14" i="147"/>
  <c r="E24" i="147" s="1"/>
  <c r="F24" i="147" s="1"/>
  <c r="F26" i="147" s="1"/>
  <c r="D20" i="35" s="1"/>
  <c r="E20" i="35" s="1"/>
  <c r="D20" i="158"/>
  <c r="E25" i="158" s="1"/>
  <c r="F25" i="158" s="1"/>
  <c r="D14" i="158"/>
  <c r="E24" i="158" s="1"/>
  <c r="F24" i="158" s="1"/>
  <c r="F26" i="158" s="1"/>
  <c r="D31" i="35" s="1"/>
  <c r="E31" i="35" s="1"/>
  <c r="D14" i="157"/>
  <c r="E24" i="157" s="1"/>
  <c r="F24" i="157" s="1"/>
  <c r="D20" i="157"/>
  <c r="E25" i="157" s="1"/>
  <c r="F25" i="157" s="1"/>
  <c r="D20" i="153"/>
  <c r="E25" i="153" s="1"/>
  <c r="F25" i="153" s="1"/>
  <c r="D14" i="152"/>
  <c r="E24" i="152" s="1"/>
  <c r="F24" i="152" s="1"/>
  <c r="D8" i="152"/>
  <c r="E23" i="152" s="1"/>
  <c r="F23" i="152" s="1"/>
  <c r="D8" i="145"/>
  <c r="E23" i="145" s="1"/>
  <c r="F23" i="145" s="1"/>
  <c r="L13" i="154"/>
  <c r="M12" i="154"/>
  <c r="M13" i="154" s="1"/>
  <c r="N12" i="154"/>
  <c r="N13" i="154" s="1"/>
  <c r="D20" i="156"/>
  <c r="E25" i="156" s="1"/>
  <c r="F25" i="156" s="1"/>
  <c r="F26" i="156" s="1"/>
  <c r="N12" i="155"/>
  <c r="N13" i="155" s="1"/>
  <c r="L13" i="155"/>
  <c r="M12" i="155"/>
  <c r="M13" i="155" s="1"/>
  <c r="M12" i="153"/>
  <c r="M13" i="153" s="1"/>
  <c r="L13" i="153"/>
  <c r="N12" i="153"/>
  <c r="N13" i="153" s="1"/>
  <c r="D8" i="155"/>
  <c r="E23" i="155" s="1"/>
  <c r="F23" i="155" s="1"/>
  <c r="N18" i="151"/>
  <c r="N19" i="151" s="1"/>
  <c r="M18" i="151"/>
  <c r="M19" i="151" s="1"/>
  <c r="L19" i="151"/>
  <c r="D20" i="155"/>
  <c r="E25" i="155" s="1"/>
  <c r="F25" i="155" s="1"/>
  <c r="N12" i="151"/>
  <c r="N13" i="151" s="1"/>
  <c r="M12" i="151"/>
  <c r="M13" i="151" s="1"/>
  <c r="L13" i="151"/>
  <c r="N12" i="149"/>
  <c r="N13" i="149" s="1"/>
  <c r="L13" i="149"/>
  <c r="M12" i="149"/>
  <c r="M13" i="149" s="1"/>
  <c r="D20" i="149"/>
  <c r="E25" i="149" s="1"/>
  <c r="F25" i="149" s="1"/>
  <c r="D14" i="150"/>
  <c r="E24" i="150" s="1"/>
  <c r="F24" i="150" s="1"/>
  <c r="D14" i="148"/>
  <c r="E24" i="148" s="1"/>
  <c r="F24" i="148" s="1"/>
  <c r="M18" i="148"/>
  <c r="M19" i="148" s="1"/>
  <c r="N18" i="148"/>
  <c r="N19" i="148" s="1"/>
  <c r="L19" i="148"/>
  <c r="D20" i="146"/>
  <c r="E25" i="146" s="1"/>
  <c r="F25" i="146" s="1"/>
  <c r="F26" i="146" s="1"/>
  <c r="D21" i="35" s="1"/>
  <c r="E21" i="35" s="1"/>
  <c r="D20" i="145"/>
  <c r="E25" i="145" s="1"/>
  <c r="F25" i="145" s="1"/>
  <c r="D8" i="144"/>
  <c r="E23" i="144" s="1"/>
  <c r="F23" i="144" s="1"/>
  <c r="L13" i="144"/>
  <c r="M12" i="144"/>
  <c r="M13" i="144" s="1"/>
  <c r="N12" i="144"/>
  <c r="N13" i="144" s="1"/>
  <c r="D14" i="144" s="1"/>
  <c r="E24" i="144" s="1"/>
  <c r="F24" i="144" s="1"/>
  <c r="D14" i="143"/>
  <c r="E24" i="143" s="1"/>
  <c r="F24" i="143" s="1"/>
  <c r="D20" i="143"/>
  <c r="E25" i="143" s="1"/>
  <c r="F25" i="143" s="1"/>
  <c r="D14" i="140"/>
  <c r="E24" i="140" s="1"/>
  <c r="F24" i="140" s="1"/>
  <c r="D20" i="139"/>
  <c r="E25" i="139" s="1"/>
  <c r="F25" i="139" s="1"/>
  <c r="D8" i="138"/>
  <c r="E23" i="138" s="1"/>
  <c r="F23" i="138" s="1"/>
  <c r="D14" i="138"/>
  <c r="E24" i="138" s="1"/>
  <c r="F24" i="138" s="1"/>
  <c r="D20" i="142"/>
  <c r="E25" i="142" s="1"/>
  <c r="F25" i="142" s="1"/>
  <c r="D14" i="142"/>
  <c r="E24" i="142" s="1"/>
  <c r="F24" i="142" s="1"/>
  <c r="F26" i="142" s="1"/>
  <c r="D15" i="35" s="1"/>
  <c r="E15" i="35" s="1"/>
  <c r="D20" i="141"/>
  <c r="E25" i="141" s="1"/>
  <c r="F25" i="141" s="1"/>
  <c r="D14" i="141"/>
  <c r="E24" i="141" s="1"/>
  <c r="F24" i="141" s="1"/>
  <c r="D20" i="140"/>
  <c r="E25" i="140" s="1"/>
  <c r="F25" i="140" s="1"/>
  <c r="F26" i="140" s="1"/>
  <c r="D14" i="35" s="1"/>
  <c r="E14" i="35" s="1"/>
  <c r="D14" i="139"/>
  <c r="E24" i="139" s="1"/>
  <c r="F24" i="139" s="1"/>
  <c r="D20" i="138"/>
  <c r="E25" i="138" s="1"/>
  <c r="F25" i="138" s="1"/>
  <c r="D20" i="137"/>
  <c r="E25" i="137" s="1"/>
  <c r="F25" i="137" s="1"/>
  <c r="D14" i="137"/>
  <c r="E24" i="137" s="1"/>
  <c r="F24" i="137" s="1"/>
  <c r="F26" i="137" s="1"/>
  <c r="D10" i="35" s="1"/>
  <c r="E10" i="35" s="1"/>
  <c r="D20" i="135"/>
  <c r="E25" i="135" s="1"/>
  <c r="F25" i="135" s="1"/>
  <c r="D20" i="136"/>
  <c r="E25" i="136" s="1"/>
  <c r="F25" i="136" s="1"/>
  <c r="D14" i="136"/>
  <c r="E24" i="136" s="1"/>
  <c r="F24" i="136" s="1"/>
  <c r="F26" i="136" s="1"/>
  <c r="D8" i="35" s="1"/>
  <c r="E8" i="35" s="1"/>
  <c r="D14" i="135"/>
  <c r="E24" i="135" s="1"/>
  <c r="F24" i="135" s="1"/>
  <c r="D8" i="133"/>
  <c r="E23" i="133" s="1"/>
  <c r="F23" i="133" s="1"/>
  <c r="D8" i="134"/>
  <c r="E23" i="134" s="1"/>
  <c r="F23" i="134" s="1"/>
  <c r="N12" i="134"/>
  <c r="N13" i="134" s="1"/>
  <c r="L13" i="134"/>
  <c r="M12" i="134"/>
  <c r="M13" i="134" s="1"/>
  <c r="L19" i="134"/>
  <c r="M18" i="134"/>
  <c r="M19" i="134" s="1"/>
  <c r="N18" i="134"/>
  <c r="N19" i="134" s="1"/>
  <c r="N12" i="133"/>
  <c r="N13" i="133" s="1"/>
  <c r="L13" i="133"/>
  <c r="M12" i="133"/>
  <c r="M13" i="133" s="1"/>
  <c r="L19" i="133"/>
  <c r="N18" i="133"/>
  <c r="N19" i="133" s="1"/>
  <c r="M18" i="133"/>
  <c r="M19" i="133" s="1"/>
  <c r="D8" i="132"/>
  <c r="E23" i="132" s="1"/>
  <c r="F23" i="132" s="1"/>
  <c r="N12" i="132"/>
  <c r="N13" i="132" s="1"/>
  <c r="L13" i="132"/>
  <c r="M12" i="132"/>
  <c r="M13" i="132" s="1"/>
  <c r="L19" i="132"/>
  <c r="M18" i="132"/>
  <c r="M19" i="132" s="1"/>
  <c r="N18" i="132"/>
  <c r="N19" i="132" s="1"/>
  <c r="D8" i="131"/>
  <c r="E23" i="131" s="1"/>
  <c r="F23" i="131" s="1"/>
  <c r="L13" i="131"/>
  <c r="M12" i="131"/>
  <c r="M13" i="131" s="1"/>
  <c r="N12" i="131"/>
  <c r="N13" i="131" s="1"/>
  <c r="D14" i="131" s="1"/>
  <c r="E24" i="131" s="1"/>
  <c r="F24" i="131" s="1"/>
  <c r="L19" i="131"/>
  <c r="N18" i="131"/>
  <c r="N19" i="131" s="1"/>
  <c r="D20" i="131" s="1"/>
  <c r="E25" i="131" s="1"/>
  <c r="F25" i="131" s="1"/>
  <c r="M18" i="131"/>
  <c r="M19" i="131" s="1"/>
  <c r="L19" i="130"/>
  <c r="M18" i="130"/>
  <c r="M19" i="130" s="1"/>
  <c r="N18" i="130"/>
  <c r="N19" i="130" s="1"/>
  <c r="L13" i="130"/>
  <c r="M12" i="130"/>
  <c r="M13" i="130" s="1"/>
  <c r="N12" i="130"/>
  <c r="N13" i="130" s="1"/>
  <c r="L19" i="129"/>
  <c r="M18" i="129"/>
  <c r="M19" i="129" s="1"/>
  <c r="N18" i="129"/>
  <c r="N19" i="129" s="1"/>
  <c r="L13" i="129"/>
  <c r="M12" i="129"/>
  <c r="M13" i="129" s="1"/>
  <c r="N12" i="129"/>
  <c r="N13" i="129" s="1"/>
  <c r="N12" i="128"/>
  <c r="N13" i="128" s="1"/>
  <c r="L13" i="128"/>
  <c r="M12" i="128"/>
  <c r="M13" i="128" s="1"/>
  <c r="L19" i="128"/>
  <c r="N18" i="128"/>
  <c r="N19" i="128" s="1"/>
  <c r="M18" i="128"/>
  <c r="M19" i="128" s="1"/>
  <c r="L7" i="127"/>
  <c r="N6" i="127"/>
  <c r="N7" i="127" s="1"/>
  <c r="M6" i="127"/>
  <c r="M7" i="127" s="1"/>
  <c r="M6" i="118"/>
  <c r="M7" i="118" s="1"/>
  <c r="L7" i="118"/>
  <c r="N6" i="118"/>
  <c r="N7" i="118" s="1"/>
  <c r="D20" i="117"/>
  <c r="E25" i="117" s="1"/>
  <c r="F25" i="117" s="1"/>
  <c r="L19" i="127"/>
  <c r="N18" i="127"/>
  <c r="N19" i="127" s="1"/>
  <c r="M18" i="127"/>
  <c r="M19" i="127" s="1"/>
  <c r="N12" i="127"/>
  <c r="N13" i="127" s="1"/>
  <c r="M12" i="127"/>
  <c r="M13" i="127" s="1"/>
  <c r="D8" i="126"/>
  <c r="E23" i="126" s="1"/>
  <c r="F23" i="126" s="1"/>
  <c r="N12" i="126"/>
  <c r="N13" i="126" s="1"/>
  <c r="M12" i="126"/>
  <c r="M13" i="126" s="1"/>
  <c r="L19" i="126"/>
  <c r="M18" i="126"/>
  <c r="M19" i="126" s="1"/>
  <c r="N18" i="126"/>
  <c r="N19" i="126" s="1"/>
  <c r="L19" i="125"/>
  <c r="N18" i="125"/>
  <c r="N19" i="125" s="1"/>
  <c r="M18" i="125"/>
  <c r="M19" i="125" s="1"/>
  <c r="L13" i="125"/>
  <c r="M12" i="125"/>
  <c r="M13" i="125" s="1"/>
  <c r="N12" i="125"/>
  <c r="N13" i="125" s="1"/>
  <c r="D8" i="124"/>
  <c r="E23" i="124" s="1"/>
  <c r="F23" i="124" s="1"/>
  <c r="N12" i="124"/>
  <c r="N13" i="124" s="1"/>
  <c r="L13" i="124"/>
  <c r="M12" i="124"/>
  <c r="M13" i="124" s="1"/>
  <c r="L19" i="124"/>
  <c r="M18" i="124"/>
  <c r="M19" i="124" s="1"/>
  <c r="N18" i="124"/>
  <c r="N19" i="124" s="1"/>
  <c r="D8" i="123"/>
  <c r="E23" i="123" s="1"/>
  <c r="F23" i="123" s="1"/>
  <c r="M12" i="123"/>
  <c r="M13" i="123" s="1"/>
  <c r="N12" i="123"/>
  <c r="N13" i="123" s="1"/>
  <c r="L19" i="123"/>
  <c r="N18" i="123"/>
  <c r="N19" i="123" s="1"/>
  <c r="M18" i="123"/>
  <c r="M19" i="123" s="1"/>
  <c r="L19" i="122"/>
  <c r="N18" i="122"/>
  <c r="N19" i="122" s="1"/>
  <c r="M18" i="122"/>
  <c r="M19" i="122" s="1"/>
  <c r="D14" i="122"/>
  <c r="E24" i="122" s="1"/>
  <c r="F24" i="122" s="1"/>
  <c r="L19" i="121"/>
  <c r="M18" i="121"/>
  <c r="M19" i="121" s="1"/>
  <c r="N18" i="121"/>
  <c r="N19" i="121" s="1"/>
  <c r="D20" i="121" s="1"/>
  <c r="E25" i="121" s="1"/>
  <c r="F25" i="121" s="1"/>
  <c r="N12" i="121"/>
  <c r="N13" i="121" s="1"/>
  <c r="L13" i="121"/>
  <c r="M12" i="121"/>
  <c r="M13" i="121" s="1"/>
  <c r="L19" i="120"/>
  <c r="M18" i="120"/>
  <c r="M19" i="120" s="1"/>
  <c r="N18" i="120"/>
  <c r="N19" i="120" s="1"/>
  <c r="N12" i="120"/>
  <c r="N13" i="120" s="1"/>
  <c r="L13" i="120"/>
  <c r="M12" i="120"/>
  <c r="M13" i="120" s="1"/>
  <c r="N12" i="119"/>
  <c r="N13" i="119" s="1"/>
  <c r="L13" i="119"/>
  <c r="M12" i="119"/>
  <c r="M13" i="119" s="1"/>
  <c r="L19" i="119"/>
  <c r="N18" i="119"/>
  <c r="N19" i="119" s="1"/>
  <c r="M18" i="119"/>
  <c r="M19" i="119" s="1"/>
  <c r="M12" i="118"/>
  <c r="M13" i="118" s="1"/>
  <c r="N12" i="118"/>
  <c r="N13" i="118" s="1"/>
  <c r="D14" i="118" s="1"/>
  <c r="E24" i="118" s="1"/>
  <c r="F24" i="118" s="1"/>
  <c r="L19" i="118"/>
  <c r="N18" i="118"/>
  <c r="N19" i="118" s="1"/>
  <c r="D20" i="118" s="1"/>
  <c r="E25" i="118" s="1"/>
  <c r="F25" i="118" s="1"/>
  <c r="M18" i="118"/>
  <c r="M19" i="118" s="1"/>
  <c r="N12" i="117"/>
  <c r="N13" i="117" s="1"/>
  <c r="M12" i="117"/>
  <c r="M13" i="117" s="1"/>
  <c r="L19" i="116"/>
  <c r="N18" i="116"/>
  <c r="N19" i="116" s="1"/>
  <c r="M18" i="116"/>
  <c r="M19" i="116" s="1"/>
  <c r="N12" i="116"/>
  <c r="N13" i="116" s="1"/>
  <c r="M12" i="116"/>
  <c r="N12" i="114"/>
  <c r="N13" i="114" s="1"/>
  <c r="M12" i="114"/>
  <c r="M13" i="114" s="1"/>
  <c r="D8" i="114"/>
  <c r="E23" i="114" s="1"/>
  <c r="F23" i="114" s="1"/>
  <c r="N18" i="114"/>
  <c r="N19" i="114" s="1"/>
  <c r="M18" i="114"/>
  <c r="M19" i="114" s="1"/>
  <c r="L18" i="111"/>
  <c r="N12" i="111"/>
  <c r="N13" i="111" s="1"/>
  <c r="M12" i="111"/>
  <c r="F26" i="150" l="1"/>
  <c r="D20" i="130"/>
  <c r="E25" i="130" s="1"/>
  <c r="F25" i="130" s="1"/>
  <c r="F26" i="157"/>
  <c r="D28" i="35" s="1"/>
  <c r="E28" i="35" s="1"/>
  <c r="D14" i="154"/>
  <c r="E24" i="154" s="1"/>
  <c r="F24" i="154" s="1"/>
  <c r="F26" i="154" s="1"/>
  <c r="D29" i="35" s="1"/>
  <c r="E29" i="35" s="1"/>
  <c r="F26" i="152"/>
  <c r="D26" i="35" s="1"/>
  <c r="E26" i="35" s="1"/>
  <c r="F26" i="145"/>
  <c r="D22" i="35" s="1"/>
  <c r="E22" i="35" s="1"/>
  <c r="D14" i="155"/>
  <c r="E24" i="155" s="1"/>
  <c r="F24" i="155" s="1"/>
  <c r="F26" i="155" s="1"/>
  <c r="D30" i="35" s="1"/>
  <c r="E30" i="35" s="1"/>
  <c r="D14" i="151"/>
  <c r="E24" i="151" s="1"/>
  <c r="F24" i="151" s="1"/>
  <c r="D14" i="153"/>
  <c r="E24" i="153" s="1"/>
  <c r="F24" i="153" s="1"/>
  <c r="F26" i="153" s="1"/>
  <c r="D27" i="35" s="1"/>
  <c r="E27" i="35" s="1"/>
  <c r="D20" i="151"/>
  <c r="E25" i="151" s="1"/>
  <c r="F25" i="151" s="1"/>
  <c r="D20" i="148"/>
  <c r="E25" i="148" s="1"/>
  <c r="F25" i="148" s="1"/>
  <c r="F26" i="148" s="1"/>
  <c r="D23" i="35" s="1"/>
  <c r="E23" i="35" s="1"/>
  <c r="D14" i="149"/>
  <c r="E24" i="149" s="1"/>
  <c r="F24" i="149" s="1"/>
  <c r="F26" i="149" s="1"/>
  <c r="D24" i="35" s="1"/>
  <c r="E24" i="35" s="1"/>
  <c r="F26" i="144"/>
  <c r="D18" i="35" s="1"/>
  <c r="E18" i="35" s="1"/>
  <c r="F26" i="143"/>
  <c r="D16" i="35" s="1"/>
  <c r="E16" i="35" s="1"/>
  <c r="F26" i="141"/>
  <c r="D13" i="35" s="1"/>
  <c r="E13" i="35" s="1"/>
  <c r="F26" i="139"/>
  <c r="D12" i="35" s="1"/>
  <c r="E12" i="35" s="1"/>
  <c r="F26" i="138"/>
  <c r="D11" i="35" s="1"/>
  <c r="E11" i="35" s="1"/>
  <c r="F26" i="135"/>
  <c r="D9" i="35" s="1"/>
  <c r="E9" i="35" s="1"/>
  <c r="D20" i="133"/>
  <c r="E25" i="133" s="1"/>
  <c r="F25" i="133" s="1"/>
  <c r="D14" i="134"/>
  <c r="E24" i="134" s="1"/>
  <c r="F24" i="134" s="1"/>
  <c r="D20" i="134"/>
  <c r="E25" i="134" s="1"/>
  <c r="F25" i="134" s="1"/>
  <c r="D14" i="133"/>
  <c r="E24" i="133" s="1"/>
  <c r="F24" i="133" s="1"/>
  <c r="D14" i="132"/>
  <c r="E24" i="132" s="1"/>
  <c r="F24" i="132" s="1"/>
  <c r="D20" i="132"/>
  <c r="E25" i="132" s="1"/>
  <c r="F25" i="132" s="1"/>
  <c r="F26" i="131"/>
  <c r="D14" i="130"/>
  <c r="E24" i="130" s="1"/>
  <c r="F24" i="130" s="1"/>
  <c r="F26" i="130" s="1"/>
  <c r="D53" i="35" s="1"/>
  <c r="E53" i="35" s="1"/>
  <c r="D14" i="129"/>
  <c r="E24" i="129" s="1"/>
  <c r="F24" i="129" s="1"/>
  <c r="D20" i="129"/>
  <c r="E25" i="129" s="1"/>
  <c r="F25" i="129" s="1"/>
  <c r="D20" i="128"/>
  <c r="E25" i="128" s="1"/>
  <c r="F25" i="128" s="1"/>
  <c r="D14" i="128"/>
  <c r="E24" i="128" s="1"/>
  <c r="F24" i="128" s="1"/>
  <c r="D20" i="120"/>
  <c r="E25" i="120" s="1"/>
  <c r="F25" i="120" s="1"/>
  <c r="D8" i="127"/>
  <c r="E23" i="127" s="1"/>
  <c r="F23" i="127" s="1"/>
  <c r="D8" i="118"/>
  <c r="E23" i="118" s="1"/>
  <c r="F23" i="118" s="1"/>
  <c r="F26" i="118"/>
  <c r="D20" i="116"/>
  <c r="E25" i="116" s="1"/>
  <c r="F25" i="116" s="1"/>
  <c r="D14" i="127"/>
  <c r="E24" i="127" s="1"/>
  <c r="F24" i="127" s="1"/>
  <c r="D20" i="127"/>
  <c r="E25" i="127" s="1"/>
  <c r="F25" i="127" s="1"/>
  <c r="D14" i="126"/>
  <c r="E24" i="126" s="1"/>
  <c r="F24" i="126" s="1"/>
  <c r="D20" i="126"/>
  <c r="E25" i="126" s="1"/>
  <c r="F25" i="126" s="1"/>
  <c r="D20" i="125"/>
  <c r="E25" i="125" s="1"/>
  <c r="F25" i="125" s="1"/>
  <c r="D14" i="125"/>
  <c r="E24" i="125" s="1"/>
  <c r="F24" i="125" s="1"/>
  <c r="D14" i="124"/>
  <c r="E24" i="124" s="1"/>
  <c r="F24" i="124" s="1"/>
  <c r="D20" i="124"/>
  <c r="E25" i="124" s="1"/>
  <c r="F25" i="124" s="1"/>
  <c r="D20" i="123"/>
  <c r="E25" i="123" s="1"/>
  <c r="F25" i="123" s="1"/>
  <c r="D14" i="123"/>
  <c r="E24" i="123" s="1"/>
  <c r="F24" i="123" s="1"/>
  <c r="F26" i="123" s="1"/>
  <c r="D20" i="122"/>
  <c r="E25" i="122" s="1"/>
  <c r="F25" i="122" s="1"/>
  <c r="F26" i="122" s="1"/>
  <c r="D44" i="35" s="1"/>
  <c r="E44" i="35" s="1"/>
  <c r="D14" i="121"/>
  <c r="E24" i="121" s="1"/>
  <c r="F24" i="121" s="1"/>
  <c r="F26" i="121" s="1"/>
  <c r="D45" i="35" s="1"/>
  <c r="E45" i="35" s="1"/>
  <c r="D14" i="120"/>
  <c r="E24" i="120" s="1"/>
  <c r="F24" i="120" s="1"/>
  <c r="F26" i="120" s="1"/>
  <c r="D20" i="119"/>
  <c r="E25" i="119" s="1"/>
  <c r="F25" i="119" s="1"/>
  <c r="D14" i="119"/>
  <c r="E24" i="119" s="1"/>
  <c r="F24" i="119" s="1"/>
  <c r="D14" i="117"/>
  <c r="E24" i="117" s="1"/>
  <c r="F24" i="117" s="1"/>
  <c r="F26" i="117" s="1"/>
  <c r="D14" i="116"/>
  <c r="E24" i="116" s="1"/>
  <c r="F24" i="116" s="1"/>
  <c r="D20" i="114"/>
  <c r="E25" i="114" s="1"/>
  <c r="F25" i="114" s="1"/>
  <c r="D14" i="114"/>
  <c r="E24" i="114" s="1"/>
  <c r="F24" i="114" s="1"/>
  <c r="D14" i="111"/>
  <c r="E24" i="111" s="1"/>
  <c r="F24" i="111" s="1"/>
  <c r="N18" i="111"/>
  <c r="N19" i="111" s="1"/>
  <c r="M18" i="111"/>
  <c r="F26" i="151" l="1"/>
  <c r="D25" i="35" s="1"/>
  <c r="E25" i="35" s="1"/>
  <c r="D50" i="35"/>
  <c r="E50" i="35" s="1"/>
  <c r="D6" i="35"/>
  <c r="E6" i="35" s="1"/>
  <c r="F26" i="134"/>
  <c r="D5" i="35" s="1"/>
  <c r="E5" i="35" s="1"/>
  <c r="F26" i="133"/>
  <c r="D4" i="35" s="1"/>
  <c r="E4" i="35" s="1"/>
  <c r="F26" i="132"/>
  <c r="D3" i="35" s="1"/>
  <c r="E3" i="35" s="1"/>
  <c r="F26" i="129"/>
  <c r="D52" i="35" s="1"/>
  <c r="E52" i="35" s="1"/>
  <c r="F26" i="128"/>
  <c r="F26" i="126"/>
  <c r="D48" i="35" s="1"/>
  <c r="E48" i="35" s="1"/>
  <c r="F26" i="127"/>
  <c r="D49" i="35" s="1"/>
  <c r="E49" i="35" s="1"/>
  <c r="F26" i="124"/>
  <c r="D46" i="35" s="1"/>
  <c r="E46" i="35" s="1"/>
  <c r="F26" i="116"/>
  <c r="F26" i="125"/>
  <c r="D47" i="35" s="1"/>
  <c r="E47" i="35" s="1"/>
  <c r="F26" i="119"/>
  <c r="F26" i="114"/>
  <c r="D20" i="111"/>
  <c r="E25" i="111" s="1"/>
  <c r="F25" i="111" s="1"/>
  <c r="F26" i="1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Sven Carlin</author>
    <author>tc={FE103CB5-0120-D749-8813-9A49F3560BF3}</author>
  </authors>
  <commentList>
    <comment ref="C1" authorId="0" shapeId="0" xr:uid="{AF1A843A-C02A-4171-9947-A6B27592D982}">
      <text>
        <r>
          <rPr>
            <b/>
            <sz val="9"/>
            <color rgb="FF000000"/>
            <rFont val="Tahoma"/>
            <family val="2"/>
          </rPr>
          <t>Sven Carlin:</t>
        </r>
        <r>
          <rPr>
            <sz val="9"/>
            <color rgb="FF000000"/>
            <rFont val="Tahoma"/>
            <family val="2"/>
          </rPr>
          <t xml:space="preserve">
</t>
        </r>
        <r>
          <rPr>
            <sz val="9"/>
            <color rgb="FF000000"/>
            <rFont val="Tahoma"/>
            <family val="2"/>
          </rPr>
          <t>AUTOMATICALLY SOURCED FROM GOOGLE, MIGHT BE WRONG OFTEN SO CHECK</t>
        </r>
      </text>
    </comment>
    <comment ref="D1" authorId="0" shapeId="0" xr:uid="{581B9426-29C3-4E12-93C0-155D6A41236D}">
      <text>
        <r>
          <rPr>
            <b/>
            <sz val="9"/>
            <color indexed="81"/>
            <rFont val="Tahoma"/>
            <family val="2"/>
          </rPr>
          <t>Sven Carlin:</t>
        </r>
        <r>
          <rPr>
            <sz val="9"/>
            <color indexed="81"/>
            <rFont val="Tahoma"/>
            <family val="2"/>
          </rPr>
          <t xml:space="preserve">
BASED ON AVERAGE FUNDAMENTALS AND MODEL - ANYTHING CAN HAPPEN.
</t>
        </r>
      </text>
    </comment>
    <comment ref="I1" authorId="0" shapeId="0" xr:uid="{578EC91E-B5FD-4648-95AF-075A23F03EBE}">
      <text>
        <r>
          <rPr>
            <b/>
            <sz val="9"/>
            <color indexed="81"/>
            <rFont val="Tahoma"/>
            <family val="2"/>
          </rPr>
          <t>Sven Carlin:</t>
        </r>
        <r>
          <rPr>
            <sz val="9"/>
            <color indexed="81"/>
            <rFont val="Tahoma"/>
            <family val="2"/>
          </rPr>
          <t xml:space="preserve">
FOR 10% likely return - then compare to other things in portoflio! Insert in LARGE PORTFOLIO AT 10%
</t>
        </r>
      </text>
    </comment>
    <comment ref="C32" authorId="1" shapeId="0" xr:uid="{FE103CB5-0120-D749-8813-9A49F3560BF3}">
      <text>
        <t>[Threaded comment]
Your version of Excel allows you to read this threaded comment; however, any edits to it will get removed if the file is opened in a newer version of Excel. Learn more: https://go.microsoft.com/fwlink/?linkid=870924
Comment:
    When evaluating GOOGLEFINANCE, Google Sheets is not authorized to access data for exchange: 'SGX'</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E45744-BD8E-43CC-8245-906CD6856F10}" name="Connection" type="4" refreshedVersion="8" background="1" saveData="1">
    <webPr sourceData="1" parsePre="1" consecutive="1" xl2000="1" url="https://docs.google.com/spreadsheets/d/e/2PACX-1vRF_LdxmFIk5d-HPfE4aFYQo4PYZiC4cCqqzSiOM8c7Mc6FgjOcx6GN6B4t004ut3JP6zlr8thgoyZj/pubhtml"/>
  </connection>
</connections>
</file>

<file path=xl/sharedStrings.xml><?xml version="1.0" encoding="utf-8"?>
<sst xmlns="http://schemas.openxmlformats.org/spreadsheetml/2006/main" count="2857" uniqueCount="431">
  <si>
    <t>Growth rate</t>
  </si>
  <si>
    <t>next 5 years</t>
  </si>
  <si>
    <t>5 to 10 years</t>
  </si>
  <si>
    <t>Discount rate</t>
  </si>
  <si>
    <t>Present value sum</t>
  </si>
  <si>
    <t>Terminal 
Value</t>
  </si>
  <si>
    <t>input cells</t>
  </si>
  <si>
    <t>result cells</t>
  </si>
  <si>
    <t>Scenario 1</t>
  </si>
  <si>
    <t>Scenario 2</t>
  </si>
  <si>
    <t>Scenario 3</t>
  </si>
  <si>
    <t>Sum</t>
  </si>
  <si>
    <t xml:space="preserve">Scenario </t>
  </si>
  <si>
    <t>PV</t>
  </si>
  <si>
    <t>Part</t>
  </si>
  <si>
    <t>Scenario 2 (best case)</t>
  </si>
  <si>
    <t>Probability</t>
  </si>
  <si>
    <t>worst case</t>
  </si>
  <si>
    <t>best case</t>
  </si>
  <si>
    <t>normal case</t>
  </si>
  <si>
    <t>Terminal multiple</t>
  </si>
  <si>
    <t>PV(</t>
  </si>
  <si>
    <t>%)</t>
  </si>
  <si>
    <t>MADE BY</t>
  </si>
  <si>
    <t>Disclaimer: This is just for educational purposes and not for investing advice!</t>
  </si>
  <si>
    <t>STOCK MARKET RESEARCH PLATFORM</t>
  </si>
  <si>
    <t>INTRINSIC VALUE</t>
  </si>
  <si>
    <t>AT&amp;T</t>
  </si>
  <si>
    <t>Scenario 1 (normal case)</t>
  </si>
  <si>
    <t>Scenario 3 (worst case)</t>
  </si>
  <si>
    <t>Kroger</t>
  </si>
  <si>
    <t>Tesla</t>
  </si>
  <si>
    <t>Nestle</t>
  </si>
  <si>
    <t>AMZN</t>
  </si>
  <si>
    <t>KROGER</t>
  </si>
  <si>
    <t>AHOLD</t>
  </si>
  <si>
    <t>LINK TO RESEARCH</t>
  </si>
  <si>
    <t>NIO</t>
  </si>
  <si>
    <t>S&amp;P 500</t>
  </si>
  <si>
    <t>APPLE</t>
  </si>
  <si>
    <t>BRK</t>
  </si>
  <si>
    <t>Comment</t>
  </si>
  <si>
    <t>STOCK</t>
  </si>
  <si>
    <t>TICKER</t>
  </si>
  <si>
    <t>10% RETURN</t>
  </si>
  <si>
    <t>Ratio</t>
  </si>
  <si>
    <t>LINK to RESEARCH</t>
  </si>
  <si>
    <t>INTRINSIC</t>
  </si>
  <si>
    <t>UPDATED</t>
  </si>
  <si>
    <t>MAIN RISK &amp; MARGIN OF SAFETY (MOS) REQUIREMENT FOR RISKS (MOS IS ALWAYS LOW PRICE - if BUY, ok)</t>
  </si>
  <si>
    <t>Strategy</t>
  </si>
  <si>
    <t>WOULD I BUY THIS AT A CERTAIN PRICE (what to think about deeper in such a case)</t>
  </si>
  <si>
    <t>INTRINSIC MARKET CAPS : Sheet1</t>
  </si>
  <si>
    <t>MELCO RESORTS</t>
  </si>
  <si>
    <t>BRK!A1</t>
  </si>
  <si>
    <t>Fresenius</t>
  </si>
  <si>
    <t>FRE MED</t>
  </si>
  <si>
    <t>Google</t>
  </si>
  <si>
    <t>MSFT</t>
  </si>
  <si>
    <t>Tencent</t>
  </si>
  <si>
    <t>TSM</t>
  </si>
  <si>
    <t>SFM</t>
  </si>
  <si>
    <t>Norsk Hydro</t>
  </si>
  <si>
    <t>BABA</t>
  </si>
  <si>
    <t>Amazon</t>
  </si>
  <si>
    <t>Ahold</t>
  </si>
  <si>
    <t>Wiener</t>
  </si>
  <si>
    <t>WBA</t>
  </si>
  <si>
    <t>THIS IS JUST AN OVERVIEW, NOT INVESTMENT ADVICE! THIS IS JUST FOR EDUCATIONAL PURPOSES TO SHOW WHAT IS PRICED IN BY THE MARKET AND WHAT GROWTH OR DIVIDENDS SHOULD BE REACHED FOR A IMMAGINARY RETURN - IN THIS CASE 10%</t>
  </si>
  <si>
    <t>Good growth stock with a strong position.</t>
  </si>
  <si>
    <t>AAPL</t>
  </si>
  <si>
    <t>APPLE!A1</t>
  </si>
  <si>
    <t>As always: competition, slower than expected growth and valuation contraction based on higher interest rates - iphone cycle</t>
  </si>
  <si>
    <t>SPY</t>
  </si>
  <si>
    <t>S&amp;P 500'!A1</t>
  </si>
  <si>
    <t>US index fund - good businesses but risky valuations</t>
  </si>
  <si>
    <t>US economy, interest rates, valuation, tech profitability etc. taxes</t>
  </si>
  <si>
    <t>STOR CAPITAL</t>
  </si>
  <si>
    <t>Douglas Emmet</t>
  </si>
  <si>
    <t>Smart Centres</t>
  </si>
  <si>
    <t>AMZN!A1</t>
  </si>
  <si>
    <t>NESN!A1</t>
  </si>
  <si>
    <t>Abbvie</t>
  </si>
  <si>
    <t>BMY</t>
  </si>
  <si>
    <t>Merck</t>
  </si>
  <si>
    <t>COMPARATIVE TABLE'!A1</t>
  </si>
  <si>
    <t>Verizon</t>
  </si>
  <si>
    <t>VZ</t>
  </si>
  <si>
    <t>NESN</t>
  </si>
  <si>
    <t>Nutrien</t>
  </si>
  <si>
    <t>Chebron</t>
  </si>
  <si>
    <t>Chevron</t>
  </si>
  <si>
    <t>Lukoil</t>
  </si>
  <si>
    <t>GOLD</t>
  </si>
  <si>
    <t>Barrick Gold</t>
  </si>
  <si>
    <t>AngloGold</t>
  </si>
  <si>
    <t>CYCP</t>
  </si>
  <si>
    <t>data not available to google finance</t>
  </si>
  <si>
    <t>USDCNY</t>
  </si>
  <si>
    <t>Berkshire</t>
  </si>
  <si>
    <t>Microsoft</t>
  </si>
  <si>
    <t>Apple</t>
  </si>
  <si>
    <t>baidu</t>
  </si>
  <si>
    <t>TYPE</t>
  </si>
  <si>
    <t>INDEX</t>
  </si>
  <si>
    <t>MMM</t>
  </si>
  <si>
    <t>American Express</t>
  </si>
  <si>
    <t>Amgen</t>
  </si>
  <si>
    <t>Boeing</t>
  </si>
  <si>
    <t>Caterpillar</t>
  </si>
  <si>
    <t>Cisco</t>
  </si>
  <si>
    <t>Coca Cola</t>
  </si>
  <si>
    <t>Dow</t>
  </si>
  <si>
    <t>Goldman</t>
  </si>
  <si>
    <t>Home De</t>
  </si>
  <si>
    <t>Honeywell</t>
  </si>
  <si>
    <t>Intel</t>
  </si>
  <si>
    <t>IBM</t>
  </si>
  <si>
    <t>J&amp;J</t>
  </si>
  <si>
    <t>JP Morgan</t>
  </si>
  <si>
    <t>McDonalds</t>
  </si>
  <si>
    <t>Merch</t>
  </si>
  <si>
    <t>Nike</t>
  </si>
  <si>
    <t>P&amp;G</t>
  </si>
  <si>
    <t>Salesforce</t>
  </si>
  <si>
    <t>Travelers</t>
  </si>
  <si>
    <t>UnitedHealth</t>
  </si>
  <si>
    <t>Visa</t>
  </si>
  <si>
    <t>Walgreens</t>
  </si>
  <si>
    <t>Walmart</t>
  </si>
  <si>
    <t>Walt Disney</t>
  </si>
  <si>
    <t>MCD</t>
  </si>
  <si>
    <t>MCD!A1</t>
  </si>
  <si>
    <t>NKE</t>
  </si>
  <si>
    <t>NKE!A1</t>
  </si>
  <si>
    <t>ASML</t>
  </si>
  <si>
    <t>Siemens</t>
  </si>
  <si>
    <t>ADYEN</t>
  </si>
  <si>
    <t>Deutsche Borse</t>
  </si>
  <si>
    <t>Growth</t>
  </si>
  <si>
    <t>Aedifica</t>
  </si>
  <si>
    <t>Akzo Nobel</t>
  </si>
  <si>
    <t>Alfen</t>
  </si>
  <si>
    <t>Facebook</t>
  </si>
  <si>
    <t>APAM</t>
  </si>
  <si>
    <t>BYND</t>
  </si>
  <si>
    <t>ArcelorMittal</t>
  </si>
  <si>
    <t>Starbucks</t>
  </si>
  <si>
    <t>CCEP</t>
  </si>
  <si>
    <t>B&amp;S</t>
  </si>
  <si>
    <t>CRBN</t>
  </si>
  <si>
    <t>CTP</t>
  </si>
  <si>
    <t>DSM</t>
  </si>
  <si>
    <t>KMI</t>
  </si>
  <si>
    <t>da</t>
  </si>
  <si>
    <t>MARGIN OF</t>
  </si>
  <si>
    <t>SAFETY</t>
  </si>
  <si>
    <t>Dividend per share</t>
  </si>
  <si>
    <t>Markel</t>
  </si>
  <si>
    <t>XIAOMI</t>
  </si>
  <si>
    <t>Berry</t>
  </si>
  <si>
    <t>Bjs wholesale</t>
  </si>
  <si>
    <t>NAME</t>
  </si>
  <si>
    <t>input, per share or market cap</t>
  </si>
  <si>
    <t>netflix</t>
  </si>
  <si>
    <t>Paypal</t>
  </si>
  <si>
    <t>STOCK PRICE</t>
  </si>
  <si>
    <t>STOCK PRICE NOW</t>
  </si>
  <si>
    <t>foot locker</t>
  </si>
  <si>
    <t>adobe</t>
  </si>
  <si>
    <t>ATVI</t>
  </si>
  <si>
    <t>best buy</t>
  </si>
  <si>
    <t>Stock Price/MKT Cap</t>
  </si>
  <si>
    <t>DPZ</t>
  </si>
  <si>
    <t>Unilever</t>
  </si>
  <si>
    <t>WBD</t>
  </si>
  <si>
    <t>Stalwarth</t>
  </si>
  <si>
    <t>Meta Platform</t>
  </si>
  <si>
    <t>Devro</t>
  </si>
  <si>
    <t>rubis</t>
  </si>
  <si>
    <t>EURUSD</t>
  </si>
  <si>
    <t>EURCAD</t>
  </si>
  <si>
    <t>EURHKD</t>
  </si>
  <si>
    <t>EURRUB</t>
  </si>
  <si>
    <t>EURGBP</t>
  </si>
  <si>
    <t>USDGBP</t>
  </si>
  <si>
    <t>USDAUD</t>
  </si>
  <si>
    <t>NEWMOND</t>
  </si>
  <si>
    <t>ADM</t>
  </si>
  <si>
    <t>DIVIDEND PAYOUT RATIO</t>
  </si>
  <si>
    <t>GDX</t>
  </si>
  <si>
    <t>1- year Treasury</t>
  </si>
  <si>
    <t>Dividend per share CHF</t>
  </si>
  <si>
    <t>Yield</t>
  </si>
  <si>
    <t>Net income billions</t>
  </si>
  <si>
    <t>DHL</t>
  </si>
  <si>
    <t>SCHD</t>
  </si>
  <si>
    <t>brk market cap</t>
  </si>
  <si>
    <t>Google mkcap</t>
  </si>
  <si>
    <t>Van eck GDX</t>
  </si>
  <si>
    <t>USD BRL</t>
  </si>
  <si>
    <t>Petrobras</t>
  </si>
  <si>
    <t>Van Eck Gold Miners</t>
  </si>
  <si>
    <t>Schwab div etf</t>
  </si>
  <si>
    <t>GOOG</t>
  </si>
  <si>
    <t>PBR</t>
  </si>
  <si>
    <t>Archer Daniels</t>
  </si>
  <si>
    <t>GDX!A1</t>
  </si>
  <si>
    <t>DHL!A1</t>
  </si>
  <si>
    <t>SCHD!A1</t>
  </si>
  <si>
    <t>GOOG!A1</t>
  </si>
  <si>
    <t>PBR!A1</t>
  </si>
  <si>
    <t>ADM!A1</t>
  </si>
  <si>
    <t>Gold miner vid</t>
  </si>
  <si>
    <t>MCD Vid</t>
  </si>
  <si>
    <t>Nestle Vid</t>
  </si>
  <si>
    <t>Nike Vid</t>
  </si>
  <si>
    <t>DHL Vid</t>
  </si>
  <si>
    <t>SCHD Vid</t>
  </si>
  <si>
    <t>Google Vid</t>
  </si>
  <si>
    <t>PBR Vid</t>
  </si>
  <si>
    <t>ADM Vid</t>
  </si>
  <si>
    <t>Earnings per share</t>
  </si>
  <si>
    <t>Market capitalization</t>
  </si>
  <si>
    <t>EPS</t>
  </si>
  <si>
    <t>Dividend</t>
  </si>
  <si>
    <t>Net income</t>
  </si>
  <si>
    <t>Market cap</t>
  </si>
  <si>
    <t>Hedge</t>
  </si>
  <si>
    <t>Mondelez</t>
  </si>
  <si>
    <t>MDLZ</t>
  </si>
  <si>
    <t>FCF PER SHARE</t>
  </si>
  <si>
    <t>MDLZ!A1</t>
  </si>
  <si>
    <t>DIVIDEND</t>
  </si>
  <si>
    <t>VZ!A1</t>
  </si>
  <si>
    <t>AMS:AD</t>
  </si>
  <si>
    <t>Name</t>
  </si>
  <si>
    <t>https://sven-carlin-research-platform.teachable.com/courses/335443/lectures/45225403</t>
  </si>
  <si>
    <t>Ahold!A1</t>
  </si>
  <si>
    <t xml:space="preserve">Dividend </t>
  </si>
  <si>
    <t>Slow growth</t>
  </si>
  <si>
    <t>A good US/Dutch retailer but pricy</t>
  </si>
  <si>
    <t>Alibaba</t>
  </si>
  <si>
    <t>BABA!A1</t>
  </si>
  <si>
    <t>https://sven-carlin-research-platform.teachable.com/courses/335443/lectures/43880623</t>
  </si>
  <si>
    <t>FCF</t>
  </si>
  <si>
    <t>China e-commerce/fintech/cloud with global scaling ambitions</t>
  </si>
  <si>
    <t>https://sven-carlin-research-platform.teachable.com/courses/335443/lectures/44136947</t>
  </si>
  <si>
    <t>ACOMO</t>
  </si>
  <si>
    <t>Food</t>
  </si>
  <si>
    <t>European spice trader</t>
  </si>
  <si>
    <t>Retail, recessions in US and Europe</t>
  </si>
  <si>
    <t>China</t>
  </si>
  <si>
    <t>Dutch stock market</t>
  </si>
  <si>
    <t>DIVIDEND PER SHARE</t>
  </si>
  <si>
    <t>https://sven-carlin-research-platform.teachable.com/courses/335443/lectures/59274915</t>
  </si>
  <si>
    <t>ACOMO!A1</t>
  </si>
  <si>
    <t>ABF</t>
  </si>
  <si>
    <t>LSE: ABF</t>
  </si>
  <si>
    <t>https://sven-carlin-research-platform.teachable.com/courses/335443/lectures/47872443</t>
  </si>
  <si>
    <t>food-other</t>
  </si>
  <si>
    <t>Food and Primark</t>
  </si>
  <si>
    <t>Acomo</t>
  </si>
  <si>
    <t>BRK.B</t>
  </si>
  <si>
    <t>https://sven-carlin-research-platform.teachable.com/courses/335443/lectures/44788692</t>
  </si>
  <si>
    <t>BRK.B!A1</t>
  </si>
  <si>
    <t>ABF!A1</t>
  </si>
  <si>
    <t>Buffett</t>
  </si>
  <si>
    <t>The fortress…</t>
  </si>
  <si>
    <t>Brasilagro</t>
  </si>
  <si>
    <t>LND</t>
  </si>
  <si>
    <t>https://sven-carlin-research-platform.teachable.com/courses/335443/lectures/58576359</t>
  </si>
  <si>
    <t>LND!A1</t>
  </si>
  <si>
    <t>Land</t>
  </si>
  <si>
    <t>CEMBRE</t>
  </si>
  <si>
    <t>https://sven-carlin-research-platform.teachable.com/courses/335443/lectures/45991763</t>
  </si>
  <si>
    <t>CEMBRE!A1</t>
  </si>
  <si>
    <t>Cembre</t>
  </si>
  <si>
    <t>BIT:CMB</t>
  </si>
  <si>
    <t>Ita industrial</t>
  </si>
  <si>
    <t>China Mobile</t>
  </si>
  <si>
    <t>https://sven-carlin-research-platform.teachable.com/courses/335443/lectures/45806485</t>
  </si>
  <si>
    <t>CHM!A1</t>
  </si>
  <si>
    <t>telco</t>
  </si>
  <si>
    <t>CK Hutchison</t>
  </si>
  <si>
    <t>0001</t>
  </si>
  <si>
    <t>CK!A1</t>
  </si>
  <si>
    <t>https://sven-carlin-research-platform.teachable.com/courses/335443/lectures/51704170</t>
  </si>
  <si>
    <t>mix</t>
  </si>
  <si>
    <t>Clarksons</t>
  </si>
  <si>
    <t>LON:CKN</t>
  </si>
  <si>
    <t>https://sven-carlin-research-platform.teachable.com/courses/335443/lectures/49464822</t>
  </si>
  <si>
    <t>Clarks!A1</t>
  </si>
  <si>
    <t>Shipping</t>
  </si>
  <si>
    <t>shipping broker, no ships</t>
  </si>
  <si>
    <t>First Pacific</t>
  </si>
  <si>
    <t>https://sven-carlin-research-platform.teachable.com/courses/335443/lectures/54079430</t>
  </si>
  <si>
    <t>FP!A1</t>
  </si>
  <si>
    <t>Phillipines</t>
  </si>
  <si>
    <t>Conglomerate</t>
  </si>
  <si>
    <t>Flow Traders</t>
  </si>
  <si>
    <t>AMS:FLOW</t>
  </si>
  <si>
    <t>FLOW TRADERS</t>
  </si>
  <si>
    <t>https://sven-carlin-research-platform.teachable.com/courses/335443/lectures/45447020</t>
  </si>
  <si>
    <t>FLOW!A1</t>
  </si>
  <si>
    <t>Operator</t>
  </si>
  <si>
    <t>ICL Group</t>
  </si>
  <si>
    <t>Liberty Global</t>
  </si>
  <si>
    <t>Lundin</t>
  </si>
  <si>
    <t>Maersk</t>
  </si>
  <si>
    <t>Nine Dragons</t>
  </si>
  <si>
    <t>Mosaic</t>
  </si>
  <si>
    <t>RHI Magnesita</t>
  </si>
  <si>
    <t>Rubis</t>
  </si>
  <si>
    <t>SiriusXM</t>
  </si>
  <si>
    <t>Sunrise</t>
  </si>
  <si>
    <t>Wilmar</t>
  </si>
  <si>
    <t>https://sven-carlin-research-platform.teachable.com/courses/335443/lectures/57859152</t>
  </si>
  <si>
    <t>ICL</t>
  </si>
  <si>
    <t>ICL!A1</t>
  </si>
  <si>
    <t>fertilizer</t>
  </si>
  <si>
    <t>LBTYK</t>
  </si>
  <si>
    <t>https://sven-carlin-research-platform.teachable.com/courses/335443/lectures/45722067</t>
  </si>
  <si>
    <t>LBTYK!A1</t>
  </si>
  <si>
    <t>EU/UK Telco</t>
  </si>
  <si>
    <t>LUNMF</t>
  </si>
  <si>
    <t>https://sven-carlin-research-platform.teachable.com/courses/335443/lectures/52353280</t>
  </si>
  <si>
    <t>LUNDIN!A1</t>
  </si>
  <si>
    <t>copper</t>
  </si>
  <si>
    <t>FCF Per Share</t>
  </si>
  <si>
    <t>AMKBY</t>
  </si>
  <si>
    <t>https://sven-carlin-research-platform.teachable.com/courses/335443/lectures/50403317</t>
  </si>
  <si>
    <t>Maersk!A1</t>
  </si>
  <si>
    <t>shipping</t>
  </si>
  <si>
    <t>https://sven-carlin-research-platform.teachable.com/courses/335443/lectures/17571825</t>
  </si>
  <si>
    <t>nine dragons</t>
  </si>
  <si>
    <t>Nine D'!A1</t>
  </si>
  <si>
    <t>Paper China</t>
  </si>
  <si>
    <t>NTR</t>
  </si>
  <si>
    <t>https://sven-carlin-research-platform.teachable.com/courses/335443/lectures/54527058</t>
  </si>
  <si>
    <t>NTR!A1</t>
  </si>
  <si>
    <t>MOS</t>
  </si>
  <si>
    <t>MOS!A1</t>
  </si>
  <si>
    <t>LON:RHIM</t>
  </si>
  <si>
    <t>RHI Magnesit</t>
  </si>
  <si>
    <t>https://sven-carlin-research-platform.teachable.com/courses/335443/lectures/49610686</t>
  </si>
  <si>
    <t>RHIM!A1</t>
  </si>
  <si>
    <t>refraction</t>
  </si>
  <si>
    <t>EPA: RUI</t>
  </si>
  <si>
    <t>RUBIS</t>
  </si>
  <si>
    <t>https://sven-carlin-research-platform.teachable.com/courses/335443/lectures/54002769</t>
  </si>
  <si>
    <t>RUI!A1</t>
  </si>
  <si>
    <t>oil distribution</t>
  </si>
  <si>
    <t>SIRI</t>
  </si>
  <si>
    <t>https://sven-carlin-research-platform.teachable.com/courses/335443/lectures/53497824</t>
  </si>
  <si>
    <t>SIRI!A1</t>
  </si>
  <si>
    <t>FCF per share</t>
  </si>
  <si>
    <t>SNRE</t>
  </si>
  <si>
    <t>https://sven-carlin-research-platform.teachable.com/courses/335443/lectures/57072847</t>
  </si>
  <si>
    <t>SNRE!A1</t>
  </si>
  <si>
    <t>CHF telco</t>
  </si>
  <si>
    <t>F34</t>
  </si>
  <si>
    <t>https://sven-carlin-research-platform.teachable.com/courses/335443/lectures/45064788</t>
  </si>
  <si>
    <t>Wilmar!A1</t>
  </si>
  <si>
    <t>FoodAsia</t>
  </si>
  <si>
    <t>Radio</t>
  </si>
  <si>
    <t>Land ownership in Brazil</t>
  </si>
  <si>
    <t>Italy industrial</t>
  </si>
  <si>
    <t>China government owned telco, US SANCTIONED</t>
  </si>
  <si>
    <t>Global conglomerate listed in HK</t>
  </si>
  <si>
    <t>Flow operators, liquidity provider and trading</t>
  </si>
  <si>
    <t>Fertilizer</t>
  </si>
  <si>
    <t>Telco UK, Netherlands, Belgium</t>
  </si>
  <si>
    <t>Copper miner</t>
  </si>
  <si>
    <t>Global shipping</t>
  </si>
  <si>
    <t>Largest paper in China</t>
  </si>
  <si>
    <t>Asia food owned 22.5% by ADM</t>
  </si>
  <si>
    <t>Swiss telco, recent spin from Liberty</t>
  </si>
  <si>
    <t>US radio</t>
  </si>
  <si>
    <t>Africa Carribean oil distribution, French solar</t>
  </si>
  <si>
    <t>Global refraction</t>
  </si>
  <si>
    <t>some from the YouTube analyses I made, just for reference</t>
  </si>
  <si>
    <t>Liberty</t>
  </si>
  <si>
    <t>Maerks</t>
  </si>
  <si>
    <t>Sirius XM</t>
  </si>
  <si>
    <t>Kraft Heinz</t>
  </si>
  <si>
    <t>Jdepeets</t>
  </si>
  <si>
    <t>Signify</t>
  </si>
  <si>
    <t>AMS: LIGHT</t>
  </si>
  <si>
    <t>LIGHT!A1</t>
  </si>
  <si>
    <t>Lighting</t>
  </si>
  <si>
    <t>cyclical downturn, but can get worse</t>
  </si>
  <si>
    <t>TITLIS</t>
  </si>
  <si>
    <t>TIBN</t>
  </si>
  <si>
    <t>Titlis</t>
  </si>
  <si>
    <t>TIBN!A1</t>
  </si>
  <si>
    <t>CNH Industria</t>
  </si>
  <si>
    <t>Cyclical, global food processing company</t>
  </si>
  <si>
    <t>https://sven-carlin-research-platform.teachable.com/courses/335443/lectures/59805978</t>
  </si>
  <si>
    <t>https://sven-carlin-research-platform.teachable.com/courses/335443/lectures/45664225</t>
  </si>
  <si>
    <t>FCF (500 million)</t>
  </si>
  <si>
    <t>Glencore</t>
  </si>
  <si>
    <t>LON:GLEN</t>
  </si>
  <si>
    <t>Cyclical</t>
  </si>
  <si>
    <t>Cyclical commodities</t>
  </si>
  <si>
    <t>GLEN!A1</t>
  </si>
  <si>
    <t>XOM</t>
  </si>
  <si>
    <t>NVDA</t>
  </si>
  <si>
    <t>BHP</t>
  </si>
  <si>
    <t>GLNCY</t>
  </si>
  <si>
    <t>OXY</t>
  </si>
  <si>
    <t>https://sven-carlin-research-platform.teachable.com/courses/335443/lectures/60682625</t>
  </si>
  <si>
    <t>FCF GBP in billions</t>
  </si>
  <si>
    <t>Swiss Asset with growth</t>
  </si>
  <si>
    <t>Asset</t>
  </si>
  <si>
    <t>AKER</t>
  </si>
  <si>
    <t>AKER BP</t>
  </si>
  <si>
    <t>Lanxess</t>
  </si>
  <si>
    <t>Chemical</t>
  </si>
  <si>
    <t>Cycle</t>
  </si>
  <si>
    <t>Oil</t>
  </si>
  <si>
    <t>Low cost producer</t>
  </si>
  <si>
    <t>AKER!A1</t>
  </si>
  <si>
    <t>LXS!A1</t>
  </si>
  <si>
    <t>samsung</t>
  </si>
  <si>
    <t>aker bp</t>
  </si>
  <si>
    <t>lanxess</t>
  </si>
  <si>
    <t>Norway tax</t>
  </si>
  <si>
    <t>EARNINGS IN BILLIONS</t>
  </si>
  <si>
    <t>Dividend per share HKD</t>
  </si>
  <si>
    <t>lululemon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</si>
</sst>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color theme="1"/>
      <name val="Arial"/>
      <family val="2"/>
    </font>
    <font>
      <sz val="11"/>
      <color theme="1"/>
      <name val="Calibri"/>
      <family val="2"/>
      <scheme val="minor"/>
    </font>
    <font>
      <sz val="11"/>
      <color theme="1"/>
      <name val="Calibri"/>
      <family val="2"/>
      <scheme val="minor"/>
    </font>
    <font>
      <b/>
      <sz val="10"/>
      <color theme="1"/>
      <name val="Arial"/>
      <family val="2"/>
    </font>
    <font>
      <b/>
      <sz val="11"/>
      <color theme="1"/>
      <name val="Arial"/>
      <family val="2"/>
    </font>
    <font>
      <sz val="10"/>
      <color theme="1"/>
      <name val="Arial"/>
      <family val="2"/>
    </font>
    <font>
      <b/>
      <sz val="12"/>
      <color theme="1"/>
      <name val="Arial"/>
      <family val="2"/>
    </font>
    <font>
      <sz val="10"/>
      <color theme="0"/>
      <name val="Arial"/>
      <family val="2"/>
    </font>
    <font>
      <u/>
      <sz val="10"/>
      <color theme="10"/>
      <name val="Arial"/>
      <family val="2"/>
    </font>
    <font>
      <u/>
      <sz val="11"/>
      <color theme="10"/>
      <name val="Calibri"/>
      <family val="2"/>
      <scheme val="minor"/>
    </font>
    <font>
      <b/>
      <sz val="9"/>
      <color indexed="81"/>
      <name val="Tahoma"/>
      <family val="2"/>
    </font>
    <font>
      <sz val="9"/>
      <color indexed="81"/>
      <name val="Tahoma"/>
      <family val="2"/>
    </font>
    <font>
      <b/>
      <sz val="16"/>
      <color theme="1"/>
      <name val="Arial"/>
      <family val="2"/>
    </font>
    <font>
      <sz val="16"/>
      <color theme="1"/>
      <name val="Arial"/>
      <family val="2"/>
    </font>
    <font>
      <u/>
      <sz val="16"/>
      <color theme="10"/>
      <name val="Arial"/>
      <family val="2"/>
    </font>
    <font>
      <sz val="16"/>
      <color rgb="FF000000"/>
      <name val="Arial"/>
      <family val="2"/>
    </font>
    <font>
      <b/>
      <sz val="9"/>
      <color rgb="FF000000"/>
      <name val="Tahoma"/>
      <family val="2"/>
    </font>
    <font>
      <sz val="9"/>
      <color rgb="FF000000"/>
      <name val="Tahoma"/>
      <family val="2"/>
    </font>
    <font>
      <sz val="11"/>
      <color theme="1"/>
      <name val="Inconsolata"/>
    </font>
  </fonts>
  <fills count="14">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89290"/>
        <bgColor indexed="64"/>
      </patternFill>
    </fill>
    <fill>
      <patternFill patternType="solid">
        <fgColor theme="0" tint="-0.249977111117893"/>
        <bgColor indexed="64"/>
      </patternFill>
    </fill>
    <fill>
      <patternFill patternType="solid">
        <fgColor rgb="FFFF0000"/>
        <bgColor indexed="64"/>
      </patternFill>
    </fill>
    <fill>
      <patternFill patternType="solid">
        <fgColor rgb="FFBFBFBF"/>
        <bgColor rgb="FF000000"/>
      </patternFill>
    </fill>
    <fill>
      <patternFill patternType="solid">
        <fgColor theme="2"/>
        <bgColor indexed="64"/>
      </patternFill>
    </fill>
    <fill>
      <patternFill patternType="solid">
        <fgColor theme="7" tint="0.79998168889431442"/>
        <bgColor indexed="64"/>
      </patternFill>
    </fill>
    <fill>
      <patternFill patternType="solid">
        <fgColor rgb="FFFFFFFF"/>
        <bgColor indexed="64"/>
      </patternFill>
    </fill>
  </fills>
  <borders count="22">
    <border>
      <left/>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9">
    <xf numFmtId="0" fontId="0" fillId="0" borderId="0"/>
    <xf numFmtId="9" fontId="5" fillId="0" borderId="0" applyFont="0" applyFill="0" applyBorder="0" applyAlignment="0" applyProtection="0"/>
    <xf numFmtId="0" fontId="2" fillId="0" borderId="0"/>
    <xf numFmtId="0" fontId="8" fillId="0" borderId="0" applyNumberFormat="0" applyFill="0" applyBorder="0" applyAlignment="0" applyProtection="0"/>
    <xf numFmtId="0" fontId="5" fillId="0" borderId="0"/>
    <xf numFmtId="0" fontId="9" fillId="0" borderId="0" applyNumberFormat="0" applyFill="0" applyBorder="0" applyAlignment="0" applyProtection="0"/>
    <xf numFmtId="9" fontId="5" fillId="0" borderId="0" applyFont="0" applyFill="0" applyBorder="0" applyAlignment="0" applyProtection="0"/>
    <xf numFmtId="0" fontId="8" fillId="0" borderId="0" applyNumberFormat="0" applyFill="0" applyBorder="0" applyAlignment="0" applyProtection="0"/>
    <xf numFmtId="0" fontId="1" fillId="0" borderId="0"/>
  </cellStyleXfs>
  <cellXfs count="110">
    <xf numFmtId="0" fontId="0" fillId="0" borderId="0" xfId="0"/>
    <xf numFmtId="2" fontId="0" fillId="0" borderId="0" xfId="0" applyNumberFormat="1"/>
    <xf numFmtId="0" fontId="0" fillId="2" borderId="0" xfId="0" applyFill="1"/>
    <xf numFmtId="0" fontId="0" fillId="3" borderId="0" xfId="0" applyFill="1"/>
    <xf numFmtId="0" fontId="3" fillId="0" borderId="0" xfId="0" applyFont="1"/>
    <xf numFmtId="0" fontId="3" fillId="0" borderId="5" xfId="0" applyFont="1" applyBorder="1"/>
    <xf numFmtId="2" fontId="0" fillId="2" borderId="6" xfId="0" applyNumberFormat="1" applyFill="1" applyBorder="1"/>
    <xf numFmtId="0" fontId="0" fillId="0" borderId="6" xfId="0" applyBorder="1"/>
    <xf numFmtId="2" fontId="0" fillId="0" borderId="7" xfId="0" applyNumberForma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7" fillId="0" borderId="0" xfId="0" applyFont="1"/>
    <xf numFmtId="2" fontId="3" fillId="3" borderId="10" xfId="0" applyNumberFormat="1" applyFont="1" applyFill="1" applyBorder="1"/>
    <xf numFmtId="2" fontId="3" fillId="3" borderId="12" xfId="0" applyNumberFormat="1" applyFont="1" applyFill="1" applyBorder="1"/>
    <xf numFmtId="9" fontId="0" fillId="2" borderId="13" xfId="1" applyFont="1" applyFill="1" applyBorder="1" applyAlignment="1">
      <alignment horizontal="center"/>
    </xf>
    <xf numFmtId="164" fontId="0" fillId="2" borderId="13" xfId="0" applyNumberFormat="1" applyFill="1" applyBorder="1" applyAlignment="1">
      <alignment horizontal="center"/>
    </xf>
    <xf numFmtId="0" fontId="3" fillId="0" borderId="1" xfId="0" applyFont="1" applyBorder="1" applyAlignment="1">
      <alignment horizontal="center"/>
    </xf>
    <xf numFmtId="2" fontId="0" fillId="3" borderId="3" xfId="0" applyNumberFormat="1" applyFill="1" applyBorder="1" applyAlignment="1">
      <alignment horizontal="center"/>
    </xf>
    <xf numFmtId="0" fontId="0" fillId="0" borderId="3" xfId="0"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0" fontId="0" fillId="4" borderId="0" xfId="0" applyFill="1"/>
    <xf numFmtId="0" fontId="0" fillId="0" borderId="3" xfId="0" applyBorder="1"/>
    <xf numFmtId="2" fontId="0" fillId="0" borderId="2" xfId="0" applyNumberFormat="1" applyBorder="1"/>
    <xf numFmtId="0" fontId="0" fillId="6" borderId="0" xfId="0" applyFill="1"/>
    <xf numFmtId="2" fontId="0" fillId="5" borderId="0" xfId="0" applyNumberFormat="1" applyFill="1"/>
    <xf numFmtId="0" fontId="6" fillId="0" borderId="16" xfId="0" applyFont="1" applyBorder="1"/>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xf numFmtId="0" fontId="0" fillId="0" borderId="17" xfId="0" applyBorder="1"/>
    <xf numFmtId="0" fontId="0" fillId="5" borderId="8" xfId="0" applyFill="1" applyBorder="1"/>
    <xf numFmtId="0" fontId="0" fillId="5" borderId="0" xfId="0" applyFill="1"/>
    <xf numFmtId="0" fontId="0" fillId="0" borderId="0" xfId="0" applyAlignment="1">
      <alignment horizontal="right"/>
    </xf>
    <xf numFmtId="0" fontId="0" fillId="0" borderId="2" xfId="0" applyBorder="1"/>
    <xf numFmtId="0" fontId="8" fillId="0" borderId="8" xfId="3" quotePrefix="1" applyBorder="1"/>
    <xf numFmtId="0" fontId="3" fillId="0" borderId="0" xfId="0" applyFont="1" applyAlignment="1">
      <alignment horizontal="center" wrapText="1"/>
    </xf>
    <xf numFmtId="2" fontId="0" fillId="0" borderId="0" xfId="0" applyNumberFormat="1" applyAlignment="1">
      <alignment horizontal="center"/>
    </xf>
    <xf numFmtId="0" fontId="8" fillId="0" borderId="3" xfId="3" applyBorder="1"/>
    <xf numFmtId="0" fontId="0" fillId="0" borderId="4" xfId="0" applyBorder="1"/>
    <xf numFmtId="9" fontId="0" fillId="2" borderId="0" xfId="0" applyNumberFormat="1" applyFill="1" applyAlignment="1">
      <alignment horizontal="center"/>
    </xf>
    <xf numFmtId="0" fontId="0" fillId="4" borderId="2" xfId="0" applyFill="1" applyBorder="1"/>
    <xf numFmtId="9" fontId="0" fillId="0" borderId="15" xfId="0" applyNumberFormat="1" applyBorder="1"/>
    <xf numFmtId="0" fontId="12" fillId="0" borderId="0" xfId="0" applyFont="1"/>
    <xf numFmtId="0" fontId="12" fillId="6" borderId="0" xfId="0" applyFont="1" applyFill="1"/>
    <xf numFmtId="0" fontId="12" fillId="0" borderId="13" xfId="0" applyFont="1" applyBorder="1"/>
    <xf numFmtId="0" fontId="13" fillId="0" borderId="0" xfId="0" applyFont="1"/>
    <xf numFmtId="0" fontId="12" fillId="7" borderId="0" xfId="0" applyFont="1" applyFill="1"/>
    <xf numFmtId="0" fontId="13" fillId="7" borderId="0" xfId="0" applyFont="1" applyFill="1"/>
    <xf numFmtId="0" fontId="13" fillId="0" borderId="14" xfId="0" applyFont="1" applyBorder="1" applyAlignment="1">
      <alignment wrapText="1"/>
    </xf>
    <xf numFmtId="2" fontId="13" fillId="0" borderId="0" xfId="0" applyNumberFormat="1" applyFont="1"/>
    <xf numFmtId="2" fontId="13" fillId="0" borderId="13" xfId="0" applyNumberFormat="1" applyFont="1" applyBorder="1"/>
    <xf numFmtId="0" fontId="14" fillId="0" borderId="0" xfId="3" applyFont="1" applyFill="1"/>
    <xf numFmtId="17" fontId="13" fillId="0" borderId="0" xfId="0" applyNumberFormat="1" applyFont="1"/>
    <xf numFmtId="0" fontId="13" fillId="8" borderId="14" xfId="0" applyFont="1" applyFill="1" applyBorder="1" applyAlignment="1">
      <alignment wrapText="1"/>
    </xf>
    <xf numFmtId="0" fontId="13" fillId="8" borderId="0" xfId="0" applyFont="1" applyFill="1"/>
    <xf numFmtId="2" fontId="13" fillId="8" borderId="0" xfId="0" applyNumberFormat="1" applyFont="1" applyFill="1"/>
    <xf numFmtId="2" fontId="13" fillId="8" borderId="13" xfId="0" applyNumberFormat="1" applyFont="1" applyFill="1" applyBorder="1"/>
    <xf numFmtId="0" fontId="14" fillId="8" borderId="0" xfId="3" applyFont="1" applyFill="1"/>
    <xf numFmtId="0" fontId="14" fillId="8" borderId="0" xfId="3" quotePrefix="1" applyFont="1" applyFill="1"/>
    <xf numFmtId="17" fontId="13" fillId="8" borderId="0" xfId="0" applyNumberFormat="1" applyFont="1" applyFill="1"/>
    <xf numFmtId="2" fontId="12" fillId="0" borderId="0" xfId="0" applyNumberFormat="1" applyFont="1"/>
    <xf numFmtId="0" fontId="12" fillId="8" borderId="0" xfId="0" applyFont="1" applyFill="1"/>
    <xf numFmtId="2" fontId="12" fillId="8" borderId="0" xfId="0" applyNumberFormat="1" applyFont="1" applyFill="1"/>
    <xf numFmtId="0" fontId="13" fillId="6" borderId="0" xfId="0" applyFont="1" applyFill="1"/>
    <xf numFmtId="0" fontId="14" fillId="0" borderId="0" xfId="3" applyFont="1"/>
    <xf numFmtId="9" fontId="0" fillId="4" borderId="13" xfId="1" applyFont="1" applyFill="1" applyBorder="1" applyAlignment="1">
      <alignment horizontal="center"/>
    </xf>
    <xf numFmtId="0" fontId="0" fillId="4" borderId="8" xfId="0" applyFill="1" applyBorder="1"/>
    <xf numFmtId="2" fontId="0" fillId="4" borderId="0" xfId="0" applyNumberFormat="1" applyFill="1" applyAlignment="1">
      <alignment horizontal="center"/>
    </xf>
    <xf numFmtId="0" fontId="0" fillId="4" borderId="10" xfId="0" applyFill="1" applyBorder="1"/>
    <xf numFmtId="0" fontId="0" fillId="4" borderId="11" xfId="0" applyFill="1" applyBorder="1"/>
    <xf numFmtId="9" fontId="0" fillId="4" borderId="12" xfId="0" applyNumberFormat="1" applyFill="1" applyBorder="1" applyAlignment="1">
      <alignment horizontal="center"/>
    </xf>
    <xf numFmtId="0" fontId="3" fillId="4" borderId="0" xfId="0" applyFont="1" applyFill="1" applyAlignment="1">
      <alignment horizontal="center" wrapText="1"/>
    </xf>
    <xf numFmtId="0" fontId="3" fillId="4" borderId="1" xfId="0" applyFont="1" applyFill="1" applyBorder="1" applyAlignment="1">
      <alignment horizontal="center"/>
    </xf>
    <xf numFmtId="164" fontId="0" fillId="4" borderId="13" xfId="0" applyNumberFormat="1" applyFill="1" applyBorder="1" applyAlignment="1">
      <alignment horizontal="center"/>
    </xf>
    <xf numFmtId="9" fontId="0" fillId="4" borderId="15" xfId="0" applyNumberFormat="1" applyFill="1" applyBorder="1"/>
    <xf numFmtId="9" fontId="0" fillId="4" borderId="0" xfId="0" applyNumberFormat="1" applyFill="1" applyAlignment="1">
      <alignment horizontal="center"/>
    </xf>
    <xf numFmtId="4" fontId="0" fillId="5" borderId="0" xfId="0" applyNumberFormat="1" applyFill="1"/>
    <xf numFmtId="4" fontId="12" fillId="8" borderId="0" xfId="0" applyNumberFormat="1" applyFont="1" applyFill="1"/>
    <xf numFmtId="2" fontId="13" fillId="4" borderId="13" xfId="0" applyNumberFormat="1" applyFont="1" applyFill="1" applyBorder="1"/>
    <xf numFmtId="2" fontId="13" fillId="9" borderId="13" xfId="0" applyNumberFormat="1" applyFont="1" applyFill="1" applyBorder="1"/>
    <xf numFmtId="17" fontId="15" fillId="10" borderId="0" xfId="0" applyNumberFormat="1" applyFont="1" applyFill="1"/>
    <xf numFmtId="2" fontId="0" fillId="4" borderId="6" xfId="0" applyNumberFormat="1" applyFill="1" applyBorder="1"/>
    <xf numFmtId="0" fontId="12" fillId="11" borderId="0" xfId="0" applyFont="1" applyFill="1"/>
    <xf numFmtId="0" fontId="13" fillId="11" borderId="0" xfId="0" applyFont="1" applyFill="1"/>
    <xf numFmtId="0" fontId="8" fillId="0" borderId="1" xfId="3" applyBorder="1" applyAlignment="1">
      <alignment horizontal="left" vertical="center"/>
    </xf>
    <xf numFmtId="17" fontId="12" fillId="0" borderId="0" xfId="0" applyNumberFormat="1" applyFont="1"/>
    <xf numFmtId="0" fontId="8" fillId="11" borderId="0" xfId="3" applyFill="1"/>
    <xf numFmtId="17" fontId="12" fillId="11" borderId="0" xfId="0" applyNumberFormat="1" applyFont="1" applyFill="1"/>
    <xf numFmtId="2" fontId="12" fillId="11" borderId="0" xfId="0" applyNumberFormat="1" applyFont="1" applyFill="1"/>
    <xf numFmtId="49" fontId="12" fillId="0" borderId="0" xfId="0" applyNumberFormat="1" applyFont="1"/>
    <xf numFmtId="49" fontId="12" fillId="11" borderId="0" xfId="0" applyNumberFormat="1" applyFont="1" applyFill="1"/>
    <xf numFmtId="0" fontId="14" fillId="11" borderId="0" xfId="3" applyFont="1" applyFill="1"/>
    <xf numFmtId="0" fontId="14" fillId="0" borderId="0" xfId="3" quotePrefix="1" applyFont="1"/>
    <xf numFmtId="0" fontId="8" fillId="0" borderId="0" xfId="3"/>
    <xf numFmtId="2" fontId="12" fillId="12" borderId="0" xfId="0" applyNumberFormat="1" applyFont="1" applyFill="1"/>
    <xf numFmtId="0" fontId="0" fillId="0" borderId="18" xfId="0" applyBorder="1" applyAlignment="1">
      <alignment wrapText="1"/>
    </xf>
    <xf numFmtId="0" fontId="18" fillId="13" borderId="18" xfId="0" applyFont="1" applyFill="1" applyBorder="1" applyAlignment="1">
      <alignment horizontal="right" wrapText="1"/>
    </xf>
    <xf numFmtId="0" fontId="0" fillId="0" borderId="18" xfId="0" applyBorder="1" applyAlignment="1">
      <alignment horizontal="right" wrapText="1"/>
    </xf>
    <xf numFmtId="0" fontId="18" fillId="13" borderId="18" xfId="0" applyFont="1" applyFill="1" applyBorder="1" applyAlignment="1">
      <alignment horizontal="center" wrapText="1"/>
    </xf>
    <xf numFmtId="0" fontId="0" fillId="0" borderId="18" xfId="0" applyBorder="1" applyAlignment="1">
      <alignment horizontal="center" wrapText="1"/>
    </xf>
    <xf numFmtId="0" fontId="18" fillId="13" borderId="18" xfId="0" applyFont="1" applyFill="1" applyBorder="1" applyAlignment="1">
      <alignment vertical="center"/>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18" fillId="13" borderId="20" xfId="0" applyFont="1" applyFill="1" applyBorder="1" applyAlignment="1">
      <alignment horizontal="right" wrapText="1"/>
    </xf>
  </cellXfs>
  <cellStyles count="9">
    <cellStyle name="Hyperlink" xfId="3" builtinId="8"/>
    <cellStyle name="Hyperlink 2" xfId="5" xr:uid="{7ED9B1BB-3B0C-4A09-B825-652FF6FD84C4}"/>
    <cellStyle name="Hyperlink 2 2" xfId="7" xr:uid="{DEBBE976-BEEA-4E68-9211-CC74A882F4A2}"/>
    <cellStyle name="Normal" xfId="0" builtinId="0"/>
    <cellStyle name="Normal 2" xfId="4" xr:uid="{820C14E5-DA0D-4555-AB11-03450B785404}"/>
    <cellStyle name="Normal 3" xfId="8" xr:uid="{556CA4E0-2E34-4A4D-AE58-C0901F366E6F}"/>
    <cellStyle name="Percent" xfId="1" builtinId="5"/>
    <cellStyle name="Percent 2" xfId="6" xr:uid="{3D059B83-7148-4B98-9D47-A2E348E4204F}"/>
    <cellStyle name="Standard 2" xfId="2" xr:uid="{3C3DDD32-1C41-4487-943F-0CC3AE096F99}"/>
  </cellStyles>
  <dxfs count="94">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s>
  <tableStyles count="0" defaultTableStyle="TableStyleMedium2" defaultPivotStyle="PivotStyleLight16"/>
  <colors>
    <mruColors>
      <color rgb="FFF89290"/>
      <color rgb="FFFF0101"/>
      <color rgb="FFFF3300"/>
      <color rgb="FFFF0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sven-carlin-research-platform.teachable.com/p/stock-market-research-platfor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_rels/drawing4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sven-carlin-research-platform.teachable.com/p/stock-market-research-platform"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D4A46B40-C5DB-7C43-9BEC-842D3E134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625475</xdr:colOff>
      <xdr:row>43</xdr:row>
      <xdr:rowOff>12700</xdr:rowOff>
    </xdr:from>
    <xdr:to>
      <xdr:col>9</xdr:col>
      <xdr:colOff>3054350</xdr:colOff>
      <xdr:row>52</xdr:row>
      <xdr:rowOff>64712</xdr:rowOff>
    </xdr:to>
    <xdr:pic>
      <xdr:nvPicPr>
        <xdr:cNvPr id="2" name="Picture 1">
          <a:hlinkClick xmlns:r="http://schemas.openxmlformats.org/officeDocument/2006/relationships" r:id="rId1"/>
          <a:extLst>
            <a:ext uri="{FF2B5EF4-FFF2-40B4-BE49-F238E27FC236}">
              <a16:creationId xmlns:a16="http://schemas.microsoft.com/office/drawing/2014/main" id="{7ADA6685-8641-41EC-964C-E3968D3B2EEA}"/>
            </a:ext>
          </a:extLst>
        </xdr:cNvPr>
        <xdr:cNvPicPr>
          <a:picLocks noChangeAspect="1"/>
        </xdr:cNvPicPr>
      </xdr:nvPicPr>
      <xdr:blipFill>
        <a:blip xmlns:r="http://schemas.openxmlformats.org/officeDocument/2006/relationships" r:embed="rId2"/>
        <a:stretch>
          <a:fillRect/>
        </a:stretch>
      </xdr:blipFill>
      <xdr:spPr>
        <a:xfrm>
          <a:off x="10950575" y="1816100"/>
          <a:ext cx="2428875" cy="23380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3E7BBF2-20F4-BC4C-BF32-B13DA4E1A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A831809B-5620-3846-9B1D-7C10C2CBD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D521D3FD-F68F-D541-94A2-368599D64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B2217F4A-B160-1440-BA6F-6198F2733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52AB0C26-BB55-B246-B253-EDF141DE2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EEC02FB7-6DB4-D24E-9612-12F2EDDA54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05FE0550-35B7-8B44-B9CC-5D65E8F868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936E3A3A-FB35-3044-948F-3D0C796C39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9A882D51-E6AE-2946-8E73-8B986D2221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E4BC40D-6FA1-434E-A05F-ABB77C0BCA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00EE3307-5372-7F4E-A543-F44C26FFC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ECC46FE3-91CE-E346-B8E8-F8FCD03E7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E6831B9E-8989-9249-AB1B-84B9003AED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F97577A5-B300-2849-90E8-E9C22A9BE4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F521F8B-289A-4F41-87EB-1F2B4FCEEC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861132BE-4455-A34B-A432-7528855A83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AE9EBA6E-5F8C-7A42-B05C-DAF61429F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6E0512CF-2244-9541-933F-6AFE49200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6A44C546-2933-F64F-B4BE-0AF207317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B33089C2-F5F0-CD4E-BB2C-09F1DC1B09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64D381F9-15B1-774E-A0F1-44870480B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8351EFDE-A8ED-E340-AF93-FDD7947F85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D86A3ECE-418C-3145-A950-10A79A360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853E1326-B301-1548-851F-1CC825A813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16924F29-3EEA-1145-9741-124BB1801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59D491C6-6FDF-314E-AF51-9E5A285A8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613CF23-C2F1-F046-B6BB-E7AE664E09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B258C333-6D57-3B4C-87B5-D558F03B9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2938C769-A212-284F-8D14-6EB90B145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76543EFD-62F7-AD49-B4F2-A35DDB81B1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6F03273A-5E41-2C47-91FB-AF58EAA12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1485900</xdr:colOff>
      <xdr:row>9</xdr:row>
      <xdr:rowOff>139700</xdr:rowOff>
    </xdr:from>
    <xdr:to>
      <xdr:col>27</xdr:col>
      <xdr:colOff>673100</xdr:colOff>
      <xdr:row>29</xdr:row>
      <xdr:rowOff>166564</xdr:rowOff>
    </xdr:to>
    <xdr:pic>
      <xdr:nvPicPr>
        <xdr:cNvPr id="3" name="Picture 2">
          <a:extLst>
            <a:ext uri="{FF2B5EF4-FFF2-40B4-BE49-F238E27FC236}">
              <a16:creationId xmlns:a16="http://schemas.microsoft.com/office/drawing/2014/main" id="{480B321E-6661-9948-9D18-1BB9643006B6}"/>
            </a:ext>
          </a:extLst>
        </xdr:cNvPr>
        <xdr:cNvPicPr>
          <a:picLocks noChangeAspect="1"/>
        </xdr:cNvPicPr>
      </xdr:nvPicPr>
      <xdr:blipFill>
        <a:blip xmlns:r="http://schemas.openxmlformats.org/officeDocument/2006/relationships" r:embed="rId3"/>
        <a:stretch>
          <a:fillRect/>
        </a:stretch>
      </xdr:blipFill>
      <xdr:spPr>
        <a:xfrm>
          <a:off x="11988800" y="1917700"/>
          <a:ext cx="10350500" cy="3811464"/>
        </a:xfrm>
        <a:prstGeom prst="rect">
          <a:avLst/>
        </a:prstGeom>
        <a:effectLst>
          <a:glow rad="162097">
            <a:schemeClr val="accent1">
              <a:alpha val="94000"/>
            </a:schemeClr>
          </a:glow>
        </a:effec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906A81E6-0DC2-CD44-8127-AC0D7F1598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D10F3C33-E69E-AF40-90A7-3B7F523EB3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FA993E1F-B094-3640-9518-2EC486F5EA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421EBA15-C8D0-344A-80C8-02264BEABD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DB452A53-1403-2042-A211-FA3F17902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5E5039D1-17D2-964A-8250-CC13203560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2BAF8067-B346-7249-995C-9F2ADE53B8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4D85233-40EA-6D40-AFE6-F0074DFD7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50ABAB3D-BE82-E849-9C84-43538CBB87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29B47A2-3893-1341-89C8-FB6FD75399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31B68CD6-FAA5-E04D-84B3-48DC6C80B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020879B8-B060-9743-B182-F73780BA2E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A6A01FA3-D5DE-0D4F-860C-4038F8C15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47A4CCF2-6EA1-2F48-9CFF-403B98B2B6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0" y="4102100"/>
          <a:ext cx="2571750" cy="209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7</xdr:col>
      <xdr:colOff>419100</xdr:colOff>
      <xdr:row>20</xdr:row>
      <xdr:rowOff>76200</xdr:rowOff>
    </xdr:from>
    <xdr:to>
      <xdr:col>12</xdr:col>
      <xdr:colOff>323850</xdr:colOff>
      <xdr:row>32</xdr:row>
      <xdr:rowOff>130175</xdr:rowOff>
    </xdr:to>
    <xdr:pic>
      <xdr:nvPicPr>
        <xdr:cNvPr id="2" name="Picture 1" descr="Homepage | Sven Carlin Research Platform">
          <a:hlinkClick xmlns:r="http://schemas.openxmlformats.org/officeDocument/2006/relationships" r:id="rId1"/>
          <a:extLst>
            <a:ext uri="{FF2B5EF4-FFF2-40B4-BE49-F238E27FC236}">
              <a16:creationId xmlns:a16="http://schemas.microsoft.com/office/drawing/2014/main" id="{E8BADB50-D626-4BCC-AA95-D2520C7E40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24475" y="3895725"/>
          <a:ext cx="2238375"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1485900</xdr:colOff>
      <xdr:row>9</xdr:row>
      <xdr:rowOff>139700</xdr:rowOff>
    </xdr:from>
    <xdr:to>
      <xdr:col>27</xdr:col>
      <xdr:colOff>673100</xdr:colOff>
      <xdr:row>29</xdr:row>
      <xdr:rowOff>166564</xdr:rowOff>
    </xdr:to>
    <xdr:pic>
      <xdr:nvPicPr>
        <xdr:cNvPr id="3" name="Picture 2">
          <a:extLst>
            <a:ext uri="{FF2B5EF4-FFF2-40B4-BE49-F238E27FC236}">
              <a16:creationId xmlns:a16="http://schemas.microsoft.com/office/drawing/2014/main" id="{0E2B0415-D40D-6BD1-155B-D5FF9CC520BC}"/>
            </a:ext>
          </a:extLst>
        </xdr:cNvPr>
        <xdr:cNvPicPr>
          <a:picLocks noChangeAspect="1"/>
        </xdr:cNvPicPr>
      </xdr:nvPicPr>
      <xdr:blipFill>
        <a:blip xmlns:r="http://schemas.openxmlformats.org/officeDocument/2006/relationships" r:embed="rId3"/>
        <a:stretch>
          <a:fillRect/>
        </a:stretch>
      </xdr:blipFill>
      <xdr:spPr>
        <a:xfrm>
          <a:off x="11988800" y="1917700"/>
          <a:ext cx="10350500" cy="3811464"/>
        </a:xfrm>
        <a:prstGeom prst="rect">
          <a:avLst/>
        </a:prstGeom>
        <a:effectLst>
          <a:glow rad="162097">
            <a:schemeClr val="accent1">
              <a:alpha val="94000"/>
            </a:schemeClr>
          </a:glow>
        </a:effectLst>
      </xdr:spPr>
    </xdr:pic>
    <xdr:clientData/>
  </xdr:twoCellAnchor>
</xdr:wsDr>
</file>

<file path=xl/persons/person.xml><?xml version="1.0" encoding="utf-8"?>
<personList xmlns="http://schemas.microsoft.com/office/spreadsheetml/2018/threadedcomments" xmlns:x="http://schemas.openxmlformats.org/spreadsheetml/2006/main">
  <person displayName="Sven Carlin" id="{8D2AD1B8-D73E-DE41-BAA5-C98A202D24CB}" userId="4fea7b3c4966fa69"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ubhtml" connectionId="1" xr16:uid="{003A679F-EE24-48F2-821E-25322E12C1F1}"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2" dT="2025-01-17T04:26:10.79" personId="{8D2AD1B8-D73E-DE41-BAA5-C98A202D24CB}" id="{FE103CB5-0120-D749-8813-9A49F3560BF3}">
    <text>When evaluating GOOGLEFINANCE, Google Sheets is not authorized to access data for exchange: 'SGX'</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ven-carlin-research-platform.teachable.com/p/stock-market-research-platfor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sven-carlin-research-platform.teachable.com/courses/335443/lectures/44136947" TargetMode="External"/><Relationship Id="rId18" Type="http://schemas.openxmlformats.org/officeDocument/2006/relationships/hyperlink" Target="https://sven-carlin-research-platform.teachable.com/courses/335443/lectures/45991763" TargetMode="External"/><Relationship Id="rId26" Type="http://schemas.openxmlformats.org/officeDocument/2006/relationships/hyperlink" Target="https://sven-carlin-research-platform.teachable.com/courses/335443/lectures/52353280" TargetMode="External"/><Relationship Id="rId39" Type="http://schemas.openxmlformats.org/officeDocument/2006/relationships/vmlDrawing" Target="../drawings/vmlDrawing1.vml"/><Relationship Id="rId21" Type="http://schemas.openxmlformats.org/officeDocument/2006/relationships/hyperlink" Target="https://sven-carlin-research-platform.teachable.com/courses/335443/lectures/49464822" TargetMode="External"/><Relationship Id="rId34" Type="http://schemas.openxmlformats.org/officeDocument/2006/relationships/hyperlink" Target="https://sven-carlin-research-platform.teachable.com/courses/335443/lectures/57072847" TargetMode="External"/><Relationship Id="rId7" Type="http://schemas.openxmlformats.org/officeDocument/2006/relationships/hyperlink" Target="https://www.youtube.com/watch?v=luUFQlYmoCs" TargetMode="External"/><Relationship Id="rId2" Type="http://schemas.openxmlformats.org/officeDocument/2006/relationships/hyperlink" Target="https://www.youtube.com/watch?v=BQi_yDIxQb4" TargetMode="External"/><Relationship Id="rId16" Type="http://schemas.openxmlformats.org/officeDocument/2006/relationships/hyperlink" Target="https://sven-carlin-research-platform.teachable.com/courses/335443/lectures/44788692" TargetMode="External"/><Relationship Id="rId20" Type="http://schemas.openxmlformats.org/officeDocument/2006/relationships/hyperlink" Target="https://sven-carlin-research-platform.teachable.com/courses/335443/lectures/51704170" TargetMode="External"/><Relationship Id="rId29" Type="http://schemas.openxmlformats.org/officeDocument/2006/relationships/hyperlink" Target="https://sven-carlin-research-platform.teachable.com/courses/335443/lectures/54527058" TargetMode="External"/><Relationship Id="rId41" Type="http://schemas.microsoft.com/office/2017/10/relationships/threadedComment" Target="../threadedComments/threadedComment1.xml"/><Relationship Id="rId1" Type="http://schemas.openxmlformats.org/officeDocument/2006/relationships/hyperlink" Target="https://www.youtube.com/watch?v=4VLw6OpiNZw" TargetMode="External"/><Relationship Id="rId6" Type="http://schemas.openxmlformats.org/officeDocument/2006/relationships/hyperlink" Target="https://www.youtube.com/watch?v=87fEIE3MAww" TargetMode="External"/><Relationship Id="rId11" Type="http://schemas.openxmlformats.org/officeDocument/2006/relationships/hyperlink" Target="https://sven-carlin-research-platform.teachable.com/courses/335443/lectures/45225403" TargetMode="External"/><Relationship Id="rId24" Type="http://schemas.openxmlformats.org/officeDocument/2006/relationships/hyperlink" Target="https://sven-carlin-research-platform.teachable.com/courses/335443/lectures/57859152" TargetMode="External"/><Relationship Id="rId32" Type="http://schemas.openxmlformats.org/officeDocument/2006/relationships/hyperlink" Target="https://sven-carlin-research-platform.teachable.com/courses/335443/lectures/54002769" TargetMode="External"/><Relationship Id="rId37" Type="http://schemas.openxmlformats.org/officeDocument/2006/relationships/printerSettings" Target="../printerSettings/printerSettings2.bin"/><Relationship Id="rId40" Type="http://schemas.openxmlformats.org/officeDocument/2006/relationships/comments" Target="../comments1.xml"/><Relationship Id="rId5" Type="http://schemas.openxmlformats.org/officeDocument/2006/relationships/hyperlink" Target="https://www.youtube.com/watch?v=DPMO7Z9fZ_g" TargetMode="External"/><Relationship Id="rId15" Type="http://schemas.openxmlformats.org/officeDocument/2006/relationships/hyperlink" Target="https://sven-carlin-research-platform.teachable.com/courses/335443/lectures/47872443" TargetMode="External"/><Relationship Id="rId23" Type="http://schemas.openxmlformats.org/officeDocument/2006/relationships/hyperlink" Target="https://sven-carlin-research-platform.teachable.com/courses/335443/lectures/45447020" TargetMode="External"/><Relationship Id="rId28" Type="http://schemas.openxmlformats.org/officeDocument/2006/relationships/hyperlink" Target="https://sven-carlin-research-platform.teachable.com/courses/335443/lectures/17571825" TargetMode="External"/><Relationship Id="rId36" Type="http://schemas.openxmlformats.org/officeDocument/2006/relationships/hyperlink" Target="https://sven-carlin-research-platform.teachable.com/courses/335443/lectures/59805978" TargetMode="External"/><Relationship Id="rId10" Type="http://schemas.openxmlformats.org/officeDocument/2006/relationships/hyperlink" Target="https://www.youtube.com/watch?v=_30SLDQzJ-E" TargetMode="External"/><Relationship Id="rId19" Type="http://schemas.openxmlformats.org/officeDocument/2006/relationships/hyperlink" Target="https://sven-carlin-research-platform.teachable.com/courses/335443/lectures/45806485" TargetMode="External"/><Relationship Id="rId31" Type="http://schemas.openxmlformats.org/officeDocument/2006/relationships/hyperlink" Target="https://sven-carlin-research-platform.teachable.com/courses/335443/lectures/49610686" TargetMode="External"/><Relationship Id="rId4" Type="http://schemas.openxmlformats.org/officeDocument/2006/relationships/hyperlink" Target="https://www.youtube.com/watch?v=gvDD-m3wRUQ" TargetMode="External"/><Relationship Id="rId9" Type="http://schemas.openxmlformats.org/officeDocument/2006/relationships/hyperlink" Target="https://www.youtube.com/watch?v=ZaPviqGdOik" TargetMode="External"/><Relationship Id="rId14" Type="http://schemas.openxmlformats.org/officeDocument/2006/relationships/hyperlink" Target="https://sven-carlin-research-platform.teachable.com/courses/335443/lectures/59274915" TargetMode="External"/><Relationship Id="rId22" Type="http://schemas.openxmlformats.org/officeDocument/2006/relationships/hyperlink" Target="https://sven-carlin-research-platform.teachable.com/courses/335443/lectures/54079430" TargetMode="External"/><Relationship Id="rId27" Type="http://schemas.openxmlformats.org/officeDocument/2006/relationships/hyperlink" Target="https://sven-carlin-research-platform.teachable.com/courses/335443/lectures/50403317" TargetMode="External"/><Relationship Id="rId30" Type="http://schemas.openxmlformats.org/officeDocument/2006/relationships/hyperlink" Target="https://sven-carlin-research-platform.teachable.com/courses/335443/lectures/54527058" TargetMode="External"/><Relationship Id="rId35" Type="http://schemas.openxmlformats.org/officeDocument/2006/relationships/hyperlink" Target="https://sven-carlin-research-platform.teachable.com/courses/335443/lectures/45064788" TargetMode="External"/><Relationship Id="rId8" Type="http://schemas.openxmlformats.org/officeDocument/2006/relationships/hyperlink" Target="https://www.youtube.com/watch?v=HInJ1FBItUE" TargetMode="External"/><Relationship Id="rId3" Type="http://schemas.openxmlformats.org/officeDocument/2006/relationships/hyperlink" Target="https://www.youtube.com/watch?v=aQ2K4w18ezU" TargetMode="External"/><Relationship Id="rId12" Type="http://schemas.openxmlformats.org/officeDocument/2006/relationships/hyperlink" Target="https://sven-carlin-research-platform.teachable.com/courses/335443/lectures/43880623" TargetMode="External"/><Relationship Id="rId17" Type="http://schemas.openxmlformats.org/officeDocument/2006/relationships/hyperlink" Target="https://sven-carlin-research-platform.teachable.com/courses/335443/lectures/58576359" TargetMode="External"/><Relationship Id="rId25" Type="http://schemas.openxmlformats.org/officeDocument/2006/relationships/hyperlink" Target="https://sven-carlin-research-platform.teachable.com/courses/335443/lectures/45722067" TargetMode="External"/><Relationship Id="rId33" Type="http://schemas.openxmlformats.org/officeDocument/2006/relationships/hyperlink" Target="https://sven-carlin-research-platform.teachable.com/courses/335443/lectures/53497824" TargetMode="External"/><Relationship Id="rId3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sven-carlin-research-platform.teachable.com/p/stock-market-research-platfor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sven-carlin-research-platform.teachable.com/p/stock-market-research-platform"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ven-carlin-research-platform.teachable.com/courses/335443/lectures/45225403"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sven-carlin-research-platform.teachable.com/courses/335443/lectures/43880623"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ven-carlin-research-platform.teachable.com/courses/335443/lectures/44136947"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sven-carlin-research-platform.teachable.com/courses/335443/lectures/59274915"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sven-carlin-research-platform.teachable.com/courses/335443/lectures/47872443"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sven-carlin-research-platform.teachable.com/courses/335443/lectures/44788692"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ven-carlin-research-platform.teachable.com/courses/335443/lectures/58576359"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ven-carlin-research-platform.teachable.com/courses/335443/lectures/45991763"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sven-carlin-research-platform.teachable.com/courses/335443/lectures/45806485"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sven-carlin-research-platform.teachable.com/courses/335443/lectures/51704170"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sven-carlin-research-platform.teachable.com/courses/335443/lectures/49464822"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sven-carlin-research-platform.teachable.com/courses/335443/lectures/54079430"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sven-carlin-research-platform.teachable.com/courses/335443/lectures/45447020"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sven-carlin-research-platform.teachable.com/courses/335443/lectures/57859152"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20.bin"/><Relationship Id="rId1" Type="http://schemas.openxmlformats.org/officeDocument/2006/relationships/hyperlink" Target="https://sven-carlin-research-platform.teachable.com/p/stock-market-research-platform"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sven-carlin-research-platform.teachable.com/courses/335443/lectures/52353280"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sven-carlin-research-platform.teachable.com/courses/335443/lectures/50403317"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sven-carlin-research-platform.teachable.com/courses/335443/lectures/17571825"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sven-carlin-research-platform.teachable.com/courses/335443/lectures/54527058"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sven-carlin-research-platform.teachable.com/courses/335443/lectures/54527058"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sven-carlin-research-platform.teachable.com/courses/335443/lectures/49610686"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sven-carlin-research-platform.teachable.com/courses/335443/lectures/54002769"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8.bin"/><Relationship Id="rId1" Type="http://schemas.openxmlformats.org/officeDocument/2006/relationships/hyperlink" Target="https://sven-carlin-research-platform.teachable.com/p/stock-market-research-platform"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sven-carlin-research-platform.teachable.com/courses/335443/lectures/53497824"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sven-carlin-research-platform.teachable.com/courses/335443/lectures/57072847"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1.bin"/><Relationship Id="rId1" Type="http://schemas.openxmlformats.org/officeDocument/2006/relationships/hyperlink" Target="https://sven-carlin-research-platform.teachable.com/p/stock-market-research-platform"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sven-carlin-research-platform.teachable.com/courses/335443/lectures/45064788" TargetMode="External"/><Relationship Id="rId1" Type="http://schemas.openxmlformats.org/officeDocument/2006/relationships/hyperlink" Target="https://sven-carlin-research-platform.teachable.com/p/stock-market-research-platform" TargetMode="External"/><Relationship Id="rId4"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3.bin"/><Relationship Id="rId1" Type="http://schemas.openxmlformats.org/officeDocument/2006/relationships/hyperlink" Target="https://sven-carlin-research-platform.teachable.com/p/stock-market-research-platform"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4.bin"/><Relationship Id="rId1" Type="http://schemas.openxmlformats.org/officeDocument/2006/relationships/hyperlink" Target="https://sven-carlin-research-platform.teachable.com/p/stock-market-research-platform"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5.bin"/><Relationship Id="rId1" Type="http://schemas.openxmlformats.org/officeDocument/2006/relationships/hyperlink" Target="https://sven-carlin-research-platform.teachable.com/p/stock-market-research-platform"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6.bin"/><Relationship Id="rId1" Type="http://schemas.openxmlformats.org/officeDocument/2006/relationships/hyperlink" Target="https://sven-carlin-research-platform.teachable.com/p/stock-market-research-platform"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7.bin"/><Relationship Id="rId1" Type="http://schemas.openxmlformats.org/officeDocument/2006/relationships/hyperlink" Target="https://sven-carlin-research-platform.teachable.com/p/stock-market-research-platform"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8.bin"/><Relationship Id="rId1" Type="http://schemas.openxmlformats.org/officeDocument/2006/relationships/hyperlink" Target="https://sven-carlin-research-platform.teachable.com/p/stock-market-research-platform"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9.bin"/><Relationship Id="rId1" Type="http://schemas.openxmlformats.org/officeDocument/2006/relationships/hyperlink" Target="https://sven-carlin-research-platform.teachable.com/p/stock-market-research-platform"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40.bin"/><Relationship Id="rId1" Type="http://schemas.openxmlformats.org/officeDocument/2006/relationships/hyperlink" Target="https://sven-carlin-research-platform.teachable.com/p/stock-market-research-platform"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1.bin"/><Relationship Id="rId1" Type="http://schemas.openxmlformats.org/officeDocument/2006/relationships/hyperlink" Target="https://sven-carlin-research-platform.teachable.com/p/stock-market-research-platform"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2.bin"/><Relationship Id="rId1" Type="http://schemas.openxmlformats.org/officeDocument/2006/relationships/hyperlink" Target="https://sven-carlin-research-platform.teachable.com/p/stock-market-research-platform"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3.bin"/><Relationship Id="rId1" Type="http://schemas.openxmlformats.org/officeDocument/2006/relationships/hyperlink" Target="https://sven-carlin-research-platform.teachable.com/p/stock-market-research-platform"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4.bin"/><Relationship Id="rId1" Type="http://schemas.openxmlformats.org/officeDocument/2006/relationships/hyperlink" Target="https://sven-carlin-research-platform.teachable.com/p/stock-market-research-platform"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5.bin"/><Relationship Id="rId1" Type="http://schemas.openxmlformats.org/officeDocument/2006/relationships/hyperlink" Target="https://sven-carlin-research-platform.teachable.com/p/stock-market-research-platform"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6.bin"/><Relationship Id="rId1" Type="http://schemas.openxmlformats.org/officeDocument/2006/relationships/hyperlink" Target="https://sven-carlin-research-platform.teachable.com/p/stock-market-research-platform"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https://sven-carlin-research-platform.teachable.com/p/stock-market-research-platform"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8.bin"/><Relationship Id="rId1" Type="http://schemas.openxmlformats.org/officeDocument/2006/relationships/hyperlink" Target="https://sven-carlin-research-platform.teachable.com/p/stock-market-research-platform"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9.bin"/><Relationship Id="rId1" Type="http://schemas.openxmlformats.org/officeDocument/2006/relationships/hyperlink" Target="https://sven-carlin-research-platform.teachable.com/p/stock-market-research-plat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3984-8F99-F541-BC8B-096F4AC47F32}">
  <dimension ref="B1:S30"/>
  <sheetViews>
    <sheetView showGridLines="0" zoomScale="147" zoomScaleNormal="147" workbookViewId="0">
      <selection activeCell="C3" sqref="C3"/>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236</v>
      </c>
      <c r="C2" s="31" t="s">
        <v>36</v>
      </c>
      <c r="D2" s="32"/>
      <c r="E2" s="33"/>
      <c r="F2" s="33"/>
      <c r="G2" s="33"/>
      <c r="H2" s="33"/>
      <c r="I2" s="33"/>
      <c r="J2" s="33"/>
      <c r="K2" s="33"/>
      <c r="L2" s="33"/>
      <c r="M2" s="33"/>
      <c r="N2" s="33"/>
      <c r="O2" s="33"/>
      <c r="P2" s="34"/>
      <c r="S2" s="3" t="s">
        <v>7</v>
      </c>
    </row>
    <row r="3" spans="2:19" ht="13.5" thickBot="1" x14ac:dyDescent="0.25">
      <c r="B3" s="35" t="s">
        <v>166</v>
      </c>
      <c r="C3" s="29">
        <f>'COMPARATIVE TABLE'!C39</f>
        <v>226.79</v>
      </c>
      <c r="D3" s="37"/>
      <c r="F3" s="73" t="s">
        <v>189</v>
      </c>
      <c r="G3" s="74"/>
      <c r="H3" s="74"/>
      <c r="I3" s="75">
        <v>0</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v>
      </c>
      <c r="P5" s="38" t="s">
        <v>1</v>
      </c>
      <c r="R5" s="1"/>
    </row>
    <row r="6" spans="2:19" x14ac:dyDescent="0.2">
      <c r="B6" s="71" t="s">
        <v>19</v>
      </c>
      <c r="C6" s="86">
        <v>0</v>
      </c>
      <c r="D6" s="41">
        <f>C6*(1+$O$5)</f>
        <v>0</v>
      </c>
      <c r="E6" s="41">
        <f>D6*(1+$O$5)</f>
        <v>0</v>
      </c>
      <c r="F6" s="41">
        <f>E6*(1+$O$5)</f>
        <v>0</v>
      </c>
      <c r="G6" s="41">
        <f>F6*(1+$O$5)</f>
        <v>0</v>
      </c>
      <c r="H6" s="41">
        <f>G6*(1+$O$5)</f>
        <v>0</v>
      </c>
      <c r="I6" s="41">
        <f>H6*(1+$O$6)</f>
        <v>0</v>
      </c>
      <c r="J6" s="41">
        <f>I6*(1+$O$6)</f>
        <v>0</v>
      </c>
      <c r="K6" s="41">
        <f>J6*(1+$O$6)</f>
        <v>0</v>
      </c>
      <c r="L6" s="41">
        <f>K6*(1+$O$6)</f>
        <v>0</v>
      </c>
      <c r="M6" s="41">
        <f>L6*(1+$O$6)</f>
        <v>0</v>
      </c>
      <c r="N6" s="72">
        <f>L6*O8</f>
        <v>0</v>
      </c>
      <c r="O6" s="70">
        <v>0</v>
      </c>
      <c r="P6" s="27" t="s">
        <v>2</v>
      </c>
    </row>
    <row r="7" spans="2:19" x14ac:dyDescent="0.2">
      <c r="B7" s="9"/>
      <c r="C7" s="7" t="str">
        <f>CONCATENATE(R8,O7*100,S8)</f>
        <v>PV(10%)</v>
      </c>
      <c r="D7" s="72">
        <f>D6*(1+$O$7)^($D$5-D5-1)*$I$3</f>
        <v>0</v>
      </c>
      <c r="E7" s="72">
        <f t="shared" ref="E7:M7" si="1">E6*(1+$O$7)^($D$5-E5-1)*$I$3</f>
        <v>0</v>
      </c>
      <c r="F7" s="72">
        <f t="shared" si="1"/>
        <v>0</v>
      </c>
      <c r="G7" s="72">
        <f t="shared" si="1"/>
        <v>0</v>
      </c>
      <c r="H7" s="72">
        <f t="shared" si="1"/>
        <v>0</v>
      </c>
      <c r="I7" s="72">
        <f t="shared" si="1"/>
        <v>0</v>
      </c>
      <c r="J7" s="72">
        <f t="shared" si="1"/>
        <v>0</v>
      </c>
      <c r="K7" s="72">
        <f t="shared" si="1"/>
        <v>0</v>
      </c>
      <c r="L7" s="72">
        <f t="shared" si="1"/>
        <v>0</v>
      </c>
      <c r="M7" s="72">
        <f t="shared" si="1"/>
        <v>0</v>
      </c>
      <c r="N7" s="72">
        <f t="shared" ref="N7" si="2">N6*(1+$O$7)^($D$5-N5-1)</f>
        <v>0</v>
      </c>
      <c r="O7" s="17">
        <v>0.1</v>
      </c>
      <c r="P7" s="45" t="s">
        <v>3</v>
      </c>
    </row>
    <row r="8" spans="2:19" ht="13.5" thickBot="1" x14ac:dyDescent="0.25">
      <c r="B8" s="9"/>
      <c r="C8" s="8" t="s">
        <v>26</v>
      </c>
      <c r="D8" s="20">
        <f>SUM(D7:N7)</f>
        <v>0</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v>
      </c>
      <c r="P11" s="38" t="s">
        <v>1</v>
      </c>
    </row>
    <row r="12" spans="2:19" x14ac:dyDescent="0.2">
      <c r="B12" s="71" t="s">
        <v>18</v>
      </c>
      <c r="C12" s="6">
        <f>C6</f>
        <v>0</v>
      </c>
      <c r="D12" s="41">
        <f>C12*(1+$O$11)</f>
        <v>0</v>
      </c>
      <c r="E12" s="41">
        <f>D12*(1+$O$11)</f>
        <v>0</v>
      </c>
      <c r="F12" s="41">
        <f>E12*(1+$O$11)</f>
        <v>0</v>
      </c>
      <c r="G12" s="41">
        <f>F12*(1+$O$11)</f>
        <v>0</v>
      </c>
      <c r="H12" s="41">
        <f>G12*(1+$O$11)</f>
        <v>0</v>
      </c>
      <c r="I12" s="41">
        <f>H12*(1+$O$12)</f>
        <v>0</v>
      </c>
      <c r="J12" s="41">
        <f>I12*(1+$O$12)</f>
        <v>0</v>
      </c>
      <c r="K12" s="41">
        <f>J12*(1+$O$12)</f>
        <v>0</v>
      </c>
      <c r="L12" s="41">
        <f>K12*(1+$O$12)</f>
        <v>0</v>
      </c>
      <c r="M12" s="41">
        <f>L12*(1+$O$12)</f>
        <v>0</v>
      </c>
      <c r="N12" s="41">
        <f>L12*O14</f>
        <v>0</v>
      </c>
      <c r="O12" s="70">
        <v>0</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0</v>
      </c>
      <c r="O13" s="17">
        <f>O7</f>
        <v>0.1</v>
      </c>
      <c r="P13" s="38" t="s">
        <v>3</v>
      </c>
    </row>
    <row r="14" spans="2:19" ht="13.5" thickBot="1" x14ac:dyDescent="0.25">
      <c r="B14" s="9"/>
      <c r="C14" s="8" t="s">
        <v>4</v>
      </c>
      <c r="D14" s="20">
        <f>SUM(D13:N13)</f>
        <v>0</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0</v>
      </c>
      <c r="D18" s="41">
        <f>C18*(1+$O$17)</f>
        <v>0</v>
      </c>
      <c r="E18" s="41">
        <f>D18*(1+$O$17)</f>
        <v>0</v>
      </c>
      <c r="F18" s="41">
        <f>E18*(1+$O$17)</f>
        <v>0</v>
      </c>
      <c r="G18" s="41">
        <f>F18*(1+$O$17)</f>
        <v>0</v>
      </c>
      <c r="H18" s="41">
        <f>G18*(1+$O$17)</f>
        <v>0</v>
      </c>
      <c r="I18" s="41">
        <f>H18*(1+$O$18)</f>
        <v>0</v>
      </c>
      <c r="J18" s="41">
        <f>I18*(1+$O$18)</f>
        <v>0</v>
      </c>
      <c r="K18" s="41">
        <f>J18*(1+$O$18)</f>
        <v>0</v>
      </c>
      <c r="L18" s="41">
        <f>K18*(1+$O$18)</f>
        <v>0</v>
      </c>
      <c r="M18" s="41">
        <f>L18*(1+$O$18)</f>
        <v>0</v>
      </c>
      <c r="N18" s="41">
        <f>L18*O20</f>
        <v>0</v>
      </c>
      <c r="O18" s="70">
        <v>0</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0</v>
      </c>
      <c r="O19" s="17">
        <f>O13</f>
        <v>0.1</v>
      </c>
      <c r="P19" s="38" t="s">
        <v>3</v>
      </c>
    </row>
    <row r="20" spans="2:16" ht="13.5" thickBot="1" x14ac:dyDescent="0.25">
      <c r="B20" s="71" t="s">
        <v>156</v>
      </c>
      <c r="C20" s="8" t="s">
        <v>4</v>
      </c>
      <c r="D20" s="20">
        <f>SUM(D19:N19)</f>
        <v>0</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0</v>
      </c>
      <c r="F23" s="22">
        <f>E23*D23</f>
        <v>0</v>
      </c>
      <c r="G23" s="25"/>
      <c r="P23" s="38"/>
    </row>
    <row r="24" spans="2:16" x14ac:dyDescent="0.2">
      <c r="B24" s="9"/>
      <c r="C24" s="9" t="s">
        <v>15</v>
      </c>
      <c r="D24" s="44">
        <v>0.33</v>
      </c>
      <c r="E24" s="41">
        <f>D14</f>
        <v>0</v>
      </c>
      <c r="F24" s="22">
        <f>E24*D24</f>
        <v>0</v>
      </c>
      <c r="G24" s="25"/>
      <c r="P24" s="38"/>
    </row>
    <row r="25" spans="2:16" ht="13.5" thickBot="1" x14ac:dyDescent="0.25">
      <c r="B25" s="9"/>
      <c r="C25" s="10" t="s">
        <v>29</v>
      </c>
      <c r="D25" s="44">
        <v>0.33</v>
      </c>
      <c r="E25" s="23">
        <f>D20</f>
        <v>0</v>
      </c>
      <c r="F25" s="24">
        <f>E25*D25</f>
        <v>0</v>
      </c>
      <c r="G25" s="25"/>
      <c r="P25" s="38"/>
    </row>
    <row r="26" spans="2:16" ht="13.5" thickBot="1" x14ac:dyDescent="0.25">
      <c r="B26" s="9"/>
      <c r="C26" s="36" t="s">
        <v>167</v>
      </c>
      <c r="D26" s="36">
        <f>C3</f>
        <v>226.79</v>
      </c>
      <c r="E26" s="15" t="s">
        <v>11</v>
      </c>
      <c r="F26" s="16">
        <f>SUM(F23:F25)</f>
        <v>0</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93" priority="1" operator="containsText" text="overvalued">
      <formula>NOT(ISERROR(SEARCH("overvalued",D3)))</formula>
    </cfRule>
    <cfRule type="containsText" dxfId="92" priority="2" operator="containsText" text="undervalued">
      <formula>NOT(ISERROR(SEARCH("undervalued",D3)))</formula>
    </cfRule>
  </conditionalFormatting>
  <hyperlinks>
    <hyperlink ref="C30" r:id="rId1" xr:uid="{D82A6FA7-94BA-3E40-8698-8A8C8E95E194}"/>
    <hyperlink ref="B4" location="'COMPARATIVE TABLE'!A1" display="'COMPARATIVE TABLE'!A1" xr:uid="{A8DE0059-3F4C-DA4D-ABA3-F5E5FE65CE6E}"/>
  </hyperlinks>
  <pageMargins left="0.7" right="0.7" top="0.78740157499999996" bottom="0.78740157499999996"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74C0-CDEF-4670-A88C-05B7811BD592}">
  <sheetPr codeName="Sheet2">
    <tabColor rgb="FFFFFF00"/>
  </sheetPr>
  <dimension ref="A1:M321"/>
  <sheetViews>
    <sheetView tabSelected="1" zoomScaleNormal="100" workbookViewId="0">
      <pane ySplit="1" topLeftCell="A2" activePane="bottomLeft" state="frozen"/>
      <selection pane="bottomLeft" activeCell="H8" sqref="H8:H32"/>
    </sheetView>
  </sheetViews>
  <sheetFormatPr defaultColWidth="8.85546875" defaultRowHeight="20.25" x14ac:dyDescent="0.3"/>
  <cols>
    <col min="1" max="1" width="20.140625" customWidth="1"/>
    <col min="2" max="2" width="12" bestFit="1" customWidth="1"/>
    <col min="3" max="3" width="24.85546875" bestFit="1" customWidth="1"/>
    <col min="4" max="4" width="12.42578125" bestFit="1" customWidth="1"/>
    <col min="5" max="5" width="9.140625" style="25" customWidth="1"/>
    <col min="6" max="6" width="18.42578125" bestFit="1" customWidth="1"/>
    <col min="7" max="7" width="10.28515625" style="50" bestFit="1" customWidth="1"/>
    <col min="8" max="8" width="11.42578125" customWidth="1"/>
    <col min="9" max="9" width="13.7109375" bestFit="1" customWidth="1"/>
    <col min="10" max="10" width="92.28515625" bestFit="1" customWidth="1"/>
    <col min="11" max="11" width="103.7109375" bestFit="1" customWidth="1"/>
    <col min="12" max="12" width="35.85546875" customWidth="1"/>
    <col min="13" max="13" width="79.85546875" bestFit="1" customWidth="1"/>
  </cols>
  <sheetData>
    <row r="1" spans="1:13" s="50" customFormat="1" x14ac:dyDescent="0.3">
      <c r="A1" s="47" t="s">
        <v>42</v>
      </c>
      <c r="B1" s="47" t="s">
        <v>43</v>
      </c>
      <c r="C1" s="47" t="s">
        <v>172</v>
      </c>
      <c r="D1" s="47" t="s">
        <v>44</v>
      </c>
      <c r="E1" s="48" t="s">
        <v>45</v>
      </c>
      <c r="F1" s="47" t="s">
        <v>46</v>
      </c>
      <c r="G1" s="49" t="s">
        <v>47</v>
      </c>
      <c r="H1" s="47" t="s">
        <v>48</v>
      </c>
      <c r="I1" s="47" t="s">
        <v>103</v>
      </c>
      <c r="J1" s="47" t="s">
        <v>41</v>
      </c>
      <c r="K1" s="47" t="s">
        <v>49</v>
      </c>
      <c r="L1" s="47" t="s">
        <v>50</v>
      </c>
      <c r="M1" s="47" t="s">
        <v>51</v>
      </c>
    </row>
    <row r="2" spans="1:13" s="52" customFormat="1" x14ac:dyDescent="0.3">
      <c r="A2" s="51" t="s">
        <v>68</v>
      </c>
      <c r="B2" s="51"/>
      <c r="C2" s="51"/>
      <c r="D2" s="51"/>
      <c r="E2" s="51"/>
      <c r="F2" s="51"/>
      <c r="G2" s="51"/>
      <c r="H2" s="51"/>
      <c r="I2" s="51"/>
      <c r="J2" s="51"/>
      <c r="K2" s="51"/>
      <c r="L2" s="51"/>
      <c r="M2" s="51"/>
    </row>
    <row r="3" spans="1:13" s="50" customFormat="1" x14ac:dyDescent="0.3">
      <c r="A3" s="47" t="s">
        <v>35</v>
      </c>
      <c r="B3" s="47" t="s">
        <v>235</v>
      </c>
      <c r="C3" s="47">
        <f>'MKT CAP - Price'!D4</f>
        <v>34.42</v>
      </c>
      <c r="D3" s="65">
        <f>Ahold!F26</f>
        <v>23.937823503216215</v>
      </c>
      <c r="E3" s="55">
        <f>D3/C3</f>
        <v>0.69546262356816424</v>
      </c>
      <c r="F3" s="56" t="s">
        <v>237</v>
      </c>
      <c r="G3" s="56" t="s">
        <v>238</v>
      </c>
      <c r="H3" s="90">
        <v>45839</v>
      </c>
      <c r="I3" s="47" t="s">
        <v>240</v>
      </c>
      <c r="J3" s="47" t="s">
        <v>241</v>
      </c>
      <c r="K3" s="47" t="s">
        <v>251</v>
      </c>
      <c r="L3" s="47"/>
      <c r="M3" s="47"/>
    </row>
    <row r="4" spans="1:13" s="88" customFormat="1" x14ac:dyDescent="0.3">
      <c r="A4" s="87" t="s">
        <v>242</v>
      </c>
      <c r="B4" s="87" t="s">
        <v>63</v>
      </c>
      <c r="C4" s="87">
        <f>'MKT CAP - Price'!C98</f>
        <v>143.93</v>
      </c>
      <c r="D4" s="93">
        <f>BABA!F26</f>
        <v>95.030015061146926</v>
      </c>
      <c r="E4" s="55">
        <f t="shared" ref="E4:E35" si="0">D4/C4</f>
        <v>0.66025161579341984</v>
      </c>
      <c r="F4" s="91" t="s">
        <v>244</v>
      </c>
      <c r="G4" s="96" t="s">
        <v>243</v>
      </c>
      <c r="H4" s="92">
        <v>45901</v>
      </c>
      <c r="I4" s="87" t="s">
        <v>139</v>
      </c>
      <c r="J4" s="87" t="s">
        <v>246</v>
      </c>
      <c r="K4" s="87" t="s">
        <v>252</v>
      </c>
      <c r="L4" s="87"/>
      <c r="M4" s="87"/>
    </row>
    <row r="5" spans="1:13" s="50" customFormat="1" x14ac:dyDescent="0.3">
      <c r="A5" s="47" t="s">
        <v>248</v>
      </c>
      <c r="B5" s="47" t="s">
        <v>248</v>
      </c>
      <c r="C5" s="47">
        <f>'MKT CAP - Price'!C99</f>
        <v>22.9</v>
      </c>
      <c r="D5" s="65">
        <f>ACOMO!F26</f>
        <v>22.436316097092114</v>
      </c>
      <c r="E5" s="55">
        <f t="shared" si="0"/>
        <v>0.97975179463284345</v>
      </c>
      <c r="F5" s="69" t="s">
        <v>247</v>
      </c>
      <c r="G5" s="69" t="s">
        <v>256</v>
      </c>
      <c r="H5" s="90">
        <v>45901</v>
      </c>
      <c r="I5" s="47" t="s">
        <v>249</v>
      </c>
      <c r="J5" s="47" t="s">
        <v>250</v>
      </c>
      <c r="K5" s="47" t="s">
        <v>253</v>
      </c>
      <c r="L5" s="47"/>
      <c r="M5" s="47"/>
    </row>
    <row r="6" spans="1:13" s="88" customFormat="1" x14ac:dyDescent="0.3">
      <c r="A6" s="87" t="s">
        <v>206</v>
      </c>
      <c r="B6" s="87" t="s">
        <v>188</v>
      </c>
      <c r="C6" s="87">
        <f>'MKT CAP - Price'!E91</f>
        <v>61.41</v>
      </c>
      <c r="D6" s="93">
        <f>ADM!F26</f>
        <v>38.188778839831244</v>
      </c>
      <c r="E6" s="55">
        <f t="shared" si="0"/>
        <v>0.62186580100685962</v>
      </c>
      <c r="F6" s="96" t="s">
        <v>255</v>
      </c>
      <c r="G6" s="96" t="s">
        <v>212</v>
      </c>
      <c r="H6" s="92">
        <v>45901</v>
      </c>
      <c r="I6" s="87" t="s">
        <v>249</v>
      </c>
      <c r="J6" s="87" t="s">
        <v>397</v>
      </c>
      <c r="K6" s="87"/>
      <c r="L6" s="87"/>
      <c r="M6" s="87"/>
    </row>
    <row r="7" spans="1:13" s="88" customFormat="1" x14ac:dyDescent="0.3">
      <c r="A7" s="87" t="s">
        <v>416</v>
      </c>
      <c r="B7" s="87"/>
      <c r="C7" s="87">
        <f>'MKT CAP - Price'!C127</f>
        <v>25.11</v>
      </c>
      <c r="D7" s="93">
        <f>AKER!F26</f>
        <v>27.784211071884027</v>
      </c>
      <c r="E7" s="55">
        <f t="shared" si="0"/>
        <v>1.1064998435636808</v>
      </c>
      <c r="F7" s="96"/>
      <c r="G7" s="96" t="s">
        <v>422</v>
      </c>
      <c r="H7" s="90">
        <v>45901</v>
      </c>
      <c r="I7" s="87" t="s">
        <v>420</v>
      </c>
      <c r="J7" s="87" t="s">
        <v>421</v>
      </c>
      <c r="K7" s="87"/>
      <c r="L7" s="87"/>
      <c r="M7" s="87"/>
    </row>
    <row r="8" spans="1:13" s="50" customFormat="1" x14ac:dyDescent="0.3">
      <c r="A8" s="47" t="s">
        <v>257</v>
      </c>
      <c r="B8" s="47" t="s">
        <v>258</v>
      </c>
      <c r="C8" s="47">
        <f>'MKT CAP - Price'!C100</f>
        <v>1997</v>
      </c>
      <c r="D8" s="65">
        <f>ABF!F26</f>
        <v>1275.3723505857758</v>
      </c>
      <c r="E8" s="55">
        <f t="shared" si="0"/>
        <v>0.63864414150514559</v>
      </c>
      <c r="F8" s="69" t="s">
        <v>259</v>
      </c>
      <c r="G8" s="69" t="s">
        <v>266</v>
      </c>
      <c r="H8" s="92">
        <v>45901</v>
      </c>
      <c r="I8" s="47" t="s">
        <v>260</v>
      </c>
      <c r="J8" s="47" t="s">
        <v>261</v>
      </c>
      <c r="K8" s="47"/>
      <c r="L8" s="47"/>
      <c r="M8" s="47"/>
    </row>
    <row r="9" spans="1:13" s="88" customFormat="1" x14ac:dyDescent="0.3">
      <c r="A9" s="87" t="s">
        <v>99</v>
      </c>
      <c r="B9" s="87" t="s">
        <v>40</v>
      </c>
      <c r="C9" s="87">
        <f>'MKT CAP - Price'!J6</f>
        <v>1061.6745679999999</v>
      </c>
      <c r="D9" s="93">
        <f>BRK.B!F26</f>
        <v>460.39879166393342</v>
      </c>
      <c r="E9" s="55">
        <f t="shared" si="0"/>
        <v>0.43365340523437446</v>
      </c>
      <c r="F9" s="96" t="s">
        <v>264</v>
      </c>
      <c r="G9" s="96" t="s">
        <v>265</v>
      </c>
      <c r="H9" s="90">
        <v>45901</v>
      </c>
      <c r="I9" s="87" t="s">
        <v>267</v>
      </c>
      <c r="J9" s="87" t="s">
        <v>268</v>
      </c>
      <c r="K9" s="87"/>
      <c r="L9" s="87"/>
      <c r="M9" s="87"/>
    </row>
    <row r="10" spans="1:13" s="50" customFormat="1" x14ac:dyDescent="0.3">
      <c r="A10" s="47" t="s">
        <v>269</v>
      </c>
      <c r="B10" s="47" t="s">
        <v>270</v>
      </c>
      <c r="C10" s="47">
        <f>'MKT CAP - Price'!C101</f>
        <v>3.88</v>
      </c>
      <c r="D10" s="65">
        <f>LND!F26</f>
        <v>3.354447618156966</v>
      </c>
      <c r="E10" s="55">
        <f t="shared" si="0"/>
        <v>0.86454835519509432</v>
      </c>
      <c r="F10" s="69" t="s">
        <v>271</v>
      </c>
      <c r="G10" s="69" t="s">
        <v>272</v>
      </c>
      <c r="H10" s="92">
        <v>45901</v>
      </c>
      <c r="I10" s="47" t="s">
        <v>273</v>
      </c>
      <c r="J10" s="47" t="s">
        <v>366</v>
      </c>
      <c r="K10" s="47"/>
      <c r="L10" s="47"/>
      <c r="M10" s="47"/>
    </row>
    <row r="11" spans="1:13" s="88" customFormat="1" x14ac:dyDescent="0.3">
      <c r="A11" s="87" t="s">
        <v>277</v>
      </c>
      <c r="B11" s="87" t="s">
        <v>278</v>
      </c>
      <c r="C11" s="87">
        <f>'MKT CAP - Price'!C102</f>
        <v>60.2</v>
      </c>
      <c r="D11" s="93">
        <f>CEMBRE!F26</f>
        <v>31.276445961245532</v>
      </c>
      <c r="E11" s="55">
        <f t="shared" si="0"/>
        <v>0.51954229171504207</v>
      </c>
      <c r="F11" s="96" t="s">
        <v>275</v>
      </c>
      <c r="G11" s="96" t="s">
        <v>276</v>
      </c>
      <c r="H11" s="90">
        <v>45901</v>
      </c>
      <c r="I11" s="87" t="s">
        <v>279</v>
      </c>
      <c r="J11" s="87" t="s">
        <v>367</v>
      </c>
      <c r="K11" s="87"/>
      <c r="L11" s="87"/>
      <c r="M11" s="87"/>
    </row>
    <row r="12" spans="1:13" s="50" customFormat="1" x14ac:dyDescent="0.3">
      <c r="A12" s="47" t="s">
        <v>280</v>
      </c>
      <c r="B12" s="94">
        <v>941</v>
      </c>
      <c r="C12" s="47">
        <f>'MKT CAP - Price'!C103</f>
        <v>87.5</v>
      </c>
      <c r="D12" s="65">
        <f>CHM!F26</f>
        <v>88.630036859090879</v>
      </c>
      <c r="E12" s="55">
        <f t="shared" si="0"/>
        <v>1.0129147069610387</v>
      </c>
      <c r="F12" s="69" t="s">
        <v>281</v>
      </c>
      <c r="G12" s="69" t="s">
        <v>282</v>
      </c>
      <c r="H12" s="92">
        <v>45901</v>
      </c>
      <c r="I12" s="47" t="s">
        <v>283</v>
      </c>
      <c r="J12" s="47" t="s">
        <v>368</v>
      </c>
      <c r="K12" s="47"/>
      <c r="L12" s="47"/>
      <c r="M12" s="47"/>
    </row>
    <row r="13" spans="1:13" s="88" customFormat="1" x14ac:dyDescent="0.3">
      <c r="A13" s="87" t="s">
        <v>284</v>
      </c>
      <c r="B13" s="95" t="s">
        <v>285</v>
      </c>
      <c r="C13" s="87">
        <f>'MKT CAP - Price'!C104</f>
        <v>52.1</v>
      </c>
      <c r="D13" s="93">
        <f>CK!F26</f>
        <v>41.476927699472604</v>
      </c>
      <c r="E13" s="55">
        <f t="shared" si="0"/>
        <v>0.79610225910695975</v>
      </c>
      <c r="F13" s="96" t="s">
        <v>287</v>
      </c>
      <c r="G13" s="96" t="s">
        <v>286</v>
      </c>
      <c r="H13" s="90">
        <v>45901</v>
      </c>
      <c r="I13" s="87" t="s">
        <v>288</v>
      </c>
      <c r="J13" s="87" t="s">
        <v>369</v>
      </c>
      <c r="K13" s="87"/>
      <c r="L13" s="87"/>
      <c r="M13" s="87"/>
    </row>
    <row r="14" spans="1:13" s="88" customFormat="1" x14ac:dyDescent="0.3">
      <c r="A14" s="87" t="s">
        <v>289</v>
      </c>
      <c r="B14" s="87" t="s">
        <v>290</v>
      </c>
      <c r="C14" s="87">
        <f>'MKT CAP - Price'!C105</f>
        <v>3455</v>
      </c>
      <c r="D14" s="93">
        <f>Clarks!F26</f>
        <v>2297.8593732380559</v>
      </c>
      <c r="E14" s="55">
        <f t="shared" si="0"/>
        <v>0.66508230773894528</v>
      </c>
      <c r="F14" s="96" t="s">
        <v>291</v>
      </c>
      <c r="G14" s="96" t="s">
        <v>292</v>
      </c>
      <c r="H14" s="92">
        <v>45901</v>
      </c>
      <c r="I14" s="87" t="s">
        <v>293</v>
      </c>
      <c r="J14" s="87" t="s">
        <v>294</v>
      </c>
      <c r="K14" s="87"/>
      <c r="L14" s="87"/>
      <c r="M14" s="87"/>
    </row>
    <row r="15" spans="1:13" s="50" customFormat="1" x14ac:dyDescent="0.3">
      <c r="A15" s="47" t="s">
        <v>295</v>
      </c>
      <c r="B15" s="47">
        <v>142</v>
      </c>
      <c r="C15" s="47">
        <f>'MKT CAP - Price'!C106</f>
        <v>6.67</v>
      </c>
      <c r="D15" s="65">
        <f>FP!F26</f>
        <v>4.2143239471500449</v>
      </c>
      <c r="E15" s="55">
        <f t="shared" si="0"/>
        <v>0.63183267573463942</v>
      </c>
      <c r="F15" s="69" t="s">
        <v>296</v>
      </c>
      <c r="G15" s="69" t="s">
        <v>297</v>
      </c>
      <c r="H15" s="90">
        <v>45901</v>
      </c>
      <c r="I15" s="47" t="s">
        <v>298</v>
      </c>
      <c r="J15" s="47" t="s">
        <v>299</v>
      </c>
      <c r="K15" s="47"/>
      <c r="L15" s="47"/>
      <c r="M15" s="47"/>
    </row>
    <row r="16" spans="1:13" s="88" customFormat="1" x14ac:dyDescent="0.3">
      <c r="A16" s="87" t="s">
        <v>300</v>
      </c>
      <c r="B16" s="87" t="s">
        <v>301</v>
      </c>
      <c r="C16" s="87">
        <f>'MKT CAP - Price'!C107</f>
        <v>24.92</v>
      </c>
      <c r="D16" s="93">
        <f>FLOW!F26</f>
        <v>39.828938658621453</v>
      </c>
      <c r="E16" s="55">
        <f t="shared" si="0"/>
        <v>1.5982720167986135</v>
      </c>
      <c r="F16" s="96" t="s">
        <v>303</v>
      </c>
      <c r="G16" s="96" t="s">
        <v>304</v>
      </c>
      <c r="H16" s="92">
        <v>45901</v>
      </c>
      <c r="I16" s="87" t="s">
        <v>305</v>
      </c>
      <c r="J16" s="87" t="s">
        <v>370</v>
      </c>
      <c r="K16" s="87"/>
      <c r="L16" s="87"/>
      <c r="M16" s="87"/>
    </row>
    <row r="17" spans="1:13" s="88" customFormat="1" x14ac:dyDescent="0.3">
      <c r="A17" s="87" t="s">
        <v>401</v>
      </c>
      <c r="B17" s="87" t="s">
        <v>402</v>
      </c>
      <c r="C17" s="93">
        <f>'MKT CAP - Price'!C124/1000000000</f>
        <v>35.194535555000002</v>
      </c>
      <c r="D17" s="93">
        <f>GLEN!D8</f>
        <v>39.462855268821485</v>
      </c>
      <c r="E17" s="55">
        <f t="shared" si="0"/>
        <v>1.1212779099514241</v>
      </c>
      <c r="F17" s="96" t="s">
        <v>411</v>
      </c>
      <c r="G17" s="96" t="s">
        <v>405</v>
      </c>
      <c r="H17" s="90">
        <v>45901</v>
      </c>
      <c r="I17" s="87" t="s">
        <v>403</v>
      </c>
      <c r="J17" s="87" t="s">
        <v>404</v>
      </c>
      <c r="K17" s="87"/>
      <c r="L17" s="87"/>
      <c r="M17" s="87"/>
    </row>
    <row r="18" spans="1:13" s="50" customFormat="1" x14ac:dyDescent="0.3">
      <c r="A18" s="47" t="s">
        <v>306</v>
      </c>
      <c r="B18" s="47" t="s">
        <v>318</v>
      </c>
      <c r="C18" s="47">
        <f>'MKT CAP - Price'!C108</f>
        <v>6.25</v>
      </c>
      <c r="D18" s="65">
        <f>ICL!F26</f>
        <v>4.5056489649173841</v>
      </c>
      <c r="E18" s="55">
        <f t="shared" si="0"/>
        <v>0.72090383438678141</v>
      </c>
      <c r="F18" s="69" t="s">
        <v>317</v>
      </c>
      <c r="G18" s="69" t="s">
        <v>319</v>
      </c>
      <c r="H18" s="92">
        <v>45901</v>
      </c>
      <c r="I18" s="47" t="s">
        <v>320</v>
      </c>
      <c r="J18" s="47" t="s">
        <v>371</v>
      </c>
      <c r="K18" s="47"/>
      <c r="L18" s="47"/>
      <c r="M18" s="47"/>
    </row>
    <row r="19" spans="1:13" s="50" customFormat="1" x14ac:dyDescent="0.3">
      <c r="A19" s="47" t="s">
        <v>417</v>
      </c>
      <c r="B19" s="47"/>
      <c r="C19" s="47">
        <f>'MKT CAP - Price'!C128</f>
        <v>23</v>
      </c>
      <c r="D19" s="65">
        <f>LXS!F26</f>
        <v>27.412555464650985</v>
      </c>
      <c r="E19" s="55">
        <f t="shared" si="0"/>
        <v>1.1918502375935212</v>
      </c>
      <c r="F19" s="69"/>
      <c r="G19" s="69" t="s">
        <v>423</v>
      </c>
      <c r="H19" s="90">
        <v>45901</v>
      </c>
      <c r="I19" s="47" t="s">
        <v>418</v>
      </c>
      <c r="J19" s="47" t="s">
        <v>419</v>
      </c>
      <c r="K19" s="47"/>
      <c r="L19" s="47"/>
      <c r="M19" s="47"/>
    </row>
    <row r="20" spans="1:13" s="88" customFormat="1" x14ac:dyDescent="0.3">
      <c r="A20" s="87" t="s">
        <v>307</v>
      </c>
      <c r="B20" s="87" t="s">
        <v>321</v>
      </c>
      <c r="C20" s="87">
        <f>'MKT CAP - Price'!C109</f>
        <v>11.71</v>
      </c>
      <c r="D20" s="93">
        <f>LBTYK!F26</f>
        <v>12.740720831638964</v>
      </c>
      <c r="E20" s="55">
        <f t="shared" si="0"/>
        <v>1.0880205663227125</v>
      </c>
      <c r="F20" s="96" t="s">
        <v>322</v>
      </c>
      <c r="G20" s="96" t="s">
        <v>323</v>
      </c>
      <c r="H20" s="92">
        <v>45901</v>
      </c>
      <c r="I20" s="87" t="s">
        <v>324</v>
      </c>
      <c r="J20" s="87" t="s">
        <v>372</v>
      </c>
      <c r="K20" s="87"/>
      <c r="L20" s="87"/>
      <c r="M20" s="87"/>
    </row>
    <row r="21" spans="1:13" s="50" customFormat="1" x14ac:dyDescent="0.3">
      <c r="A21" s="47" t="s">
        <v>308</v>
      </c>
      <c r="B21" s="47" t="s">
        <v>325</v>
      </c>
      <c r="C21" s="47">
        <f>'MKT CAP - Price'!C110</f>
        <v>11.76</v>
      </c>
      <c r="D21" s="65">
        <f>LUNDIN!F26</f>
        <v>5.8796967961612596</v>
      </c>
      <c r="E21" s="55">
        <f t="shared" si="0"/>
        <v>0.49997421736065134</v>
      </c>
      <c r="F21" s="69" t="s">
        <v>326</v>
      </c>
      <c r="G21" s="69" t="s">
        <v>327</v>
      </c>
      <c r="H21" s="90">
        <v>45901</v>
      </c>
      <c r="I21" s="47" t="s">
        <v>328</v>
      </c>
      <c r="J21" s="47" t="s">
        <v>373</v>
      </c>
      <c r="K21" s="47"/>
      <c r="L21" s="47"/>
      <c r="M21" s="47"/>
    </row>
    <row r="22" spans="1:13" s="88" customFormat="1" x14ac:dyDescent="0.3">
      <c r="A22" s="87" t="s">
        <v>309</v>
      </c>
      <c r="B22" s="87" t="s">
        <v>330</v>
      </c>
      <c r="C22" s="87">
        <f>'MKT CAP - Price'!C111</f>
        <v>10.26</v>
      </c>
      <c r="D22" s="93">
        <f>Maersk!F26</f>
        <v>7.6169348099042233</v>
      </c>
      <c r="E22" s="55">
        <f t="shared" si="0"/>
        <v>0.74239130700820888</v>
      </c>
      <c r="F22" s="96" t="s">
        <v>331</v>
      </c>
      <c r="G22" s="96" t="s">
        <v>332</v>
      </c>
      <c r="H22" s="92">
        <v>45901</v>
      </c>
      <c r="I22" s="87" t="s">
        <v>333</v>
      </c>
      <c r="J22" s="87" t="s">
        <v>374</v>
      </c>
      <c r="K22" s="87"/>
      <c r="L22" s="87"/>
      <c r="M22" s="87"/>
    </row>
    <row r="23" spans="1:13" s="50" customFormat="1" x14ac:dyDescent="0.3">
      <c r="A23" s="47" t="s">
        <v>310</v>
      </c>
      <c r="B23" s="47">
        <v>2689</v>
      </c>
      <c r="C23" s="47">
        <f>'MKT CAP - Price'!C112</f>
        <v>5.95</v>
      </c>
      <c r="D23" s="65">
        <f>'Nine D'!F26</f>
        <v>6.434106776517261</v>
      </c>
      <c r="E23" s="55">
        <f t="shared" si="0"/>
        <v>1.0813624834482791</v>
      </c>
      <c r="F23" s="69" t="s">
        <v>334</v>
      </c>
      <c r="G23" s="97" t="s">
        <v>336</v>
      </c>
      <c r="H23" s="90">
        <v>45901</v>
      </c>
      <c r="I23" s="47" t="s">
        <v>337</v>
      </c>
      <c r="J23" s="47" t="s">
        <v>375</v>
      </c>
      <c r="K23" s="47"/>
      <c r="L23" s="47"/>
      <c r="M23" s="47"/>
    </row>
    <row r="24" spans="1:13" s="88" customFormat="1" x14ac:dyDescent="0.3">
      <c r="A24" s="87" t="s">
        <v>89</v>
      </c>
      <c r="B24" s="87" t="s">
        <v>338</v>
      </c>
      <c r="C24" s="87">
        <f>'MKT CAP - Price'!C113</f>
        <v>57.41</v>
      </c>
      <c r="D24" s="93">
        <f>NTR!F26</f>
        <v>42.801655776101491</v>
      </c>
      <c r="E24" s="55">
        <f t="shared" si="0"/>
        <v>0.74554355993906107</v>
      </c>
      <c r="F24" s="96" t="s">
        <v>339</v>
      </c>
      <c r="G24" s="96" t="s">
        <v>340</v>
      </c>
      <c r="H24" s="92">
        <v>45901</v>
      </c>
      <c r="I24" s="87" t="s">
        <v>320</v>
      </c>
      <c r="J24" s="87" t="s">
        <v>371</v>
      </c>
      <c r="K24" s="87"/>
      <c r="L24" s="87"/>
      <c r="M24" s="87"/>
    </row>
    <row r="25" spans="1:13" s="50" customFormat="1" x14ac:dyDescent="0.3">
      <c r="A25" s="47" t="s">
        <v>311</v>
      </c>
      <c r="B25" s="47" t="s">
        <v>341</v>
      </c>
      <c r="C25" s="47">
        <f>'MKT CAP - Price'!C114</f>
        <v>33.409999999999997</v>
      </c>
      <c r="D25" s="65">
        <f>MOS!F26</f>
        <v>18.82660923439461</v>
      </c>
      <c r="E25" s="55">
        <f t="shared" si="0"/>
        <v>0.56350222192141908</v>
      </c>
      <c r="F25" s="69" t="s">
        <v>339</v>
      </c>
      <c r="G25" s="69" t="s">
        <v>342</v>
      </c>
      <c r="H25" s="90">
        <v>45901</v>
      </c>
      <c r="I25" s="87" t="s">
        <v>320</v>
      </c>
      <c r="J25" s="47" t="s">
        <v>371</v>
      </c>
      <c r="K25" s="47"/>
      <c r="L25" s="47"/>
      <c r="M25" s="47"/>
    </row>
    <row r="26" spans="1:13" s="88" customFormat="1" x14ac:dyDescent="0.3">
      <c r="A26" s="87" t="s">
        <v>312</v>
      </c>
      <c r="B26" s="87" t="s">
        <v>343</v>
      </c>
      <c r="C26" s="87">
        <f>'MKT CAP - Price'!C115</f>
        <v>2085</v>
      </c>
      <c r="D26" s="93">
        <f>RHIM!F26</f>
        <v>2594.4344475316611</v>
      </c>
      <c r="E26" s="55">
        <f t="shared" si="0"/>
        <v>1.2443330683605089</v>
      </c>
      <c r="F26" s="96" t="s">
        <v>345</v>
      </c>
      <c r="G26" s="96" t="s">
        <v>346</v>
      </c>
      <c r="H26" s="92">
        <v>45901</v>
      </c>
      <c r="I26" s="87" t="s">
        <v>347</v>
      </c>
      <c r="J26" s="87" t="s">
        <v>380</v>
      </c>
      <c r="K26" s="87"/>
      <c r="L26" s="87"/>
      <c r="M26" s="87"/>
    </row>
    <row r="27" spans="1:13" s="50" customFormat="1" x14ac:dyDescent="0.3">
      <c r="A27" s="47" t="s">
        <v>313</v>
      </c>
      <c r="B27" s="47" t="s">
        <v>348</v>
      </c>
      <c r="C27" s="47">
        <f>'MKT CAP - Price'!C116</f>
        <v>28.16</v>
      </c>
      <c r="D27" s="65">
        <f>RUI!F26</f>
        <v>26.367783722685957</v>
      </c>
      <c r="E27" s="55">
        <f t="shared" si="0"/>
        <v>0.93635595606129107</v>
      </c>
      <c r="F27" s="69" t="s">
        <v>350</v>
      </c>
      <c r="G27" s="69" t="s">
        <v>351</v>
      </c>
      <c r="H27" s="90">
        <v>45901</v>
      </c>
      <c r="I27" s="47" t="s">
        <v>352</v>
      </c>
      <c r="J27" s="47" t="s">
        <v>379</v>
      </c>
      <c r="K27" s="47"/>
      <c r="L27" s="47"/>
      <c r="M27" s="47"/>
    </row>
    <row r="28" spans="1:13" s="50" customFormat="1" x14ac:dyDescent="0.3">
      <c r="A28" s="47" t="s">
        <v>387</v>
      </c>
      <c r="B28" s="47" t="s">
        <v>388</v>
      </c>
      <c r="C28" s="47">
        <f>'MKT CAP - Price'!M5</f>
        <v>23.06</v>
      </c>
      <c r="D28" s="65">
        <f>LIGHT!F26</f>
        <v>25.404898809046742</v>
      </c>
      <c r="E28" s="55">
        <f t="shared" si="0"/>
        <v>1.1016868520835534</v>
      </c>
      <c r="F28" s="98" t="s">
        <v>398</v>
      </c>
      <c r="G28" s="98" t="s">
        <v>389</v>
      </c>
      <c r="H28" s="92">
        <v>45901</v>
      </c>
      <c r="I28" s="47" t="s">
        <v>390</v>
      </c>
      <c r="J28" s="47" t="s">
        <v>391</v>
      </c>
      <c r="K28" s="47"/>
      <c r="L28" s="47"/>
      <c r="M28" s="47"/>
    </row>
    <row r="29" spans="1:13" s="88" customFormat="1" x14ac:dyDescent="0.3">
      <c r="A29" s="87" t="s">
        <v>314</v>
      </c>
      <c r="B29" s="87" t="s">
        <v>353</v>
      </c>
      <c r="C29" s="87">
        <f>'MKT CAP - Price'!C117</f>
        <v>23.81</v>
      </c>
      <c r="D29" s="93">
        <f>SIRI!F26</f>
        <v>27.632940629055376</v>
      </c>
      <c r="E29" s="55">
        <f t="shared" si="0"/>
        <v>1.1605602952144216</v>
      </c>
      <c r="F29" s="96" t="s">
        <v>354</v>
      </c>
      <c r="G29" s="96" t="s">
        <v>355</v>
      </c>
      <c r="H29" s="90">
        <v>45901</v>
      </c>
      <c r="I29" s="87" t="s">
        <v>365</v>
      </c>
      <c r="J29" s="87" t="s">
        <v>378</v>
      </c>
      <c r="K29" s="87"/>
      <c r="L29" s="87"/>
      <c r="M29" s="87"/>
    </row>
    <row r="30" spans="1:13" s="88" customFormat="1" x14ac:dyDescent="0.3">
      <c r="A30" s="87" t="s">
        <v>315</v>
      </c>
      <c r="B30" s="87" t="s">
        <v>357</v>
      </c>
      <c r="C30" s="87">
        <f>'MKT CAP - Price'!C118</f>
        <v>48.98</v>
      </c>
      <c r="D30" s="93">
        <f>SNRE!F26</f>
        <v>47.797385856200826</v>
      </c>
      <c r="E30" s="55">
        <f t="shared" si="0"/>
        <v>0.97585516243774661</v>
      </c>
      <c r="F30" s="96" t="s">
        <v>358</v>
      </c>
      <c r="G30" s="96" t="s">
        <v>359</v>
      </c>
      <c r="H30" s="92">
        <v>45901</v>
      </c>
      <c r="I30" s="87" t="s">
        <v>360</v>
      </c>
      <c r="J30" s="87" t="s">
        <v>377</v>
      </c>
      <c r="K30" s="87"/>
      <c r="L30" s="87"/>
      <c r="M30" s="87"/>
    </row>
    <row r="31" spans="1:13" s="88" customFormat="1" x14ac:dyDescent="0.3">
      <c r="A31" s="87" t="s">
        <v>392</v>
      </c>
      <c r="B31" s="87" t="s">
        <v>393</v>
      </c>
      <c r="C31" s="87">
        <f>'MKT CAP - Price'!M6</f>
        <v>43.1</v>
      </c>
      <c r="D31" s="93">
        <f>TIBN!F26</f>
        <v>57.831493414429723</v>
      </c>
      <c r="E31" s="55">
        <f t="shared" si="0"/>
        <v>1.3417979910540538</v>
      </c>
      <c r="F31" s="96" t="s">
        <v>399</v>
      </c>
      <c r="G31" s="91" t="s">
        <v>395</v>
      </c>
      <c r="H31" s="90">
        <v>45901</v>
      </c>
      <c r="I31" s="87" t="s">
        <v>414</v>
      </c>
      <c r="J31" s="87" t="s">
        <v>413</v>
      </c>
      <c r="K31" s="87"/>
      <c r="L31" s="87"/>
      <c r="M31" s="87"/>
    </row>
    <row r="32" spans="1:13" s="50" customFormat="1" x14ac:dyDescent="0.3">
      <c r="A32" s="47" t="s">
        <v>316</v>
      </c>
      <c r="B32" s="47" t="s">
        <v>361</v>
      </c>
      <c r="C32" s="99">
        <v>2.95</v>
      </c>
      <c r="D32" s="65">
        <f>Wilmar!F26</f>
        <v>2.8504032651265319</v>
      </c>
      <c r="E32" s="55">
        <f t="shared" si="0"/>
        <v>0.96623839495814634</v>
      </c>
      <c r="F32" s="69" t="s">
        <v>362</v>
      </c>
      <c r="G32" s="69" t="s">
        <v>363</v>
      </c>
      <c r="H32" s="92">
        <v>45901</v>
      </c>
      <c r="I32" s="47" t="s">
        <v>364</v>
      </c>
      <c r="J32" s="47" t="s">
        <v>376</v>
      </c>
      <c r="K32" s="47"/>
      <c r="L32" s="47"/>
      <c r="M32" s="47"/>
    </row>
    <row r="33" spans="1:13" s="88" customFormat="1" x14ac:dyDescent="0.3">
      <c r="A33" s="87"/>
      <c r="B33" s="87"/>
      <c r="C33" s="87"/>
      <c r="D33" s="87"/>
      <c r="E33" s="55" t="e">
        <f t="shared" si="0"/>
        <v>#DIV/0!</v>
      </c>
      <c r="F33" s="87"/>
      <c r="G33" s="87"/>
      <c r="H33" s="92"/>
      <c r="I33" s="87"/>
      <c r="J33" s="87"/>
      <c r="K33" s="87"/>
      <c r="L33" s="87"/>
      <c r="M33" s="87"/>
    </row>
    <row r="34" spans="1:13" s="50" customFormat="1" x14ac:dyDescent="0.3">
      <c r="A34" s="47"/>
      <c r="B34" s="47"/>
      <c r="C34" s="47"/>
      <c r="D34" s="47"/>
      <c r="E34" s="55" t="e">
        <f t="shared" si="0"/>
        <v>#DIV/0!</v>
      </c>
      <c r="F34" s="47"/>
      <c r="G34" s="47"/>
      <c r="H34" s="47"/>
      <c r="I34" s="47"/>
      <c r="J34" s="47"/>
      <c r="K34" s="47"/>
      <c r="L34" s="47"/>
      <c r="M34" s="47"/>
    </row>
    <row r="35" spans="1:13" s="88" customFormat="1" x14ac:dyDescent="0.3">
      <c r="A35" s="87"/>
      <c r="B35" s="87"/>
      <c r="C35" s="87"/>
      <c r="D35" s="87"/>
      <c r="E35" s="55" t="e">
        <f t="shared" si="0"/>
        <v>#DIV/0!</v>
      </c>
      <c r="F35" s="87"/>
      <c r="G35" s="87"/>
      <c r="H35" s="87"/>
      <c r="I35" s="87"/>
      <c r="J35" s="87"/>
      <c r="K35" s="87"/>
      <c r="L35" s="87"/>
      <c r="M35" s="87"/>
    </row>
    <row r="36" spans="1:13" s="88" customFormat="1" x14ac:dyDescent="0.3">
      <c r="A36" s="87"/>
      <c r="B36" s="87"/>
      <c r="C36" s="87"/>
      <c r="D36" s="87"/>
      <c r="E36" s="87"/>
      <c r="F36" s="87"/>
      <c r="G36" s="87"/>
      <c r="H36" s="87"/>
      <c r="I36" s="87"/>
      <c r="J36" s="87"/>
      <c r="K36" s="87"/>
      <c r="L36" s="87"/>
      <c r="M36" s="87"/>
    </row>
    <row r="37" spans="1:13" s="50" customFormat="1" x14ac:dyDescent="0.3">
      <c r="A37" s="47"/>
      <c r="B37" s="47"/>
      <c r="C37" s="47"/>
      <c r="D37" s="47"/>
      <c r="E37" s="47"/>
      <c r="F37" s="47"/>
      <c r="G37" s="47"/>
      <c r="H37" s="47"/>
      <c r="I37" s="47"/>
      <c r="J37" s="47"/>
      <c r="K37" s="47"/>
      <c r="L37" s="47"/>
      <c r="M37" s="47"/>
    </row>
    <row r="38" spans="1:13" s="88" customFormat="1" x14ac:dyDescent="0.3">
      <c r="A38" s="87" t="s">
        <v>381</v>
      </c>
      <c r="B38" s="87"/>
      <c r="C38" s="87"/>
      <c r="D38" s="87"/>
      <c r="E38" s="87"/>
      <c r="F38" s="87"/>
      <c r="G38" s="87"/>
      <c r="H38" s="87"/>
      <c r="I38" s="87"/>
      <c r="J38" s="87"/>
      <c r="K38" s="87"/>
      <c r="L38" s="87"/>
      <c r="M38" s="87"/>
    </row>
    <row r="39" spans="1:13" s="50" customFormat="1" x14ac:dyDescent="0.3">
      <c r="A39" s="53" t="s">
        <v>101</v>
      </c>
      <c r="B39" s="50" t="s">
        <v>70</v>
      </c>
      <c r="C39" s="54">
        <f>'MKT CAP - Price'!C45</f>
        <v>226.79</v>
      </c>
      <c r="D39" s="54">
        <f>APPLE!F26</f>
        <v>85.489249469299139</v>
      </c>
      <c r="E39" s="55">
        <f t="shared" ref="E39" si="1">D39/C39</f>
        <v>0.37695334657303736</v>
      </c>
      <c r="F39" s="56"/>
      <c r="G39" s="56" t="s">
        <v>71</v>
      </c>
      <c r="H39" s="57">
        <v>45658</v>
      </c>
      <c r="I39" s="85" t="s">
        <v>176</v>
      </c>
      <c r="J39" s="50" t="s">
        <v>69</v>
      </c>
      <c r="K39" s="50" t="s">
        <v>72</v>
      </c>
    </row>
    <row r="40" spans="1:13" s="59" customFormat="1" x14ac:dyDescent="0.3">
      <c r="A40" s="58" t="s">
        <v>38</v>
      </c>
      <c r="B40" s="59" t="s">
        <v>73</v>
      </c>
      <c r="C40" s="60">
        <f>'MKT CAP - Price'!C13</f>
        <v>6522.1</v>
      </c>
      <c r="D40" s="60">
        <f>'S&amp;P 500'!F26</f>
        <v>3351.9048631313408</v>
      </c>
      <c r="E40" s="61">
        <f>D40/C40</f>
        <v>0.51393030820308494</v>
      </c>
      <c r="F40" s="62"/>
      <c r="G40" s="63" t="s">
        <v>74</v>
      </c>
      <c r="H40" s="64">
        <v>45658</v>
      </c>
      <c r="I40" s="59" t="s">
        <v>104</v>
      </c>
      <c r="J40" s="59" t="s">
        <v>75</v>
      </c>
      <c r="K40" s="59" t="s">
        <v>76</v>
      </c>
    </row>
    <row r="41" spans="1:13" s="50" customFormat="1" x14ac:dyDescent="0.3">
      <c r="A41" s="50" t="s">
        <v>202</v>
      </c>
      <c r="B41" s="47" t="s">
        <v>190</v>
      </c>
      <c r="C41" s="47">
        <f>'MKT CAP - Price'!C92</f>
        <v>68.5</v>
      </c>
      <c r="D41" s="65">
        <f>GDX!F26</f>
        <v>15.792979698175676</v>
      </c>
      <c r="E41" s="61">
        <f t="shared" ref="E41:E53" si="2">D41/C41</f>
        <v>0.23055444814855003</v>
      </c>
      <c r="F41" s="56" t="s">
        <v>213</v>
      </c>
      <c r="G41" s="56" t="s">
        <v>207</v>
      </c>
      <c r="H41" s="57">
        <v>45658</v>
      </c>
      <c r="I41" s="47" t="s">
        <v>93</v>
      </c>
      <c r="J41" s="47"/>
      <c r="K41" s="47"/>
      <c r="L41" s="47"/>
      <c r="M41" s="47"/>
    </row>
    <row r="42" spans="1:13" s="59" customFormat="1" x14ac:dyDescent="0.3">
      <c r="A42" s="59" t="s">
        <v>64</v>
      </c>
      <c r="B42" s="66" t="s">
        <v>33</v>
      </c>
      <c r="C42" s="82">
        <f>AMZN!C3</f>
        <v>2456.4487398279998</v>
      </c>
      <c r="D42" s="67">
        <f>AMZN!F26</f>
        <v>1261.2997438944637</v>
      </c>
      <c r="E42" s="61">
        <f t="shared" si="2"/>
        <v>0.51346471165638075</v>
      </c>
      <c r="F42" s="62" t="s">
        <v>64</v>
      </c>
      <c r="G42" s="62" t="s">
        <v>80</v>
      </c>
      <c r="H42" s="64">
        <v>45658</v>
      </c>
      <c r="I42" s="66" t="s">
        <v>139</v>
      </c>
      <c r="J42" s="66"/>
      <c r="K42" s="66"/>
      <c r="L42" s="66"/>
      <c r="M42" s="66"/>
    </row>
    <row r="43" spans="1:13" s="50" customFormat="1" x14ac:dyDescent="0.3">
      <c r="A43" s="50" t="s">
        <v>120</v>
      </c>
      <c r="B43" s="47" t="s">
        <v>131</v>
      </c>
      <c r="C43" s="47">
        <f>'MKT CAP - Price'!C59</f>
        <v>305.94</v>
      </c>
      <c r="D43" s="65">
        <f>MCD!F26</f>
        <v>183.69573666919064</v>
      </c>
      <c r="E43" s="61">
        <f t="shared" si="2"/>
        <v>0.60043059642148999</v>
      </c>
      <c r="F43" s="69" t="s">
        <v>214</v>
      </c>
      <c r="G43" s="69" t="s">
        <v>132</v>
      </c>
      <c r="H43" s="57">
        <v>45658</v>
      </c>
      <c r="I43" s="47" t="s">
        <v>176</v>
      </c>
      <c r="J43" s="47"/>
      <c r="K43" s="47"/>
      <c r="L43" s="47"/>
      <c r="M43" s="47"/>
    </row>
    <row r="44" spans="1:13" s="59" customFormat="1" x14ac:dyDescent="0.3">
      <c r="A44" s="59" t="s">
        <v>32</v>
      </c>
      <c r="B44" s="66" t="s">
        <v>88</v>
      </c>
      <c r="C44" s="66">
        <f>'MKT CAP - Price'!H26</f>
        <v>73.599999999999994</v>
      </c>
      <c r="D44" s="67">
        <f>NESN!F26</f>
        <v>59.288466445320751</v>
      </c>
      <c r="E44" s="61">
        <f t="shared" si="2"/>
        <v>0.80554981583316243</v>
      </c>
      <c r="F44" s="62" t="s">
        <v>215</v>
      </c>
      <c r="G44" s="62" t="s">
        <v>81</v>
      </c>
      <c r="H44" s="64">
        <v>45658</v>
      </c>
      <c r="I44" s="66" t="s">
        <v>176</v>
      </c>
      <c r="J44" s="66"/>
      <c r="K44" s="66"/>
      <c r="L44" s="66"/>
      <c r="M44" s="66"/>
    </row>
    <row r="45" spans="1:13" s="50" customFormat="1" x14ac:dyDescent="0.3">
      <c r="A45" s="50" t="s">
        <v>122</v>
      </c>
      <c r="B45" s="47" t="s">
        <v>133</v>
      </c>
      <c r="C45" s="47">
        <f>'MKT CAP - Price'!C93</f>
        <v>74.25</v>
      </c>
      <c r="D45" s="65">
        <f>NKE!F26</f>
        <v>45.980283213245947</v>
      </c>
      <c r="E45" s="61">
        <f t="shared" si="2"/>
        <v>0.61926307357906996</v>
      </c>
      <c r="F45" s="69" t="s">
        <v>216</v>
      </c>
      <c r="G45" s="69" t="s">
        <v>134</v>
      </c>
      <c r="H45" s="57">
        <v>45658</v>
      </c>
      <c r="I45" s="47" t="s">
        <v>176</v>
      </c>
      <c r="J45" s="47"/>
      <c r="K45" s="47"/>
      <c r="L45" s="47"/>
      <c r="M45" s="47"/>
    </row>
    <row r="46" spans="1:13" s="59" customFormat="1" x14ac:dyDescent="0.3">
      <c r="A46" s="59" t="s">
        <v>195</v>
      </c>
      <c r="B46" s="66" t="s">
        <v>195</v>
      </c>
      <c r="C46" s="66">
        <f>'MKT CAP - Price'!C94</f>
        <v>38.5</v>
      </c>
      <c r="D46" s="67">
        <f>DHL!F26</f>
        <v>36.404223943485341</v>
      </c>
      <c r="E46" s="83">
        <f t="shared" si="2"/>
        <v>0.94556425827234658</v>
      </c>
      <c r="F46" s="62" t="s">
        <v>217</v>
      </c>
      <c r="G46" s="62" t="s">
        <v>208</v>
      </c>
      <c r="H46" s="64">
        <v>45658</v>
      </c>
      <c r="I46" s="66" t="s">
        <v>176</v>
      </c>
      <c r="J46" s="66"/>
      <c r="K46" s="66"/>
      <c r="L46" s="66"/>
      <c r="M46" s="66"/>
    </row>
    <row r="47" spans="1:13" s="50" customFormat="1" x14ac:dyDescent="0.3">
      <c r="A47" s="50" t="s">
        <v>203</v>
      </c>
      <c r="B47" s="47" t="s">
        <v>196</v>
      </c>
      <c r="C47" s="47">
        <f>'MKT CAP - Price'!C95</f>
        <v>27.5</v>
      </c>
      <c r="D47" s="65">
        <f>SCHD!F26</f>
        <v>16.396951948306967</v>
      </c>
      <c r="E47" s="83">
        <f t="shared" si="2"/>
        <v>0.59625279812025334</v>
      </c>
      <c r="F47" s="56" t="s">
        <v>218</v>
      </c>
      <c r="G47" s="56" t="s">
        <v>209</v>
      </c>
      <c r="H47" s="57">
        <v>45658</v>
      </c>
      <c r="I47" s="47" t="s">
        <v>225</v>
      </c>
      <c r="J47" s="47"/>
      <c r="K47" s="47"/>
      <c r="L47" s="47"/>
      <c r="M47" s="47"/>
    </row>
    <row r="48" spans="1:13" s="59" customFormat="1" x14ac:dyDescent="0.3">
      <c r="A48" s="59" t="s">
        <v>57</v>
      </c>
      <c r="B48" s="66" t="s">
        <v>204</v>
      </c>
      <c r="C48" s="66">
        <f>GOOG!C3</f>
        <v>239.56</v>
      </c>
      <c r="D48" s="67">
        <f>GOOG!F26</f>
        <v>144.81414747201379</v>
      </c>
      <c r="E48" s="83">
        <f t="shared" si="2"/>
        <v>0.60450053210892385</v>
      </c>
      <c r="F48" s="62" t="s">
        <v>219</v>
      </c>
      <c r="G48" s="62" t="s">
        <v>210</v>
      </c>
      <c r="H48" s="64">
        <v>45658</v>
      </c>
      <c r="I48" s="66" t="s">
        <v>139</v>
      </c>
      <c r="J48" s="66"/>
      <c r="K48" s="66"/>
      <c r="L48" s="66"/>
      <c r="M48" s="66"/>
    </row>
    <row r="49" spans="1:13" s="50" customFormat="1" x14ac:dyDescent="0.3">
      <c r="A49" s="50" t="s">
        <v>201</v>
      </c>
      <c r="B49" s="47" t="s">
        <v>205</v>
      </c>
      <c r="C49" s="47">
        <f>'MKT CAP - Price'!C96</f>
        <v>12.76</v>
      </c>
      <c r="D49" s="65">
        <f>PBR!F26</f>
        <v>17.282328087191967</v>
      </c>
      <c r="E49" s="84">
        <f t="shared" si="2"/>
        <v>1.3544144268959222</v>
      </c>
      <c r="F49" s="69" t="s">
        <v>220</v>
      </c>
      <c r="G49" s="69" t="s">
        <v>211</v>
      </c>
      <c r="H49" s="57">
        <v>45658</v>
      </c>
      <c r="I49" s="47" t="s">
        <v>225</v>
      </c>
      <c r="J49" s="47"/>
      <c r="K49" s="47"/>
      <c r="L49" s="47"/>
      <c r="M49" s="47"/>
    </row>
    <row r="50" spans="1:13" s="59" customFormat="1" x14ac:dyDescent="0.3">
      <c r="A50" s="59" t="s">
        <v>206</v>
      </c>
      <c r="B50" s="66" t="s">
        <v>188</v>
      </c>
      <c r="C50" s="66">
        <f>ADM!C3</f>
        <v>61.41</v>
      </c>
      <c r="D50" s="67">
        <f>ADM!F26</f>
        <v>38.188778839831244</v>
      </c>
      <c r="E50" s="83">
        <f t="shared" si="2"/>
        <v>0.62186580100685962</v>
      </c>
      <c r="F50" s="62" t="s">
        <v>221</v>
      </c>
      <c r="G50" s="62" t="s">
        <v>212</v>
      </c>
      <c r="H50" s="64">
        <v>45658</v>
      </c>
      <c r="I50" s="66" t="s">
        <v>176</v>
      </c>
      <c r="J50" s="66"/>
      <c r="K50" s="66"/>
      <c r="L50" s="66"/>
      <c r="M50" s="66"/>
    </row>
    <row r="51" spans="1:13" s="50" customFormat="1" x14ac:dyDescent="0.3">
      <c r="A51" s="50" t="s">
        <v>99</v>
      </c>
      <c r="B51" s="47" t="s">
        <v>40</v>
      </c>
      <c r="C51" s="65">
        <f>'MKT CAP - Price'!I6/1000000000</f>
        <v>1061.6745683419999</v>
      </c>
      <c r="D51" s="65">
        <f>BRK!F26</f>
        <v>485.74938178729661</v>
      </c>
      <c r="E51" s="83">
        <f t="shared" si="2"/>
        <v>0.45753133424480874</v>
      </c>
      <c r="F51" s="47"/>
      <c r="G51" s="69" t="s">
        <v>54</v>
      </c>
      <c r="H51" s="64">
        <v>45658</v>
      </c>
      <c r="I51" s="47" t="s">
        <v>228</v>
      </c>
      <c r="J51" s="47"/>
      <c r="K51" s="47"/>
      <c r="L51" s="47"/>
      <c r="M51" s="47"/>
    </row>
    <row r="52" spans="1:13" s="59" customFormat="1" x14ac:dyDescent="0.3">
      <c r="A52" s="59" t="s">
        <v>229</v>
      </c>
      <c r="B52" s="66" t="s">
        <v>230</v>
      </c>
      <c r="C52" s="66">
        <f>'MKT CAP - Price'!C97</f>
        <v>62.27</v>
      </c>
      <c r="D52" s="67">
        <f>MDLZ!F26</f>
        <v>38.836889681529399</v>
      </c>
      <c r="E52" s="61">
        <f t="shared" si="2"/>
        <v>0.62368539716604143</v>
      </c>
      <c r="F52" s="66"/>
      <c r="G52" s="62" t="s">
        <v>232</v>
      </c>
      <c r="H52" s="64">
        <v>45658</v>
      </c>
      <c r="I52" s="66" t="s">
        <v>176</v>
      </c>
      <c r="J52" s="66"/>
      <c r="K52" s="66"/>
      <c r="L52" s="66"/>
      <c r="M52" s="66"/>
    </row>
    <row r="53" spans="1:13" s="50" customFormat="1" x14ac:dyDescent="0.3">
      <c r="A53" s="50" t="s">
        <v>86</v>
      </c>
      <c r="B53" s="47" t="s">
        <v>87</v>
      </c>
      <c r="C53" s="47">
        <f>'MKT CAP - Price'!C33</f>
        <v>43.49</v>
      </c>
      <c r="D53" s="65">
        <f>VZ!F26</f>
        <v>38.609236458454774</v>
      </c>
      <c r="E53" s="61">
        <f t="shared" si="2"/>
        <v>0.88777273990468553</v>
      </c>
      <c r="F53" s="47"/>
      <c r="G53" s="69" t="s">
        <v>234</v>
      </c>
      <c r="H53" s="64">
        <v>45658</v>
      </c>
      <c r="I53" s="47" t="s">
        <v>225</v>
      </c>
      <c r="J53" s="47"/>
      <c r="K53" s="47"/>
      <c r="L53" s="47"/>
      <c r="M53" s="47"/>
    </row>
    <row r="54" spans="1:13" s="59" customFormat="1" x14ac:dyDescent="0.3">
      <c r="B54" s="66"/>
      <c r="C54" s="66"/>
      <c r="D54" s="66"/>
      <c r="E54" s="66"/>
      <c r="F54" s="66"/>
      <c r="G54" s="66"/>
      <c r="H54" s="66"/>
      <c r="I54" s="66"/>
      <c r="J54" s="66"/>
      <c r="K54" s="66"/>
      <c r="L54" s="66"/>
      <c r="M54" s="66"/>
    </row>
    <row r="55" spans="1:13" s="50" customFormat="1" x14ac:dyDescent="0.3">
      <c r="B55" s="47"/>
      <c r="C55" s="47"/>
      <c r="D55" s="47"/>
      <c r="E55" s="47"/>
      <c r="F55" s="47"/>
      <c r="G55" s="47"/>
      <c r="H55" s="47"/>
      <c r="I55" s="47"/>
      <c r="J55" s="47"/>
      <c r="K55" s="47"/>
      <c r="L55" s="47"/>
      <c r="M55" s="47"/>
    </row>
    <row r="56" spans="1:13" s="59" customFormat="1" x14ac:dyDescent="0.3">
      <c r="B56" s="66"/>
      <c r="C56" s="66"/>
      <c r="D56" s="66"/>
      <c r="E56" s="66"/>
      <c r="F56" s="66"/>
      <c r="G56" s="66"/>
      <c r="H56" s="66"/>
      <c r="I56" s="66"/>
      <c r="J56" s="66"/>
      <c r="K56" s="66"/>
      <c r="L56" s="66"/>
      <c r="M56" s="66"/>
    </row>
    <row r="57" spans="1:13" s="50" customFormat="1" x14ac:dyDescent="0.3">
      <c r="B57" s="47"/>
      <c r="C57" s="47"/>
      <c r="D57" s="47"/>
      <c r="E57" s="47"/>
      <c r="F57" s="47"/>
      <c r="G57" s="47"/>
      <c r="H57" s="47"/>
      <c r="I57" s="47"/>
      <c r="J57" s="47"/>
      <c r="K57" s="47"/>
      <c r="L57" s="47"/>
      <c r="M57" s="47"/>
    </row>
    <row r="58" spans="1:13" s="59" customFormat="1" x14ac:dyDescent="0.3">
      <c r="B58" s="66"/>
      <c r="C58" s="66"/>
      <c r="D58" s="66"/>
      <c r="E58" s="66"/>
      <c r="F58" s="66"/>
      <c r="G58" s="66"/>
      <c r="H58" s="66"/>
      <c r="I58" s="66"/>
      <c r="J58" s="66"/>
      <c r="K58" s="66"/>
      <c r="L58" s="66"/>
      <c r="M58" s="66"/>
    </row>
    <row r="59" spans="1:13" s="50" customFormat="1" x14ac:dyDescent="0.3">
      <c r="E59" s="68"/>
    </row>
    <row r="60" spans="1:13" x14ac:dyDescent="0.3">
      <c r="E60" s="28"/>
    </row>
    <row r="61" spans="1:13" x14ac:dyDescent="0.3">
      <c r="E61" s="28"/>
    </row>
    <row r="62" spans="1:13" x14ac:dyDescent="0.3">
      <c r="E62" s="28"/>
    </row>
    <row r="63" spans="1:13" x14ac:dyDescent="0.3">
      <c r="E63" s="28"/>
    </row>
    <row r="64" spans="1:13" x14ac:dyDescent="0.3">
      <c r="E64" s="28"/>
    </row>
    <row r="65" spans="5:5" x14ac:dyDescent="0.3">
      <c r="E65" s="28"/>
    </row>
    <row r="66" spans="5:5" x14ac:dyDescent="0.3">
      <c r="E66" s="28"/>
    </row>
    <row r="67" spans="5:5" x14ac:dyDescent="0.3">
      <c r="E67" s="28"/>
    </row>
    <row r="68" spans="5:5" x14ac:dyDescent="0.3">
      <c r="E68" s="28"/>
    </row>
    <row r="69" spans="5:5" x14ac:dyDescent="0.3">
      <c r="E69" s="28"/>
    </row>
    <row r="70" spans="5:5" x14ac:dyDescent="0.3">
      <c r="E70" s="28"/>
    </row>
    <row r="71" spans="5:5" x14ac:dyDescent="0.3">
      <c r="E71" s="28"/>
    </row>
    <row r="72" spans="5:5" x14ac:dyDescent="0.3">
      <c r="E72" s="28"/>
    </row>
    <row r="73" spans="5:5" x14ac:dyDescent="0.3">
      <c r="E73" s="28"/>
    </row>
    <row r="74" spans="5:5" x14ac:dyDescent="0.3">
      <c r="E74" s="28"/>
    </row>
    <row r="75" spans="5:5" x14ac:dyDescent="0.3">
      <c r="E75" s="28"/>
    </row>
    <row r="76" spans="5:5" x14ac:dyDescent="0.3">
      <c r="E76" s="28"/>
    </row>
    <row r="77" spans="5:5" x14ac:dyDescent="0.3">
      <c r="E77" s="28"/>
    </row>
    <row r="78" spans="5:5" x14ac:dyDescent="0.3">
      <c r="E78" s="28"/>
    </row>
    <row r="79" spans="5:5" x14ac:dyDescent="0.3">
      <c r="E79" s="28"/>
    </row>
    <row r="80" spans="5:5" x14ac:dyDescent="0.3">
      <c r="E80" s="28"/>
    </row>
    <row r="81" spans="5:5" x14ac:dyDescent="0.3">
      <c r="E81" s="28"/>
    </row>
    <row r="82" spans="5:5" x14ac:dyDescent="0.3">
      <c r="E82" s="28"/>
    </row>
    <row r="83" spans="5:5" x14ac:dyDescent="0.3">
      <c r="E83" s="28"/>
    </row>
    <row r="84" spans="5:5" x14ac:dyDescent="0.3">
      <c r="E84" s="28"/>
    </row>
    <row r="85" spans="5:5" x14ac:dyDescent="0.3">
      <c r="E85" s="28"/>
    </row>
    <row r="86" spans="5:5" x14ac:dyDescent="0.3">
      <c r="E86" s="28"/>
    </row>
    <row r="87" spans="5:5" x14ac:dyDescent="0.3">
      <c r="E87" s="28"/>
    </row>
    <row r="88" spans="5:5" x14ac:dyDescent="0.3">
      <c r="E88" s="28"/>
    </row>
    <row r="89" spans="5:5" x14ac:dyDescent="0.3">
      <c r="E89" s="28"/>
    </row>
    <row r="90" spans="5:5" x14ac:dyDescent="0.3">
      <c r="E90" s="28"/>
    </row>
    <row r="91" spans="5:5" x14ac:dyDescent="0.3">
      <c r="E91" s="28"/>
    </row>
    <row r="92" spans="5:5" x14ac:dyDescent="0.3">
      <c r="E92" s="28"/>
    </row>
    <row r="93" spans="5:5" x14ac:dyDescent="0.3">
      <c r="E93" s="28"/>
    </row>
    <row r="94" spans="5:5" x14ac:dyDescent="0.3">
      <c r="E94" s="28"/>
    </row>
    <row r="95" spans="5:5" x14ac:dyDescent="0.3">
      <c r="E95" s="28"/>
    </row>
    <row r="96" spans="5:5" x14ac:dyDescent="0.3">
      <c r="E96" s="28"/>
    </row>
    <row r="97" spans="5:5" x14ac:dyDescent="0.3">
      <c r="E97" s="28"/>
    </row>
    <row r="98" spans="5:5" x14ac:dyDescent="0.3">
      <c r="E98" s="28"/>
    </row>
    <row r="99" spans="5:5" x14ac:dyDescent="0.3">
      <c r="E99" s="28"/>
    </row>
    <row r="100" spans="5:5" x14ac:dyDescent="0.3">
      <c r="E100" s="28"/>
    </row>
    <row r="101" spans="5:5" x14ac:dyDescent="0.3">
      <c r="E101" s="28"/>
    </row>
    <row r="102" spans="5:5" x14ac:dyDescent="0.3">
      <c r="E102" s="28"/>
    </row>
    <row r="103" spans="5:5" x14ac:dyDescent="0.3">
      <c r="E103" s="28"/>
    </row>
    <row r="104" spans="5:5" x14ac:dyDescent="0.3">
      <c r="E104" s="28"/>
    </row>
    <row r="105" spans="5:5" x14ac:dyDescent="0.3">
      <c r="E105" s="28"/>
    </row>
    <row r="106" spans="5:5" x14ac:dyDescent="0.3">
      <c r="E106" s="28"/>
    </row>
    <row r="107" spans="5:5" x14ac:dyDescent="0.3">
      <c r="E107" s="28"/>
    </row>
    <row r="108" spans="5:5" x14ac:dyDescent="0.3">
      <c r="E108" s="28"/>
    </row>
    <row r="109" spans="5:5" x14ac:dyDescent="0.3">
      <c r="E109" s="28"/>
    </row>
    <row r="110" spans="5:5" x14ac:dyDescent="0.3">
      <c r="E110" s="28"/>
    </row>
    <row r="111" spans="5:5" x14ac:dyDescent="0.3">
      <c r="E111" s="28"/>
    </row>
    <row r="112" spans="5:5" x14ac:dyDescent="0.3">
      <c r="E112" s="28"/>
    </row>
    <row r="113" spans="5:5" x14ac:dyDescent="0.3">
      <c r="E113" s="28"/>
    </row>
    <row r="114" spans="5:5" x14ac:dyDescent="0.3">
      <c r="E114" s="28"/>
    </row>
    <row r="115" spans="5:5" x14ac:dyDescent="0.3">
      <c r="E115" s="28"/>
    </row>
    <row r="116" spans="5:5" x14ac:dyDescent="0.3">
      <c r="E116" s="28"/>
    </row>
    <row r="117" spans="5:5" x14ac:dyDescent="0.3">
      <c r="E117" s="28"/>
    </row>
    <row r="118" spans="5:5" x14ac:dyDescent="0.3">
      <c r="E118" s="28"/>
    </row>
    <row r="119" spans="5:5" x14ac:dyDescent="0.3">
      <c r="E119" s="28"/>
    </row>
    <row r="120" spans="5:5" x14ac:dyDescent="0.3">
      <c r="E120" s="28"/>
    </row>
    <row r="121" spans="5:5" x14ac:dyDescent="0.3">
      <c r="E121" s="28"/>
    </row>
    <row r="122" spans="5:5" x14ac:dyDescent="0.3">
      <c r="E122" s="28"/>
    </row>
    <row r="123" spans="5:5" x14ac:dyDescent="0.3">
      <c r="E123" s="28"/>
    </row>
    <row r="124" spans="5:5" x14ac:dyDescent="0.3">
      <c r="E124" s="28"/>
    </row>
    <row r="125" spans="5:5" x14ac:dyDescent="0.3">
      <c r="E125" s="28"/>
    </row>
    <row r="126" spans="5:5" x14ac:dyDescent="0.3">
      <c r="E126" s="28"/>
    </row>
    <row r="127" spans="5:5" x14ac:dyDescent="0.3">
      <c r="E127" s="28"/>
    </row>
    <row r="128" spans="5:5" x14ac:dyDescent="0.3">
      <c r="E128" s="28"/>
    </row>
    <row r="129" spans="5:5" x14ac:dyDescent="0.3">
      <c r="E129" s="28"/>
    </row>
    <row r="130" spans="5:5" x14ac:dyDescent="0.3">
      <c r="E130" s="28"/>
    </row>
    <row r="131" spans="5:5" x14ac:dyDescent="0.3">
      <c r="E131" s="28"/>
    </row>
    <row r="132" spans="5:5" x14ac:dyDescent="0.3">
      <c r="E132" s="28"/>
    </row>
    <row r="133" spans="5:5" x14ac:dyDescent="0.3">
      <c r="E133" s="28"/>
    </row>
    <row r="134" spans="5:5" x14ac:dyDescent="0.3">
      <c r="E134" s="28"/>
    </row>
    <row r="135" spans="5:5" x14ac:dyDescent="0.3">
      <c r="E135" s="28"/>
    </row>
    <row r="136" spans="5:5" x14ac:dyDescent="0.3">
      <c r="E136" s="28"/>
    </row>
    <row r="137" spans="5:5" x14ac:dyDescent="0.3">
      <c r="E137" s="28"/>
    </row>
    <row r="138" spans="5:5" x14ac:dyDescent="0.3">
      <c r="E138" s="28"/>
    </row>
    <row r="139" spans="5:5" x14ac:dyDescent="0.3">
      <c r="E139" s="28"/>
    </row>
    <row r="140" spans="5:5" x14ac:dyDescent="0.3">
      <c r="E140" s="28"/>
    </row>
    <row r="141" spans="5:5" x14ac:dyDescent="0.3">
      <c r="E141" s="28"/>
    </row>
    <row r="142" spans="5:5" x14ac:dyDescent="0.3">
      <c r="E142" s="28"/>
    </row>
    <row r="143" spans="5:5" x14ac:dyDescent="0.3">
      <c r="E143" s="28"/>
    </row>
    <row r="144" spans="5:5" x14ac:dyDescent="0.3">
      <c r="E144" s="28"/>
    </row>
    <row r="145" spans="5:5" x14ac:dyDescent="0.3">
      <c r="E145" s="28"/>
    </row>
    <row r="146" spans="5:5" x14ac:dyDescent="0.3">
      <c r="E146" s="28"/>
    </row>
    <row r="147" spans="5:5" x14ac:dyDescent="0.3">
      <c r="E147" s="28"/>
    </row>
    <row r="148" spans="5:5" x14ac:dyDescent="0.3">
      <c r="E148" s="28"/>
    </row>
    <row r="149" spans="5:5" x14ac:dyDescent="0.3">
      <c r="E149" s="28"/>
    </row>
    <row r="150" spans="5:5" x14ac:dyDescent="0.3">
      <c r="E150" s="28"/>
    </row>
    <row r="151" spans="5:5" x14ac:dyDescent="0.3">
      <c r="E151" s="28"/>
    </row>
    <row r="152" spans="5:5" x14ac:dyDescent="0.3">
      <c r="E152" s="28"/>
    </row>
    <row r="153" spans="5:5" x14ac:dyDescent="0.3">
      <c r="E153" s="28"/>
    </row>
    <row r="154" spans="5:5" x14ac:dyDescent="0.3">
      <c r="E154" s="28"/>
    </row>
    <row r="155" spans="5:5" x14ac:dyDescent="0.3">
      <c r="E155" s="28"/>
    </row>
    <row r="156" spans="5:5" x14ac:dyDescent="0.3">
      <c r="E156" s="28"/>
    </row>
    <row r="157" spans="5:5" x14ac:dyDescent="0.3">
      <c r="E157" s="28"/>
    </row>
    <row r="158" spans="5:5" x14ac:dyDescent="0.3">
      <c r="E158" s="28"/>
    </row>
    <row r="159" spans="5:5" x14ac:dyDescent="0.3">
      <c r="E159" s="28"/>
    </row>
    <row r="160" spans="5:5" x14ac:dyDescent="0.3">
      <c r="E160" s="28"/>
    </row>
    <row r="161" spans="5:5" x14ac:dyDescent="0.3">
      <c r="E161" s="28"/>
    </row>
    <row r="162" spans="5:5" x14ac:dyDescent="0.3">
      <c r="E162" s="28"/>
    </row>
    <row r="163" spans="5:5" x14ac:dyDescent="0.3">
      <c r="E163" s="28"/>
    </row>
    <row r="164" spans="5:5" x14ac:dyDescent="0.3">
      <c r="E164" s="28"/>
    </row>
    <row r="165" spans="5:5" x14ac:dyDescent="0.3">
      <c r="E165" s="28"/>
    </row>
    <row r="166" spans="5:5" x14ac:dyDescent="0.3">
      <c r="E166" s="28"/>
    </row>
    <row r="167" spans="5:5" x14ac:dyDescent="0.3">
      <c r="E167" s="28"/>
    </row>
    <row r="168" spans="5:5" x14ac:dyDescent="0.3">
      <c r="E168" s="28"/>
    </row>
    <row r="169" spans="5:5" x14ac:dyDescent="0.3">
      <c r="E169" s="28"/>
    </row>
    <row r="170" spans="5:5" x14ac:dyDescent="0.3">
      <c r="E170" s="28"/>
    </row>
    <row r="171" spans="5:5" x14ac:dyDescent="0.3">
      <c r="E171" s="28"/>
    </row>
    <row r="172" spans="5:5" x14ac:dyDescent="0.3">
      <c r="E172" s="28"/>
    </row>
    <row r="173" spans="5:5" x14ac:dyDescent="0.3">
      <c r="E173" s="28"/>
    </row>
    <row r="174" spans="5:5" x14ac:dyDescent="0.3">
      <c r="E174" s="28"/>
    </row>
    <row r="175" spans="5:5" x14ac:dyDescent="0.3">
      <c r="E175" s="28"/>
    </row>
    <row r="176" spans="5:5" x14ac:dyDescent="0.3">
      <c r="E176" s="28"/>
    </row>
    <row r="177" spans="5:5" x14ac:dyDescent="0.3">
      <c r="E177" s="28"/>
    </row>
    <row r="178" spans="5:5" x14ac:dyDescent="0.3">
      <c r="E178" s="28"/>
    </row>
    <row r="179" spans="5:5" x14ac:dyDescent="0.3">
      <c r="E179" s="28"/>
    </row>
    <row r="180" spans="5:5" x14ac:dyDescent="0.3">
      <c r="E180" s="28"/>
    </row>
    <row r="181" spans="5:5" x14ac:dyDescent="0.3">
      <c r="E181" s="28"/>
    </row>
    <row r="182" spans="5:5" x14ac:dyDescent="0.3">
      <c r="E182" s="28"/>
    </row>
    <row r="183" spans="5:5" x14ac:dyDescent="0.3">
      <c r="E183" s="28"/>
    </row>
    <row r="184" spans="5:5" x14ac:dyDescent="0.3">
      <c r="E184" s="28"/>
    </row>
    <row r="185" spans="5:5" x14ac:dyDescent="0.3">
      <c r="E185" s="28"/>
    </row>
    <row r="186" spans="5:5" x14ac:dyDescent="0.3">
      <c r="E186" s="28"/>
    </row>
    <row r="187" spans="5:5" x14ac:dyDescent="0.3">
      <c r="E187" s="28"/>
    </row>
    <row r="188" spans="5:5" x14ac:dyDescent="0.3">
      <c r="E188" s="28"/>
    </row>
    <row r="189" spans="5:5" x14ac:dyDescent="0.3">
      <c r="E189" s="28"/>
    </row>
    <row r="190" spans="5:5" x14ac:dyDescent="0.3">
      <c r="E190" s="28"/>
    </row>
    <row r="191" spans="5:5" x14ac:dyDescent="0.3">
      <c r="E191" s="28"/>
    </row>
    <row r="192" spans="5:5" x14ac:dyDescent="0.3">
      <c r="E192" s="28"/>
    </row>
    <row r="193" spans="5:5" x14ac:dyDescent="0.3">
      <c r="E193" s="28"/>
    </row>
    <row r="194" spans="5:5" x14ac:dyDescent="0.3">
      <c r="E194" s="28"/>
    </row>
    <row r="195" spans="5:5" x14ac:dyDescent="0.3">
      <c r="E195" s="28"/>
    </row>
    <row r="196" spans="5:5" x14ac:dyDescent="0.3">
      <c r="E196" s="28"/>
    </row>
    <row r="197" spans="5:5" x14ac:dyDescent="0.3">
      <c r="E197" s="28"/>
    </row>
    <row r="198" spans="5:5" x14ac:dyDescent="0.3">
      <c r="E198" s="28"/>
    </row>
    <row r="199" spans="5:5" x14ac:dyDescent="0.3">
      <c r="E199" s="28"/>
    </row>
    <row r="200" spans="5:5" x14ac:dyDescent="0.3">
      <c r="E200" s="28"/>
    </row>
    <row r="201" spans="5:5" x14ac:dyDescent="0.3">
      <c r="E201" s="28"/>
    </row>
    <row r="202" spans="5:5" x14ac:dyDescent="0.3">
      <c r="E202" s="28"/>
    </row>
    <row r="203" spans="5:5" x14ac:dyDescent="0.3">
      <c r="E203" s="28"/>
    </row>
    <row r="204" spans="5:5" x14ac:dyDescent="0.3">
      <c r="E204" s="28"/>
    </row>
    <row r="205" spans="5:5" x14ac:dyDescent="0.3">
      <c r="E205" s="28"/>
    </row>
    <row r="206" spans="5:5" x14ac:dyDescent="0.3">
      <c r="E206" s="28"/>
    </row>
    <row r="207" spans="5:5" x14ac:dyDescent="0.3">
      <c r="E207" s="28"/>
    </row>
    <row r="208" spans="5:5" x14ac:dyDescent="0.3">
      <c r="E208" s="28"/>
    </row>
    <row r="209" spans="5:5" x14ac:dyDescent="0.3">
      <c r="E209" s="28"/>
    </row>
    <row r="210" spans="5:5" x14ac:dyDescent="0.3">
      <c r="E210" s="28"/>
    </row>
    <row r="211" spans="5:5" x14ac:dyDescent="0.3">
      <c r="E211" s="28"/>
    </row>
    <row r="212" spans="5:5" x14ac:dyDescent="0.3">
      <c r="E212" s="28"/>
    </row>
    <row r="213" spans="5:5" x14ac:dyDescent="0.3">
      <c r="E213" s="28"/>
    </row>
    <row r="214" spans="5:5" x14ac:dyDescent="0.3">
      <c r="E214" s="28"/>
    </row>
    <row r="215" spans="5:5" x14ac:dyDescent="0.3">
      <c r="E215" s="28"/>
    </row>
    <row r="216" spans="5:5" x14ac:dyDescent="0.3">
      <c r="E216" s="28"/>
    </row>
    <row r="217" spans="5:5" x14ac:dyDescent="0.3">
      <c r="E217" s="28"/>
    </row>
    <row r="218" spans="5:5" x14ac:dyDescent="0.3">
      <c r="E218" s="28"/>
    </row>
    <row r="219" spans="5:5" x14ac:dyDescent="0.3">
      <c r="E219" s="28"/>
    </row>
    <row r="220" spans="5:5" x14ac:dyDescent="0.3">
      <c r="E220" s="28"/>
    </row>
    <row r="221" spans="5:5" x14ac:dyDescent="0.3">
      <c r="E221" s="28"/>
    </row>
    <row r="222" spans="5:5" x14ac:dyDescent="0.3">
      <c r="E222" s="28"/>
    </row>
    <row r="223" spans="5:5" x14ac:dyDescent="0.3">
      <c r="E223" s="28"/>
    </row>
    <row r="224" spans="5:5" x14ac:dyDescent="0.3">
      <c r="E224" s="28"/>
    </row>
    <row r="225" spans="5:5" x14ac:dyDescent="0.3">
      <c r="E225" s="28"/>
    </row>
    <row r="226" spans="5:5" x14ac:dyDescent="0.3">
      <c r="E226" s="28"/>
    </row>
    <row r="227" spans="5:5" x14ac:dyDescent="0.3">
      <c r="E227" s="28"/>
    </row>
    <row r="228" spans="5:5" x14ac:dyDescent="0.3">
      <c r="E228" s="28"/>
    </row>
    <row r="229" spans="5:5" x14ac:dyDescent="0.3">
      <c r="E229" s="28"/>
    </row>
    <row r="230" spans="5:5" x14ac:dyDescent="0.3">
      <c r="E230" s="28"/>
    </row>
    <row r="231" spans="5:5" x14ac:dyDescent="0.3">
      <c r="E231" s="28"/>
    </row>
    <row r="232" spans="5:5" x14ac:dyDescent="0.3">
      <c r="E232" s="28"/>
    </row>
    <row r="233" spans="5:5" x14ac:dyDescent="0.3">
      <c r="E233" s="28"/>
    </row>
    <row r="234" spans="5:5" x14ac:dyDescent="0.3">
      <c r="E234" s="28"/>
    </row>
    <row r="235" spans="5:5" x14ac:dyDescent="0.3">
      <c r="E235" s="28"/>
    </row>
    <row r="236" spans="5:5" x14ac:dyDescent="0.3">
      <c r="E236" s="28"/>
    </row>
    <row r="237" spans="5:5" x14ac:dyDescent="0.3">
      <c r="E237" s="28"/>
    </row>
    <row r="238" spans="5:5" x14ac:dyDescent="0.3">
      <c r="E238" s="28"/>
    </row>
    <row r="239" spans="5:5" x14ac:dyDescent="0.3">
      <c r="E239" s="28"/>
    </row>
    <row r="240" spans="5:5" x14ac:dyDescent="0.3">
      <c r="E240" s="28"/>
    </row>
    <row r="241" spans="5:5" x14ac:dyDescent="0.3">
      <c r="E241" s="28"/>
    </row>
    <row r="242" spans="5:5" x14ac:dyDescent="0.3">
      <c r="E242" s="28"/>
    </row>
    <row r="243" spans="5:5" x14ac:dyDescent="0.3">
      <c r="E243" s="28"/>
    </row>
    <row r="244" spans="5:5" x14ac:dyDescent="0.3">
      <c r="E244" s="28"/>
    </row>
    <row r="245" spans="5:5" x14ac:dyDescent="0.3">
      <c r="E245" s="28"/>
    </row>
    <row r="246" spans="5:5" x14ac:dyDescent="0.3">
      <c r="E246" s="28"/>
    </row>
    <row r="247" spans="5:5" x14ac:dyDescent="0.3">
      <c r="E247" s="28"/>
    </row>
    <row r="248" spans="5:5" x14ac:dyDescent="0.3">
      <c r="E248" s="28"/>
    </row>
    <row r="249" spans="5:5" x14ac:dyDescent="0.3">
      <c r="E249" s="28"/>
    </row>
    <row r="250" spans="5:5" x14ac:dyDescent="0.3">
      <c r="E250" s="28"/>
    </row>
    <row r="251" spans="5:5" x14ac:dyDescent="0.3">
      <c r="E251" s="28"/>
    </row>
    <row r="252" spans="5:5" x14ac:dyDescent="0.3">
      <c r="E252" s="28"/>
    </row>
    <row r="253" spans="5:5" x14ac:dyDescent="0.3">
      <c r="E253" s="28"/>
    </row>
    <row r="254" spans="5:5" x14ac:dyDescent="0.3">
      <c r="E254" s="28"/>
    </row>
    <row r="255" spans="5:5" x14ac:dyDescent="0.3">
      <c r="E255" s="28"/>
    </row>
    <row r="256" spans="5:5" x14ac:dyDescent="0.3">
      <c r="E256" s="28"/>
    </row>
    <row r="257" spans="5:5" x14ac:dyDescent="0.3">
      <c r="E257" s="28"/>
    </row>
    <row r="258" spans="5:5" x14ac:dyDescent="0.3">
      <c r="E258" s="28"/>
    </row>
    <row r="259" spans="5:5" x14ac:dyDescent="0.3">
      <c r="E259" s="28"/>
    </row>
    <row r="260" spans="5:5" x14ac:dyDescent="0.3">
      <c r="E260" s="28"/>
    </row>
    <row r="261" spans="5:5" x14ac:dyDescent="0.3">
      <c r="E261" s="28"/>
    </row>
    <row r="262" spans="5:5" x14ac:dyDescent="0.3">
      <c r="E262" s="28"/>
    </row>
    <row r="263" spans="5:5" x14ac:dyDescent="0.3">
      <c r="E263" s="28"/>
    </row>
    <row r="264" spans="5:5" x14ac:dyDescent="0.3">
      <c r="E264" s="28"/>
    </row>
    <row r="265" spans="5:5" x14ac:dyDescent="0.3">
      <c r="E265" s="28"/>
    </row>
    <row r="266" spans="5:5" x14ac:dyDescent="0.3">
      <c r="E266" s="28"/>
    </row>
    <row r="267" spans="5:5" x14ac:dyDescent="0.3">
      <c r="E267" s="28"/>
    </row>
    <row r="268" spans="5:5" x14ac:dyDescent="0.3">
      <c r="E268" s="28"/>
    </row>
    <row r="269" spans="5:5" x14ac:dyDescent="0.3">
      <c r="E269" s="28"/>
    </row>
    <row r="270" spans="5:5" x14ac:dyDescent="0.3">
      <c r="E270" s="28"/>
    </row>
    <row r="271" spans="5:5" x14ac:dyDescent="0.3">
      <c r="E271" s="28"/>
    </row>
    <row r="272" spans="5:5" x14ac:dyDescent="0.3">
      <c r="E272" s="28"/>
    </row>
    <row r="273" spans="5:5" x14ac:dyDescent="0.3">
      <c r="E273" s="28"/>
    </row>
    <row r="274" spans="5:5" x14ac:dyDescent="0.3">
      <c r="E274" s="28"/>
    </row>
    <row r="275" spans="5:5" x14ac:dyDescent="0.3">
      <c r="E275" s="28"/>
    </row>
    <row r="276" spans="5:5" x14ac:dyDescent="0.3">
      <c r="E276" s="28"/>
    </row>
    <row r="277" spans="5:5" x14ac:dyDescent="0.3">
      <c r="E277" s="28"/>
    </row>
    <row r="278" spans="5:5" x14ac:dyDescent="0.3">
      <c r="E278" s="28"/>
    </row>
    <row r="279" spans="5:5" x14ac:dyDescent="0.3">
      <c r="E279" s="28"/>
    </row>
    <row r="280" spans="5:5" x14ac:dyDescent="0.3">
      <c r="E280" s="28"/>
    </row>
    <row r="281" spans="5:5" x14ac:dyDescent="0.3">
      <c r="E281" s="28"/>
    </row>
    <row r="282" spans="5:5" x14ac:dyDescent="0.3">
      <c r="E282" s="28"/>
    </row>
    <row r="283" spans="5:5" x14ac:dyDescent="0.3">
      <c r="E283" s="28"/>
    </row>
    <row r="284" spans="5:5" x14ac:dyDescent="0.3">
      <c r="E284" s="28"/>
    </row>
    <row r="285" spans="5:5" x14ac:dyDescent="0.3">
      <c r="E285" s="28"/>
    </row>
    <row r="286" spans="5:5" x14ac:dyDescent="0.3">
      <c r="E286" s="28"/>
    </row>
    <row r="287" spans="5:5" x14ac:dyDescent="0.3">
      <c r="E287" s="28"/>
    </row>
    <row r="288" spans="5:5" x14ac:dyDescent="0.3">
      <c r="E288" s="28"/>
    </row>
    <row r="289" spans="5:5" x14ac:dyDescent="0.3">
      <c r="E289" s="28"/>
    </row>
    <row r="290" spans="5:5" x14ac:dyDescent="0.3">
      <c r="E290" s="28"/>
    </row>
    <row r="291" spans="5:5" x14ac:dyDescent="0.3">
      <c r="E291" s="28"/>
    </row>
    <row r="292" spans="5:5" x14ac:dyDescent="0.3">
      <c r="E292" s="28"/>
    </row>
    <row r="293" spans="5:5" x14ac:dyDescent="0.3">
      <c r="E293" s="28"/>
    </row>
    <row r="294" spans="5:5" x14ac:dyDescent="0.3">
      <c r="E294" s="28"/>
    </row>
    <row r="295" spans="5:5" x14ac:dyDescent="0.3">
      <c r="E295" s="28"/>
    </row>
    <row r="296" spans="5:5" x14ac:dyDescent="0.3">
      <c r="E296" s="28"/>
    </row>
    <row r="297" spans="5:5" x14ac:dyDescent="0.3">
      <c r="E297" s="28"/>
    </row>
    <row r="298" spans="5:5" x14ac:dyDescent="0.3">
      <c r="E298" s="28"/>
    </row>
    <row r="299" spans="5:5" x14ac:dyDescent="0.3">
      <c r="E299" s="28"/>
    </row>
    <row r="300" spans="5:5" x14ac:dyDescent="0.3">
      <c r="E300" s="28"/>
    </row>
    <row r="301" spans="5:5" x14ac:dyDescent="0.3">
      <c r="E301" s="28"/>
    </row>
    <row r="302" spans="5:5" x14ac:dyDescent="0.3">
      <c r="E302" s="28"/>
    </row>
    <row r="303" spans="5:5" x14ac:dyDescent="0.3">
      <c r="E303" s="28"/>
    </row>
    <row r="304" spans="5:5" x14ac:dyDescent="0.3">
      <c r="E304" s="28"/>
    </row>
    <row r="305" spans="5:5" x14ac:dyDescent="0.3">
      <c r="E305" s="28"/>
    </row>
    <row r="306" spans="5:5" x14ac:dyDescent="0.3">
      <c r="E306" s="28"/>
    </row>
    <row r="307" spans="5:5" x14ac:dyDescent="0.3">
      <c r="E307" s="28"/>
    </row>
    <row r="308" spans="5:5" x14ac:dyDescent="0.3">
      <c r="E308" s="28"/>
    </row>
    <row r="309" spans="5:5" x14ac:dyDescent="0.3">
      <c r="E309" s="28"/>
    </row>
    <row r="310" spans="5:5" x14ac:dyDescent="0.3">
      <c r="E310" s="28"/>
    </row>
    <row r="311" spans="5:5" x14ac:dyDescent="0.3">
      <c r="E311" s="28"/>
    </row>
    <row r="312" spans="5:5" x14ac:dyDescent="0.3">
      <c r="E312" s="28"/>
    </row>
    <row r="313" spans="5:5" x14ac:dyDescent="0.3">
      <c r="E313" s="28"/>
    </row>
    <row r="314" spans="5:5" x14ac:dyDescent="0.3">
      <c r="E314" s="28"/>
    </row>
    <row r="315" spans="5:5" x14ac:dyDescent="0.3">
      <c r="E315" s="28"/>
    </row>
    <row r="316" spans="5:5" x14ac:dyDescent="0.3">
      <c r="E316" s="28"/>
    </row>
    <row r="317" spans="5:5" x14ac:dyDescent="0.3">
      <c r="E317" s="28"/>
    </row>
    <row r="318" spans="5:5" x14ac:dyDescent="0.3">
      <c r="E318" s="28"/>
    </row>
    <row r="319" spans="5:5" x14ac:dyDescent="0.3">
      <c r="E319" s="28"/>
    </row>
    <row r="320" spans="5:5" x14ac:dyDescent="0.3">
      <c r="E320" s="28"/>
    </row>
    <row r="321" spans="5:5" x14ac:dyDescent="0.3">
      <c r="E321" s="28"/>
    </row>
  </sheetData>
  <hyperlinks>
    <hyperlink ref="G39" location="APPLE!A1" display="APPLE!A1" xr:uid="{A7763C05-CE07-41CF-BCAC-0EC7F59805E9}"/>
    <hyperlink ref="G40" location="'S&amp;P 500'!A1" display="'S&amp;P 500'!A1" xr:uid="{7581BEC2-1C14-492E-B456-F354F6CD6980}"/>
    <hyperlink ref="G41" location="GDX!A1" display="GDX!A1" xr:uid="{52A2C921-5467-F248-9BF8-929963C4803F}"/>
    <hyperlink ref="G42" location="AMZN!A1" display="AMZN!A1" xr:uid="{418B3196-B5D2-5A43-9D7A-A4CA277ECC22}"/>
    <hyperlink ref="G43" location="MCD!A1" display="MCD!A1" xr:uid="{D8333CAC-6999-8943-98DF-438EC47D644C}"/>
    <hyperlink ref="G44" location="NESN!A1" display="NESN!A1" xr:uid="{9723ADCB-98FE-3841-9059-B4C7B89E68AB}"/>
    <hyperlink ref="G45" location="NKE!A1" display="NKE!A1" xr:uid="{8B194558-89F7-6B47-8FB8-89DE7046FC8A}"/>
    <hyperlink ref="G46" location="DHL!A1" display="DHL!A1" xr:uid="{919C14B5-590E-0049-8D5A-F1CCB9C2C5C8}"/>
    <hyperlink ref="G47" location="SCHD!A1" display="SCHD!A1" xr:uid="{3DEE2283-82F0-5448-883C-828534859B71}"/>
    <hyperlink ref="G48" location="GOOG!A1" display="GOOG!A1" xr:uid="{E188A890-ECDB-324C-B74E-A774D299C9A1}"/>
    <hyperlink ref="G49" location="PBR!A1" display="PBR!A1" xr:uid="{B5194E84-9679-E149-8E52-0867B1C15428}"/>
    <hyperlink ref="G50" location="ADM!A1" display="ADM!A1" xr:uid="{A792B0BA-294D-2141-8A96-A32ECE6B561D}"/>
    <hyperlink ref="F41" r:id="rId1" xr:uid="{A7F0D57C-BD52-5A42-A3F3-65C25DAA5707}"/>
    <hyperlink ref="F42" r:id="rId2" xr:uid="{2F80DBB4-F059-9046-B563-0422F489B7A2}"/>
    <hyperlink ref="F43" r:id="rId3" xr:uid="{0AFEC8F7-F603-D344-BD54-86FEAF06A9FE}"/>
    <hyperlink ref="F44" r:id="rId4" xr:uid="{24112B84-B372-BA4B-AFF9-D5A80392FAFD}"/>
    <hyperlink ref="F45" r:id="rId5" xr:uid="{C658180A-D56A-7641-9F9B-95EEEA1A82F7}"/>
    <hyperlink ref="F46" r:id="rId6" xr:uid="{D7FA7FF8-1545-7742-9399-3581CE05060C}"/>
    <hyperlink ref="F47" r:id="rId7" xr:uid="{B02F433C-B48D-ED44-B554-153BA4DEB5CF}"/>
    <hyperlink ref="F48" r:id="rId8" xr:uid="{DD8CF3E1-C534-EB44-84E5-2195B2F5AB9B}"/>
    <hyperlink ref="F49" r:id="rId9" xr:uid="{FED9C555-E0D9-674E-A2EB-15DD119CB5E5}"/>
    <hyperlink ref="F50" r:id="rId10" xr:uid="{8457A1B3-8D6D-0249-92ED-F3AAC5FB90D1}"/>
    <hyperlink ref="G51" location="BRK!A1" display="BRK!A1" xr:uid="{D2ECE9F2-DB87-E84D-A640-A89AD5886A58}"/>
    <hyperlink ref="G52" location="MDLZ!A1" display="MDLZ!A1" xr:uid="{4FCA7E13-4897-F143-A3EC-26D2C3FB9413}"/>
    <hyperlink ref="G53" location="VZ!A1" display="VZ!A1" xr:uid="{CA1E9DD3-FAE5-6D43-807E-7B5992620887}"/>
    <hyperlink ref="F3" r:id="rId11" xr:uid="{814C2527-9F1C-504B-B622-3F96BB28B82F}"/>
    <hyperlink ref="G3" location="Ahold!A1" display="Ahold!A1" xr:uid="{7EF89720-2FD2-1242-8623-0A19D27D3374}"/>
    <hyperlink ref="G4" location="BABA!A1" display="BABA!A1" xr:uid="{1E3991FE-513B-ED42-86AD-AD11C31319D9}"/>
    <hyperlink ref="F4" r:id="rId12" xr:uid="{A3C038A8-8F51-DE43-9066-D94F79D5DAE9}"/>
    <hyperlink ref="F5" r:id="rId13" xr:uid="{507FD5DE-EA5C-094E-92D3-8AD5DF4F86F7}"/>
    <hyperlink ref="F6" r:id="rId14" xr:uid="{BBF68F11-81B7-1A4E-8FD3-AE06576A8C53}"/>
    <hyperlink ref="G5" location="ACOMO!A1" display="ACOMO!A1" xr:uid="{E0178DB2-B271-484B-91AF-2CE7AA8D1570}"/>
    <hyperlink ref="G6" location="ADM!A1" display="ADM!A1" xr:uid="{9A804DE6-50DB-FE44-94CE-498EDFB752AE}"/>
    <hyperlink ref="F8" r:id="rId15" xr:uid="{968FD186-A30A-8E4D-A541-0691415EC51E}"/>
    <hyperlink ref="F9" r:id="rId16" xr:uid="{6CB5F72A-DF4C-8243-A99C-04B7D7C329B5}"/>
    <hyperlink ref="G9" location="BRK.B!A1" display="BRK.B!A1" xr:uid="{D9375869-262E-C440-B91E-4C2291052B5B}"/>
    <hyperlink ref="G8" location="ABF!A1" display="ABF!A1" xr:uid="{C7C56817-1A54-1749-8C62-9A10BFA3EC62}"/>
    <hyperlink ref="F10" r:id="rId17" xr:uid="{845AE7D5-12F6-C246-A66D-5192D623FC60}"/>
    <hyperlink ref="G10" location="LND!A1" display="LND!A1" xr:uid="{D59DE6CE-F13A-D444-90A2-946ACF7DC0BD}"/>
    <hyperlink ref="F11" r:id="rId18" xr:uid="{E63FEB4C-D87D-0D43-982E-CDBC593203F9}"/>
    <hyperlink ref="G11" location="CEMBRE!A1" display="CEMBRE!A1" xr:uid="{43B78DBA-7273-D342-9B38-3DE0CBE7C43E}"/>
    <hyperlink ref="F12" r:id="rId19" xr:uid="{E9816769-9CC9-594A-A7B9-86C648884263}"/>
    <hyperlink ref="G12" location="CHM!A1" display="CHM!A1" xr:uid="{7D1DEDAC-77BD-FF46-AF79-C588363F36A1}"/>
    <hyperlink ref="G13" location="CK!A1" display="CK!A1" xr:uid="{D7B706D6-607C-7E4D-A84A-A77B959DB1D6}"/>
    <hyperlink ref="F13" r:id="rId20" xr:uid="{A51A2403-8033-A24B-BFA6-7D2E08E35454}"/>
    <hyperlink ref="F14" r:id="rId21" xr:uid="{18761961-53E4-2445-8729-414A86E788A4}"/>
    <hyperlink ref="G14" location="Clarks!A1" display="Clarks!A1" xr:uid="{746C1B86-B1D8-AF48-BDB2-C63DE877E120}"/>
    <hyperlink ref="F15" r:id="rId22" xr:uid="{D453CE0A-1174-B941-87C2-D89BBBBD9933}"/>
    <hyperlink ref="G15" location="FP!A1" display="FP!A1" xr:uid="{5855CAD0-D1F6-6F4D-AD84-01586F42F8D8}"/>
    <hyperlink ref="F16" r:id="rId23" xr:uid="{34E57111-C8D4-A04A-9983-9B880980AEC9}"/>
    <hyperlink ref="G16" location="FLOW!A1" display="FLOW!A1" xr:uid="{F3B31703-9A46-E246-A14E-949777E4E72E}"/>
    <hyperlink ref="F18" r:id="rId24" xr:uid="{992DD450-F97B-3E42-9629-6D3D6B7F30BD}"/>
    <hyperlink ref="G18" location="ICL!A1" display="ICL!A1" xr:uid="{9A8ECD37-C1E8-524B-A3E2-82DDC42E8ADA}"/>
    <hyperlink ref="F20" r:id="rId25" xr:uid="{1F100367-CF92-5848-8AAE-F76952508FBE}"/>
    <hyperlink ref="G20" location="LBTYK!A1" display="LBTYK!A1" xr:uid="{8EE68617-DCB7-F84D-85F1-B45BA8E941A2}"/>
    <hyperlink ref="F21" r:id="rId26" xr:uid="{D636403F-BBA3-CA4C-9D9E-2AA0AC66B9A9}"/>
    <hyperlink ref="G21" location="LUNDIN!A1" display="LUNDIN!A1" xr:uid="{6A91C087-C616-0B43-BC1B-0AAF198C11AC}"/>
    <hyperlink ref="F22" r:id="rId27" xr:uid="{2343786E-2F68-3044-A628-9E7FF8892167}"/>
    <hyperlink ref="G22" location="Maersk!A1" display="Maersk!A1" xr:uid="{E292ACAA-BE44-494C-BECB-07B3F5485F9B}"/>
    <hyperlink ref="F23" r:id="rId28" xr:uid="{8426A797-4B17-9441-B189-AEE6EEAC4FA1}"/>
    <hyperlink ref="G23" location="'Nine D'!A1" display="'Nine D'!A1" xr:uid="{C2825932-842B-5043-AC71-3B7105425EC6}"/>
    <hyperlink ref="F24" r:id="rId29" xr:uid="{AA4D68B0-7CBE-1740-B3D9-C49980C1D78E}"/>
    <hyperlink ref="G24" location="NTR!A1" display="NTR!A1" xr:uid="{F67F6E24-B8E5-0347-9A8A-7D999B58240A}"/>
    <hyperlink ref="F25" r:id="rId30" xr:uid="{4A48CA25-08CE-3646-80FD-3A65FF511409}"/>
    <hyperlink ref="G25" location="MOS!A1" display="MOS!A1" xr:uid="{0DB21263-8787-5343-AEDA-C2F93CE5F9D7}"/>
    <hyperlink ref="F26" r:id="rId31" xr:uid="{80B88239-0547-364D-B409-998F4525A0F8}"/>
    <hyperlink ref="G26" location="RHIM!A1" display="RHIM!A1" xr:uid="{4AF57159-0866-EC4E-9097-CB2709552C38}"/>
    <hyperlink ref="F27" r:id="rId32" xr:uid="{0FC49EF6-776D-D147-BB32-B3B36B6F0B8D}"/>
    <hyperlink ref="G27" location="RUI!A1" display="RUI!A1" xr:uid="{E40FF7B7-F3C6-DC4A-A024-8AD208D6D5E1}"/>
    <hyperlink ref="F29" r:id="rId33" xr:uid="{C55BCC11-D7AE-B841-850E-9E9FB82DD4B9}"/>
    <hyperlink ref="G29" location="SIRI!A1" display="SIRI!A1" xr:uid="{C6E8F1A0-6EBA-F643-AEC0-DB8DBC45BBEE}"/>
    <hyperlink ref="F30" r:id="rId34" xr:uid="{DAA3D63C-18AF-3440-AAA3-CB6392E18F65}"/>
    <hyperlink ref="G30" location="SNRE!A1" display="SNRE!A1" xr:uid="{772251B2-ADEA-104A-A0DA-A6EB49F281FA}"/>
    <hyperlink ref="F32" r:id="rId35" xr:uid="{9ED6A81C-0A5E-F546-9DBA-49C950300778}"/>
    <hyperlink ref="G32" location="Wilmar!A1" display="Wilmar!A1" xr:uid="{18AE2BA9-A184-CF47-B3AC-B66967F687A4}"/>
    <hyperlink ref="G28" location="LIGHT!A1" display="LIGHT!A1" xr:uid="{C65A1C6F-C319-AE42-9F92-60CA31BDF7F4}"/>
    <hyperlink ref="G31" location="TIBN!A1" display="TIBN!A1" xr:uid="{A801DE7F-00D5-BC43-9728-2E7DB8714EC0}"/>
    <hyperlink ref="F28" r:id="rId36" xr:uid="{6BD0E794-6C65-E04D-82A5-E28150A5C8C7}"/>
    <hyperlink ref="G17" location="GLEN!A1" display="GLEN!A1" xr:uid="{D69F5216-B70F-4194-9E94-76BD2A8C0A3D}"/>
    <hyperlink ref="G7" location="AKER!A1" display="AKER!A1" xr:uid="{826CF1DB-304F-214C-AFC0-976886117BD7}"/>
    <hyperlink ref="G19" location="LXS!A1" display="LXS!A1" xr:uid="{FFF59655-AF73-D041-8254-5789EFE83909}"/>
  </hyperlinks>
  <pageMargins left="0.7" right="0.7" top="0.75" bottom="0.75" header="0.3" footer="0.3"/>
  <pageSetup paperSize="9" orientation="portrait" r:id="rId37"/>
  <drawing r:id="rId38"/>
  <legacyDrawing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B8B8C-1219-4778-A726-F41A5718CA77}">
  <sheetPr codeName="Sheet4"/>
  <dimension ref="A1:AA130"/>
  <sheetViews>
    <sheetView topLeftCell="B1" workbookViewId="0">
      <selection activeCell="B3" sqref="B3:AA130"/>
    </sheetView>
  </sheetViews>
  <sheetFormatPr defaultColWidth="8.85546875" defaultRowHeight="12.75" x14ac:dyDescent="0.2"/>
  <cols>
    <col min="1" max="1" width="0" hidden="1" customWidth="1"/>
    <col min="2" max="3" width="14.28515625" customWidth="1"/>
    <col min="4" max="4" width="6" customWidth="1"/>
    <col min="5" max="13" width="14.28515625" customWidth="1"/>
  </cols>
  <sheetData>
    <row r="1" spans="1:27" x14ac:dyDescent="0.2">
      <c r="A1" t="s">
        <v>52</v>
      </c>
    </row>
    <row r="2" spans="1:27" ht="13.5" thickBot="1" x14ac:dyDescent="0.25"/>
    <row r="3" spans="1:27" ht="18" thickBot="1" x14ac:dyDescent="0.45">
      <c r="B3" s="100" t="s">
        <v>34</v>
      </c>
      <c r="C3" s="101">
        <v>44317272466</v>
      </c>
      <c r="D3" s="100"/>
      <c r="E3" s="100" t="s">
        <v>135</v>
      </c>
      <c r="F3" s="101">
        <v>678.1</v>
      </c>
      <c r="G3" s="102">
        <v>1.1689343999999999</v>
      </c>
      <c r="H3" s="100"/>
      <c r="I3" s="100"/>
      <c r="J3" s="100"/>
      <c r="K3" s="100"/>
      <c r="L3" s="100" t="s">
        <v>385</v>
      </c>
      <c r="M3" s="101">
        <v>26.65</v>
      </c>
      <c r="N3" s="100"/>
      <c r="O3" s="100"/>
      <c r="P3" s="100"/>
      <c r="Q3" s="100"/>
      <c r="R3" s="100"/>
      <c r="S3" s="100"/>
      <c r="T3" s="100"/>
      <c r="U3" s="100"/>
      <c r="V3" s="100"/>
      <c r="W3" s="100"/>
      <c r="X3" s="100"/>
      <c r="Y3" s="100"/>
      <c r="Z3" s="100"/>
      <c r="AA3" s="100"/>
    </row>
    <row r="4" spans="1:27" ht="18" thickBot="1" x14ac:dyDescent="0.45">
      <c r="B4" s="100" t="s">
        <v>35</v>
      </c>
      <c r="C4" s="101">
        <v>31247565451</v>
      </c>
      <c r="D4" s="101">
        <v>34.42</v>
      </c>
      <c r="E4" s="100" t="s">
        <v>136</v>
      </c>
      <c r="F4" s="101">
        <v>228.8</v>
      </c>
      <c r="G4" s="100"/>
      <c r="H4" s="100"/>
      <c r="I4" s="100"/>
      <c r="J4" s="100"/>
      <c r="K4" s="100"/>
      <c r="L4" s="100" t="s">
        <v>386</v>
      </c>
      <c r="M4" s="101">
        <v>31.26</v>
      </c>
      <c r="N4" s="100"/>
      <c r="O4" s="100"/>
      <c r="P4" s="100"/>
      <c r="Q4" s="100"/>
      <c r="R4" s="100"/>
      <c r="S4" s="100"/>
      <c r="T4" s="100"/>
      <c r="U4" s="100"/>
      <c r="V4" s="100"/>
      <c r="W4" s="100"/>
      <c r="X4" s="100"/>
      <c r="Y4" s="100"/>
      <c r="Z4" s="100"/>
      <c r="AA4" s="100"/>
    </row>
    <row r="5" spans="1:27" ht="29.25" thickBot="1" x14ac:dyDescent="0.45">
      <c r="B5" s="100" t="s">
        <v>53</v>
      </c>
      <c r="C5" s="101">
        <v>3798660904</v>
      </c>
      <c r="D5" s="100"/>
      <c r="E5" s="100" t="s">
        <v>137</v>
      </c>
      <c r="F5" s="101">
        <v>1355.4</v>
      </c>
      <c r="G5" s="100"/>
      <c r="H5" s="100"/>
      <c r="I5" s="100"/>
      <c r="J5" s="100"/>
      <c r="K5" s="100"/>
      <c r="L5" s="100" t="s">
        <v>387</v>
      </c>
      <c r="M5" s="101">
        <v>23.06</v>
      </c>
      <c r="N5" s="100"/>
      <c r="O5" s="100"/>
      <c r="P5" s="100"/>
      <c r="Q5" s="100"/>
      <c r="R5" s="100"/>
      <c r="S5" s="100"/>
      <c r="T5" s="100"/>
      <c r="U5" s="100"/>
      <c r="V5" s="100"/>
      <c r="W5" s="100"/>
      <c r="X5" s="100"/>
      <c r="Y5" s="100"/>
      <c r="Z5" s="100"/>
      <c r="AA5" s="100"/>
    </row>
    <row r="6" spans="1:27" ht="29.25" thickBot="1" x14ac:dyDescent="0.45">
      <c r="B6" s="100" t="s">
        <v>40</v>
      </c>
      <c r="C6" s="101">
        <v>490.08</v>
      </c>
      <c r="D6" s="100"/>
      <c r="E6" s="100" t="s">
        <v>138</v>
      </c>
      <c r="F6" s="101">
        <v>242.6</v>
      </c>
      <c r="G6" s="100"/>
      <c r="H6" s="100" t="s">
        <v>197</v>
      </c>
      <c r="I6" s="101">
        <v>1061674568342</v>
      </c>
      <c r="J6" s="102">
        <v>1061.6745679999999</v>
      </c>
      <c r="K6" s="100"/>
      <c r="L6" s="100" t="s">
        <v>394</v>
      </c>
      <c r="M6" s="101">
        <v>43.1</v>
      </c>
      <c r="N6" s="100"/>
      <c r="O6" s="100"/>
      <c r="P6" s="100"/>
      <c r="Q6" s="100"/>
      <c r="R6" s="100"/>
      <c r="S6" s="100"/>
      <c r="T6" s="100"/>
      <c r="U6" s="100"/>
      <c r="V6" s="100"/>
      <c r="W6" s="100"/>
      <c r="X6" s="100"/>
      <c r="Y6" s="100"/>
      <c r="Z6" s="100"/>
      <c r="AA6" s="100"/>
    </row>
    <row r="7" spans="1:27" ht="18" thickBot="1" x14ac:dyDescent="0.45">
      <c r="B7" s="100" t="s">
        <v>55</v>
      </c>
      <c r="C7" s="101">
        <v>26663649133</v>
      </c>
      <c r="D7" s="100"/>
      <c r="E7" s="100" t="s">
        <v>140</v>
      </c>
      <c r="F7" s="101">
        <v>62.15</v>
      </c>
      <c r="G7" s="100"/>
      <c r="H7" s="100"/>
      <c r="I7" s="100"/>
      <c r="J7" s="100"/>
      <c r="K7" s="100"/>
      <c r="L7" s="100" t="s">
        <v>396</v>
      </c>
      <c r="M7" s="101">
        <v>11.24</v>
      </c>
      <c r="N7" s="100"/>
      <c r="O7" s="100"/>
      <c r="P7" s="100"/>
      <c r="Q7" s="100"/>
      <c r="R7" s="100"/>
      <c r="S7" s="100"/>
      <c r="T7" s="100"/>
      <c r="U7" s="100"/>
      <c r="V7" s="100"/>
      <c r="W7" s="100"/>
      <c r="X7" s="100"/>
      <c r="Y7" s="100"/>
      <c r="Z7" s="100"/>
      <c r="AA7" s="100"/>
    </row>
    <row r="8" spans="1:27" ht="18" thickBot="1" x14ac:dyDescent="0.45">
      <c r="B8" s="100" t="s">
        <v>56</v>
      </c>
      <c r="C8" s="101">
        <v>12490612605</v>
      </c>
      <c r="D8" s="100"/>
      <c r="E8" s="100" t="s">
        <v>141</v>
      </c>
      <c r="F8" s="101">
        <v>60.48</v>
      </c>
      <c r="G8" s="100"/>
      <c r="H8" s="100"/>
      <c r="I8" s="100"/>
      <c r="J8" s="100"/>
      <c r="K8" s="100"/>
      <c r="L8" s="100"/>
      <c r="M8" s="100"/>
      <c r="N8" s="100"/>
      <c r="O8" s="100"/>
      <c r="P8" s="100"/>
      <c r="Q8" s="100"/>
      <c r="R8" s="100"/>
      <c r="S8" s="100"/>
      <c r="T8" s="100"/>
      <c r="U8" s="100"/>
      <c r="V8" s="100"/>
      <c r="W8" s="100"/>
      <c r="X8" s="100"/>
      <c r="Y8" s="100"/>
      <c r="Z8" s="100"/>
      <c r="AA8" s="100"/>
    </row>
    <row r="9" spans="1:27" ht="18" thickBot="1" x14ac:dyDescent="0.45">
      <c r="B9" s="100" t="s">
        <v>57</v>
      </c>
      <c r="C9" s="101">
        <v>239.56</v>
      </c>
      <c r="D9" s="100"/>
      <c r="E9" s="100" t="s">
        <v>142</v>
      </c>
      <c r="F9" s="101">
        <v>9.27</v>
      </c>
      <c r="G9" s="100"/>
      <c r="H9" s="100" t="s">
        <v>198</v>
      </c>
      <c r="I9" s="101">
        <v>2894200931242</v>
      </c>
      <c r="J9" s="100"/>
      <c r="K9" s="100"/>
      <c r="L9" s="100"/>
      <c r="M9" s="100"/>
      <c r="N9" s="100"/>
      <c r="O9" s="100"/>
      <c r="P9" s="100"/>
      <c r="Q9" s="100"/>
      <c r="R9" s="100"/>
      <c r="S9" s="100"/>
      <c r="T9" s="100"/>
      <c r="U9" s="100"/>
      <c r="V9" s="100"/>
      <c r="W9" s="100"/>
      <c r="X9" s="100"/>
      <c r="Y9" s="100"/>
      <c r="Z9" s="100"/>
      <c r="AA9" s="100"/>
    </row>
    <row r="10" spans="1:27" ht="18" thickBot="1" x14ac:dyDescent="0.45">
      <c r="B10" s="100" t="s">
        <v>58</v>
      </c>
      <c r="C10" s="101">
        <v>3719333735495</v>
      </c>
      <c r="D10" s="100"/>
      <c r="E10" s="100" t="s">
        <v>143</v>
      </c>
      <c r="F10" s="101">
        <v>41.1</v>
      </c>
      <c r="G10" s="100"/>
      <c r="H10" s="100"/>
      <c r="I10" s="100"/>
      <c r="J10" s="100"/>
      <c r="K10" s="100"/>
      <c r="L10" s="100"/>
      <c r="M10" s="100"/>
      <c r="N10" s="100"/>
      <c r="O10" s="100"/>
      <c r="P10" s="100"/>
      <c r="Q10" s="100"/>
      <c r="R10" s="100"/>
      <c r="S10" s="100"/>
      <c r="T10" s="100"/>
      <c r="U10" s="100"/>
      <c r="V10" s="100"/>
      <c r="W10" s="100"/>
      <c r="X10" s="100"/>
      <c r="Y10" s="100"/>
      <c r="Z10" s="100"/>
      <c r="AA10" s="100"/>
    </row>
    <row r="11" spans="1:27" ht="18" thickBot="1" x14ac:dyDescent="0.45">
      <c r="B11" s="100" t="s">
        <v>39</v>
      </c>
      <c r="C11" s="101">
        <v>3365651948463</v>
      </c>
      <c r="D11" s="100"/>
      <c r="E11" s="100" t="s">
        <v>144</v>
      </c>
      <c r="F11" s="101">
        <v>26.98</v>
      </c>
      <c r="G11" s="100"/>
      <c r="H11" s="100"/>
      <c r="I11" s="100"/>
      <c r="J11" s="100"/>
      <c r="K11" s="100"/>
      <c r="L11" s="100"/>
      <c r="M11" s="100"/>
      <c r="N11" s="100"/>
      <c r="O11" s="100"/>
      <c r="P11" s="100"/>
      <c r="Q11" s="100"/>
      <c r="R11" s="100"/>
      <c r="S11" s="100"/>
      <c r="T11" s="100"/>
      <c r="U11" s="100"/>
      <c r="V11" s="100"/>
      <c r="W11" s="100"/>
      <c r="X11" s="100"/>
      <c r="Y11" s="100"/>
      <c r="Z11" s="100"/>
      <c r="AA11" s="100"/>
    </row>
    <row r="12" spans="1:27" ht="18" thickBot="1" x14ac:dyDescent="0.45">
      <c r="B12" s="100" t="s">
        <v>37</v>
      </c>
      <c r="C12" s="102">
        <v>96323410562</v>
      </c>
      <c r="D12" s="100"/>
      <c r="E12" s="100" t="s">
        <v>145</v>
      </c>
      <c r="F12" s="101">
        <v>190848839</v>
      </c>
      <c r="G12" s="100"/>
      <c r="H12" s="100"/>
      <c r="I12" s="100"/>
      <c r="J12" s="100"/>
      <c r="K12" s="100"/>
      <c r="L12" s="100"/>
      <c r="M12" s="100"/>
      <c r="N12" s="100"/>
      <c r="O12" s="100"/>
      <c r="P12" s="100"/>
      <c r="Q12" s="100"/>
      <c r="R12" s="100"/>
      <c r="S12" s="100"/>
      <c r="T12" s="100"/>
      <c r="U12" s="100"/>
      <c r="V12" s="100"/>
      <c r="W12" s="100"/>
      <c r="X12" s="100"/>
      <c r="Y12" s="100"/>
      <c r="Z12" s="100"/>
      <c r="AA12" s="100"/>
    </row>
    <row r="13" spans="1:27" ht="18" thickBot="1" x14ac:dyDescent="0.45">
      <c r="B13" s="100" t="s">
        <v>38</v>
      </c>
      <c r="C13" s="101">
        <v>6522.1</v>
      </c>
      <c r="D13" s="100"/>
      <c r="E13" s="100" t="s">
        <v>146</v>
      </c>
      <c r="F13" s="101">
        <v>25235175553</v>
      </c>
      <c r="G13" s="102">
        <v>25.235175550000001</v>
      </c>
      <c r="H13" s="100"/>
      <c r="I13" s="100"/>
      <c r="J13" s="100"/>
      <c r="K13" s="100"/>
      <c r="L13" s="100"/>
      <c r="M13" s="100"/>
      <c r="N13" s="100"/>
      <c r="O13" s="100"/>
      <c r="P13" s="100"/>
      <c r="Q13" s="100"/>
      <c r="R13" s="100"/>
      <c r="S13" s="100"/>
      <c r="T13" s="100"/>
      <c r="U13" s="100"/>
      <c r="V13" s="100"/>
      <c r="W13" s="100"/>
      <c r="X13" s="100"/>
      <c r="Y13" s="100"/>
      <c r="Z13" s="100"/>
      <c r="AA13" s="100"/>
    </row>
    <row r="14" spans="1:27" ht="18" thickBot="1" x14ac:dyDescent="0.45">
      <c r="B14" s="100" t="s">
        <v>59</v>
      </c>
      <c r="C14" s="101">
        <v>5774355028500</v>
      </c>
      <c r="D14" s="100"/>
      <c r="E14" s="101">
        <v>629.5</v>
      </c>
      <c r="F14" s="101">
        <v>17.96</v>
      </c>
      <c r="G14" s="100"/>
      <c r="H14" s="100"/>
      <c r="I14" s="101">
        <v>7.7867671700000001</v>
      </c>
      <c r="J14" s="102">
        <v>741559995623</v>
      </c>
      <c r="K14" s="100"/>
      <c r="L14" s="100"/>
      <c r="M14" s="100"/>
      <c r="N14" s="100"/>
      <c r="O14" s="100"/>
      <c r="P14" s="100"/>
      <c r="Q14" s="100"/>
      <c r="R14" s="100"/>
      <c r="S14" s="100"/>
      <c r="T14" s="100"/>
      <c r="U14" s="100"/>
      <c r="V14" s="100"/>
      <c r="W14" s="100"/>
      <c r="X14" s="100"/>
      <c r="Y14" s="100"/>
      <c r="Z14" s="100"/>
      <c r="AA14" s="100"/>
    </row>
    <row r="15" spans="1:27" ht="18" thickBot="1" x14ac:dyDescent="0.45">
      <c r="B15" s="100" t="s">
        <v>60</v>
      </c>
      <c r="C15" s="102">
        <v>260.44</v>
      </c>
      <c r="D15" s="100"/>
      <c r="E15" s="100" t="s">
        <v>149</v>
      </c>
      <c r="F15" s="101">
        <v>496646196</v>
      </c>
      <c r="G15" s="100"/>
      <c r="H15" s="100"/>
      <c r="I15" s="100"/>
      <c r="J15" s="100"/>
      <c r="K15" s="100"/>
      <c r="L15" s="100"/>
      <c r="M15" s="100"/>
      <c r="N15" s="100"/>
      <c r="O15" s="100"/>
      <c r="P15" s="100"/>
      <c r="Q15" s="100"/>
      <c r="R15" s="100"/>
      <c r="S15" s="100"/>
      <c r="T15" s="100"/>
      <c r="U15" s="100"/>
      <c r="V15" s="100"/>
      <c r="W15" s="100"/>
      <c r="X15" s="100"/>
      <c r="Y15" s="100"/>
      <c r="Z15" s="100"/>
      <c r="AA15" s="100"/>
    </row>
    <row r="16" spans="1:27" ht="18" thickBot="1" x14ac:dyDescent="0.45">
      <c r="B16" s="100" t="s">
        <v>30</v>
      </c>
      <c r="C16" s="102">
        <v>44317272466</v>
      </c>
      <c r="D16" s="100"/>
      <c r="E16" s="100" t="s">
        <v>148</v>
      </c>
      <c r="F16" s="101">
        <v>40507719806</v>
      </c>
      <c r="G16" s="102">
        <v>40.507719809999998</v>
      </c>
      <c r="H16" s="100"/>
      <c r="I16" s="100"/>
      <c r="J16" s="100"/>
      <c r="K16" s="100"/>
      <c r="L16" s="100"/>
      <c r="M16" s="100"/>
      <c r="N16" s="100"/>
      <c r="O16" s="100"/>
      <c r="P16" s="100"/>
      <c r="Q16" s="100"/>
      <c r="R16" s="100"/>
      <c r="S16" s="100"/>
      <c r="T16" s="100"/>
      <c r="U16" s="100"/>
      <c r="V16" s="100"/>
      <c r="W16" s="100"/>
      <c r="X16" s="100"/>
      <c r="Y16" s="100"/>
      <c r="Z16" s="100"/>
      <c r="AA16" s="100"/>
    </row>
    <row r="17" spans="2:27" ht="18" thickBot="1" x14ac:dyDescent="0.45">
      <c r="B17" s="100" t="s">
        <v>61</v>
      </c>
      <c r="C17" s="101">
        <v>13105556048</v>
      </c>
      <c r="D17" s="100"/>
      <c r="E17" s="100" t="s">
        <v>150</v>
      </c>
      <c r="F17" s="101">
        <v>998409763</v>
      </c>
      <c r="G17" s="100"/>
      <c r="H17" s="100"/>
      <c r="I17" s="100"/>
      <c r="J17" s="100"/>
      <c r="K17" s="100"/>
      <c r="L17" s="100"/>
      <c r="M17" s="100"/>
      <c r="N17" s="100"/>
      <c r="O17" s="100"/>
      <c r="P17" s="100"/>
      <c r="Q17" s="100"/>
      <c r="R17" s="100"/>
      <c r="S17" s="100"/>
      <c r="T17" s="100"/>
      <c r="U17" s="100"/>
      <c r="V17" s="100"/>
      <c r="W17" s="100"/>
      <c r="X17" s="100"/>
      <c r="Y17" s="100"/>
      <c r="Z17" s="100"/>
      <c r="AA17" s="100"/>
    </row>
    <row r="18" spans="2:27" ht="18" thickBot="1" x14ac:dyDescent="0.45">
      <c r="B18" s="100" t="s">
        <v>62</v>
      </c>
      <c r="C18" s="102">
        <v>13096476776</v>
      </c>
      <c r="D18" s="100"/>
      <c r="E18" s="100" t="s">
        <v>151</v>
      </c>
      <c r="F18" s="101">
        <v>8627117400</v>
      </c>
      <c r="G18" s="102">
        <v>9.9349262300000003</v>
      </c>
      <c r="H18" s="102">
        <v>130112530642</v>
      </c>
      <c r="I18" s="100"/>
      <c r="J18" s="100"/>
      <c r="K18" s="100"/>
      <c r="L18" s="100"/>
      <c r="M18" s="100"/>
      <c r="N18" s="100"/>
      <c r="O18" s="100"/>
      <c r="P18" s="100"/>
      <c r="Q18" s="100"/>
      <c r="R18" s="100"/>
      <c r="S18" s="100"/>
      <c r="T18" s="100"/>
      <c r="U18" s="100"/>
      <c r="V18" s="100"/>
      <c r="W18" s="100"/>
      <c r="X18" s="100"/>
      <c r="Y18" s="100"/>
      <c r="Z18" s="100"/>
      <c r="AA18" s="100"/>
    </row>
    <row r="19" spans="2:27" ht="18" thickBot="1" x14ac:dyDescent="0.45">
      <c r="B19" s="100" t="s">
        <v>63</v>
      </c>
      <c r="C19" s="101">
        <v>143.93</v>
      </c>
      <c r="D19" s="100"/>
      <c r="E19" s="100" t="s">
        <v>153</v>
      </c>
      <c r="F19" s="101">
        <v>27.38</v>
      </c>
      <c r="G19" s="100"/>
      <c r="H19" s="100"/>
      <c r="I19" s="100"/>
      <c r="J19" s="100"/>
      <c r="K19" s="100"/>
      <c r="L19" s="100"/>
      <c r="M19" s="100"/>
      <c r="N19" s="100"/>
      <c r="O19" s="100"/>
      <c r="P19" s="100"/>
      <c r="Q19" s="100"/>
      <c r="R19" s="100"/>
      <c r="S19" s="100"/>
      <c r="T19" s="100"/>
      <c r="U19" s="100"/>
      <c r="V19" s="100"/>
      <c r="W19" s="100"/>
      <c r="X19" s="100"/>
      <c r="Y19" s="100"/>
      <c r="Z19" s="100"/>
      <c r="AA19" s="100"/>
    </row>
    <row r="20" spans="2:27" ht="18" thickBot="1" x14ac:dyDescent="0.45">
      <c r="B20" s="100" t="s">
        <v>31</v>
      </c>
      <c r="C20" s="102">
        <v>1089789558075</v>
      </c>
      <c r="D20" s="100"/>
      <c r="E20" s="100" t="s">
        <v>152</v>
      </c>
      <c r="F20" s="103" t="e">
        <v>#N/A</v>
      </c>
      <c r="G20" s="100"/>
      <c r="H20" s="100"/>
      <c r="I20" s="100"/>
      <c r="J20" s="100"/>
      <c r="K20" s="100"/>
      <c r="L20" s="100"/>
      <c r="M20" s="100"/>
      <c r="N20" s="100"/>
      <c r="O20" s="100"/>
      <c r="P20" s="100"/>
      <c r="Q20" s="100"/>
      <c r="R20" s="100"/>
      <c r="S20" s="100"/>
      <c r="T20" s="100"/>
      <c r="U20" s="100"/>
      <c r="V20" s="100"/>
      <c r="W20" s="100"/>
      <c r="X20" s="100"/>
      <c r="Y20" s="100"/>
      <c r="Z20" s="100"/>
      <c r="AA20" s="100"/>
    </row>
    <row r="21" spans="2:27" ht="18" thickBot="1" x14ac:dyDescent="0.45">
      <c r="B21" s="100" t="s">
        <v>64</v>
      </c>
      <c r="C21" s="101">
        <v>2456448739828</v>
      </c>
      <c r="D21" s="100"/>
      <c r="E21" s="100" t="s">
        <v>160</v>
      </c>
      <c r="F21" s="103" t="e">
        <v>#N/A</v>
      </c>
      <c r="G21" s="100" t="s">
        <v>33</v>
      </c>
      <c r="H21" s="102">
        <v>347.79</v>
      </c>
      <c r="I21" s="100"/>
      <c r="J21" s="100"/>
      <c r="K21" s="100"/>
      <c r="L21" s="100" t="s">
        <v>154</v>
      </c>
      <c r="M21" s="100"/>
      <c r="N21" s="100"/>
      <c r="O21" s="100"/>
      <c r="P21" s="100"/>
      <c r="Q21" s="100"/>
      <c r="R21" s="100"/>
      <c r="S21" s="100"/>
      <c r="T21" s="100"/>
      <c r="U21" s="100"/>
      <c r="V21" s="100"/>
      <c r="W21" s="100"/>
      <c r="X21" s="100"/>
      <c r="Y21" s="100"/>
      <c r="Z21" s="100"/>
      <c r="AA21" s="100"/>
    </row>
    <row r="22" spans="2:27" ht="18" thickBot="1" x14ac:dyDescent="0.45">
      <c r="B22" s="100" t="s">
        <v>27</v>
      </c>
      <c r="C22" s="102">
        <v>208791218255</v>
      </c>
      <c r="D22" s="100"/>
      <c r="E22" s="100" t="s">
        <v>161</v>
      </c>
      <c r="F22" s="101">
        <v>97.44</v>
      </c>
      <c r="G22" s="100"/>
      <c r="H22" s="100"/>
      <c r="I22" s="100"/>
      <c r="J22" s="100"/>
      <c r="K22" s="100"/>
      <c r="L22" s="100"/>
      <c r="M22" s="100"/>
      <c r="N22" s="100"/>
      <c r="O22" s="100"/>
      <c r="P22" s="100"/>
      <c r="Q22" s="100"/>
      <c r="R22" s="100"/>
      <c r="S22" s="100"/>
      <c r="T22" s="100"/>
      <c r="U22" s="100"/>
      <c r="V22" s="100"/>
      <c r="W22" s="100"/>
      <c r="X22" s="100"/>
      <c r="Y22" s="100"/>
      <c r="Z22" s="100"/>
      <c r="AA22" s="100"/>
    </row>
    <row r="23" spans="2:27" ht="18" thickBot="1" x14ac:dyDescent="0.45">
      <c r="B23" s="100" t="s">
        <v>65</v>
      </c>
      <c r="C23" s="102">
        <v>31247565451</v>
      </c>
      <c r="D23" s="100"/>
      <c r="E23" s="100"/>
      <c r="F23" s="101">
        <v>63.2</v>
      </c>
      <c r="G23" s="100"/>
      <c r="H23" s="100"/>
      <c r="I23" s="100"/>
      <c r="J23" s="100"/>
      <c r="K23" s="100"/>
      <c r="L23" s="100"/>
      <c r="M23" s="100"/>
      <c r="N23" s="100"/>
      <c r="O23" s="100"/>
      <c r="P23" s="100"/>
      <c r="Q23" s="100"/>
      <c r="R23" s="100"/>
      <c r="S23" s="100"/>
      <c r="T23" s="100"/>
      <c r="U23" s="100"/>
      <c r="V23" s="100"/>
      <c r="W23" s="100"/>
      <c r="X23" s="100"/>
      <c r="Y23" s="100"/>
      <c r="Z23" s="100"/>
      <c r="AA23" s="100"/>
    </row>
    <row r="24" spans="2:27" ht="18" thickBot="1" x14ac:dyDescent="0.45">
      <c r="B24" s="100" t="s">
        <v>66</v>
      </c>
      <c r="C24" s="101">
        <v>28.6</v>
      </c>
      <c r="D24" s="100"/>
      <c r="E24" s="100"/>
      <c r="F24" s="101">
        <v>793.14</v>
      </c>
      <c r="G24" s="100"/>
      <c r="H24" s="100"/>
      <c r="I24" s="100"/>
      <c r="J24" s="100"/>
      <c r="K24" s="100"/>
      <c r="L24" s="100"/>
      <c r="M24" s="100"/>
      <c r="N24" s="100"/>
      <c r="O24" s="100"/>
      <c r="P24" s="100"/>
      <c r="Q24" s="100"/>
      <c r="R24" s="100"/>
      <c r="S24" s="100"/>
      <c r="T24" s="100"/>
      <c r="U24" s="100"/>
      <c r="V24" s="100"/>
      <c r="W24" s="100"/>
      <c r="X24" s="100"/>
      <c r="Y24" s="100"/>
      <c r="Z24" s="100"/>
      <c r="AA24" s="100"/>
    </row>
    <row r="25" spans="2:27" ht="18" thickBot="1" x14ac:dyDescent="0.45">
      <c r="B25" s="100" t="s">
        <v>67</v>
      </c>
      <c r="C25" s="102">
        <v>10369413195</v>
      </c>
      <c r="D25" s="100"/>
      <c r="E25" s="100"/>
      <c r="F25" s="101">
        <v>793.14</v>
      </c>
      <c r="G25" s="100"/>
      <c r="H25" s="100"/>
      <c r="I25" s="100"/>
      <c r="J25" s="100"/>
      <c r="K25" s="100"/>
      <c r="L25" s="100"/>
      <c r="M25" s="100"/>
      <c r="N25" s="100"/>
      <c r="O25" s="100"/>
      <c r="P25" s="100"/>
      <c r="Q25" s="100"/>
      <c r="R25" s="100"/>
      <c r="S25" s="100"/>
      <c r="T25" s="100"/>
      <c r="U25" s="100"/>
      <c r="V25" s="100"/>
      <c r="W25" s="100"/>
      <c r="X25" s="100"/>
      <c r="Y25" s="100"/>
      <c r="Z25" s="100"/>
      <c r="AA25" s="100"/>
    </row>
    <row r="26" spans="2:27" ht="18" thickBot="1" x14ac:dyDescent="0.45">
      <c r="B26" s="100" t="s">
        <v>32</v>
      </c>
      <c r="C26" s="102">
        <v>189631868068</v>
      </c>
      <c r="D26" s="100"/>
      <c r="E26" s="100"/>
      <c r="F26" s="101">
        <v>793.14</v>
      </c>
      <c r="G26" s="100" t="s">
        <v>88</v>
      </c>
      <c r="H26" s="102">
        <v>73.599999999999994</v>
      </c>
      <c r="I26" s="100"/>
      <c r="J26" s="100"/>
      <c r="K26" s="100"/>
      <c r="L26" s="100"/>
      <c r="M26" s="100"/>
      <c r="N26" s="100"/>
      <c r="O26" s="100"/>
      <c r="P26" s="100"/>
      <c r="Q26" s="100"/>
      <c r="R26" s="100"/>
      <c r="S26" s="100"/>
      <c r="T26" s="100"/>
      <c r="U26" s="100"/>
      <c r="V26" s="100"/>
      <c r="W26" s="100"/>
      <c r="X26" s="100"/>
      <c r="Y26" s="100"/>
      <c r="Z26" s="100"/>
      <c r="AA26" s="100"/>
    </row>
    <row r="27" spans="2:27" ht="18" thickBot="1" x14ac:dyDescent="0.45">
      <c r="B27" s="100" t="s">
        <v>77</v>
      </c>
      <c r="C27" s="103" t="e">
        <v>#N/A</v>
      </c>
      <c r="D27" s="100"/>
      <c r="E27" s="100"/>
      <c r="F27" s="101">
        <v>793.14</v>
      </c>
      <c r="G27" s="100"/>
      <c r="H27" s="100"/>
      <c r="I27" s="100"/>
      <c r="J27" s="100"/>
      <c r="K27" s="100"/>
      <c r="L27" s="100"/>
      <c r="M27" s="100"/>
      <c r="N27" s="100"/>
      <c r="O27" s="100"/>
      <c r="P27" s="100"/>
      <c r="Q27" s="100"/>
      <c r="R27" s="100"/>
      <c r="S27" s="100"/>
      <c r="T27" s="100"/>
      <c r="U27" s="100"/>
      <c r="V27" s="100"/>
      <c r="W27" s="100"/>
      <c r="X27" s="100"/>
      <c r="Y27" s="100"/>
      <c r="Z27" s="100"/>
      <c r="AA27" s="100"/>
    </row>
    <row r="28" spans="2:27" ht="29.25" thickBot="1" x14ac:dyDescent="0.45">
      <c r="B28" s="100" t="s">
        <v>78</v>
      </c>
      <c r="C28" s="101">
        <v>2747793757</v>
      </c>
      <c r="D28" s="100"/>
      <c r="E28" s="100"/>
      <c r="F28" s="101">
        <v>793.14</v>
      </c>
      <c r="G28" s="100"/>
      <c r="H28" s="100"/>
      <c r="I28" s="100"/>
      <c r="J28" s="100"/>
      <c r="K28" s="100"/>
      <c r="L28" s="100"/>
      <c r="M28" s="100"/>
      <c r="N28" s="100"/>
      <c r="O28" s="100"/>
      <c r="P28" s="100"/>
      <c r="Q28" s="100"/>
      <c r="R28" s="100"/>
      <c r="S28" s="100"/>
      <c r="T28" s="100"/>
      <c r="U28" s="100"/>
      <c r="V28" s="100"/>
      <c r="W28" s="100"/>
      <c r="X28" s="100"/>
      <c r="Y28" s="100"/>
      <c r="Z28" s="100"/>
      <c r="AA28" s="100"/>
    </row>
    <row r="29" spans="2:27" ht="18" thickBot="1" x14ac:dyDescent="0.45">
      <c r="B29" s="100" t="s">
        <v>79</v>
      </c>
      <c r="C29" s="103" t="e">
        <v>#N/A</v>
      </c>
      <c r="D29" s="100"/>
      <c r="E29" s="100"/>
      <c r="F29" s="101">
        <v>793.14</v>
      </c>
      <c r="G29" s="100"/>
      <c r="H29" s="100"/>
      <c r="I29" s="100"/>
      <c r="J29" s="100"/>
      <c r="K29" s="100"/>
      <c r="L29" s="100"/>
      <c r="M29" s="100"/>
      <c r="N29" s="100"/>
      <c r="O29" s="100"/>
      <c r="P29" s="100"/>
      <c r="Q29" s="100"/>
      <c r="R29" s="100"/>
      <c r="S29" s="100"/>
      <c r="T29" s="100"/>
      <c r="U29" s="100"/>
      <c r="V29" s="100"/>
      <c r="W29" s="100"/>
      <c r="X29" s="100"/>
      <c r="Y29" s="100"/>
      <c r="Z29" s="100"/>
      <c r="AA29" s="100"/>
    </row>
    <row r="30" spans="2:27" ht="18" thickBot="1" x14ac:dyDescent="0.45">
      <c r="B30" s="100" t="s">
        <v>82</v>
      </c>
      <c r="C30" s="101">
        <v>211.64</v>
      </c>
      <c r="D30" s="100"/>
      <c r="E30" s="100"/>
      <c r="F30" s="101">
        <v>793.14</v>
      </c>
      <c r="G30" s="100"/>
      <c r="H30" s="100"/>
      <c r="I30" s="100"/>
      <c r="J30" s="100"/>
      <c r="K30" s="100"/>
      <c r="L30" s="100"/>
      <c r="M30" s="100"/>
      <c r="N30" s="100"/>
      <c r="O30" s="100"/>
      <c r="P30" s="100"/>
      <c r="Q30" s="100"/>
      <c r="R30" s="100"/>
      <c r="S30" s="100"/>
      <c r="T30" s="100"/>
      <c r="U30" s="100"/>
      <c r="V30" s="100"/>
      <c r="W30" s="100"/>
      <c r="X30" s="100"/>
      <c r="Y30" s="100"/>
      <c r="Z30" s="100"/>
      <c r="AA30" s="100"/>
    </row>
    <row r="31" spans="2:27" ht="18" thickBot="1" x14ac:dyDescent="0.45">
      <c r="B31" s="100" t="s">
        <v>83</v>
      </c>
      <c r="C31" s="101">
        <v>47.15</v>
      </c>
      <c r="D31" s="100"/>
      <c r="E31" s="100" t="s">
        <v>135</v>
      </c>
      <c r="F31" s="101">
        <v>793.14</v>
      </c>
      <c r="G31" s="100"/>
      <c r="H31" s="100"/>
      <c r="I31" s="100"/>
      <c r="J31" s="100"/>
      <c r="K31" s="100"/>
      <c r="L31" s="100"/>
      <c r="M31" s="100"/>
      <c r="N31" s="100"/>
      <c r="O31" s="100"/>
      <c r="P31" s="100"/>
      <c r="Q31" s="100"/>
      <c r="R31" s="100"/>
      <c r="S31" s="100"/>
      <c r="T31" s="100"/>
      <c r="U31" s="100"/>
      <c r="V31" s="100"/>
      <c r="W31" s="100"/>
      <c r="X31" s="100"/>
      <c r="Y31" s="100"/>
      <c r="Z31" s="100"/>
      <c r="AA31" s="100"/>
    </row>
    <row r="32" spans="2:27" ht="18" thickBot="1" x14ac:dyDescent="0.45">
      <c r="B32" s="100" t="s">
        <v>84</v>
      </c>
      <c r="C32" s="101">
        <v>84.03</v>
      </c>
      <c r="D32" s="100"/>
      <c r="E32" s="100" t="s">
        <v>135</v>
      </c>
      <c r="F32" s="101">
        <v>793.14</v>
      </c>
      <c r="G32" s="100"/>
      <c r="H32" s="100"/>
      <c r="I32" s="100"/>
      <c r="J32" s="100"/>
      <c r="K32" s="100"/>
      <c r="L32" s="100"/>
      <c r="M32" s="100"/>
      <c r="N32" s="100"/>
      <c r="O32" s="100"/>
      <c r="P32" s="100"/>
      <c r="Q32" s="100"/>
      <c r="R32" s="100"/>
      <c r="S32" s="100"/>
      <c r="T32" s="100"/>
      <c r="U32" s="100"/>
      <c r="V32" s="100"/>
      <c r="W32" s="100"/>
      <c r="X32" s="100"/>
      <c r="Y32" s="100"/>
      <c r="Z32" s="100"/>
      <c r="AA32" s="100"/>
    </row>
    <row r="33" spans="2:27" ht="18" thickBot="1" x14ac:dyDescent="0.45">
      <c r="B33" s="100" t="s">
        <v>87</v>
      </c>
      <c r="C33" s="101">
        <v>43.49</v>
      </c>
      <c r="D33" s="100"/>
      <c r="E33" s="100" t="s">
        <v>135</v>
      </c>
      <c r="F33" s="101">
        <v>793.14</v>
      </c>
      <c r="G33" s="100"/>
      <c r="H33" s="100"/>
      <c r="I33" s="100"/>
      <c r="J33" s="100"/>
      <c r="K33" s="100"/>
      <c r="L33" s="100"/>
      <c r="M33" s="100"/>
      <c r="N33" s="100"/>
      <c r="O33" s="100"/>
      <c r="P33" s="100"/>
      <c r="Q33" s="100"/>
      <c r="R33" s="100"/>
      <c r="S33" s="100"/>
      <c r="T33" s="100"/>
      <c r="U33" s="100"/>
      <c r="V33" s="100"/>
      <c r="W33" s="100"/>
      <c r="X33" s="100"/>
      <c r="Y33" s="100"/>
      <c r="Z33" s="100"/>
      <c r="AA33" s="100"/>
    </row>
    <row r="34" spans="2:27" ht="18" thickBot="1" x14ac:dyDescent="0.45">
      <c r="B34" s="100" t="s">
        <v>89</v>
      </c>
      <c r="C34" s="101">
        <v>38710385357</v>
      </c>
      <c r="D34" s="100"/>
      <c r="E34" s="100" t="s">
        <v>135</v>
      </c>
      <c r="F34" s="101">
        <v>793.14</v>
      </c>
      <c r="G34" s="100"/>
      <c r="H34" s="100"/>
      <c r="I34" s="100"/>
      <c r="J34" s="100"/>
      <c r="K34" s="100"/>
      <c r="L34" s="100"/>
      <c r="M34" s="100"/>
      <c r="N34" s="100"/>
      <c r="O34" s="100"/>
      <c r="P34" s="100"/>
      <c r="Q34" s="100"/>
      <c r="R34" s="100"/>
      <c r="S34" s="100"/>
      <c r="T34" s="100"/>
      <c r="U34" s="100"/>
      <c r="V34" s="100"/>
      <c r="W34" s="100"/>
      <c r="X34" s="100"/>
      <c r="Y34" s="100"/>
      <c r="Z34" s="100"/>
      <c r="AA34" s="100"/>
    </row>
    <row r="35" spans="2:27" ht="18" thickBot="1" x14ac:dyDescent="0.45">
      <c r="B35" s="100" t="s">
        <v>90</v>
      </c>
      <c r="C35" s="101">
        <v>323058127724</v>
      </c>
      <c r="D35" s="100"/>
      <c r="E35" s="100" t="s">
        <v>135</v>
      </c>
      <c r="F35" s="101">
        <v>793.14</v>
      </c>
      <c r="G35" s="100"/>
      <c r="H35" s="100"/>
      <c r="I35" s="100"/>
      <c r="J35" s="100"/>
      <c r="K35" s="100"/>
      <c r="L35" s="100"/>
      <c r="M35" s="100"/>
      <c r="N35" s="100"/>
      <c r="O35" s="100"/>
      <c r="P35" s="100"/>
      <c r="Q35" s="100"/>
      <c r="R35" s="100"/>
      <c r="S35" s="100"/>
      <c r="T35" s="100"/>
      <c r="U35" s="100"/>
      <c r="V35" s="100"/>
      <c r="W35" s="100"/>
      <c r="X35" s="100"/>
      <c r="Y35" s="100"/>
      <c r="Z35" s="100"/>
      <c r="AA35" s="100"/>
    </row>
    <row r="36" spans="2:27" ht="18" thickBot="1" x14ac:dyDescent="0.45">
      <c r="B36" s="100" t="s">
        <v>92</v>
      </c>
      <c r="C36" s="103" t="e">
        <v>#N/A</v>
      </c>
      <c r="D36" s="104" t="e">
        <v>#N/A</v>
      </c>
      <c r="E36" s="100" t="s">
        <v>135</v>
      </c>
      <c r="F36" s="101">
        <v>793.14</v>
      </c>
      <c r="G36" s="100"/>
      <c r="H36" s="100"/>
      <c r="I36" s="100"/>
      <c r="J36" s="100"/>
      <c r="K36" s="100"/>
      <c r="L36" s="100"/>
      <c r="M36" s="100"/>
      <c r="N36" s="100"/>
      <c r="O36" s="100"/>
      <c r="P36" s="100"/>
      <c r="Q36" s="100"/>
      <c r="R36" s="100"/>
      <c r="S36" s="100"/>
      <c r="T36" s="100"/>
      <c r="U36" s="100"/>
      <c r="V36" s="100"/>
      <c r="W36" s="100"/>
      <c r="X36" s="100"/>
      <c r="Y36" s="100"/>
      <c r="Z36" s="100"/>
      <c r="AA36" s="100"/>
    </row>
    <row r="37" spans="2:27" ht="18" thickBot="1" x14ac:dyDescent="0.45">
      <c r="B37" s="100" t="s">
        <v>94</v>
      </c>
      <c r="C37" s="101">
        <v>356401384</v>
      </c>
      <c r="D37" s="100"/>
      <c r="E37" s="100" t="s">
        <v>135</v>
      </c>
      <c r="F37" s="101">
        <v>793.14</v>
      </c>
      <c r="G37" s="100"/>
      <c r="H37" s="100"/>
      <c r="I37" s="100"/>
      <c r="J37" s="100"/>
      <c r="K37" s="100"/>
      <c r="L37" s="100"/>
      <c r="M37" s="100"/>
      <c r="N37" s="100"/>
      <c r="O37" s="100"/>
      <c r="P37" s="100"/>
      <c r="Q37" s="100"/>
      <c r="R37" s="100"/>
      <c r="S37" s="100"/>
      <c r="T37" s="100"/>
      <c r="U37" s="100"/>
      <c r="V37" s="100"/>
      <c r="W37" s="100"/>
      <c r="X37" s="100"/>
      <c r="Y37" s="100"/>
      <c r="Z37" s="100"/>
      <c r="AA37" s="100"/>
    </row>
    <row r="38" spans="2:27" ht="18" thickBot="1" x14ac:dyDescent="0.45">
      <c r="B38" s="100" t="s">
        <v>95</v>
      </c>
      <c r="C38" s="101">
        <v>469490393524</v>
      </c>
      <c r="D38" s="100"/>
      <c r="E38" s="100" t="s">
        <v>135</v>
      </c>
      <c r="F38" s="101">
        <v>793.14</v>
      </c>
      <c r="G38" s="100"/>
      <c r="H38" s="100"/>
      <c r="I38" s="100"/>
      <c r="J38" s="100"/>
      <c r="K38" s="100"/>
      <c r="L38" s="100"/>
      <c r="M38" s="100"/>
      <c r="N38" s="100"/>
      <c r="O38" s="100"/>
      <c r="P38" s="100"/>
      <c r="Q38" s="100"/>
      <c r="R38" s="100"/>
      <c r="S38" s="100"/>
      <c r="T38" s="100"/>
      <c r="U38" s="100"/>
      <c r="V38" s="100"/>
      <c r="W38" s="100"/>
      <c r="X38" s="100"/>
      <c r="Y38" s="100"/>
      <c r="Z38" s="100"/>
      <c r="AA38" s="100"/>
    </row>
    <row r="39" spans="2:27" ht="18" thickBot="1" x14ac:dyDescent="0.45">
      <c r="B39" s="100" t="s">
        <v>96</v>
      </c>
      <c r="C39" s="105" t="s">
        <v>97</v>
      </c>
      <c r="D39" s="100"/>
      <c r="E39" s="100" t="s">
        <v>135</v>
      </c>
      <c r="F39" s="101">
        <v>793.14</v>
      </c>
      <c r="G39" s="101">
        <v>85.292647599999995</v>
      </c>
      <c r="H39" s="100"/>
      <c r="I39" s="100"/>
      <c r="J39" s="100"/>
      <c r="K39" s="100"/>
      <c r="L39" s="100"/>
      <c r="M39" s="100"/>
      <c r="N39" s="100"/>
      <c r="O39" s="100"/>
      <c r="P39" s="100"/>
      <c r="Q39" s="100"/>
      <c r="R39" s="100"/>
      <c r="S39" s="100"/>
      <c r="T39" s="100"/>
      <c r="U39" s="100"/>
      <c r="V39" s="100"/>
      <c r="W39" s="100"/>
      <c r="X39" s="100"/>
      <c r="Y39" s="100"/>
      <c r="Z39" s="100"/>
      <c r="AA39" s="100"/>
    </row>
    <row r="40" spans="2:27" ht="18" thickBot="1" x14ac:dyDescent="0.45">
      <c r="B40" s="100" t="s">
        <v>98</v>
      </c>
      <c r="C40" s="101">
        <v>7.12124924</v>
      </c>
      <c r="D40" s="100"/>
      <c r="E40" s="100" t="s">
        <v>135</v>
      </c>
      <c r="F40" s="101">
        <v>793.14</v>
      </c>
      <c r="G40" s="100"/>
      <c r="H40" s="100"/>
      <c r="I40" s="100"/>
      <c r="J40" s="100"/>
      <c r="K40" s="100"/>
      <c r="L40" s="100"/>
      <c r="M40" s="100"/>
      <c r="N40" s="100"/>
      <c r="O40" s="100"/>
      <c r="P40" s="100"/>
      <c r="Q40" s="100"/>
      <c r="R40" s="100"/>
      <c r="S40" s="100"/>
      <c r="T40" s="100"/>
      <c r="U40" s="100"/>
      <c r="V40" s="100"/>
      <c r="W40" s="100"/>
      <c r="X40" s="100"/>
      <c r="Y40" s="100"/>
      <c r="Z40" s="100"/>
      <c r="AA40" s="100"/>
    </row>
    <row r="41" spans="2:27" ht="18" thickBot="1" x14ac:dyDescent="0.45">
      <c r="B41" s="100" t="s">
        <v>102</v>
      </c>
      <c r="C41" s="101">
        <v>291340894228</v>
      </c>
      <c r="D41" s="100"/>
      <c r="E41" s="100" t="s">
        <v>135</v>
      </c>
      <c r="F41" s="101">
        <v>793.14</v>
      </c>
      <c r="G41" s="100"/>
      <c r="H41" s="100"/>
      <c r="I41" s="100"/>
      <c r="J41" s="100"/>
      <c r="K41" s="100"/>
      <c r="L41" s="100"/>
      <c r="M41" s="100"/>
      <c r="N41" s="100"/>
      <c r="O41" s="100"/>
      <c r="P41" s="100"/>
      <c r="Q41" s="100"/>
      <c r="R41" s="100"/>
      <c r="S41" s="100"/>
      <c r="T41" s="100"/>
      <c r="U41" s="100"/>
      <c r="V41" s="100"/>
      <c r="W41" s="100"/>
      <c r="X41" s="100"/>
      <c r="Y41" s="100"/>
      <c r="Z41" s="100"/>
      <c r="AA41" s="100"/>
    </row>
    <row r="42" spans="2:27" ht="18" thickBot="1" x14ac:dyDescent="0.45">
      <c r="B42" s="100" t="s">
        <v>105</v>
      </c>
      <c r="C42" s="101">
        <v>153.57</v>
      </c>
      <c r="D42" s="100"/>
      <c r="E42" s="100" t="s">
        <v>135</v>
      </c>
      <c r="F42" s="101">
        <v>793.14</v>
      </c>
      <c r="G42" s="100"/>
      <c r="H42" s="100"/>
      <c r="I42" s="100"/>
      <c r="J42" s="100"/>
      <c r="K42" s="100"/>
      <c r="L42" s="100"/>
      <c r="M42" s="100"/>
      <c r="N42" s="100"/>
      <c r="O42" s="100"/>
      <c r="P42" s="100"/>
      <c r="Q42" s="100"/>
      <c r="R42" s="100"/>
      <c r="S42" s="100"/>
      <c r="T42" s="100"/>
      <c r="U42" s="100"/>
      <c r="V42" s="100"/>
      <c r="W42" s="100"/>
      <c r="X42" s="100"/>
      <c r="Y42" s="100"/>
      <c r="Z42" s="100"/>
      <c r="AA42" s="100"/>
    </row>
    <row r="43" spans="2:27" ht="29.25" thickBot="1" x14ac:dyDescent="0.45">
      <c r="B43" s="100" t="s">
        <v>106</v>
      </c>
      <c r="C43" s="101">
        <v>323.35000000000002</v>
      </c>
      <c r="D43" s="100"/>
      <c r="E43" s="100" t="s">
        <v>135</v>
      </c>
      <c r="F43" s="101">
        <v>793.14</v>
      </c>
      <c r="G43" s="100"/>
      <c r="H43" s="100"/>
      <c r="I43" s="100"/>
      <c r="J43" s="100"/>
      <c r="K43" s="100"/>
      <c r="L43" s="100"/>
      <c r="M43" s="100"/>
      <c r="N43" s="100"/>
      <c r="O43" s="100"/>
      <c r="P43" s="100"/>
      <c r="Q43" s="100"/>
      <c r="R43" s="100"/>
      <c r="S43" s="100"/>
      <c r="T43" s="100"/>
      <c r="U43" s="100"/>
      <c r="V43" s="100"/>
      <c r="W43" s="100"/>
      <c r="X43" s="100"/>
      <c r="Y43" s="100"/>
      <c r="Z43" s="100"/>
      <c r="AA43" s="100"/>
    </row>
    <row r="44" spans="2:27" ht="18" thickBot="1" x14ac:dyDescent="0.45">
      <c r="B44" s="100" t="s">
        <v>107</v>
      </c>
      <c r="C44" s="101">
        <v>278.51</v>
      </c>
      <c r="D44" s="100"/>
      <c r="E44" s="100" t="s">
        <v>135</v>
      </c>
      <c r="F44" s="101">
        <v>793.14</v>
      </c>
      <c r="G44" s="100"/>
      <c r="H44" s="100"/>
      <c r="I44" s="100"/>
      <c r="J44" s="100"/>
      <c r="K44" s="100"/>
      <c r="L44" s="100"/>
      <c r="M44" s="100"/>
      <c r="N44" s="100"/>
      <c r="O44" s="100"/>
      <c r="P44" s="100"/>
      <c r="Q44" s="100"/>
      <c r="R44" s="100"/>
      <c r="S44" s="100"/>
      <c r="T44" s="100"/>
      <c r="U44" s="100"/>
      <c r="V44" s="100"/>
      <c r="W44" s="100"/>
      <c r="X44" s="100"/>
      <c r="Y44" s="100"/>
      <c r="Z44" s="100"/>
      <c r="AA44" s="100"/>
    </row>
    <row r="45" spans="2:27" ht="18" thickBot="1" x14ac:dyDescent="0.45">
      <c r="B45" s="100" t="s">
        <v>101</v>
      </c>
      <c r="C45" s="101">
        <v>226.79</v>
      </c>
      <c r="D45" s="100"/>
      <c r="E45" s="100" t="s">
        <v>135</v>
      </c>
      <c r="F45" s="101">
        <v>793.14</v>
      </c>
      <c r="G45" s="100"/>
      <c r="H45" s="100"/>
      <c r="I45" s="100"/>
      <c r="J45" s="100"/>
      <c r="K45" s="100"/>
      <c r="L45" s="100"/>
      <c r="M45" s="100"/>
      <c r="N45" s="100"/>
      <c r="O45" s="100"/>
      <c r="P45" s="100"/>
      <c r="Q45" s="100"/>
      <c r="R45" s="100"/>
      <c r="S45" s="100"/>
      <c r="T45" s="100"/>
      <c r="U45" s="100"/>
      <c r="V45" s="100"/>
      <c r="W45" s="100"/>
      <c r="X45" s="100"/>
      <c r="Y45" s="100"/>
      <c r="Z45" s="100"/>
      <c r="AA45" s="100"/>
    </row>
    <row r="46" spans="2:27" ht="18" thickBot="1" x14ac:dyDescent="0.45">
      <c r="B46" s="100" t="s">
        <v>108</v>
      </c>
      <c r="C46" s="101">
        <v>227.52</v>
      </c>
      <c r="D46" s="100"/>
      <c r="E46" s="100" t="s">
        <v>135</v>
      </c>
      <c r="F46" s="101">
        <v>793.14</v>
      </c>
      <c r="G46" s="100"/>
      <c r="H46" s="100"/>
      <c r="I46" s="100"/>
      <c r="J46" s="100"/>
      <c r="K46" s="100"/>
      <c r="L46" s="100"/>
      <c r="M46" s="100"/>
      <c r="N46" s="100"/>
      <c r="O46" s="100"/>
      <c r="P46" s="100"/>
      <c r="Q46" s="100"/>
      <c r="R46" s="100"/>
      <c r="S46" s="100"/>
      <c r="T46" s="100"/>
      <c r="U46" s="100"/>
      <c r="V46" s="100"/>
      <c r="W46" s="100"/>
      <c r="X46" s="100"/>
      <c r="Y46" s="100"/>
      <c r="Z46" s="100"/>
      <c r="AA46" s="100"/>
    </row>
    <row r="47" spans="2:27" ht="18" thickBot="1" x14ac:dyDescent="0.45">
      <c r="B47" s="100" t="s">
        <v>109</v>
      </c>
      <c r="C47" s="101">
        <v>422.91</v>
      </c>
      <c r="D47" s="100"/>
      <c r="E47" s="100" t="s">
        <v>135</v>
      </c>
      <c r="F47" s="101">
        <v>793.14</v>
      </c>
      <c r="G47" s="100"/>
      <c r="H47" s="100"/>
      <c r="I47" s="100"/>
      <c r="J47" s="100"/>
      <c r="K47" s="100"/>
      <c r="L47" s="100"/>
      <c r="M47" s="100"/>
      <c r="N47" s="100"/>
      <c r="O47" s="100"/>
      <c r="P47" s="100"/>
      <c r="Q47" s="100"/>
      <c r="R47" s="100"/>
      <c r="S47" s="100"/>
      <c r="T47" s="100"/>
      <c r="U47" s="100"/>
      <c r="V47" s="100"/>
      <c r="W47" s="100"/>
      <c r="X47" s="100"/>
      <c r="Y47" s="100"/>
      <c r="Z47" s="100"/>
      <c r="AA47" s="100"/>
    </row>
    <row r="48" spans="2:27" ht="18" thickBot="1" x14ac:dyDescent="0.45">
      <c r="B48" s="100" t="s">
        <v>91</v>
      </c>
      <c r="C48" s="101">
        <v>153.57</v>
      </c>
      <c r="D48" s="100"/>
      <c r="E48" s="100" t="s">
        <v>135</v>
      </c>
      <c r="F48" s="101">
        <v>793.14</v>
      </c>
      <c r="G48" s="100"/>
      <c r="H48" s="100"/>
      <c r="I48" s="100"/>
      <c r="J48" s="100"/>
      <c r="K48" s="100"/>
      <c r="L48" s="100"/>
      <c r="M48" s="100"/>
      <c r="N48" s="100"/>
      <c r="O48" s="100"/>
      <c r="P48" s="100"/>
      <c r="Q48" s="100"/>
      <c r="R48" s="100"/>
      <c r="S48" s="100"/>
      <c r="T48" s="100"/>
      <c r="U48" s="100"/>
      <c r="V48" s="100"/>
      <c r="W48" s="100"/>
      <c r="X48" s="100"/>
      <c r="Y48" s="100"/>
      <c r="Z48" s="100"/>
      <c r="AA48" s="100"/>
    </row>
    <row r="49" spans="2:27" ht="18" thickBot="1" x14ac:dyDescent="0.45">
      <c r="B49" s="100" t="s">
        <v>110</v>
      </c>
      <c r="C49" s="101">
        <v>68.13</v>
      </c>
      <c r="D49" s="100"/>
      <c r="E49" s="100" t="s">
        <v>135</v>
      </c>
      <c r="F49" s="101">
        <v>793.14</v>
      </c>
      <c r="G49" s="100"/>
      <c r="H49" s="100"/>
      <c r="I49" s="100"/>
      <c r="J49" s="100"/>
      <c r="K49" s="100"/>
      <c r="L49" s="100"/>
      <c r="M49" s="100"/>
      <c r="N49" s="100"/>
      <c r="O49" s="100"/>
      <c r="P49" s="100"/>
      <c r="Q49" s="100"/>
      <c r="R49" s="100"/>
      <c r="S49" s="100"/>
      <c r="T49" s="100"/>
      <c r="U49" s="100"/>
      <c r="V49" s="100"/>
      <c r="W49" s="100"/>
      <c r="X49" s="100"/>
      <c r="Y49" s="100"/>
      <c r="Z49" s="100"/>
      <c r="AA49" s="100"/>
    </row>
    <row r="50" spans="2:27" ht="18" thickBot="1" x14ac:dyDescent="0.45">
      <c r="B50" s="100" t="s">
        <v>111</v>
      </c>
      <c r="C50" s="101">
        <v>67.819999999999993</v>
      </c>
      <c r="D50" s="100"/>
      <c r="E50" s="100" t="s">
        <v>135</v>
      </c>
      <c r="F50" s="101">
        <v>793.14</v>
      </c>
      <c r="G50" s="100"/>
      <c r="H50" s="100"/>
      <c r="I50" s="100"/>
      <c r="J50" s="100"/>
      <c r="K50" s="100"/>
      <c r="L50" s="100"/>
      <c r="M50" s="100"/>
      <c r="N50" s="100"/>
      <c r="O50" s="100"/>
      <c r="P50" s="100"/>
      <c r="Q50" s="100"/>
      <c r="R50" s="100"/>
      <c r="S50" s="100"/>
      <c r="T50" s="100"/>
      <c r="U50" s="100"/>
      <c r="V50" s="100"/>
      <c r="W50" s="100"/>
      <c r="X50" s="100"/>
      <c r="Y50" s="100"/>
      <c r="Z50" s="100"/>
      <c r="AA50" s="100"/>
    </row>
    <row r="51" spans="2:27" ht="18" thickBot="1" x14ac:dyDescent="0.45">
      <c r="B51" s="100" t="s">
        <v>112</v>
      </c>
      <c r="C51" s="101">
        <v>23.83</v>
      </c>
      <c r="D51" s="100"/>
      <c r="E51" s="100" t="s">
        <v>135</v>
      </c>
      <c r="F51" s="101">
        <v>793.14</v>
      </c>
      <c r="G51" s="100"/>
      <c r="H51" s="100"/>
      <c r="I51" s="100"/>
      <c r="J51" s="100"/>
      <c r="K51" s="100"/>
      <c r="L51" s="100"/>
      <c r="M51" s="100"/>
      <c r="N51" s="100"/>
      <c r="O51" s="100"/>
      <c r="P51" s="100"/>
      <c r="Q51" s="100"/>
      <c r="R51" s="100"/>
      <c r="S51" s="100"/>
      <c r="T51" s="100"/>
      <c r="U51" s="100"/>
      <c r="V51" s="100"/>
      <c r="W51" s="100"/>
      <c r="X51" s="100"/>
      <c r="Y51" s="100"/>
      <c r="Z51" s="100"/>
      <c r="AA51" s="100"/>
    </row>
    <row r="52" spans="2:27" ht="18" thickBot="1" x14ac:dyDescent="0.45">
      <c r="B52" s="100" t="s">
        <v>113</v>
      </c>
      <c r="C52" s="101">
        <v>769.58</v>
      </c>
      <c r="D52" s="100"/>
      <c r="E52" s="100" t="s">
        <v>135</v>
      </c>
      <c r="F52" s="101">
        <v>793.14</v>
      </c>
      <c r="G52" s="100"/>
      <c r="H52" s="100"/>
      <c r="I52" s="100"/>
      <c r="J52" s="100"/>
      <c r="K52" s="100"/>
      <c r="L52" s="100"/>
      <c r="M52" s="100"/>
      <c r="N52" s="100"/>
      <c r="O52" s="100"/>
      <c r="P52" s="100"/>
      <c r="Q52" s="100"/>
      <c r="R52" s="100"/>
      <c r="S52" s="100"/>
      <c r="T52" s="100"/>
      <c r="U52" s="100"/>
      <c r="V52" s="100"/>
      <c r="W52" s="100"/>
      <c r="X52" s="100"/>
      <c r="Y52" s="100"/>
      <c r="Z52" s="100"/>
      <c r="AA52" s="100"/>
    </row>
    <row r="53" spans="2:27" ht="18" thickBot="1" x14ac:dyDescent="0.45">
      <c r="B53" s="100" t="s">
        <v>114</v>
      </c>
      <c r="C53" s="101">
        <v>413.23</v>
      </c>
      <c r="D53" s="100"/>
      <c r="E53" s="100" t="s">
        <v>135</v>
      </c>
      <c r="F53" s="101">
        <v>793.14</v>
      </c>
      <c r="G53" s="100"/>
      <c r="H53" s="100"/>
      <c r="I53" s="100"/>
      <c r="J53" s="100"/>
      <c r="K53" s="100"/>
      <c r="L53" s="100"/>
      <c r="M53" s="100"/>
      <c r="N53" s="100"/>
      <c r="O53" s="100"/>
      <c r="P53" s="100"/>
      <c r="Q53" s="100"/>
      <c r="R53" s="100"/>
      <c r="S53" s="100"/>
      <c r="T53" s="100"/>
      <c r="U53" s="100"/>
      <c r="V53" s="100"/>
      <c r="W53" s="100"/>
      <c r="X53" s="100"/>
      <c r="Y53" s="100"/>
      <c r="Z53" s="100"/>
      <c r="AA53" s="100"/>
    </row>
    <row r="54" spans="2:27" ht="18" thickBot="1" x14ac:dyDescent="0.45">
      <c r="B54" s="100" t="s">
        <v>115</v>
      </c>
      <c r="C54" s="101">
        <v>211.7</v>
      </c>
      <c r="D54" s="100"/>
      <c r="E54" s="100" t="s">
        <v>135</v>
      </c>
      <c r="F54" s="101">
        <v>793.14</v>
      </c>
      <c r="G54" s="100"/>
      <c r="H54" s="100"/>
      <c r="I54" s="100"/>
      <c r="J54" s="100"/>
      <c r="K54" s="100"/>
      <c r="L54" s="100"/>
      <c r="M54" s="100"/>
      <c r="N54" s="100"/>
      <c r="O54" s="100"/>
      <c r="P54" s="100"/>
      <c r="Q54" s="100"/>
      <c r="R54" s="100"/>
      <c r="S54" s="100"/>
      <c r="T54" s="100"/>
      <c r="U54" s="100"/>
      <c r="V54" s="100"/>
      <c r="W54" s="100"/>
      <c r="X54" s="100"/>
      <c r="Y54" s="100"/>
      <c r="Z54" s="100"/>
      <c r="AA54" s="100"/>
    </row>
    <row r="55" spans="2:27" ht="18" thickBot="1" x14ac:dyDescent="0.45">
      <c r="B55" s="100" t="s">
        <v>116</v>
      </c>
      <c r="C55" s="101">
        <v>24.77</v>
      </c>
      <c r="D55" s="100"/>
      <c r="E55" s="100" t="s">
        <v>135</v>
      </c>
      <c r="F55" s="101">
        <v>793.14</v>
      </c>
      <c r="G55" s="100"/>
      <c r="H55" s="100"/>
      <c r="I55" s="100"/>
      <c r="J55" s="100"/>
      <c r="K55" s="100"/>
      <c r="L55" s="100"/>
      <c r="M55" s="100"/>
      <c r="N55" s="100"/>
      <c r="O55" s="100"/>
      <c r="P55" s="100"/>
      <c r="Q55" s="100"/>
      <c r="R55" s="100"/>
      <c r="S55" s="100"/>
      <c r="T55" s="100"/>
      <c r="U55" s="100"/>
      <c r="V55" s="100"/>
      <c r="W55" s="100"/>
      <c r="X55" s="100"/>
      <c r="Y55" s="100"/>
      <c r="Z55" s="100"/>
      <c r="AA55" s="100"/>
    </row>
    <row r="56" spans="2:27" ht="18" thickBot="1" x14ac:dyDescent="0.45">
      <c r="B56" s="100" t="s">
        <v>117</v>
      </c>
      <c r="C56" s="101">
        <v>256.88</v>
      </c>
      <c r="D56" s="100"/>
      <c r="E56" s="100" t="s">
        <v>135</v>
      </c>
      <c r="F56" s="101">
        <v>793.14</v>
      </c>
      <c r="G56" s="100"/>
      <c r="H56" s="100"/>
      <c r="I56" s="100"/>
      <c r="J56" s="100"/>
      <c r="K56" s="100"/>
      <c r="L56" s="100"/>
      <c r="M56" s="100"/>
      <c r="N56" s="100"/>
      <c r="O56" s="100"/>
      <c r="P56" s="100"/>
      <c r="Q56" s="100"/>
      <c r="R56" s="100"/>
      <c r="S56" s="100"/>
      <c r="T56" s="100"/>
      <c r="U56" s="100"/>
      <c r="V56" s="100"/>
      <c r="W56" s="100"/>
      <c r="X56" s="100"/>
      <c r="Y56" s="100"/>
      <c r="Z56" s="100"/>
      <c r="AA56" s="100"/>
    </row>
    <row r="57" spans="2:27" ht="18" thickBot="1" x14ac:dyDescent="0.45">
      <c r="B57" s="100" t="s">
        <v>118</v>
      </c>
      <c r="C57" s="101">
        <v>175.79</v>
      </c>
      <c r="D57" s="100"/>
      <c r="E57" s="100" t="s">
        <v>135</v>
      </c>
      <c r="F57" s="101">
        <v>793.14</v>
      </c>
      <c r="G57" s="100"/>
      <c r="H57" s="100"/>
      <c r="I57" s="100"/>
      <c r="J57" s="100"/>
      <c r="K57" s="100"/>
      <c r="L57" s="100"/>
      <c r="M57" s="100"/>
      <c r="N57" s="100"/>
      <c r="O57" s="100"/>
      <c r="P57" s="100"/>
      <c r="Q57" s="100"/>
      <c r="R57" s="100"/>
      <c r="S57" s="100"/>
      <c r="T57" s="100"/>
      <c r="U57" s="100"/>
      <c r="V57" s="100"/>
      <c r="W57" s="100"/>
      <c r="X57" s="100"/>
      <c r="Y57" s="100"/>
      <c r="Z57" s="100"/>
      <c r="AA57" s="100"/>
    </row>
    <row r="58" spans="2:27" ht="18" thickBot="1" x14ac:dyDescent="0.45">
      <c r="B58" s="100" t="s">
        <v>119</v>
      </c>
      <c r="C58" s="101">
        <v>300.54000000000002</v>
      </c>
      <c r="D58" s="100"/>
      <c r="E58" s="100" t="s">
        <v>135</v>
      </c>
      <c r="F58" s="101">
        <v>793.14</v>
      </c>
      <c r="G58" s="100"/>
      <c r="H58" s="100"/>
      <c r="I58" s="100"/>
      <c r="J58" s="100"/>
      <c r="K58" s="100"/>
      <c r="L58" s="100"/>
      <c r="M58" s="100"/>
      <c r="N58" s="100"/>
      <c r="O58" s="100"/>
      <c r="P58" s="100"/>
      <c r="Q58" s="100"/>
      <c r="R58" s="100"/>
      <c r="S58" s="100"/>
      <c r="T58" s="100"/>
      <c r="U58" s="100"/>
      <c r="V58" s="100"/>
      <c r="W58" s="100"/>
      <c r="X58" s="100"/>
      <c r="Y58" s="100"/>
      <c r="Z58" s="100"/>
      <c r="AA58" s="100"/>
    </row>
    <row r="59" spans="2:27" ht="18" thickBot="1" x14ac:dyDescent="0.45">
      <c r="B59" s="100" t="s">
        <v>120</v>
      </c>
      <c r="C59" s="101">
        <v>305.94</v>
      </c>
      <c r="D59" s="100"/>
      <c r="E59" s="100" t="s">
        <v>135</v>
      </c>
      <c r="F59" s="101">
        <v>793.14</v>
      </c>
      <c r="G59" s="100"/>
      <c r="H59" s="100"/>
      <c r="I59" s="100"/>
      <c r="J59" s="100"/>
      <c r="K59" s="100"/>
      <c r="L59" s="100"/>
      <c r="M59" s="100"/>
      <c r="N59" s="100"/>
      <c r="O59" s="100"/>
      <c r="P59" s="100"/>
      <c r="Q59" s="100"/>
      <c r="R59" s="100"/>
      <c r="S59" s="100"/>
      <c r="T59" s="100"/>
      <c r="U59" s="100"/>
      <c r="V59" s="100"/>
      <c r="W59" s="100"/>
      <c r="X59" s="100"/>
      <c r="Y59" s="100"/>
      <c r="Z59" s="100"/>
      <c r="AA59" s="100"/>
    </row>
    <row r="60" spans="2:27" ht="18" thickBot="1" x14ac:dyDescent="0.45">
      <c r="B60" s="100" t="s">
        <v>121</v>
      </c>
      <c r="C60" s="101">
        <v>84.03</v>
      </c>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row>
    <row r="61" spans="2:27" ht="18" thickBot="1" x14ac:dyDescent="0.45">
      <c r="B61" s="100" t="s">
        <v>100</v>
      </c>
      <c r="C61" s="101">
        <v>500.37</v>
      </c>
      <c r="D61" s="101">
        <v>3719333735495</v>
      </c>
      <c r="E61" s="100"/>
      <c r="F61" s="100"/>
      <c r="G61" s="100"/>
      <c r="H61" s="100"/>
      <c r="I61" s="100"/>
      <c r="J61" s="100"/>
      <c r="K61" s="100"/>
      <c r="L61" s="100"/>
      <c r="M61" s="100"/>
      <c r="N61" s="100"/>
      <c r="O61" s="100"/>
      <c r="P61" s="100"/>
      <c r="Q61" s="100"/>
      <c r="R61" s="100"/>
      <c r="S61" s="100"/>
      <c r="T61" s="100"/>
      <c r="U61" s="100"/>
      <c r="V61" s="100"/>
      <c r="W61" s="100"/>
      <c r="X61" s="100"/>
      <c r="Y61" s="100"/>
      <c r="Z61" s="100"/>
      <c r="AA61" s="100"/>
    </row>
    <row r="62" spans="2:27" ht="18" thickBot="1" x14ac:dyDescent="0.45">
      <c r="B62" s="100" t="s">
        <v>122</v>
      </c>
      <c r="C62" s="101">
        <v>74.25</v>
      </c>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row>
    <row r="63" spans="2:27" ht="18" thickBot="1" x14ac:dyDescent="0.45">
      <c r="B63" s="100" t="s">
        <v>123</v>
      </c>
      <c r="C63" s="101">
        <v>157.35</v>
      </c>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row>
    <row r="64" spans="2:27" ht="18" thickBot="1" x14ac:dyDescent="0.45">
      <c r="B64" s="100" t="s">
        <v>124</v>
      </c>
      <c r="C64" s="101">
        <v>242.57</v>
      </c>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row>
    <row r="65" spans="2:27" ht="18" thickBot="1" x14ac:dyDescent="0.45">
      <c r="B65" s="100" t="s">
        <v>125</v>
      </c>
      <c r="C65" s="101">
        <v>272.33</v>
      </c>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row>
    <row r="66" spans="2:27" ht="18" thickBot="1" x14ac:dyDescent="0.45">
      <c r="B66" s="100" t="s">
        <v>126</v>
      </c>
      <c r="C66" s="101">
        <v>346.78</v>
      </c>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row>
    <row r="67" spans="2:27" ht="18" thickBot="1" x14ac:dyDescent="0.45">
      <c r="B67" s="100" t="s">
        <v>86</v>
      </c>
      <c r="C67" s="101">
        <v>43.49</v>
      </c>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row>
    <row r="68" spans="2:27" ht="18" thickBot="1" x14ac:dyDescent="0.45">
      <c r="B68" s="100" t="s">
        <v>127</v>
      </c>
      <c r="C68" s="101">
        <v>338.12</v>
      </c>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row>
    <row r="69" spans="2:27" ht="18" thickBot="1" x14ac:dyDescent="0.45">
      <c r="B69" s="100" t="s">
        <v>128</v>
      </c>
      <c r="C69" s="101">
        <v>222</v>
      </c>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row>
    <row r="70" spans="2:27" ht="18" thickBot="1" x14ac:dyDescent="0.45">
      <c r="B70" s="100" t="s">
        <v>129</v>
      </c>
      <c r="C70" s="101">
        <v>100.41</v>
      </c>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row>
    <row r="71" spans="2:27" ht="18" thickBot="1" x14ac:dyDescent="0.45">
      <c r="B71" s="100" t="s">
        <v>130</v>
      </c>
      <c r="C71" s="101">
        <v>115.79</v>
      </c>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row>
    <row r="72" spans="2:27" ht="18" thickBot="1" x14ac:dyDescent="0.45">
      <c r="B72" s="100" t="s">
        <v>158</v>
      </c>
      <c r="C72" s="101">
        <v>24301183149</v>
      </c>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row>
    <row r="73" spans="2:27" ht="18" thickBot="1" x14ac:dyDescent="0.45">
      <c r="B73" s="100" t="s">
        <v>159</v>
      </c>
      <c r="C73" s="101">
        <v>54.7</v>
      </c>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row>
    <row r="74" spans="2:27" ht="18" thickBot="1" x14ac:dyDescent="0.45">
      <c r="B74" s="100" t="s">
        <v>164</v>
      </c>
      <c r="C74" s="101">
        <v>530184777174</v>
      </c>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row>
    <row r="75" spans="2:27" ht="18" thickBot="1" x14ac:dyDescent="0.45">
      <c r="B75" s="100" t="s">
        <v>165</v>
      </c>
      <c r="C75" s="101">
        <v>65.64</v>
      </c>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row>
    <row r="76" spans="2:27" ht="18" thickBot="1" x14ac:dyDescent="0.45">
      <c r="B76" s="100" t="s">
        <v>64</v>
      </c>
      <c r="C76" s="101">
        <v>2456448739828</v>
      </c>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row>
    <row r="77" spans="2:27" ht="18" thickBot="1" x14ac:dyDescent="0.45">
      <c r="B77" s="100" t="s">
        <v>31</v>
      </c>
      <c r="C77" s="101">
        <v>347.79</v>
      </c>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row>
    <row r="78" spans="2:27" ht="18" thickBot="1" x14ac:dyDescent="0.45">
      <c r="B78" s="100" t="s">
        <v>147</v>
      </c>
      <c r="C78" s="101">
        <v>82.88</v>
      </c>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row>
    <row r="79" spans="2:27" ht="18" thickBot="1" x14ac:dyDescent="0.45">
      <c r="B79" s="100" t="s">
        <v>105</v>
      </c>
      <c r="C79" s="101">
        <v>153.57</v>
      </c>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row>
    <row r="80" spans="2:27" ht="18" thickBot="1" x14ac:dyDescent="0.45">
      <c r="B80" s="100" t="s">
        <v>168</v>
      </c>
      <c r="C80" s="101">
        <v>24.01</v>
      </c>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row>
    <row r="81" spans="2:27" ht="18" thickBot="1" x14ac:dyDescent="0.45">
      <c r="B81" s="100" t="s">
        <v>169</v>
      </c>
      <c r="C81" s="101">
        <v>350.16</v>
      </c>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row>
    <row r="82" spans="2:27" ht="18" thickBot="1" x14ac:dyDescent="0.45">
      <c r="B82" s="100" t="s">
        <v>170</v>
      </c>
      <c r="C82" s="103" t="e">
        <v>#N/A</v>
      </c>
      <c r="D82" s="100"/>
      <c r="E82" s="103" t="e">
        <v>#N/A</v>
      </c>
      <c r="F82" s="100"/>
      <c r="G82" s="100"/>
      <c r="H82" s="100"/>
      <c r="I82" s="100"/>
      <c r="J82" s="100"/>
      <c r="K82" s="100"/>
      <c r="L82" s="100"/>
      <c r="M82" s="100"/>
      <c r="N82" s="100"/>
      <c r="O82" s="100"/>
      <c r="P82" s="100"/>
      <c r="Q82" s="100"/>
      <c r="R82" s="100"/>
      <c r="S82" s="100"/>
      <c r="T82" s="100"/>
      <c r="U82" s="100"/>
      <c r="V82" s="100"/>
      <c r="W82" s="100"/>
      <c r="X82" s="100"/>
      <c r="Y82" s="100"/>
      <c r="Z82" s="100"/>
      <c r="AA82" s="100"/>
    </row>
    <row r="83" spans="2:27" ht="18" thickBot="1" x14ac:dyDescent="0.45">
      <c r="B83" s="100" t="s">
        <v>171</v>
      </c>
      <c r="C83" s="101">
        <v>76.61</v>
      </c>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row>
    <row r="84" spans="2:27" ht="18" thickBot="1" x14ac:dyDescent="0.45">
      <c r="B84" s="100" t="s">
        <v>175</v>
      </c>
      <c r="C84" s="101">
        <v>12.54</v>
      </c>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row>
    <row r="85" spans="2:27" ht="18" thickBot="1" x14ac:dyDescent="0.45">
      <c r="B85" s="100" t="s">
        <v>174</v>
      </c>
      <c r="C85" s="101">
        <v>113337321840</v>
      </c>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row>
    <row r="86" spans="2:27" ht="18" thickBot="1" x14ac:dyDescent="0.45">
      <c r="B86" s="100" t="s">
        <v>173</v>
      </c>
      <c r="C86" s="101">
        <v>15296025312</v>
      </c>
      <c r="D86" s="100"/>
      <c r="E86" s="100"/>
      <c r="F86" s="100" t="s">
        <v>180</v>
      </c>
      <c r="G86" s="102">
        <v>1.1689343999999999</v>
      </c>
      <c r="H86" s="100"/>
      <c r="I86" s="100"/>
      <c r="J86" s="100"/>
      <c r="K86" s="100"/>
      <c r="L86" s="100"/>
      <c r="M86" s="100"/>
      <c r="N86" s="100"/>
      <c r="O86" s="100"/>
      <c r="P86" s="100"/>
      <c r="Q86" s="100"/>
      <c r="R86" s="100"/>
      <c r="S86" s="100"/>
      <c r="T86" s="100"/>
      <c r="U86" s="100"/>
      <c r="V86" s="100"/>
      <c r="W86" s="100"/>
      <c r="X86" s="100"/>
      <c r="Y86" s="100"/>
      <c r="Z86" s="100"/>
      <c r="AA86" s="100"/>
    </row>
    <row r="87" spans="2:27" ht="18" thickBot="1" x14ac:dyDescent="0.45">
      <c r="B87" s="100" t="s">
        <v>177</v>
      </c>
      <c r="C87" s="101">
        <v>751.98</v>
      </c>
      <c r="D87" s="100"/>
      <c r="E87" s="100"/>
      <c r="F87" s="106" t="s">
        <v>181</v>
      </c>
      <c r="G87" s="102">
        <v>1.6225149999999999</v>
      </c>
      <c r="H87" s="100"/>
      <c r="I87" s="100"/>
      <c r="J87" s="100"/>
      <c r="K87" s="100"/>
      <c r="L87" s="100"/>
      <c r="M87" s="100"/>
      <c r="N87" s="100"/>
      <c r="O87" s="100"/>
      <c r="P87" s="100"/>
      <c r="Q87" s="100"/>
      <c r="R87" s="100"/>
      <c r="S87" s="100"/>
      <c r="T87" s="100"/>
      <c r="U87" s="100"/>
      <c r="V87" s="100"/>
      <c r="W87" s="100"/>
      <c r="X87" s="100"/>
      <c r="Y87" s="100"/>
      <c r="Z87" s="100"/>
      <c r="AA87" s="100"/>
    </row>
    <row r="88" spans="2:27" ht="18" thickBot="1" x14ac:dyDescent="0.45">
      <c r="B88" s="100" t="s">
        <v>178</v>
      </c>
      <c r="C88" s="103" t="e">
        <v>#N/A</v>
      </c>
      <c r="D88" s="100"/>
      <c r="E88" s="107"/>
      <c r="F88" s="108" t="s">
        <v>182</v>
      </c>
      <c r="G88" s="102">
        <v>9.1021099999999997</v>
      </c>
      <c r="H88" s="100"/>
      <c r="I88" s="100"/>
      <c r="J88" s="100"/>
      <c r="K88" s="100"/>
      <c r="L88" s="100"/>
      <c r="M88" s="100"/>
      <c r="N88" s="100"/>
      <c r="O88" s="100"/>
      <c r="P88" s="100"/>
      <c r="Q88" s="100"/>
      <c r="R88" s="100"/>
      <c r="S88" s="100"/>
      <c r="T88" s="100"/>
      <c r="U88" s="100"/>
      <c r="V88" s="100"/>
      <c r="W88" s="100"/>
      <c r="X88" s="100"/>
      <c r="Y88" s="100"/>
      <c r="Z88" s="100"/>
      <c r="AA88" s="100"/>
    </row>
    <row r="89" spans="2:27" ht="18" thickBot="1" x14ac:dyDescent="0.45">
      <c r="B89" s="100" t="s">
        <v>179</v>
      </c>
      <c r="C89" s="101">
        <v>28.68</v>
      </c>
      <c r="D89" s="100"/>
      <c r="E89" s="107"/>
      <c r="F89" s="108" t="s">
        <v>183</v>
      </c>
      <c r="G89" s="102">
        <v>99.712299999999999</v>
      </c>
      <c r="H89" s="100"/>
      <c r="I89" s="100"/>
      <c r="J89" s="100"/>
      <c r="K89" s="100"/>
      <c r="L89" s="100"/>
      <c r="M89" s="100"/>
      <c r="N89" s="100"/>
      <c r="O89" s="100"/>
      <c r="P89" s="100"/>
      <c r="Q89" s="100"/>
      <c r="R89" s="100"/>
      <c r="S89" s="100"/>
      <c r="T89" s="100"/>
      <c r="U89" s="100"/>
      <c r="V89" s="100"/>
      <c r="W89" s="100"/>
      <c r="X89" s="100"/>
      <c r="Y89" s="100"/>
      <c r="Z89" s="100"/>
      <c r="AA89" s="100"/>
    </row>
    <row r="90" spans="2:27" ht="18" thickBot="1" x14ac:dyDescent="0.45">
      <c r="B90" s="100" t="s">
        <v>187</v>
      </c>
      <c r="C90" s="101">
        <v>86151355405</v>
      </c>
      <c r="D90" s="100"/>
      <c r="E90" s="107"/>
      <c r="F90" s="108" t="s">
        <v>184</v>
      </c>
      <c r="G90" s="102">
        <v>0.86495500000000003</v>
      </c>
      <c r="H90" s="100"/>
      <c r="I90" s="100"/>
      <c r="J90" s="100"/>
      <c r="K90" s="100"/>
      <c r="L90" s="100"/>
      <c r="M90" s="100"/>
      <c r="N90" s="100"/>
      <c r="O90" s="100"/>
      <c r="P90" s="100"/>
      <c r="Q90" s="100"/>
      <c r="R90" s="100"/>
      <c r="S90" s="100"/>
      <c r="T90" s="100"/>
      <c r="U90" s="100"/>
      <c r="V90" s="100"/>
      <c r="W90" s="100"/>
      <c r="X90" s="100"/>
      <c r="Y90" s="100"/>
      <c r="Z90" s="100"/>
      <c r="AA90" s="100"/>
    </row>
    <row r="91" spans="2:27" ht="18" thickBot="1" x14ac:dyDescent="0.45">
      <c r="B91" s="100" t="s">
        <v>188</v>
      </c>
      <c r="C91" s="101">
        <v>29505324871</v>
      </c>
      <c r="D91" s="100"/>
      <c r="E91" s="109">
        <v>61.41</v>
      </c>
      <c r="F91" s="108" t="s">
        <v>185</v>
      </c>
      <c r="G91" s="102">
        <v>0.73998431200000003</v>
      </c>
      <c r="H91" s="100"/>
      <c r="I91" s="100"/>
      <c r="J91" s="100"/>
      <c r="K91" s="100"/>
      <c r="L91" s="100"/>
      <c r="M91" s="100"/>
      <c r="N91" s="100"/>
      <c r="O91" s="100"/>
      <c r="P91" s="100"/>
      <c r="Q91" s="100"/>
      <c r="R91" s="100"/>
      <c r="S91" s="100"/>
      <c r="T91" s="100"/>
      <c r="U91" s="100"/>
      <c r="V91" s="100"/>
      <c r="W91" s="100"/>
      <c r="X91" s="100"/>
      <c r="Y91" s="100"/>
      <c r="Z91" s="100"/>
      <c r="AA91" s="100"/>
    </row>
    <row r="92" spans="2:27" ht="18" thickBot="1" x14ac:dyDescent="0.45">
      <c r="B92" s="100" t="s">
        <v>199</v>
      </c>
      <c r="C92" s="101">
        <v>68.5</v>
      </c>
      <c r="D92" s="100"/>
      <c r="E92" s="100"/>
      <c r="F92" s="100" t="s">
        <v>186</v>
      </c>
      <c r="G92" s="102">
        <v>1.51292797</v>
      </c>
      <c r="H92" s="100"/>
      <c r="I92" s="100"/>
      <c r="J92" s="100"/>
      <c r="K92" s="100"/>
      <c r="L92" s="100"/>
      <c r="M92" s="100"/>
      <c r="N92" s="100"/>
      <c r="O92" s="100"/>
      <c r="P92" s="100"/>
      <c r="Q92" s="100"/>
      <c r="R92" s="100"/>
      <c r="S92" s="100"/>
      <c r="T92" s="100"/>
      <c r="U92" s="100"/>
      <c r="V92" s="100"/>
      <c r="W92" s="100"/>
      <c r="X92" s="100"/>
      <c r="Y92" s="100"/>
      <c r="Z92" s="100"/>
      <c r="AA92" s="100"/>
    </row>
    <row r="93" spans="2:27" ht="18" thickBot="1" x14ac:dyDescent="0.45">
      <c r="B93" s="100" t="s">
        <v>122</v>
      </c>
      <c r="C93" s="101">
        <v>74.25</v>
      </c>
      <c r="D93" s="100"/>
      <c r="E93" s="100"/>
      <c r="F93" s="100" t="s">
        <v>200</v>
      </c>
      <c r="G93" s="100"/>
      <c r="H93" s="100"/>
      <c r="I93" s="100"/>
      <c r="J93" s="100"/>
      <c r="K93" s="100"/>
      <c r="L93" s="100"/>
      <c r="M93" s="100"/>
      <c r="N93" s="100"/>
      <c r="O93" s="100"/>
      <c r="P93" s="100"/>
      <c r="Q93" s="100"/>
      <c r="R93" s="100"/>
      <c r="S93" s="100"/>
      <c r="T93" s="100"/>
      <c r="U93" s="100"/>
      <c r="V93" s="100"/>
      <c r="W93" s="100"/>
      <c r="X93" s="100"/>
      <c r="Y93" s="100"/>
      <c r="Z93" s="100"/>
      <c r="AA93" s="100"/>
    </row>
    <row r="94" spans="2:27" ht="18" thickBot="1" x14ac:dyDescent="0.45">
      <c r="B94" s="100" t="s">
        <v>195</v>
      </c>
      <c r="C94" s="101">
        <v>38.5</v>
      </c>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row>
    <row r="95" spans="2:27" ht="18" thickBot="1" x14ac:dyDescent="0.45">
      <c r="B95" s="100" t="s">
        <v>196</v>
      </c>
      <c r="C95" s="101">
        <v>27.5</v>
      </c>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row>
    <row r="96" spans="2:27" ht="18" thickBot="1" x14ac:dyDescent="0.45">
      <c r="B96" s="100" t="s">
        <v>201</v>
      </c>
      <c r="C96" s="101">
        <v>12.76</v>
      </c>
      <c r="D96" s="100"/>
      <c r="E96" s="101">
        <v>425823622293</v>
      </c>
      <c r="F96" s="100"/>
      <c r="G96" s="100"/>
      <c r="H96" s="100"/>
      <c r="I96" s="100"/>
      <c r="J96" s="100"/>
      <c r="K96" s="100"/>
      <c r="L96" s="100"/>
      <c r="M96" s="100"/>
      <c r="N96" s="100"/>
      <c r="O96" s="100"/>
      <c r="P96" s="100"/>
      <c r="Q96" s="100"/>
      <c r="R96" s="100"/>
      <c r="S96" s="100"/>
      <c r="T96" s="100"/>
      <c r="U96" s="100"/>
      <c r="V96" s="100"/>
      <c r="W96" s="100"/>
      <c r="X96" s="100"/>
      <c r="Y96" s="100"/>
      <c r="Z96" s="100"/>
      <c r="AA96" s="100"/>
    </row>
    <row r="97" spans="2:27" ht="18" thickBot="1" x14ac:dyDescent="0.45">
      <c r="B97" s="100" t="s">
        <v>229</v>
      </c>
      <c r="C97" s="101">
        <v>62.27</v>
      </c>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row>
    <row r="98" spans="2:27" ht="18" thickBot="1" x14ac:dyDescent="0.45">
      <c r="B98" s="100" t="s">
        <v>242</v>
      </c>
      <c r="C98" s="101">
        <v>143.93</v>
      </c>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row>
    <row r="99" spans="2:27" ht="18" thickBot="1" x14ac:dyDescent="0.45">
      <c r="B99" s="100" t="s">
        <v>262</v>
      </c>
      <c r="C99" s="101">
        <v>22.9</v>
      </c>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row>
    <row r="100" spans="2:27" ht="18" thickBot="1" x14ac:dyDescent="0.45">
      <c r="B100" s="100" t="s">
        <v>257</v>
      </c>
      <c r="C100" s="101">
        <v>1997</v>
      </c>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row>
    <row r="101" spans="2:27" ht="18" thickBot="1" x14ac:dyDescent="0.45">
      <c r="B101" s="100" t="s">
        <v>269</v>
      </c>
      <c r="C101" s="101">
        <v>3.88</v>
      </c>
      <c r="D101" s="102">
        <v>1</v>
      </c>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row>
    <row r="102" spans="2:27" ht="18" thickBot="1" x14ac:dyDescent="0.45">
      <c r="B102" s="100" t="s">
        <v>277</v>
      </c>
      <c r="C102" s="101">
        <v>60.2</v>
      </c>
      <c r="D102" s="102">
        <v>2</v>
      </c>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row>
    <row r="103" spans="2:27" ht="18" thickBot="1" x14ac:dyDescent="0.45">
      <c r="B103" s="100" t="s">
        <v>280</v>
      </c>
      <c r="C103" s="101">
        <v>87.5</v>
      </c>
      <c r="D103" s="102">
        <v>3</v>
      </c>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row>
    <row r="104" spans="2:27" ht="18" thickBot="1" x14ac:dyDescent="0.45">
      <c r="B104" s="100" t="s">
        <v>284</v>
      </c>
      <c r="C104" s="101">
        <v>52.1</v>
      </c>
      <c r="D104" s="102">
        <v>4</v>
      </c>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row>
    <row r="105" spans="2:27" ht="18" thickBot="1" x14ac:dyDescent="0.45">
      <c r="B105" s="100" t="s">
        <v>289</v>
      </c>
      <c r="C105" s="101">
        <v>3455</v>
      </c>
      <c r="D105" s="102">
        <v>5</v>
      </c>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row>
    <row r="106" spans="2:27" ht="18" thickBot="1" x14ac:dyDescent="0.45">
      <c r="B106" s="100" t="s">
        <v>295</v>
      </c>
      <c r="C106" s="101">
        <v>6.67</v>
      </c>
      <c r="D106" s="102">
        <v>6</v>
      </c>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row>
    <row r="107" spans="2:27" ht="18" thickBot="1" x14ac:dyDescent="0.45">
      <c r="B107" s="100" t="s">
        <v>300</v>
      </c>
      <c r="C107" s="101">
        <v>24.92</v>
      </c>
      <c r="D107" s="102">
        <v>7</v>
      </c>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row>
    <row r="108" spans="2:27" ht="18" thickBot="1" x14ac:dyDescent="0.45">
      <c r="B108" s="100" t="s">
        <v>318</v>
      </c>
      <c r="C108" s="101">
        <v>6.25</v>
      </c>
      <c r="D108" s="102">
        <v>8</v>
      </c>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row>
    <row r="109" spans="2:27" ht="18" thickBot="1" x14ac:dyDescent="0.45">
      <c r="B109" s="100" t="s">
        <v>382</v>
      </c>
      <c r="C109" s="101">
        <v>11.71</v>
      </c>
      <c r="D109" s="102">
        <v>9</v>
      </c>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row>
    <row r="110" spans="2:27" ht="18" thickBot="1" x14ac:dyDescent="0.45">
      <c r="B110" s="100" t="s">
        <v>308</v>
      </c>
      <c r="C110" s="101">
        <v>11.76</v>
      </c>
      <c r="D110" s="102">
        <v>10</v>
      </c>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row>
    <row r="111" spans="2:27" ht="18" thickBot="1" x14ac:dyDescent="0.45">
      <c r="B111" s="100" t="s">
        <v>383</v>
      </c>
      <c r="C111" s="101">
        <v>10.26</v>
      </c>
      <c r="D111" s="102">
        <v>11</v>
      </c>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row>
    <row r="112" spans="2:27" ht="18" thickBot="1" x14ac:dyDescent="0.45">
      <c r="B112" s="100" t="s">
        <v>310</v>
      </c>
      <c r="C112" s="101">
        <v>5.95</v>
      </c>
      <c r="D112" s="102">
        <v>12</v>
      </c>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row>
    <row r="113" spans="2:27" ht="18" thickBot="1" x14ac:dyDescent="0.45">
      <c r="B113" s="100" t="s">
        <v>89</v>
      </c>
      <c r="C113" s="101">
        <v>57.41</v>
      </c>
      <c r="D113" s="102">
        <v>13</v>
      </c>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row>
    <row r="114" spans="2:27" ht="18" thickBot="1" x14ac:dyDescent="0.45">
      <c r="B114" s="100" t="s">
        <v>311</v>
      </c>
      <c r="C114" s="101">
        <v>33.409999999999997</v>
      </c>
      <c r="D114" s="102">
        <v>14</v>
      </c>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row>
    <row r="115" spans="2:27" ht="18" thickBot="1" x14ac:dyDescent="0.45">
      <c r="B115" s="100" t="s">
        <v>312</v>
      </c>
      <c r="C115" s="101">
        <v>2085</v>
      </c>
      <c r="D115" s="102">
        <v>15</v>
      </c>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row>
    <row r="116" spans="2:27" ht="18" thickBot="1" x14ac:dyDescent="0.45">
      <c r="B116" s="100" t="s">
        <v>179</v>
      </c>
      <c r="C116" s="101">
        <v>28.16</v>
      </c>
      <c r="D116" s="102">
        <v>16</v>
      </c>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row>
    <row r="117" spans="2:27" ht="18" thickBot="1" x14ac:dyDescent="0.45">
      <c r="B117" s="100" t="s">
        <v>384</v>
      </c>
      <c r="C117" s="101">
        <v>23.81</v>
      </c>
      <c r="D117" s="102">
        <v>17</v>
      </c>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row>
    <row r="118" spans="2:27" ht="18" thickBot="1" x14ac:dyDescent="0.45">
      <c r="B118" s="100" t="s">
        <v>315</v>
      </c>
      <c r="C118" s="101">
        <v>48.98</v>
      </c>
      <c r="D118" s="102">
        <v>18</v>
      </c>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row>
    <row r="119" spans="2:27" ht="18" thickBot="1" x14ac:dyDescent="0.45">
      <c r="B119" s="100" t="s">
        <v>316</v>
      </c>
      <c r="C119" s="103" t="e">
        <v>#N/A</v>
      </c>
      <c r="D119" s="102">
        <v>19</v>
      </c>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row>
    <row r="120" spans="2:27" ht="13.5" thickBot="1" x14ac:dyDescent="0.25">
      <c r="B120" s="100"/>
      <c r="C120" s="100"/>
      <c r="D120" s="102">
        <v>20</v>
      </c>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row>
    <row r="121" spans="2:27" ht="13.5" thickBot="1" x14ac:dyDescent="0.25">
      <c r="B121" s="100" t="s">
        <v>406</v>
      </c>
      <c r="C121" s="102">
        <v>112.5</v>
      </c>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row>
    <row r="122" spans="2:27" ht="13.5" thickBot="1" x14ac:dyDescent="0.25">
      <c r="B122" s="100" t="s">
        <v>407</v>
      </c>
      <c r="C122" s="102">
        <v>4309119044494</v>
      </c>
      <c r="D122" s="100"/>
      <c r="E122" s="102">
        <v>4309.119044</v>
      </c>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row>
    <row r="123" spans="2:27" ht="13.5" thickBot="1" x14ac:dyDescent="0.25">
      <c r="B123" s="100" t="s">
        <v>408</v>
      </c>
      <c r="C123" s="102">
        <v>53.25</v>
      </c>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row>
    <row r="124" spans="2:27" ht="13.5" thickBot="1" x14ac:dyDescent="0.25">
      <c r="B124" s="100" t="s">
        <v>409</v>
      </c>
      <c r="C124" s="102">
        <v>35194535555</v>
      </c>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row>
    <row r="125" spans="2:27" ht="13.5" thickBot="1" x14ac:dyDescent="0.25">
      <c r="B125" s="100" t="s">
        <v>410</v>
      </c>
      <c r="C125" s="102">
        <v>46.31</v>
      </c>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row>
    <row r="126" spans="2:27" ht="13.5" thickBot="1" x14ac:dyDescent="0.25">
      <c r="B126" s="100" t="s">
        <v>424</v>
      </c>
      <c r="C126" s="102">
        <v>1318</v>
      </c>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row>
    <row r="127" spans="2:27" ht="13.5" thickBot="1" x14ac:dyDescent="0.25">
      <c r="B127" s="100" t="s">
        <v>425</v>
      </c>
      <c r="C127" s="102">
        <v>25.11</v>
      </c>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row>
    <row r="128" spans="2:27" ht="13.5" thickBot="1" x14ac:dyDescent="0.25">
      <c r="B128" s="100" t="s">
        <v>426</v>
      </c>
      <c r="C128" s="102">
        <v>23</v>
      </c>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row>
    <row r="129" spans="2:27" ht="13.5" thickBot="1" x14ac:dyDescent="0.25">
      <c r="B129" s="100" t="s">
        <v>430</v>
      </c>
      <c r="C129" s="102">
        <v>163.9</v>
      </c>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row>
    <row r="130" spans="2:27" ht="13.5" thickBot="1" x14ac:dyDescent="0.25">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F7E0-7BFC-6F41-87DD-59514EC090B7}">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236</v>
      </c>
      <c r="C2" s="31" t="s">
        <v>36</v>
      </c>
      <c r="D2" s="32"/>
      <c r="E2" s="33"/>
      <c r="F2" s="33"/>
      <c r="G2" s="33"/>
      <c r="H2" s="33"/>
      <c r="I2" s="33"/>
      <c r="J2" s="33"/>
      <c r="K2" s="33"/>
      <c r="L2" s="33"/>
      <c r="M2" s="33"/>
      <c r="N2" s="33"/>
      <c r="O2" s="33"/>
      <c r="P2" s="34"/>
      <c r="S2" s="3" t="s">
        <v>7</v>
      </c>
    </row>
    <row r="3" spans="2:19" ht="13.5" thickBot="1" x14ac:dyDescent="0.25">
      <c r="B3" s="35" t="s">
        <v>166</v>
      </c>
      <c r="C3" s="29">
        <f>'COMPARATIVE TABLE'!C39</f>
        <v>226.79</v>
      </c>
      <c r="D3" s="37"/>
      <c r="F3" s="73" t="s">
        <v>189</v>
      </c>
      <c r="G3" s="74"/>
      <c r="H3" s="74"/>
      <c r="I3" s="75">
        <v>0.6</v>
      </c>
      <c r="P3" s="38"/>
    </row>
    <row r="4" spans="2:19" ht="26.25" thickBot="1" x14ac:dyDescent="0.25">
      <c r="B4" s="39" t="s">
        <v>85</v>
      </c>
      <c r="N4" s="76" t="s">
        <v>5</v>
      </c>
      <c r="O4" s="4" t="s">
        <v>0</v>
      </c>
      <c r="P4" s="38"/>
    </row>
    <row r="5" spans="2:19" x14ac:dyDescent="0.2">
      <c r="B5" s="71" t="s">
        <v>8</v>
      </c>
      <c r="C5" s="5" t="s">
        <v>245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0.04</v>
      </c>
      <c r="P5" s="38" t="s">
        <v>1</v>
      </c>
      <c r="R5" s="1"/>
    </row>
    <row r="6" spans="2:19" x14ac:dyDescent="0.2">
      <c r="B6" s="71" t="s">
        <v>19</v>
      </c>
      <c r="C6" s="86">
        <v>2.5</v>
      </c>
      <c r="D6" s="41">
        <f>C6*(1+$O$5)</f>
        <v>2.6</v>
      </c>
      <c r="E6" s="41">
        <f>D6*(1+$O$5)</f>
        <v>2.7040000000000002</v>
      </c>
      <c r="F6" s="41">
        <f>E6*(1+$O$5)</f>
        <v>2.8121600000000004</v>
      </c>
      <c r="G6" s="41">
        <f>F6*(1+$O$5)</f>
        <v>2.9246464000000008</v>
      </c>
      <c r="H6" s="41">
        <f>G6*(1+$O$5)</f>
        <v>3.0416322560000011</v>
      </c>
      <c r="I6" s="41">
        <f>H6*(1+$O$6)</f>
        <v>3.132881223680001</v>
      </c>
      <c r="J6" s="41">
        <f>I6*(1+$O$6)</f>
        <v>3.226867660390401</v>
      </c>
      <c r="K6" s="41">
        <f>J6*(1+$O$6)</f>
        <v>3.3236736902021131</v>
      </c>
      <c r="L6" s="41">
        <f>K6*(1+$O$6)</f>
        <v>3.4233839009081768</v>
      </c>
      <c r="M6" s="41">
        <f>L6*(1+$O$6)</f>
        <v>3.5260854179354224</v>
      </c>
      <c r="N6" s="72">
        <f>L6*O8</f>
        <v>68.467678018163539</v>
      </c>
      <c r="O6" s="70">
        <v>0.03</v>
      </c>
      <c r="P6" s="27" t="s">
        <v>2</v>
      </c>
    </row>
    <row r="7" spans="2:19" x14ac:dyDescent="0.2">
      <c r="B7" s="9"/>
      <c r="C7" s="7" t="str">
        <f>CONCATENATE(R8,O7*100,S8)</f>
        <v>PV(10%)</v>
      </c>
      <c r="D7" s="72"/>
      <c r="E7" s="72"/>
      <c r="F7" s="72">
        <f t="shared" ref="F7:M7" si="1">F6*(1+$O$7)^($D$5-F5-1)*$I$3</f>
        <v>1.2676904583020283</v>
      </c>
      <c r="G7" s="72">
        <f t="shared" si="1"/>
        <v>1.1985437060310087</v>
      </c>
      <c r="H7" s="72">
        <f t="shared" si="1"/>
        <v>1.1331685947929537</v>
      </c>
      <c r="I7" s="72">
        <f t="shared" si="1"/>
        <v>1.061057866033402</v>
      </c>
      <c r="J7" s="72">
        <f t="shared" si="1"/>
        <v>0.99353600183127622</v>
      </c>
      <c r="K7" s="72">
        <f t="shared" si="1"/>
        <v>0.9303109835329223</v>
      </c>
      <c r="L7" s="72">
        <f t="shared" si="1"/>
        <v>0.87110937548991829</v>
      </c>
      <c r="M7" s="72">
        <f t="shared" si="1"/>
        <v>0.81567514250419626</v>
      </c>
      <c r="N7" s="72">
        <f t="shared" ref="N7" si="2">N6*(1+$O$7)^($D$5-N5-1)</f>
        <v>26.397253802724794</v>
      </c>
      <c r="O7" s="17">
        <v>0.1</v>
      </c>
      <c r="P7" s="45" t="s">
        <v>3</v>
      </c>
    </row>
    <row r="8" spans="2:19" ht="13.5" thickBot="1" x14ac:dyDescent="0.25">
      <c r="B8" s="9"/>
      <c r="C8" s="8" t="s">
        <v>26</v>
      </c>
      <c r="D8" s="20">
        <f>SUM(D7:N7)</f>
        <v>34.668345931242499</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v>
      </c>
      <c r="P11" s="38" t="s">
        <v>1</v>
      </c>
    </row>
    <row r="12" spans="2:19" x14ac:dyDescent="0.2">
      <c r="B12" s="71" t="s">
        <v>18</v>
      </c>
      <c r="C12" s="6">
        <f>C6</f>
        <v>2.5</v>
      </c>
      <c r="D12" s="41">
        <f>C12*(1+$O$11)</f>
        <v>2.5</v>
      </c>
      <c r="E12" s="41">
        <f>D12*(1+$O$11)</f>
        <v>2.5</v>
      </c>
      <c r="F12" s="41">
        <f>E12*(1+$O$11)</f>
        <v>2.5</v>
      </c>
      <c r="G12" s="41">
        <f>F12*(1+$O$11)</f>
        <v>2.5</v>
      </c>
      <c r="H12" s="41">
        <f>G12*(1+$O$11)</f>
        <v>2.5</v>
      </c>
      <c r="I12" s="41">
        <f>H12*(1+$O$12)</f>
        <v>2.5</v>
      </c>
      <c r="J12" s="41">
        <f>I12*(1+$O$12)</f>
        <v>2.5</v>
      </c>
      <c r="K12" s="41">
        <f>J12*(1+$O$12)</f>
        <v>2.5</v>
      </c>
      <c r="L12" s="41">
        <f>K12*(1+$O$12)</f>
        <v>2.5</v>
      </c>
      <c r="M12" s="41">
        <f>L12*(1+$O$12)</f>
        <v>2.5</v>
      </c>
      <c r="N12" s="41">
        <f>L12*O14</f>
        <v>50</v>
      </c>
      <c r="O12" s="70">
        <v>0</v>
      </c>
      <c r="P12" s="27" t="s">
        <v>2</v>
      </c>
    </row>
    <row r="13" spans="2:19" x14ac:dyDescent="0.2">
      <c r="B13" s="9">
        <f>B7</f>
        <v>0</v>
      </c>
      <c r="C13" s="7" t="str">
        <f>C7</f>
        <v>PV(10%)</v>
      </c>
      <c r="D13" s="41">
        <f>D12*(1+$O$13)^($D$11-D11-1)*$I$3</f>
        <v>1.3636363636363635</v>
      </c>
      <c r="E13" s="41">
        <f t="shared" ref="E13:M13" si="4">E12*(1+$O$13)^($D$11-E11-1)*$I$3</f>
        <v>1.2396694214876032</v>
      </c>
      <c r="F13" s="41">
        <f t="shared" si="4"/>
        <v>1.1269722013523664</v>
      </c>
      <c r="G13" s="41">
        <f t="shared" si="4"/>
        <v>1.0245201830476056</v>
      </c>
      <c r="H13" s="41">
        <f t="shared" si="4"/>
        <v>0.93138198458873234</v>
      </c>
      <c r="I13" s="41">
        <f t="shared" si="4"/>
        <v>0.84671089508066577</v>
      </c>
      <c r="J13" s="41">
        <f t="shared" si="4"/>
        <v>0.76973717734605962</v>
      </c>
      <c r="K13" s="41">
        <f t="shared" si="4"/>
        <v>0.69976107031459966</v>
      </c>
      <c r="L13" s="41">
        <f t="shared" si="4"/>
        <v>0.63614642755872697</v>
      </c>
      <c r="M13" s="41">
        <f t="shared" si="4"/>
        <v>0.57831493414429713</v>
      </c>
      <c r="N13" s="41">
        <f>N12*(1+$O$7)^($D$5-N11-1)</f>
        <v>19.277164471476574</v>
      </c>
      <c r="O13" s="17">
        <f>O7</f>
        <v>0.1</v>
      </c>
      <c r="P13" s="38" t="s">
        <v>3</v>
      </c>
    </row>
    <row r="14" spans="2:19" ht="13.5" thickBot="1" x14ac:dyDescent="0.25">
      <c r="B14" s="9"/>
      <c r="C14" s="8" t="s">
        <v>4</v>
      </c>
      <c r="D14" s="20">
        <f>SUM(D13:N13)</f>
        <v>28.494015130033592</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2.5</v>
      </c>
      <c r="D18" s="41">
        <f>C18*(1+$O$17)</f>
        <v>2.5</v>
      </c>
      <c r="E18" s="41">
        <f>D18*(1+$O$17)</f>
        <v>2.5</v>
      </c>
      <c r="F18" s="41">
        <f>E18*(1+$O$17)</f>
        <v>2.5</v>
      </c>
      <c r="G18" s="41">
        <f>F18*(1+$O$17)</f>
        <v>2.5</v>
      </c>
      <c r="H18" s="41">
        <f>G18*(1+$O$17)</f>
        <v>2.5</v>
      </c>
      <c r="I18" s="41">
        <f>H18*(1+$O$18)</f>
        <v>2.5</v>
      </c>
      <c r="J18" s="41">
        <f>I18*(1+$O$18)</f>
        <v>2.5</v>
      </c>
      <c r="K18" s="41">
        <f>J18*(1+$O$18)</f>
        <v>2.5</v>
      </c>
      <c r="L18" s="41">
        <f>K18*(1+$O$18)</f>
        <v>2.5</v>
      </c>
      <c r="M18" s="41">
        <f>L18*(1+$O$18)</f>
        <v>2.5</v>
      </c>
      <c r="N18" s="41">
        <f>L18*O20</f>
        <v>25</v>
      </c>
      <c r="O18" s="70">
        <v>0</v>
      </c>
      <c r="P18" s="27" t="s">
        <v>2</v>
      </c>
    </row>
    <row r="19" spans="2:16" x14ac:dyDescent="0.2">
      <c r="B19" s="71" t="s">
        <v>155</v>
      </c>
      <c r="C19" s="7" t="str">
        <f>C13</f>
        <v>PV(10%)</v>
      </c>
      <c r="D19" s="41">
        <f>D18*(1+$O$19)^($D$17-D17-1)*$I$3</f>
        <v>1.3636363636363635</v>
      </c>
      <c r="E19" s="41">
        <f t="shared" ref="E19:M19" si="6">E18*(1+$O$19)^($D$17-E17-1)*$I$3</f>
        <v>1.2396694214876032</v>
      </c>
      <c r="F19" s="41">
        <f t="shared" si="6"/>
        <v>1.1269722013523664</v>
      </c>
      <c r="G19" s="41">
        <f t="shared" si="6"/>
        <v>1.0245201830476056</v>
      </c>
      <c r="H19" s="41">
        <f t="shared" si="6"/>
        <v>0.93138198458873234</v>
      </c>
      <c r="I19" s="41">
        <f t="shared" si="6"/>
        <v>0.84671089508066577</v>
      </c>
      <c r="J19" s="41">
        <f t="shared" si="6"/>
        <v>0.76973717734605962</v>
      </c>
      <c r="K19" s="41">
        <f t="shared" si="6"/>
        <v>0.69976107031459966</v>
      </c>
      <c r="L19" s="41">
        <f t="shared" si="6"/>
        <v>0.63614642755872697</v>
      </c>
      <c r="M19" s="41">
        <f t="shared" si="6"/>
        <v>0.57831493414429713</v>
      </c>
      <c r="N19" s="41">
        <f t="shared" ref="N19" si="7">N18*(1+$O$19)^($D$17-N17-1)</f>
        <v>9.6385822357382871</v>
      </c>
      <c r="O19" s="17">
        <f>O13</f>
        <v>0.1</v>
      </c>
      <c r="P19" s="38" t="s">
        <v>3</v>
      </c>
    </row>
    <row r="20" spans="2:16" ht="13.5" thickBot="1" x14ac:dyDescent="0.25">
      <c r="B20" s="71" t="s">
        <v>156</v>
      </c>
      <c r="C20" s="8" t="s">
        <v>4</v>
      </c>
      <c r="D20" s="20">
        <f>SUM(D19:N19)</f>
        <v>18.855432894295305</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34.668345931242499</v>
      </c>
      <c r="F23" s="22">
        <f>E23*D23</f>
        <v>11.78723761662245</v>
      </c>
      <c r="G23" s="25"/>
      <c r="P23" s="38"/>
    </row>
    <row r="24" spans="2:16" x14ac:dyDescent="0.2">
      <c r="B24" s="9"/>
      <c r="C24" s="9" t="s">
        <v>15</v>
      </c>
      <c r="D24" s="44">
        <v>0.33</v>
      </c>
      <c r="E24" s="41">
        <f>D14</f>
        <v>28.494015130033592</v>
      </c>
      <c r="F24" s="22">
        <f>E24*D24</f>
        <v>9.4030249929110852</v>
      </c>
      <c r="G24" s="25"/>
      <c r="P24" s="38"/>
    </row>
    <row r="25" spans="2:16" ht="13.5" thickBot="1" x14ac:dyDescent="0.25">
      <c r="B25" s="9"/>
      <c r="C25" s="10" t="s">
        <v>29</v>
      </c>
      <c r="D25" s="44">
        <v>0.33</v>
      </c>
      <c r="E25" s="23">
        <f>D20</f>
        <v>18.855432894295305</v>
      </c>
      <c r="F25" s="24">
        <f>E25*D25</f>
        <v>6.222292855117451</v>
      </c>
      <c r="G25" s="25"/>
      <c r="P25" s="38"/>
    </row>
    <row r="26" spans="2:16" ht="13.5" thickBot="1" x14ac:dyDescent="0.25">
      <c r="B26" s="9"/>
      <c r="C26" s="36" t="s">
        <v>167</v>
      </c>
      <c r="D26" s="36">
        <f>C3</f>
        <v>226.79</v>
      </c>
      <c r="E26" s="15" t="s">
        <v>11</v>
      </c>
      <c r="F26" s="16">
        <f>SUM(F23:F25)</f>
        <v>27.412555464650985</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91" priority="1" operator="containsText" text="overvalued">
      <formula>NOT(ISERROR(SEARCH("overvalued",D3)))</formula>
    </cfRule>
    <cfRule type="containsText" dxfId="90" priority="2" operator="containsText" text="undervalued">
      <formula>NOT(ISERROR(SEARCH("undervalued",D3)))</formula>
    </cfRule>
  </conditionalFormatting>
  <hyperlinks>
    <hyperlink ref="C30" r:id="rId1" xr:uid="{5FD8ABED-6A68-8340-A03E-131CDF99F1BA}"/>
    <hyperlink ref="B4" location="'COMPARATIVE TABLE'!A1" display="'COMPARATIVE TABLE'!A1" xr:uid="{205ECB13-47C5-254C-960F-F78BF384EC8B}"/>
  </hyperlinks>
  <pageMargins left="0.7" right="0.7" top="0.78740157499999996" bottom="0.78740157499999996"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8757-BAE9-4043-9E13-A054BDCD5C47}">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415</v>
      </c>
      <c r="C2" s="31" t="s">
        <v>36</v>
      </c>
      <c r="D2" s="32"/>
      <c r="E2" s="33"/>
      <c r="F2" s="33"/>
      <c r="G2" s="33"/>
      <c r="H2" s="33"/>
      <c r="I2" s="33"/>
      <c r="J2" s="33"/>
      <c r="K2" s="33"/>
      <c r="L2" s="33"/>
      <c r="M2" s="33"/>
      <c r="N2" s="33"/>
      <c r="O2" s="33"/>
      <c r="P2" s="34"/>
      <c r="S2" s="3" t="s">
        <v>7</v>
      </c>
    </row>
    <row r="3" spans="2:19" ht="13.5" thickBot="1" x14ac:dyDescent="0.25">
      <c r="B3" s="35" t="s">
        <v>166</v>
      </c>
      <c r="C3" s="29"/>
      <c r="D3" s="37"/>
      <c r="F3" s="73" t="s">
        <v>189</v>
      </c>
      <c r="G3" s="74"/>
      <c r="H3" s="74"/>
      <c r="I3" s="75">
        <v>0.75</v>
      </c>
      <c r="J3" t="s">
        <v>427</v>
      </c>
      <c r="P3" s="38"/>
    </row>
    <row r="4" spans="2:19" ht="26.25" thickBot="1" x14ac:dyDescent="0.25">
      <c r="B4" s="39" t="s">
        <v>85</v>
      </c>
      <c r="N4" s="76" t="s">
        <v>5</v>
      </c>
      <c r="O4" s="4" t="s">
        <v>0</v>
      </c>
      <c r="P4" s="38"/>
    </row>
    <row r="5" spans="2:19" x14ac:dyDescent="0.2">
      <c r="B5" s="71" t="s">
        <v>8</v>
      </c>
      <c r="C5" s="5" t="s">
        <v>225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2.52</v>
      </c>
      <c r="D6" s="41">
        <f>C6*(1+$O$5)</f>
        <v>2.6460000000000004</v>
      </c>
      <c r="E6" s="41">
        <f>D6*(1+$O$5)</f>
        <v>2.7783000000000007</v>
      </c>
      <c r="F6" s="41">
        <f>E6*(1+$O$5)</f>
        <v>2.917215000000001</v>
      </c>
      <c r="G6" s="41">
        <f>F6*(1+$O$5)</f>
        <v>3.0630757500000012</v>
      </c>
      <c r="H6" s="41">
        <f>G6*(1+$O$5)</f>
        <v>3.2162295375000016</v>
      </c>
      <c r="I6" s="41">
        <f>H6*(1+$O$6)</f>
        <v>3.2162295375000016</v>
      </c>
      <c r="J6" s="41">
        <f>I6*(1+$O$6)</f>
        <v>3.2162295375000016</v>
      </c>
      <c r="K6" s="41">
        <f>J6*(1+$O$6)</f>
        <v>3.2162295375000016</v>
      </c>
      <c r="L6" s="41">
        <f>K6*(1+$O$6)</f>
        <v>3.2162295375000016</v>
      </c>
      <c r="M6" s="41">
        <f>L6*(1+$O$6)</f>
        <v>3.2162295375000016</v>
      </c>
      <c r="N6" s="72">
        <f>L6*O8</f>
        <v>32.162295375000014</v>
      </c>
      <c r="O6" s="70">
        <v>0</v>
      </c>
      <c r="P6" s="27" t="s">
        <v>2</v>
      </c>
    </row>
    <row r="7" spans="2:19" x14ac:dyDescent="0.2">
      <c r="B7" s="9"/>
      <c r="C7" s="7" t="str">
        <f>CONCATENATE(R8,O7*100,S8)</f>
        <v>PV(10%)</v>
      </c>
      <c r="D7" s="72">
        <f>D6*(1+$O$7)^($D$5-D5-1)*$I$3</f>
        <v>1.8040909090909092</v>
      </c>
      <c r="E7" s="72">
        <f t="shared" ref="E7:M7" si="1">E6*(1+$O$7)^($D$5-E5-1)*$I$3</f>
        <v>1.7220867768595043</v>
      </c>
      <c r="F7" s="72">
        <f t="shared" si="1"/>
        <v>1.6438101051840723</v>
      </c>
      <c r="G7" s="72">
        <f t="shared" si="1"/>
        <v>1.5690914640393419</v>
      </c>
      <c r="H7" s="72">
        <f t="shared" si="1"/>
        <v>1.4977691247648262</v>
      </c>
      <c r="I7" s="72">
        <f t="shared" si="1"/>
        <v>1.3616082952407511</v>
      </c>
      <c r="J7" s="72">
        <f t="shared" si="1"/>
        <v>1.2378257229461371</v>
      </c>
      <c r="K7" s="72">
        <f t="shared" si="1"/>
        <v>1.1252961117692157</v>
      </c>
      <c r="L7" s="72">
        <f t="shared" si="1"/>
        <v>1.0229964652447414</v>
      </c>
      <c r="M7" s="72">
        <f t="shared" si="1"/>
        <v>0.9299967865861285</v>
      </c>
      <c r="N7" s="72">
        <f t="shared" ref="N7" si="2">N6*(1+$O$7)^($D$5-N5-1)</f>
        <v>12.399957154481712</v>
      </c>
      <c r="O7" s="17">
        <v>0.1</v>
      </c>
      <c r="P7" s="45" t="s">
        <v>3</v>
      </c>
    </row>
    <row r="8" spans="2:19" ht="13.5" thickBot="1" x14ac:dyDescent="0.25">
      <c r="B8" s="9"/>
      <c r="C8" s="8" t="s">
        <v>26</v>
      </c>
      <c r="D8" s="20">
        <f>SUM(D7:N7)</f>
        <v>26.314528916207337</v>
      </c>
      <c r="E8" s="21"/>
      <c r="F8" s="21"/>
      <c r="G8" s="21"/>
      <c r="H8" s="21"/>
      <c r="I8" s="21"/>
      <c r="J8" s="21"/>
      <c r="K8" s="21"/>
      <c r="L8" s="21"/>
      <c r="M8" s="21"/>
      <c r="N8" s="21"/>
      <c r="O8" s="78">
        <v>10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2.52</v>
      </c>
      <c r="D12" s="41">
        <f>C12*(1+$O$11)</f>
        <v>2.6964000000000001</v>
      </c>
      <c r="E12" s="41">
        <f>D12*(1+$O$11)</f>
        <v>2.8851480000000005</v>
      </c>
      <c r="F12" s="41">
        <f>E12*(1+$O$11)</f>
        <v>3.0871083600000007</v>
      </c>
      <c r="G12" s="41">
        <f>F12*(1+$O$11)</f>
        <v>3.3032059452000011</v>
      </c>
      <c r="H12" s="41">
        <f>G12*(1+$O$11)</f>
        <v>3.5344303613640013</v>
      </c>
      <c r="I12" s="41">
        <f>H12*(1+$O$12)</f>
        <v>3.7111518794322014</v>
      </c>
      <c r="J12" s="41">
        <f>I12*(1+$O$12)</f>
        <v>3.8967094734038117</v>
      </c>
      <c r="K12" s="41">
        <f>J12*(1+$O$12)</f>
        <v>4.0915449470740022</v>
      </c>
      <c r="L12" s="41">
        <f>K12*(1+$O$12)</f>
        <v>4.2961221944277028</v>
      </c>
      <c r="M12" s="41">
        <f>L12*(1+$O$12)</f>
        <v>4.510928304149088</v>
      </c>
      <c r="N12" s="41">
        <f>L12*O14</f>
        <v>51.553466333132434</v>
      </c>
      <c r="O12" s="70">
        <v>0.05</v>
      </c>
      <c r="P12" s="27" t="s">
        <v>2</v>
      </c>
    </row>
    <row r="13" spans="2:19" x14ac:dyDescent="0.2">
      <c r="B13" s="9">
        <f>B7</f>
        <v>0</v>
      </c>
      <c r="C13" s="7" t="str">
        <f>C7</f>
        <v>PV(10%)</v>
      </c>
      <c r="D13" s="41">
        <f>D12*(1+$O$13)^($D$11-D11-1)*$I$3</f>
        <v>1.8384545454545456</v>
      </c>
      <c r="E13" s="41">
        <f t="shared" ref="E13:M13" si="4">E12*(1+$O$13)^($D$11-E11-1)*$I$3</f>
        <v>1.7883148760330578</v>
      </c>
      <c r="F13" s="41">
        <f t="shared" si="4"/>
        <v>1.7395426521412471</v>
      </c>
      <c r="G13" s="41">
        <f t="shared" si="4"/>
        <v>1.6921005798101225</v>
      </c>
      <c r="H13" s="41">
        <f t="shared" si="4"/>
        <v>1.645952382178937</v>
      </c>
      <c r="I13" s="41">
        <f t="shared" si="4"/>
        <v>1.5711363648071672</v>
      </c>
      <c r="J13" s="41">
        <f t="shared" si="4"/>
        <v>1.4997210754977504</v>
      </c>
      <c r="K13" s="41">
        <f t="shared" si="4"/>
        <v>1.431551935702398</v>
      </c>
      <c r="L13" s="41">
        <f t="shared" si="4"/>
        <v>1.3664813931704709</v>
      </c>
      <c r="M13" s="41">
        <f t="shared" si="4"/>
        <v>1.3043686025718131</v>
      </c>
      <c r="N13" s="41">
        <f>N12*(1+$O$7)^($D$5-N11-1)</f>
        <v>19.876092991570484</v>
      </c>
      <c r="O13" s="17">
        <f>O7</f>
        <v>0.1</v>
      </c>
      <c r="P13" s="38" t="s">
        <v>3</v>
      </c>
    </row>
    <row r="14" spans="2:19" ht="13.5" thickBot="1" x14ac:dyDescent="0.25">
      <c r="B14" s="9"/>
      <c r="C14" s="8" t="s">
        <v>4</v>
      </c>
      <c r="D14" s="20">
        <f>SUM(D13:N13)</f>
        <v>35.753717398937994</v>
      </c>
      <c r="E14" s="21"/>
      <c r="F14" s="21"/>
      <c r="G14" s="21"/>
      <c r="H14" s="21"/>
      <c r="I14" s="21"/>
      <c r="J14" s="21"/>
      <c r="K14" s="21"/>
      <c r="L14" s="21"/>
      <c r="M14" s="21"/>
      <c r="N14" s="21"/>
      <c r="O14" s="18">
        <v>12</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2.52</v>
      </c>
      <c r="D18" s="41">
        <f>C18*(1+$O$17)</f>
        <v>2.52</v>
      </c>
      <c r="E18" s="41">
        <f>D18*(1+$O$17)</f>
        <v>2.52</v>
      </c>
      <c r="F18" s="41">
        <f>E18*(1+$O$17)</f>
        <v>2.52</v>
      </c>
      <c r="G18" s="41">
        <f>F18*(1+$O$17)</f>
        <v>2.52</v>
      </c>
      <c r="H18" s="41">
        <f>G18*(1+$O$17)</f>
        <v>2.52</v>
      </c>
      <c r="I18" s="41">
        <f>H18*(1+$O$18)</f>
        <v>2.52</v>
      </c>
      <c r="J18" s="41">
        <f>I18*(1+$O$18)</f>
        <v>2.52</v>
      </c>
      <c r="K18" s="41">
        <f>J18*(1+$O$18)</f>
        <v>2.52</v>
      </c>
      <c r="L18" s="41">
        <f>K18*(1+$O$18)</f>
        <v>2.52</v>
      </c>
      <c r="M18" s="41">
        <f>L18*(1+$O$18)</f>
        <v>2.52</v>
      </c>
      <c r="N18" s="41">
        <f>L18*O20</f>
        <v>25.2</v>
      </c>
      <c r="O18" s="70">
        <v>0</v>
      </c>
      <c r="P18" s="27" t="s">
        <v>2</v>
      </c>
    </row>
    <row r="19" spans="2:16" x14ac:dyDescent="0.2">
      <c r="B19" s="71" t="s">
        <v>155</v>
      </c>
      <c r="C19" s="7" t="str">
        <f>C13</f>
        <v>PV(10%)</v>
      </c>
      <c r="D19" s="41">
        <f>D18*(1+$O$19)^($D$17-D17-1)*$I$3</f>
        <v>1.7181818181818183</v>
      </c>
      <c r="E19" s="41">
        <f t="shared" ref="E19:M19" si="6">E18*(1+$O$19)^($D$17-E17-1)*$I$3</f>
        <v>1.5619834710743801</v>
      </c>
      <c r="F19" s="41">
        <f t="shared" si="6"/>
        <v>1.4199849737039816</v>
      </c>
      <c r="G19" s="41">
        <f t="shared" si="6"/>
        <v>1.2908954306399834</v>
      </c>
      <c r="H19" s="41">
        <f t="shared" si="6"/>
        <v>1.1735413005818027</v>
      </c>
      <c r="I19" s="41">
        <f t="shared" si="6"/>
        <v>1.0668557278016388</v>
      </c>
      <c r="J19" s="41">
        <f t="shared" si="6"/>
        <v>0.96986884345603519</v>
      </c>
      <c r="K19" s="41">
        <f t="shared" si="6"/>
        <v>0.88169894859639564</v>
      </c>
      <c r="L19" s="41">
        <f t="shared" si="6"/>
        <v>0.80154449872399613</v>
      </c>
      <c r="M19" s="41">
        <f t="shared" si="6"/>
        <v>0.72867681702181453</v>
      </c>
      <c r="N19" s="41">
        <f t="shared" ref="N19" si="7">N18*(1+$O$19)^($D$17-N17-1)</f>
        <v>9.7156908936241937</v>
      </c>
      <c r="O19" s="17">
        <f>O13</f>
        <v>0.1</v>
      </c>
      <c r="P19" s="38" t="s">
        <v>3</v>
      </c>
    </row>
    <row r="20" spans="2:16" ht="13.5" thickBot="1" x14ac:dyDescent="0.25">
      <c r="B20" s="71" t="s">
        <v>156</v>
      </c>
      <c r="C20" s="8" t="s">
        <v>4</v>
      </c>
      <c r="D20" s="20">
        <f>SUM(D19:N19)</f>
        <v>21.328922723406038</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26.314528916207337</v>
      </c>
      <c r="F23" s="22">
        <f>E23*D23</f>
        <v>8.9469398315104947</v>
      </c>
      <c r="G23" s="25"/>
      <c r="P23" s="38"/>
    </row>
    <row r="24" spans="2:16" x14ac:dyDescent="0.2">
      <c r="B24" s="9"/>
      <c r="C24" s="9" t="s">
        <v>15</v>
      </c>
      <c r="D24" s="44">
        <v>0.33</v>
      </c>
      <c r="E24" s="41">
        <f>D14</f>
        <v>35.753717398937994</v>
      </c>
      <c r="F24" s="22">
        <f>E24*D24</f>
        <v>11.798726741649538</v>
      </c>
      <c r="G24" s="25"/>
      <c r="P24" s="38"/>
    </row>
    <row r="25" spans="2:16" ht="13.5" thickBot="1" x14ac:dyDescent="0.25">
      <c r="B25" s="9"/>
      <c r="C25" s="10" t="s">
        <v>29</v>
      </c>
      <c r="D25" s="44">
        <v>0.33</v>
      </c>
      <c r="E25" s="23">
        <f>D20</f>
        <v>21.328922723406038</v>
      </c>
      <c r="F25" s="24">
        <f>E25*D25</f>
        <v>7.0385444987239927</v>
      </c>
      <c r="G25" s="25"/>
      <c r="P25" s="38"/>
    </row>
    <row r="26" spans="2:16" ht="13.5" thickBot="1" x14ac:dyDescent="0.25">
      <c r="B26" s="9"/>
      <c r="C26" s="36" t="s">
        <v>167</v>
      </c>
      <c r="D26" s="36">
        <f>C3</f>
        <v>0</v>
      </c>
      <c r="E26" s="15" t="s">
        <v>11</v>
      </c>
      <c r="F26" s="16">
        <f>SUM(F23:F25)</f>
        <v>27.784211071884027</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89" priority="1" operator="containsText" text="overvalued">
      <formula>NOT(ISERROR(SEARCH("overvalued",D3)))</formula>
    </cfRule>
    <cfRule type="containsText" dxfId="88" priority="2" operator="containsText" text="undervalued">
      <formula>NOT(ISERROR(SEARCH("undervalued",D3)))</formula>
    </cfRule>
  </conditionalFormatting>
  <hyperlinks>
    <hyperlink ref="C30" r:id="rId1" xr:uid="{7C760C68-96C4-6243-AB14-53CDEAE46800}"/>
    <hyperlink ref="B4" location="'COMPARATIVE TABLE'!A1" display="'COMPARATIVE TABLE'!A1" xr:uid="{642574B3-4C2C-774B-8638-CE6EF9D8CFBF}"/>
  </hyperlinks>
  <pageMargins left="0.7" right="0.7" top="0.78740157499999996" bottom="0.78740157499999996"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8964-56E3-3441-A730-8B819419329C}">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65</v>
      </c>
      <c r="C2" s="89" t="s">
        <v>36</v>
      </c>
      <c r="D2" s="32"/>
      <c r="E2" s="33"/>
      <c r="F2" s="33"/>
      <c r="G2" s="33"/>
      <c r="H2" s="33"/>
      <c r="I2" s="33"/>
      <c r="J2" s="33"/>
      <c r="K2" s="33"/>
      <c r="L2" s="33"/>
      <c r="M2" s="33"/>
      <c r="N2" s="33"/>
      <c r="O2" s="33"/>
      <c r="P2" s="34"/>
      <c r="S2" s="3" t="s">
        <v>7</v>
      </c>
    </row>
    <row r="3" spans="2:19" ht="13.5" thickBot="1" x14ac:dyDescent="0.25">
      <c r="B3" s="35" t="s">
        <v>166</v>
      </c>
      <c r="C3" s="29">
        <f>'COMPARATIVE TABLE'!C3</f>
        <v>34.42</v>
      </c>
      <c r="D3" s="37"/>
      <c r="F3" s="73" t="s">
        <v>189</v>
      </c>
      <c r="G3" s="74"/>
      <c r="H3" s="74"/>
      <c r="I3" s="75">
        <v>1</v>
      </c>
      <c r="P3" s="38"/>
    </row>
    <row r="4" spans="2:19" ht="26.25" thickBot="1" x14ac:dyDescent="0.25">
      <c r="B4" s="39" t="s">
        <v>85</v>
      </c>
      <c r="N4" s="76" t="s">
        <v>5</v>
      </c>
      <c r="O4" s="4" t="s">
        <v>0</v>
      </c>
      <c r="P4" s="38"/>
    </row>
    <row r="5" spans="2:19" x14ac:dyDescent="0.2">
      <c r="B5" s="71" t="s">
        <v>8</v>
      </c>
      <c r="C5" s="5" t="s">
        <v>239</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1.17</v>
      </c>
      <c r="D6" s="41">
        <f>C6*(1+$O$5)</f>
        <v>1.2284999999999999</v>
      </c>
      <c r="E6" s="41">
        <f>D6*(1+$O$5)</f>
        <v>1.289925</v>
      </c>
      <c r="F6" s="41">
        <f>E6*(1+$O$5)</f>
        <v>1.3544212500000001</v>
      </c>
      <c r="G6" s="41">
        <f>F6*(1+$O$5)</f>
        <v>1.4221423125000001</v>
      </c>
      <c r="H6" s="41">
        <f>G6*(1+$O$5)</f>
        <v>1.4932494281250002</v>
      </c>
      <c r="I6" s="41">
        <f>H6*(1+$O$6)</f>
        <v>1.5679118995312502</v>
      </c>
      <c r="J6" s="41">
        <f>I6*(1+$O$6)</f>
        <v>1.6463074945078129</v>
      </c>
      <c r="K6" s="41">
        <f>J6*(1+$O$6)</f>
        <v>1.7286228692332035</v>
      </c>
      <c r="L6" s="41">
        <f>K6*(1+$O$6)</f>
        <v>1.8150540126948638</v>
      </c>
      <c r="M6" s="41">
        <f>L6*(1+$O$6)</f>
        <v>1.905806713329607</v>
      </c>
      <c r="N6" s="72">
        <f>L6*O8</f>
        <v>36.301080253897275</v>
      </c>
      <c r="O6" s="70">
        <v>0.05</v>
      </c>
      <c r="P6" s="27" t="s">
        <v>2</v>
      </c>
    </row>
    <row r="7" spans="2:19" x14ac:dyDescent="0.2">
      <c r="B7" s="9"/>
      <c r="C7" s="7" t="str">
        <f>CONCATENATE(R8,O7*100,S8)</f>
        <v>PV(10%)</v>
      </c>
      <c r="D7" s="72">
        <f>D6*(1+$O$7)^($D$5-D5-1)*$I$3</f>
        <v>1.1168181818181817</v>
      </c>
      <c r="E7" s="72">
        <f t="shared" ref="E7:M7" si="1">E6*(1+$O$7)^($D$5-E5-1)*$I$3</f>
        <v>1.0660537190082644</v>
      </c>
      <c r="F7" s="72">
        <f t="shared" si="1"/>
        <v>1.0175967317806158</v>
      </c>
      <c r="G7" s="72">
        <f t="shared" si="1"/>
        <v>0.97134233488149702</v>
      </c>
      <c r="H7" s="72">
        <f t="shared" si="1"/>
        <v>0.92719041056870155</v>
      </c>
      <c r="I7" s="72">
        <f t="shared" si="1"/>
        <v>0.8850453919064879</v>
      </c>
      <c r="J7" s="72">
        <f t="shared" si="1"/>
        <v>0.84481605591073838</v>
      </c>
      <c r="K7" s="72">
        <f t="shared" si="1"/>
        <v>0.80641532609661393</v>
      </c>
      <c r="L7" s="72">
        <f t="shared" si="1"/>
        <v>0.76976008400131324</v>
      </c>
      <c r="M7" s="72">
        <f t="shared" si="1"/>
        <v>0.73477098927398077</v>
      </c>
      <c r="N7" s="72">
        <f t="shared" ref="N7" si="2">N6*(1+$O$7)^($D$5-N5-1)</f>
        <v>13.995637890932967</v>
      </c>
      <c r="O7" s="17">
        <v>0.1</v>
      </c>
      <c r="P7" s="45" t="s">
        <v>3</v>
      </c>
    </row>
    <row r="8" spans="2:19" ht="13.5" thickBot="1" x14ac:dyDescent="0.25">
      <c r="B8" s="9"/>
      <c r="C8" s="8" t="s">
        <v>26</v>
      </c>
      <c r="D8" s="20">
        <f>SUM(D7:N7)</f>
        <v>23.13544711617936</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 xml:space="preserve">Dividend </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1.17</v>
      </c>
      <c r="D12" s="41">
        <f>C12*(1+$O$11)</f>
        <v>1.2402</v>
      </c>
      <c r="E12" s="41">
        <f>D12*(1+$O$11)</f>
        <v>1.3146120000000001</v>
      </c>
      <c r="F12" s="41">
        <f>E12*(1+$O$11)</f>
        <v>1.3934887200000001</v>
      </c>
      <c r="G12" s="41">
        <f>F12*(1+$O$11)</f>
        <v>1.4770980432000003</v>
      </c>
      <c r="H12" s="41">
        <f>G12*(1+$O$11)</f>
        <v>1.5657239257920004</v>
      </c>
      <c r="I12" s="41">
        <f>H12*(1+$O$12)</f>
        <v>1.6596673613395205</v>
      </c>
      <c r="J12" s="41">
        <f>I12*(1+$O$12)</f>
        <v>1.7592474030198919</v>
      </c>
      <c r="K12" s="41">
        <f>J12*(1+$O$12)</f>
        <v>1.8648022472010855</v>
      </c>
      <c r="L12" s="41">
        <f>K12*(1+$O$12)</f>
        <v>1.9766903820331507</v>
      </c>
      <c r="M12" s="41">
        <f>L12*(1+$O$12)</f>
        <v>2.0952918049551399</v>
      </c>
      <c r="N12" s="41">
        <f>L12*O14</f>
        <v>65.230782607093971</v>
      </c>
      <c r="O12" s="70">
        <v>0.06</v>
      </c>
      <c r="P12" s="27" t="s">
        <v>2</v>
      </c>
    </row>
    <row r="13" spans="2:19" x14ac:dyDescent="0.2">
      <c r="B13" s="9">
        <f>B7</f>
        <v>0</v>
      </c>
      <c r="C13" s="7" t="str">
        <f>C7</f>
        <v>PV(10%)</v>
      </c>
      <c r="D13" s="41">
        <f>D12*(1+$O$13)^($D$11-D11-1)*$I$3</f>
        <v>1.1274545454545455</v>
      </c>
      <c r="E13" s="41">
        <f t="shared" ref="E13:M13" si="4">E12*(1+$O$13)^($D$11-E11-1)*$I$3</f>
        <v>1.0864561983471075</v>
      </c>
      <c r="F13" s="41">
        <f t="shared" si="4"/>
        <v>1.0469487002253943</v>
      </c>
      <c r="G13" s="41">
        <f t="shared" si="4"/>
        <v>1.0088778383990165</v>
      </c>
      <c r="H13" s="41">
        <f t="shared" si="4"/>
        <v>0.97219137154814295</v>
      </c>
      <c r="I13" s="41">
        <f t="shared" si="4"/>
        <v>0.93683895803730155</v>
      </c>
      <c r="J13" s="41">
        <f t="shared" si="4"/>
        <v>0.90277208683594501</v>
      </c>
      <c r="K13" s="41">
        <f t="shared" si="4"/>
        <v>0.8699440109510016</v>
      </c>
      <c r="L13" s="41">
        <f t="shared" si="4"/>
        <v>0.83830968328005606</v>
      </c>
      <c r="M13" s="41">
        <f t="shared" si="4"/>
        <v>0.80782569479714494</v>
      </c>
      <c r="N13" s="41">
        <f>N12*(1+$O$7)^($D$5-N11-1)</f>
        <v>25.14929049840168</v>
      </c>
      <c r="O13" s="17">
        <f>O7</f>
        <v>0.1</v>
      </c>
      <c r="P13" s="38" t="s">
        <v>3</v>
      </c>
    </row>
    <row r="14" spans="2:19" ht="13.5" thickBot="1" x14ac:dyDescent="0.25">
      <c r="B14" s="9"/>
      <c r="C14" s="8" t="s">
        <v>4</v>
      </c>
      <c r="D14" s="20">
        <f>SUM(D13:N13)</f>
        <v>34.74690958627734</v>
      </c>
      <c r="E14" s="21"/>
      <c r="F14" s="21"/>
      <c r="G14" s="21"/>
      <c r="H14" s="21"/>
      <c r="I14" s="21"/>
      <c r="J14" s="21"/>
      <c r="K14" s="21"/>
      <c r="L14" s="21"/>
      <c r="M14" s="21"/>
      <c r="N14" s="21"/>
      <c r="O14" s="18">
        <v>33</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 xml:space="preserve">Dividend </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1.17</v>
      </c>
      <c r="D18" s="41">
        <f>C18*(1+$O$17)</f>
        <v>1.17</v>
      </c>
      <c r="E18" s="41">
        <f>D18*(1+$O$17)</f>
        <v>1.17</v>
      </c>
      <c r="F18" s="41">
        <f>E18*(1+$O$17)</f>
        <v>1.17</v>
      </c>
      <c r="G18" s="41">
        <f>F18*(1+$O$17)</f>
        <v>1.17</v>
      </c>
      <c r="H18" s="41">
        <f>G18*(1+$O$17)</f>
        <v>1.17</v>
      </c>
      <c r="I18" s="41">
        <f>H18*(1+$O$18)</f>
        <v>1.17</v>
      </c>
      <c r="J18" s="41">
        <f>I18*(1+$O$18)</f>
        <v>1.17</v>
      </c>
      <c r="K18" s="41">
        <f>J18*(1+$O$18)</f>
        <v>1.17</v>
      </c>
      <c r="L18" s="41">
        <f>K18*(1+$O$18)</f>
        <v>1.17</v>
      </c>
      <c r="M18" s="41">
        <f>L18*(1+$O$18)</f>
        <v>1.17</v>
      </c>
      <c r="N18" s="41">
        <f>L18*O20</f>
        <v>17.549999999999997</v>
      </c>
      <c r="O18" s="70">
        <v>0</v>
      </c>
      <c r="P18" s="27" t="s">
        <v>2</v>
      </c>
    </row>
    <row r="19" spans="2:16" x14ac:dyDescent="0.2">
      <c r="B19" s="71" t="s">
        <v>155</v>
      </c>
      <c r="C19" s="7" t="str">
        <f>C13</f>
        <v>PV(10%)</v>
      </c>
      <c r="D19" s="41">
        <f>D18*(1+$O$19)^($D$17-D17-1)*$I$3</f>
        <v>1.0636363636363635</v>
      </c>
      <c r="E19" s="41">
        <f t="shared" ref="E19:M19" si="6">E18*(1+$O$19)^($D$17-E17-1)*$I$3</f>
        <v>0.96694214876033047</v>
      </c>
      <c r="F19" s="41">
        <f t="shared" si="6"/>
        <v>0.8790383170548457</v>
      </c>
      <c r="G19" s="41">
        <f t="shared" si="6"/>
        <v>0.79912574277713244</v>
      </c>
      <c r="H19" s="41">
        <f t="shared" si="6"/>
        <v>0.72647794797921117</v>
      </c>
      <c r="I19" s="41">
        <f t="shared" si="6"/>
        <v>0.66043449816291933</v>
      </c>
      <c r="J19" s="41">
        <f t="shared" si="6"/>
        <v>0.60039499832992649</v>
      </c>
      <c r="K19" s="41">
        <f t="shared" si="6"/>
        <v>0.5458136348453877</v>
      </c>
      <c r="L19" s="41">
        <f t="shared" si="6"/>
        <v>0.496194213495807</v>
      </c>
      <c r="M19" s="41">
        <f t="shared" si="6"/>
        <v>0.45108564863255179</v>
      </c>
      <c r="N19" s="41">
        <f t="shared" ref="N19" si="7">N18*(1+$O$19)^($D$17-N17-1)</f>
        <v>6.7662847294882766</v>
      </c>
      <c r="O19" s="17">
        <f>O13</f>
        <v>0.1</v>
      </c>
      <c r="P19" s="38" t="s">
        <v>3</v>
      </c>
    </row>
    <row r="20" spans="2:16" ht="13.5" thickBot="1" x14ac:dyDescent="0.25">
      <c r="B20" s="71" t="s">
        <v>156</v>
      </c>
      <c r="C20" s="8" t="s">
        <v>4</v>
      </c>
      <c r="D20" s="20">
        <f>SUM(D19:N19)</f>
        <v>13.955428243162753</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23.13544711617936</v>
      </c>
      <c r="F23" s="22">
        <f>E23*D23</f>
        <v>7.8660520195009829</v>
      </c>
      <c r="G23" s="25"/>
      <c r="P23" s="38"/>
    </row>
    <row r="24" spans="2:16" x14ac:dyDescent="0.2">
      <c r="B24" s="9"/>
      <c r="C24" s="9" t="s">
        <v>15</v>
      </c>
      <c r="D24" s="44">
        <v>0.33</v>
      </c>
      <c r="E24" s="41">
        <f>D14</f>
        <v>34.74690958627734</v>
      </c>
      <c r="F24" s="22">
        <f>E24*D24</f>
        <v>11.466480163471523</v>
      </c>
      <c r="G24" s="25"/>
      <c r="P24" s="38"/>
    </row>
    <row r="25" spans="2:16" ht="13.5" thickBot="1" x14ac:dyDescent="0.25">
      <c r="B25" s="9"/>
      <c r="C25" s="10" t="s">
        <v>29</v>
      </c>
      <c r="D25" s="44">
        <v>0.33</v>
      </c>
      <c r="E25" s="23">
        <f>D20</f>
        <v>13.955428243162753</v>
      </c>
      <c r="F25" s="24">
        <f>E25*D25</f>
        <v>4.6052913202437091</v>
      </c>
      <c r="G25" s="25"/>
      <c r="P25" s="38"/>
    </row>
    <row r="26" spans="2:16" ht="13.5" thickBot="1" x14ac:dyDescent="0.25">
      <c r="B26" s="9"/>
      <c r="C26" s="36" t="s">
        <v>167</v>
      </c>
      <c r="D26" s="36">
        <f>C3</f>
        <v>34.42</v>
      </c>
      <c r="E26" s="15" t="s">
        <v>11</v>
      </c>
      <c r="F26" s="16">
        <f>SUM(F23:F25)</f>
        <v>23.937823503216215</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87" priority="1" operator="containsText" text="overvalued">
      <formula>NOT(ISERROR(SEARCH("overvalued",D3)))</formula>
    </cfRule>
    <cfRule type="containsText" dxfId="86" priority="2" operator="containsText" text="undervalued">
      <formula>NOT(ISERROR(SEARCH("undervalued",D3)))</formula>
    </cfRule>
  </conditionalFormatting>
  <hyperlinks>
    <hyperlink ref="C30" r:id="rId1" xr:uid="{C5EC0756-D8D9-EC4E-922C-8077BB03C035}"/>
    <hyperlink ref="B4" location="'COMPARATIVE TABLE'!A1" display="'COMPARATIVE TABLE'!A1" xr:uid="{0D212782-D78B-F645-BFFA-E1F102A4431A}"/>
    <hyperlink ref="C2" r:id="rId2" xr:uid="{02B238C9-DCCC-4345-8CFA-4C26A4696B17}"/>
  </hyperlinks>
  <pageMargins left="0.7" right="0.7" top="0.78740157499999996" bottom="0.78740157499999996"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058D-8B6E-304C-982E-22CE379454BE}">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242</v>
      </c>
      <c r="C2" s="89" t="s">
        <v>36</v>
      </c>
      <c r="D2" s="32"/>
      <c r="E2" s="33"/>
      <c r="F2" s="33"/>
      <c r="G2" s="33"/>
      <c r="H2" s="33"/>
      <c r="I2" s="33"/>
      <c r="J2" s="33"/>
      <c r="K2" s="33"/>
      <c r="L2" s="33"/>
      <c r="M2" s="33"/>
      <c r="N2" s="33"/>
      <c r="O2" s="33"/>
      <c r="P2" s="34"/>
      <c r="S2" s="3" t="s">
        <v>7</v>
      </c>
    </row>
    <row r="3" spans="2:19" ht="13.5" thickBot="1" x14ac:dyDescent="0.25">
      <c r="B3" s="35" t="s">
        <v>166</v>
      </c>
      <c r="C3" s="29">
        <f>'COMPARATIVE TABLE'!C4</f>
        <v>143.93</v>
      </c>
      <c r="D3" s="37"/>
      <c r="F3" s="73" t="s">
        <v>189</v>
      </c>
      <c r="G3" s="74"/>
      <c r="H3" s="74"/>
      <c r="I3" s="75">
        <v>0.2</v>
      </c>
      <c r="P3" s="38"/>
    </row>
    <row r="4" spans="2:19" ht="26.25" thickBot="1" x14ac:dyDescent="0.25">
      <c r="B4" s="39" t="s">
        <v>85</v>
      </c>
      <c r="N4" s="76" t="s">
        <v>5</v>
      </c>
      <c r="O4" s="4" t="s">
        <v>0</v>
      </c>
      <c r="P4" s="38"/>
    </row>
    <row r="5" spans="2:19" x14ac:dyDescent="0.2">
      <c r="B5" s="71" t="s">
        <v>8</v>
      </c>
      <c r="C5" s="5" t="s">
        <v>245</v>
      </c>
      <c r="D5" s="19">
        <v>2026</v>
      </c>
      <c r="E5" s="19">
        <f t="shared" ref="E5:M5" si="0">D5+1</f>
        <v>2027</v>
      </c>
      <c r="F5" s="19">
        <f t="shared" si="0"/>
        <v>2028</v>
      </c>
      <c r="G5" s="19">
        <f t="shared" si="0"/>
        <v>2029</v>
      </c>
      <c r="H5" s="19">
        <f t="shared" si="0"/>
        <v>2030</v>
      </c>
      <c r="I5" s="19">
        <f t="shared" si="0"/>
        <v>2031</v>
      </c>
      <c r="J5" s="19">
        <f t="shared" si="0"/>
        <v>2032</v>
      </c>
      <c r="K5" s="19">
        <f t="shared" si="0"/>
        <v>2033</v>
      </c>
      <c r="L5" s="19">
        <f t="shared" si="0"/>
        <v>2034</v>
      </c>
      <c r="M5" s="19">
        <f t="shared" si="0"/>
        <v>2035</v>
      </c>
      <c r="N5" s="77">
        <v>2035</v>
      </c>
      <c r="O5" s="70">
        <v>7.0000000000000007E-2</v>
      </c>
      <c r="P5" s="38" t="s">
        <v>1</v>
      </c>
      <c r="R5" s="1"/>
    </row>
    <row r="6" spans="2:19" x14ac:dyDescent="0.2">
      <c r="B6" s="71" t="s">
        <v>19</v>
      </c>
      <c r="C6" s="86">
        <v>8</v>
      </c>
      <c r="D6" s="41">
        <f>C6*(1+$O$5)</f>
        <v>8.56</v>
      </c>
      <c r="E6" s="41">
        <f>D6*(1+$O$5)</f>
        <v>9.1592000000000002</v>
      </c>
      <c r="F6" s="41">
        <f>E6*(1+$O$5)</f>
        <v>9.8003440000000008</v>
      </c>
      <c r="G6" s="41">
        <f>F6*(1+$O$5)</f>
        <v>10.486368080000002</v>
      </c>
      <c r="H6" s="41">
        <f>G6*(1+$O$5)</f>
        <v>11.220413845600003</v>
      </c>
      <c r="I6" s="41">
        <f>H6*(1+$O$6)</f>
        <v>11.781434537880004</v>
      </c>
      <c r="J6" s="41">
        <f>I6*(1+$O$6)</f>
        <v>12.370506264774006</v>
      </c>
      <c r="K6" s="41">
        <f>J6*(1+$O$6)</f>
        <v>12.989031578012707</v>
      </c>
      <c r="L6" s="41">
        <f>K6*(1+$O$6)</f>
        <v>13.638483156913344</v>
      </c>
      <c r="M6" s="41">
        <f>L6*(1+$O$6)</f>
        <v>14.320407314759011</v>
      </c>
      <c r="N6" s="72">
        <f>L6*O8</f>
        <v>204.57724735370016</v>
      </c>
      <c r="O6" s="70">
        <v>0.05</v>
      </c>
      <c r="P6" s="27" t="s">
        <v>2</v>
      </c>
    </row>
    <row r="7" spans="2:19" x14ac:dyDescent="0.2">
      <c r="B7" s="9"/>
      <c r="C7" s="7" t="str">
        <f>CONCATENATE(R8,O7*100,S8)</f>
        <v>PV(10%)</v>
      </c>
      <c r="D7" s="72">
        <f>D6*(1+$O$7)^($D$5-D5-1)*$I$3</f>
        <v>1.5563636363636366</v>
      </c>
      <c r="E7" s="72">
        <f t="shared" ref="E7:M7" si="1">E6*(1+$O$7)^($D$5-E5-1)*$I$3</f>
        <v>1.5139173553719008</v>
      </c>
      <c r="F7" s="72">
        <f t="shared" si="1"/>
        <v>1.4726287002253944</v>
      </c>
      <c r="G7" s="72">
        <f t="shared" si="1"/>
        <v>1.4324660993101563</v>
      </c>
      <c r="H7" s="72">
        <f t="shared" si="1"/>
        <v>1.3933988420562429</v>
      </c>
      <c r="I7" s="72">
        <f t="shared" si="1"/>
        <v>1.3300625310536867</v>
      </c>
      <c r="J7" s="72">
        <f t="shared" si="1"/>
        <v>1.2696051432785189</v>
      </c>
      <c r="K7" s="72">
        <f t="shared" si="1"/>
        <v>1.2118958185840407</v>
      </c>
      <c r="L7" s="72">
        <f t="shared" si="1"/>
        <v>1.1568096450120391</v>
      </c>
      <c r="M7" s="72">
        <f t="shared" si="1"/>
        <v>1.1042273884205827</v>
      </c>
      <c r="N7" s="72">
        <f t="shared" ref="N7" si="2">N6*(1+$O$7)^($D$5-N5-1)</f>
        <v>78.873384887184471</v>
      </c>
      <c r="O7" s="17">
        <v>0.1</v>
      </c>
      <c r="P7" s="45" t="s">
        <v>3</v>
      </c>
    </row>
    <row r="8" spans="2:19" ht="13.5" thickBot="1" x14ac:dyDescent="0.25">
      <c r="B8" s="9"/>
      <c r="C8" s="8" t="s">
        <v>26</v>
      </c>
      <c r="D8" s="20">
        <f>SUM(D7:N7)</f>
        <v>92.31476004686067</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v>
      </c>
      <c r="D11" s="19">
        <f>D5</f>
        <v>2026</v>
      </c>
      <c r="E11" s="19">
        <f t="shared" ref="E11:M11" si="3">D11+1</f>
        <v>2027</v>
      </c>
      <c r="F11" s="19">
        <f t="shared" si="3"/>
        <v>2028</v>
      </c>
      <c r="G11" s="19">
        <f t="shared" si="3"/>
        <v>2029</v>
      </c>
      <c r="H11" s="19">
        <f t="shared" si="3"/>
        <v>2030</v>
      </c>
      <c r="I11" s="19">
        <f t="shared" si="3"/>
        <v>2031</v>
      </c>
      <c r="J11" s="19">
        <f t="shared" si="3"/>
        <v>2032</v>
      </c>
      <c r="K11" s="19">
        <f t="shared" si="3"/>
        <v>2033</v>
      </c>
      <c r="L11" s="19">
        <f t="shared" si="3"/>
        <v>2034</v>
      </c>
      <c r="M11" s="19">
        <f t="shared" si="3"/>
        <v>2035</v>
      </c>
      <c r="N11" s="19">
        <f>N5</f>
        <v>2035</v>
      </c>
      <c r="O11" s="70">
        <v>0.09</v>
      </c>
      <c r="P11" s="38" t="s">
        <v>1</v>
      </c>
    </row>
    <row r="12" spans="2:19" x14ac:dyDescent="0.2">
      <c r="B12" s="71" t="s">
        <v>18</v>
      </c>
      <c r="C12" s="6">
        <f>C6</f>
        <v>8</v>
      </c>
      <c r="D12" s="41">
        <f>C12*(1+$O$11)</f>
        <v>8.7200000000000006</v>
      </c>
      <c r="E12" s="41">
        <f>D12*(1+$O$11)</f>
        <v>9.5048000000000012</v>
      </c>
      <c r="F12" s="41">
        <f>E12*(1+$O$11)</f>
        <v>10.360232000000002</v>
      </c>
      <c r="G12" s="41">
        <f>F12*(1+$O$11)</f>
        <v>11.292652880000002</v>
      </c>
      <c r="H12" s="41">
        <f>G12*(1+$O$11)</f>
        <v>12.308991639200004</v>
      </c>
      <c r="I12" s="41">
        <f>H12*(1+$O$12)</f>
        <v>13.047531137552005</v>
      </c>
      <c r="J12" s="41">
        <f>I12*(1+$O$12)</f>
        <v>13.830383005805126</v>
      </c>
      <c r="K12" s="41">
        <f>J12*(1+$O$12)</f>
        <v>14.660205986153434</v>
      </c>
      <c r="L12" s="41">
        <f>K12*(1+$O$12)</f>
        <v>15.53981834532264</v>
      </c>
      <c r="M12" s="41">
        <f>L12*(1+$O$12)</f>
        <v>16.472207446041999</v>
      </c>
      <c r="N12" s="41">
        <f>L12*O14</f>
        <v>310.79636690645282</v>
      </c>
      <c r="O12" s="70">
        <v>0.06</v>
      </c>
      <c r="P12" s="27" t="s">
        <v>2</v>
      </c>
    </row>
    <row r="13" spans="2:19" x14ac:dyDescent="0.2">
      <c r="B13" s="9">
        <f>B7</f>
        <v>0</v>
      </c>
      <c r="C13" s="7" t="str">
        <f>C7</f>
        <v>PV(10%)</v>
      </c>
      <c r="D13" s="41">
        <f>D12*(1+$O$13)^($D$11-D11-1)*$I$3</f>
        <v>1.5854545454545457</v>
      </c>
      <c r="E13" s="41">
        <f t="shared" ref="E13:M13" si="4">E12*(1+$O$13)^($D$11-E11-1)*$I$3</f>
        <v>1.5710413223140496</v>
      </c>
      <c r="F13" s="41">
        <f t="shared" si="4"/>
        <v>1.5567591284748308</v>
      </c>
      <c r="G13" s="41">
        <f t="shared" si="4"/>
        <v>1.5426067727614234</v>
      </c>
      <c r="H13" s="41">
        <f t="shared" si="4"/>
        <v>1.5285830748272287</v>
      </c>
      <c r="I13" s="41">
        <f t="shared" si="4"/>
        <v>1.4729982357426021</v>
      </c>
      <c r="J13" s="41">
        <f t="shared" si="4"/>
        <v>1.4194346635337802</v>
      </c>
      <c r="K13" s="41">
        <f t="shared" si="4"/>
        <v>1.3678188575870971</v>
      </c>
      <c r="L13" s="41">
        <f t="shared" si="4"/>
        <v>1.3180799900384754</v>
      </c>
      <c r="M13" s="41">
        <f t="shared" si="4"/>
        <v>1.2701498085825309</v>
      </c>
      <c r="N13" s="41">
        <f>N12*(1+$O$7)^($D$5-N11-1)</f>
        <v>119.82545363986139</v>
      </c>
      <c r="O13" s="17">
        <f>O7</f>
        <v>0.1</v>
      </c>
      <c r="P13" s="38" t="s">
        <v>3</v>
      </c>
    </row>
    <row r="14" spans="2:19" ht="13.5" thickBot="1" x14ac:dyDescent="0.25">
      <c r="B14" s="9"/>
      <c r="C14" s="8" t="s">
        <v>4</v>
      </c>
      <c r="D14" s="20">
        <f>SUM(D13:N13)</f>
        <v>134.45838003917797</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v>
      </c>
      <c r="D17" s="19">
        <f>D11</f>
        <v>2026</v>
      </c>
      <c r="E17" s="19">
        <f t="shared" ref="E17:M17" si="5">D17+1</f>
        <v>2027</v>
      </c>
      <c r="F17" s="19">
        <f t="shared" si="5"/>
        <v>2028</v>
      </c>
      <c r="G17" s="19">
        <f t="shared" si="5"/>
        <v>2029</v>
      </c>
      <c r="H17" s="19">
        <f t="shared" si="5"/>
        <v>2030</v>
      </c>
      <c r="I17" s="19">
        <f t="shared" si="5"/>
        <v>2031</v>
      </c>
      <c r="J17" s="19">
        <f t="shared" si="5"/>
        <v>2032</v>
      </c>
      <c r="K17" s="19">
        <f t="shared" si="5"/>
        <v>2033</v>
      </c>
      <c r="L17" s="19">
        <f t="shared" si="5"/>
        <v>2034</v>
      </c>
      <c r="M17" s="19">
        <f t="shared" si="5"/>
        <v>2035</v>
      </c>
      <c r="N17" s="19">
        <f>N11</f>
        <v>2035</v>
      </c>
      <c r="O17" s="70">
        <v>0.05</v>
      </c>
      <c r="P17" s="38" t="s">
        <v>1</v>
      </c>
    </row>
    <row r="18" spans="2:16" x14ac:dyDescent="0.2">
      <c r="B18" s="71" t="s">
        <v>17</v>
      </c>
      <c r="C18" s="6">
        <f>C12</f>
        <v>8</v>
      </c>
      <c r="D18" s="41">
        <f>C18*(1+$O$17)</f>
        <v>8.4</v>
      </c>
      <c r="E18" s="41">
        <f>D18*(1+$O$17)</f>
        <v>8.82</v>
      </c>
      <c r="F18" s="41">
        <f>E18*(1+$O$17)</f>
        <v>9.261000000000001</v>
      </c>
      <c r="G18" s="41">
        <f>F18*(1+$O$17)</f>
        <v>9.7240500000000019</v>
      </c>
      <c r="H18" s="41">
        <f>G18*(1+$O$17)</f>
        <v>10.210252500000003</v>
      </c>
      <c r="I18" s="41">
        <f>H18*(1+$O$18)</f>
        <v>10.618662600000004</v>
      </c>
      <c r="J18" s="41">
        <f>I18*(1+$O$18)</f>
        <v>11.043409104000004</v>
      </c>
      <c r="K18" s="41">
        <f>J18*(1+$O$18)</f>
        <v>11.485145468160004</v>
      </c>
      <c r="L18" s="41">
        <f>K18*(1+$O$18)</f>
        <v>11.944551286886405</v>
      </c>
      <c r="M18" s="41">
        <f>L18*(1+$O$18)</f>
        <v>12.422333338361861</v>
      </c>
      <c r="N18" s="41">
        <f>L18*O20</f>
        <v>119.44551286886406</v>
      </c>
      <c r="O18" s="70">
        <v>0.04</v>
      </c>
      <c r="P18" s="27" t="s">
        <v>2</v>
      </c>
    </row>
    <row r="19" spans="2:16" x14ac:dyDescent="0.2">
      <c r="B19" s="71" t="s">
        <v>155</v>
      </c>
      <c r="C19" s="7" t="str">
        <f>C13</f>
        <v>PV(10%)</v>
      </c>
      <c r="D19" s="41">
        <f>D18*(1+$O$19)^($D$17-D17-1)*$I$3</f>
        <v>1.5272727272727273</v>
      </c>
      <c r="E19" s="41">
        <f t="shared" ref="E19:M19" si="6">E18*(1+$O$19)^($D$17-E17-1)*$I$3</f>
        <v>1.4578512396694214</v>
      </c>
      <c r="F19" s="41">
        <f t="shared" si="6"/>
        <v>1.3915852742299022</v>
      </c>
      <c r="G19" s="41">
        <f t="shared" si="6"/>
        <v>1.3283313981285432</v>
      </c>
      <c r="H19" s="41">
        <f t="shared" si="6"/>
        <v>1.2679526982136093</v>
      </c>
      <c r="I19" s="41">
        <f t="shared" si="6"/>
        <v>1.1987916419474125</v>
      </c>
      <c r="J19" s="41">
        <f t="shared" si="6"/>
        <v>1.1334030069320988</v>
      </c>
      <c r="K19" s="41">
        <f t="shared" si="6"/>
        <v>1.0715810247358026</v>
      </c>
      <c r="L19" s="41">
        <f t="shared" si="6"/>
        <v>1.0131311506593041</v>
      </c>
      <c r="M19" s="41">
        <f t="shared" si="6"/>
        <v>0.95786945153243297</v>
      </c>
      <c r="N19" s="41">
        <f t="shared" ref="N19" si="7">N18*(1+$O$19)^($D$17-N17-1)</f>
        <v>46.051415939059282</v>
      </c>
      <c r="O19" s="17">
        <f>O13</f>
        <v>0.1</v>
      </c>
      <c r="P19" s="38" t="s">
        <v>3</v>
      </c>
    </row>
    <row r="20" spans="2:16" ht="13.5" thickBot="1" x14ac:dyDescent="0.25">
      <c r="B20" s="71" t="s">
        <v>156</v>
      </c>
      <c r="C20" s="8" t="s">
        <v>4</v>
      </c>
      <c r="D20" s="20">
        <f>SUM(D19:N19)</f>
        <v>58.399185552380537</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92.31476004686067</v>
      </c>
      <c r="F23" s="22">
        <f>E23*D23</f>
        <v>31.38701841593263</v>
      </c>
      <c r="G23" s="25"/>
      <c r="P23" s="38"/>
    </row>
    <row r="24" spans="2:16" x14ac:dyDescent="0.2">
      <c r="B24" s="9"/>
      <c r="C24" s="9" t="s">
        <v>15</v>
      </c>
      <c r="D24" s="44">
        <v>0.33</v>
      </c>
      <c r="E24" s="41">
        <f>D14</f>
        <v>134.45838003917797</v>
      </c>
      <c r="F24" s="22">
        <f>E24*D24</f>
        <v>44.371265412928729</v>
      </c>
      <c r="G24" s="25"/>
      <c r="P24" s="38"/>
    </row>
    <row r="25" spans="2:16" ht="13.5" thickBot="1" x14ac:dyDescent="0.25">
      <c r="B25" s="9"/>
      <c r="C25" s="10" t="s">
        <v>29</v>
      </c>
      <c r="D25" s="44">
        <v>0.33</v>
      </c>
      <c r="E25" s="23">
        <f>D20</f>
        <v>58.399185552380537</v>
      </c>
      <c r="F25" s="24">
        <f>E25*D25</f>
        <v>19.271731232285578</v>
      </c>
      <c r="G25" s="25"/>
      <c r="P25" s="38"/>
    </row>
    <row r="26" spans="2:16" ht="13.5" thickBot="1" x14ac:dyDescent="0.25">
      <c r="B26" s="9"/>
      <c r="C26" s="36" t="s">
        <v>167</v>
      </c>
      <c r="D26" s="36">
        <f>C3</f>
        <v>143.93</v>
      </c>
      <c r="E26" s="15" t="s">
        <v>11</v>
      </c>
      <c r="F26" s="16">
        <f>SUM(F23:F25)</f>
        <v>95.030015061146926</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85" priority="1" operator="containsText" text="overvalued">
      <formula>NOT(ISERROR(SEARCH("overvalued",D3)))</formula>
    </cfRule>
    <cfRule type="containsText" dxfId="84" priority="2" operator="containsText" text="undervalued">
      <formula>NOT(ISERROR(SEARCH("undervalued",D3)))</formula>
    </cfRule>
  </conditionalFormatting>
  <hyperlinks>
    <hyperlink ref="C30" r:id="rId1" xr:uid="{06257F6B-2812-584E-83EA-93F648A1B740}"/>
    <hyperlink ref="B4" location="'COMPARATIVE TABLE'!A1" display="'COMPARATIVE TABLE'!A1" xr:uid="{E1720B3C-539D-2445-9ACC-9EDEF5BE541E}"/>
    <hyperlink ref="C2" r:id="rId2" xr:uid="{C85C85AE-5730-D648-9097-4FF18158437D}"/>
  </hyperlinks>
  <pageMargins left="0.7" right="0.7" top="0.78740157499999996" bottom="0.78740157499999996"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CDF2-8F9F-024A-A05F-B0EFD56DB0D1}">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248</v>
      </c>
      <c r="C2" s="89" t="s">
        <v>36</v>
      </c>
      <c r="D2" s="32"/>
      <c r="E2" s="33"/>
      <c r="F2" s="33"/>
      <c r="G2" s="33"/>
      <c r="H2" s="33"/>
      <c r="I2" s="33"/>
      <c r="J2" s="33"/>
      <c r="K2" s="33"/>
      <c r="L2" s="33"/>
      <c r="M2" s="33"/>
      <c r="N2" s="33"/>
      <c r="O2" s="33"/>
      <c r="P2" s="34"/>
      <c r="S2" s="3" t="s">
        <v>7</v>
      </c>
    </row>
    <row r="3" spans="2:19" ht="13.5" thickBot="1" x14ac:dyDescent="0.25">
      <c r="B3" s="35" t="s">
        <v>166</v>
      </c>
      <c r="C3" s="29">
        <f>'COMPARATIVE TABLE'!C5</f>
        <v>22.9</v>
      </c>
      <c r="D3" s="37"/>
      <c r="F3" s="73" t="s">
        <v>189</v>
      </c>
      <c r="G3" s="74"/>
      <c r="H3" s="74"/>
      <c r="I3" s="75">
        <v>1</v>
      </c>
      <c r="P3" s="38"/>
    </row>
    <row r="4" spans="2:19" ht="26.25" thickBot="1" x14ac:dyDescent="0.25">
      <c r="B4" s="39" t="s">
        <v>85</v>
      </c>
      <c r="N4" s="76" t="s">
        <v>5</v>
      </c>
      <c r="O4" s="4" t="s">
        <v>0</v>
      </c>
      <c r="P4" s="38"/>
    </row>
    <row r="5" spans="2:19" x14ac:dyDescent="0.2">
      <c r="B5" s="71" t="s">
        <v>8</v>
      </c>
      <c r="C5" s="5" t="s">
        <v>254</v>
      </c>
      <c r="D5" s="19">
        <v>2026</v>
      </c>
      <c r="E5" s="19">
        <f t="shared" ref="E5:M5" si="0">D5+1</f>
        <v>2027</v>
      </c>
      <c r="F5" s="19">
        <f t="shared" si="0"/>
        <v>2028</v>
      </c>
      <c r="G5" s="19">
        <f t="shared" si="0"/>
        <v>2029</v>
      </c>
      <c r="H5" s="19">
        <f t="shared" si="0"/>
        <v>2030</v>
      </c>
      <c r="I5" s="19">
        <f t="shared" si="0"/>
        <v>2031</v>
      </c>
      <c r="J5" s="19">
        <f t="shared" si="0"/>
        <v>2032</v>
      </c>
      <c r="K5" s="19">
        <f t="shared" si="0"/>
        <v>2033</v>
      </c>
      <c r="L5" s="19">
        <f t="shared" si="0"/>
        <v>2034</v>
      </c>
      <c r="M5" s="19">
        <f t="shared" si="0"/>
        <v>2035</v>
      </c>
      <c r="N5" s="77">
        <v>2035</v>
      </c>
      <c r="O5" s="70">
        <v>0.05</v>
      </c>
      <c r="P5" s="38" t="s">
        <v>1</v>
      </c>
      <c r="R5" s="1"/>
    </row>
    <row r="6" spans="2:19" x14ac:dyDescent="0.2">
      <c r="B6" s="71" t="s">
        <v>19</v>
      </c>
      <c r="C6" s="86">
        <v>1.3</v>
      </c>
      <c r="D6" s="41">
        <f>C6*(1+$O$5)</f>
        <v>1.3650000000000002</v>
      </c>
      <c r="E6" s="41">
        <f>D6*(1+$O$5)</f>
        <v>1.4332500000000004</v>
      </c>
      <c r="F6" s="41">
        <f>E6*(1+$O$5)</f>
        <v>1.5049125000000005</v>
      </c>
      <c r="G6" s="41">
        <f>F6*(1+$O$5)</f>
        <v>1.5801581250000007</v>
      </c>
      <c r="H6" s="41">
        <f>G6*(1+$O$5)</f>
        <v>1.6591660312500009</v>
      </c>
      <c r="I6" s="41">
        <f>H6*(1+$O$6)</f>
        <v>1.7421243328125011</v>
      </c>
      <c r="J6" s="41">
        <f>I6*(1+$O$6)</f>
        <v>1.8292305494531262</v>
      </c>
      <c r="K6" s="41">
        <f>J6*(1+$O$6)</f>
        <v>1.9206920769257827</v>
      </c>
      <c r="L6" s="41">
        <f>K6*(1+$O$6)</f>
        <v>2.0167266807720718</v>
      </c>
      <c r="M6" s="41">
        <f>L6*(1+$O$6)</f>
        <v>2.1175630148106754</v>
      </c>
      <c r="N6" s="72">
        <f>L6*O8</f>
        <v>30.250900211581076</v>
      </c>
      <c r="O6" s="70">
        <v>0.05</v>
      </c>
      <c r="P6" s="27" t="s">
        <v>2</v>
      </c>
    </row>
    <row r="7" spans="2:19" x14ac:dyDescent="0.2">
      <c r="B7" s="9"/>
      <c r="C7" s="7" t="str">
        <f>CONCATENATE(R8,O7*100,S8)</f>
        <v>PV(10%)</v>
      </c>
      <c r="D7" s="72">
        <f>D6*(1+$O$7)^($D$5-D5-1)*$I$3</f>
        <v>1.240909090909091</v>
      </c>
      <c r="E7" s="72">
        <f t="shared" ref="E7:M7" si="1">E6*(1+$O$7)^($D$5-E5-1)*$I$3</f>
        <v>1.1845041322314052</v>
      </c>
      <c r="F7" s="72">
        <f t="shared" si="1"/>
        <v>1.1306630353117957</v>
      </c>
      <c r="G7" s="72">
        <f t="shared" si="1"/>
        <v>1.0792692609794414</v>
      </c>
      <c r="H7" s="72">
        <f t="shared" si="1"/>
        <v>1.0302115672985577</v>
      </c>
      <c r="I7" s="72">
        <f t="shared" si="1"/>
        <v>0.98338376878498701</v>
      </c>
      <c r="J7" s="72">
        <f t="shared" si="1"/>
        <v>0.93868450656748748</v>
      </c>
      <c r="K7" s="72">
        <f t="shared" si="1"/>
        <v>0.89601702899623814</v>
      </c>
      <c r="L7" s="72">
        <f t="shared" si="1"/>
        <v>0.85528898222368188</v>
      </c>
      <c r="M7" s="72">
        <f t="shared" si="1"/>
        <v>0.81641221030442346</v>
      </c>
      <c r="N7" s="72">
        <f t="shared" ref="N7" si="2">N6*(1+$O$7)^($D$5-N5-1)</f>
        <v>11.663031575777477</v>
      </c>
      <c r="O7" s="17">
        <v>0.1</v>
      </c>
      <c r="P7" s="45" t="s">
        <v>3</v>
      </c>
    </row>
    <row r="8" spans="2:19" ht="13.5" thickBot="1" x14ac:dyDescent="0.25">
      <c r="B8" s="9"/>
      <c r="C8" s="8" t="s">
        <v>26</v>
      </c>
      <c r="D8" s="20">
        <f>SUM(D7:N7)</f>
        <v>21.818375159384587</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2026</v>
      </c>
      <c r="E11" s="19">
        <f t="shared" ref="E11:M11" si="3">D11+1</f>
        <v>2027</v>
      </c>
      <c r="F11" s="19">
        <f t="shared" si="3"/>
        <v>2028</v>
      </c>
      <c r="G11" s="19">
        <f t="shared" si="3"/>
        <v>2029</v>
      </c>
      <c r="H11" s="19">
        <f t="shared" si="3"/>
        <v>2030</v>
      </c>
      <c r="I11" s="19">
        <f t="shared" si="3"/>
        <v>2031</v>
      </c>
      <c r="J11" s="19">
        <f t="shared" si="3"/>
        <v>2032</v>
      </c>
      <c r="K11" s="19">
        <f t="shared" si="3"/>
        <v>2033</v>
      </c>
      <c r="L11" s="19">
        <f t="shared" si="3"/>
        <v>2034</v>
      </c>
      <c r="M11" s="19">
        <f t="shared" si="3"/>
        <v>2035</v>
      </c>
      <c r="N11" s="19">
        <f>N5</f>
        <v>2035</v>
      </c>
      <c r="O11" s="70">
        <v>7.0000000000000007E-2</v>
      </c>
      <c r="P11" s="38" t="s">
        <v>1</v>
      </c>
    </row>
    <row r="12" spans="2:19" x14ac:dyDescent="0.2">
      <c r="B12" s="71" t="s">
        <v>18</v>
      </c>
      <c r="C12" s="6">
        <f>C6</f>
        <v>1.3</v>
      </c>
      <c r="D12" s="41">
        <f>C12*(1+$O$11)</f>
        <v>1.3910000000000002</v>
      </c>
      <c r="E12" s="41">
        <f>D12*(1+$O$11)</f>
        <v>1.4883700000000004</v>
      </c>
      <c r="F12" s="41">
        <f>E12*(1+$O$11)</f>
        <v>1.5925559000000005</v>
      </c>
      <c r="G12" s="41">
        <f>F12*(1+$O$11)</f>
        <v>1.7040348130000007</v>
      </c>
      <c r="H12" s="41">
        <f>G12*(1+$O$11)</f>
        <v>1.8233172499100008</v>
      </c>
      <c r="I12" s="41">
        <f>H12*(1+$O$12)</f>
        <v>1.950949457403701</v>
      </c>
      <c r="J12" s="41">
        <f>I12*(1+$O$12)</f>
        <v>2.0875159194219601</v>
      </c>
      <c r="K12" s="41">
        <f>J12*(1+$O$12)</f>
        <v>2.2336420337814973</v>
      </c>
      <c r="L12" s="41">
        <f>K12*(1+$O$12)</f>
        <v>2.3899969761462021</v>
      </c>
      <c r="M12" s="41">
        <f>L12*(1+$O$12)</f>
        <v>2.5572967644764364</v>
      </c>
      <c r="N12" s="41">
        <f>L12*O14</f>
        <v>47.799939522924042</v>
      </c>
      <c r="O12" s="70">
        <v>7.0000000000000007E-2</v>
      </c>
      <c r="P12" s="27" t="s">
        <v>2</v>
      </c>
    </row>
    <row r="13" spans="2:19" x14ac:dyDescent="0.2">
      <c r="B13" s="9">
        <f>B7</f>
        <v>0</v>
      </c>
      <c r="C13" s="7" t="str">
        <f>C7</f>
        <v>PV(10%)</v>
      </c>
      <c r="D13" s="41">
        <f>D12*(1+$O$13)^($D$11-D11-1)*$I$3</f>
        <v>1.2645454545454546</v>
      </c>
      <c r="E13" s="41">
        <f t="shared" ref="E13:M13" si="4">E12*(1+$O$13)^($D$11-E11-1)*$I$3</f>
        <v>1.2300578512396696</v>
      </c>
      <c r="F13" s="41">
        <f t="shared" si="4"/>
        <v>1.196510818933133</v>
      </c>
      <c r="G13" s="41">
        <f t="shared" si="4"/>
        <v>1.1638787056895024</v>
      </c>
      <c r="H13" s="41">
        <f t="shared" si="4"/>
        <v>1.1321365591706976</v>
      </c>
      <c r="I13" s="41">
        <f t="shared" si="4"/>
        <v>1.1012601075569513</v>
      </c>
      <c r="J13" s="41">
        <f t="shared" si="4"/>
        <v>1.0712257409872161</v>
      </c>
      <c r="K13" s="41">
        <f t="shared" si="4"/>
        <v>1.0420104935057466</v>
      </c>
      <c r="L13" s="41">
        <f t="shared" si="4"/>
        <v>1.0135920255010444</v>
      </c>
      <c r="M13" s="41">
        <f t="shared" si="4"/>
        <v>0.98594860662374306</v>
      </c>
      <c r="N13" s="41">
        <f>N12*(1+$O$7)^($D$5-N11-1)</f>
        <v>18.428945918200803</v>
      </c>
      <c r="O13" s="17">
        <f>O7</f>
        <v>0.1</v>
      </c>
      <c r="P13" s="38" t="s">
        <v>3</v>
      </c>
    </row>
    <row r="14" spans="2:19" ht="13.5" thickBot="1" x14ac:dyDescent="0.25">
      <c r="B14" s="9"/>
      <c r="C14" s="8" t="s">
        <v>4</v>
      </c>
      <c r="D14" s="20">
        <f>SUM(D13:N13)</f>
        <v>29.630112281953963</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2026</v>
      </c>
      <c r="E17" s="19">
        <f t="shared" ref="E17:M17" si="5">D17+1</f>
        <v>2027</v>
      </c>
      <c r="F17" s="19">
        <f t="shared" si="5"/>
        <v>2028</v>
      </c>
      <c r="G17" s="19">
        <f t="shared" si="5"/>
        <v>2029</v>
      </c>
      <c r="H17" s="19">
        <f t="shared" si="5"/>
        <v>2030</v>
      </c>
      <c r="I17" s="19">
        <f t="shared" si="5"/>
        <v>2031</v>
      </c>
      <c r="J17" s="19">
        <f t="shared" si="5"/>
        <v>2032</v>
      </c>
      <c r="K17" s="19">
        <f t="shared" si="5"/>
        <v>2033</v>
      </c>
      <c r="L17" s="19">
        <f t="shared" si="5"/>
        <v>2034</v>
      </c>
      <c r="M17" s="19">
        <f t="shared" si="5"/>
        <v>2035</v>
      </c>
      <c r="N17" s="19">
        <f>N11</f>
        <v>2035</v>
      </c>
      <c r="O17" s="70">
        <v>0.03</v>
      </c>
      <c r="P17" s="38" t="s">
        <v>1</v>
      </c>
    </row>
    <row r="18" spans="2:16" x14ac:dyDescent="0.2">
      <c r="B18" s="71" t="s">
        <v>17</v>
      </c>
      <c r="C18" s="6">
        <f>C12</f>
        <v>1.3</v>
      </c>
      <c r="D18" s="41">
        <f>C18*(1+$O$17)</f>
        <v>1.3390000000000002</v>
      </c>
      <c r="E18" s="41">
        <f>D18*(1+$O$17)</f>
        <v>1.3791700000000002</v>
      </c>
      <c r="F18" s="41">
        <f>E18*(1+$O$17)</f>
        <v>1.4205451000000002</v>
      </c>
      <c r="G18" s="41">
        <f>F18*(1+$O$17)</f>
        <v>1.4631614530000003</v>
      </c>
      <c r="H18" s="41">
        <f>G18*(1+$O$17)</f>
        <v>1.5070562965900003</v>
      </c>
      <c r="I18" s="41">
        <f>H18*(1+$O$18)</f>
        <v>1.5070562965900003</v>
      </c>
      <c r="J18" s="41">
        <f>I18*(1+$O$18)</f>
        <v>1.5070562965900003</v>
      </c>
      <c r="K18" s="41">
        <f>J18*(1+$O$18)</f>
        <v>1.5070562965900003</v>
      </c>
      <c r="L18" s="41">
        <f>K18*(1+$O$18)</f>
        <v>1.5070562965900003</v>
      </c>
      <c r="M18" s="41">
        <f>L18*(1+$O$18)</f>
        <v>1.5070562965900003</v>
      </c>
      <c r="N18" s="41">
        <f>L18*O20</f>
        <v>18.084675559080004</v>
      </c>
      <c r="O18" s="70">
        <v>0</v>
      </c>
      <c r="P18" s="27" t="s">
        <v>2</v>
      </c>
    </row>
    <row r="19" spans="2:16" x14ac:dyDescent="0.2">
      <c r="B19" s="71" t="s">
        <v>155</v>
      </c>
      <c r="C19" s="7" t="str">
        <f>C13</f>
        <v>PV(10%)</v>
      </c>
      <c r="D19" s="41">
        <f>D18*(1+$O$19)^($D$17-D17-1)*$I$3</f>
        <v>1.2172727272727275</v>
      </c>
      <c r="E19" s="41">
        <f t="shared" ref="E19:M19" si="6">E18*(1+$O$19)^($D$17-E17-1)*$I$3</f>
        <v>1.139809917355372</v>
      </c>
      <c r="F19" s="41">
        <f t="shared" si="6"/>
        <v>1.0672765589782118</v>
      </c>
      <c r="G19" s="41">
        <f t="shared" si="6"/>
        <v>0.99935895977050748</v>
      </c>
      <c r="H19" s="41">
        <f t="shared" si="6"/>
        <v>0.93576338960329319</v>
      </c>
      <c r="I19" s="41">
        <f t="shared" si="6"/>
        <v>0.85069399054844841</v>
      </c>
      <c r="J19" s="41">
        <f t="shared" si="6"/>
        <v>0.77335817322586198</v>
      </c>
      <c r="K19" s="41">
        <f t="shared" si="6"/>
        <v>0.70305288475078365</v>
      </c>
      <c r="L19" s="41">
        <f t="shared" si="6"/>
        <v>0.63913898613707598</v>
      </c>
      <c r="M19" s="41">
        <f t="shared" si="6"/>
        <v>0.58103544194279633</v>
      </c>
      <c r="N19" s="41">
        <f t="shared" ref="N19" si="7">N18*(1+$O$19)^($D$17-N17-1)</f>
        <v>6.9724253033135559</v>
      </c>
      <c r="O19" s="17">
        <f>O13</f>
        <v>0.1</v>
      </c>
      <c r="P19" s="38" t="s">
        <v>3</v>
      </c>
    </row>
    <row r="20" spans="2:16" ht="13.5" thickBot="1" x14ac:dyDescent="0.25">
      <c r="B20" s="71" t="s">
        <v>156</v>
      </c>
      <c r="C20" s="8" t="s">
        <v>4</v>
      </c>
      <c r="D20" s="20">
        <f>SUM(D19:N19)</f>
        <v>15.879186332898634</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21.818375159384587</v>
      </c>
      <c r="F23" s="22">
        <f>E23*D23</f>
        <v>7.41824755419076</v>
      </c>
      <c r="G23" s="25"/>
      <c r="P23" s="38"/>
    </row>
    <row r="24" spans="2:16" x14ac:dyDescent="0.2">
      <c r="B24" s="9"/>
      <c r="C24" s="9" t="s">
        <v>15</v>
      </c>
      <c r="D24" s="44">
        <v>0.33</v>
      </c>
      <c r="E24" s="41">
        <f>D14</f>
        <v>29.630112281953963</v>
      </c>
      <c r="F24" s="22">
        <f>E24*D24</f>
        <v>9.7779370530448073</v>
      </c>
      <c r="G24" s="25"/>
      <c r="P24" s="38"/>
    </row>
    <row r="25" spans="2:16" ht="13.5" thickBot="1" x14ac:dyDescent="0.25">
      <c r="B25" s="9"/>
      <c r="C25" s="10" t="s">
        <v>29</v>
      </c>
      <c r="D25" s="44">
        <v>0.33</v>
      </c>
      <c r="E25" s="23">
        <f>D20</f>
        <v>15.879186332898634</v>
      </c>
      <c r="F25" s="24">
        <f>E25*D25</f>
        <v>5.240131489856549</v>
      </c>
      <c r="G25" s="25"/>
      <c r="P25" s="38"/>
    </row>
    <row r="26" spans="2:16" ht="13.5" thickBot="1" x14ac:dyDescent="0.25">
      <c r="B26" s="9"/>
      <c r="C26" s="36" t="s">
        <v>167</v>
      </c>
      <c r="D26" s="36">
        <f>C3</f>
        <v>22.9</v>
      </c>
      <c r="E26" s="15" t="s">
        <v>11</v>
      </c>
      <c r="F26" s="16">
        <f>SUM(F23:F25)</f>
        <v>22.436316097092114</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83" priority="1" operator="containsText" text="overvalued">
      <formula>NOT(ISERROR(SEARCH("overvalued",D3)))</formula>
    </cfRule>
    <cfRule type="containsText" dxfId="82" priority="2" operator="containsText" text="undervalued">
      <formula>NOT(ISERROR(SEARCH("undervalued",D3)))</formula>
    </cfRule>
  </conditionalFormatting>
  <hyperlinks>
    <hyperlink ref="C30" r:id="rId1" xr:uid="{B5F3406B-EE1A-DA4F-9CB1-D083B2A955B4}"/>
    <hyperlink ref="B4" location="'COMPARATIVE TABLE'!A1" display="'COMPARATIVE TABLE'!A1" xr:uid="{868338C4-09B5-554A-B837-13063ACA53C0}"/>
    <hyperlink ref="C2" r:id="rId2" xr:uid="{28A47B9E-026F-594C-A364-08FEB1853DC3}"/>
  </hyperlinks>
  <pageMargins left="0.7" right="0.7" top="0.78740157499999996" bottom="0.78740157499999996"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C4F7-5E83-F54E-9246-A36B484ED4AE}">
  <dimension ref="B1:S30"/>
  <sheetViews>
    <sheetView showGridLines="0" zoomScale="141" zoomScaleNormal="141"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188</v>
      </c>
      <c r="C2" s="89" t="s">
        <v>36</v>
      </c>
      <c r="D2" s="32"/>
      <c r="E2" s="33"/>
      <c r="F2" s="33"/>
      <c r="G2" s="33"/>
      <c r="H2" s="33"/>
      <c r="I2" s="33"/>
      <c r="J2" s="33"/>
      <c r="K2" s="33"/>
      <c r="L2" s="33"/>
      <c r="M2" s="33"/>
      <c r="N2" s="33"/>
      <c r="O2" s="33"/>
      <c r="P2" s="34"/>
      <c r="S2" s="3" t="s">
        <v>7</v>
      </c>
    </row>
    <row r="3" spans="2:19" ht="13.5" thickBot="1" x14ac:dyDescent="0.25">
      <c r="B3" s="35" t="s">
        <v>166</v>
      </c>
      <c r="C3" s="36">
        <f>'MKT CAP - Price'!E91</f>
        <v>61.41</v>
      </c>
      <c r="D3" s="37"/>
      <c r="F3" s="11" t="s">
        <v>189</v>
      </c>
      <c r="G3" s="12"/>
      <c r="H3" s="12"/>
      <c r="I3" s="46">
        <v>1</v>
      </c>
      <c r="P3" s="38"/>
    </row>
    <row r="4" spans="2:19" ht="26.25" thickBot="1" x14ac:dyDescent="0.25">
      <c r="B4" s="39" t="s">
        <v>85</v>
      </c>
      <c r="N4" s="40" t="s">
        <v>5</v>
      </c>
      <c r="O4" s="4" t="s">
        <v>0</v>
      </c>
      <c r="P4" s="38"/>
    </row>
    <row r="5" spans="2:19" x14ac:dyDescent="0.2">
      <c r="B5" s="9"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0.02</v>
      </c>
      <c r="P5" s="38" t="s">
        <v>1</v>
      </c>
      <c r="R5" s="1"/>
    </row>
    <row r="6" spans="2:19" x14ac:dyDescent="0.2">
      <c r="B6" s="9" t="s">
        <v>19</v>
      </c>
      <c r="C6" s="6">
        <v>2.04</v>
      </c>
      <c r="D6" s="41">
        <f>C6*(1+$O$5)</f>
        <v>2.0808</v>
      </c>
      <c r="E6" s="41">
        <f>D6*(1+$O$5)</f>
        <v>2.1224159999999999</v>
      </c>
      <c r="F6" s="41">
        <f>E6*(1+$O$5)</f>
        <v>2.16486432</v>
      </c>
      <c r="G6" s="41">
        <f>F6*(1+$O$5)</f>
        <v>2.2081616064</v>
      </c>
      <c r="H6" s="41">
        <f>G6*(1+$O$5)</f>
        <v>2.2523248385280001</v>
      </c>
      <c r="I6" s="41">
        <f>H6*(1+$O$6)</f>
        <v>2.3874643288396804</v>
      </c>
      <c r="J6" s="41">
        <f>I6*(1+$O$6)</f>
        <v>2.5307121885700612</v>
      </c>
      <c r="K6" s="41">
        <f>J6*(1+$O$6)</f>
        <v>2.6825549198842649</v>
      </c>
      <c r="L6" s="41">
        <f>K6*(1+$O$6)</f>
        <v>2.8435082150773208</v>
      </c>
      <c r="M6" s="41">
        <f>L6*(1+$O$6)</f>
        <v>3.01411870798196</v>
      </c>
      <c r="N6" s="41">
        <f>L6*O8</f>
        <v>56.870164301546417</v>
      </c>
      <c r="O6" s="17">
        <v>0.06</v>
      </c>
      <c r="P6" s="27" t="s">
        <v>2</v>
      </c>
    </row>
    <row r="7" spans="2:19" x14ac:dyDescent="0.2">
      <c r="B7" s="9"/>
      <c r="C7" s="7" t="str">
        <f>CONCATENATE(R8,O7*100,S8)</f>
        <v>PV(10%)</v>
      </c>
      <c r="D7" s="41">
        <f>D6*(1+$O$7)^($D$5-D5-1)*$I$3</f>
        <v>1.8916363636363636</v>
      </c>
      <c r="E7" s="41">
        <f t="shared" ref="E7:M7" si="1">E6*(1+$O$7)^($D$5-E5-1)*$I$3</f>
        <v>1.754062809917355</v>
      </c>
      <c r="F7" s="41">
        <f t="shared" si="1"/>
        <v>1.6264946055597289</v>
      </c>
      <c r="G7" s="41">
        <f t="shared" si="1"/>
        <v>1.5082040887917489</v>
      </c>
      <c r="H7" s="41">
        <f t="shared" si="1"/>
        <v>1.3985165186978032</v>
      </c>
      <c r="I7" s="41">
        <f t="shared" si="1"/>
        <v>1.347661372563338</v>
      </c>
      <c r="J7" s="41">
        <f t="shared" si="1"/>
        <v>1.2986555044701253</v>
      </c>
      <c r="K7" s="41">
        <f t="shared" si="1"/>
        <v>1.251431667943939</v>
      </c>
      <c r="L7" s="41">
        <f t="shared" si="1"/>
        <v>1.2059250618368866</v>
      </c>
      <c r="M7" s="41">
        <f t="shared" si="1"/>
        <v>1.1620732414064543</v>
      </c>
      <c r="N7" s="41">
        <f t="shared" ref="N7" si="2">N6*(1+$O$7)^($D$5-N5-1)</f>
        <v>21.92591021521612</v>
      </c>
      <c r="O7" s="17">
        <v>0.1</v>
      </c>
      <c r="P7" s="38" t="s">
        <v>3</v>
      </c>
    </row>
    <row r="8" spans="2:19" ht="13.5" thickBot="1" x14ac:dyDescent="0.25">
      <c r="B8" s="9"/>
      <c r="C8" s="8" t="s">
        <v>26</v>
      </c>
      <c r="D8" s="20">
        <f>SUM(D7:N7)</f>
        <v>36.370571450039861</v>
      </c>
      <c r="E8" s="21"/>
      <c r="F8" s="21"/>
      <c r="G8" s="21"/>
      <c r="H8" s="21"/>
      <c r="I8" s="21"/>
      <c r="J8" s="21"/>
      <c r="K8" s="21"/>
      <c r="L8" s="21"/>
      <c r="M8" s="21"/>
      <c r="N8" s="21"/>
      <c r="O8" s="18">
        <v>20</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0.06</v>
      </c>
      <c r="P11" s="38" t="s">
        <v>1</v>
      </c>
    </row>
    <row r="12" spans="2:19" x14ac:dyDescent="0.2">
      <c r="B12" s="9" t="s">
        <v>18</v>
      </c>
      <c r="C12" s="6">
        <f>C6</f>
        <v>2.04</v>
      </c>
      <c r="D12" s="41">
        <f>C12*(1+$O$11)</f>
        <v>2.1624000000000003</v>
      </c>
      <c r="E12" s="41">
        <f>D12*(1+$O$11)</f>
        <v>2.2921440000000004</v>
      </c>
      <c r="F12" s="41">
        <f>E12*(1+$O$11)</f>
        <v>2.4296726400000006</v>
      </c>
      <c r="G12" s="41">
        <f>F12*(1+$O$11)</f>
        <v>2.5754529984000007</v>
      </c>
      <c r="H12" s="41">
        <f>G12*(1+$O$11)</f>
        <v>2.7299801783040007</v>
      </c>
      <c r="I12" s="41">
        <f>H12*(1+$O$12)</f>
        <v>2.8937789890022407</v>
      </c>
      <c r="J12" s="41">
        <f>I12*(1+$O$12)</f>
        <v>3.0674057283423752</v>
      </c>
      <c r="K12" s="41">
        <f>J12*(1+$O$12)</f>
        <v>3.251450072042918</v>
      </c>
      <c r="L12" s="41">
        <f>K12*(1+$O$12)</f>
        <v>3.4465370763654932</v>
      </c>
      <c r="M12" s="41">
        <f>L12*(1+$O$12)</f>
        <v>3.6533293009474228</v>
      </c>
      <c r="N12" s="41">
        <f>L12*O14</f>
        <v>86.163426909137328</v>
      </c>
      <c r="O12" s="17">
        <v>0.06</v>
      </c>
      <c r="P12" s="27" t="s">
        <v>2</v>
      </c>
    </row>
    <row r="13" spans="2:19" x14ac:dyDescent="0.2">
      <c r="B13" s="9">
        <f>B7</f>
        <v>0</v>
      </c>
      <c r="C13" s="7" t="str">
        <f>C7</f>
        <v>PV(10%)</v>
      </c>
      <c r="D13" s="41">
        <f>D12*(1+$O$13)^($D$11-D11-1)</f>
        <v>1.9658181818181821</v>
      </c>
      <c r="E13" s="41">
        <f t="shared" ref="E13:M13" si="4">E12*(1+$O$13)^($D$11-E11-1)</f>
        <v>1.8943338842975208</v>
      </c>
      <c r="F13" s="41">
        <f t="shared" si="4"/>
        <v>1.8254490157776107</v>
      </c>
      <c r="G13" s="41">
        <f t="shared" si="4"/>
        <v>1.759069051567516</v>
      </c>
      <c r="H13" s="41">
        <f t="shared" si="4"/>
        <v>1.6951029042377879</v>
      </c>
      <c r="I13" s="41">
        <f t="shared" si="4"/>
        <v>1.633462798629141</v>
      </c>
      <c r="J13" s="41">
        <f t="shared" si="4"/>
        <v>1.5740641514062628</v>
      </c>
      <c r="K13" s="41">
        <f t="shared" si="4"/>
        <v>1.5168254549914897</v>
      </c>
      <c r="L13" s="41">
        <f t="shared" si="4"/>
        <v>1.461668165719072</v>
      </c>
      <c r="M13" s="41">
        <f t="shared" si="4"/>
        <v>1.4085165960565602</v>
      </c>
      <c r="N13" s="41">
        <f>N12*(1+$O$7)^($D$5-N11-1)</f>
        <v>33.219731039069814</v>
      </c>
      <c r="O13" s="17">
        <f>O7</f>
        <v>0.1</v>
      </c>
      <c r="P13" s="38" t="s">
        <v>3</v>
      </c>
    </row>
    <row r="14" spans="2:19" ht="13.5" thickBot="1" x14ac:dyDescent="0.25">
      <c r="B14" s="9"/>
      <c r="C14" s="8" t="s">
        <v>4</v>
      </c>
      <c r="D14" s="20">
        <f>SUM(D13:N13)</f>
        <v>49.954041243570956</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0.02</v>
      </c>
      <c r="P17" s="38" t="s">
        <v>1</v>
      </c>
    </row>
    <row r="18" spans="2:16" x14ac:dyDescent="0.2">
      <c r="B18" s="9" t="s">
        <v>17</v>
      </c>
      <c r="C18" s="6">
        <f>C12</f>
        <v>2.04</v>
      </c>
      <c r="D18" s="41">
        <f>C18*(1+$O$17)</f>
        <v>2.0808</v>
      </c>
      <c r="E18" s="41">
        <f>D18*(1+$O$17)</f>
        <v>2.1224159999999999</v>
      </c>
      <c r="F18" s="41">
        <f>E18*(1+$O$17)</f>
        <v>2.16486432</v>
      </c>
      <c r="G18" s="41">
        <f>F18*(1+$O$17)</f>
        <v>2.2081616064</v>
      </c>
      <c r="H18" s="41">
        <f>G18*(1+$O$17)</f>
        <v>2.2523248385280001</v>
      </c>
      <c r="I18" s="41">
        <f>H18*(1+$O$18)</f>
        <v>2.2973713352985601</v>
      </c>
      <c r="J18" s="41">
        <f>I18*(1+$O$18)</f>
        <v>2.3433187620045315</v>
      </c>
      <c r="K18" s="41">
        <f>J18*(1+$O$18)</f>
        <v>2.3901851372446221</v>
      </c>
      <c r="L18" s="41">
        <f>K18*(1+$O$18)</f>
        <v>2.4379888399895147</v>
      </c>
      <c r="M18" s="41">
        <f>L18*(1+$O$18)</f>
        <v>2.4867486167893049</v>
      </c>
      <c r="N18" s="41">
        <f>L18*O20</f>
        <v>36.569832599842719</v>
      </c>
      <c r="O18" s="17">
        <v>0.02</v>
      </c>
      <c r="P18" s="27" t="s">
        <v>2</v>
      </c>
    </row>
    <row r="19" spans="2:16" x14ac:dyDescent="0.2">
      <c r="B19" s="9" t="s">
        <v>155</v>
      </c>
      <c r="C19" s="7" t="str">
        <f>C13</f>
        <v>PV(10%)</v>
      </c>
      <c r="D19" s="41">
        <f>D18*(1+$O$19)^($D$17-D17-1)*$I$3</f>
        <v>1.8916363636363636</v>
      </c>
      <c r="E19" s="41">
        <f t="shared" ref="E19:M19" si="6">E18*(1+$O$19)^($D$17-E17-1)*$I$3</f>
        <v>1.754062809917355</v>
      </c>
      <c r="F19" s="41">
        <f t="shared" si="6"/>
        <v>1.6264946055597289</v>
      </c>
      <c r="G19" s="41">
        <f t="shared" si="6"/>
        <v>1.5082040887917489</v>
      </c>
      <c r="H19" s="41">
        <f t="shared" si="6"/>
        <v>1.3985165186978032</v>
      </c>
      <c r="I19" s="41">
        <f t="shared" si="6"/>
        <v>1.2968062264288722</v>
      </c>
      <c r="J19" s="41">
        <f t="shared" si="6"/>
        <v>1.2024930463249541</v>
      </c>
      <c r="K19" s="41">
        <f t="shared" si="6"/>
        <v>1.1150390065922302</v>
      </c>
      <c r="L19" s="41">
        <f t="shared" si="6"/>
        <v>1.0339452606582498</v>
      </c>
      <c r="M19" s="41">
        <f t="shared" si="6"/>
        <v>0.95874924170128606</v>
      </c>
      <c r="N19" s="41">
        <f t="shared" ref="N19" si="7">N18*(1+$O$19)^($D$17-N17-1)</f>
        <v>14.099253554430677</v>
      </c>
      <c r="O19" s="17">
        <f>O13</f>
        <v>0.1</v>
      </c>
      <c r="P19" s="38" t="s">
        <v>3</v>
      </c>
    </row>
    <row r="20" spans="2:16" ht="13.5" thickBot="1" x14ac:dyDescent="0.25">
      <c r="B20" s="9" t="s">
        <v>156</v>
      </c>
      <c r="C20" s="8" t="s">
        <v>4</v>
      </c>
      <c r="D20" s="20">
        <f>SUM(D19:N19)</f>
        <v>27.885200722739267</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0.33</v>
      </c>
      <c r="E23" s="41">
        <f>D8</f>
        <v>36.370571450039861</v>
      </c>
      <c r="F23" s="22">
        <f>E23*D23</f>
        <v>12.002288578513156</v>
      </c>
      <c r="P23" s="38"/>
    </row>
    <row r="24" spans="2:16" x14ac:dyDescent="0.2">
      <c r="B24" s="9"/>
      <c r="C24" s="9" t="s">
        <v>15</v>
      </c>
      <c r="D24" s="44">
        <v>0.34</v>
      </c>
      <c r="E24" s="41">
        <f>D14</f>
        <v>49.954041243570956</v>
      </c>
      <c r="F24" s="22">
        <f>E24*D24</f>
        <v>16.984374022814126</v>
      </c>
      <c r="P24" s="38"/>
    </row>
    <row r="25" spans="2:16" ht="13.5" thickBot="1" x14ac:dyDescent="0.25">
      <c r="B25" s="9"/>
      <c r="C25" s="10" t="s">
        <v>29</v>
      </c>
      <c r="D25" s="44">
        <v>0.33</v>
      </c>
      <c r="E25" s="23">
        <f>D20</f>
        <v>27.885200722739267</v>
      </c>
      <c r="F25" s="24">
        <f>E25*D25</f>
        <v>9.2021162385039581</v>
      </c>
      <c r="P25" s="38"/>
    </row>
    <row r="26" spans="2:16" ht="13.5" thickBot="1" x14ac:dyDescent="0.25">
      <c r="B26" s="9"/>
      <c r="C26" s="36" t="s">
        <v>167</v>
      </c>
      <c r="D26" s="36">
        <f>C3</f>
        <v>61.41</v>
      </c>
      <c r="E26" s="15" t="s">
        <v>11</v>
      </c>
      <c r="F26" s="16">
        <f>SUM(F23:F25)</f>
        <v>38.188778839831244</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81" priority="1" operator="containsText" text="overvalued">
      <formula>NOT(ISERROR(SEARCH("overvalued",D3)))</formula>
    </cfRule>
    <cfRule type="containsText" dxfId="80" priority="2" operator="containsText" text="undervalued">
      <formula>NOT(ISERROR(SEARCH("undervalued",D3)))</formula>
    </cfRule>
  </conditionalFormatting>
  <hyperlinks>
    <hyperlink ref="C30" r:id="rId1" xr:uid="{AD3CD9F3-375A-B34C-AB8C-6F0AA730EC35}"/>
    <hyperlink ref="B4" location="'COMPARATIVE TABLE'!A1" display="'COMPARATIVE TABLE'!A1" xr:uid="{2F5C0628-B44E-8541-89D1-2B00B7407E74}"/>
    <hyperlink ref="C2" r:id="rId2" xr:uid="{DB38E1D7-28EC-F640-B6C5-626EDE57E164}"/>
  </hyperlinks>
  <pageMargins left="0.7" right="0.7" top="0.78740157499999996" bottom="0.78740157499999996" header="0.3" footer="0.3"/>
  <pageSetup paperSize="9"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A098C-27FF-FC40-9AF4-F0CF04FF3FE1}">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257</v>
      </c>
      <c r="C2" s="89" t="s">
        <v>36</v>
      </c>
      <c r="D2" s="32"/>
      <c r="E2" s="33"/>
      <c r="F2" s="33"/>
      <c r="G2" s="33"/>
      <c r="H2" s="33"/>
      <c r="I2" s="33"/>
      <c r="J2" s="33"/>
      <c r="K2" s="33"/>
      <c r="L2" s="33"/>
      <c r="M2" s="33"/>
      <c r="N2" s="33"/>
      <c r="O2" s="33"/>
      <c r="P2" s="34"/>
      <c r="S2" s="3" t="s">
        <v>7</v>
      </c>
    </row>
    <row r="3" spans="2:19" ht="13.5" thickBot="1" x14ac:dyDescent="0.25">
      <c r="B3" s="35" t="s">
        <v>166</v>
      </c>
      <c r="C3" s="29">
        <f>'MKT CAP - Price'!C100</f>
        <v>1997</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63</v>
      </c>
      <c r="D6" s="41">
        <f>C6*(1+$O$5)</f>
        <v>66.150000000000006</v>
      </c>
      <c r="E6" s="41">
        <f>D6*(1+$O$5)</f>
        <v>69.45750000000001</v>
      </c>
      <c r="F6" s="41">
        <f>E6*(1+$O$5)</f>
        <v>72.930375000000012</v>
      </c>
      <c r="G6" s="41">
        <f>F6*(1+$O$5)</f>
        <v>76.576893750000011</v>
      </c>
      <c r="H6" s="41">
        <f>G6*(1+$O$5)</f>
        <v>80.40573843750002</v>
      </c>
      <c r="I6" s="41">
        <f>H6*(1+$O$6)</f>
        <v>84.426025359375018</v>
      </c>
      <c r="J6" s="41">
        <f>I6*(1+$O$6)</f>
        <v>88.647326627343773</v>
      </c>
      <c r="K6" s="41">
        <f>J6*(1+$O$6)</f>
        <v>93.079692958710964</v>
      </c>
      <c r="L6" s="41">
        <f>K6*(1+$O$6)</f>
        <v>97.733677606646523</v>
      </c>
      <c r="M6" s="41">
        <f>L6*(1+$O$6)</f>
        <v>102.62036148697885</v>
      </c>
      <c r="N6" s="72">
        <f>L6*O8</f>
        <v>1954.6735521329306</v>
      </c>
      <c r="O6" s="70">
        <v>0.05</v>
      </c>
      <c r="P6" s="27" t="s">
        <v>2</v>
      </c>
    </row>
    <row r="7" spans="2:19" x14ac:dyDescent="0.2">
      <c r="B7" s="9"/>
      <c r="C7" s="7" t="str">
        <f>CONCATENATE(R8,O7*100,S8)</f>
        <v>PV(10%)</v>
      </c>
      <c r="D7" s="72">
        <f>D6*(1+$O$7)^($D$5-D5-1)*$I$3</f>
        <v>60.13636363636364</v>
      </c>
      <c r="E7" s="72">
        <f t="shared" ref="E7:M7" si="1">E6*(1+$O$7)^($D$5-E5-1)*$I$3</f>
        <v>57.402892561983471</v>
      </c>
      <c r="F7" s="72">
        <f t="shared" si="1"/>
        <v>54.7936701728024</v>
      </c>
      <c r="G7" s="72">
        <f t="shared" si="1"/>
        <v>52.303048801311377</v>
      </c>
      <c r="H7" s="72">
        <f t="shared" si="1"/>
        <v>49.92563749216086</v>
      </c>
      <c r="I7" s="72">
        <f t="shared" si="1"/>
        <v>47.656290333426277</v>
      </c>
      <c r="J7" s="72">
        <f t="shared" si="1"/>
        <v>45.490095318270527</v>
      </c>
      <c r="K7" s="72">
        <f t="shared" si="1"/>
        <v>43.422363712894594</v>
      </c>
      <c r="L7" s="72">
        <f t="shared" si="1"/>
        <v>41.448619907763025</v>
      </c>
      <c r="M7" s="72">
        <f t="shared" si="1"/>
        <v>39.56459173013743</v>
      </c>
      <c r="N7" s="72">
        <f t="shared" ref="N7" si="2">N6*(1+$O$7)^($D$5-N5-1)</f>
        <v>753.61127105023684</v>
      </c>
      <c r="O7" s="17">
        <v>0.1</v>
      </c>
      <c r="P7" s="45" t="s">
        <v>3</v>
      </c>
    </row>
    <row r="8" spans="2:19" ht="13.5" thickBot="1" x14ac:dyDescent="0.25">
      <c r="B8" s="9"/>
      <c r="C8" s="8" t="s">
        <v>26</v>
      </c>
      <c r="D8" s="20">
        <f>SUM(D7:N7)</f>
        <v>1245.7548447173504</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63</v>
      </c>
      <c r="D12" s="41">
        <f>C12*(1+$O$11)</f>
        <v>67.410000000000011</v>
      </c>
      <c r="E12" s="41">
        <f>D12*(1+$O$11)</f>
        <v>72.128700000000009</v>
      </c>
      <c r="F12" s="41">
        <f>E12*(1+$O$11)</f>
        <v>77.177709000000007</v>
      </c>
      <c r="G12" s="41">
        <f>F12*(1+$O$11)</f>
        <v>82.580148630000011</v>
      </c>
      <c r="H12" s="41">
        <f>G12*(1+$O$11)</f>
        <v>88.360759034100013</v>
      </c>
      <c r="I12" s="41">
        <f>H12*(1+$O$12)</f>
        <v>94.546012166487017</v>
      </c>
      <c r="J12" s="41">
        <f>I12*(1+$O$12)</f>
        <v>101.16423301814112</v>
      </c>
      <c r="K12" s="41">
        <f>J12*(1+$O$12)</f>
        <v>108.24572932941101</v>
      </c>
      <c r="L12" s="41">
        <f>K12*(1+$O$12)</f>
        <v>115.82293038246978</v>
      </c>
      <c r="M12" s="41">
        <f>L12*(1+$O$12)</f>
        <v>123.93053550924267</v>
      </c>
      <c r="N12" s="41">
        <f>L12*O14</f>
        <v>2895.5732595617446</v>
      </c>
      <c r="O12" s="70">
        <v>7.0000000000000007E-2</v>
      </c>
      <c r="P12" s="27" t="s">
        <v>2</v>
      </c>
    </row>
    <row r="13" spans="2:19" x14ac:dyDescent="0.2">
      <c r="B13" s="9">
        <f>B7</f>
        <v>0</v>
      </c>
      <c r="C13" s="7" t="str">
        <f>C7</f>
        <v>PV(10%)</v>
      </c>
      <c r="D13" s="41">
        <f>D12*(1+$O$13)^($D$11-D11-1)*$I$3</f>
        <v>61.281818181818188</v>
      </c>
      <c r="E13" s="41">
        <f t="shared" ref="E13:M13" si="4">E12*(1+$O$13)^($D$11-E11-1)*$I$3</f>
        <v>59.610495867768599</v>
      </c>
      <c r="F13" s="41">
        <f t="shared" si="4"/>
        <v>57.984755071374892</v>
      </c>
      <c r="G13" s="41">
        <f t="shared" si="4"/>
        <v>56.403352660337404</v>
      </c>
      <c r="H13" s="41">
        <f t="shared" si="4"/>
        <v>54.865079405964558</v>
      </c>
      <c r="I13" s="41">
        <f t="shared" si="4"/>
        <v>53.368759058529164</v>
      </c>
      <c r="J13" s="41">
        <f t="shared" si="4"/>
        <v>51.913247447841997</v>
      </c>
      <c r="K13" s="41">
        <f t="shared" si="4"/>
        <v>50.497431608355406</v>
      </c>
      <c r="L13" s="41">
        <f t="shared" si="4"/>
        <v>49.120228928127524</v>
      </c>
      <c r="M13" s="41">
        <f t="shared" si="4"/>
        <v>47.780586320996775</v>
      </c>
      <c r="N13" s="41">
        <f>N12*(1+$O$7)^($D$5-N11-1)</f>
        <v>1116.3688392756255</v>
      </c>
      <c r="O13" s="17">
        <f>O7</f>
        <v>0.1</v>
      </c>
      <c r="P13" s="38" t="s">
        <v>3</v>
      </c>
    </row>
    <row r="14" spans="2:19" ht="13.5" thickBot="1" x14ac:dyDescent="0.25">
      <c r="B14" s="9"/>
      <c r="C14" s="8" t="s">
        <v>4</v>
      </c>
      <c r="D14" s="20">
        <f>SUM(D13:N13)</f>
        <v>1659.1945938267399</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63</v>
      </c>
      <c r="D18" s="41">
        <f>C18*(1+$O$17)</f>
        <v>64.89</v>
      </c>
      <c r="E18" s="41">
        <f>D18*(1+$O$17)</f>
        <v>66.836700000000008</v>
      </c>
      <c r="F18" s="41">
        <f>E18*(1+$O$17)</f>
        <v>68.841801000000004</v>
      </c>
      <c r="G18" s="41">
        <f>F18*(1+$O$17)</f>
        <v>70.907055030000009</v>
      </c>
      <c r="H18" s="41">
        <f>G18*(1+$O$17)</f>
        <v>73.034266680900018</v>
      </c>
      <c r="I18" s="41">
        <f>H18*(1+$O$18)</f>
        <v>75.225294681327014</v>
      </c>
      <c r="J18" s="41">
        <f>I18*(1+$O$18)</f>
        <v>77.482053521766829</v>
      </c>
      <c r="K18" s="41">
        <f>J18*(1+$O$18)</f>
        <v>79.806515127419843</v>
      </c>
      <c r="L18" s="41">
        <f>K18*(1+$O$18)</f>
        <v>82.200710581242447</v>
      </c>
      <c r="M18" s="41">
        <f>L18*(1+$O$18)</f>
        <v>84.666731898679728</v>
      </c>
      <c r="N18" s="41">
        <f>L18*O20</f>
        <v>1233.0106587186367</v>
      </c>
      <c r="O18" s="70">
        <v>0.03</v>
      </c>
      <c r="P18" s="27" t="s">
        <v>2</v>
      </c>
    </row>
    <row r="19" spans="2:16" x14ac:dyDescent="0.2">
      <c r="B19" s="71" t="s">
        <v>155</v>
      </c>
      <c r="C19" s="7" t="str">
        <f>C13</f>
        <v>PV(10%)</v>
      </c>
      <c r="D19" s="41">
        <f>D18*(1+$O$19)^($D$17-D17-1)*$I$3</f>
        <v>58.990909090909092</v>
      </c>
      <c r="E19" s="41">
        <f t="shared" ref="E19:M19" si="6">E18*(1+$O$19)^($D$17-E17-1)*$I$3</f>
        <v>55.236942148760328</v>
      </c>
      <c r="F19" s="41">
        <f t="shared" si="6"/>
        <v>51.721864012021022</v>
      </c>
      <c r="G19" s="41">
        <f t="shared" si="6"/>
        <v>48.43047266580151</v>
      </c>
      <c r="H19" s="41">
        <f t="shared" si="6"/>
        <v>45.348533496159597</v>
      </c>
      <c r="I19" s="41">
        <f t="shared" si="6"/>
        <v>42.462717728222167</v>
      </c>
      <c r="J19" s="41">
        <f t="shared" si="6"/>
        <v>39.760544781880746</v>
      </c>
      <c r="K19" s="41">
        <f t="shared" si="6"/>
        <v>37.230328295761069</v>
      </c>
      <c r="L19" s="41">
        <f t="shared" si="6"/>
        <v>34.861125586030823</v>
      </c>
      <c r="M19" s="41">
        <f t="shared" si="6"/>
        <v>32.642690321465224</v>
      </c>
      <c r="N19" s="41">
        <f t="shared" ref="N19" si="7">N18*(1+$O$19)^($D$17-N17-1)</f>
        <v>475.37898526405661</v>
      </c>
      <c r="O19" s="17">
        <f>O13</f>
        <v>0.1</v>
      </c>
      <c r="P19" s="38" t="s">
        <v>3</v>
      </c>
    </row>
    <row r="20" spans="2:16" ht="13.5" thickBot="1" x14ac:dyDescent="0.25">
      <c r="B20" s="71" t="s">
        <v>156</v>
      </c>
      <c r="C20" s="8" t="s">
        <v>4</v>
      </c>
      <c r="D20" s="20">
        <f>SUM(D19:N19)</f>
        <v>922.06511339106828</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1245.7548447173504</v>
      </c>
      <c r="F23" s="22">
        <f>E23*D23</f>
        <v>423.55664720389916</v>
      </c>
      <c r="G23" s="25"/>
      <c r="P23" s="38"/>
    </row>
    <row r="24" spans="2:16" x14ac:dyDescent="0.2">
      <c r="B24" s="9"/>
      <c r="C24" s="9" t="s">
        <v>15</v>
      </c>
      <c r="D24" s="44">
        <v>0.33</v>
      </c>
      <c r="E24" s="41">
        <f>D14</f>
        <v>1659.1945938267399</v>
      </c>
      <c r="F24" s="22">
        <f>E24*D24</f>
        <v>547.53421596282419</v>
      </c>
      <c r="G24" s="25"/>
      <c r="P24" s="38"/>
    </row>
    <row r="25" spans="2:16" ht="13.5" thickBot="1" x14ac:dyDescent="0.25">
      <c r="B25" s="9"/>
      <c r="C25" s="10" t="s">
        <v>29</v>
      </c>
      <c r="D25" s="44">
        <v>0.33</v>
      </c>
      <c r="E25" s="23">
        <f>D20</f>
        <v>922.06511339106828</v>
      </c>
      <c r="F25" s="24">
        <f>E25*D25</f>
        <v>304.28148741905255</v>
      </c>
      <c r="G25" s="25"/>
      <c r="P25" s="38"/>
    </row>
    <row r="26" spans="2:16" ht="13.5" thickBot="1" x14ac:dyDescent="0.25">
      <c r="B26" s="9"/>
      <c r="C26" s="36" t="s">
        <v>167</v>
      </c>
      <c r="D26" s="36">
        <f>C3</f>
        <v>1997</v>
      </c>
      <c r="E26" s="15" t="s">
        <v>11</v>
      </c>
      <c r="F26" s="16">
        <f>SUM(F23:F25)</f>
        <v>1275.3723505857758</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9" priority="1" operator="containsText" text="overvalued">
      <formula>NOT(ISERROR(SEARCH("overvalued",D3)))</formula>
    </cfRule>
    <cfRule type="containsText" dxfId="78" priority="2" operator="containsText" text="undervalued">
      <formula>NOT(ISERROR(SEARCH("undervalued",D3)))</formula>
    </cfRule>
  </conditionalFormatting>
  <hyperlinks>
    <hyperlink ref="C30" r:id="rId1" xr:uid="{748F23C2-CB6E-5C48-B09C-0BE997027075}"/>
    <hyperlink ref="B4" location="'COMPARATIVE TABLE'!A1" display="'COMPARATIVE TABLE'!A1" xr:uid="{C27A2DD8-F067-F94C-9D37-AC2841219BF4}"/>
    <hyperlink ref="C2" r:id="rId2" xr:uid="{27CEA670-35F6-104A-A20B-2BD4C08D77D3}"/>
  </hyperlinks>
  <pageMargins left="0.7" right="0.7" top="0.78740157499999996" bottom="0.78740157499999996" header="0.3" footer="0.3"/>
  <pageSetup paperSize="9"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200F-F2BA-784E-B7BD-FF9306F2BCA4}">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263</v>
      </c>
      <c r="C2" s="89" t="s">
        <v>36</v>
      </c>
      <c r="D2" s="32"/>
      <c r="E2" s="33"/>
      <c r="F2" s="33"/>
      <c r="G2" s="33"/>
      <c r="H2" s="33"/>
      <c r="I2" s="33"/>
      <c r="J2" s="33"/>
      <c r="K2" s="33"/>
      <c r="L2" s="33"/>
      <c r="M2" s="33"/>
      <c r="N2" s="33"/>
      <c r="O2" s="33"/>
      <c r="P2" s="34"/>
      <c r="S2" s="3" t="s">
        <v>7</v>
      </c>
    </row>
    <row r="3" spans="2:19" ht="13.5" thickBot="1" x14ac:dyDescent="0.25">
      <c r="B3" s="35" t="s">
        <v>166</v>
      </c>
      <c r="C3" s="29">
        <f>'COMPARATIVE TABLE'!C9</f>
        <v>1061.6745679999999</v>
      </c>
      <c r="D3" s="37"/>
      <c r="F3" s="73" t="s">
        <v>189</v>
      </c>
      <c r="G3" s="74"/>
      <c r="H3" s="74"/>
      <c r="I3" s="75">
        <v>0</v>
      </c>
      <c r="P3" s="38"/>
    </row>
    <row r="4" spans="2:19" ht="26.25" thickBot="1" x14ac:dyDescent="0.25">
      <c r="B4" s="39" t="s">
        <v>85</v>
      </c>
      <c r="N4" s="76" t="s">
        <v>5</v>
      </c>
      <c r="O4" s="4" t="s">
        <v>0</v>
      </c>
      <c r="P4" s="38"/>
    </row>
    <row r="5" spans="2:19" x14ac:dyDescent="0.2">
      <c r="B5" s="71" t="s">
        <v>8</v>
      </c>
      <c r="C5" s="5" t="s">
        <v>428</v>
      </c>
      <c r="D5" s="19">
        <v>2026</v>
      </c>
      <c r="E5" s="19">
        <f t="shared" ref="E5:M5" si="0">D5+1</f>
        <v>2027</v>
      </c>
      <c r="F5" s="19">
        <f t="shared" si="0"/>
        <v>2028</v>
      </c>
      <c r="G5" s="19">
        <f t="shared" si="0"/>
        <v>2029</v>
      </c>
      <c r="H5" s="19">
        <f t="shared" si="0"/>
        <v>2030</v>
      </c>
      <c r="I5" s="19">
        <f t="shared" si="0"/>
        <v>2031</v>
      </c>
      <c r="J5" s="19">
        <f t="shared" si="0"/>
        <v>2032</v>
      </c>
      <c r="K5" s="19">
        <f t="shared" si="0"/>
        <v>2033</v>
      </c>
      <c r="L5" s="19">
        <f t="shared" si="0"/>
        <v>2034</v>
      </c>
      <c r="M5" s="19">
        <f t="shared" si="0"/>
        <v>2035</v>
      </c>
      <c r="N5" s="77">
        <v>2035</v>
      </c>
      <c r="O5" s="70">
        <v>7.0000000000000007E-2</v>
      </c>
      <c r="P5" s="38" t="s">
        <v>1</v>
      </c>
      <c r="R5" s="1"/>
    </row>
    <row r="6" spans="2:19" x14ac:dyDescent="0.2">
      <c r="B6" s="71" t="s">
        <v>19</v>
      </c>
      <c r="C6" s="86">
        <v>40</v>
      </c>
      <c r="D6" s="41">
        <f>C6*(1+$O$5)</f>
        <v>42.800000000000004</v>
      </c>
      <c r="E6" s="41">
        <f>D6*(1+$O$5)</f>
        <v>45.796000000000006</v>
      </c>
      <c r="F6" s="41">
        <f>E6*(1+$O$5)</f>
        <v>49.001720000000013</v>
      </c>
      <c r="G6" s="41">
        <f>F6*(1+$O$5)</f>
        <v>52.43184040000002</v>
      </c>
      <c r="H6" s="41">
        <f>G6*(1+$O$5)</f>
        <v>56.102069228000026</v>
      </c>
      <c r="I6" s="41">
        <f>H6*(1+$O$6)</f>
        <v>60.029214073960034</v>
      </c>
      <c r="J6" s="41">
        <f>I6*(1+$O$6)</f>
        <v>64.231259059137244</v>
      </c>
      <c r="K6" s="41">
        <f>J6*(1+$O$6)</f>
        <v>68.727447193276859</v>
      </c>
      <c r="L6" s="41">
        <f>K6*(1+$O$6)</f>
        <v>73.538368496806243</v>
      </c>
      <c r="M6" s="41">
        <f>L6*(1+$O$6)</f>
        <v>78.686054291582678</v>
      </c>
      <c r="N6" s="72">
        <f>L6*O8</f>
        <v>1103.0755274520936</v>
      </c>
      <c r="O6" s="70">
        <v>7.0000000000000007E-2</v>
      </c>
      <c r="P6" s="27" t="s">
        <v>2</v>
      </c>
    </row>
    <row r="7" spans="2:19" x14ac:dyDescent="0.2">
      <c r="B7" s="9"/>
      <c r="C7" s="7" t="str">
        <f>CONCATENATE(R8,O7*100,S8)</f>
        <v>PV(10%)</v>
      </c>
      <c r="D7" s="72">
        <f>D6*(1+$O$7)^($D$5-D5-1)*$I$3</f>
        <v>0</v>
      </c>
      <c r="E7" s="72">
        <f t="shared" ref="E7:M7" si="1">E6*(1+$O$7)^($D$5-E5-1)*$I$3</f>
        <v>0</v>
      </c>
      <c r="F7" s="72">
        <f t="shared" si="1"/>
        <v>0</v>
      </c>
      <c r="G7" s="72">
        <f t="shared" si="1"/>
        <v>0</v>
      </c>
      <c r="H7" s="72">
        <f t="shared" si="1"/>
        <v>0</v>
      </c>
      <c r="I7" s="72">
        <f t="shared" si="1"/>
        <v>0</v>
      </c>
      <c r="J7" s="72">
        <f t="shared" si="1"/>
        <v>0</v>
      </c>
      <c r="K7" s="72">
        <f t="shared" si="1"/>
        <v>0</v>
      </c>
      <c r="L7" s="72">
        <f t="shared" si="1"/>
        <v>0</v>
      </c>
      <c r="M7" s="72">
        <f t="shared" si="1"/>
        <v>0</v>
      </c>
      <c r="N7" s="72">
        <f t="shared" ref="N7" si="2">N6*(1+$O$7)^($D$5-N5-1)</f>
        <v>425.28336734309562</v>
      </c>
      <c r="O7" s="17">
        <v>0.1</v>
      </c>
      <c r="P7" s="45" t="s">
        <v>3</v>
      </c>
    </row>
    <row r="8" spans="2:19" ht="13.5" thickBot="1" x14ac:dyDescent="0.25">
      <c r="B8" s="9"/>
      <c r="C8" s="8" t="s">
        <v>26</v>
      </c>
      <c r="D8" s="20">
        <f>SUM(D7:N7)</f>
        <v>425.28336734309562</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IN BILLIONS</v>
      </c>
      <c r="D11" s="19">
        <f>D5</f>
        <v>2026</v>
      </c>
      <c r="E11" s="19">
        <f t="shared" ref="E11:M11" si="3">D11+1</f>
        <v>2027</v>
      </c>
      <c r="F11" s="19">
        <f t="shared" si="3"/>
        <v>2028</v>
      </c>
      <c r="G11" s="19">
        <f t="shared" si="3"/>
        <v>2029</v>
      </c>
      <c r="H11" s="19">
        <f t="shared" si="3"/>
        <v>2030</v>
      </c>
      <c r="I11" s="19">
        <f t="shared" si="3"/>
        <v>2031</v>
      </c>
      <c r="J11" s="19">
        <f t="shared" si="3"/>
        <v>2032</v>
      </c>
      <c r="K11" s="19">
        <f t="shared" si="3"/>
        <v>2033</v>
      </c>
      <c r="L11" s="19">
        <f t="shared" si="3"/>
        <v>2034</v>
      </c>
      <c r="M11" s="19">
        <f t="shared" si="3"/>
        <v>2035</v>
      </c>
      <c r="N11" s="19">
        <f>N5</f>
        <v>2035</v>
      </c>
      <c r="O11" s="70">
        <v>0.09</v>
      </c>
      <c r="P11" s="38" t="s">
        <v>1</v>
      </c>
    </row>
    <row r="12" spans="2:19" x14ac:dyDescent="0.2">
      <c r="B12" s="71" t="s">
        <v>18</v>
      </c>
      <c r="C12" s="6">
        <f>C6</f>
        <v>40</v>
      </c>
      <c r="D12" s="41">
        <f>C12*(1+$O$11)</f>
        <v>43.6</v>
      </c>
      <c r="E12" s="41">
        <f>D12*(1+$O$11)</f>
        <v>47.524000000000008</v>
      </c>
      <c r="F12" s="41">
        <f>E12*(1+$O$11)</f>
        <v>51.80116000000001</v>
      </c>
      <c r="G12" s="41">
        <f>F12*(1+$O$11)</f>
        <v>56.463264400000014</v>
      </c>
      <c r="H12" s="41">
        <f>G12*(1+$O$11)</f>
        <v>61.544958196000017</v>
      </c>
      <c r="I12" s="41">
        <f>H12*(1+$O$12)</f>
        <v>67.084004433640018</v>
      </c>
      <c r="J12" s="41">
        <f>I12*(1+$O$12)</f>
        <v>73.12156483266763</v>
      </c>
      <c r="K12" s="41">
        <f>J12*(1+$O$12)</f>
        <v>79.702505667607724</v>
      </c>
      <c r="L12" s="41">
        <f>K12*(1+$O$12)</f>
        <v>86.87573117769243</v>
      </c>
      <c r="M12" s="41">
        <f>L12*(1+$O$12)</f>
        <v>94.694546983684759</v>
      </c>
      <c r="N12" s="41">
        <f>L12*O14</f>
        <v>1737.5146235538487</v>
      </c>
      <c r="O12" s="70">
        <v>0.09</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669.88710339686486</v>
      </c>
      <c r="O13" s="17">
        <f>O7</f>
        <v>0.1</v>
      </c>
      <c r="P13" s="38" t="s">
        <v>3</v>
      </c>
    </row>
    <row r="14" spans="2:19" ht="13.5" thickBot="1" x14ac:dyDescent="0.25">
      <c r="B14" s="9"/>
      <c r="C14" s="8" t="s">
        <v>4</v>
      </c>
      <c r="D14" s="20">
        <f>SUM(D13:N13)</f>
        <v>669.88710339686486</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IN BILLIONS</v>
      </c>
      <c r="D17" s="19">
        <f>D11</f>
        <v>2026</v>
      </c>
      <c r="E17" s="19">
        <f t="shared" ref="E17:M17" si="5">D17+1</f>
        <v>2027</v>
      </c>
      <c r="F17" s="19">
        <f t="shared" si="5"/>
        <v>2028</v>
      </c>
      <c r="G17" s="19">
        <f t="shared" si="5"/>
        <v>2029</v>
      </c>
      <c r="H17" s="19">
        <f t="shared" si="5"/>
        <v>2030</v>
      </c>
      <c r="I17" s="19">
        <f t="shared" si="5"/>
        <v>2031</v>
      </c>
      <c r="J17" s="19">
        <f t="shared" si="5"/>
        <v>2032</v>
      </c>
      <c r="K17" s="19">
        <f t="shared" si="5"/>
        <v>2033</v>
      </c>
      <c r="L17" s="19">
        <f t="shared" si="5"/>
        <v>2034</v>
      </c>
      <c r="M17" s="19">
        <f t="shared" si="5"/>
        <v>2035</v>
      </c>
      <c r="N17" s="19">
        <f>N11</f>
        <v>2035</v>
      </c>
      <c r="O17" s="70">
        <v>0.05</v>
      </c>
      <c r="P17" s="38" t="s">
        <v>1</v>
      </c>
    </row>
    <row r="18" spans="2:16" x14ac:dyDescent="0.2">
      <c r="B18" s="71" t="s">
        <v>17</v>
      </c>
      <c r="C18" s="6">
        <f>C12</f>
        <v>40</v>
      </c>
      <c r="D18" s="41">
        <f>C18*(1+$O$17)</f>
        <v>42</v>
      </c>
      <c r="E18" s="41">
        <f>D18*(1+$O$17)</f>
        <v>44.1</v>
      </c>
      <c r="F18" s="41">
        <f>E18*(1+$O$17)</f>
        <v>46.305000000000007</v>
      </c>
      <c r="G18" s="41">
        <f>F18*(1+$O$17)</f>
        <v>48.620250000000006</v>
      </c>
      <c r="H18" s="41">
        <f>G18*(1+$O$17)</f>
        <v>51.051262500000007</v>
      </c>
      <c r="I18" s="41">
        <f>H18*(1+$O$18)</f>
        <v>53.603825625000013</v>
      </c>
      <c r="J18" s="41">
        <f>I18*(1+$O$18)</f>
        <v>56.284016906250017</v>
      </c>
      <c r="K18" s="41">
        <f>J18*(1+$O$18)</f>
        <v>59.098217751562522</v>
      </c>
      <c r="L18" s="41">
        <f>K18*(1+$O$18)</f>
        <v>62.053128639140652</v>
      </c>
      <c r="M18" s="41">
        <f>L18*(1+$O$18)</f>
        <v>65.155785071097682</v>
      </c>
      <c r="N18" s="41">
        <f>L18*O20</f>
        <v>744.63754366968783</v>
      </c>
      <c r="O18" s="70">
        <v>0.05</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287.09000801913783</v>
      </c>
      <c r="O19" s="17">
        <f>O13</f>
        <v>0.1</v>
      </c>
      <c r="P19" s="38" t="s">
        <v>3</v>
      </c>
    </row>
    <row r="20" spans="2:16" ht="13.5" thickBot="1" x14ac:dyDescent="0.25">
      <c r="B20" s="71" t="s">
        <v>156</v>
      </c>
      <c r="C20" s="8" t="s">
        <v>4</v>
      </c>
      <c r="D20" s="20">
        <f>SUM(D19:N19)</f>
        <v>287.09000801913783</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425.28336734309562</v>
      </c>
      <c r="F23" s="22">
        <f>E23*D23</f>
        <v>144.59634489665251</v>
      </c>
      <c r="G23" s="25"/>
      <c r="P23" s="38"/>
    </row>
    <row r="24" spans="2:16" x14ac:dyDescent="0.2">
      <c r="B24" s="9"/>
      <c r="C24" s="9" t="s">
        <v>15</v>
      </c>
      <c r="D24" s="44">
        <v>0.33</v>
      </c>
      <c r="E24" s="41">
        <f>D14</f>
        <v>669.88710339686486</v>
      </c>
      <c r="F24" s="22">
        <f>E24*D24</f>
        <v>221.06274412096542</v>
      </c>
      <c r="G24" s="25"/>
      <c r="P24" s="38"/>
    </row>
    <row r="25" spans="2:16" ht="13.5" thickBot="1" x14ac:dyDescent="0.25">
      <c r="B25" s="9"/>
      <c r="C25" s="10" t="s">
        <v>29</v>
      </c>
      <c r="D25" s="44">
        <v>0.33</v>
      </c>
      <c r="E25" s="23">
        <f>D20</f>
        <v>287.09000801913783</v>
      </c>
      <c r="F25" s="24">
        <f>E25*D25</f>
        <v>94.739702646315493</v>
      </c>
      <c r="G25" s="25"/>
      <c r="P25" s="38"/>
    </row>
    <row r="26" spans="2:16" ht="13.5" thickBot="1" x14ac:dyDescent="0.25">
      <c r="B26" s="9"/>
      <c r="C26" s="36" t="s">
        <v>167</v>
      </c>
      <c r="D26" s="36">
        <f>C3</f>
        <v>1061.6745679999999</v>
      </c>
      <c r="E26" s="15" t="s">
        <v>11</v>
      </c>
      <c r="F26" s="16">
        <f>SUM(F23:F25)</f>
        <v>460.39879166393342</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7" priority="1" operator="containsText" text="overvalued">
      <formula>NOT(ISERROR(SEARCH("overvalued",D3)))</formula>
    </cfRule>
    <cfRule type="containsText" dxfId="76" priority="2" operator="containsText" text="undervalued">
      <formula>NOT(ISERROR(SEARCH("undervalued",D3)))</formula>
    </cfRule>
  </conditionalFormatting>
  <hyperlinks>
    <hyperlink ref="C30" r:id="rId1" xr:uid="{2C176977-5889-9741-9C56-E1DD5DF6D3E0}"/>
    <hyperlink ref="B4" location="'COMPARATIVE TABLE'!A1" display="'COMPARATIVE TABLE'!A1" xr:uid="{7FE85F73-2D16-1F4C-9423-0E357DF3484A}"/>
    <hyperlink ref="C2" r:id="rId2" xr:uid="{19683E19-4936-E241-A17C-44594B667357}"/>
  </hyperlinks>
  <pageMargins left="0.7" right="0.7" top="0.78740157499999996" bottom="0.78740157499999996" header="0.3" footer="0.3"/>
  <pageSetup paperSize="9"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A703-1C46-CD4F-8B81-8C4FFC324E2D}">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269</v>
      </c>
      <c r="C2" s="89" t="s">
        <v>36</v>
      </c>
      <c r="D2" s="32"/>
      <c r="E2" s="33"/>
      <c r="F2" s="33"/>
      <c r="G2" s="33"/>
      <c r="H2" s="33"/>
      <c r="I2" s="33"/>
      <c r="J2" s="33"/>
      <c r="K2" s="33"/>
      <c r="L2" s="33"/>
      <c r="M2" s="33"/>
      <c r="N2" s="33"/>
      <c r="O2" s="33"/>
      <c r="P2" s="34"/>
      <c r="S2" s="3" t="s">
        <v>7</v>
      </c>
    </row>
    <row r="3" spans="2:19" ht="13.5" thickBot="1" x14ac:dyDescent="0.25">
      <c r="B3" s="35" t="s">
        <v>166</v>
      </c>
      <c r="C3" s="29">
        <f>'COMPARATIVE TABLE'!C10</f>
        <v>3.88</v>
      </c>
      <c r="D3" s="37"/>
      <c r="F3" s="73" t="s">
        <v>189</v>
      </c>
      <c r="G3" s="74"/>
      <c r="H3" s="74"/>
      <c r="I3" s="75">
        <v>0.5</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0.25</v>
      </c>
      <c r="D6" s="41">
        <f>C6*(1+$O$5)</f>
        <v>0.26250000000000001</v>
      </c>
      <c r="E6" s="41">
        <f>D6*(1+$O$5)</f>
        <v>0.27562500000000001</v>
      </c>
      <c r="F6" s="41">
        <f>E6*(1+$O$5)</f>
        <v>0.28940625000000003</v>
      </c>
      <c r="G6" s="41">
        <f>F6*(1+$O$5)</f>
        <v>0.30387656250000006</v>
      </c>
      <c r="H6" s="41">
        <f>G6*(1+$O$5)</f>
        <v>0.31907039062500009</v>
      </c>
      <c r="I6" s="41">
        <f>H6*(1+$O$6)</f>
        <v>0.3350239101562501</v>
      </c>
      <c r="J6" s="41">
        <f>I6*(1+$O$6)</f>
        <v>0.35177510566406262</v>
      </c>
      <c r="K6" s="41">
        <f>J6*(1+$O$6)</f>
        <v>0.36936386094726575</v>
      </c>
      <c r="L6" s="41">
        <f>K6*(1+$O$6)</f>
        <v>0.38783205399462906</v>
      </c>
      <c r="M6" s="41">
        <f>L6*(1+$O$6)</f>
        <v>0.4072236566943605</v>
      </c>
      <c r="N6" s="72">
        <f>L6*O8</f>
        <v>5.8174808099194362</v>
      </c>
      <c r="O6" s="70">
        <v>0.05</v>
      </c>
      <c r="P6" s="27" t="s">
        <v>2</v>
      </c>
    </row>
    <row r="7" spans="2:19" x14ac:dyDescent="0.2">
      <c r="B7" s="9"/>
      <c r="C7" s="7" t="str">
        <f>CONCATENATE(R8,O7*100,S8)</f>
        <v>PV(10%)</v>
      </c>
      <c r="D7" s="72">
        <f>D6*(1+$O$7)^($D$5-D5-1)*$I$3</f>
        <v>0.11931818181818182</v>
      </c>
      <c r="E7" s="72">
        <f t="shared" ref="E7:M7" si="1">E6*(1+$O$7)^($D$5-E5-1)*$I$3</f>
        <v>0.11389462809917354</v>
      </c>
      <c r="F7" s="72">
        <f t="shared" si="1"/>
        <v>0.10871759954921111</v>
      </c>
      <c r="G7" s="72">
        <f t="shared" si="1"/>
        <v>0.10377589047879243</v>
      </c>
      <c r="H7" s="72">
        <f t="shared" si="1"/>
        <v>9.9058804547938223E-2</v>
      </c>
      <c r="I7" s="72">
        <f t="shared" si="1"/>
        <v>9.4556131613941038E-2</v>
      </c>
      <c r="J7" s="72">
        <f t="shared" si="1"/>
        <v>9.0258125631489147E-2</v>
      </c>
      <c r="K7" s="72">
        <f t="shared" si="1"/>
        <v>8.6155483557330562E-2</v>
      </c>
      <c r="L7" s="72">
        <f t="shared" si="1"/>
        <v>8.2239325213815523E-2</v>
      </c>
      <c r="M7" s="72">
        <f t="shared" si="1"/>
        <v>7.8501174067732993E-2</v>
      </c>
      <c r="N7" s="72">
        <f t="shared" ref="N7" si="2">N6*(1+$O$7)^($D$5-N5-1)</f>
        <v>2.2428906876495143</v>
      </c>
      <c r="O7" s="17">
        <v>0.1</v>
      </c>
      <c r="P7" s="45" t="s">
        <v>3</v>
      </c>
    </row>
    <row r="8" spans="2:19" ht="13.5" thickBot="1" x14ac:dyDescent="0.25">
      <c r="B8" s="9"/>
      <c r="C8" s="8" t="s">
        <v>26</v>
      </c>
      <c r="D8" s="20">
        <f>SUM(D7:N7)</f>
        <v>3.2193660322271205</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0.25</v>
      </c>
      <c r="D12" s="41">
        <f>C12*(1+$O$11)</f>
        <v>0.26750000000000002</v>
      </c>
      <c r="E12" s="41">
        <f>D12*(1+$O$11)</f>
        <v>0.28622500000000001</v>
      </c>
      <c r="F12" s="41">
        <f>E12*(1+$O$11)</f>
        <v>0.30626075000000003</v>
      </c>
      <c r="G12" s="41">
        <f>F12*(1+$O$11)</f>
        <v>0.32769900250000006</v>
      </c>
      <c r="H12" s="41">
        <f>G12*(1+$O$11)</f>
        <v>0.3506379326750001</v>
      </c>
      <c r="I12" s="41">
        <f>H12*(1+$O$12)</f>
        <v>0.37518258796225012</v>
      </c>
      <c r="J12" s="41">
        <f>I12*(1+$O$12)</f>
        <v>0.40144536911960765</v>
      </c>
      <c r="K12" s="41">
        <f>J12*(1+$O$12)</f>
        <v>0.42954654495798023</v>
      </c>
      <c r="L12" s="41">
        <f>K12*(1+$O$12)</f>
        <v>0.45961480310503888</v>
      </c>
      <c r="M12" s="41">
        <f>L12*(1+$O$12)</f>
        <v>0.49178783932239162</v>
      </c>
      <c r="N12" s="41">
        <f>L12*O14</f>
        <v>9.1922960621007768</v>
      </c>
      <c r="O12" s="70">
        <v>7.0000000000000007E-2</v>
      </c>
      <c r="P12" s="27" t="s">
        <v>2</v>
      </c>
    </row>
    <row r="13" spans="2:19" x14ac:dyDescent="0.2">
      <c r="B13" s="9">
        <f>B7</f>
        <v>0</v>
      </c>
      <c r="C13" s="7" t="str">
        <f>C7</f>
        <v>PV(10%)</v>
      </c>
      <c r="D13" s="41">
        <f>D12*(1+$O$13)^($D$11-D11-1)*$I$3</f>
        <v>0.1215909090909091</v>
      </c>
      <c r="E13" s="41">
        <f t="shared" ref="E13:M13" si="4">E12*(1+$O$13)^($D$11-E11-1)*$I$3</f>
        <v>0.11827479338842974</v>
      </c>
      <c r="F13" s="41">
        <f t="shared" si="4"/>
        <v>0.11504911720510892</v>
      </c>
      <c r="G13" s="41">
        <f t="shared" si="4"/>
        <v>0.11191141400860596</v>
      </c>
      <c r="H13" s="41">
        <f t="shared" si="4"/>
        <v>0.10885928453564397</v>
      </c>
      <c r="I13" s="41">
        <f t="shared" si="4"/>
        <v>0.10589039495739914</v>
      </c>
      <c r="J13" s="41">
        <f t="shared" si="4"/>
        <v>0.10300247509492461</v>
      </c>
      <c r="K13" s="41">
        <f t="shared" si="4"/>
        <v>0.10019331668324485</v>
      </c>
      <c r="L13" s="41">
        <f t="shared" si="4"/>
        <v>9.7460771682792727E-2</v>
      </c>
      <c r="M13" s="41">
        <f t="shared" si="4"/>
        <v>9.4802750636898372E-2</v>
      </c>
      <c r="N13" s="41">
        <f>N12*(1+$O$7)^($D$5-N11-1)</f>
        <v>3.5440280611924622</v>
      </c>
      <c r="O13" s="17">
        <f>O7</f>
        <v>0.1</v>
      </c>
      <c r="P13" s="38" t="s">
        <v>3</v>
      </c>
    </row>
    <row r="14" spans="2:19" ht="13.5" thickBot="1" x14ac:dyDescent="0.25">
      <c r="B14" s="9"/>
      <c r="C14" s="8" t="s">
        <v>4</v>
      </c>
      <c r="D14" s="20">
        <f>SUM(D13:N13)</f>
        <v>4.62106328847642</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0.25</v>
      </c>
      <c r="D18" s="41">
        <f>C18*(1+$O$17)</f>
        <v>0.255</v>
      </c>
      <c r="E18" s="41">
        <f>D18*(1+$O$17)</f>
        <v>0.2601</v>
      </c>
      <c r="F18" s="41">
        <f>E18*(1+$O$17)</f>
        <v>0.26530199999999998</v>
      </c>
      <c r="G18" s="41">
        <f>F18*(1+$O$17)</f>
        <v>0.27060803999999999</v>
      </c>
      <c r="H18" s="41">
        <f>G18*(1+$O$17)</f>
        <v>0.2760202008</v>
      </c>
      <c r="I18" s="41">
        <f>H18*(1+$O$18)</f>
        <v>0.28154060481600002</v>
      </c>
      <c r="J18" s="41">
        <f>I18*(1+$O$18)</f>
        <v>0.28717141691232001</v>
      </c>
      <c r="K18" s="41">
        <f>J18*(1+$O$18)</f>
        <v>0.29291484525056644</v>
      </c>
      <c r="L18" s="41">
        <f>K18*(1+$O$18)</f>
        <v>0.29877314215557776</v>
      </c>
      <c r="M18" s="41">
        <f>L18*(1+$O$18)</f>
        <v>0.30474860499868933</v>
      </c>
      <c r="N18" s="41">
        <f>L18*O20</f>
        <v>3.5852777058669334</v>
      </c>
      <c r="O18" s="70">
        <v>0.02</v>
      </c>
      <c r="P18" s="27" t="s">
        <v>2</v>
      </c>
    </row>
    <row r="19" spans="2:16" x14ac:dyDescent="0.2">
      <c r="B19" s="71" t="s">
        <v>155</v>
      </c>
      <c r="C19" s="7" t="str">
        <f>C13</f>
        <v>PV(10%)</v>
      </c>
      <c r="D19" s="41">
        <f>D18*(1+$O$19)^($D$17-D17-1)*$I$3</f>
        <v>0.11590909090909091</v>
      </c>
      <c r="E19" s="41">
        <f t="shared" ref="E19:M19" si="6">E18*(1+$O$19)^($D$17-E17-1)*$I$3</f>
        <v>0.1074793388429752</v>
      </c>
      <c r="F19" s="41">
        <f t="shared" si="6"/>
        <v>9.966265965439515E-2</v>
      </c>
      <c r="G19" s="41">
        <f t="shared" si="6"/>
        <v>9.2414466224984601E-2</v>
      </c>
      <c r="H19" s="41">
        <f t="shared" si="6"/>
        <v>8.5693414135894805E-2</v>
      </c>
      <c r="I19" s="41">
        <f t="shared" si="6"/>
        <v>7.946116583510246E-2</v>
      </c>
      <c r="J19" s="41">
        <f t="shared" si="6"/>
        <v>7.3682171956185899E-2</v>
      </c>
      <c r="K19" s="41">
        <f t="shared" si="6"/>
        <v>6.8323468541190577E-2</v>
      </c>
      <c r="L19" s="41">
        <f t="shared" si="6"/>
        <v>6.3354489010922166E-2</v>
      </c>
      <c r="M19" s="41">
        <f t="shared" si="6"/>
        <v>5.8746889810127823E-2</v>
      </c>
      <c r="N19" s="41">
        <f t="shared" ref="N19" si="7">N18*(1+$O$19)^($D$17-N17-1)</f>
        <v>1.3822797602383017</v>
      </c>
      <c r="O19" s="17">
        <f>O13</f>
        <v>0.1</v>
      </c>
      <c r="P19" s="38" t="s">
        <v>3</v>
      </c>
    </row>
    <row r="20" spans="2:16" ht="13.5" thickBot="1" x14ac:dyDescent="0.25">
      <c r="B20" s="71" t="s">
        <v>156</v>
      </c>
      <c r="C20" s="8" t="s">
        <v>4</v>
      </c>
      <c r="D20" s="20">
        <f>SUM(D19:N19)</f>
        <v>2.2270069151591709</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3.2193660322271205</v>
      </c>
      <c r="F23" s="22">
        <f>E23*D23</f>
        <v>1.0945844509572211</v>
      </c>
      <c r="G23" s="25"/>
      <c r="P23" s="38"/>
    </row>
    <row r="24" spans="2:16" x14ac:dyDescent="0.2">
      <c r="B24" s="9"/>
      <c r="C24" s="9" t="s">
        <v>15</v>
      </c>
      <c r="D24" s="44">
        <v>0.33</v>
      </c>
      <c r="E24" s="41">
        <f>D14</f>
        <v>4.62106328847642</v>
      </c>
      <c r="F24" s="22">
        <f>E24*D24</f>
        <v>1.5249508851972187</v>
      </c>
      <c r="G24" s="25"/>
      <c r="P24" s="38"/>
    </row>
    <row r="25" spans="2:16" ht="13.5" thickBot="1" x14ac:dyDescent="0.25">
      <c r="B25" s="9"/>
      <c r="C25" s="10" t="s">
        <v>29</v>
      </c>
      <c r="D25" s="44">
        <v>0.33</v>
      </c>
      <c r="E25" s="23">
        <f>D20</f>
        <v>2.2270069151591709</v>
      </c>
      <c r="F25" s="24">
        <f>E25*D25</f>
        <v>0.73491228200252645</v>
      </c>
      <c r="G25" s="25"/>
      <c r="P25" s="38"/>
    </row>
    <row r="26" spans="2:16" ht="13.5" thickBot="1" x14ac:dyDescent="0.25">
      <c r="B26" s="9"/>
      <c r="C26" s="36" t="s">
        <v>167</v>
      </c>
      <c r="D26" s="36">
        <f>C3</f>
        <v>3.88</v>
      </c>
      <c r="E26" s="15" t="s">
        <v>11</v>
      </c>
      <c r="F26" s="16">
        <f>SUM(F23:F25)</f>
        <v>3.354447618156966</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5" priority="1" operator="containsText" text="overvalued">
      <formula>NOT(ISERROR(SEARCH("overvalued",D3)))</formula>
    </cfRule>
    <cfRule type="containsText" dxfId="74" priority="2" operator="containsText" text="undervalued">
      <formula>NOT(ISERROR(SEARCH("undervalued",D3)))</formula>
    </cfRule>
  </conditionalFormatting>
  <hyperlinks>
    <hyperlink ref="C30" r:id="rId1" xr:uid="{1CDFFD09-D002-F541-B87C-4269E38F998A}"/>
    <hyperlink ref="B4" location="'COMPARATIVE TABLE'!A1" display="'COMPARATIVE TABLE'!A1" xr:uid="{CACC3F79-8CC1-C94E-A6B7-35EF92D19EFC}"/>
    <hyperlink ref="C2" r:id="rId2" xr:uid="{F31EBB7B-B504-BD4D-9426-295A1E6B8345}"/>
  </hyperlinks>
  <pageMargins left="0.7" right="0.7" top="0.78740157499999996" bottom="0.78740157499999996" header="0.3" footer="0.3"/>
  <pageSetup paperSize="9" orientation="portrait"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CE34-2EDA-504A-BF79-86B389E9593D}">
  <dimension ref="B1:S30"/>
  <sheetViews>
    <sheetView showGridLines="0" zoomScale="147" zoomScaleNormal="147" workbookViewId="0">
      <selection activeCell="C4" sqref="C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274</v>
      </c>
      <c r="C2" s="89" t="s">
        <v>36</v>
      </c>
      <c r="D2" s="32"/>
      <c r="E2" s="33"/>
      <c r="F2" s="33"/>
      <c r="G2" s="33"/>
      <c r="H2" s="33"/>
      <c r="I2" s="33"/>
      <c r="J2" s="33"/>
      <c r="K2" s="33"/>
      <c r="L2" s="33"/>
      <c r="M2" s="33"/>
      <c r="N2" s="33"/>
      <c r="O2" s="33"/>
      <c r="P2" s="34"/>
      <c r="S2" s="3" t="s">
        <v>7</v>
      </c>
    </row>
    <row r="3" spans="2:19" ht="13.5" thickBot="1" x14ac:dyDescent="0.25">
      <c r="B3" s="35" t="s">
        <v>166</v>
      </c>
      <c r="C3" s="29">
        <f>'COMPARATIVE TABLE'!C11</f>
        <v>60.2</v>
      </c>
      <c r="D3" s="37"/>
      <c r="F3" s="73" t="s">
        <v>189</v>
      </c>
      <c r="G3" s="74"/>
      <c r="H3" s="74"/>
      <c r="I3" s="75">
        <v>1</v>
      </c>
      <c r="P3" s="38"/>
    </row>
    <row r="4" spans="2:19" ht="26.25" thickBot="1" x14ac:dyDescent="0.25">
      <c r="B4" s="39" t="s">
        <v>85</v>
      </c>
      <c r="N4" s="76" t="s">
        <v>5</v>
      </c>
      <c r="O4" s="4" t="s">
        <v>0</v>
      </c>
      <c r="P4" s="38"/>
    </row>
    <row r="5" spans="2:19" x14ac:dyDescent="0.2">
      <c r="B5" s="71" t="s">
        <v>8</v>
      </c>
      <c r="C5" s="5" t="s">
        <v>254</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0.03</v>
      </c>
      <c r="P5" s="38" t="s">
        <v>1</v>
      </c>
      <c r="R5" s="1"/>
    </row>
    <row r="6" spans="2:19" x14ac:dyDescent="0.2">
      <c r="B6" s="71" t="s">
        <v>19</v>
      </c>
      <c r="C6" s="86">
        <v>1.81</v>
      </c>
      <c r="D6" s="41">
        <f>C6*(1+$O$5)</f>
        <v>1.8643000000000001</v>
      </c>
      <c r="E6" s="41">
        <f>D6*(1+$O$5)</f>
        <v>1.9202290000000002</v>
      </c>
      <c r="F6" s="41">
        <f>E6*(1+$O$5)</f>
        <v>1.9778358700000003</v>
      </c>
      <c r="G6" s="41">
        <f>F6*(1+$O$5)</f>
        <v>2.0371709461000003</v>
      </c>
      <c r="H6" s="41">
        <f>G6*(1+$O$5)</f>
        <v>2.0982860744830005</v>
      </c>
      <c r="I6" s="41">
        <f>H6*(1+$O$6)</f>
        <v>2.1612346567174905</v>
      </c>
      <c r="J6" s="41">
        <f>I6*(1+$O$6)</f>
        <v>2.2260716964190155</v>
      </c>
      <c r="K6" s="41">
        <f>J6*(1+$O$6)</f>
        <v>2.2928538473115858</v>
      </c>
      <c r="L6" s="41">
        <f>K6*(1+$O$6)</f>
        <v>2.3616394627309334</v>
      </c>
      <c r="M6" s="41">
        <f>L6*(1+$O$6)</f>
        <v>2.4324886466128612</v>
      </c>
      <c r="N6" s="72">
        <f>L6*O8</f>
        <v>47.232789254618666</v>
      </c>
      <c r="O6" s="70">
        <v>0.03</v>
      </c>
      <c r="P6" s="27" t="s">
        <v>2</v>
      </c>
    </row>
    <row r="7" spans="2:19" x14ac:dyDescent="0.2">
      <c r="B7" s="9"/>
      <c r="C7" s="7" t="str">
        <f>CONCATENATE(R8,O7*100,S8)</f>
        <v>PV(10%)</v>
      </c>
      <c r="D7" s="72">
        <f>D6*(1+$O$7)^($D$5-D5-1)*$I$3</f>
        <v>1.6948181818181818</v>
      </c>
      <c r="E7" s="72">
        <f t="shared" ref="E7:M7" si="1">E6*(1+$O$7)^($D$5-E5-1)*$I$3</f>
        <v>1.5869661157024793</v>
      </c>
      <c r="F7" s="72">
        <f t="shared" si="1"/>
        <v>1.4859773628850486</v>
      </c>
      <c r="G7" s="72">
        <f t="shared" si="1"/>
        <v>1.3914151670650909</v>
      </c>
      <c r="H7" s="72">
        <f t="shared" si="1"/>
        <v>1.3028705655245851</v>
      </c>
      <c r="I7" s="72">
        <f t="shared" si="1"/>
        <v>1.219960620445748</v>
      </c>
      <c r="J7" s="72">
        <f t="shared" si="1"/>
        <v>1.1423267627810185</v>
      </c>
      <c r="K7" s="72">
        <f t="shared" si="1"/>
        <v>1.0696332415131353</v>
      </c>
      <c r="L7" s="72">
        <f t="shared" si="1"/>
        <v>1.0015656715986632</v>
      </c>
      <c r="M7" s="72">
        <f t="shared" si="1"/>
        <v>0.93782967431511166</v>
      </c>
      <c r="N7" s="72">
        <f t="shared" ref="N7" si="2">N6*(1+$O$7)^($D$5-N5-1)</f>
        <v>18.210284938157507</v>
      </c>
      <c r="O7" s="17">
        <v>0.1</v>
      </c>
      <c r="P7" s="45" t="s">
        <v>3</v>
      </c>
    </row>
    <row r="8" spans="2:19" ht="13.5" thickBot="1" x14ac:dyDescent="0.25">
      <c r="B8" s="9"/>
      <c r="C8" s="8" t="s">
        <v>26</v>
      </c>
      <c r="D8" s="20">
        <f>SUM(D7:N7)</f>
        <v>31.043648301806567</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0.05</v>
      </c>
      <c r="P11" s="38" t="s">
        <v>1</v>
      </c>
    </row>
    <row r="12" spans="2:19" x14ac:dyDescent="0.2">
      <c r="B12" s="71" t="s">
        <v>18</v>
      </c>
      <c r="C12" s="6">
        <f>C6</f>
        <v>1.81</v>
      </c>
      <c r="D12" s="41">
        <f>C12*(1+$O$11)</f>
        <v>1.9005000000000001</v>
      </c>
      <c r="E12" s="41">
        <f>D12*(1+$O$11)</f>
        <v>1.9955250000000002</v>
      </c>
      <c r="F12" s="41">
        <f>E12*(1+$O$11)</f>
        <v>2.0953012500000003</v>
      </c>
      <c r="G12" s="41">
        <f>F12*(1+$O$11)</f>
        <v>2.2000663125000006</v>
      </c>
      <c r="H12" s="41">
        <f>G12*(1+$O$11)</f>
        <v>2.3100696281250008</v>
      </c>
      <c r="I12" s="41">
        <f>H12*(1+$O$12)</f>
        <v>2.4255731095312512</v>
      </c>
      <c r="J12" s="41">
        <f>I12*(1+$O$12)</f>
        <v>2.5468517650078137</v>
      </c>
      <c r="K12" s="41">
        <f>J12*(1+$O$12)</f>
        <v>2.6741943532582044</v>
      </c>
      <c r="L12" s="41">
        <f>K12*(1+$O$12)</f>
        <v>2.8079040709211149</v>
      </c>
      <c r="M12" s="41">
        <f>L12*(1+$O$12)</f>
        <v>2.9482992744671708</v>
      </c>
      <c r="N12" s="41">
        <f>L12*O14</f>
        <v>70.19760177302787</v>
      </c>
      <c r="O12" s="70">
        <v>0.05</v>
      </c>
      <c r="P12" s="27" t="s">
        <v>2</v>
      </c>
    </row>
    <row r="13" spans="2:19" x14ac:dyDescent="0.2">
      <c r="B13" s="9">
        <f>B7</f>
        <v>0</v>
      </c>
      <c r="C13" s="7" t="str">
        <f>C7</f>
        <v>PV(10%)</v>
      </c>
      <c r="D13" s="41">
        <f>D12*(1+$O$13)^($D$11-D11-1)*$I$3</f>
        <v>1.7277272727272728</v>
      </c>
      <c r="E13" s="41">
        <f t="shared" ref="E13:M13" si="4">E12*(1+$O$13)^($D$11-E11-1)*$I$3</f>
        <v>1.649194214876033</v>
      </c>
      <c r="F13" s="41">
        <f t="shared" si="4"/>
        <v>1.5742308414725767</v>
      </c>
      <c r="G13" s="41">
        <f t="shared" si="4"/>
        <v>1.5026748941329144</v>
      </c>
      <c r="H13" s="41">
        <f t="shared" si="4"/>
        <v>1.4343714898541455</v>
      </c>
      <c r="I13" s="41">
        <f t="shared" si="4"/>
        <v>1.3691727857698663</v>
      </c>
      <c r="J13" s="41">
        <f t="shared" si="4"/>
        <v>1.306937659143963</v>
      </c>
      <c r="K13" s="41">
        <f t="shared" si="4"/>
        <v>1.2475314019101467</v>
      </c>
      <c r="L13" s="41">
        <f t="shared" si="4"/>
        <v>1.1908254290960492</v>
      </c>
      <c r="M13" s="41">
        <f t="shared" si="4"/>
        <v>1.1366970005007742</v>
      </c>
      <c r="N13" s="41">
        <f>N12*(1+$O$7)^($D$5-N11-1)</f>
        <v>27.064214297637477</v>
      </c>
      <c r="O13" s="17">
        <f>O7</f>
        <v>0.1</v>
      </c>
      <c r="P13" s="38" t="s">
        <v>3</v>
      </c>
    </row>
    <row r="14" spans="2:19" ht="13.5" thickBot="1" x14ac:dyDescent="0.25">
      <c r="B14" s="9"/>
      <c r="C14" s="8" t="s">
        <v>4</v>
      </c>
      <c r="D14" s="20">
        <f>SUM(D13:N13)</f>
        <v>41.20357728712122</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1.81</v>
      </c>
      <c r="D18" s="41">
        <f>C18*(1+$O$17)</f>
        <v>1.81</v>
      </c>
      <c r="E18" s="41">
        <f>D18*(1+$O$17)</f>
        <v>1.81</v>
      </c>
      <c r="F18" s="41">
        <f>E18*(1+$O$17)</f>
        <v>1.81</v>
      </c>
      <c r="G18" s="41">
        <f>F18*(1+$O$17)</f>
        <v>1.81</v>
      </c>
      <c r="H18" s="41">
        <f>G18*(1+$O$17)</f>
        <v>1.81</v>
      </c>
      <c r="I18" s="41">
        <f>H18*(1+$O$18)</f>
        <v>1.81</v>
      </c>
      <c r="J18" s="41">
        <f>I18*(1+$O$18)</f>
        <v>1.81</v>
      </c>
      <c r="K18" s="41">
        <f>J18*(1+$O$18)</f>
        <v>1.81</v>
      </c>
      <c r="L18" s="41">
        <f>K18*(1+$O$18)</f>
        <v>1.81</v>
      </c>
      <c r="M18" s="41">
        <f>L18*(1+$O$18)</f>
        <v>1.81</v>
      </c>
      <c r="N18" s="41">
        <f>L18*O20</f>
        <v>27.150000000000002</v>
      </c>
      <c r="O18" s="70">
        <v>0</v>
      </c>
      <c r="P18" s="27" t="s">
        <v>2</v>
      </c>
    </row>
    <row r="19" spans="2:16" x14ac:dyDescent="0.2">
      <c r="B19" s="71" t="s">
        <v>155</v>
      </c>
      <c r="C19" s="7" t="str">
        <f>C13</f>
        <v>PV(10%)</v>
      </c>
      <c r="D19" s="41">
        <f>D18*(1+$O$19)^($D$17-D17-1)*$I$3</f>
        <v>1.6454545454545455</v>
      </c>
      <c r="E19" s="41">
        <f t="shared" ref="E19:M19" si="6">E18*(1+$O$19)^($D$17-E17-1)*$I$3</f>
        <v>1.4958677685950412</v>
      </c>
      <c r="F19" s="41">
        <f t="shared" si="6"/>
        <v>1.3598797896318553</v>
      </c>
      <c r="G19" s="41">
        <f t="shared" si="6"/>
        <v>1.2362543542107778</v>
      </c>
      <c r="H19" s="41">
        <f t="shared" si="6"/>
        <v>1.1238675947370704</v>
      </c>
      <c r="I19" s="41">
        <f t="shared" si="6"/>
        <v>1.0216978133973369</v>
      </c>
      <c r="J19" s="41">
        <f t="shared" si="6"/>
        <v>0.92881619399757875</v>
      </c>
      <c r="K19" s="41">
        <f t="shared" si="6"/>
        <v>0.84437835817961704</v>
      </c>
      <c r="L19" s="41">
        <f t="shared" si="6"/>
        <v>0.76761668925419724</v>
      </c>
      <c r="M19" s="41">
        <f t="shared" si="6"/>
        <v>0.69783335386745204</v>
      </c>
      <c r="N19" s="41">
        <f t="shared" ref="N19" si="7">N18*(1+$O$19)^($D$17-N17-1)</f>
        <v>10.467500308011781</v>
      </c>
      <c r="O19" s="17">
        <f>O13</f>
        <v>0.1</v>
      </c>
      <c r="P19" s="38" t="s">
        <v>3</v>
      </c>
    </row>
    <row r="20" spans="2:16" ht="13.5" thickBot="1" x14ac:dyDescent="0.25">
      <c r="B20" s="71" t="s">
        <v>156</v>
      </c>
      <c r="C20" s="8" t="s">
        <v>4</v>
      </c>
      <c r="D20" s="20">
        <f>SUM(D19:N19)</f>
        <v>21.589166769337254</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31.043648301806567</v>
      </c>
      <c r="F23" s="22">
        <f>E23*D23</f>
        <v>10.554840422614234</v>
      </c>
      <c r="G23" s="25"/>
      <c r="P23" s="38"/>
    </row>
    <row r="24" spans="2:16" x14ac:dyDescent="0.2">
      <c r="B24" s="9"/>
      <c r="C24" s="9" t="s">
        <v>15</v>
      </c>
      <c r="D24" s="44">
        <v>0.33</v>
      </c>
      <c r="E24" s="41">
        <f>D14</f>
        <v>41.20357728712122</v>
      </c>
      <c r="F24" s="22">
        <f>E24*D24</f>
        <v>13.597180504750003</v>
      </c>
      <c r="G24" s="25"/>
      <c r="P24" s="38"/>
    </row>
    <row r="25" spans="2:16" ht="13.5" thickBot="1" x14ac:dyDescent="0.25">
      <c r="B25" s="9"/>
      <c r="C25" s="10" t="s">
        <v>29</v>
      </c>
      <c r="D25" s="44">
        <v>0.33</v>
      </c>
      <c r="E25" s="23">
        <f>D20</f>
        <v>21.589166769337254</v>
      </c>
      <c r="F25" s="24">
        <f>E25*D25</f>
        <v>7.1244250338812938</v>
      </c>
      <c r="G25" s="25"/>
      <c r="P25" s="38"/>
    </row>
    <row r="26" spans="2:16" ht="13.5" thickBot="1" x14ac:dyDescent="0.25">
      <c r="B26" s="9"/>
      <c r="C26" s="36" t="s">
        <v>167</v>
      </c>
      <c r="D26" s="36">
        <f>C3</f>
        <v>60.2</v>
      </c>
      <c r="E26" s="15" t="s">
        <v>11</v>
      </c>
      <c r="F26" s="16">
        <f>SUM(F23:F25)</f>
        <v>31.276445961245532</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3" priority="1" operator="containsText" text="overvalued">
      <formula>NOT(ISERROR(SEARCH("overvalued",D3)))</formula>
    </cfRule>
    <cfRule type="containsText" dxfId="72" priority="2" operator="containsText" text="undervalued">
      <formula>NOT(ISERROR(SEARCH("undervalued",D3)))</formula>
    </cfRule>
  </conditionalFormatting>
  <hyperlinks>
    <hyperlink ref="C30" r:id="rId1" xr:uid="{2532BB17-D0C0-654D-A9EF-B1D463CC1379}"/>
    <hyperlink ref="B4" location="'COMPARATIVE TABLE'!A1" display="'COMPARATIVE TABLE'!A1" xr:uid="{DB552127-F265-FF42-9DAC-5CB27E0E71BF}"/>
    <hyperlink ref="C2" r:id="rId2" xr:uid="{1D35233C-FB77-5749-8C13-D38DC0A01E1B}"/>
  </hyperlinks>
  <pageMargins left="0.7" right="0.7" top="0.78740157499999996" bottom="0.78740157499999996" header="0.3" footer="0.3"/>
  <pageSetup paperSize="9"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62EF-9FC2-8B49-BB49-419BFB54E2A0}">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236</v>
      </c>
      <c r="C2" s="89" t="s">
        <v>36</v>
      </c>
      <c r="D2" s="32"/>
      <c r="E2" s="33"/>
      <c r="F2" s="33"/>
      <c r="G2" s="33"/>
      <c r="H2" s="33"/>
      <c r="I2" s="33"/>
      <c r="J2" s="33"/>
      <c r="K2" s="33"/>
      <c r="L2" s="33"/>
      <c r="M2" s="33"/>
      <c r="N2" s="33"/>
      <c r="O2" s="33"/>
      <c r="P2" s="34"/>
      <c r="S2" s="3" t="s">
        <v>7</v>
      </c>
    </row>
    <row r="3" spans="2:19" ht="13.5" thickBot="1" x14ac:dyDescent="0.25">
      <c r="B3" s="35" t="s">
        <v>166</v>
      </c>
      <c r="C3" s="29">
        <f>'COMPARATIVE TABLE'!C12</f>
        <v>87.5</v>
      </c>
      <c r="D3" s="37"/>
      <c r="F3" s="73" t="s">
        <v>189</v>
      </c>
      <c r="G3" s="74"/>
      <c r="H3" s="74"/>
      <c r="I3" s="75">
        <v>1</v>
      </c>
      <c r="P3" s="38"/>
    </row>
    <row r="4" spans="2:19" ht="26.25" thickBot="1" x14ac:dyDescent="0.25">
      <c r="B4" s="39" t="s">
        <v>85</v>
      </c>
      <c r="N4" s="76" t="s">
        <v>5</v>
      </c>
      <c r="O4" s="4" t="s">
        <v>0</v>
      </c>
      <c r="P4" s="38"/>
    </row>
    <row r="5" spans="2:19" x14ac:dyDescent="0.2">
      <c r="B5" s="71" t="s">
        <v>8</v>
      </c>
      <c r="C5" s="5" t="s">
        <v>429</v>
      </c>
      <c r="D5" s="19">
        <v>2026</v>
      </c>
      <c r="E5" s="19">
        <f t="shared" ref="E5:M5" si="0">D5+1</f>
        <v>2027</v>
      </c>
      <c r="F5" s="19">
        <f t="shared" si="0"/>
        <v>2028</v>
      </c>
      <c r="G5" s="19">
        <f t="shared" si="0"/>
        <v>2029</v>
      </c>
      <c r="H5" s="19">
        <f t="shared" si="0"/>
        <v>2030</v>
      </c>
      <c r="I5" s="19">
        <f t="shared" si="0"/>
        <v>2031</v>
      </c>
      <c r="J5" s="19">
        <f t="shared" si="0"/>
        <v>2032</v>
      </c>
      <c r="K5" s="19">
        <f t="shared" si="0"/>
        <v>2033</v>
      </c>
      <c r="L5" s="19">
        <f t="shared" si="0"/>
        <v>2034</v>
      </c>
      <c r="M5" s="19">
        <f t="shared" si="0"/>
        <v>2035</v>
      </c>
      <c r="N5" s="77">
        <v>2035</v>
      </c>
      <c r="O5" s="70">
        <v>0.05</v>
      </c>
      <c r="P5" s="38" t="s">
        <v>1</v>
      </c>
      <c r="R5" s="1"/>
    </row>
    <row r="6" spans="2:19" x14ac:dyDescent="0.2">
      <c r="B6" s="71" t="s">
        <v>19</v>
      </c>
      <c r="C6" s="86">
        <v>5.2</v>
      </c>
      <c r="D6" s="41">
        <f>C6*(1+$O$5)</f>
        <v>5.4600000000000009</v>
      </c>
      <c r="E6" s="41">
        <f>D6*(1+$O$5)</f>
        <v>5.7330000000000014</v>
      </c>
      <c r="F6" s="41">
        <f>E6*(1+$O$5)</f>
        <v>6.0196500000000022</v>
      </c>
      <c r="G6" s="41">
        <f>F6*(1+$O$5)</f>
        <v>6.320632500000003</v>
      </c>
      <c r="H6" s="41">
        <f>G6*(1+$O$5)</f>
        <v>6.6366641250000038</v>
      </c>
      <c r="I6" s="41">
        <f>H6*(1+$O$6)</f>
        <v>6.9684973312500045</v>
      </c>
      <c r="J6" s="41">
        <f>I6*(1+$O$6)</f>
        <v>7.316922197812505</v>
      </c>
      <c r="K6" s="41">
        <f>J6*(1+$O$6)</f>
        <v>7.6827683077031308</v>
      </c>
      <c r="L6" s="41">
        <f>K6*(1+$O$6)</f>
        <v>8.0669067230882874</v>
      </c>
      <c r="M6" s="41">
        <f>L6*(1+$O$6)</f>
        <v>8.4702520592427017</v>
      </c>
      <c r="N6" s="72">
        <f>L6*O8</f>
        <v>121.0036008463243</v>
      </c>
      <c r="O6" s="70">
        <v>0.05</v>
      </c>
      <c r="P6" s="27" t="s">
        <v>2</v>
      </c>
    </row>
    <row r="7" spans="2:19" x14ac:dyDescent="0.2">
      <c r="B7" s="9"/>
      <c r="C7" s="7" t="str">
        <f>CONCATENATE(R8,O7*100,S8)</f>
        <v>PV(10%)</v>
      </c>
      <c r="D7" s="72">
        <f>D6*(1+$O$7)^($D$5-D5-1)*$I$3</f>
        <v>4.9636363636363638</v>
      </c>
      <c r="E7" s="72">
        <f t="shared" ref="E7:M7" si="1">E6*(1+$O$7)^($D$5-E5-1)*$I$3</f>
        <v>4.7380165289256206</v>
      </c>
      <c r="F7" s="72">
        <f t="shared" si="1"/>
        <v>4.5226521412471827</v>
      </c>
      <c r="G7" s="72">
        <f t="shared" si="1"/>
        <v>4.3170770439177657</v>
      </c>
      <c r="H7" s="72">
        <f t="shared" si="1"/>
        <v>4.1208462691942307</v>
      </c>
      <c r="I7" s="72">
        <f t="shared" si="1"/>
        <v>3.933535075139948</v>
      </c>
      <c r="J7" s="72">
        <f t="shared" si="1"/>
        <v>3.7547380262699499</v>
      </c>
      <c r="K7" s="72">
        <f t="shared" si="1"/>
        <v>3.5840681159849526</v>
      </c>
      <c r="L7" s="72">
        <f t="shared" si="1"/>
        <v>3.4211559288947275</v>
      </c>
      <c r="M7" s="72">
        <f t="shared" si="1"/>
        <v>3.2656488412176938</v>
      </c>
      <c r="N7" s="72">
        <f t="shared" ref="N7" si="2">N6*(1+$O$7)^($D$5-N5-1)</f>
        <v>46.65212630310991</v>
      </c>
      <c r="O7" s="17">
        <v>0.1</v>
      </c>
      <c r="P7" s="45" t="s">
        <v>3</v>
      </c>
    </row>
    <row r="8" spans="2:19" ht="13.5" thickBot="1" x14ac:dyDescent="0.25">
      <c r="B8" s="9"/>
      <c r="C8" s="8" t="s">
        <v>26</v>
      </c>
      <c r="D8" s="20">
        <f>SUM(D7:N7)</f>
        <v>87.273500637538348</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 HKD</v>
      </c>
      <c r="D11" s="19">
        <f>D5</f>
        <v>2026</v>
      </c>
      <c r="E11" s="19">
        <f t="shared" ref="E11:M11" si="3">D11+1</f>
        <v>2027</v>
      </c>
      <c r="F11" s="19">
        <f t="shared" si="3"/>
        <v>2028</v>
      </c>
      <c r="G11" s="19">
        <f t="shared" si="3"/>
        <v>2029</v>
      </c>
      <c r="H11" s="19">
        <f t="shared" si="3"/>
        <v>2030</v>
      </c>
      <c r="I11" s="19">
        <f t="shared" si="3"/>
        <v>2031</v>
      </c>
      <c r="J11" s="19">
        <f t="shared" si="3"/>
        <v>2032</v>
      </c>
      <c r="K11" s="19">
        <f t="shared" si="3"/>
        <v>2033</v>
      </c>
      <c r="L11" s="19">
        <f t="shared" si="3"/>
        <v>2034</v>
      </c>
      <c r="M11" s="19">
        <f t="shared" si="3"/>
        <v>2035</v>
      </c>
      <c r="N11" s="19">
        <f>N5</f>
        <v>2035</v>
      </c>
      <c r="O11" s="70">
        <v>0.06</v>
      </c>
      <c r="P11" s="38" t="s">
        <v>1</v>
      </c>
    </row>
    <row r="12" spans="2:19" x14ac:dyDescent="0.2">
      <c r="B12" s="71" t="s">
        <v>18</v>
      </c>
      <c r="C12" s="6">
        <f>C6</f>
        <v>5.2</v>
      </c>
      <c r="D12" s="41">
        <f>C12*(1+$O$11)</f>
        <v>5.5120000000000005</v>
      </c>
      <c r="E12" s="41">
        <f>D12*(1+$O$11)</f>
        <v>5.8427200000000008</v>
      </c>
      <c r="F12" s="41">
        <f>E12*(1+$O$11)</f>
        <v>6.1932832000000015</v>
      </c>
      <c r="G12" s="41">
        <f>F12*(1+$O$11)</f>
        <v>6.5648801920000022</v>
      </c>
      <c r="H12" s="41">
        <f>G12*(1+$O$11)</f>
        <v>6.9587730035200028</v>
      </c>
      <c r="I12" s="41">
        <f>H12*(1+$O$12)</f>
        <v>7.3762993837312036</v>
      </c>
      <c r="J12" s="41">
        <f>I12*(1+$O$12)</f>
        <v>7.8188773467550758</v>
      </c>
      <c r="K12" s="41">
        <f>J12*(1+$O$12)</f>
        <v>8.2880099875603808</v>
      </c>
      <c r="L12" s="41">
        <f>K12*(1+$O$12)</f>
        <v>8.7852905868140034</v>
      </c>
      <c r="M12" s="41">
        <f>L12*(1+$O$12)</f>
        <v>9.3124080220228436</v>
      </c>
      <c r="N12" s="41">
        <f>L12*O14</f>
        <v>175.70581173628005</v>
      </c>
      <c r="O12" s="70">
        <v>0.06</v>
      </c>
      <c r="P12" s="27" t="s">
        <v>2</v>
      </c>
    </row>
    <row r="13" spans="2:19" x14ac:dyDescent="0.2">
      <c r="B13" s="9">
        <f>B7</f>
        <v>0</v>
      </c>
      <c r="C13" s="7" t="str">
        <f>C7</f>
        <v>PV(10%)</v>
      </c>
      <c r="D13" s="41">
        <f>D12*(1+$O$13)^($D$11-D11-1)*$I$3</f>
        <v>5.0109090909090908</v>
      </c>
      <c r="E13" s="41">
        <f t="shared" ref="E13:M13" si="4">E12*(1+$O$13)^($D$11-E11-1)*$I$3</f>
        <v>4.828694214876033</v>
      </c>
      <c r="F13" s="41">
        <f t="shared" si="4"/>
        <v>4.6531053343350859</v>
      </c>
      <c r="G13" s="41">
        <f t="shared" si="4"/>
        <v>4.4839015039956287</v>
      </c>
      <c r="H13" s="41">
        <f t="shared" si="4"/>
        <v>4.3208505402139696</v>
      </c>
      <c r="I13" s="41">
        <f t="shared" si="4"/>
        <v>4.1637287023880072</v>
      </c>
      <c r="J13" s="41">
        <f t="shared" si="4"/>
        <v>4.0123203859375334</v>
      </c>
      <c r="K13" s="41">
        <f t="shared" si="4"/>
        <v>3.8664178264488962</v>
      </c>
      <c r="L13" s="41">
        <f t="shared" si="4"/>
        <v>3.7258208145780269</v>
      </c>
      <c r="M13" s="41">
        <f t="shared" si="4"/>
        <v>3.5903364213206439</v>
      </c>
      <c r="N13" s="41">
        <f>N12*(1+$O$7)^($D$5-N11-1)</f>
        <v>67.742196628691389</v>
      </c>
      <c r="O13" s="17">
        <f>O7</f>
        <v>0.1</v>
      </c>
      <c r="P13" s="38" t="s">
        <v>3</v>
      </c>
    </row>
    <row r="14" spans="2:19" ht="13.5" thickBot="1" x14ac:dyDescent="0.25">
      <c r="B14" s="9"/>
      <c r="C14" s="8" t="s">
        <v>4</v>
      </c>
      <c r="D14" s="20">
        <f>SUM(D13:N13)</f>
        <v>110.3982814636943</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 HKD</v>
      </c>
      <c r="D17" s="19">
        <f>D11</f>
        <v>2026</v>
      </c>
      <c r="E17" s="19">
        <f t="shared" ref="E17:M17" si="5">D17+1</f>
        <v>2027</v>
      </c>
      <c r="F17" s="19">
        <f t="shared" si="5"/>
        <v>2028</v>
      </c>
      <c r="G17" s="19">
        <f t="shared" si="5"/>
        <v>2029</v>
      </c>
      <c r="H17" s="19">
        <f t="shared" si="5"/>
        <v>2030</v>
      </c>
      <c r="I17" s="19">
        <f t="shared" si="5"/>
        <v>2031</v>
      </c>
      <c r="J17" s="19">
        <f t="shared" si="5"/>
        <v>2032</v>
      </c>
      <c r="K17" s="19">
        <f t="shared" si="5"/>
        <v>2033</v>
      </c>
      <c r="L17" s="19">
        <f t="shared" si="5"/>
        <v>2034</v>
      </c>
      <c r="M17" s="19">
        <f t="shared" si="5"/>
        <v>2035</v>
      </c>
      <c r="N17" s="19">
        <f>N11</f>
        <v>2035</v>
      </c>
      <c r="O17" s="70">
        <v>0.03</v>
      </c>
      <c r="P17" s="38" t="s">
        <v>1</v>
      </c>
    </row>
    <row r="18" spans="2:16" x14ac:dyDescent="0.2">
      <c r="B18" s="71" t="s">
        <v>17</v>
      </c>
      <c r="C18" s="6">
        <f>C12</f>
        <v>5.2</v>
      </c>
      <c r="D18" s="41">
        <f>C18*(1+$O$17)</f>
        <v>5.3560000000000008</v>
      </c>
      <c r="E18" s="41">
        <f>D18*(1+$O$17)</f>
        <v>5.5166800000000009</v>
      </c>
      <c r="F18" s="41">
        <f>E18*(1+$O$17)</f>
        <v>5.6821804000000009</v>
      </c>
      <c r="G18" s="41">
        <f>F18*(1+$O$17)</f>
        <v>5.8526458120000013</v>
      </c>
      <c r="H18" s="41">
        <f>G18*(1+$O$17)</f>
        <v>6.0282251863600012</v>
      </c>
      <c r="I18" s="41">
        <f>H18*(1+$O$18)</f>
        <v>6.2090719419508016</v>
      </c>
      <c r="J18" s="41">
        <f>I18*(1+$O$18)</f>
        <v>6.3953441002093259</v>
      </c>
      <c r="K18" s="41">
        <f>J18*(1+$O$18)</f>
        <v>6.5872044232156055</v>
      </c>
      <c r="L18" s="41">
        <f>K18*(1+$O$18)</f>
        <v>6.7848205559120736</v>
      </c>
      <c r="M18" s="41">
        <f>L18*(1+$O$18)</f>
        <v>6.988365172589436</v>
      </c>
      <c r="N18" s="41">
        <f>L18*O20</f>
        <v>81.417846670944883</v>
      </c>
      <c r="O18" s="70">
        <v>0.03</v>
      </c>
      <c r="P18" s="27" t="s">
        <v>2</v>
      </c>
    </row>
    <row r="19" spans="2:16" x14ac:dyDescent="0.2">
      <c r="B19" s="71" t="s">
        <v>155</v>
      </c>
      <c r="C19" s="7" t="str">
        <f>C13</f>
        <v>PV(10%)</v>
      </c>
      <c r="D19" s="41">
        <f>D18*(1+$O$19)^($D$17-D17-1)*$I$3</f>
        <v>4.86909090909091</v>
      </c>
      <c r="E19" s="41">
        <f t="shared" ref="E19:M19" si="6">E18*(1+$O$19)^($D$17-E17-1)*$I$3</f>
        <v>4.5592396694214878</v>
      </c>
      <c r="F19" s="41">
        <f t="shared" si="6"/>
        <v>4.2691062359128473</v>
      </c>
      <c r="G19" s="41">
        <f t="shared" si="6"/>
        <v>3.9974358390820299</v>
      </c>
      <c r="H19" s="41">
        <f t="shared" si="6"/>
        <v>3.7430535584131728</v>
      </c>
      <c r="I19" s="41">
        <f t="shared" si="6"/>
        <v>3.5048592410596076</v>
      </c>
      <c r="J19" s="41">
        <f t="shared" si="6"/>
        <v>3.2818227439012682</v>
      </c>
      <c r="K19" s="41">
        <f t="shared" si="6"/>
        <v>3.0729794783802786</v>
      </c>
      <c r="L19" s="41">
        <f t="shared" si="6"/>
        <v>2.8774262388469878</v>
      </c>
      <c r="M19" s="41">
        <f t="shared" si="6"/>
        <v>2.6943172963749067</v>
      </c>
      <c r="N19" s="41">
        <f t="shared" ref="N19" si="7">N18*(1+$O$19)^($D$17-N17-1)</f>
        <v>31.390104423785317</v>
      </c>
      <c r="O19" s="17">
        <f>O13</f>
        <v>0.1</v>
      </c>
      <c r="P19" s="38" t="s">
        <v>3</v>
      </c>
    </row>
    <row r="20" spans="2:16" ht="13.5" thickBot="1" x14ac:dyDescent="0.25">
      <c r="B20" s="71" t="s">
        <v>156</v>
      </c>
      <c r="C20" s="8" t="s">
        <v>4</v>
      </c>
      <c r="D20" s="20">
        <f>SUM(D19:N19)</f>
        <v>68.259435634268812</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87.273500637538348</v>
      </c>
      <c r="F23" s="22">
        <f>E23*D23</f>
        <v>29.67299021676304</v>
      </c>
      <c r="G23" s="25"/>
      <c r="P23" s="38"/>
    </row>
    <row r="24" spans="2:16" x14ac:dyDescent="0.2">
      <c r="B24" s="9"/>
      <c r="C24" s="9" t="s">
        <v>15</v>
      </c>
      <c r="D24" s="44">
        <v>0.33</v>
      </c>
      <c r="E24" s="41">
        <f>D14</f>
        <v>110.3982814636943</v>
      </c>
      <c r="F24" s="22">
        <f>E24*D24</f>
        <v>36.43143288301912</v>
      </c>
      <c r="G24" s="25"/>
      <c r="P24" s="38"/>
    </row>
    <row r="25" spans="2:16" ht="13.5" thickBot="1" x14ac:dyDescent="0.25">
      <c r="B25" s="9"/>
      <c r="C25" s="10" t="s">
        <v>29</v>
      </c>
      <c r="D25" s="44">
        <v>0.33</v>
      </c>
      <c r="E25" s="23">
        <f>D20</f>
        <v>68.259435634268812</v>
      </c>
      <c r="F25" s="24">
        <f>E25*D25</f>
        <v>22.525613759308708</v>
      </c>
      <c r="G25" s="25"/>
      <c r="P25" s="38"/>
    </row>
    <row r="26" spans="2:16" ht="13.5" thickBot="1" x14ac:dyDescent="0.25">
      <c r="B26" s="9"/>
      <c r="C26" s="36" t="s">
        <v>167</v>
      </c>
      <c r="D26" s="36">
        <f>C3</f>
        <v>87.5</v>
      </c>
      <c r="E26" s="15" t="s">
        <v>11</v>
      </c>
      <c r="F26" s="16">
        <f>SUM(F23:F25)</f>
        <v>88.630036859090879</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1" priority="1" operator="containsText" text="overvalued">
      <formula>NOT(ISERROR(SEARCH("overvalued",D3)))</formula>
    </cfRule>
    <cfRule type="containsText" dxfId="70" priority="2" operator="containsText" text="undervalued">
      <formula>NOT(ISERROR(SEARCH("undervalued",D3)))</formula>
    </cfRule>
  </conditionalFormatting>
  <hyperlinks>
    <hyperlink ref="C30" r:id="rId1" xr:uid="{92AC4B06-399E-3241-872D-75A91E08147C}"/>
    <hyperlink ref="B4" location="'COMPARATIVE TABLE'!A1" display="'COMPARATIVE TABLE'!A1" xr:uid="{6973C059-2FC2-9D4B-9D88-70672C39707F}"/>
    <hyperlink ref="C2" r:id="rId2" xr:uid="{06047AD2-336A-0F4C-A6F5-F67217C36AE9}"/>
  </hyperlinks>
  <pageMargins left="0.7" right="0.7" top="0.78740157499999996" bottom="0.78740157499999996" header="0.3" footer="0.3"/>
  <pageSetup paperSize="9"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78E2-8743-CC4B-8FD0-81E4C17B2211}">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284</v>
      </c>
      <c r="C2" s="89" t="s">
        <v>36</v>
      </c>
      <c r="D2" s="32"/>
      <c r="E2" s="33"/>
      <c r="F2" s="33"/>
      <c r="G2" s="33"/>
      <c r="H2" s="33"/>
      <c r="I2" s="33"/>
      <c r="J2" s="33"/>
      <c r="K2" s="33"/>
      <c r="L2" s="33"/>
      <c r="M2" s="33"/>
      <c r="N2" s="33"/>
      <c r="O2" s="33"/>
      <c r="P2" s="34"/>
      <c r="S2" s="3" t="s">
        <v>7</v>
      </c>
    </row>
    <row r="3" spans="2:19" ht="13.5" thickBot="1" x14ac:dyDescent="0.25">
      <c r="B3" s="35" t="s">
        <v>166</v>
      </c>
      <c r="C3" s="29">
        <f>'COMPARATIVE TABLE'!C13</f>
        <v>52.1</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0.04</v>
      </c>
      <c r="P5" s="38" t="s">
        <v>1</v>
      </c>
      <c r="R5" s="1"/>
    </row>
    <row r="6" spans="2:19" x14ac:dyDescent="0.2">
      <c r="B6" s="71" t="s">
        <v>19</v>
      </c>
      <c r="C6" s="86">
        <v>2.2000000000000002</v>
      </c>
      <c r="D6" s="41">
        <f>C6*(1+$O$5)</f>
        <v>2.2880000000000003</v>
      </c>
      <c r="E6" s="41">
        <f>D6*(1+$O$5)</f>
        <v>2.3795200000000003</v>
      </c>
      <c r="F6" s="41">
        <f>E6*(1+$O$5)</f>
        <v>2.4747008000000004</v>
      </c>
      <c r="G6" s="41">
        <f>F6*(1+$O$5)</f>
        <v>2.5736888320000006</v>
      </c>
      <c r="H6" s="41">
        <f>G6*(1+$O$5)</f>
        <v>2.6766363852800006</v>
      </c>
      <c r="I6" s="41">
        <f>H6*(1+$O$6)</f>
        <v>2.7837018406912009</v>
      </c>
      <c r="J6" s="41">
        <f>I6*(1+$O$6)</f>
        <v>2.8950499143188488</v>
      </c>
      <c r="K6" s="41">
        <f>J6*(1+$O$6)</f>
        <v>3.0108519108916028</v>
      </c>
      <c r="L6" s="41">
        <f>K6*(1+$O$6)</f>
        <v>3.1312859873272672</v>
      </c>
      <c r="M6" s="41">
        <f>L6*(1+$O$6)</f>
        <v>3.256537426820358</v>
      </c>
      <c r="N6" s="72">
        <f>L6*O8</f>
        <v>62.625719746545343</v>
      </c>
      <c r="O6" s="70">
        <v>0.04</v>
      </c>
      <c r="P6" s="27" t="s">
        <v>2</v>
      </c>
    </row>
    <row r="7" spans="2:19" x14ac:dyDescent="0.2">
      <c r="B7" s="9"/>
      <c r="C7" s="7" t="str">
        <f>CONCATENATE(R8,O7*100,S8)</f>
        <v>PV(10%)</v>
      </c>
      <c r="D7" s="72">
        <f>D6*(1+$O$7)^($D$5-D5-1)*$I$3</f>
        <v>2.08</v>
      </c>
      <c r="E7" s="72">
        <f t="shared" ref="E7:M7" si="1">E6*(1+$O$7)^($D$5-E5-1)*$I$3</f>
        <v>1.9665454545454546</v>
      </c>
      <c r="F7" s="72">
        <f t="shared" si="1"/>
        <v>1.8592793388429749</v>
      </c>
      <c r="G7" s="72">
        <f t="shared" si="1"/>
        <v>1.7578641021788128</v>
      </c>
      <c r="H7" s="72">
        <f t="shared" si="1"/>
        <v>1.661980605696332</v>
      </c>
      <c r="I7" s="72">
        <f t="shared" si="1"/>
        <v>1.5713271181128958</v>
      </c>
      <c r="J7" s="72">
        <f t="shared" si="1"/>
        <v>1.4856183662158284</v>
      </c>
      <c r="K7" s="72">
        <f t="shared" si="1"/>
        <v>1.4045846371495105</v>
      </c>
      <c r="L7" s="72">
        <f t="shared" si="1"/>
        <v>1.3279709296686282</v>
      </c>
      <c r="M7" s="72">
        <f t="shared" si="1"/>
        <v>1.255536151686703</v>
      </c>
      <c r="N7" s="72">
        <f t="shared" ref="N7" si="2">N6*(1+$O$7)^($D$5-N5-1)</f>
        <v>24.144925993975058</v>
      </c>
      <c r="O7" s="17">
        <v>0.1</v>
      </c>
      <c r="P7" s="45" t="s">
        <v>3</v>
      </c>
    </row>
    <row r="8" spans="2:19" ht="13.5" thickBot="1" x14ac:dyDescent="0.25">
      <c r="B8" s="9"/>
      <c r="C8" s="8" t="s">
        <v>26</v>
      </c>
      <c r="D8" s="20">
        <f>SUM(D7:N7)</f>
        <v>40.515632698072196</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2.2000000000000002</v>
      </c>
      <c r="D12" s="41">
        <f>C12*(1+$O$11)</f>
        <v>2.3320000000000003</v>
      </c>
      <c r="E12" s="41">
        <f>D12*(1+$O$11)</f>
        <v>2.4719200000000003</v>
      </c>
      <c r="F12" s="41">
        <f>E12*(1+$O$11)</f>
        <v>2.6202352000000007</v>
      </c>
      <c r="G12" s="41">
        <f>F12*(1+$O$11)</f>
        <v>2.7774493120000008</v>
      </c>
      <c r="H12" s="41">
        <f>G12*(1+$O$11)</f>
        <v>2.9440962707200011</v>
      </c>
      <c r="I12" s="41">
        <f>H12*(1+$O$12)</f>
        <v>3.1207420469632012</v>
      </c>
      <c r="J12" s="41">
        <f>I12*(1+$O$12)</f>
        <v>3.3079865697809936</v>
      </c>
      <c r="K12" s="41">
        <f>J12*(1+$O$12)</f>
        <v>3.5064657639678534</v>
      </c>
      <c r="L12" s="41">
        <f>K12*(1+$O$12)</f>
        <v>3.7168537098059247</v>
      </c>
      <c r="M12" s="41">
        <f>L12*(1+$O$12)</f>
        <v>3.9398649323942805</v>
      </c>
      <c r="N12" s="41">
        <f>L12*O14</f>
        <v>92.92134274514811</v>
      </c>
      <c r="O12" s="70">
        <v>0.06</v>
      </c>
      <c r="P12" s="27" t="s">
        <v>2</v>
      </c>
    </row>
    <row r="13" spans="2:19" x14ac:dyDescent="0.2">
      <c r="B13" s="9">
        <f>B7</f>
        <v>0</v>
      </c>
      <c r="C13" s="7" t="str">
        <f>C7</f>
        <v>PV(10%)</v>
      </c>
      <c r="D13" s="41">
        <f>D12*(1+$O$13)^($D$11-D11-1)*$I$3</f>
        <v>2.12</v>
      </c>
      <c r="E13" s="41">
        <f t="shared" ref="E13:M13" si="4">E12*(1+$O$13)^($D$11-E11-1)*$I$3</f>
        <v>2.0429090909090908</v>
      </c>
      <c r="F13" s="41">
        <f t="shared" si="4"/>
        <v>1.9686214876033057</v>
      </c>
      <c r="G13" s="41">
        <f t="shared" si="4"/>
        <v>1.8970352516904583</v>
      </c>
      <c r="H13" s="41">
        <f t="shared" si="4"/>
        <v>1.8280521516289872</v>
      </c>
      <c r="I13" s="41">
        <f t="shared" si="4"/>
        <v>1.7615775279333876</v>
      </c>
      <c r="J13" s="41">
        <f t="shared" si="4"/>
        <v>1.6975201632812642</v>
      </c>
      <c r="K13" s="41">
        <f t="shared" si="4"/>
        <v>1.6357921573437637</v>
      </c>
      <c r="L13" s="41">
        <f t="shared" si="4"/>
        <v>1.5763088061676269</v>
      </c>
      <c r="M13" s="41">
        <f t="shared" si="4"/>
        <v>1.5189884859433496</v>
      </c>
      <c r="N13" s="41">
        <f>N12*(1+$O$7)^($D$5-N11-1)</f>
        <v>35.82520014017333</v>
      </c>
      <c r="O13" s="17">
        <f>O7</f>
        <v>0.1</v>
      </c>
      <c r="P13" s="38" t="s">
        <v>3</v>
      </c>
    </row>
    <row r="14" spans="2:19" ht="13.5" thickBot="1" x14ac:dyDescent="0.25">
      <c r="B14" s="9"/>
      <c r="C14" s="8" t="s">
        <v>4</v>
      </c>
      <c r="D14" s="20">
        <f>SUM(D13:N13)</f>
        <v>53.872005262674563</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2.2000000000000002</v>
      </c>
      <c r="D18" s="41">
        <f>C18*(1+$O$17)</f>
        <v>2.2440000000000002</v>
      </c>
      <c r="E18" s="41">
        <f>D18*(1+$O$17)</f>
        <v>2.2888800000000002</v>
      </c>
      <c r="F18" s="41">
        <f>E18*(1+$O$17)</f>
        <v>2.3346576000000003</v>
      </c>
      <c r="G18" s="41">
        <f>F18*(1+$O$17)</f>
        <v>2.3813507520000003</v>
      </c>
      <c r="H18" s="41">
        <f>G18*(1+$O$17)</f>
        <v>2.4289777670400006</v>
      </c>
      <c r="I18" s="41">
        <f>H18*(1+$O$18)</f>
        <v>2.4775573223808007</v>
      </c>
      <c r="J18" s="41">
        <f>I18*(1+$O$18)</f>
        <v>2.5271084688284167</v>
      </c>
      <c r="K18" s="41">
        <f>J18*(1+$O$18)</f>
        <v>2.5776506382049851</v>
      </c>
      <c r="L18" s="41">
        <f>K18*(1+$O$18)</f>
        <v>2.6292036509690848</v>
      </c>
      <c r="M18" s="41">
        <f>L18*(1+$O$18)</f>
        <v>2.6817877239884664</v>
      </c>
      <c r="N18" s="41">
        <f>L18*O20</f>
        <v>39.438054764536275</v>
      </c>
      <c r="O18" s="70">
        <v>0.02</v>
      </c>
      <c r="P18" s="27" t="s">
        <v>2</v>
      </c>
    </row>
    <row r="19" spans="2:16" x14ac:dyDescent="0.2">
      <c r="B19" s="71" t="s">
        <v>155</v>
      </c>
      <c r="C19" s="7" t="str">
        <f>C13</f>
        <v>PV(10%)</v>
      </c>
      <c r="D19" s="41">
        <f>D18*(1+$O$19)^($D$17-D17-1)*$I$3</f>
        <v>2.04</v>
      </c>
      <c r="E19" s="41">
        <f t="shared" ref="E19:M19" si="6">E18*(1+$O$19)^($D$17-E17-1)*$I$3</f>
        <v>1.8916363636363636</v>
      </c>
      <c r="F19" s="41">
        <f t="shared" si="6"/>
        <v>1.7540628099173552</v>
      </c>
      <c r="G19" s="41">
        <f t="shared" si="6"/>
        <v>1.6264946055597294</v>
      </c>
      <c r="H19" s="41">
        <f t="shared" si="6"/>
        <v>1.5082040887917489</v>
      </c>
      <c r="I19" s="41">
        <f t="shared" si="6"/>
        <v>1.3985165186978037</v>
      </c>
      <c r="J19" s="41">
        <f t="shared" si="6"/>
        <v>1.2968062264288722</v>
      </c>
      <c r="K19" s="41">
        <f t="shared" si="6"/>
        <v>1.2024930463249544</v>
      </c>
      <c r="L19" s="41">
        <f t="shared" si="6"/>
        <v>1.1150390065922302</v>
      </c>
      <c r="M19" s="41">
        <f t="shared" si="6"/>
        <v>1.0339452606582498</v>
      </c>
      <c r="N19" s="41">
        <f t="shared" ref="N19" si="7">N18*(1+$O$19)^($D$17-N17-1)</f>
        <v>15.205077362621322</v>
      </c>
      <c r="O19" s="17">
        <f>O13</f>
        <v>0.1</v>
      </c>
      <c r="P19" s="38" t="s">
        <v>3</v>
      </c>
    </row>
    <row r="20" spans="2:16" ht="13.5" thickBot="1" x14ac:dyDescent="0.25">
      <c r="B20" s="71" t="s">
        <v>156</v>
      </c>
      <c r="C20" s="8" t="s">
        <v>4</v>
      </c>
      <c r="D20" s="20">
        <f>SUM(D19:N19)</f>
        <v>30.072275289228628</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40.515632698072196</v>
      </c>
      <c r="F23" s="22">
        <f>E23*D23</f>
        <v>13.775315117344547</v>
      </c>
      <c r="G23" s="25"/>
      <c r="P23" s="38"/>
    </row>
    <row r="24" spans="2:16" x14ac:dyDescent="0.2">
      <c r="B24" s="9"/>
      <c r="C24" s="9" t="s">
        <v>15</v>
      </c>
      <c r="D24" s="44">
        <v>0.33</v>
      </c>
      <c r="E24" s="41">
        <f>D14</f>
        <v>53.872005262674563</v>
      </c>
      <c r="F24" s="22">
        <f>E24*D24</f>
        <v>17.777761736682606</v>
      </c>
      <c r="G24" s="25"/>
      <c r="P24" s="38"/>
    </row>
    <row r="25" spans="2:16" ht="13.5" thickBot="1" x14ac:dyDescent="0.25">
      <c r="B25" s="9"/>
      <c r="C25" s="10" t="s">
        <v>29</v>
      </c>
      <c r="D25" s="44">
        <v>0.33</v>
      </c>
      <c r="E25" s="23">
        <f>D20</f>
        <v>30.072275289228628</v>
      </c>
      <c r="F25" s="24">
        <f>E25*D25</f>
        <v>9.9238508454454486</v>
      </c>
      <c r="G25" s="25"/>
      <c r="P25" s="38"/>
    </row>
    <row r="26" spans="2:16" ht="13.5" thickBot="1" x14ac:dyDescent="0.25">
      <c r="B26" s="9"/>
      <c r="C26" s="36" t="s">
        <v>167</v>
      </c>
      <c r="D26" s="36">
        <f>C3</f>
        <v>52.1</v>
      </c>
      <c r="E26" s="15" t="s">
        <v>11</v>
      </c>
      <c r="F26" s="16">
        <f>SUM(F23:F25)</f>
        <v>41.476927699472604</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69" priority="1" operator="containsText" text="overvalued">
      <formula>NOT(ISERROR(SEARCH("overvalued",D3)))</formula>
    </cfRule>
    <cfRule type="containsText" dxfId="68" priority="2" operator="containsText" text="undervalued">
      <formula>NOT(ISERROR(SEARCH("undervalued",D3)))</formula>
    </cfRule>
  </conditionalFormatting>
  <hyperlinks>
    <hyperlink ref="C30" r:id="rId1" xr:uid="{775836AF-0269-954F-B34E-D844225BA9BE}"/>
    <hyperlink ref="B4" location="'COMPARATIVE TABLE'!A1" display="'COMPARATIVE TABLE'!A1" xr:uid="{5CEA08E5-6BAA-3247-87C6-BFD79A09E680}"/>
    <hyperlink ref="C2" r:id="rId2" xr:uid="{B8C789ED-A29E-2447-99B8-5FBD7FDCB2F5}"/>
  </hyperlinks>
  <pageMargins left="0.7" right="0.7" top="0.78740157499999996" bottom="0.78740157499999996" header="0.3" footer="0.3"/>
  <pageSetup paperSize="9" orientation="portrait" r:id="rId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34F2-A288-FF4A-98AD-F7D4CE7A8A06}">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289</v>
      </c>
      <c r="C2" s="89" t="s">
        <v>36</v>
      </c>
      <c r="D2" s="32"/>
      <c r="E2" s="33"/>
      <c r="F2" s="33"/>
      <c r="G2" s="33"/>
      <c r="H2" s="33"/>
      <c r="I2" s="33"/>
      <c r="J2" s="33"/>
      <c r="K2" s="33"/>
      <c r="L2" s="33"/>
      <c r="M2" s="33"/>
      <c r="N2" s="33"/>
      <c r="O2" s="33"/>
      <c r="P2" s="34"/>
      <c r="S2" s="3" t="s">
        <v>7</v>
      </c>
    </row>
    <row r="3" spans="2:19" ht="13.5" thickBot="1" x14ac:dyDescent="0.25">
      <c r="B3" s="35" t="s">
        <v>166</v>
      </c>
      <c r="C3" s="29">
        <f>'COMPARATIVE TABLE'!C14</f>
        <v>3455</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0.06</v>
      </c>
      <c r="P5" s="38" t="s">
        <v>1</v>
      </c>
      <c r="R5" s="1"/>
    </row>
    <row r="6" spans="2:19" x14ac:dyDescent="0.2">
      <c r="B6" s="71" t="s">
        <v>19</v>
      </c>
      <c r="C6" s="86">
        <v>109</v>
      </c>
      <c r="D6" s="41">
        <f>C6*(1+$O$5)</f>
        <v>115.54</v>
      </c>
      <c r="E6" s="41">
        <f>D6*(1+$O$5)</f>
        <v>122.47240000000001</v>
      </c>
      <c r="F6" s="41">
        <f>E6*(1+$O$5)</f>
        <v>129.82074400000002</v>
      </c>
      <c r="G6" s="41">
        <f>F6*(1+$O$5)</f>
        <v>137.60998864000004</v>
      </c>
      <c r="H6" s="41">
        <f>G6*(1+$O$5)</f>
        <v>145.86658795840006</v>
      </c>
      <c r="I6" s="41">
        <f>H6*(1+$O$6)</f>
        <v>154.61858323590408</v>
      </c>
      <c r="J6" s="41">
        <f>I6*(1+$O$6)</f>
        <v>163.89569823005834</v>
      </c>
      <c r="K6" s="41">
        <f>J6*(1+$O$6)</f>
        <v>173.72944012386185</v>
      </c>
      <c r="L6" s="41">
        <f>K6*(1+$O$6)</f>
        <v>184.15320653129356</v>
      </c>
      <c r="M6" s="41">
        <f>L6*(1+$O$6)</f>
        <v>195.20239892317119</v>
      </c>
      <c r="N6" s="72">
        <f>L6*O8</f>
        <v>3683.0641306258713</v>
      </c>
      <c r="O6" s="70">
        <v>0.06</v>
      </c>
      <c r="P6" s="27" t="s">
        <v>2</v>
      </c>
    </row>
    <row r="7" spans="2:19" x14ac:dyDescent="0.2">
      <c r="B7" s="9"/>
      <c r="C7" s="7" t="str">
        <f>CONCATENATE(R8,O7*100,S8)</f>
        <v>PV(10%)</v>
      </c>
      <c r="D7" s="72">
        <f>D6*(1+$O$7)^($D$5-D5-1)*$I$3</f>
        <v>105.03636363636363</v>
      </c>
      <c r="E7" s="72">
        <f t="shared" ref="E7:M7" si="1">E6*(1+$O$7)^($D$5-E5-1)*$I$3</f>
        <v>101.21685950413223</v>
      </c>
      <c r="F7" s="72">
        <f t="shared" si="1"/>
        <v>97.536246431254682</v>
      </c>
      <c r="G7" s="72">
        <f t="shared" si="1"/>
        <v>93.989473833754531</v>
      </c>
      <c r="H7" s="72">
        <f t="shared" si="1"/>
        <v>90.571674785254359</v>
      </c>
      <c r="I7" s="72">
        <f t="shared" si="1"/>
        <v>87.278159338517852</v>
      </c>
      <c r="J7" s="72">
        <f t="shared" si="1"/>
        <v>84.104408089844469</v>
      </c>
      <c r="K7" s="72">
        <f t="shared" si="1"/>
        <v>81.046065977486492</v>
      </c>
      <c r="L7" s="72">
        <f t="shared" si="1"/>
        <v>78.098936305577894</v>
      </c>
      <c r="M7" s="72">
        <f t="shared" si="1"/>
        <v>75.258974985375048</v>
      </c>
      <c r="N7" s="72">
        <f t="shared" ref="N7" si="2">N6*(1+$O$7)^($D$5-N5-1)</f>
        <v>1419.9806601014161</v>
      </c>
      <c r="O7" s="17">
        <v>0.1</v>
      </c>
      <c r="P7" s="45" t="s">
        <v>3</v>
      </c>
    </row>
    <row r="8" spans="2:19" ht="13.5" thickBot="1" x14ac:dyDescent="0.25">
      <c r="B8" s="9"/>
      <c r="C8" s="8" t="s">
        <v>26</v>
      </c>
      <c r="D8" s="20">
        <f>SUM(D7:N7)</f>
        <v>2314.1178229889774</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109</v>
      </c>
      <c r="D12" s="41">
        <f>C12*(1+$O$11)</f>
        <v>116.63000000000001</v>
      </c>
      <c r="E12" s="41">
        <f>D12*(1+$O$11)</f>
        <v>124.79410000000001</v>
      </c>
      <c r="F12" s="41">
        <f>E12*(1+$O$11)</f>
        <v>133.52968700000002</v>
      </c>
      <c r="G12" s="41">
        <f>F12*(1+$O$11)</f>
        <v>142.87676509000002</v>
      </c>
      <c r="H12" s="41">
        <f>G12*(1+$O$11)</f>
        <v>152.87813864630004</v>
      </c>
      <c r="I12" s="41">
        <f>H12*(1+$O$12)</f>
        <v>163.57960835154105</v>
      </c>
      <c r="J12" s="41">
        <f>I12*(1+$O$12)</f>
        <v>175.03018093614895</v>
      </c>
      <c r="K12" s="41">
        <f>J12*(1+$O$12)</f>
        <v>187.28229360167938</v>
      </c>
      <c r="L12" s="41">
        <f>K12*(1+$O$12)</f>
        <v>200.39205415379695</v>
      </c>
      <c r="M12" s="41">
        <f>L12*(1+$O$12)</f>
        <v>214.41949794456275</v>
      </c>
      <c r="N12" s="41">
        <f>L12*O14</f>
        <v>5009.8013538449241</v>
      </c>
      <c r="O12" s="70">
        <v>7.0000000000000007E-2</v>
      </c>
      <c r="P12" s="27" t="s">
        <v>2</v>
      </c>
    </row>
    <row r="13" spans="2:19" x14ac:dyDescent="0.2">
      <c r="B13" s="9">
        <f>B7</f>
        <v>0</v>
      </c>
      <c r="C13" s="7" t="str">
        <f>C7</f>
        <v>PV(10%)</v>
      </c>
      <c r="D13" s="41">
        <f>D12*(1+$O$13)^($D$11-D11-1)*$I$3</f>
        <v>106.02727272727273</v>
      </c>
      <c r="E13" s="41">
        <f t="shared" ref="E13:M13" si="4">E12*(1+$O$13)^($D$11-E11-1)*$I$3</f>
        <v>103.13561983471074</v>
      </c>
      <c r="F13" s="41">
        <f t="shared" si="4"/>
        <v>100.32283020285499</v>
      </c>
      <c r="G13" s="41">
        <f t="shared" si="4"/>
        <v>97.586753015504399</v>
      </c>
      <c r="H13" s="41">
        <f t="shared" si="4"/>
        <v>94.925296115081551</v>
      </c>
      <c r="I13" s="41">
        <f t="shared" si="4"/>
        <v>92.33642440285206</v>
      </c>
      <c r="J13" s="41">
        <f t="shared" si="4"/>
        <v>89.818158282774263</v>
      </c>
      <c r="K13" s="41">
        <f t="shared" si="4"/>
        <v>87.368572147789521</v>
      </c>
      <c r="L13" s="41">
        <f t="shared" si="4"/>
        <v>84.985792907395265</v>
      </c>
      <c r="M13" s="41">
        <f t="shared" si="4"/>
        <v>82.667998555375391</v>
      </c>
      <c r="N13" s="41">
        <f>N12*(1+$O$7)^($D$5-N11-1)</f>
        <v>1931.4952933498921</v>
      </c>
      <c r="O13" s="17">
        <f>O7</f>
        <v>0.1</v>
      </c>
      <c r="P13" s="38" t="s">
        <v>3</v>
      </c>
    </row>
    <row r="14" spans="2:19" ht="13.5" thickBot="1" x14ac:dyDescent="0.25">
      <c r="B14" s="9"/>
      <c r="C14" s="8" t="s">
        <v>4</v>
      </c>
      <c r="D14" s="20">
        <f>SUM(D13:N13)</f>
        <v>2870.6700115415033</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0.04</v>
      </c>
      <c r="P17" s="38" t="s">
        <v>1</v>
      </c>
    </row>
    <row r="18" spans="2:16" x14ac:dyDescent="0.2">
      <c r="B18" s="71" t="s">
        <v>17</v>
      </c>
      <c r="C18" s="6">
        <f>C12</f>
        <v>109</v>
      </c>
      <c r="D18" s="41">
        <f>C18*(1+$O$17)</f>
        <v>113.36</v>
      </c>
      <c r="E18" s="41">
        <f>D18*(1+$O$17)</f>
        <v>117.8944</v>
      </c>
      <c r="F18" s="41">
        <f>E18*(1+$O$17)</f>
        <v>122.61017600000001</v>
      </c>
      <c r="G18" s="41">
        <f>F18*(1+$O$17)</f>
        <v>127.51458304000002</v>
      </c>
      <c r="H18" s="41">
        <f>G18*(1+$O$17)</f>
        <v>132.61516636160002</v>
      </c>
      <c r="I18" s="41">
        <f>H18*(1+$O$18)</f>
        <v>137.91977301606403</v>
      </c>
      <c r="J18" s="41">
        <f>I18*(1+$O$18)</f>
        <v>143.43656393670659</v>
      </c>
      <c r="K18" s="41">
        <f>J18*(1+$O$18)</f>
        <v>149.17402649417485</v>
      </c>
      <c r="L18" s="41">
        <f>K18*(1+$O$18)</f>
        <v>155.14098755394184</v>
      </c>
      <c r="M18" s="41">
        <f>L18*(1+$O$18)</f>
        <v>161.34662705609952</v>
      </c>
      <c r="N18" s="41">
        <f>L18*O20</f>
        <v>2327.1148133091274</v>
      </c>
      <c r="O18" s="70">
        <v>0.04</v>
      </c>
      <c r="P18" s="27" t="s">
        <v>2</v>
      </c>
    </row>
    <row r="19" spans="2:16" x14ac:dyDescent="0.2">
      <c r="B19" s="71" t="s">
        <v>155</v>
      </c>
      <c r="C19" s="7" t="str">
        <f>C13</f>
        <v>PV(10%)</v>
      </c>
      <c r="D19" s="41">
        <f>D18*(1+$O$19)^($D$17-D17-1)*$I$3</f>
        <v>103.05454545454545</v>
      </c>
      <c r="E19" s="41">
        <f t="shared" ref="E19:M19" si="6">E18*(1+$O$19)^($D$17-E17-1)*$I$3</f>
        <v>97.433388429752057</v>
      </c>
      <c r="F19" s="41">
        <f t="shared" si="6"/>
        <v>92.118839969947388</v>
      </c>
      <c r="G19" s="41">
        <f t="shared" si="6"/>
        <v>87.094175971586637</v>
      </c>
      <c r="H19" s="41">
        <f t="shared" si="6"/>
        <v>82.343584554954617</v>
      </c>
      <c r="I19" s="41">
        <f t="shared" si="6"/>
        <v>77.852116306502552</v>
      </c>
      <c r="J19" s="41">
        <f t="shared" si="6"/>
        <v>73.60563723523876</v>
      </c>
      <c r="K19" s="41">
        <f t="shared" si="6"/>
        <v>69.590784295134839</v>
      </c>
      <c r="L19" s="41">
        <f t="shared" si="6"/>
        <v>65.79492333358202</v>
      </c>
      <c r="M19" s="41">
        <f t="shared" si="6"/>
        <v>62.206109333568449</v>
      </c>
      <c r="N19" s="41">
        <f t="shared" ref="N19" si="7">N18*(1+$O$19)^($D$17-N17-1)</f>
        <v>897.20350000339101</v>
      </c>
      <c r="O19" s="17">
        <f>O13</f>
        <v>0.1</v>
      </c>
      <c r="P19" s="38" t="s">
        <v>3</v>
      </c>
    </row>
    <row r="20" spans="2:16" ht="13.5" thickBot="1" x14ac:dyDescent="0.25">
      <c r="B20" s="71" t="s">
        <v>156</v>
      </c>
      <c r="C20" s="8" t="s">
        <v>4</v>
      </c>
      <c r="D20" s="20">
        <f>SUM(D19:N19)</f>
        <v>1708.2976048882038</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2314.1178229889774</v>
      </c>
      <c r="F23" s="22">
        <f>E23*D23</f>
        <v>786.80005981625243</v>
      </c>
      <c r="G23" s="25"/>
      <c r="P23" s="38"/>
    </row>
    <row r="24" spans="2:16" x14ac:dyDescent="0.2">
      <c r="B24" s="9"/>
      <c r="C24" s="9" t="s">
        <v>15</v>
      </c>
      <c r="D24" s="44">
        <v>0.33</v>
      </c>
      <c r="E24" s="41">
        <f>D14</f>
        <v>2870.6700115415033</v>
      </c>
      <c r="F24" s="22">
        <f>E24*D24</f>
        <v>947.32110380869608</v>
      </c>
      <c r="G24" s="25"/>
      <c r="P24" s="38"/>
    </row>
    <row r="25" spans="2:16" ht="13.5" thickBot="1" x14ac:dyDescent="0.25">
      <c r="B25" s="9"/>
      <c r="C25" s="10" t="s">
        <v>29</v>
      </c>
      <c r="D25" s="44">
        <v>0.33</v>
      </c>
      <c r="E25" s="23">
        <f>D20</f>
        <v>1708.2976048882038</v>
      </c>
      <c r="F25" s="24">
        <f>E25*D25</f>
        <v>563.7382096131073</v>
      </c>
      <c r="G25" s="25"/>
      <c r="P25" s="38"/>
    </row>
    <row r="26" spans="2:16" ht="13.5" thickBot="1" x14ac:dyDescent="0.25">
      <c r="B26" s="9"/>
      <c r="C26" s="36" t="s">
        <v>167</v>
      </c>
      <c r="D26" s="36">
        <f>C3</f>
        <v>3455</v>
      </c>
      <c r="E26" s="15" t="s">
        <v>11</v>
      </c>
      <c r="F26" s="16">
        <f>SUM(F23:F25)</f>
        <v>2297.8593732380559</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67" priority="1" operator="containsText" text="overvalued">
      <formula>NOT(ISERROR(SEARCH("overvalued",D3)))</formula>
    </cfRule>
    <cfRule type="containsText" dxfId="66" priority="2" operator="containsText" text="undervalued">
      <formula>NOT(ISERROR(SEARCH("undervalued",D3)))</formula>
    </cfRule>
  </conditionalFormatting>
  <hyperlinks>
    <hyperlink ref="C30" r:id="rId1" xr:uid="{8B4A32CA-10B3-9646-A9C0-527F462279AE}"/>
    <hyperlink ref="B4" location="'COMPARATIVE TABLE'!A1" display="'COMPARATIVE TABLE'!A1" xr:uid="{7BFB517C-ECA5-C544-8705-51EDBEC887B3}"/>
    <hyperlink ref="C2" r:id="rId2" xr:uid="{6875048B-C747-7C40-9A70-5CEC5435C123}"/>
  </hyperlinks>
  <pageMargins left="0.7" right="0.7" top="0.78740157499999996" bottom="0.78740157499999996" header="0.3" footer="0.3"/>
  <pageSetup paperSize="9" orientation="portrait"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3FE3-7185-B847-A0D8-32AE5924EA62}">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295</v>
      </c>
      <c r="C2" s="89" t="s">
        <v>36</v>
      </c>
      <c r="D2" s="32"/>
      <c r="E2" s="33"/>
      <c r="F2" s="33"/>
      <c r="G2" s="33"/>
      <c r="H2" s="33"/>
      <c r="I2" s="33"/>
      <c r="J2" s="33"/>
      <c r="K2" s="33"/>
      <c r="L2" s="33"/>
      <c r="M2" s="33"/>
      <c r="N2" s="33"/>
      <c r="O2" s="33"/>
      <c r="P2" s="34"/>
      <c r="S2" s="3" t="s">
        <v>7</v>
      </c>
    </row>
    <row r="3" spans="2:19" ht="13.5" thickBot="1" x14ac:dyDescent="0.25">
      <c r="B3" s="35" t="s">
        <v>166</v>
      </c>
      <c r="C3" s="29">
        <f>'COMPARATIVE TABLE'!C15</f>
        <v>6.67</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0.24</v>
      </c>
      <c r="D6" s="41">
        <f>C6*(1+$O$5)</f>
        <v>0.252</v>
      </c>
      <c r="E6" s="41">
        <f>D6*(1+$O$5)</f>
        <v>0.2646</v>
      </c>
      <c r="F6" s="41">
        <f>E6*(1+$O$5)</f>
        <v>0.27783000000000002</v>
      </c>
      <c r="G6" s="41">
        <f>F6*(1+$O$5)</f>
        <v>0.29172150000000002</v>
      </c>
      <c r="H6" s="41">
        <f>G6*(1+$O$5)</f>
        <v>0.30630757500000005</v>
      </c>
      <c r="I6" s="41">
        <f>H6*(1+$O$6)</f>
        <v>0.32162295375000005</v>
      </c>
      <c r="J6" s="41">
        <f>I6*(1+$O$6)</f>
        <v>0.33770410143750007</v>
      </c>
      <c r="K6" s="41">
        <f>J6*(1+$O$6)</f>
        <v>0.35458930650937509</v>
      </c>
      <c r="L6" s="41">
        <f>K6*(1+$O$6)</f>
        <v>0.37231877183484385</v>
      </c>
      <c r="M6" s="41">
        <f>L6*(1+$O$6)</f>
        <v>0.39093471042658606</v>
      </c>
      <c r="N6" s="72">
        <f>L6*O8</f>
        <v>5.5847815775226577</v>
      </c>
      <c r="O6" s="70">
        <v>0.05</v>
      </c>
      <c r="P6" s="27" t="s">
        <v>2</v>
      </c>
    </row>
    <row r="7" spans="2:19" x14ac:dyDescent="0.2">
      <c r="B7" s="9"/>
      <c r="C7" s="7" t="str">
        <f>CONCATENATE(R8,O7*100,S8)</f>
        <v>PV(10%)</v>
      </c>
      <c r="D7" s="72">
        <f>D6*(1+$O$7)^($D$5-D5-1)*$I$3</f>
        <v>0.2290909090909091</v>
      </c>
      <c r="E7" s="72">
        <f t="shared" ref="E7:M7" si="1">E6*(1+$O$7)^($D$5-E5-1)*$I$3</f>
        <v>0.2186776859504132</v>
      </c>
      <c r="F7" s="72">
        <f t="shared" si="1"/>
        <v>0.20873779113448532</v>
      </c>
      <c r="G7" s="72">
        <f t="shared" si="1"/>
        <v>0.19924970971928144</v>
      </c>
      <c r="H7" s="72">
        <f t="shared" si="1"/>
        <v>0.19019290473204137</v>
      </c>
      <c r="I7" s="72">
        <f t="shared" si="1"/>
        <v>0.18154777269876676</v>
      </c>
      <c r="J7" s="72">
        <f t="shared" si="1"/>
        <v>0.17329560121245915</v>
      </c>
      <c r="K7" s="72">
        <f t="shared" si="1"/>
        <v>0.16541852843007465</v>
      </c>
      <c r="L7" s="72">
        <f t="shared" si="1"/>
        <v>0.1578995044105258</v>
      </c>
      <c r="M7" s="72">
        <f t="shared" si="1"/>
        <v>0.15072225421004734</v>
      </c>
      <c r="N7" s="72">
        <f t="shared" ref="N7" si="2">N6*(1+$O$7)^($D$5-N5-1)</f>
        <v>2.1531750601435333</v>
      </c>
      <c r="O7" s="17">
        <v>0.1</v>
      </c>
      <c r="P7" s="45" t="s">
        <v>3</v>
      </c>
    </row>
    <row r="8" spans="2:19" ht="13.5" thickBot="1" x14ac:dyDescent="0.25">
      <c r="B8" s="9"/>
      <c r="C8" s="8" t="s">
        <v>26</v>
      </c>
      <c r="D8" s="20">
        <f>SUM(D7:N7)</f>
        <v>4.0280077217325374</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0.24</v>
      </c>
      <c r="D12" s="41">
        <f>C12*(1+$O$11)</f>
        <v>0.25680000000000003</v>
      </c>
      <c r="E12" s="41">
        <f>D12*(1+$O$11)</f>
        <v>0.27477600000000002</v>
      </c>
      <c r="F12" s="41">
        <f>E12*(1+$O$11)</f>
        <v>0.29401032000000005</v>
      </c>
      <c r="G12" s="41">
        <f>F12*(1+$O$11)</f>
        <v>0.31459104240000008</v>
      </c>
      <c r="H12" s="41">
        <f>G12*(1+$O$11)</f>
        <v>0.33661241536800013</v>
      </c>
      <c r="I12" s="41">
        <f>H12*(1+$O$12)</f>
        <v>0.36017528444376018</v>
      </c>
      <c r="J12" s="41">
        <f>I12*(1+$O$12)</f>
        <v>0.38538755435482341</v>
      </c>
      <c r="K12" s="41">
        <f>J12*(1+$O$12)</f>
        <v>0.41236468315966107</v>
      </c>
      <c r="L12" s="41">
        <f>K12*(1+$O$12)</f>
        <v>0.44123021098083737</v>
      </c>
      <c r="M12" s="41">
        <f>L12*(1+$O$12)</f>
        <v>0.47211632574949602</v>
      </c>
      <c r="N12" s="41">
        <f>L12*O14</f>
        <v>8.8246042196167469</v>
      </c>
      <c r="O12" s="70">
        <v>7.0000000000000007E-2</v>
      </c>
      <c r="P12" s="27" t="s">
        <v>2</v>
      </c>
    </row>
    <row r="13" spans="2:19" x14ac:dyDescent="0.2">
      <c r="B13" s="9">
        <f>B7</f>
        <v>0</v>
      </c>
      <c r="C13" s="7" t="str">
        <f>C7</f>
        <v>PV(10%)</v>
      </c>
      <c r="D13" s="41">
        <f>D12*(1+$O$13)^($D$11-D11-1)*$I$3</f>
        <v>0.23345454545454547</v>
      </c>
      <c r="E13" s="41">
        <f t="shared" ref="E13:M13" si="4">E12*(1+$O$13)^($D$11-E11-1)*$I$3</f>
        <v>0.22708760330578512</v>
      </c>
      <c r="F13" s="41">
        <f t="shared" si="4"/>
        <v>0.22089430503380914</v>
      </c>
      <c r="G13" s="41">
        <f t="shared" si="4"/>
        <v>0.21486991489652346</v>
      </c>
      <c r="H13" s="41">
        <f t="shared" si="4"/>
        <v>0.20900982630843645</v>
      </c>
      <c r="I13" s="41">
        <f t="shared" si="4"/>
        <v>0.20330955831820641</v>
      </c>
      <c r="J13" s="41">
        <f t="shared" si="4"/>
        <v>0.19776475218225528</v>
      </c>
      <c r="K13" s="41">
        <f t="shared" si="4"/>
        <v>0.19237116803183016</v>
      </c>
      <c r="L13" s="41">
        <f t="shared" si="4"/>
        <v>0.18712468163096205</v>
      </c>
      <c r="M13" s="41">
        <f t="shared" si="4"/>
        <v>0.18202128122284492</v>
      </c>
      <c r="N13" s="41">
        <f>N12*(1+$O$7)^($D$5-N11-1)</f>
        <v>3.4022669387447642</v>
      </c>
      <c r="O13" s="17">
        <f>O7</f>
        <v>0.1</v>
      </c>
      <c r="P13" s="38" t="s">
        <v>3</v>
      </c>
    </row>
    <row r="14" spans="2:19" ht="13.5" thickBot="1" x14ac:dyDescent="0.25">
      <c r="B14" s="9"/>
      <c r="C14" s="8" t="s">
        <v>4</v>
      </c>
      <c r="D14" s="20">
        <f>SUM(D13:N13)</f>
        <v>5.4701745751299624</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0.24</v>
      </c>
      <c r="D18" s="41">
        <f>C18*(1+$O$17)</f>
        <v>0.2472</v>
      </c>
      <c r="E18" s="41">
        <f>D18*(1+$O$17)</f>
        <v>0.25461600000000001</v>
      </c>
      <c r="F18" s="41">
        <f>E18*(1+$O$17)</f>
        <v>0.26225448000000001</v>
      </c>
      <c r="G18" s="41">
        <f>F18*(1+$O$17)</f>
        <v>0.2701221144</v>
      </c>
      <c r="H18" s="41">
        <f>G18*(1+$O$17)</f>
        <v>0.27822577783200003</v>
      </c>
      <c r="I18" s="41">
        <f>H18*(1+$O$18)</f>
        <v>0.28657255116696007</v>
      </c>
      <c r="J18" s="41">
        <f>I18*(1+$O$18)</f>
        <v>0.29516972770196886</v>
      </c>
      <c r="K18" s="41">
        <f>J18*(1+$O$18)</f>
        <v>0.30402481953302796</v>
      </c>
      <c r="L18" s="41">
        <f>K18*(1+$O$18)</f>
        <v>0.31314556411901878</v>
      </c>
      <c r="M18" s="41">
        <f>L18*(1+$O$18)</f>
        <v>0.32253993104258938</v>
      </c>
      <c r="N18" s="41">
        <f>L18*O20</f>
        <v>3.7577467694282252</v>
      </c>
      <c r="O18" s="70">
        <v>0.03</v>
      </c>
      <c r="P18" s="27" t="s">
        <v>2</v>
      </c>
    </row>
    <row r="19" spans="2:16" x14ac:dyDescent="0.2">
      <c r="B19" s="71" t="s">
        <v>155</v>
      </c>
      <c r="C19" s="7" t="str">
        <f>C13</f>
        <v>PV(10%)</v>
      </c>
      <c r="D19" s="41">
        <f>D18*(1+$O$19)^($D$17-D17-1)*$I$3</f>
        <v>0.22472727272727272</v>
      </c>
      <c r="E19" s="41">
        <f t="shared" ref="E19:M19" si="6">E18*(1+$O$19)^($D$17-E17-1)*$I$3</f>
        <v>0.21042644628099172</v>
      </c>
      <c r="F19" s="41">
        <f t="shared" si="6"/>
        <v>0.19703567242674674</v>
      </c>
      <c r="G19" s="41">
        <f t="shared" si="6"/>
        <v>0.18449703872686288</v>
      </c>
      <c r="H19" s="41">
        <f t="shared" si="6"/>
        <v>0.17275631808060796</v>
      </c>
      <c r="I19" s="41">
        <f t="shared" si="6"/>
        <v>0.16176273420275111</v>
      </c>
      <c r="J19" s="41">
        <f t="shared" si="6"/>
        <v>0.15146874202621236</v>
      </c>
      <c r="K19" s="41">
        <f t="shared" si="6"/>
        <v>0.14182982207908978</v>
      </c>
      <c r="L19" s="41">
        <f t="shared" si="6"/>
        <v>0.13280428794678406</v>
      </c>
      <c r="M19" s="41">
        <f t="shared" si="6"/>
        <v>0.12435310598653417</v>
      </c>
      <c r="N19" s="41">
        <f t="shared" ref="N19" si="7">N18*(1+$O$19)^($D$17-N17-1)</f>
        <v>1.4487740503285531</v>
      </c>
      <c r="O19" s="17">
        <f>O13</f>
        <v>0.1</v>
      </c>
      <c r="P19" s="38" t="s">
        <v>3</v>
      </c>
    </row>
    <row r="20" spans="2:16" ht="13.5" thickBot="1" x14ac:dyDescent="0.25">
      <c r="B20" s="71" t="s">
        <v>156</v>
      </c>
      <c r="C20" s="8" t="s">
        <v>4</v>
      </c>
      <c r="D20" s="20">
        <f>SUM(D19:N19)</f>
        <v>3.1504354908124066</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4.0280077217325374</v>
      </c>
      <c r="F23" s="22">
        <f>E23*D23</f>
        <v>1.3695226253890629</v>
      </c>
      <c r="G23" s="25"/>
      <c r="P23" s="38"/>
    </row>
    <row r="24" spans="2:16" x14ac:dyDescent="0.2">
      <c r="B24" s="9"/>
      <c r="C24" s="9" t="s">
        <v>15</v>
      </c>
      <c r="D24" s="44">
        <v>0.33</v>
      </c>
      <c r="E24" s="41">
        <f>D14</f>
        <v>5.4701745751299624</v>
      </c>
      <c r="F24" s="22">
        <f>E24*D24</f>
        <v>1.8051576097928876</v>
      </c>
      <c r="G24" s="25"/>
      <c r="P24" s="38"/>
    </row>
    <row r="25" spans="2:16" ht="13.5" thickBot="1" x14ac:dyDescent="0.25">
      <c r="B25" s="9"/>
      <c r="C25" s="10" t="s">
        <v>29</v>
      </c>
      <c r="D25" s="44">
        <v>0.33</v>
      </c>
      <c r="E25" s="23">
        <f>D20</f>
        <v>3.1504354908124066</v>
      </c>
      <c r="F25" s="24">
        <f>E25*D25</f>
        <v>1.0396437119680941</v>
      </c>
      <c r="G25" s="25"/>
      <c r="P25" s="38"/>
    </row>
    <row r="26" spans="2:16" ht="13.5" thickBot="1" x14ac:dyDescent="0.25">
      <c r="B26" s="9"/>
      <c r="C26" s="36" t="s">
        <v>167</v>
      </c>
      <c r="D26" s="36">
        <f>C3</f>
        <v>6.67</v>
      </c>
      <c r="E26" s="15" t="s">
        <v>11</v>
      </c>
      <c r="F26" s="16">
        <f>SUM(F23:F25)</f>
        <v>4.2143239471500449</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65" priority="1" operator="containsText" text="overvalued">
      <formula>NOT(ISERROR(SEARCH("overvalued",D3)))</formula>
    </cfRule>
    <cfRule type="containsText" dxfId="64" priority="2" operator="containsText" text="undervalued">
      <formula>NOT(ISERROR(SEARCH("undervalued",D3)))</formula>
    </cfRule>
  </conditionalFormatting>
  <hyperlinks>
    <hyperlink ref="C30" r:id="rId1" xr:uid="{F540F8C0-749C-734B-84E3-1D536996D902}"/>
    <hyperlink ref="B4" location="'COMPARATIVE TABLE'!A1" display="'COMPARATIVE TABLE'!A1" xr:uid="{E25793E6-ED22-A040-99CA-9323C7388DFA}"/>
    <hyperlink ref="C2" r:id="rId2" xr:uid="{29512D40-62BF-804E-8840-7898A7E12409}"/>
  </hyperlinks>
  <pageMargins left="0.7" right="0.7" top="0.78740157499999996" bottom="0.78740157499999996" header="0.3" footer="0.3"/>
  <pageSetup paperSize="9" orientation="portrait" r:id="rId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E387-64F2-4B4A-A57C-C05CA4D6FB44}">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302</v>
      </c>
      <c r="C2" s="89" t="s">
        <v>36</v>
      </c>
      <c r="D2" s="32"/>
      <c r="E2" s="33"/>
      <c r="F2" s="33"/>
      <c r="G2" s="33"/>
      <c r="H2" s="33"/>
      <c r="I2" s="33"/>
      <c r="J2" s="33"/>
      <c r="K2" s="33"/>
      <c r="L2" s="33"/>
      <c r="M2" s="33"/>
      <c r="N2" s="33"/>
      <c r="O2" s="33"/>
      <c r="P2" s="34"/>
      <c r="S2" s="3" t="s">
        <v>7</v>
      </c>
    </row>
    <row r="3" spans="2:19" ht="13.5" thickBot="1" x14ac:dyDescent="0.25">
      <c r="B3" s="35" t="s">
        <v>166</v>
      </c>
      <c r="C3" s="29">
        <f>'COMPARATIVE TABLE'!C16</f>
        <v>24.92</v>
      </c>
      <c r="D3" s="37"/>
      <c r="F3" s="73" t="s">
        <v>189</v>
      </c>
      <c r="G3" s="74"/>
      <c r="H3" s="74"/>
      <c r="I3" s="75">
        <v>0</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0.1</v>
      </c>
      <c r="P5" s="38" t="s">
        <v>1</v>
      </c>
      <c r="R5" s="1"/>
    </row>
    <row r="6" spans="2:19" x14ac:dyDescent="0.2">
      <c r="B6" s="71" t="s">
        <v>19</v>
      </c>
      <c r="C6" s="86">
        <v>3</v>
      </c>
      <c r="D6" s="41">
        <f>C6*(1+$O$5)</f>
        <v>3.3000000000000003</v>
      </c>
      <c r="E6" s="41">
        <f>D6*(1+$O$5)</f>
        <v>3.6300000000000008</v>
      </c>
      <c r="F6" s="41">
        <f>E6*(1+$O$5)</f>
        <v>3.9930000000000012</v>
      </c>
      <c r="G6" s="41">
        <f>F6*(1+$O$5)</f>
        <v>4.3923000000000014</v>
      </c>
      <c r="H6" s="41">
        <f>G6*(1+$O$5)</f>
        <v>4.8315300000000017</v>
      </c>
      <c r="I6" s="41">
        <f>H6*(1+$O$6)</f>
        <v>5.1697371000000016</v>
      </c>
      <c r="J6" s="41">
        <f>I6*(1+$O$6)</f>
        <v>5.5316186970000016</v>
      </c>
      <c r="K6" s="41">
        <f>J6*(1+$O$6)</f>
        <v>5.9188320057900023</v>
      </c>
      <c r="L6" s="41">
        <f>K6*(1+$O$6)</f>
        <v>6.3331502461953031</v>
      </c>
      <c r="M6" s="41">
        <f>L6*(1+$O$6)</f>
        <v>6.7764707634289749</v>
      </c>
      <c r="N6" s="72">
        <f>L6*O8</f>
        <v>94.997253692929547</v>
      </c>
      <c r="O6" s="70">
        <v>7.0000000000000007E-2</v>
      </c>
      <c r="P6" s="27" t="s">
        <v>2</v>
      </c>
    </row>
    <row r="7" spans="2:19" x14ac:dyDescent="0.2">
      <c r="B7" s="9"/>
      <c r="C7" s="7" t="str">
        <f>CONCATENATE(R8,O7*100,S8)</f>
        <v>PV(10%)</v>
      </c>
      <c r="D7" s="72">
        <f>D6*(1+$O$7)^($D$5-D5-1)*$I$3</f>
        <v>0</v>
      </c>
      <c r="E7" s="72">
        <f t="shared" ref="E7:M7" si="1">E6*(1+$O$7)^($D$5-E5-1)*$I$3</f>
        <v>0</v>
      </c>
      <c r="F7" s="72">
        <f t="shared" si="1"/>
        <v>0</v>
      </c>
      <c r="G7" s="72">
        <f t="shared" si="1"/>
        <v>0</v>
      </c>
      <c r="H7" s="72">
        <f t="shared" si="1"/>
        <v>0</v>
      </c>
      <c r="I7" s="72">
        <f t="shared" si="1"/>
        <v>0</v>
      </c>
      <c r="J7" s="72">
        <f t="shared" si="1"/>
        <v>0</v>
      </c>
      <c r="K7" s="72">
        <f t="shared" si="1"/>
        <v>0</v>
      </c>
      <c r="L7" s="72">
        <f t="shared" si="1"/>
        <v>0</v>
      </c>
      <c r="M7" s="72">
        <f t="shared" si="1"/>
        <v>0</v>
      </c>
      <c r="N7" s="72">
        <f t="shared" ref="N7" si="2">N6*(1+$O$7)^($D$5-N5-1)</f>
        <v>36.625553675543763</v>
      </c>
      <c r="O7" s="17">
        <v>0.1</v>
      </c>
      <c r="P7" s="45" t="s">
        <v>3</v>
      </c>
    </row>
    <row r="8" spans="2:19" ht="13.5" thickBot="1" x14ac:dyDescent="0.25">
      <c r="B8" s="9"/>
      <c r="C8" s="8" t="s">
        <v>26</v>
      </c>
      <c r="D8" s="20">
        <f>SUM(D7:N7)</f>
        <v>36.625553675543763</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0.15</v>
      </c>
      <c r="P11" s="38" t="s">
        <v>1</v>
      </c>
    </row>
    <row r="12" spans="2:19" x14ac:dyDescent="0.2">
      <c r="B12" s="71" t="s">
        <v>18</v>
      </c>
      <c r="C12" s="6">
        <f>C6</f>
        <v>3</v>
      </c>
      <c r="D12" s="41">
        <f>C12*(1+$O$11)</f>
        <v>3.4499999999999997</v>
      </c>
      <c r="E12" s="41">
        <f>D12*(1+$O$11)</f>
        <v>3.9674999999999994</v>
      </c>
      <c r="F12" s="41">
        <f>E12*(1+$O$11)</f>
        <v>4.5626249999999988</v>
      </c>
      <c r="G12" s="41">
        <f>F12*(1+$O$11)</f>
        <v>5.2470187499999978</v>
      </c>
      <c r="H12" s="41">
        <f>G12*(1+$O$11)</f>
        <v>6.0340715624999968</v>
      </c>
      <c r="I12" s="41">
        <f>H12*(1+$O$12)</f>
        <v>6.6374787187499971</v>
      </c>
      <c r="J12" s="41">
        <f>I12*(1+$O$12)</f>
        <v>7.3012265906249976</v>
      </c>
      <c r="K12" s="41">
        <f>J12*(1+$O$12)</f>
        <v>8.0313492496874979</v>
      </c>
      <c r="L12" s="41">
        <f>K12*(1+$O$12)</f>
        <v>8.8344841746562484</v>
      </c>
      <c r="M12" s="41">
        <f>L12*(1+$O$12)</f>
        <v>9.7179325921218744</v>
      </c>
      <c r="N12" s="41">
        <f>L12*O14</f>
        <v>176.68968349312496</v>
      </c>
      <c r="O12" s="70">
        <v>0.1</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68.12152178220218</v>
      </c>
      <c r="O13" s="17">
        <f>O7</f>
        <v>0.1</v>
      </c>
      <c r="P13" s="38" t="s">
        <v>3</v>
      </c>
    </row>
    <row r="14" spans="2:19" ht="13.5" thickBot="1" x14ac:dyDescent="0.25">
      <c r="B14" s="9"/>
      <c r="C14" s="8" t="s">
        <v>4</v>
      </c>
      <c r="D14" s="20">
        <f>SUM(D13:N13)</f>
        <v>68.12152178220218</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0.05</v>
      </c>
      <c r="P17" s="38" t="s">
        <v>1</v>
      </c>
    </row>
    <row r="18" spans="2:16" x14ac:dyDescent="0.2">
      <c r="B18" s="71" t="s">
        <v>17</v>
      </c>
      <c r="C18" s="6">
        <f>C12</f>
        <v>3</v>
      </c>
      <c r="D18" s="41">
        <f>C18*(1+$O$17)</f>
        <v>3.1500000000000004</v>
      </c>
      <c r="E18" s="41">
        <f>D18*(1+$O$17)</f>
        <v>3.3075000000000006</v>
      </c>
      <c r="F18" s="41">
        <f>E18*(1+$O$17)</f>
        <v>3.4728750000000006</v>
      </c>
      <c r="G18" s="41">
        <f>F18*(1+$O$17)</f>
        <v>3.6465187500000007</v>
      </c>
      <c r="H18" s="41">
        <f>G18*(1+$O$17)</f>
        <v>3.8288446875000011</v>
      </c>
      <c r="I18" s="41">
        <f>H18*(1+$O$18)</f>
        <v>4.0202869218750017</v>
      </c>
      <c r="J18" s="41">
        <f>I18*(1+$O$18)</f>
        <v>4.2213012679687516</v>
      </c>
      <c r="K18" s="41">
        <f>J18*(1+$O$18)</f>
        <v>4.4323663313671897</v>
      </c>
      <c r="L18" s="41">
        <f>K18*(1+$O$18)</f>
        <v>4.6539846479355491</v>
      </c>
      <c r="M18" s="41">
        <f>L18*(1+$O$18)</f>
        <v>4.8866838803323267</v>
      </c>
      <c r="N18" s="41">
        <f>L18*O20</f>
        <v>46.539846479355489</v>
      </c>
      <c r="O18" s="70">
        <v>0.05</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17.943125501196114</v>
      </c>
      <c r="O19" s="17">
        <f>O13</f>
        <v>0.1</v>
      </c>
      <c r="P19" s="38" t="s">
        <v>3</v>
      </c>
    </row>
    <row r="20" spans="2:16" ht="13.5" thickBot="1" x14ac:dyDescent="0.25">
      <c r="B20" s="71" t="s">
        <v>156</v>
      </c>
      <c r="C20" s="8" t="s">
        <v>4</v>
      </c>
      <c r="D20" s="20">
        <f>SUM(D19:N19)</f>
        <v>17.943125501196114</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0.5</v>
      </c>
      <c r="E23" s="41">
        <f>D8</f>
        <v>36.625553675543763</v>
      </c>
      <c r="F23" s="22">
        <f>E23*D23</f>
        <v>18.312776837771882</v>
      </c>
      <c r="G23" s="25"/>
      <c r="P23" s="38"/>
    </row>
    <row r="24" spans="2:16" x14ac:dyDescent="0.2">
      <c r="B24" s="9"/>
      <c r="C24" s="9" t="s">
        <v>15</v>
      </c>
      <c r="D24" s="44">
        <v>0.25</v>
      </c>
      <c r="E24" s="41">
        <f>D14</f>
        <v>68.12152178220218</v>
      </c>
      <c r="F24" s="22">
        <f>E24*D24</f>
        <v>17.030380445550545</v>
      </c>
      <c r="G24" s="25"/>
      <c r="P24" s="38"/>
    </row>
    <row r="25" spans="2:16" ht="13.5" thickBot="1" x14ac:dyDescent="0.25">
      <c r="B25" s="9"/>
      <c r="C25" s="10" t="s">
        <v>29</v>
      </c>
      <c r="D25" s="44">
        <v>0.25</v>
      </c>
      <c r="E25" s="23">
        <f>D20</f>
        <v>17.943125501196114</v>
      </c>
      <c r="F25" s="24">
        <f>E25*D25</f>
        <v>4.4857813752990285</v>
      </c>
      <c r="G25" s="25"/>
      <c r="P25" s="38"/>
    </row>
    <row r="26" spans="2:16" ht="13.5" thickBot="1" x14ac:dyDescent="0.25">
      <c r="B26" s="9"/>
      <c r="C26" s="36" t="s">
        <v>167</v>
      </c>
      <c r="D26" s="36">
        <f>C3</f>
        <v>24.92</v>
      </c>
      <c r="E26" s="15" t="s">
        <v>11</v>
      </c>
      <c r="F26" s="16">
        <f>SUM(F23:F25)</f>
        <v>39.828938658621453</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63" priority="1" operator="containsText" text="overvalued">
      <formula>NOT(ISERROR(SEARCH("overvalued",D3)))</formula>
    </cfRule>
    <cfRule type="containsText" dxfId="62" priority="2" operator="containsText" text="undervalued">
      <formula>NOT(ISERROR(SEARCH("undervalued",D3)))</formula>
    </cfRule>
  </conditionalFormatting>
  <hyperlinks>
    <hyperlink ref="C30" r:id="rId1" xr:uid="{A111237C-C203-944A-BCC4-5897325B5E19}"/>
    <hyperlink ref="B4" location="'COMPARATIVE TABLE'!A1" display="'COMPARATIVE TABLE'!A1" xr:uid="{E7B55136-67FD-8D46-A260-7AEE76AAAE9D}"/>
    <hyperlink ref="C2" r:id="rId2" xr:uid="{4085278C-1BB5-1D41-8BCF-2C2A4807DAB3}"/>
  </hyperlinks>
  <pageMargins left="0.7" right="0.7" top="0.78740157499999996" bottom="0.78740157499999996" header="0.3" footer="0.3"/>
  <pageSetup paperSize="9" orientation="portrait" r:id="rId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81CF-C10A-8241-839F-14DA02B52009}">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318</v>
      </c>
      <c r="C2" s="89" t="s">
        <v>36</v>
      </c>
      <c r="D2" s="32"/>
      <c r="E2" s="33"/>
      <c r="F2" s="33"/>
      <c r="G2" s="33"/>
      <c r="H2" s="33"/>
      <c r="I2" s="33"/>
      <c r="J2" s="33"/>
      <c r="K2" s="33"/>
      <c r="L2" s="33"/>
      <c r="M2" s="33"/>
      <c r="N2" s="33"/>
      <c r="O2" s="33"/>
      <c r="P2" s="34"/>
      <c r="S2" s="3" t="s">
        <v>7</v>
      </c>
    </row>
    <row r="3" spans="2:19" ht="13.5" thickBot="1" x14ac:dyDescent="0.25">
      <c r="B3" s="35" t="s">
        <v>166</v>
      </c>
      <c r="C3" s="29">
        <f>'COMPARATIVE TABLE'!C18</f>
        <v>6.25</v>
      </c>
      <c r="D3" s="37"/>
      <c r="F3" s="73" t="s">
        <v>189</v>
      </c>
      <c r="G3" s="74"/>
      <c r="H3" s="74"/>
      <c r="I3" s="75">
        <v>0.5</v>
      </c>
      <c r="P3" s="38"/>
    </row>
    <row r="4" spans="2:19" ht="26.25" thickBot="1" x14ac:dyDescent="0.25">
      <c r="B4" s="39" t="s">
        <v>85</v>
      </c>
      <c r="N4" s="76" t="s">
        <v>5</v>
      </c>
      <c r="O4" s="4" t="s">
        <v>0</v>
      </c>
      <c r="P4" s="38"/>
    </row>
    <row r="5" spans="2:19" x14ac:dyDescent="0.2">
      <c r="B5" s="71" t="s">
        <v>8</v>
      </c>
      <c r="C5" s="5" t="s">
        <v>245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0.04</v>
      </c>
      <c r="P5" s="38" t="s">
        <v>1</v>
      </c>
      <c r="R5" s="1"/>
    </row>
    <row r="6" spans="2:19" x14ac:dyDescent="0.2">
      <c r="B6" s="71" t="s">
        <v>19</v>
      </c>
      <c r="C6" s="86">
        <v>0.4</v>
      </c>
      <c r="D6" s="41">
        <f>C6*(1+$O$5)</f>
        <v>0.41600000000000004</v>
      </c>
      <c r="E6" s="41">
        <f>D6*(1+$O$5)</f>
        <v>0.43264000000000008</v>
      </c>
      <c r="F6" s="41">
        <f>E6*(1+$O$5)</f>
        <v>0.44994560000000011</v>
      </c>
      <c r="G6" s="41">
        <f>F6*(1+$O$5)</f>
        <v>0.46794342400000011</v>
      </c>
      <c r="H6" s="41">
        <f>G6*(1+$O$5)</f>
        <v>0.48666116096000012</v>
      </c>
      <c r="I6" s="41">
        <f>H6*(1+$O$6)</f>
        <v>0.50612760739840013</v>
      </c>
      <c r="J6" s="41">
        <f>I6*(1+$O$6)</f>
        <v>0.52637271169433619</v>
      </c>
      <c r="K6" s="41">
        <f>J6*(1+$O$6)</f>
        <v>0.54742762016210966</v>
      </c>
      <c r="L6" s="41">
        <f>K6*(1+$O$6)</f>
        <v>0.5693247249685941</v>
      </c>
      <c r="M6" s="41">
        <f>L6*(1+$O$6)</f>
        <v>0.5920977139673379</v>
      </c>
      <c r="N6" s="72">
        <f>L6*O8</f>
        <v>6.8318966996231296</v>
      </c>
      <c r="O6" s="70">
        <v>0.04</v>
      </c>
      <c r="P6" s="27" t="s">
        <v>2</v>
      </c>
    </row>
    <row r="7" spans="2:19" x14ac:dyDescent="0.2">
      <c r="B7" s="9"/>
      <c r="C7" s="7" t="str">
        <f>CONCATENATE(R8,O7*100,S8)</f>
        <v>PV(10%)</v>
      </c>
      <c r="D7" s="72">
        <f>D6*(1+$O$7)^($D$5-D5-1)*$I$3</f>
        <v>0.18909090909090912</v>
      </c>
      <c r="E7" s="72">
        <f t="shared" ref="E7:M7" si="1">E6*(1+$O$7)^($D$5-E5-1)*$I$3</f>
        <v>0.17877685950413225</v>
      </c>
      <c r="F7" s="72">
        <f t="shared" si="1"/>
        <v>0.16902539444027045</v>
      </c>
      <c r="G7" s="72">
        <f t="shared" si="1"/>
        <v>0.15980582747080116</v>
      </c>
      <c r="H7" s="72">
        <f t="shared" si="1"/>
        <v>0.15108914597239381</v>
      </c>
      <c r="I7" s="72">
        <f t="shared" si="1"/>
        <v>0.14284791982844505</v>
      </c>
      <c r="J7" s="72">
        <f t="shared" si="1"/>
        <v>0.13505621511052987</v>
      </c>
      <c r="K7" s="72">
        <f t="shared" si="1"/>
        <v>0.12768951246813734</v>
      </c>
      <c r="L7" s="72">
        <f t="shared" si="1"/>
        <v>0.12072462996987531</v>
      </c>
      <c r="M7" s="72">
        <f t="shared" si="1"/>
        <v>0.11413965015333664</v>
      </c>
      <c r="N7" s="72">
        <f t="shared" ref="N7" si="2">N6*(1+$O$7)^($D$5-N5-1)</f>
        <v>2.6339919266154612</v>
      </c>
      <c r="O7" s="17">
        <v>0.1</v>
      </c>
      <c r="P7" s="45" t="s">
        <v>3</v>
      </c>
    </row>
    <row r="8" spans="2:19" ht="13.5" thickBot="1" x14ac:dyDescent="0.25">
      <c r="B8" s="9"/>
      <c r="C8" s="8" t="s">
        <v>26</v>
      </c>
      <c r="D8" s="20">
        <f>SUM(D7:N7)</f>
        <v>4.1222379906242921</v>
      </c>
      <c r="E8" s="21"/>
      <c r="F8" s="21"/>
      <c r="G8" s="21"/>
      <c r="H8" s="21"/>
      <c r="I8" s="21"/>
      <c r="J8" s="21"/>
      <c r="K8" s="21"/>
      <c r="L8" s="21"/>
      <c r="M8" s="21"/>
      <c r="N8" s="21"/>
      <c r="O8" s="78">
        <v>12</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0.4</v>
      </c>
      <c r="D12" s="41">
        <f>C12*(1+$O$11)</f>
        <v>0.42800000000000005</v>
      </c>
      <c r="E12" s="41">
        <f>D12*(1+$O$11)</f>
        <v>0.45796000000000009</v>
      </c>
      <c r="F12" s="41">
        <f>E12*(1+$O$11)</f>
        <v>0.4900172000000001</v>
      </c>
      <c r="G12" s="41">
        <f>F12*(1+$O$11)</f>
        <v>0.52431840400000018</v>
      </c>
      <c r="H12" s="41">
        <f>G12*(1+$O$11)</f>
        <v>0.56102069228000018</v>
      </c>
      <c r="I12" s="41">
        <f>H12*(1+$O$12)</f>
        <v>0.60029214073960024</v>
      </c>
      <c r="J12" s="41">
        <f>I12*(1+$O$12)</f>
        <v>0.64231259059137225</v>
      </c>
      <c r="K12" s="41">
        <f>J12*(1+$O$12)</f>
        <v>0.68727447193276836</v>
      </c>
      <c r="L12" s="41">
        <f>K12*(1+$O$12)</f>
        <v>0.73538368496806217</v>
      </c>
      <c r="M12" s="41">
        <f>L12*(1+$O$12)</f>
        <v>0.78686054291582652</v>
      </c>
      <c r="N12" s="41">
        <f>L12*O14</f>
        <v>11.030755274520933</v>
      </c>
      <c r="O12" s="70">
        <v>7.0000000000000007E-2</v>
      </c>
      <c r="P12" s="27" t="s">
        <v>2</v>
      </c>
    </row>
    <row r="13" spans="2:19" x14ac:dyDescent="0.2">
      <c r="B13" s="9">
        <f>B7</f>
        <v>0</v>
      </c>
      <c r="C13" s="7" t="str">
        <f>C7</f>
        <v>PV(10%)</v>
      </c>
      <c r="D13" s="41">
        <f>D12*(1+$O$13)^($D$11-D11-1)*$I$3</f>
        <v>0.19454545454545455</v>
      </c>
      <c r="E13" s="41">
        <f t="shared" ref="E13:M13" si="4">E12*(1+$O$13)^($D$11-E11-1)*$I$3</f>
        <v>0.18923966942148762</v>
      </c>
      <c r="F13" s="41">
        <f t="shared" si="4"/>
        <v>0.1840785875281743</v>
      </c>
      <c r="G13" s="41">
        <f t="shared" si="4"/>
        <v>0.17905826241376957</v>
      </c>
      <c r="H13" s="41">
        <f t="shared" si="4"/>
        <v>0.17417485525703036</v>
      </c>
      <c r="I13" s="41">
        <f t="shared" si="4"/>
        <v>0.16942463193183865</v>
      </c>
      <c r="J13" s="41">
        <f t="shared" si="4"/>
        <v>0.16480396015187937</v>
      </c>
      <c r="K13" s="41">
        <f t="shared" si="4"/>
        <v>0.16030930669319177</v>
      </c>
      <c r="L13" s="41">
        <f t="shared" si="4"/>
        <v>0.15593723469246837</v>
      </c>
      <c r="M13" s="41">
        <f t="shared" si="4"/>
        <v>0.15168440101903738</v>
      </c>
      <c r="N13" s="41">
        <f>N12*(1+$O$7)^($D$5-N11-1)</f>
        <v>4.2528336734309553</v>
      </c>
      <c r="O13" s="17">
        <f>O7</f>
        <v>0.1</v>
      </c>
      <c r="P13" s="38" t="s">
        <v>3</v>
      </c>
    </row>
    <row r="14" spans="2:19" ht="13.5" thickBot="1" x14ac:dyDescent="0.25">
      <c r="B14" s="9"/>
      <c r="C14" s="8" t="s">
        <v>4</v>
      </c>
      <c r="D14" s="20">
        <f>SUM(D13:N13)</f>
        <v>5.976090037085287</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0.4</v>
      </c>
      <c r="D18" s="41">
        <f>C18*(1+$O$17)</f>
        <v>0.41200000000000003</v>
      </c>
      <c r="E18" s="41">
        <f>D18*(1+$O$17)</f>
        <v>0.42436000000000007</v>
      </c>
      <c r="F18" s="41">
        <f>E18*(1+$O$17)</f>
        <v>0.43709080000000006</v>
      </c>
      <c r="G18" s="41">
        <f>F18*(1+$O$17)</f>
        <v>0.45020352400000008</v>
      </c>
      <c r="H18" s="41">
        <f>G18*(1+$O$17)</f>
        <v>0.46370962972000007</v>
      </c>
      <c r="I18" s="41">
        <f>H18*(1+$O$18)</f>
        <v>0.47762091861160011</v>
      </c>
      <c r="J18" s="41">
        <f>I18*(1+$O$18)</f>
        <v>0.49194954616994813</v>
      </c>
      <c r="K18" s="41">
        <f>J18*(1+$O$18)</f>
        <v>0.50670803255504659</v>
      </c>
      <c r="L18" s="41">
        <f>K18*(1+$O$18)</f>
        <v>0.52190927353169803</v>
      </c>
      <c r="M18" s="41">
        <f>L18*(1+$O$18)</f>
        <v>0.537566551737649</v>
      </c>
      <c r="N18" s="41">
        <f>L18*O20</f>
        <v>5.2190927353169805</v>
      </c>
      <c r="O18" s="70">
        <v>0.03</v>
      </c>
      <c r="P18" s="27" t="s">
        <v>2</v>
      </c>
    </row>
    <row r="19" spans="2:16" x14ac:dyDescent="0.2">
      <c r="B19" s="71" t="s">
        <v>155</v>
      </c>
      <c r="C19" s="7" t="str">
        <f>C13</f>
        <v>PV(10%)</v>
      </c>
      <c r="D19" s="41">
        <f>D18*(1+$O$19)^($D$17-D17-1)*$I$3</f>
        <v>0.18727272727272729</v>
      </c>
      <c r="E19" s="41">
        <f t="shared" ref="E19:M19" si="6">E18*(1+$O$19)^($D$17-E17-1)*$I$3</f>
        <v>0.17535537190082645</v>
      </c>
      <c r="F19" s="41">
        <f t="shared" si="6"/>
        <v>0.16419639368895564</v>
      </c>
      <c r="G19" s="41">
        <f t="shared" si="6"/>
        <v>0.15374753227238575</v>
      </c>
      <c r="H19" s="41">
        <f t="shared" si="6"/>
        <v>0.14396359840050663</v>
      </c>
      <c r="I19" s="41">
        <f t="shared" si="6"/>
        <v>0.13480227850229259</v>
      </c>
      <c r="J19" s="41">
        <f t="shared" si="6"/>
        <v>0.12622395168851031</v>
      </c>
      <c r="K19" s="41">
        <f t="shared" si="6"/>
        <v>0.11819151839924148</v>
      </c>
      <c r="L19" s="41">
        <f t="shared" si="6"/>
        <v>0.11067023995565339</v>
      </c>
      <c r="M19" s="41">
        <f t="shared" si="6"/>
        <v>0.1036275883221118</v>
      </c>
      <c r="N19" s="41">
        <f t="shared" ref="N19" si="7">N18*(1+$O$19)^($D$17-N17-1)</f>
        <v>2.0121861810118795</v>
      </c>
      <c r="O19" s="17">
        <f>O13</f>
        <v>0.1</v>
      </c>
      <c r="P19" s="38" t="s">
        <v>3</v>
      </c>
    </row>
    <row r="20" spans="2:16" ht="13.5" thickBot="1" x14ac:dyDescent="0.25">
      <c r="B20" s="71" t="s">
        <v>156</v>
      </c>
      <c r="C20" s="8" t="s">
        <v>4</v>
      </c>
      <c r="D20" s="20">
        <f>SUM(D19:N19)</f>
        <v>3.4302373814150906</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4.1222379906242921</v>
      </c>
      <c r="F23" s="22">
        <f>E23*D23</f>
        <v>1.4015609168122594</v>
      </c>
      <c r="G23" s="25"/>
      <c r="P23" s="38"/>
    </row>
    <row r="24" spans="2:16" x14ac:dyDescent="0.2">
      <c r="B24" s="9"/>
      <c r="C24" s="9" t="s">
        <v>15</v>
      </c>
      <c r="D24" s="44">
        <v>0.33</v>
      </c>
      <c r="E24" s="41">
        <f>D14</f>
        <v>5.976090037085287</v>
      </c>
      <c r="F24" s="22">
        <f>E24*D24</f>
        <v>1.9721097122381448</v>
      </c>
      <c r="G24" s="25"/>
      <c r="P24" s="38"/>
    </row>
    <row r="25" spans="2:16" ht="13.5" thickBot="1" x14ac:dyDescent="0.25">
      <c r="B25" s="9"/>
      <c r="C25" s="10" t="s">
        <v>29</v>
      </c>
      <c r="D25" s="44">
        <v>0.33</v>
      </c>
      <c r="E25" s="23">
        <f>D20</f>
        <v>3.4302373814150906</v>
      </c>
      <c r="F25" s="24">
        <f>E25*D25</f>
        <v>1.1319783358669799</v>
      </c>
      <c r="G25" s="25"/>
      <c r="P25" s="38"/>
    </row>
    <row r="26" spans="2:16" ht="13.5" thickBot="1" x14ac:dyDescent="0.25">
      <c r="B26" s="9"/>
      <c r="C26" s="36" t="s">
        <v>167</v>
      </c>
      <c r="D26" s="36">
        <f>C3</f>
        <v>6.25</v>
      </c>
      <c r="E26" s="15" t="s">
        <v>11</v>
      </c>
      <c r="F26" s="16">
        <f>SUM(F23:F25)</f>
        <v>4.5056489649173841</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61" priority="1" operator="containsText" text="overvalued">
      <formula>NOT(ISERROR(SEARCH("overvalued",D3)))</formula>
    </cfRule>
    <cfRule type="containsText" dxfId="60" priority="2" operator="containsText" text="undervalued">
      <formula>NOT(ISERROR(SEARCH("undervalued",D3)))</formula>
    </cfRule>
  </conditionalFormatting>
  <hyperlinks>
    <hyperlink ref="C30" r:id="rId1" xr:uid="{D4412FA4-624A-DC41-B127-E5B45328717A}"/>
    <hyperlink ref="B4" location="'COMPARATIVE TABLE'!A1" display="'COMPARATIVE TABLE'!A1" xr:uid="{0B5F1984-1429-8F41-9562-8B43CC54397E}"/>
    <hyperlink ref="C2" r:id="rId2" xr:uid="{B9CBCFBC-F24A-F941-A5CA-559D2A822427}"/>
  </hyperlinks>
  <pageMargins left="0.7" right="0.7" top="0.78740157499999996" bottom="0.78740157499999996" header="0.3" footer="0.3"/>
  <pageSetup paperSize="9" orientation="portrait"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A4A7-7F01-CC4C-81ED-D2A0A2914984}">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307</v>
      </c>
      <c r="C2" s="31" t="s">
        <v>36</v>
      </c>
      <c r="D2" s="32"/>
      <c r="E2" s="33"/>
      <c r="F2" s="33"/>
      <c r="G2" s="33"/>
      <c r="H2" s="33"/>
      <c r="I2" s="33"/>
      <c r="J2" s="33"/>
      <c r="K2" s="33"/>
      <c r="L2" s="33"/>
      <c r="M2" s="33"/>
      <c r="N2" s="33"/>
      <c r="O2" s="33"/>
      <c r="P2" s="34"/>
      <c r="S2" s="3" t="s">
        <v>7</v>
      </c>
    </row>
    <row r="3" spans="2:19" ht="13.5" thickBot="1" x14ac:dyDescent="0.25">
      <c r="B3" s="35" t="s">
        <v>166</v>
      </c>
      <c r="C3" s="29">
        <f>'COMPARATIVE TABLE'!C20</f>
        <v>11.71</v>
      </c>
      <c r="D3" s="37"/>
      <c r="F3" s="73" t="s">
        <v>189</v>
      </c>
      <c r="G3" s="74"/>
      <c r="H3" s="74"/>
      <c r="I3" s="75">
        <v>0</v>
      </c>
      <c r="P3" s="38"/>
    </row>
    <row r="4" spans="2:19" ht="26.25" thickBot="1" x14ac:dyDescent="0.25">
      <c r="B4" s="39" t="s">
        <v>85</v>
      </c>
      <c r="N4" s="76" t="s">
        <v>5</v>
      </c>
      <c r="O4" s="4" t="s">
        <v>0</v>
      </c>
      <c r="P4" s="38"/>
    </row>
    <row r="5" spans="2:19" x14ac:dyDescent="0.2">
      <c r="B5" s="71" t="s">
        <v>8</v>
      </c>
      <c r="C5" s="5" t="s">
        <v>400</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7.0000000000000007E-2</v>
      </c>
      <c r="P5" s="38" t="s">
        <v>1</v>
      </c>
      <c r="R5" s="1"/>
    </row>
    <row r="6" spans="2:19" x14ac:dyDescent="0.2">
      <c r="B6" s="71" t="s">
        <v>19</v>
      </c>
      <c r="C6" s="86">
        <v>1.44</v>
      </c>
      <c r="D6" s="41">
        <f>C6*(1+$O$5)</f>
        <v>1.5407999999999999</v>
      </c>
      <c r="E6" s="41">
        <f>D6*(1+$O$5)</f>
        <v>1.6486560000000001</v>
      </c>
      <c r="F6" s="41">
        <f>E6*(1+$O$5)</f>
        <v>1.7640619200000003</v>
      </c>
      <c r="G6" s="41">
        <f>F6*(1+$O$5)</f>
        <v>1.8875462544000003</v>
      </c>
      <c r="H6" s="41">
        <f>G6*(1+$O$5)</f>
        <v>2.0196744922080003</v>
      </c>
      <c r="I6" s="41">
        <f>H6*(1+$O$6)</f>
        <v>2.1610517066625605</v>
      </c>
      <c r="J6" s="41">
        <f>I6*(1+$O$6)</f>
        <v>2.3123253261289398</v>
      </c>
      <c r="K6" s="41">
        <f>J6*(1+$O$6)</f>
        <v>2.4741880989579657</v>
      </c>
      <c r="L6" s="41">
        <f>K6*(1+$O$6)</f>
        <v>2.6473812658850235</v>
      </c>
      <c r="M6" s="41">
        <f>L6*(1+$O$6)</f>
        <v>2.8326979544969753</v>
      </c>
      <c r="N6" s="72">
        <f>L6*O8</f>
        <v>31.768575190620282</v>
      </c>
      <c r="O6" s="70">
        <v>7.0000000000000007E-2</v>
      </c>
      <c r="P6" s="27" t="s">
        <v>2</v>
      </c>
    </row>
    <row r="7" spans="2:19" x14ac:dyDescent="0.2">
      <c r="B7" s="9"/>
      <c r="C7" s="7" t="str">
        <f>CONCATENATE(R8,O7*100,S8)</f>
        <v>PV(10%)</v>
      </c>
      <c r="D7" s="72">
        <f>D6*(1+$O$7)^($D$5-D5-1)*$I$3</f>
        <v>0</v>
      </c>
      <c r="E7" s="72">
        <f t="shared" ref="E7:M7" si="1">E6*(1+$O$7)^($D$5-E5-1)*$I$3</f>
        <v>0</v>
      </c>
      <c r="F7" s="72">
        <f t="shared" si="1"/>
        <v>0</v>
      </c>
      <c r="G7" s="72">
        <f t="shared" si="1"/>
        <v>0</v>
      </c>
      <c r="H7" s="72">
        <f t="shared" si="1"/>
        <v>0</v>
      </c>
      <c r="I7" s="72">
        <f t="shared" si="1"/>
        <v>0</v>
      </c>
      <c r="J7" s="72">
        <f t="shared" si="1"/>
        <v>0</v>
      </c>
      <c r="K7" s="72">
        <f t="shared" si="1"/>
        <v>0</v>
      </c>
      <c r="L7" s="72">
        <f t="shared" si="1"/>
        <v>0</v>
      </c>
      <c r="M7" s="72">
        <f t="shared" si="1"/>
        <v>0</v>
      </c>
      <c r="N7" s="72">
        <f t="shared" ref="N7" si="2">N6*(1+$O$7)^($D$5-N5-1)</f>
        <v>12.248160979481149</v>
      </c>
      <c r="O7" s="17">
        <v>0.1</v>
      </c>
      <c r="P7" s="45" t="s">
        <v>3</v>
      </c>
    </row>
    <row r="8" spans="2:19" ht="13.5" thickBot="1" x14ac:dyDescent="0.25">
      <c r="B8" s="9"/>
      <c r="C8" s="8" t="s">
        <v>26</v>
      </c>
      <c r="D8" s="20">
        <f>SUM(D7:N7)</f>
        <v>12.248160979481149</v>
      </c>
      <c r="E8" s="21"/>
      <c r="F8" s="21"/>
      <c r="G8" s="21"/>
      <c r="H8" s="21"/>
      <c r="I8" s="21"/>
      <c r="J8" s="21"/>
      <c r="K8" s="21"/>
      <c r="L8" s="21"/>
      <c r="M8" s="21"/>
      <c r="N8" s="21"/>
      <c r="O8" s="78">
        <v>12</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 (500 million)</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0.09</v>
      </c>
      <c r="P11" s="38" t="s">
        <v>1</v>
      </c>
    </row>
    <row r="12" spans="2:19" x14ac:dyDescent="0.2">
      <c r="B12" s="71" t="s">
        <v>18</v>
      </c>
      <c r="C12" s="6">
        <f>C6</f>
        <v>1.44</v>
      </c>
      <c r="D12" s="41">
        <f>C12*(1+$O$11)</f>
        <v>1.5696000000000001</v>
      </c>
      <c r="E12" s="41">
        <f>D12*(1+$O$11)</f>
        <v>1.7108640000000002</v>
      </c>
      <c r="F12" s="41">
        <f>E12*(1+$O$11)</f>
        <v>1.8648417600000002</v>
      </c>
      <c r="G12" s="41">
        <f>F12*(1+$O$11)</f>
        <v>2.0326775184000003</v>
      </c>
      <c r="H12" s="41">
        <f>G12*(1+$O$11)</f>
        <v>2.2156184950560007</v>
      </c>
      <c r="I12" s="41">
        <f>H12*(1+$O$12)</f>
        <v>2.4150241596110411</v>
      </c>
      <c r="J12" s="41">
        <f>I12*(1+$O$12)</f>
        <v>2.6323763339760351</v>
      </c>
      <c r="K12" s="41">
        <f>J12*(1+$O$12)</f>
        <v>2.8692902040338786</v>
      </c>
      <c r="L12" s="41">
        <f>K12*(1+$O$12)</f>
        <v>3.1275263223969278</v>
      </c>
      <c r="M12" s="41">
        <f>L12*(1+$O$12)</f>
        <v>3.4090036914126518</v>
      </c>
      <c r="N12" s="41">
        <f>L12*O14</f>
        <v>46.912894835953921</v>
      </c>
      <c r="O12" s="70">
        <v>0.09</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18.086951791715354</v>
      </c>
      <c r="O13" s="17">
        <f>O7</f>
        <v>0.1</v>
      </c>
      <c r="P13" s="38" t="s">
        <v>3</v>
      </c>
    </row>
    <row r="14" spans="2:19" ht="13.5" thickBot="1" x14ac:dyDescent="0.25">
      <c r="B14" s="9"/>
      <c r="C14" s="8" t="s">
        <v>4</v>
      </c>
      <c r="D14" s="20">
        <f>SUM(D13:N13)</f>
        <v>18.086951791715354</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 (500 million)</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0.04</v>
      </c>
      <c r="P17" s="38" t="s">
        <v>1</v>
      </c>
    </row>
    <row r="18" spans="2:16" x14ac:dyDescent="0.2">
      <c r="B18" s="71" t="s">
        <v>17</v>
      </c>
      <c r="C18" s="6">
        <f>C12</f>
        <v>1.44</v>
      </c>
      <c r="D18" s="41">
        <f>C18*(1+$O$17)</f>
        <v>1.4976</v>
      </c>
      <c r="E18" s="41">
        <f>D18*(1+$O$17)</f>
        <v>1.557504</v>
      </c>
      <c r="F18" s="41">
        <f>E18*(1+$O$17)</f>
        <v>1.6198041600000002</v>
      </c>
      <c r="G18" s="41">
        <f>F18*(1+$O$17)</f>
        <v>1.6845963264000001</v>
      </c>
      <c r="H18" s="41">
        <f>G18*(1+$O$17)</f>
        <v>1.7519801794560002</v>
      </c>
      <c r="I18" s="41">
        <f>H18*(1+$O$18)</f>
        <v>1.8220593866342403</v>
      </c>
      <c r="J18" s="41">
        <f>I18*(1+$O$18)</f>
        <v>1.8949417620996098</v>
      </c>
      <c r="K18" s="41">
        <f>J18*(1+$O$18)</f>
        <v>1.9707394325835943</v>
      </c>
      <c r="L18" s="41">
        <f>K18*(1+$O$18)</f>
        <v>2.0495690098869384</v>
      </c>
      <c r="M18" s="41">
        <f>L18*(1+$O$18)</f>
        <v>2.131551770282416</v>
      </c>
      <c r="N18" s="41">
        <f>L18*O20</f>
        <v>20.495690098869382</v>
      </c>
      <c r="O18" s="70">
        <v>0.04</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7.9019757798463806</v>
      </c>
      <c r="O19" s="17">
        <f>O13</f>
        <v>0.1</v>
      </c>
      <c r="P19" s="38" t="s">
        <v>3</v>
      </c>
    </row>
    <row r="20" spans="2:16" ht="13.5" thickBot="1" x14ac:dyDescent="0.25">
      <c r="B20" s="71" t="s">
        <v>156</v>
      </c>
      <c r="C20" s="8" t="s">
        <v>4</v>
      </c>
      <c r="D20" s="20">
        <f>SUM(D19:N19)</f>
        <v>7.9019757798463806</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12.248160979481149</v>
      </c>
      <c r="F23" s="22">
        <f>E23*D23</f>
        <v>4.1643747330235907</v>
      </c>
      <c r="G23" s="25"/>
      <c r="P23" s="38"/>
    </row>
    <row r="24" spans="2:16" x14ac:dyDescent="0.2">
      <c r="B24" s="9"/>
      <c r="C24" s="9" t="s">
        <v>15</v>
      </c>
      <c r="D24" s="44">
        <v>0.33</v>
      </c>
      <c r="E24" s="41">
        <f>D14</f>
        <v>18.086951791715354</v>
      </c>
      <c r="F24" s="22">
        <f>E24*D24</f>
        <v>5.9686940912660669</v>
      </c>
      <c r="G24" s="25"/>
      <c r="P24" s="38"/>
    </row>
    <row r="25" spans="2:16" ht="13.5" thickBot="1" x14ac:dyDescent="0.25">
      <c r="B25" s="9"/>
      <c r="C25" s="10" t="s">
        <v>29</v>
      </c>
      <c r="D25" s="44">
        <v>0.33</v>
      </c>
      <c r="E25" s="23">
        <f>D20</f>
        <v>7.9019757798463806</v>
      </c>
      <c r="F25" s="24">
        <f>E25*D25</f>
        <v>2.6076520073493059</v>
      </c>
      <c r="G25" s="25"/>
      <c r="P25" s="38"/>
    </row>
    <row r="26" spans="2:16" ht="13.5" thickBot="1" x14ac:dyDescent="0.25">
      <c r="B26" s="9"/>
      <c r="C26" s="36" t="s">
        <v>167</v>
      </c>
      <c r="D26" s="36">
        <f>C3</f>
        <v>11.71</v>
      </c>
      <c r="E26" s="15" t="s">
        <v>11</v>
      </c>
      <c r="F26" s="16">
        <f>SUM(F23:F25)</f>
        <v>12.740720831638964</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9" priority="1" operator="containsText" text="overvalued">
      <formula>NOT(ISERROR(SEARCH("overvalued",D3)))</formula>
    </cfRule>
    <cfRule type="containsText" dxfId="58" priority="2" operator="containsText" text="undervalued">
      <formula>NOT(ISERROR(SEARCH("undervalued",D3)))</formula>
    </cfRule>
  </conditionalFormatting>
  <hyperlinks>
    <hyperlink ref="C30" r:id="rId1" xr:uid="{385FD94F-B8C3-EC45-A6E7-83F15DA5954A}"/>
    <hyperlink ref="B4" location="'COMPARATIVE TABLE'!A1" display="'COMPARATIVE TABLE'!A1" xr:uid="{8B2AA1CD-86D7-334A-97E2-5528C67EE79E}"/>
  </hyperlinks>
  <pageMargins left="0.7" right="0.7" top="0.78740157499999996" bottom="0.78740157499999996" header="0.3" footer="0.3"/>
  <pageSetup paperSize="9"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75F9-76B8-0E49-A298-78DAB051CD5C}">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308</v>
      </c>
      <c r="C2" s="89" t="s">
        <v>36</v>
      </c>
      <c r="D2" s="32"/>
      <c r="E2" s="33"/>
      <c r="F2" s="33"/>
      <c r="G2" s="33"/>
      <c r="H2" s="33"/>
      <c r="I2" s="33"/>
      <c r="J2" s="33"/>
      <c r="K2" s="33"/>
      <c r="L2" s="33"/>
      <c r="M2" s="33"/>
      <c r="N2" s="33"/>
      <c r="O2" s="33"/>
      <c r="P2" s="34"/>
      <c r="S2" s="3" t="s">
        <v>7</v>
      </c>
    </row>
    <row r="3" spans="2:19" ht="13.5" thickBot="1" x14ac:dyDescent="0.25">
      <c r="B3" s="35" t="s">
        <v>166</v>
      </c>
      <c r="C3" s="29">
        <f>'COMPARATIVE TABLE'!C21</f>
        <v>11.76</v>
      </c>
      <c r="D3" s="37"/>
      <c r="F3" s="73" t="s">
        <v>189</v>
      </c>
      <c r="G3" s="74"/>
      <c r="H3" s="74"/>
      <c r="I3" s="75">
        <v>0.4</v>
      </c>
      <c r="P3" s="38"/>
    </row>
    <row r="4" spans="2:19" ht="26.25" thickBot="1" x14ac:dyDescent="0.25">
      <c r="B4" s="39" t="s">
        <v>85</v>
      </c>
      <c r="N4" s="76" t="s">
        <v>5</v>
      </c>
      <c r="O4" s="4" t="s">
        <v>0</v>
      </c>
      <c r="P4" s="38"/>
    </row>
    <row r="5" spans="2:19" x14ac:dyDescent="0.2">
      <c r="B5" s="71" t="s">
        <v>8</v>
      </c>
      <c r="C5" s="5" t="s">
        <v>329</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0.47</v>
      </c>
      <c r="D6" s="41">
        <f>C6*(1+$O$5)</f>
        <v>0.49349999999999999</v>
      </c>
      <c r="E6" s="41">
        <f>D6*(1+$O$5)</f>
        <v>0.51817500000000005</v>
      </c>
      <c r="F6" s="41">
        <f>E6*(1+$O$5)</f>
        <v>0.54408375000000009</v>
      </c>
      <c r="G6" s="41">
        <f>F6*(1+$O$5)</f>
        <v>0.57128793750000006</v>
      </c>
      <c r="H6" s="41">
        <f>G6*(1+$O$5)</f>
        <v>0.59985233437500007</v>
      </c>
      <c r="I6" s="41">
        <f>H6*(1+$O$6)</f>
        <v>0.65983756781250014</v>
      </c>
      <c r="J6" s="41">
        <f>I6*(1+$O$6)</f>
        <v>0.72582132459375026</v>
      </c>
      <c r="K6" s="41">
        <f>J6*(1+$O$6)</f>
        <v>0.79840345705312532</v>
      </c>
      <c r="L6" s="41">
        <f>K6*(1+$O$6)</f>
        <v>0.87824380275843794</v>
      </c>
      <c r="M6" s="41">
        <f>L6*(1+$O$6)</f>
        <v>0.96606818303428177</v>
      </c>
      <c r="N6" s="72">
        <f>L6*O8</f>
        <v>10.538925633101256</v>
      </c>
      <c r="O6" s="70">
        <v>0.1</v>
      </c>
      <c r="P6" s="27" t="s">
        <v>2</v>
      </c>
    </row>
    <row r="7" spans="2:19" x14ac:dyDescent="0.2">
      <c r="B7" s="9"/>
      <c r="C7" s="7" t="str">
        <f>CONCATENATE(R8,O7*100,S8)</f>
        <v>PV(10%)</v>
      </c>
      <c r="D7" s="72">
        <f>D6*(1+$O$7)^($D$5-D5-1)*$I$3</f>
        <v>0.17945454545454545</v>
      </c>
      <c r="E7" s="72">
        <f t="shared" ref="E7:M7" si="1">E6*(1+$O$7)^($D$5-E5-1)*$I$3</f>
        <v>0.17129752066115703</v>
      </c>
      <c r="F7" s="72">
        <f t="shared" si="1"/>
        <v>0.16351126972201352</v>
      </c>
      <c r="G7" s="72">
        <f t="shared" si="1"/>
        <v>0.1560789392801038</v>
      </c>
      <c r="H7" s="72">
        <f t="shared" si="1"/>
        <v>0.14898444204009906</v>
      </c>
      <c r="I7" s="72">
        <f t="shared" si="1"/>
        <v>0.14898444204009906</v>
      </c>
      <c r="J7" s="72">
        <f t="shared" si="1"/>
        <v>0.14898444204009906</v>
      </c>
      <c r="K7" s="72">
        <f t="shared" si="1"/>
        <v>0.14898444204009906</v>
      </c>
      <c r="L7" s="72">
        <f t="shared" si="1"/>
        <v>0.14898444204009909</v>
      </c>
      <c r="M7" s="72">
        <f t="shared" si="1"/>
        <v>0.14898444204009909</v>
      </c>
      <c r="N7" s="72">
        <f t="shared" ref="N7" si="2">N6*(1+$O$7)^($D$5-N5-1)</f>
        <v>4.0632120556390658</v>
      </c>
      <c r="O7" s="17">
        <v>0.1</v>
      </c>
      <c r="P7" s="45" t="s">
        <v>3</v>
      </c>
    </row>
    <row r="8" spans="2:19" ht="13.5" thickBot="1" x14ac:dyDescent="0.25">
      <c r="B8" s="9"/>
      <c r="C8" s="8" t="s">
        <v>26</v>
      </c>
      <c r="D8" s="20">
        <f>SUM(D7:N7)</f>
        <v>5.62746098299748</v>
      </c>
      <c r="E8" s="21"/>
      <c r="F8" s="21"/>
      <c r="G8" s="21"/>
      <c r="H8" s="21"/>
      <c r="I8" s="21"/>
      <c r="J8" s="21"/>
      <c r="K8" s="21"/>
      <c r="L8" s="21"/>
      <c r="M8" s="21"/>
      <c r="N8" s="21"/>
      <c r="O8" s="78">
        <v>12</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0.05</v>
      </c>
      <c r="P11" s="38" t="s">
        <v>1</v>
      </c>
    </row>
    <row r="12" spans="2:19" x14ac:dyDescent="0.2">
      <c r="B12" s="71" t="s">
        <v>18</v>
      </c>
      <c r="C12" s="6">
        <f>C6</f>
        <v>0.47</v>
      </c>
      <c r="D12" s="41">
        <f>C12*(1+$O$11)</f>
        <v>0.49349999999999999</v>
      </c>
      <c r="E12" s="41">
        <f>D12*(1+$O$11)</f>
        <v>0.51817500000000005</v>
      </c>
      <c r="F12" s="41">
        <f>E12*(1+$O$11)</f>
        <v>0.54408375000000009</v>
      </c>
      <c r="G12" s="41">
        <f>F12*(1+$O$11)</f>
        <v>0.57128793750000006</v>
      </c>
      <c r="H12" s="41">
        <f>G12*(1+$O$11)</f>
        <v>0.59985233437500007</v>
      </c>
      <c r="I12" s="41">
        <f>H12*(1+$O$12)</f>
        <v>0.68983018453125</v>
      </c>
      <c r="J12" s="41">
        <f>I12*(1+$O$12)</f>
        <v>0.79330471221093746</v>
      </c>
      <c r="K12" s="41">
        <f>J12*(1+$O$12)</f>
        <v>0.91230041904257797</v>
      </c>
      <c r="L12" s="41">
        <f>K12*(1+$O$12)</f>
        <v>1.0491454818989645</v>
      </c>
      <c r="M12" s="41">
        <f>L12*(1+$O$12)</f>
        <v>1.2065173041838091</v>
      </c>
      <c r="N12" s="41">
        <f>L12*O14</f>
        <v>15.737182228484468</v>
      </c>
      <c r="O12" s="70">
        <v>0.15</v>
      </c>
      <c r="P12" s="27" t="s">
        <v>2</v>
      </c>
    </row>
    <row r="13" spans="2:19" x14ac:dyDescent="0.2">
      <c r="B13" s="9">
        <f>B7</f>
        <v>0</v>
      </c>
      <c r="C13" s="7" t="str">
        <f>C7</f>
        <v>PV(10%)</v>
      </c>
      <c r="D13" s="41">
        <f>D12*(1+$O$13)^($D$11-D11-1)*$I$3</f>
        <v>0.17945454545454545</v>
      </c>
      <c r="E13" s="41">
        <f t="shared" ref="E13:M13" si="4">E12*(1+$O$13)^($D$11-E11-1)*$I$3</f>
        <v>0.17129752066115703</v>
      </c>
      <c r="F13" s="41">
        <f t="shared" si="4"/>
        <v>0.16351126972201352</v>
      </c>
      <c r="G13" s="41">
        <f t="shared" si="4"/>
        <v>0.1560789392801038</v>
      </c>
      <c r="H13" s="41">
        <f t="shared" si="4"/>
        <v>0.14898444204009906</v>
      </c>
      <c r="I13" s="41">
        <f t="shared" si="4"/>
        <v>0.15575646213283081</v>
      </c>
      <c r="J13" s="41">
        <f t="shared" si="4"/>
        <v>0.16283630132068672</v>
      </c>
      <c r="K13" s="41">
        <f t="shared" si="4"/>
        <v>0.17023795138071793</v>
      </c>
      <c r="L13" s="41">
        <f t="shared" si="4"/>
        <v>0.17797604007984144</v>
      </c>
      <c r="M13" s="41">
        <f t="shared" si="4"/>
        <v>0.18606586008347056</v>
      </c>
      <c r="N13" s="41">
        <f>N12*(1+$O$7)^($D$5-N11-1)</f>
        <v>6.067365002721866</v>
      </c>
      <c r="O13" s="17">
        <f>O7</f>
        <v>0.1</v>
      </c>
      <c r="P13" s="38" t="s">
        <v>3</v>
      </c>
    </row>
    <row r="14" spans="2:19" ht="13.5" thickBot="1" x14ac:dyDescent="0.25">
      <c r="B14" s="9"/>
      <c r="C14" s="8" t="s">
        <v>4</v>
      </c>
      <c r="D14" s="20">
        <f>SUM(D13:N13)</f>
        <v>7.7395643348773326</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0.05</v>
      </c>
      <c r="P17" s="38" t="s">
        <v>1</v>
      </c>
    </row>
    <row r="18" spans="2:16" x14ac:dyDescent="0.2">
      <c r="B18" s="71" t="s">
        <v>17</v>
      </c>
      <c r="C18" s="6">
        <f>C12</f>
        <v>0.47</v>
      </c>
      <c r="D18" s="41">
        <f>C18*(1+$O$17)</f>
        <v>0.49349999999999999</v>
      </c>
      <c r="E18" s="41">
        <f>D18*(1+$O$17)</f>
        <v>0.51817500000000005</v>
      </c>
      <c r="F18" s="41">
        <f>E18*(1+$O$17)</f>
        <v>0.54408375000000009</v>
      </c>
      <c r="G18" s="41">
        <f>F18*(1+$O$17)</f>
        <v>0.57128793750000006</v>
      </c>
      <c r="H18" s="41">
        <f>G18*(1+$O$17)</f>
        <v>0.59985233437500007</v>
      </c>
      <c r="I18" s="41">
        <f>H18*(1+$O$18)</f>
        <v>0.62984495109375005</v>
      </c>
      <c r="J18" s="41">
        <f>I18*(1+$O$18)</f>
        <v>0.66133719864843754</v>
      </c>
      <c r="K18" s="41">
        <f>J18*(1+$O$18)</f>
        <v>0.69440405858085941</v>
      </c>
      <c r="L18" s="41">
        <f>K18*(1+$O$18)</f>
        <v>0.72912426150990239</v>
      </c>
      <c r="M18" s="41">
        <f>L18*(1+$O$18)</f>
        <v>0.76558047458539757</v>
      </c>
      <c r="N18" s="41">
        <f>L18*O20</f>
        <v>7.2912426150990237</v>
      </c>
      <c r="O18" s="70">
        <v>0.05</v>
      </c>
      <c r="P18" s="27" t="s">
        <v>2</v>
      </c>
    </row>
    <row r="19" spans="2:16" x14ac:dyDescent="0.2">
      <c r="B19" s="71" t="s">
        <v>155</v>
      </c>
      <c r="C19" s="7" t="str">
        <f>C13</f>
        <v>PV(10%)</v>
      </c>
      <c r="D19" s="41">
        <f>D18*(1+$O$19)^($D$17-D17-1)*$I$3</f>
        <v>0.17945454545454545</v>
      </c>
      <c r="E19" s="41">
        <f t="shared" ref="E19:M19" si="6">E18*(1+$O$19)^($D$17-E17-1)*$I$3</f>
        <v>0.17129752066115703</v>
      </c>
      <c r="F19" s="41">
        <f t="shared" si="6"/>
        <v>0.16351126972201352</v>
      </c>
      <c r="G19" s="41">
        <f t="shared" si="6"/>
        <v>0.1560789392801038</v>
      </c>
      <c r="H19" s="41">
        <f t="shared" si="6"/>
        <v>0.14898444204009906</v>
      </c>
      <c r="I19" s="41">
        <f t="shared" si="6"/>
        <v>0.14221242194736727</v>
      </c>
      <c r="J19" s="41">
        <f t="shared" si="6"/>
        <v>0.13574822094975966</v>
      </c>
      <c r="K19" s="41">
        <f t="shared" si="6"/>
        <v>0.12957784727022512</v>
      </c>
      <c r="L19" s="41">
        <f t="shared" si="6"/>
        <v>0.12368794512157853</v>
      </c>
      <c r="M19" s="41">
        <f t="shared" si="6"/>
        <v>0.11806576579787041</v>
      </c>
      <c r="N19" s="41">
        <f t="shared" ref="N19" si="7">N18*(1+$O$19)^($D$17-N17-1)</f>
        <v>2.8110896618540568</v>
      </c>
      <c r="O19" s="17">
        <f>O13</f>
        <v>0.1</v>
      </c>
      <c r="P19" s="38" t="s">
        <v>3</v>
      </c>
    </row>
    <row r="20" spans="2:16" ht="13.5" thickBot="1" x14ac:dyDescent="0.25">
      <c r="B20" s="71" t="s">
        <v>156</v>
      </c>
      <c r="C20" s="8" t="s">
        <v>4</v>
      </c>
      <c r="D20" s="20">
        <f>SUM(D19:N19)</f>
        <v>4.2797085800987764</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5.62746098299748</v>
      </c>
      <c r="F23" s="22">
        <f>E23*D23</f>
        <v>1.9133367342191434</v>
      </c>
      <c r="G23" s="25"/>
      <c r="P23" s="38"/>
    </row>
    <row r="24" spans="2:16" x14ac:dyDescent="0.2">
      <c r="B24" s="9"/>
      <c r="C24" s="9" t="s">
        <v>15</v>
      </c>
      <c r="D24" s="44">
        <v>0.33</v>
      </c>
      <c r="E24" s="41">
        <f>D14</f>
        <v>7.7395643348773326</v>
      </c>
      <c r="F24" s="22">
        <f>E24*D24</f>
        <v>2.55405623050952</v>
      </c>
      <c r="G24" s="25"/>
      <c r="P24" s="38"/>
    </row>
    <row r="25" spans="2:16" ht="13.5" thickBot="1" x14ac:dyDescent="0.25">
      <c r="B25" s="9"/>
      <c r="C25" s="10" t="s">
        <v>29</v>
      </c>
      <c r="D25" s="44">
        <v>0.33</v>
      </c>
      <c r="E25" s="23">
        <f>D20</f>
        <v>4.2797085800987764</v>
      </c>
      <c r="F25" s="24">
        <f>E25*D25</f>
        <v>1.4123038314325962</v>
      </c>
      <c r="G25" s="25"/>
      <c r="P25" s="38"/>
    </row>
    <row r="26" spans="2:16" ht="13.5" thickBot="1" x14ac:dyDescent="0.25">
      <c r="B26" s="9"/>
      <c r="C26" s="36" t="s">
        <v>167</v>
      </c>
      <c r="D26" s="36">
        <f>C3</f>
        <v>11.76</v>
      </c>
      <c r="E26" s="15" t="s">
        <v>11</v>
      </c>
      <c r="F26" s="16">
        <f>SUM(F23:F25)</f>
        <v>5.8796967961612596</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7" priority="1" operator="containsText" text="overvalued">
      <formula>NOT(ISERROR(SEARCH("overvalued",D3)))</formula>
    </cfRule>
    <cfRule type="containsText" dxfId="56" priority="2" operator="containsText" text="undervalued">
      <formula>NOT(ISERROR(SEARCH("undervalued",D3)))</formula>
    </cfRule>
  </conditionalFormatting>
  <hyperlinks>
    <hyperlink ref="C30" r:id="rId1" xr:uid="{515E1B1D-50CA-114F-BA30-F04B12964D40}"/>
    <hyperlink ref="B4" location="'COMPARATIVE TABLE'!A1" display="'COMPARATIVE TABLE'!A1" xr:uid="{3F432A2E-E413-AF4C-A9F6-3F2A04652D2B}"/>
    <hyperlink ref="C2" r:id="rId2" xr:uid="{A3B3B784-5D65-6847-BD7F-FBDF0EE47063}"/>
  </hyperlinks>
  <pageMargins left="0.7" right="0.7" top="0.78740157499999996" bottom="0.78740157499999996" header="0.3" footer="0.3"/>
  <pageSetup paperSize="9" orientation="portrait" r:id="rId3"/>
  <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CF3D-9402-3249-98BA-D740B4044188}">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309</v>
      </c>
      <c r="C2" s="89" t="s">
        <v>36</v>
      </c>
      <c r="D2" s="32"/>
      <c r="E2" s="33"/>
      <c r="F2" s="33"/>
      <c r="G2" s="33"/>
      <c r="H2" s="33"/>
      <c r="I2" s="33"/>
      <c r="J2" s="33"/>
      <c r="K2" s="33"/>
      <c r="L2" s="33"/>
      <c r="M2" s="33"/>
      <c r="N2" s="33"/>
      <c r="O2" s="33"/>
      <c r="P2" s="34"/>
      <c r="S2" s="3" t="s">
        <v>7</v>
      </c>
    </row>
    <row r="3" spans="2:19" ht="13.5" thickBot="1" x14ac:dyDescent="0.25">
      <c r="B3" s="35" t="s">
        <v>166</v>
      </c>
      <c r="C3" s="29">
        <f>'COMPARATIVE TABLE'!C22</f>
        <v>10.26</v>
      </c>
      <c r="D3" s="37"/>
      <c r="F3" s="73" t="s">
        <v>189</v>
      </c>
      <c r="G3" s="74"/>
      <c r="H3" s="74"/>
      <c r="I3" s="75">
        <v>0.4</v>
      </c>
      <c r="P3" s="38"/>
    </row>
    <row r="4" spans="2:19" ht="26.25" thickBot="1" x14ac:dyDescent="0.25">
      <c r="B4" s="39" t="s">
        <v>85</v>
      </c>
      <c r="N4" s="76" t="s">
        <v>5</v>
      </c>
      <c r="O4" s="4" t="s">
        <v>0</v>
      </c>
      <c r="P4" s="38"/>
    </row>
    <row r="5" spans="2:19" x14ac:dyDescent="0.2">
      <c r="B5" s="71" t="s">
        <v>8</v>
      </c>
      <c r="C5" s="5" t="s">
        <v>245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0.7</v>
      </c>
      <c r="D6" s="41">
        <f>C6*(1+$O$5)</f>
        <v>0.73499999999999999</v>
      </c>
      <c r="E6" s="41">
        <f>D6*(1+$O$5)</f>
        <v>0.77175000000000005</v>
      </c>
      <c r="F6" s="41">
        <f>E6*(1+$O$5)</f>
        <v>0.81033750000000004</v>
      </c>
      <c r="G6" s="41">
        <f>F6*(1+$O$5)</f>
        <v>0.85085437500000005</v>
      </c>
      <c r="H6" s="41">
        <f>G6*(1+$O$5)</f>
        <v>0.89339709375000009</v>
      </c>
      <c r="I6" s="41">
        <f>H6*(1+$O$6)</f>
        <v>0.93806694843750016</v>
      </c>
      <c r="J6" s="41">
        <f>I6*(1+$O$6)</f>
        <v>0.98497029585937523</v>
      </c>
      <c r="K6" s="41">
        <f>J6*(1+$O$6)</f>
        <v>1.034218810652344</v>
      </c>
      <c r="L6" s="41">
        <f>K6*(1+$O$6)</f>
        <v>1.0859297511849613</v>
      </c>
      <c r="M6" s="41">
        <f>L6*(1+$O$6)</f>
        <v>1.1402262387442095</v>
      </c>
      <c r="N6" s="72">
        <f>L6*O8</f>
        <v>14.117086765404496</v>
      </c>
      <c r="O6" s="70">
        <v>0.05</v>
      </c>
      <c r="P6" s="27" t="s">
        <v>2</v>
      </c>
    </row>
    <row r="7" spans="2:19" x14ac:dyDescent="0.2">
      <c r="B7" s="9"/>
      <c r="C7" s="7" t="str">
        <f>CONCATENATE(R8,O7*100,S8)</f>
        <v>PV(10%)</v>
      </c>
      <c r="D7" s="72">
        <f>D6*(1+$O$7)^($D$5-D5-1)*$I$3</f>
        <v>0.26727272727272727</v>
      </c>
      <c r="E7" s="72">
        <f t="shared" ref="E7:M7" si="1">E6*(1+$O$7)^($D$5-E5-1)*$I$3</f>
        <v>0.25512396694214873</v>
      </c>
      <c r="F7" s="72">
        <f t="shared" si="1"/>
        <v>0.24352742299023286</v>
      </c>
      <c r="G7" s="72">
        <f t="shared" si="1"/>
        <v>0.23245799467249501</v>
      </c>
      <c r="H7" s="72">
        <f t="shared" si="1"/>
        <v>0.22189172218738157</v>
      </c>
      <c r="I7" s="72">
        <f t="shared" si="1"/>
        <v>0.21180573481522791</v>
      </c>
      <c r="J7" s="72">
        <f t="shared" si="1"/>
        <v>0.20217820141453569</v>
      </c>
      <c r="K7" s="72">
        <f t="shared" si="1"/>
        <v>0.19298828316842043</v>
      </c>
      <c r="L7" s="72">
        <f t="shared" si="1"/>
        <v>0.18421608847894677</v>
      </c>
      <c r="M7" s="72">
        <f t="shared" si="1"/>
        <v>0.17584262991172195</v>
      </c>
      <c r="N7" s="72">
        <f t="shared" ref="N7" si="2">N6*(1+$O$7)^($D$5-N5-1)</f>
        <v>5.4427480686961536</v>
      </c>
      <c r="O7" s="17">
        <v>0.1</v>
      </c>
      <c r="P7" s="45" t="s">
        <v>3</v>
      </c>
    </row>
    <row r="8" spans="2:19" ht="13.5" thickBot="1" x14ac:dyDescent="0.25">
      <c r="B8" s="9"/>
      <c r="C8" s="8" t="s">
        <v>26</v>
      </c>
      <c r="D8" s="20">
        <f>SUM(D7:N7)</f>
        <v>7.6300528405499923</v>
      </c>
      <c r="E8" s="21"/>
      <c r="F8" s="21"/>
      <c r="G8" s="21"/>
      <c r="H8" s="21"/>
      <c r="I8" s="21"/>
      <c r="J8" s="21"/>
      <c r="K8" s="21"/>
      <c r="L8" s="21"/>
      <c r="M8" s="21"/>
      <c r="N8" s="21"/>
      <c r="O8" s="78">
        <v>13</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0.7</v>
      </c>
      <c r="D12" s="41">
        <f>C12*(1+$O$11)</f>
        <v>0.749</v>
      </c>
      <c r="E12" s="41">
        <f>D12*(1+$O$11)</f>
        <v>0.80143000000000009</v>
      </c>
      <c r="F12" s="41">
        <f>E12*(1+$O$11)</f>
        <v>0.85753010000000018</v>
      </c>
      <c r="G12" s="41">
        <f>F12*(1+$O$11)</f>
        <v>0.91755720700000021</v>
      </c>
      <c r="H12" s="41">
        <f>G12*(1+$O$11)</f>
        <v>0.98178621149000023</v>
      </c>
      <c r="I12" s="41">
        <f>H12*(1+$O$12)</f>
        <v>1.0308755220645003</v>
      </c>
      <c r="J12" s="41">
        <f>I12*(1+$O$12)</f>
        <v>1.0824192981677254</v>
      </c>
      <c r="K12" s="41">
        <f>J12*(1+$O$12)</f>
        <v>1.1365402630761117</v>
      </c>
      <c r="L12" s="41">
        <f>K12*(1+$O$12)</f>
        <v>1.1933672762299172</v>
      </c>
      <c r="M12" s="41">
        <f>L12*(1+$O$12)</f>
        <v>1.2530356400414131</v>
      </c>
      <c r="N12" s="41">
        <f>L12*O14</f>
        <v>19.093876419678676</v>
      </c>
      <c r="O12" s="70">
        <v>0.05</v>
      </c>
      <c r="P12" s="27" t="s">
        <v>2</v>
      </c>
    </row>
    <row r="13" spans="2:19" x14ac:dyDescent="0.2">
      <c r="B13" s="9">
        <f>B7</f>
        <v>0</v>
      </c>
      <c r="C13" s="7" t="str">
        <f>C7</f>
        <v>PV(10%)</v>
      </c>
      <c r="D13" s="41">
        <f>D12*(1+$O$13)^($D$11-D11-1)*$I$3</f>
        <v>0.27236363636363636</v>
      </c>
      <c r="E13" s="41">
        <f t="shared" ref="E13:M13" si="4">E12*(1+$O$13)^($D$11-E11-1)*$I$3</f>
        <v>0.26493553719008267</v>
      </c>
      <c r="F13" s="41">
        <f t="shared" si="4"/>
        <v>0.25771002253944403</v>
      </c>
      <c r="G13" s="41">
        <f t="shared" si="4"/>
        <v>0.25068156737927738</v>
      </c>
      <c r="H13" s="41">
        <f t="shared" si="4"/>
        <v>0.24384479735984252</v>
      </c>
      <c r="I13" s="41">
        <f t="shared" si="4"/>
        <v>0.23276094293439514</v>
      </c>
      <c r="J13" s="41">
        <f t="shared" si="4"/>
        <v>0.22218090007374081</v>
      </c>
      <c r="K13" s="41">
        <f t="shared" si="4"/>
        <v>0.21208176825220712</v>
      </c>
      <c r="L13" s="41">
        <f t="shared" si="4"/>
        <v>0.20244168787710681</v>
      </c>
      <c r="M13" s="41">
        <f t="shared" si="4"/>
        <v>0.19323979297360191</v>
      </c>
      <c r="N13" s="41">
        <f>N12*(1+$O$7)^($D$5-N11-1)</f>
        <v>7.361515922803882</v>
      </c>
      <c r="O13" s="17">
        <f>O7</f>
        <v>0.1</v>
      </c>
      <c r="P13" s="38" t="s">
        <v>3</v>
      </c>
    </row>
    <row r="14" spans="2:19" ht="13.5" thickBot="1" x14ac:dyDescent="0.25">
      <c r="B14" s="9"/>
      <c r="C14" s="8" t="s">
        <v>4</v>
      </c>
      <c r="D14" s="20">
        <f>SUM(D13:N13)</f>
        <v>9.7137565757472171</v>
      </c>
      <c r="E14" s="21"/>
      <c r="F14" s="21"/>
      <c r="G14" s="21"/>
      <c r="H14" s="21"/>
      <c r="I14" s="21"/>
      <c r="J14" s="21"/>
      <c r="K14" s="21"/>
      <c r="L14" s="21"/>
      <c r="M14" s="21"/>
      <c r="N14" s="21"/>
      <c r="O14" s="18">
        <v>16</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0.7</v>
      </c>
      <c r="D18" s="41">
        <f>C18*(1+$O$17)</f>
        <v>0.72099999999999997</v>
      </c>
      <c r="E18" s="41">
        <f>D18*(1+$O$17)</f>
        <v>0.74263000000000001</v>
      </c>
      <c r="F18" s="41">
        <f>E18*(1+$O$17)</f>
        <v>0.7649089</v>
      </c>
      <c r="G18" s="41">
        <f>F18*(1+$O$17)</f>
        <v>0.78785616700000005</v>
      </c>
      <c r="H18" s="41">
        <f>G18*(1+$O$17)</f>
        <v>0.81149185201000007</v>
      </c>
      <c r="I18" s="41">
        <f>H18*(1+$O$18)</f>
        <v>0.83583660757030009</v>
      </c>
      <c r="J18" s="41">
        <f>I18*(1+$O$18)</f>
        <v>0.86091170579740917</v>
      </c>
      <c r="K18" s="41">
        <f>J18*(1+$O$18)</f>
        <v>0.88673905697133149</v>
      </c>
      <c r="L18" s="41">
        <f>K18*(1+$O$18)</f>
        <v>0.91334122868047141</v>
      </c>
      <c r="M18" s="41">
        <f>L18*(1+$O$18)</f>
        <v>0.94074146554088556</v>
      </c>
      <c r="N18" s="41">
        <f>L18*O20</f>
        <v>9.1334122868047132</v>
      </c>
      <c r="O18" s="70">
        <v>0.03</v>
      </c>
      <c r="P18" s="27" t="s">
        <v>2</v>
      </c>
    </row>
    <row r="19" spans="2:16" x14ac:dyDescent="0.2">
      <c r="B19" s="71" t="s">
        <v>155</v>
      </c>
      <c r="C19" s="7" t="str">
        <f>C13</f>
        <v>PV(10%)</v>
      </c>
      <c r="D19" s="41">
        <f>D18*(1+$O$19)^($D$17-D17-1)*$I$3</f>
        <v>0.26218181818181818</v>
      </c>
      <c r="E19" s="41">
        <f t="shared" ref="E19:M19" si="6">E18*(1+$O$19)^($D$17-E17-1)*$I$3</f>
        <v>0.24549752066115704</v>
      </c>
      <c r="F19" s="41">
        <f t="shared" si="6"/>
        <v>0.22987495116453791</v>
      </c>
      <c r="G19" s="41">
        <f t="shared" si="6"/>
        <v>0.21524654518134004</v>
      </c>
      <c r="H19" s="41">
        <f t="shared" si="6"/>
        <v>0.20154903776070932</v>
      </c>
      <c r="I19" s="41">
        <f t="shared" si="6"/>
        <v>0.1887231899032096</v>
      </c>
      <c r="J19" s="41">
        <f t="shared" si="6"/>
        <v>0.17671353236391443</v>
      </c>
      <c r="K19" s="41">
        <f t="shared" si="6"/>
        <v>0.16546812575893807</v>
      </c>
      <c r="L19" s="41">
        <f t="shared" si="6"/>
        <v>0.15493833593791473</v>
      </c>
      <c r="M19" s="41">
        <f t="shared" si="6"/>
        <v>0.1450786236509565</v>
      </c>
      <c r="N19" s="41">
        <f t="shared" ref="N19" si="7">N18*(1+$O$19)^($D$17-N17-1)</f>
        <v>3.5213258167707884</v>
      </c>
      <c r="O19" s="17">
        <f>O13</f>
        <v>0.1</v>
      </c>
      <c r="P19" s="38" t="s">
        <v>3</v>
      </c>
    </row>
    <row r="20" spans="2:16" ht="13.5" thickBot="1" x14ac:dyDescent="0.25">
      <c r="B20" s="71" t="s">
        <v>156</v>
      </c>
      <c r="C20" s="8" t="s">
        <v>4</v>
      </c>
      <c r="D20" s="20">
        <f>SUM(D19:N19)</f>
        <v>5.5065974973352843</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7.6300528405499923</v>
      </c>
      <c r="F23" s="22">
        <f>E23*D23</f>
        <v>2.5942179657869975</v>
      </c>
      <c r="G23" s="25"/>
      <c r="P23" s="38"/>
    </row>
    <row r="24" spans="2:16" x14ac:dyDescent="0.2">
      <c r="B24" s="9"/>
      <c r="C24" s="9" t="s">
        <v>15</v>
      </c>
      <c r="D24" s="44">
        <v>0.33</v>
      </c>
      <c r="E24" s="41">
        <f>D14</f>
        <v>9.7137565757472171</v>
      </c>
      <c r="F24" s="22">
        <f>E24*D24</f>
        <v>3.2055396699965817</v>
      </c>
      <c r="G24" s="25"/>
      <c r="P24" s="38"/>
    </row>
    <row r="25" spans="2:16" ht="13.5" thickBot="1" x14ac:dyDescent="0.25">
      <c r="B25" s="9"/>
      <c r="C25" s="10" t="s">
        <v>29</v>
      </c>
      <c r="D25" s="44">
        <v>0.33</v>
      </c>
      <c r="E25" s="23">
        <f>D20</f>
        <v>5.5065974973352843</v>
      </c>
      <c r="F25" s="24">
        <f>E25*D25</f>
        <v>1.8171771741206439</v>
      </c>
      <c r="G25" s="25"/>
      <c r="P25" s="38"/>
    </row>
    <row r="26" spans="2:16" ht="13.5" thickBot="1" x14ac:dyDescent="0.25">
      <c r="B26" s="9"/>
      <c r="C26" s="36" t="s">
        <v>167</v>
      </c>
      <c r="D26" s="36">
        <f>C3</f>
        <v>10.26</v>
      </c>
      <c r="E26" s="15" t="s">
        <v>11</v>
      </c>
      <c r="F26" s="16">
        <f>SUM(F23:F25)</f>
        <v>7.6169348099042233</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5" priority="1" operator="containsText" text="overvalued">
      <formula>NOT(ISERROR(SEARCH("overvalued",D3)))</formula>
    </cfRule>
    <cfRule type="containsText" dxfId="54" priority="2" operator="containsText" text="undervalued">
      <formula>NOT(ISERROR(SEARCH("undervalued",D3)))</formula>
    </cfRule>
  </conditionalFormatting>
  <hyperlinks>
    <hyperlink ref="C30" r:id="rId1" xr:uid="{D1FF7045-7845-E345-A979-1BE0AA23952A}"/>
    <hyperlink ref="B4" location="'COMPARATIVE TABLE'!A1" display="'COMPARATIVE TABLE'!A1" xr:uid="{8018EEC9-4875-2A40-B28F-169907DC414F}"/>
    <hyperlink ref="C2" r:id="rId2" xr:uid="{C791906F-0BBF-0D46-95B5-A09E33C24360}"/>
  </hyperlinks>
  <pageMargins left="0.7" right="0.7" top="0.78740157499999996" bottom="0.78740157499999996" header="0.3" footer="0.3"/>
  <pageSetup paperSize="9" orientation="portrait" r:id="rId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5C71-A767-724C-AE49-D1FE9D571E3C}">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335</v>
      </c>
      <c r="C2" s="89" t="s">
        <v>36</v>
      </c>
      <c r="D2" s="32"/>
      <c r="E2" s="33"/>
      <c r="F2" s="33"/>
      <c r="G2" s="33"/>
      <c r="H2" s="33"/>
      <c r="I2" s="33"/>
      <c r="J2" s="33"/>
      <c r="K2" s="33"/>
      <c r="L2" s="33"/>
      <c r="M2" s="33"/>
      <c r="N2" s="33"/>
      <c r="O2" s="33"/>
      <c r="P2" s="34"/>
      <c r="S2" s="3" t="s">
        <v>7</v>
      </c>
    </row>
    <row r="3" spans="2:19" ht="13.5" thickBot="1" x14ac:dyDescent="0.25">
      <c r="B3" s="35" t="s">
        <v>166</v>
      </c>
      <c r="C3" s="29">
        <f>'COMPARATIVE TABLE'!C23</f>
        <v>5.95</v>
      </c>
      <c r="D3" s="37"/>
      <c r="F3" s="73" t="s">
        <v>189</v>
      </c>
      <c r="G3" s="74"/>
      <c r="H3" s="74"/>
      <c r="I3" s="75">
        <v>1</v>
      </c>
      <c r="P3" s="38"/>
    </row>
    <row r="4" spans="2:19" ht="26.25" thickBot="1" x14ac:dyDescent="0.25">
      <c r="B4" s="39" t="s">
        <v>85</v>
      </c>
      <c r="N4" s="76" t="s">
        <v>5</v>
      </c>
      <c r="O4" s="4" t="s">
        <v>0</v>
      </c>
      <c r="P4" s="38"/>
    </row>
    <row r="5" spans="2:19" x14ac:dyDescent="0.2">
      <c r="B5" s="71" t="s">
        <v>8</v>
      </c>
      <c r="C5" s="5" t="s">
        <v>225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0.04</v>
      </c>
      <c r="P5" s="38" t="s">
        <v>1</v>
      </c>
      <c r="R5" s="1"/>
    </row>
    <row r="6" spans="2:19" x14ac:dyDescent="0.2">
      <c r="B6" s="71" t="s">
        <v>19</v>
      </c>
      <c r="C6" s="86">
        <v>0.4</v>
      </c>
      <c r="D6" s="41">
        <f>C6*(1+$O$5)</f>
        <v>0.41600000000000004</v>
      </c>
      <c r="E6" s="41">
        <f>D6*(1+$O$5)</f>
        <v>0.43264000000000008</v>
      </c>
      <c r="F6" s="41">
        <f>E6*(1+$O$5)</f>
        <v>0.44994560000000011</v>
      </c>
      <c r="G6" s="41">
        <f>F6*(1+$O$5)</f>
        <v>0.46794342400000011</v>
      </c>
      <c r="H6" s="41">
        <f>G6*(1+$O$5)</f>
        <v>0.48666116096000012</v>
      </c>
      <c r="I6" s="41">
        <f>H6*(1+$O$6)</f>
        <v>0.50612760739840013</v>
      </c>
      <c r="J6" s="41">
        <f>I6*(1+$O$6)</f>
        <v>0.52637271169433619</v>
      </c>
      <c r="K6" s="41">
        <f>J6*(1+$O$6)</f>
        <v>0.54742762016210966</v>
      </c>
      <c r="L6" s="41">
        <f>K6*(1+$O$6)</f>
        <v>0.5693247249685941</v>
      </c>
      <c r="M6" s="41">
        <f>L6*(1+$O$6)</f>
        <v>0.5920977139673379</v>
      </c>
      <c r="N6" s="72">
        <f>L6*O8</f>
        <v>8.539870874528912</v>
      </c>
      <c r="O6" s="70">
        <v>0.04</v>
      </c>
      <c r="P6" s="27" t="s">
        <v>2</v>
      </c>
    </row>
    <row r="7" spans="2:19" x14ac:dyDescent="0.2">
      <c r="B7" s="9"/>
      <c r="C7" s="7" t="str">
        <f>CONCATENATE(R8,O7*100,S8)</f>
        <v>PV(10%)</v>
      </c>
      <c r="D7" s="72">
        <f>D6*(1+$O$7)^($D$5-D5-1)*$I$3</f>
        <v>0.37818181818181823</v>
      </c>
      <c r="E7" s="72">
        <f t="shared" ref="E7:M7" si="1">E6*(1+$O$7)^($D$5-E5-1)*$I$3</f>
        <v>0.35755371900826449</v>
      </c>
      <c r="F7" s="72">
        <f t="shared" si="1"/>
        <v>0.33805078888054091</v>
      </c>
      <c r="G7" s="72">
        <f t="shared" si="1"/>
        <v>0.31961165494160232</v>
      </c>
      <c r="H7" s="72">
        <f t="shared" si="1"/>
        <v>0.30217829194478762</v>
      </c>
      <c r="I7" s="72">
        <f t="shared" si="1"/>
        <v>0.2856958396568901</v>
      </c>
      <c r="J7" s="72">
        <f t="shared" si="1"/>
        <v>0.27011243022105974</v>
      </c>
      <c r="K7" s="72">
        <f t="shared" si="1"/>
        <v>0.25537902493627468</v>
      </c>
      <c r="L7" s="72">
        <f t="shared" si="1"/>
        <v>0.24144925993975061</v>
      </c>
      <c r="M7" s="72">
        <f t="shared" si="1"/>
        <v>0.22827930030667329</v>
      </c>
      <c r="N7" s="72">
        <f t="shared" ref="N7" si="2">N6*(1+$O$7)^($D$5-N5-1)</f>
        <v>3.2924899082693266</v>
      </c>
      <c r="O7" s="17">
        <v>0.1</v>
      </c>
      <c r="P7" s="45" t="s">
        <v>3</v>
      </c>
    </row>
    <row r="8" spans="2:19" ht="13.5" thickBot="1" x14ac:dyDescent="0.25">
      <c r="B8" s="9"/>
      <c r="C8" s="8" t="s">
        <v>26</v>
      </c>
      <c r="D8" s="20">
        <f>SUM(D7:N7)</f>
        <v>6.2689820362869888</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0.4</v>
      </c>
      <c r="D12" s="41">
        <f>C12*(1+$O$11)</f>
        <v>0.42400000000000004</v>
      </c>
      <c r="E12" s="41">
        <f>D12*(1+$O$11)</f>
        <v>0.44944000000000006</v>
      </c>
      <c r="F12" s="41">
        <f>E12*(1+$O$11)</f>
        <v>0.47640640000000006</v>
      </c>
      <c r="G12" s="41">
        <f>F12*(1+$O$11)</f>
        <v>0.50499078400000008</v>
      </c>
      <c r="H12" s="41">
        <f>G12*(1+$O$11)</f>
        <v>0.53529023104000006</v>
      </c>
      <c r="I12" s="41">
        <f>H12*(1+$O$12)</f>
        <v>0.56740764490240014</v>
      </c>
      <c r="J12" s="41">
        <f>I12*(1+$O$12)</f>
        <v>0.60145210359654422</v>
      </c>
      <c r="K12" s="41">
        <f>J12*(1+$O$12)</f>
        <v>0.63753922981233691</v>
      </c>
      <c r="L12" s="41">
        <f>K12*(1+$O$12)</f>
        <v>0.67579158360107716</v>
      </c>
      <c r="M12" s="41">
        <f>L12*(1+$O$12)</f>
        <v>0.71633907861714186</v>
      </c>
      <c r="N12" s="41">
        <f>L12*O14</f>
        <v>13.515831672021543</v>
      </c>
      <c r="O12" s="70">
        <v>0.06</v>
      </c>
      <c r="P12" s="27" t="s">
        <v>2</v>
      </c>
    </row>
    <row r="13" spans="2:19" x14ac:dyDescent="0.2">
      <c r="B13" s="9">
        <f>B7</f>
        <v>0</v>
      </c>
      <c r="C13" s="7" t="str">
        <f>C7</f>
        <v>PV(10%)</v>
      </c>
      <c r="D13" s="41">
        <f>D12*(1+$O$13)^($D$11-D11-1)*$I$3</f>
        <v>0.38545454545454549</v>
      </c>
      <c r="E13" s="41">
        <f t="shared" ref="E13:M13" si="4">E12*(1+$O$13)^($D$11-E11-1)*$I$3</f>
        <v>0.37143801652892561</v>
      </c>
      <c r="F13" s="41">
        <f t="shared" si="4"/>
        <v>0.35793117956423737</v>
      </c>
      <c r="G13" s="41">
        <f t="shared" si="4"/>
        <v>0.34491550030735602</v>
      </c>
      <c r="H13" s="41">
        <f t="shared" si="4"/>
        <v>0.33237311847799755</v>
      </c>
      <c r="I13" s="41">
        <f t="shared" si="4"/>
        <v>0.32028682326061586</v>
      </c>
      <c r="J13" s="41">
        <f t="shared" si="4"/>
        <v>0.30864002968750254</v>
      </c>
      <c r="K13" s="41">
        <f t="shared" si="4"/>
        <v>0.29741675588068428</v>
      </c>
      <c r="L13" s="41">
        <f t="shared" si="4"/>
        <v>0.28660160112138666</v>
      </c>
      <c r="M13" s="41">
        <f t="shared" si="4"/>
        <v>0.27617972471697261</v>
      </c>
      <c r="N13" s="41">
        <f>N12*(1+$O$7)^($D$5-N11-1)</f>
        <v>5.2109382022070303</v>
      </c>
      <c r="O13" s="17">
        <f>O7</f>
        <v>0.1</v>
      </c>
      <c r="P13" s="38" t="s">
        <v>3</v>
      </c>
    </row>
    <row r="14" spans="2:19" ht="13.5" thickBot="1" x14ac:dyDescent="0.25">
      <c r="B14" s="9"/>
      <c r="C14" s="8" t="s">
        <v>4</v>
      </c>
      <c r="D14" s="20">
        <f>SUM(D13:N13)</f>
        <v>8.4921754972072545</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0.4</v>
      </c>
      <c r="D18" s="41">
        <f>C18*(1+$O$17)</f>
        <v>0.40800000000000003</v>
      </c>
      <c r="E18" s="41">
        <f>D18*(1+$O$17)</f>
        <v>0.41616000000000003</v>
      </c>
      <c r="F18" s="41">
        <f>E18*(1+$O$17)</f>
        <v>0.42448320000000006</v>
      </c>
      <c r="G18" s="41">
        <f>F18*(1+$O$17)</f>
        <v>0.43297286400000007</v>
      </c>
      <c r="H18" s="41">
        <f>G18*(1+$O$17)</f>
        <v>0.44163232128000007</v>
      </c>
      <c r="I18" s="41">
        <f>H18*(1+$O$18)</f>
        <v>0.45046496770560007</v>
      </c>
      <c r="J18" s="41">
        <f>I18*(1+$O$18)</f>
        <v>0.45947426705971206</v>
      </c>
      <c r="K18" s="41">
        <f>J18*(1+$O$18)</f>
        <v>0.4686637524009063</v>
      </c>
      <c r="L18" s="41">
        <f>K18*(1+$O$18)</f>
        <v>0.47803702744892446</v>
      </c>
      <c r="M18" s="41">
        <f>L18*(1+$O$18)</f>
        <v>0.48759776799790294</v>
      </c>
      <c r="N18" s="41">
        <f>L18*O20</f>
        <v>4.7803702744892442</v>
      </c>
      <c r="O18" s="70">
        <v>0.02</v>
      </c>
      <c r="P18" s="27" t="s">
        <v>2</v>
      </c>
    </row>
    <row r="19" spans="2:16" x14ac:dyDescent="0.2">
      <c r="B19" s="71" t="s">
        <v>155</v>
      </c>
      <c r="C19" s="7" t="str">
        <f>C13</f>
        <v>PV(10%)</v>
      </c>
      <c r="D19" s="41">
        <f>D18*(1+$O$19)^($D$17-D17-1)*$I$3</f>
        <v>0.37090909090909091</v>
      </c>
      <c r="E19" s="41">
        <f t="shared" ref="E19:M19" si="6">E18*(1+$O$19)^($D$17-E17-1)*$I$3</f>
        <v>0.34393388429752064</v>
      </c>
      <c r="F19" s="41">
        <f t="shared" si="6"/>
        <v>0.31892051089406459</v>
      </c>
      <c r="G19" s="41">
        <f t="shared" si="6"/>
        <v>0.29572629191995081</v>
      </c>
      <c r="H19" s="41">
        <f t="shared" si="6"/>
        <v>0.27421892523486341</v>
      </c>
      <c r="I19" s="41">
        <f t="shared" si="6"/>
        <v>0.25427573067232789</v>
      </c>
      <c r="J19" s="41">
        <f t="shared" si="6"/>
        <v>0.2357829502597949</v>
      </c>
      <c r="K19" s="41">
        <f t="shared" si="6"/>
        <v>0.21863509933180983</v>
      </c>
      <c r="L19" s="41">
        <f t="shared" si="6"/>
        <v>0.20273436483495094</v>
      </c>
      <c r="M19" s="41">
        <f t="shared" si="6"/>
        <v>0.18799004739240904</v>
      </c>
      <c r="N19" s="41">
        <f t="shared" ref="N19" si="7">N18*(1+$O$19)^($D$17-N17-1)</f>
        <v>1.8430396803177356</v>
      </c>
      <c r="O19" s="17">
        <f>O13</f>
        <v>0.1</v>
      </c>
      <c r="P19" s="38" t="s">
        <v>3</v>
      </c>
    </row>
    <row r="20" spans="2:16" ht="13.5" thickBot="1" x14ac:dyDescent="0.25">
      <c r="B20" s="71" t="s">
        <v>156</v>
      </c>
      <c r="C20" s="8" t="s">
        <v>4</v>
      </c>
      <c r="D20" s="20">
        <f>SUM(D19:N19)</f>
        <v>4.5461665760645182</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6.2689820362869888</v>
      </c>
      <c r="F23" s="22">
        <f>E23*D23</f>
        <v>2.1314538923375763</v>
      </c>
      <c r="G23" s="25"/>
      <c r="P23" s="38"/>
    </row>
    <row r="24" spans="2:16" x14ac:dyDescent="0.2">
      <c r="B24" s="9"/>
      <c r="C24" s="9" t="s">
        <v>15</v>
      </c>
      <c r="D24" s="44">
        <v>0.33</v>
      </c>
      <c r="E24" s="41">
        <f>D14</f>
        <v>8.4921754972072545</v>
      </c>
      <c r="F24" s="22">
        <f>E24*D24</f>
        <v>2.802417914078394</v>
      </c>
      <c r="G24" s="25"/>
      <c r="P24" s="38"/>
    </row>
    <row r="25" spans="2:16" ht="13.5" thickBot="1" x14ac:dyDescent="0.25">
      <c r="B25" s="9"/>
      <c r="C25" s="10" t="s">
        <v>29</v>
      </c>
      <c r="D25" s="44">
        <v>0.33</v>
      </c>
      <c r="E25" s="23">
        <f>D20</f>
        <v>4.5461665760645182</v>
      </c>
      <c r="F25" s="24">
        <f>E25*D25</f>
        <v>1.5002349701012911</v>
      </c>
      <c r="G25" s="25"/>
      <c r="P25" s="38"/>
    </row>
    <row r="26" spans="2:16" ht="13.5" thickBot="1" x14ac:dyDescent="0.25">
      <c r="B26" s="9"/>
      <c r="C26" s="36" t="s">
        <v>167</v>
      </c>
      <c r="D26" s="36">
        <f>C3</f>
        <v>5.95</v>
      </c>
      <c r="E26" s="15" t="s">
        <v>11</v>
      </c>
      <c r="F26" s="16">
        <f>SUM(F23:F25)</f>
        <v>6.434106776517261</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3" priority="1" operator="containsText" text="overvalued">
      <formula>NOT(ISERROR(SEARCH("overvalued",D3)))</formula>
    </cfRule>
    <cfRule type="containsText" dxfId="52" priority="2" operator="containsText" text="undervalued">
      <formula>NOT(ISERROR(SEARCH("undervalued",D3)))</formula>
    </cfRule>
  </conditionalFormatting>
  <hyperlinks>
    <hyperlink ref="C30" r:id="rId1" xr:uid="{647CF530-23D9-2347-AE47-963C653434AB}"/>
    <hyperlink ref="B4" location="'COMPARATIVE TABLE'!A1" display="'COMPARATIVE TABLE'!A1" xr:uid="{D5095D14-8E84-6B46-BC05-FD542563502D}"/>
    <hyperlink ref="C2" r:id="rId2" xr:uid="{3727AB7A-51F5-D948-9362-1CDFA9326893}"/>
  </hyperlinks>
  <pageMargins left="0.7" right="0.7" top="0.78740157499999996" bottom="0.78740157499999996" header="0.3" footer="0.3"/>
  <pageSetup paperSize="9"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F641-C14C-F54B-8163-6A190ABF25A9}">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89</v>
      </c>
      <c r="C2" s="89" t="s">
        <v>36</v>
      </c>
      <c r="D2" s="32"/>
      <c r="E2" s="33"/>
      <c r="F2" s="33"/>
      <c r="G2" s="33"/>
      <c r="H2" s="33"/>
      <c r="I2" s="33"/>
      <c r="J2" s="33"/>
      <c r="K2" s="33"/>
      <c r="L2" s="33"/>
      <c r="M2" s="33"/>
      <c r="N2" s="33"/>
      <c r="O2" s="33"/>
      <c r="P2" s="34"/>
      <c r="S2" s="3" t="s">
        <v>7</v>
      </c>
    </row>
    <row r="3" spans="2:19" ht="13.5" thickBot="1" x14ac:dyDescent="0.25">
      <c r="B3" s="35" t="s">
        <v>166</v>
      </c>
      <c r="C3" s="29">
        <f>'COMPARATIVE TABLE'!C24</f>
        <v>57.41</v>
      </c>
      <c r="D3" s="37"/>
      <c r="F3" s="73" t="s">
        <v>189</v>
      </c>
      <c r="G3" s="74"/>
      <c r="H3" s="74"/>
      <c r="I3" s="75">
        <v>1</v>
      </c>
      <c r="P3" s="38"/>
    </row>
    <row r="4" spans="2:19" ht="26.25" thickBot="1" x14ac:dyDescent="0.25">
      <c r="B4" s="39" t="s">
        <v>85</v>
      </c>
      <c r="N4" s="76" t="s">
        <v>5</v>
      </c>
      <c r="O4" s="4" t="s">
        <v>0</v>
      </c>
      <c r="P4" s="38"/>
    </row>
    <row r="5" spans="2:19" x14ac:dyDescent="0.2">
      <c r="B5" s="71" t="s">
        <v>8</v>
      </c>
      <c r="C5" s="5" t="s">
        <v>225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2.1800000000000002</v>
      </c>
      <c r="D6" s="41">
        <f>C6*(1+$O$5)</f>
        <v>2.2890000000000001</v>
      </c>
      <c r="E6" s="41">
        <f>D6*(1+$O$5)</f>
        <v>2.4034500000000003</v>
      </c>
      <c r="F6" s="41">
        <f>E6*(1+$O$5)</f>
        <v>2.5236225000000005</v>
      </c>
      <c r="G6" s="41">
        <f>F6*(1+$O$5)</f>
        <v>2.6498036250000006</v>
      </c>
      <c r="H6" s="41">
        <f>G6*(1+$O$5)</f>
        <v>2.7822938062500007</v>
      </c>
      <c r="I6" s="41">
        <f>H6*(1+$O$6)</f>
        <v>2.9214084965625009</v>
      </c>
      <c r="J6" s="41">
        <f>I6*(1+$O$6)</f>
        <v>3.0674789213906259</v>
      </c>
      <c r="K6" s="41">
        <f>J6*(1+$O$6)</f>
        <v>3.2208528674601573</v>
      </c>
      <c r="L6" s="41">
        <f>K6*(1+$O$6)</f>
        <v>3.3818955108331652</v>
      </c>
      <c r="M6" s="41">
        <f>L6*(1+$O$6)</f>
        <v>3.5509902863748235</v>
      </c>
      <c r="N6" s="72">
        <f>L6*O8</f>
        <v>67.6379102166633</v>
      </c>
      <c r="O6" s="70">
        <v>0.05</v>
      </c>
      <c r="P6" s="27" t="s">
        <v>2</v>
      </c>
    </row>
    <row r="7" spans="2:19" x14ac:dyDescent="0.2">
      <c r="B7" s="9"/>
      <c r="C7" s="7" t="str">
        <f>CONCATENATE(R8,O7*100,S8)</f>
        <v>PV(10%)</v>
      </c>
      <c r="D7" s="72">
        <f>D6*(1+$O$7)^($D$5-D5-1)*$I$3</f>
        <v>2.080909090909091</v>
      </c>
      <c r="E7" s="72">
        <f t="shared" ref="E7:M7" si="1">E6*(1+$O$7)^($D$5-E5-1)*$I$3</f>
        <v>1.9863223140495869</v>
      </c>
      <c r="F7" s="72">
        <f t="shared" si="1"/>
        <v>1.8960349361382418</v>
      </c>
      <c r="G7" s="72">
        <f t="shared" si="1"/>
        <v>1.8098515299501399</v>
      </c>
      <c r="H7" s="72">
        <f t="shared" si="1"/>
        <v>1.7275855513160425</v>
      </c>
      <c r="I7" s="72">
        <f t="shared" si="1"/>
        <v>1.6490589353471317</v>
      </c>
      <c r="J7" s="72">
        <f t="shared" si="1"/>
        <v>1.5741017110131708</v>
      </c>
      <c r="K7" s="72">
        <f t="shared" si="1"/>
        <v>1.5025516332398448</v>
      </c>
      <c r="L7" s="72">
        <f t="shared" si="1"/>
        <v>1.4342538317289428</v>
      </c>
      <c r="M7" s="72">
        <f t="shared" si="1"/>
        <v>1.3690604757412634</v>
      </c>
      <c r="N7" s="72">
        <f t="shared" ref="N7" si="2">N6*(1+$O$7)^($D$5-N5-1)</f>
        <v>26.077342395071682</v>
      </c>
      <c r="O7" s="17">
        <v>0.1</v>
      </c>
      <c r="P7" s="45" t="s">
        <v>3</v>
      </c>
    </row>
    <row r="8" spans="2:19" ht="13.5" thickBot="1" x14ac:dyDescent="0.25">
      <c r="B8" s="9"/>
      <c r="C8" s="8" t="s">
        <v>26</v>
      </c>
      <c r="D8" s="20">
        <f>SUM(D7:N7)</f>
        <v>43.107072404505139</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2.1800000000000002</v>
      </c>
      <c r="D12" s="41">
        <f>C12*(1+$O$11)</f>
        <v>2.3108000000000004</v>
      </c>
      <c r="E12" s="41">
        <f>D12*(1+$O$11)</f>
        <v>2.4494480000000007</v>
      </c>
      <c r="F12" s="41">
        <f>E12*(1+$O$11)</f>
        <v>2.5964148800000011</v>
      </c>
      <c r="G12" s="41">
        <f>F12*(1+$O$11)</f>
        <v>2.7521997728000014</v>
      </c>
      <c r="H12" s="41">
        <f>G12*(1+$O$11)</f>
        <v>2.9173317591680017</v>
      </c>
      <c r="I12" s="41">
        <f>H12*(1+$O$12)</f>
        <v>3.0923716647180819</v>
      </c>
      <c r="J12" s="41">
        <f>I12*(1+$O$12)</f>
        <v>3.2779139646011668</v>
      </c>
      <c r="K12" s="41">
        <f>J12*(1+$O$12)</f>
        <v>3.4745888024772369</v>
      </c>
      <c r="L12" s="41">
        <f>K12*(1+$O$12)</f>
        <v>3.6830641306258713</v>
      </c>
      <c r="M12" s="41">
        <f>L12*(1+$O$12)</f>
        <v>3.9040479784634239</v>
      </c>
      <c r="N12" s="41">
        <f>L12*O14</f>
        <v>92.076603265646781</v>
      </c>
      <c r="O12" s="70">
        <v>0.06</v>
      </c>
      <c r="P12" s="27" t="s">
        <v>2</v>
      </c>
    </row>
    <row r="13" spans="2:19" x14ac:dyDescent="0.2">
      <c r="B13" s="9">
        <f>B7</f>
        <v>0</v>
      </c>
      <c r="C13" s="7" t="str">
        <f>C7</f>
        <v>PV(10%)</v>
      </c>
      <c r="D13" s="41">
        <f>D12*(1+$O$13)^($D$11-D11-1)*$I$3</f>
        <v>2.1007272727272732</v>
      </c>
      <c r="E13" s="41">
        <f t="shared" ref="E13:M13" si="4">E12*(1+$O$13)^($D$11-E11-1)*$I$3</f>
        <v>2.0243371900826452</v>
      </c>
      <c r="F13" s="41">
        <f t="shared" si="4"/>
        <v>1.9507249286250941</v>
      </c>
      <c r="G13" s="41">
        <f t="shared" si="4"/>
        <v>1.8797894766750909</v>
      </c>
      <c r="H13" s="41">
        <f t="shared" si="4"/>
        <v>1.8114334957050875</v>
      </c>
      <c r="I13" s="41">
        <f t="shared" si="4"/>
        <v>1.7455631867703572</v>
      </c>
      <c r="J13" s="41">
        <f t="shared" si="4"/>
        <v>1.6820881617968892</v>
      </c>
      <c r="K13" s="41">
        <f t="shared" si="4"/>
        <v>1.6209213195497298</v>
      </c>
      <c r="L13" s="41">
        <f t="shared" si="4"/>
        <v>1.5619787261115579</v>
      </c>
      <c r="M13" s="41">
        <f t="shared" si="4"/>
        <v>1.5051794997075012</v>
      </c>
      <c r="N13" s="41">
        <f>N12*(1+$O$7)^($D$5-N11-1)</f>
        <v>35.4995165025354</v>
      </c>
      <c r="O13" s="17">
        <f>O7</f>
        <v>0.1</v>
      </c>
      <c r="P13" s="38" t="s">
        <v>3</v>
      </c>
    </row>
    <row r="14" spans="2:19" ht="13.5" thickBot="1" x14ac:dyDescent="0.25">
      <c r="B14" s="9"/>
      <c r="C14" s="8" t="s">
        <v>4</v>
      </c>
      <c r="D14" s="20">
        <f>SUM(D13:N13)</f>
        <v>53.38225976028663</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2.1800000000000002</v>
      </c>
      <c r="D18" s="41">
        <f>C18*(1+$O$17)</f>
        <v>2.2454000000000001</v>
      </c>
      <c r="E18" s="41">
        <f>D18*(1+$O$17)</f>
        <v>2.3127620000000002</v>
      </c>
      <c r="F18" s="41">
        <f>E18*(1+$O$17)</f>
        <v>2.3821448600000004</v>
      </c>
      <c r="G18" s="41">
        <f>F18*(1+$O$17)</f>
        <v>2.4536092058000003</v>
      </c>
      <c r="H18" s="41">
        <f>G18*(1+$O$17)</f>
        <v>2.5272174819740005</v>
      </c>
      <c r="I18" s="41">
        <f>H18*(1+$O$18)</f>
        <v>2.6030340064332207</v>
      </c>
      <c r="J18" s="41">
        <f>I18*(1+$O$18)</f>
        <v>2.6811250266262174</v>
      </c>
      <c r="K18" s="41">
        <f>J18*(1+$O$18)</f>
        <v>2.7615587774250039</v>
      </c>
      <c r="L18" s="41">
        <f>K18*(1+$O$18)</f>
        <v>2.8444055407477542</v>
      </c>
      <c r="M18" s="41">
        <f>L18*(1+$O$18)</f>
        <v>2.9297377069701871</v>
      </c>
      <c r="N18" s="41">
        <f>L18*O20</f>
        <v>42.666083111216309</v>
      </c>
      <c r="O18" s="70">
        <v>0.03</v>
      </c>
      <c r="P18" s="27" t="s">
        <v>2</v>
      </c>
    </row>
    <row r="19" spans="2:16" x14ac:dyDescent="0.2">
      <c r="B19" s="71" t="s">
        <v>155</v>
      </c>
      <c r="C19" s="7" t="str">
        <f>C13</f>
        <v>PV(10%)</v>
      </c>
      <c r="D19" s="41">
        <f>D18*(1+$O$19)^($D$17-D17-1)*$I$3</f>
        <v>2.0412727272727271</v>
      </c>
      <c r="E19" s="41">
        <f t="shared" ref="E19:M19" si="6">E18*(1+$O$19)^($D$17-E17-1)*$I$3</f>
        <v>1.9113735537190082</v>
      </c>
      <c r="F19" s="41">
        <f t="shared" si="6"/>
        <v>1.7897406912096165</v>
      </c>
      <c r="G19" s="41">
        <f t="shared" si="6"/>
        <v>1.6758481017690046</v>
      </c>
      <c r="H19" s="41">
        <f t="shared" si="6"/>
        <v>1.5692032225655224</v>
      </c>
      <c r="I19" s="41">
        <f t="shared" si="6"/>
        <v>1.4693448356749892</v>
      </c>
      <c r="J19" s="41">
        <f t="shared" si="6"/>
        <v>1.3758410734047624</v>
      </c>
      <c r="K19" s="41">
        <f t="shared" si="6"/>
        <v>1.2882875505517322</v>
      </c>
      <c r="L19" s="41">
        <f t="shared" si="6"/>
        <v>1.2063056155166219</v>
      </c>
      <c r="M19" s="41">
        <f t="shared" si="6"/>
        <v>1.1295407127110186</v>
      </c>
      <c r="N19" s="41">
        <f t="shared" ref="N19" si="7">N18*(1+$O$19)^($D$17-N17-1)</f>
        <v>16.449622029772115</v>
      </c>
      <c r="O19" s="17">
        <f>O13</f>
        <v>0.1</v>
      </c>
      <c r="P19" s="38" t="s">
        <v>3</v>
      </c>
    </row>
    <row r="20" spans="2:16" ht="13.5" thickBot="1" x14ac:dyDescent="0.25">
      <c r="B20" s="71" t="s">
        <v>156</v>
      </c>
      <c r="C20" s="8" t="s">
        <v>4</v>
      </c>
      <c r="D20" s="20">
        <f>SUM(D19:N19)</f>
        <v>31.906380114167117</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43.107072404505139</v>
      </c>
      <c r="F23" s="22">
        <f>E23*D23</f>
        <v>14.656404617531749</v>
      </c>
      <c r="G23" s="25"/>
      <c r="P23" s="38"/>
    </row>
    <row r="24" spans="2:16" x14ac:dyDescent="0.2">
      <c r="B24" s="9"/>
      <c r="C24" s="9" t="s">
        <v>15</v>
      </c>
      <c r="D24" s="44">
        <v>0.33</v>
      </c>
      <c r="E24" s="41">
        <f>D14</f>
        <v>53.38225976028663</v>
      </c>
      <c r="F24" s="22">
        <f>E24*D24</f>
        <v>17.61614572089459</v>
      </c>
      <c r="G24" s="25"/>
      <c r="P24" s="38"/>
    </row>
    <row r="25" spans="2:16" ht="13.5" thickBot="1" x14ac:dyDescent="0.25">
      <c r="B25" s="9"/>
      <c r="C25" s="10" t="s">
        <v>29</v>
      </c>
      <c r="D25" s="44">
        <v>0.33</v>
      </c>
      <c r="E25" s="23">
        <f>D20</f>
        <v>31.906380114167117</v>
      </c>
      <c r="F25" s="24">
        <f>E25*D25</f>
        <v>10.529105437675149</v>
      </c>
      <c r="G25" s="25"/>
      <c r="P25" s="38"/>
    </row>
    <row r="26" spans="2:16" ht="13.5" thickBot="1" x14ac:dyDescent="0.25">
      <c r="B26" s="9"/>
      <c r="C26" s="36" t="s">
        <v>167</v>
      </c>
      <c r="D26" s="36">
        <f>C3</f>
        <v>57.41</v>
      </c>
      <c r="E26" s="15" t="s">
        <v>11</v>
      </c>
      <c r="F26" s="16">
        <f>SUM(F23:F25)</f>
        <v>42.801655776101491</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1" priority="1" operator="containsText" text="overvalued">
      <formula>NOT(ISERROR(SEARCH("overvalued",D3)))</formula>
    </cfRule>
    <cfRule type="containsText" dxfId="50" priority="2" operator="containsText" text="undervalued">
      <formula>NOT(ISERROR(SEARCH("undervalued",D3)))</formula>
    </cfRule>
  </conditionalFormatting>
  <hyperlinks>
    <hyperlink ref="C30" r:id="rId1" xr:uid="{39BDF2B3-FC77-FD40-9093-60DE6D038502}"/>
    <hyperlink ref="B4" location="'COMPARATIVE TABLE'!A1" display="'COMPARATIVE TABLE'!A1" xr:uid="{B5FE41E9-EB71-0D43-AFC4-34889FA7B6F8}"/>
    <hyperlink ref="C2" r:id="rId2" xr:uid="{2C1C3A50-4E73-854A-AA99-4FEC6280C47F}"/>
  </hyperlinks>
  <pageMargins left="0.7" right="0.7" top="0.78740157499999996" bottom="0.78740157499999996" header="0.3" footer="0.3"/>
  <pageSetup paperSize="9" orientation="portrait" r:id="rId3"/>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284C-9979-3944-9495-B846E7D3AAC5}">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311</v>
      </c>
      <c r="C2" s="89" t="s">
        <v>36</v>
      </c>
      <c r="D2" s="32"/>
      <c r="E2" s="33"/>
      <c r="F2" s="33"/>
      <c r="G2" s="33"/>
      <c r="H2" s="33"/>
      <c r="I2" s="33"/>
      <c r="J2" s="33"/>
      <c r="K2" s="33"/>
      <c r="L2" s="33"/>
      <c r="M2" s="33"/>
      <c r="N2" s="33"/>
      <c r="O2" s="33"/>
      <c r="P2" s="34"/>
      <c r="S2" s="3" t="s">
        <v>7</v>
      </c>
    </row>
    <row r="3" spans="2:19" ht="13.5" thickBot="1" x14ac:dyDescent="0.25">
      <c r="B3" s="35" t="s">
        <v>166</v>
      </c>
      <c r="C3" s="29">
        <f>'COMPARATIVE TABLE'!C25</f>
        <v>33.409999999999997</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0.06</v>
      </c>
      <c r="P5" s="38" t="s">
        <v>1</v>
      </c>
      <c r="R5" s="1"/>
    </row>
    <row r="6" spans="2:19" x14ac:dyDescent="0.2">
      <c r="B6" s="71" t="s">
        <v>19</v>
      </c>
      <c r="C6" s="86">
        <v>0.88</v>
      </c>
      <c r="D6" s="41">
        <f>C6*(1+$O$5)</f>
        <v>0.93280000000000007</v>
      </c>
      <c r="E6" s="41">
        <f>D6*(1+$O$5)</f>
        <v>0.98876800000000009</v>
      </c>
      <c r="F6" s="41">
        <f>E6*(1+$O$5)</f>
        <v>1.04809408</v>
      </c>
      <c r="G6" s="41">
        <f>F6*(1+$O$5)</f>
        <v>1.1109797248000002</v>
      </c>
      <c r="H6" s="41">
        <f>G6*(1+$O$5)</f>
        <v>1.1776385082880003</v>
      </c>
      <c r="I6" s="41">
        <f>H6*(1+$O$6)</f>
        <v>1.2482968187852803</v>
      </c>
      <c r="J6" s="41">
        <f>I6*(1+$O$6)</f>
        <v>1.3231946279123972</v>
      </c>
      <c r="K6" s="41">
        <f>J6*(1+$O$6)</f>
        <v>1.402586305587141</v>
      </c>
      <c r="L6" s="41">
        <f>K6*(1+$O$6)</f>
        <v>1.4867414839223696</v>
      </c>
      <c r="M6" s="41">
        <f>L6*(1+$O$6)</f>
        <v>1.5759459729577119</v>
      </c>
      <c r="N6" s="72">
        <f>L6*O8</f>
        <v>29.73482967844739</v>
      </c>
      <c r="O6" s="70">
        <v>0.06</v>
      </c>
      <c r="P6" s="27" t="s">
        <v>2</v>
      </c>
    </row>
    <row r="7" spans="2:19" x14ac:dyDescent="0.2">
      <c r="B7" s="9"/>
      <c r="C7" s="7" t="str">
        <f>CONCATENATE(R8,O7*100,S8)</f>
        <v>PV(10%)</v>
      </c>
      <c r="D7" s="72">
        <f>D6*(1+$O$7)^($D$5-D5-1)*$I$3</f>
        <v>0.84800000000000009</v>
      </c>
      <c r="E7" s="72">
        <f t="shared" ref="E7:M7" si="1">E6*(1+$O$7)^($D$5-E5-1)*$I$3</f>
        <v>0.81716363636363631</v>
      </c>
      <c r="F7" s="72">
        <f t="shared" si="1"/>
        <v>0.78744859504132214</v>
      </c>
      <c r="G7" s="72">
        <f t="shared" si="1"/>
        <v>0.75881410067618327</v>
      </c>
      <c r="H7" s="72">
        <f t="shared" si="1"/>
        <v>0.73122086065159475</v>
      </c>
      <c r="I7" s="72">
        <f t="shared" si="1"/>
        <v>0.70463101117335492</v>
      </c>
      <c r="J7" s="72">
        <f t="shared" si="1"/>
        <v>0.67900806531250557</v>
      </c>
      <c r="K7" s="72">
        <f t="shared" si="1"/>
        <v>0.65431686293750535</v>
      </c>
      <c r="L7" s="72">
        <f t="shared" si="1"/>
        <v>0.63052352246705068</v>
      </c>
      <c r="M7" s="72">
        <f t="shared" si="1"/>
        <v>0.60759539437733967</v>
      </c>
      <c r="N7" s="72">
        <f t="shared" ref="N7" si="2">N6*(1+$O$7)^($D$5-N5-1)</f>
        <v>11.464064044855464</v>
      </c>
      <c r="O7" s="17">
        <v>0.1</v>
      </c>
      <c r="P7" s="45" t="s">
        <v>3</v>
      </c>
    </row>
    <row r="8" spans="2:19" ht="13.5" thickBot="1" x14ac:dyDescent="0.25">
      <c r="B8" s="9"/>
      <c r="C8" s="8" t="s">
        <v>26</v>
      </c>
      <c r="D8" s="20">
        <f>SUM(D7:N7)</f>
        <v>18.682786093855956</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0.08</v>
      </c>
      <c r="P11" s="38" t="s">
        <v>1</v>
      </c>
    </row>
    <row r="12" spans="2:19" x14ac:dyDescent="0.2">
      <c r="B12" s="71" t="s">
        <v>18</v>
      </c>
      <c r="C12" s="6">
        <f>C6</f>
        <v>0.88</v>
      </c>
      <c r="D12" s="41">
        <f>C12*(1+$O$11)</f>
        <v>0.95040000000000002</v>
      </c>
      <c r="E12" s="41">
        <f>D12*(1+$O$11)</f>
        <v>1.026432</v>
      </c>
      <c r="F12" s="41">
        <f>E12*(1+$O$11)</f>
        <v>1.1085465600000002</v>
      </c>
      <c r="G12" s="41">
        <f>F12*(1+$O$11)</f>
        <v>1.1972302848000003</v>
      </c>
      <c r="H12" s="41">
        <f>G12*(1+$O$11)</f>
        <v>1.2930087075840004</v>
      </c>
      <c r="I12" s="41">
        <f>H12*(1+$O$12)</f>
        <v>1.3964494041907205</v>
      </c>
      <c r="J12" s="41">
        <f>I12*(1+$O$12)</f>
        <v>1.5081653565259783</v>
      </c>
      <c r="K12" s="41">
        <f>J12*(1+$O$12)</f>
        <v>1.6288185850480565</v>
      </c>
      <c r="L12" s="41">
        <f>K12*(1+$O$12)</f>
        <v>1.7591240718519012</v>
      </c>
      <c r="M12" s="41">
        <f>L12*(1+$O$12)</f>
        <v>1.8998539976000535</v>
      </c>
      <c r="N12" s="41">
        <f>L12*O14</f>
        <v>43.97810179629753</v>
      </c>
      <c r="O12" s="70">
        <v>0.08</v>
      </c>
      <c r="P12" s="27" t="s">
        <v>2</v>
      </c>
    </row>
    <row r="13" spans="2:19" x14ac:dyDescent="0.2">
      <c r="B13" s="9">
        <f>B7</f>
        <v>0</v>
      </c>
      <c r="C13" s="7" t="str">
        <f>C7</f>
        <v>PV(10%)</v>
      </c>
      <c r="D13" s="41">
        <f>D12*(1+$O$13)^($D$11-D11-1)*$I$3</f>
        <v>0.86399999999999999</v>
      </c>
      <c r="E13" s="41">
        <f t="shared" ref="E13:M13" si="4">E12*(1+$O$13)^($D$11-E11-1)*$I$3</f>
        <v>0.84829090909090898</v>
      </c>
      <c r="F13" s="41">
        <f t="shared" si="4"/>
        <v>0.83286743801652885</v>
      </c>
      <c r="G13" s="41">
        <f t="shared" si="4"/>
        <v>0.81772439368895566</v>
      </c>
      <c r="H13" s="41">
        <f t="shared" si="4"/>
        <v>0.8028566774400655</v>
      </c>
      <c r="I13" s="41">
        <f t="shared" si="4"/>
        <v>0.78825928330479167</v>
      </c>
      <c r="J13" s="41">
        <f t="shared" si="4"/>
        <v>0.77392729633561352</v>
      </c>
      <c r="K13" s="41">
        <f t="shared" si="4"/>
        <v>0.75985589094769324</v>
      </c>
      <c r="L13" s="41">
        <f t="shared" si="4"/>
        <v>0.74604032929409891</v>
      </c>
      <c r="M13" s="41">
        <f t="shared" si="4"/>
        <v>0.73247595967056978</v>
      </c>
      <c r="N13" s="41">
        <f>N12*(1+$O$7)^($D$5-N11-1)</f>
        <v>16.955462029411336</v>
      </c>
      <c r="O13" s="17">
        <f>O7</f>
        <v>0.1</v>
      </c>
      <c r="P13" s="38" t="s">
        <v>3</v>
      </c>
    </row>
    <row r="14" spans="2:19" ht="13.5" thickBot="1" x14ac:dyDescent="0.25">
      <c r="B14" s="9"/>
      <c r="C14" s="8" t="s">
        <v>4</v>
      </c>
      <c r="D14" s="20">
        <f>SUM(D13:N13)</f>
        <v>24.921760207200563</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0.88</v>
      </c>
      <c r="D18" s="41">
        <f>C18*(1+$O$17)</f>
        <v>0.90639999999999998</v>
      </c>
      <c r="E18" s="41">
        <f>D18*(1+$O$17)</f>
        <v>0.93359199999999998</v>
      </c>
      <c r="F18" s="41">
        <f>E18*(1+$O$17)</f>
        <v>0.96159976000000003</v>
      </c>
      <c r="G18" s="41">
        <f>F18*(1+$O$17)</f>
        <v>0.99044775280000008</v>
      </c>
      <c r="H18" s="41">
        <f>G18*(1+$O$17)</f>
        <v>1.020161185384</v>
      </c>
      <c r="I18" s="41">
        <f>H18*(1+$O$18)</f>
        <v>1.0507660209455201</v>
      </c>
      <c r="J18" s="41">
        <f>I18*(1+$O$18)</f>
        <v>1.0822890015738857</v>
      </c>
      <c r="K18" s="41">
        <f>J18*(1+$O$18)</f>
        <v>1.1147576716211023</v>
      </c>
      <c r="L18" s="41">
        <f>K18*(1+$O$18)</f>
        <v>1.1482004017697354</v>
      </c>
      <c r="M18" s="41">
        <f>L18*(1+$O$18)</f>
        <v>1.1826464138228274</v>
      </c>
      <c r="N18" s="41">
        <f>L18*O20</f>
        <v>17.223006026546031</v>
      </c>
      <c r="O18" s="70">
        <v>0.03</v>
      </c>
      <c r="P18" s="27" t="s">
        <v>2</v>
      </c>
    </row>
    <row r="19" spans="2:16" x14ac:dyDescent="0.2">
      <c r="B19" s="71" t="s">
        <v>155</v>
      </c>
      <c r="C19" s="7" t="str">
        <f>C13</f>
        <v>PV(10%)</v>
      </c>
      <c r="D19" s="41">
        <f>D18*(1+$O$19)^($D$17-D17-1)*$I$3</f>
        <v>0.82399999999999995</v>
      </c>
      <c r="E19" s="41">
        <f t="shared" ref="E19:M19" si="6">E18*(1+$O$19)^($D$17-E17-1)*$I$3</f>
        <v>0.77156363636363623</v>
      </c>
      <c r="F19" s="41">
        <f t="shared" si="6"/>
        <v>0.72246413223140471</v>
      </c>
      <c r="G19" s="41">
        <f t="shared" si="6"/>
        <v>0.6764891419984973</v>
      </c>
      <c r="H19" s="41">
        <f t="shared" si="6"/>
        <v>0.63343983296222917</v>
      </c>
      <c r="I19" s="41">
        <f t="shared" si="6"/>
        <v>0.5931300254100873</v>
      </c>
      <c r="J19" s="41">
        <f t="shared" si="6"/>
        <v>0.55538538742944532</v>
      </c>
      <c r="K19" s="41">
        <f t="shared" si="6"/>
        <v>0.5200426809566624</v>
      </c>
      <c r="L19" s="41">
        <f t="shared" si="6"/>
        <v>0.4869490558048748</v>
      </c>
      <c r="M19" s="41">
        <f t="shared" si="6"/>
        <v>0.4559613886172918</v>
      </c>
      <c r="N19" s="41">
        <f t="shared" ref="N19" si="7">N18*(1+$O$19)^($D$17-N17-1)</f>
        <v>6.6402143973392009</v>
      </c>
      <c r="O19" s="17">
        <f>O13</f>
        <v>0.1</v>
      </c>
      <c r="P19" s="38" t="s">
        <v>3</v>
      </c>
    </row>
    <row r="20" spans="2:16" ht="13.5" thickBot="1" x14ac:dyDescent="0.25">
      <c r="B20" s="71" t="s">
        <v>156</v>
      </c>
      <c r="C20" s="8" t="s">
        <v>4</v>
      </c>
      <c r="D20" s="20">
        <f>SUM(D19:N19)</f>
        <v>12.879639679113328</v>
      </c>
      <c r="E20" s="21"/>
      <c r="F20" s="21"/>
      <c r="G20" s="21"/>
      <c r="H20" s="21"/>
      <c r="I20" s="21"/>
      <c r="J20" s="21"/>
      <c r="K20" s="21"/>
      <c r="L20" s="21"/>
      <c r="M20" s="21"/>
      <c r="N20" s="21"/>
      <c r="O20" s="78">
        <v>15</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18.682786093855956</v>
      </c>
      <c r="F23" s="22">
        <f>E23*D23</f>
        <v>6.3521472719110257</v>
      </c>
      <c r="G23" s="25"/>
      <c r="P23" s="38"/>
    </row>
    <row r="24" spans="2:16" x14ac:dyDescent="0.2">
      <c r="B24" s="9"/>
      <c r="C24" s="9" t="s">
        <v>15</v>
      </c>
      <c r="D24" s="44">
        <v>0.33</v>
      </c>
      <c r="E24" s="41">
        <f>D14</f>
        <v>24.921760207200563</v>
      </c>
      <c r="F24" s="22">
        <f>E24*D24</f>
        <v>8.2241808683761857</v>
      </c>
      <c r="G24" s="25"/>
      <c r="P24" s="38"/>
    </row>
    <row r="25" spans="2:16" ht="13.5" thickBot="1" x14ac:dyDescent="0.25">
      <c r="B25" s="9"/>
      <c r="C25" s="10" t="s">
        <v>29</v>
      </c>
      <c r="D25" s="44">
        <v>0.33</v>
      </c>
      <c r="E25" s="23">
        <f>D20</f>
        <v>12.879639679113328</v>
      </c>
      <c r="F25" s="24">
        <f>E25*D25</f>
        <v>4.2502810941073985</v>
      </c>
      <c r="G25" s="25"/>
      <c r="P25" s="38"/>
    </row>
    <row r="26" spans="2:16" ht="13.5" thickBot="1" x14ac:dyDescent="0.25">
      <c r="B26" s="9"/>
      <c r="C26" s="36" t="s">
        <v>167</v>
      </c>
      <c r="D26" s="36">
        <f>C3</f>
        <v>33.409999999999997</v>
      </c>
      <c r="E26" s="15" t="s">
        <v>11</v>
      </c>
      <c r="F26" s="16">
        <f>SUM(F23:F25)</f>
        <v>18.82660923439461</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49" priority="1" operator="containsText" text="overvalued">
      <formula>NOT(ISERROR(SEARCH("overvalued",D3)))</formula>
    </cfRule>
    <cfRule type="containsText" dxfId="48" priority="2" operator="containsText" text="undervalued">
      <formula>NOT(ISERROR(SEARCH("undervalued",D3)))</formula>
    </cfRule>
  </conditionalFormatting>
  <hyperlinks>
    <hyperlink ref="C30" r:id="rId1" xr:uid="{F9CE5E9A-FE30-E547-8A04-4CB9FDFE628D}"/>
    <hyperlink ref="B4" location="'COMPARATIVE TABLE'!A1" display="'COMPARATIVE TABLE'!A1" xr:uid="{41D63926-D6D8-1F44-A96A-0A5E0C6583AF}"/>
    <hyperlink ref="C2" r:id="rId2" xr:uid="{099105BD-1EC7-C44F-A5F4-56CF5CB487DD}"/>
  </hyperlinks>
  <pageMargins left="0.7" right="0.7" top="0.78740157499999996" bottom="0.78740157499999996" header="0.3" footer="0.3"/>
  <pageSetup paperSize="9" orientation="portrait" r:id="rId3"/>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96C3-DD6A-734C-AB2A-B9EE4DD04268}">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344</v>
      </c>
      <c r="C2" s="89" t="s">
        <v>36</v>
      </c>
      <c r="D2" s="32"/>
      <c r="E2" s="33"/>
      <c r="F2" s="33"/>
      <c r="G2" s="33"/>
      <c r="H2" s="33"/>
      <c r="I2" s="33"/>
      <c r="J2" s="33"/>
      <c r="K2" s="33"/>
      <c r="L2" s="33"/>
      <c r="M2" s="33"/>
      <c r="N2" s="33"/>
      <c r="O2" s="33"/>
      <c r="P2" s="34"/>
      <c r="S2" s="3" t="s">
        <v>7</v>
      </c>
    </row>
    <row r="3" spans="2:19" ht="13.5" thickBot="1" x14ac:dyDescent="0.25">
      <c r="B3" s="35" t="s">
        <v>166</v>
      </c>
      <c r="C3" s="29">
        <f>'COMPARATIVE TABLE'!C26</f>
        <v>2085</v>
      </c>
      <c r="D3" s="37"/>
      <c r="F3" s="73" t="s">
        <v>189</v>
      </c>
      <c r="G3" s="74"/>
      <c r="H3" s="74"/>
      <c r="I3" s="75">
        <v>0.5</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250</v>
      </c>
      <c r="D6" s="41">
        <f>C6*(1+$O$5)</f>
        <v>262.5</v>
      </c>
      <c r="E6" s="41">
        <f>D6*(1+$O$5)</f>
        <v>275.625</v>
      </c>
      <c r="F6" s="41">
        <f>E6*(1+$O$5)</f>
        <v>289.40625</v>
      </c>
      <c r="G6" s="41">
        <f>F6*(1+$O$5)</f>
        <v>303.87656250000003</v>
      </c>
      <c r="H6" s="41">
        <f>G6*(1+$O$5)</f>
        <v>319.07039062500007</v>
      </c>
      <c r="I6" s="41">
        <f>H6*(1+$O$6)</f>
        <v>335.02391015625011</v>
      </c>
      <c r="J6" s="41">
        <f>I6*(1+$O$6)</f>
        <v>351.77510566406261</v>
      </c>
      <c r="K6" s="41">
        <f>J6*(1+$O$6)</f>
        <v>369.36386094726578</v>
      </c>
      <c r="L6" s="41">
        <f>K6*(1+$O$6)</f>
        <v>387.83205399462906</v>
      </c>
      <c r="M6" s="41">
        <f>L6*(1+$O$6)</f>
        <v>407.22365669436056</v>
      </c>
      <c r="N6" s="72">
        <f>L6*O8</f>
        <v>4653.9846479355492</v>
      </c>
      <c r="O6" s="70">
        <v>0.05</v>
      </c>
      <c r="P6" s="27" t="s">
        <v>2</v>
      </c>
    </row>
    <row r="7" spans="2:19" x14ac:dyDescent="0.2">
      <c r="B7" s="9"/>
      <c r="C7" s="7" t="str">
        <f>CONCATENATE(R8,O7*100,S8)</f>
        <v>PV(10%)</v>
      </c>
      <c r="D7" s="72">
        <f>D6*(1+$O$7)^($D$5-D5-1)*$I$3</f>
        <v>119.31818181818181</v>
      </c>
      <c r="E7" s="72">
        <f t="shared" ref="E7:M7" si="1">E6*(1+$O$7)^($D$5-E5-1)*$I$3</f>
        <v>113.89462809917354</v>
      </c>
      <c r="F7" s="72">
        <f t="shared" si="1"/>
        <v>108.71759954921109</v>
      </c>
      <c r="G7" s="72">
        <f t="shared" si="1"/>
        <v>103.77589047879242</v>
      </c>
      <c r="H7" s="72">
        <f t="shared" si="1"/>
        <v>99.058804547938209</v>
      </c>
      <c r="I7" s="72">
        <f t="shared" si="1"/>
        <v>94.556131613941034</v>
      </c>
      <c r="J7" s="72">
        <f t="shared" si="1"/>
        <v>90.25812563148915</v>
      </c>
      <c r="K7" s="72">
        <f t="shared" si="1"/>
        <v>86.155483557330555</v>
      </c>
      <c r="L7" s="72">
        <f t="shared" si="1"/>
        <v>82.239325213815533</v>
      </c>
      <c r="M7" s="72">
        <f t="shared" si="1"/>
        <v>78.501174067733004</v>
      </c>
      <c r="N7" s="72">
        <f t="shared" ref="N7" si="2">N6*(1+$O$7)^($D$5-N5-1)</f>
        <v>1794.3125501196116</v>
      </c>
      <c r="O7" s="17">
        <v>0.1</v>
      </c>
      <c r="P7" s="45" t="s">
        <v>3</v>
      </c>
    </row>
    <row r="8" spans="2:19" ht="13.5" thickBot="1" x14ac:dyDescent="0.25">
      <c r="B8" s="9"/>
      <c r="C8" s="8" t="s">
        <v>26</v>
      </c>
      <c r="D8" s="20">
        <f>SUM(D7:N7)</f>
        <v>2770.7878946972178</v>
      </c>
      <c r="E8" s="21"/>
      <c r="F8" s="21"/>
      <c r="G8" s="21"/>
      <c r="H8" s="21"/>
      <c r="I8" s="21"/>
      <c r="J8" s="21"/>
      <c r="K8" s="21"/>
      <c r="L8" s="21"/>
      <c r="M8" s="21"/>
      <c r="N8" s="21"/>
      <c r="O8" s="78">
        <v>12</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250</v>
      </c>
      <c r="D12" s="41">
        <f>C12*(1+$O$11)</f>
        <v>265</v>
      </c>
      <c r="E12" s="41">
        <f>D12*(1+$O$11)</f>
        <v>280.90000000000003</v>
      </c>
      <c r="F12" s="41">
        <f>E12*(1+$O$11)</f>
        <v>297.75400000000008</v>
      </c>
      <c r="G12" s="41">
        <f>F12*(1+$O$11)</f>
        <v>315.6192400000001</v>
      </c>
      <c r="H12" s="41">
        <f>G12*(1+$O$11)</f>
        <v>334.5563944000001</v>
      </c>
      <c r="I12" s="41">
        <f>H12*(1+$O$12)</f>
        <v>354.62977806400011</v>
      </c>
      <c r="J12" s="41">
        <f>I12*(1+$O$12)</f>
        <v>375.90756474784013</v>
      </c>
      <c r="K12" s="41">
        <f>J12*(1+$O$12)</f>
        <v>398.46201863271057</v>
      </c>
      <c r="L12" s="41">
        <f>K12*(1+$O$12)</f>
        <v>422.3697397506732</v>
      </c>
      <c r="M12" s="41">
        <f>L12*(1+$O$12)</f>
        <v>447.71192413571362</v>
      </c>
      <c r="N12" s="41">
        <f>L12*O14</f>
        <v>6335.5460962600982</v>
      </c>
      <c r="O12" s="70">
        <v>0.06</v>
      </c>
      <c r="P12" s="27" t="s">
        <v>2</v>
      </c>
    </row>
    <row r="13" spans="2:19" x14ac:dyDescent="0.2">
      <c r="B13" s="9">
        <f>B7</f>
        <v>0</v>
      </c>
      <c r="C13" s="7" t="str">
        <f>C7</f>
        <v>PV(10%)</v>
      </c>
      <c r="D13" s="41">
        <f>D12*(1+$O$13)^($D$11-D11-1)*$I$3</f>
        <v>120.45454545454545</v>
      </c>
      <c r="E13" s="41">
        <f t="shared" ref="E13:M13" si="4">E12*(1+$O$13)^($D$11-E11-1)*$I$3</f>
        <v>116.07438016528926</v>
      </c>
      <c r="F13" s="41">
        <f t="shared" si="4"/>
        <v>111.85349361382418</v>
      </c>
      <c r="G13" s="41">
        <f t="shared" si="4"/>
        <v>107.78609384604877</v>
      </c>
      <c r="H13" s="41">
        <f t="shared" si="4"/>
        <v>103.86659952437425</v>
      </c>
      <c r="I13" s="41">
        <f t="shared" si="4"/>
        <v>100.08963226894247</v>
      </c>
      <c r="J13" s="41">
        <f t="shared" si="4"/>
        <v>96.450009277344549</v>
      </c>
      <c r="K13" s="41">
        <f t="shared" si="4"/>
        <v>92.942736212713839</v>
      </c>
      <c r="L13" s="41">
        <f t="shared" si="4"/>
        <v>89.563000350433342</v>
      </c>
      <c r="M13" s="41">
        <f t="shared" si="4"/>
        <v>86.306163974053931</v>
      </c>
      <c r="N13" s="41">
        <f>N12*(1+$O$7)^($D$5-N11-1)</f>
        <v>2442.6272822845453</v>
      </c>
      <c r="O13" s="17">
        <f>O7</f>
        <v>0.1</v>
      </c>
      <c r="P13" s="38" t="s">
        <v>3</v>
      </c>
    </row>
    <row r="14" spans="2:19" ht="13.5" thickBot="1" x14ac:dyDescent="0.25">
      <c r="B14" s="9"/>
      <c r="C14" s="8" t="s">
        <v>4</v>
      </c>
      <c r="D14" s="20">
        <f>SUM(D13:N13)</f>
        <v>3468.0139369721155</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250</v>
      </c>
      <c r="D18" s="41">
        <f>C18*(1+$O$17)</f>
        <v>250</v>
      </c>
      <c r="E18" s="41">
        <f>D18*(1+$O$17)</f>
        <v>250</v>
      </c>
      <c r="F18" s="41">
        <f>E18*(1+$O$17)</f>
        <v>250</v>
      </c>
      <c r="G18" s="41">
        <f>F18*(1+$O$17)</f>
        <v>250</v>
      </c>
      <c r="H18" s="41">
        <f>G18*(1+$O$17)</f>
        <v>250</v>
      </c>
      <c r="I18" s="41">
        <f>H18*(1+$O$18)</f>
        <v>250</v>
      </c>
      <c r="J18" s="41">
        <f>I18*(1+$O$18)</f>
        <v>250</v>
      </c>
      <c r="K18" s="41">
        <f>J18*(1+$O$18)</f>
        <v>250</v>
      </c>
      <c r="L18" s="41">
        <f>K18*(1+$O$18)</f>
        <v>250</v>
      </c>
      <c r="M18" s="41">
        <f>L18*(1+$O$18)</f>
        <v>250</v>
      </c>
      <c r="N18" s="41">
        <f>L18*O20</f>
        <v>2000</v>
      </c>
      <c r="O18" s="70">
        <v>0</v>
      </c>
      <c r="P18" s="27" t="s">
        <v>2</v>
      </c>
    </row>
    <row r="19" spans="2:16" x14ac:dyDescent="0.2">
      <c r="B19" s="71" t="s">
        <v>155</v>
      </c>
      <c r="C19" s="7" t="str">
        <f>C13</f>
        <v>PV(10%)</v>
      </c>
      <c r="D19" s="41">
        <f>D18*(1+$O$19)^($D$17-D17-1)*$I$3</f>
        <v>113.63636363636363</v>
      </c>
      <c r="E19" s="41">
        <f t="shared" ref="E19:M19" si="6">E18*(1+$O$19)^($D$17-E17-1)*$I$3</f>
        <v>103.30578512396693</v>
      </c>
      <c r="F19" s="41">
        <f t="shared" si="6"/>
        <v>93.914350112697193</v>
      </c>
      <c r="G19" s="41">
        <f t="shared" si="6"/>
        <v>85.376681920633814</v>
      </c>
      <c r="H19" s="41">
        <f t="shared" si="6"/>
        <v>77.615165382394366</v>
      </c>
      <c r="I19" s="41">
        <f t="shared" si="6"/>
        <v>70.559241256722146</v>
      </c>
      <c r="J19" s="41">
        <f t="shared" si="6"/>
        <v>64.144764778838308</v>
      </c>
      <c r="K19" s="41">
        <f t="shared" si="6"/>
        <v>58.313422526216641</v>
      </c>
      <c r="L19" s="41">
        <f t="shared" si="6"/>
        <v>53.012202296560581</v>
      </c>
      <c r="M19" s="41">
        <f t="shared" si="6"/>
        <v>48.192911178691432</v>
      </c>
      <c r="N19" s="41">
        <f t="shared" ref="N19" si="7">N18*(1+$O$19)^($D$17-N17-1)</f>
        <v>771.08657885906291</v>
      </c>
      <c r="O19" s="17">
        <f>O13</f>
        <v>0.1</v>
      </c>
      <c r="P19" s="38" t="s">
        <v>3</v>
      </c>
    </row>
    <row r="20" spans="2:16" ht="13.5" thickBot="1" x14ac:dyDescent="0.25">
      <c r="B20" s="71" t="s">
        <v>156</v>
      </c>
      <c r="C20" s="8" t="s">
        <v>4</v>
      </c>
      <c r="D20" s="20">
        <f>SUM(D19:N19)</f>
        <v>1539.1574670721479</v>
      </c>
      <c r="E20" s="21"/>
      <c r="F20" s="21"/>
      <c r="G20" s="21"/>
      <c r="H20" s="21"/>
      <c r="I20" s="21"/>
      <c r="J20" s="21"/>
      <c r="K20" s="21"/>
      <c r="L20" s="21"/>
      <c r="M20" s="21"/>
      <c r="N20" s="21"/>
      <c r="O20" s="78">
        <v>8</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2770.7878946972178</v>
      </c>
      <c r="F23" s="22">
        <f>E23*D23</f>
        <v>942.06788419705413</v>
      </c>
      <c r="G23" s="25"/>
      <c r="P23" s="38"/>
    </row>
    <row r="24" spans="2:16" x14ac:dyDescent="0.2">
      <c r="B24" s="9"/>
      <c r="C24" s="9" t="s">
        <v>15</v>
      </c>
      <c r="D24" s="44">
        <v>0.33</v>
      </c>
      <c r="E24" s="41">
        <f>D14</f>
        <v>3468.0139369721155</v>
      </c>
      <c r="F24" s="22">
        <f>E24*D24</f>
        <v>1144.4445992007982</v>
      </c>
      <c r="G24" s="25"/>
      <c r="P24" s="38"/>
    </row>
    <row r="25" spans="2:16" ht="13.5" thickBot="1" x14ac:dyDescent="0.25">
      <c r="B25" s="9"/>
      <c r="C25" s="10" t="s">
        <v>29</v>
      </c>
      <c r="D25" s="44">
        <v>0.33</v>
      </c>
      <c r="E25" s="23">
        <f>D20</f>
        <v>1539.1574670721479</v>
      </c>
      <c r="F25" s="24">
        <f>E25*D25</f>
        <v>507.92196413380884</v>
      </c>
      <c r="G25" s="25"/>
      <c r="P25" s="38"/>
    </row>
    <row r="26" spans="2:16" ht="13.5" thickBot="1" x14ac:dyDescent="0.25">
      <c r="B26" s="9"/>
      <c r="C26" s="36" t="s">
        <v>167</v>
      </c>
      <c r="D26" s="36">
        <f>C3</f>
        <v>2085</v>
      </c>
      <c r="E26" s="15" t="s">
        <v>11</v>
      </c>
      <c r="F26" s="16">
        <f>SUM(F23:F25)</f>
        <v>2594.4344475316611</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47" priority="1" operator="containsText" text="overvalued">
      <formula>NOT(ISERROR(SEARCH("overvalued",D3)))</formula>
    </cfRule>
    <cfRule type="containsText" dxfId="46" priority="2" operator="containsText" text="undervalued">
      <formula>NOT(ISERROR(SEARCH("undervalued",D3)))</formula>
    </cfRule>
  </conditionalFormatting>
  <hyperlinks>
    <hyperlink ref="C30" r:id="rId1" xr:uid="{66B1430A-0B3A-F540-909A-217C3C233801}"/>
    <hyperlink ref="B4" location="'COMPARATIVE TABLE'!A1" display="'COMPARATIVE TABLE'!A1" xr:uid="{828B26F8-F2CB-2947-A65C-B219B2A999D4}"/>
    <hyperlink ref="C2" r:id="rId2" xr:uid="{05178F5B-62B6-C940-8A1F-21C994ED787F}"/>
  </hyperlinks>
  <pageMargins left="0.7" right="0.7" top="0.78740157499999996" bottom="0.78740157499999996" header="0.3" footer="0.3"/>
  <pageSetup paperSize="9" orientation="portrait" r:id="rId3"/>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43DE-1D39-1C48-8E9D-9BA8A6AA856E}">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349</v>
      </c>
      <c r="C2" s="89" t="s">
        <v>36</v>
      </c>
      <c r="D2" s="32"/>
      <c r="E2" s="33"/>
      <c r="F2" s="33"/>
      <c r="G2" s="33"/>
      <c r="H2" s="33"/>
      <c r="I2" s="33"/>
      <c r="J2" s="33"/>
      <c r="K2" s="33"/>
      <c r="L2" s="33"/>
      <c r="M2" s="33"/>
      <c r="N2" s="33"/>
      <c r="O2" s="33"/>
      <c r="P2" s="34"/>
      <c r="S2" s="3" t="s">
        <v>7</v>
      </c>
    </row>
    <row r="3" spans="2:19" ht="13.5" thickBot="1" x14ac:dyDescent="0.25">
      <c r="B3" s="35" t="s">
        <v>166</v>
      </c>
      <c r="C3" s="29">
        <f>'COMPARATIVE TABLE'!C27</f>
        <v>28.16</v>
      </c>
      <c r="D3" s="37"/>
      <c r="F3" s="73" t="s">
        <v>189</v>
      </c>
      <c r="G3" s="74"/>
      <c r="H3" s="74"/>
      <c r="I3" s="75">
        <v>1</v>
      </c>
      <c r="P3" s="38"/>
    </row>
    <row r="4" spans="2:19" ht="26.25" thickBot="1" x14ac:dyDescent="0.25">
      <c r="B4" s="39" t="s">
        <v>85</v>
      </c>
      <c r="N4" s="76" t="s">
        <v>5</v>
      </c>
      <c r="O4" s="4" t="s">
        <v>0</v>
      </c>
      <c r="P4" s="38"/>
    </row>
    <row r="5" spans="2:19" x14ac:dyDescent="0.2">
      <c r="B5" s="71"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0.03</v>
      </c>
      <c r="P5" s="38" t="s">
        <v>1</v>
      </c>
      <c r="R5" s="1"/>
    </row>
    <row r="6" spans="2:19" x14ac:dyDescent="0.2">
      <c r="B6" s="71" t="s">
        <v>19</v>
      </c>
      <c r="C6" s="86">
        <v>2.0299999999999998</v>
      </c>
      <c r="D6" s="41">
        <f>C6*(1+$O$5)</f>
        <v>2.0909</v>
      </c>
      <c r="E6" s="41">
        <f>D6*(1+$O$5)</f>
        <v>2.1536270000000002</v>
      </c>
      <c r="F6" s="41">
        <f>E6*(1+$O$5)</f>
        <v>2.2182358100000004</v>
      </c>
      <c r="G6" s="41">
        <f>F6*(1+$O$5)</f>
        <v>2.2847828843000006</v>
      </c>
      <c r="H6" s="41">
        <f>G6*(1+$O$5)</f>
        <v>2.3533263708290009</v>
      </c>
      <c r="I6" s="41">
        <f>H6*(1+$O$6)</f>
        <v>2.423926161953871</v>
      </c>
      <c r="J6" s="41">
        <f>I6*(1+$O$6)</f>
        <v>2.4966439468124872</v>
      </c>
      <c r="K6" s="41">
        <f>J6*(1+$O$6)</f>
        <v>2.5715432652168619</v>
      </c>
      <c r="L6" s="41">
        <f>K6*(1+$O$6)</f>
        <v>2.648689563173368</v>
      </c>
      <c r="M6" s="41">
        <f>L6*(1+$O$6)</f>
        <v>2.7281502500685693</v>
      </c>
      <c r="N6" s="72">
        <f>L6*O8</f>
        <v>29.135585194907048</v>
      </c>
      <c r="O6" s="70">
        <v>0.03</v>
      </c>
      <c r="P6" s="27" t="s">
        <v>2</v>
      </c>
    </row>
    <row r="7" spans="2:19" x14ac:dyDescent="0.2">
      <c r="B7" s="9"/>
      <c r="C7" s="7" t="str">
        <f>CONCATENATE(R8,O7*100,S8)</f>
        <v>PV(10%)</v>
      </c>
      <c r="D7" s="72">
        <f>D6*(1+$O$7)^($D$5-D5-1)*$I$3</f>
        <v>1.9008181818181817</v>
      </c>
      <c r="E7" s="72">
        <f t="shared" ref="E7:M7" si="1">E6*(1+$O$7)^($D$5-E5-1)*$I$3</f>
        <v>1.7798570247933885</v>
      </c>
      <c r="F7" s="72">
        <f t="shared" si="1"/>
        <v>1.6665933959428998</v>
      </c>
      <c r="G7" s="72">
        <f t="shared" si="1"/>
        <v>1.5605374525647155</v>
      </c>
      <c r="H7" s="72">
        <f t="shared" si="1"/>
        <v>1.4612305237651426</v>
      </c>
      <c r="I7" s="72">
        <f t="shared" si="1"/>
        <v>1.36824312679827</v>
      </c>
      <c r="J7" s="72">
        <f t="shared" si="1"/>
        <v>1.2811731096383798</v>
      </c>
      <c r="K7" s="72">
        <f t="shared" si="1"/>
        <v>1.1996439117523012</v>
      </c>
      <c r="L7" s="72">
        <f t="shared" si="1"/>
        <v>1.123302935549882</v>
      </c>
      <c r="M7" s="72">
        <f t="shared" si="1"/>
        <v>1.0518200214694351</v>
      </c>
      <c r="N7" s="72">
        <f t="shared" ref="N7" si="2">N6*(1+$O$7)^($D$5-N5-1)</f>
        <v>11.23302935549882</v>
      </c>
      <c r="O7" s="17">
        <v>0.1</v>
      </c>
      <c r="P7" s="45" t="s">
        <v>3</v>
      </c>
    </row>
    <row r="8" spans="2:19" ht="13.5" thickBot="1" x14ac:dyDescent="0.25">
      <c r="B8" s="9"/>
      <c r="C8" s="8" t="s">
        <v>26</v>
      </c>
      <c r="D8" s="20">
        <f>SUM(D7:N7)</f>
        <v>25.626249039591414</v>
      </c>
      <c r="E8" s="21"/>
      <c r="F8" s="21"/>
      <c r="G8" s="21"/>
      <c r="H8" s="21"/>
      <c r="I8" s="21"/>
      <c r="J8" s="21"/>
      <c r="K8" s="21"/>
      <c r="L8" s="21"/>
      <c r="M8" s="21"/>
      <c r="N8" s="21"/>
      <c r="O8" s="78">
        <v>11</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0.05</v>
      </c>
      <c r="P11" s="38" t="s">
        <v>1</v>
      </c>
    </row>
    <row r="12" spans="2:19" x14ac:dyDescent="0.2">
      <c r="B12" s="71" t="s">
        <v>18</v>
      </c>
      <c r="C12" s="6">
        <f>C6</f>
        <v>2.0299999999999998</v>
      </c>
      <c r="D12" s="41">
        <f>C12*(1+$O$11)</f>
        <v>2.1315</v>
      </c>
      <c r="E12" s="41">
        <f>D12*(1+$O$11)</f>
        <v>2.2380750000000003</v>
      </c>
      <c r="F12" s="41">
        <f>E12*(1+$O$11)</f>
        <v>2.3499787500000004</v>
      </c>
      <c r="G12" s="41">
        <f>F12*(1+$O$11)</f>
        <v>2.4674776875000006</v>
      </c>
      <c r="H12" s="41">
        <f>G12*(1+$O$11)</f>
        <v>2.5908515718750009</v>
      </c>
      <c r="I12" s="41">
        <f>H12*(1+$O$12)</f>
        <v>2.720394150468751</v>
      </c>
      <c r="J12" s="41">
        <f>I12*(1+$O$12)</f>
        <v>2.8564138579921887</v>
      </c>
      <c r="K12" s="41">
        <f>J12*(1+$O$12)</f>
        <v>2.9992345508917984</v>
      </c>
      <c r="L12" s="41">
        <f>K12*(1+$O$12)</f>
        <v>3.1491962784363885</v>
      </c>
      <c r="M12" s="41">
        <f>L12*(1+$O$12)</f>
        <v>3.306656092358208</v>
      </c>
      <c r="N12" s="41">
        <f>L12*O14</f>
        <v>37.790355341236662</v>
      </c>
      <c r="O12" s="70">
        <v>0.05</v>
      </c>
      <c r="P12" s="27" t="s">
        <v>2</v>
      </c>
    </row>
    <row r="13" spans="2:19" x14ac:dyDescent="0.2">
      <c r="B13" s="9">
        <f>B7</f>
        <v>0</v>
      </c>
      <c r="C13" s="7" t="str">
        <f>C7</f>
        <v>PV(10%)</v>
      </c>
      <c r="D13" s="41">
        <f>D12*(1+$O$13)^($D$11-D11-1)*$I$3</f>
        <v>1.9377272727272725</v>
      </c>
      <c r="E13" s="41">
        <f t="shared" ref="E13:M13" si="4">E12*(1+$O$13)^($D$11-E11-1)*$I$3</f>
        <v>1.8496487603305785</v>
      </c>
      <c r="F13" s="41">
        <f t="shared" si="4"/>
        <v>1.7655738166791883</v>
      </c>
      <c r="G13" s="41">
        <f t="shared" si="4"/>
        <v>1.685320461375589</v>
      </c>
      <c r="H13" s="41">
        <f t="shared" si="4"/>
        <v>1.6087149858585168</v>
      </c>
      <c r="I13" s="41">
        <f t="shared" si="4"/>
        <v>1.5355915774104025</v>
      </c>
      <c r="J13" s="41">
        <f t="shared" si="4"/>
        <v>1.4657919602553839</v>
      </c>
      <c r="K13" s="41">
        <f t="shared" si="4"/>
        <v>1.3991650529710484</v>
      </c>
      <c r="L13" s="41">
        <f t="shared" si="4"/>
        <v>1.3355666414723644</v>
      </c>
      <c r="M13" s="41">
        <f t="shared" si="4"/>
        <v>1.2748590668599842</v>
      </c>
      <c r="N13" s="41">
        <f>N12*(1+$O$7)^($D$5-N11-1)</f>
        <v>14.569817906971247</v>
      </c>
      <c r="O13" s="17">
        <f>O7</f>
        <v>0.1</v>
      </c>
      <c r="P13" s="38" t="s">
        <v>3</v>
      </c>
    </row>
    <row r="14" spans="2:19" ht="13.5" thickBot="1" x14ac:dyDescent="0.25">
      <c r="B14" s="9"/>
      <c r="C14" s="8" t="s">
        <v>4</v>
      </c>
      <c r="D14" s="20">
        <f>SUM(D13:N13)</f>
        <v>30.427777502911574</v>
      </c>
      <c r="E14" s="21"/>
      <c r="F14" s="21"/>
      <c r="G14" s="21"/>
      <c r="H14" s="21"/>
      <c r="I14" s="21"/>
      <c r="J14" s="21"/>
      <c r="K14" s="21"/>
      <c r="L14" s="21"/>
      <c r="M14" s="21"/>
      <c r="N14" s="21"/>
      <c r="O14" s="18">
        <v>12</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2.0299999999999998</v>
      </c>
      <c r="D18" s="41">
        <f>C18*(1+$O$17)</f>
        <v>2.0705999999999998</v>
      </c>
      <c r="E18" s="41">
        <f>D18*(1+$O$17)</f>
        <v>2.112012</v>
      </c>
      <c r="F18" s="41">
        <f>E18*(1+$O$17)</f>
        <v>2.1542522399999999</v>
      </c>
      <c r="G18" s="41">
        <f>F18*(1+$O$17)</f>
        <v>2.1973372848000001</v>
      </c>
      <c r="H18" s="41">
        <f>G18*(1+$O$17)</f>
        <v>2.2412840304960002</v>
      </c>
      <c r="I18" s="41">
        <f>H18*(1+$O$18)</f>
        <v>2.2861097111059201</v>
      </c>
      <c r="J18" s="41">
        <f>I18*(1+$O$18)</f>
        <v>2.3318319053280385</v>
      </c>
      <c r="K18" s="41">
        <f>J18*(1+$O$18)</f>
        <v>2.3784685434345993</v>
      </c>
      <c r="L18" s="41">
        <f>K18*(1+$O$18)</f>
        <v>2.4260379143032913</v>
      </c>
      <c r="M18" s="41">
        <f>L18*(1+$O$18)</f>
        <v>2.4745586725893571</v>
      </c>
      <c r="N18" s="41">
        <f>L18*O20</f>
        <v>24.260379143032914</v>
      </c>
      <c r="O18" s="70">
        <v>0.02</v>
      </c>
      <c r="P18" s="27" t="s">
        <v>2</v>
      </c>
    </row>
    <row r="19" spans="2:16" x14ac:dyDescent="0.2">
      <c r="B19" s="71" t="s">
        <v>155</v>
      </c>
      <c r="C19" s="7" t="str">
        <f>C13</f>
        <v>PV(10%)</v>
      </c>
      <c r="D19" s="41">
        <f>D18*(1+$O$19)^($D$17-D17-1)*$I$3</f>
        <v>1.882363636363636</v>
      </c>
      <c r="E19" s="41">
        <f t="shared" ref="E19:M19" si="6">E18*(1+$O$19)^($D$17-E17-1)*$I$3</f>
        <v>1.7454644628099172</v>
      </c>
      <c r="F19" s="41">
        <f t="shared" si="6"/>
        <v>1.6185215927873773</v>
      </c>
      <c r="G19" s="41">
        <f t="shared" si="6"/>
        <v>1.5008109314937501</v>
      </c>
      <c r="H19" s="41">
        <f t="shared" si="6"/>
        <v>1.3916610455669318</v>
      </c>
      <c r="I19" s="41">
        <f t="shared" si="6"/>
        <v>1.2904493331620639</v>
      </c>
      <c r="J19" s="41">
        <f t="shared" si="6"/>
        <v>1.1965984725684591</v>
      </c>
      <c r="K19" s="41">
        <f t="shared" si="6"/>
        <v>1.1095731291089348</v>
      </c>
      <c r="L19" s="41">
        <f t="shared" si="6"/>
        <v>1.028876901537376</v>
      </c>
      <c r="M19" s="41">
        <f t="shared" si="6"/>
        <v>0.9540494905164757</v>
      </c>
      <c r="N19" s="41">
        <f t="shared" ref="N19" si="7">N18*(1+$O$19)^($D$17-N17-1)</f>
        <v>9.3534263776125073</v>
      </c>
      <c r="O19" s="17">
        <f>O13</f>
        <v>0.1</v>
      </c>
      <c r="P19" s="38" t="s">
        <v>3</v>
      </c>
    </row>
    <row r="20" spans="2:16" ht="13.5" thickBot="1" x14ac:dyDescent="0.25">
      <c r="B20" s="71" t="s">
        <v>156</v>
      </c>
      <c r="C20" s="8" t="s">
        <v>4</v>
      </c>
      <c r="D20" s="20">
        <f>SUM(D19:N19)</f>
        <v>23.071795373527429</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25.626249039591414</v>
      </c>
      <c r="F23" s="22">
        <f>E23*D23</f>
        <v>8.7129246734610817</v>
      </c>
      <c r="G23" s="25"/>
      <c r="P23" s="38"/>
    </row>
    <row r="24" spans="2:16" x14ac:dyDescent="0.2">
      <c r="B24" s="9"/>
      <c r="C24" s="9" t="s">
        <v>15</v>
      </c>
      <c r="D24" s="44">
        <v>0.33</v>
      </c>
      <c r="E24" s="41">
        <f>D14</f>
        <v>30.427777502911574</v>
      </c>
      <c r="F24" s="22">
        <f>E24*D24</f>
        <v>10.041166575960821</v>
      </c>
      <c r="G24" s="25"/>
      <c r="P24" s="38"/>
    </row>
    <row r="25" spans="2:16" ht="13.5" thickBot="1" x14ac:dyDescent="0.25">
      <c r="B25" s="9"/>
      <c r="C25" s="10" t="s">
        <v>29</v>
      </c>
      <c r="D25" s="44">
        <v>0.33</v>
      </c>
      <c r="E25" s="23">
        <f>D20</f>
        <v>23.071795373527429</v>
      </c>
      <c r="F25" s="24">
        <f>E25*D25</f>
        <v>7.6136924732640523</v>
      </c>
      <c r="G25" s="25"/>
      <c r="P25" s="38"/>
    </row>
    <row r="26" spans="2:16" ht="13.5" thickBot="1" x14ac:dyDescent="0.25">
      <c r="B26" s="9"/>
      <c r="C26" s="36" t="s">
        <v>167</v>
      </c>
      <c r="D26" s="36">
        <f>C3</f>
        <v>28.16</v>
      </c>
      <c r="E26" s="15" t="s">
        <v>11</v>
      </c>
      <c r="F26" s="16">
        <f>SUM(F23:F25)</f>
        <v>26.367783722685957</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45" priority="1" operator="containsText" text="overvalued">
      <formula>NOT(ISERROR(SEARCH("overvalued",D3)))</formula>
    </cfRule>
    <cfRule type="containsText" dxfId="44" priority="2" operator="containsText" text="undervalued">
      <formula>NOT(ISERROR(SEARCH("undervalued",D3)))</formula>
    </cfRule>
  </conditionalFormatting>
  <hyperlinks>
    <hyperlink ref="C30" r:id="rId1" xr:uid="{AF17FE26-4812-1D4F-AE4D-D760298A9E13}"/>
    <hyperlink ref="B4" location="'COMPARATIVE TABLE'!A1" display="'COMPARATIVE TABLE'!A1" xr:uid="{026C71AC-1D9D-2A44-A11E-D6F8E05732FF}"/>
    <hyperlink ref="C2" r:id="rId2" xr:uid="{69D5CF51-2030-FF45-8845-ACFD60BDD89C}"/>
  </hyperlinks>
  <pageMargins left="0.7" right="0.7" top="0.78740157499999996" bottom="0.78740157499999996" header="0.3" footer="0.3"/>
  <pageSetup paperSize="9" orientation="portrait" r:id="rId3"/>
  <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62F6-A036-AD4C-A695-7EB5D2AB940B}">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387</v>
      </c>
      <c r="C2" s="31" t="s">
        <v>36</v>
      </c>
      <c r="D2" s="32"/>
      <c r="E2" s="33"/>
      <c r="F2" s="33"/>
      <c r="G2" s="33"/>
      <c r="H2" s="33"/>
      <c r="I2" s="33"/>
      <c r="J2" s="33"/>
      <c r="K2" s="33"/>
      <c r="L2" s="33"/>
      <c r="M2" s="33"/>
      <c r="N2" s="33"/>
      <c r="O2" s="33"/>
      <c r="P2" s="34"/>
      <c r="S2" s="3" t="s">
        <v>7</v>
      </c>
    </row>
    <row r="3" spans="2:19" ht="13.5" thickBot="1" x14ac:dyDescent="0.25">
      <c r="B3" s="35" t="s">
        <v>166</v>
      </c>
      <c r="C3" s="29">
        <f>'COMPARATIVE TABLE'!C28</f>
        <v>23.06</v>
      </c>
      <c r="D3" s="37"/>
      <c r="F3" s="73" t="s">
        <v>189</v>
      </c>
      <c r="G3" s="74"/>
      <c r="H3" s="74"/>
      <c r="I3" s="75">
        <v>0.55000000000000004</v>
      </c>
      <c r="P3" s="38"/>
    </row>
    <row r="4" spans="2:19" ht="26.25" thickBot="1" x14ac:dyDescent="0.25">
      <c r="B4" s="39" t="s">
        <v>85</v>
      </c>
      <c r="N4" s="76" t="s">
        <v>5</v>
      </c>
      <c r="O4" s="4" t="s">
        <v>0</v>
      </c>
      <c r="P4" s="38"/>
    </row>
    <row r="5" spans="2:19" x14ac:dyDescent="0.2">
      <c r="B5" s="71" t="s">
        <v>8</v>
      </c>
      <c r="C5" s="5" t="s">
        <v>329</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v>
      </c>
      <c r="P5" s="38" t="s">
        <v>1</v>
      </c>
      <c r="R5" s="1"/>
    </row>
    <row r="6" spans="2:19" x14ac:dyDescent="0.2">
      <c r="B6" s="71" t="s">
        <v>19</v>
      </c>
      <c r="C6" s="86">
        <v>3.13</v>
      </c>
      <c r="D6" s="41">
        <f>C6*(1+$O$5)</f>
        <v>3.13</v>
      </c>
      <c r="E6" s="41">
        <f>D6*(1+$O$5)</f>
        <v>3.13</v>
      </c>
      <c r="F6" s="41">
        <f>E6*(1+$O$5)</f>
        <v>3.13</v>
      </c>
      <c r="G6" s="41">
        <f>F6*(1+$O$5)</f>
        <v>3.13</v>
      </c>
      <c r="H6" s="41">
        <f>G6*(1+$O$5)</f>
        <v>3.13</v>
      </c>
      <c r="I6" s="41">
        <f>H6*(1+$O$6)</f>
        <v>3.13</v>
      </c>
      <c r="J6" s="41">
        <f>I6*(1+$O$6)</f>
        <v>3.13</v>
      </c>
      <c r="K6" s="41">
        <f>J6*(1+$O$6)</f>
        <v>3.13</v>
      </c>
      <c r="L6" s="41">
        <f>K6*(1+$O$6)</f>
        <v>3.13</v>
      </c>
      <c r="M6" s="41">
        <f>L6*(1+$O$6)</f>
        <v>3.13</v>
      </c>
      <c r="N6" s="72">
        <f>L6*O8</f>
        <v>31.299999999999997</v>
      </c>
      <c r="O6" s="70">
        <v>0</v>
      </c>
      <c r="P6" s="27" t="s">
        <v>2</v>
      </c>
    </row>
    <row r="7" spans="2:19" x14ac:dyDescent="0.2">
      <c r="B7" s="9"/>
      <c r="C7" s="7" t="str">
        <f>CONCATENATE(R8,O7*100,S8)</f>
        <v>PV(10%)</v>
      </c>
      <c r="D7" s="72">
        <f>D6*(1+$O$7)^($D$5-D5-1)*$I$3</f>
        <v>1.5649999999999999</v>
      </c>
      <c r="E7" s="72">
        <f t="shared" ref="E7:M7" si="1">E6*(1+$O$7)^($D$5-E5-1)*$I$3</f>
        <v>1.4227272727272726</v>
      </c>
      <c r="F7" s="72">
        <f t="shared" si="1"/>
        <v>1.2933884297520659</v>
      </c>
      <c r="G7" s="72">
        <f t="shared" si="1"/>
        <v>1.1758076634109689</v>
      </c>
      <c r="H7" s="72">
        <f t="shared" si="1"/>
        <v>1.0689160576463352</v>
      </c>
      <c r="I7" s="72">
        <f t="shared" si="1"/>
        <v>0.97174187058757755</v>
      </c>
      <c r="J7" s="72">
        <f t="shared" si="1"/>
        <v>0.88340170053416112</v>
      </c>
      <c r="K7" s="72">
        <f t="shared" si="1"/>
        <v>0.80309245503105575</v>
      </c>
      <c r="L7" s="72">
        <f t="shared" si="1"/>
        <v>0.7300840500282324</v>
      </c>
      <c r="M7" s="72">
        <f t="shared" si="1"/>
        <v>0.6637127727529385</v>
      </c>
      <c r="N7" s="72">
        <f t="shared" ref="N7" si="2">N6*(1+$O$7)^($D$5-N5-1)</f>
        <v>12.067504959144333</v>
      </c>
      <c r="O7" s="17">
        <v>0.1</v>
      </c>
      <c r="P7" s="45" t="s">
        <v>3</v>
      </c>
    </row>
    <row r="8" spans="2:19" ht="13.5" thickBot="1" x14ac:dyDescent="0.25">
      <c r="B8" s="9"/>
      <c r="C8" s="8" t="s">
        <v>26</v>
      </c>
      <c r="D8" s="20">
        <f>SUM(D7:N7)</f>
        <v>22.645377231614944</v>
      </c>
      <c r="E8" s="21"/>
      <c r="F8" s="21"/>
      <c r="G8" s="21"/>
      <c r="H8" s="21"/>
      <c r="I8" s="21"/>
      <c r="J8" s="21"/>
      <c r="K8" s="21"/>
      <c r="L8" s="21"/>
      <c r="M8" s="21"/>
      <c r="N8" s="21"/>
      <c r="O8" s="78">
        <v>10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0.04</v>
      </c>
      <c r="P11" s="38" t="s">
        <v>1</v>
      </c>
    </row>
    <row r="12" spans="2:19" x14ac:dyDescent="0.2">
      <c r="B12" s="71" t="s">
        <v>18</v>
      </c>
      <c r="C12" s="6">
        <f>C6</f>
        <v>3.13</v>
      </c>
      <c r="D12" s="41">
        <f>C12*(1+$O$11)</f>
        <v>3.2551999999999999</v>
      </c>
      <c r="E12" s="41">
        <f>D12*(1+$O$11)</f>
        <v>3.385408</v>
      </c>
      <c r="F12" s="41">
        <f>E12*(1+$O$11)</f>
        <v>3.52082432</v>
      </c>
      <c r="G12" s="41">
        <f>F12*(1+$O$11)</f>
        <v>3.6616572928000002</v>
      </c>
      <c r="H12" s="41">
        <f>G12*(1+$O$11)</f>
        <v>3.8081235845120003</v>
      </c>
      <c r="I12" s="41">
        <f>H12*(1+$O$12)</f>
        <v>3.9604485278924804</v>
      </c>
      <c r="J12" s="41">
        <f>I12*(1+$O$12)</f>
        <v>4.1188664690081795</v>
      </c>
      <c r="K12" s="41">
        <f>J12*(1+$O$12)</f>
        <v>4.283621127768507</v>
      </c>
      <c r="L12" s="41">
        <f>K12*(1+$O$12)</f>
        <v>4.454965972879247</v>
      </c>
      <c r="M12" s="41">
        <f>L12*(1+$O$12)</f>
        <v>4.6331646117944167</v>
      </c>
      <c r="N12" s="41">
        <f>L12*O14</f>
        <v>53.459591674550964</v>
      </c>
      <c r="O12" s="70">
        <v>0.04</v>
      </c>
      <c r="P12" s="27" t="s">
        <v>2</v>
      </c>
    </row>
    <row r="13" spans="2:19" x14ac:dyDescent="0.2">
      <c r="B13" s="9">
        <f>B7</f>
        <v>0</v>
      </c>
      <c r="C13" s="7" t="str">
        <f>C7</f>
        <v>PV(10%)</v>
      </c>
      <c r="D13" s="41">
        <f>D12*(1+$O$13)^($D$11-D11-1)*$I$3</f>
        <v>1.6276000000000002</v>
      </c>
      <c r="E13" s="41">
        <f t="shared" ref="E13:M13" si="4">E12*(1+$O$13)^($D$11-E11-1)*$I$3</f>
        <v>1.5388218181818181</v>
      </c>
      <c r="F13" s="41">
        <f t="shared" si="4"/>
        <v>1.4548860826446277</v>
      </c>
      <c r="G13" s="41">
        <f t="shared" si="4"/>
        <v>1.375528659954921</v>
      </c>
      <c r="H13" s="41">
        <f t="shared" si="4"/>
        <v>1.3004998239573795</v>
      </c>
      <c r="I13" s="41">
        <f t="shared" si="4"/>
        <v>1.2295634699233406</v>
      </c>
      <c r="J13" s="41">
        <f t="shared" si="4"/>
        <v>1.1624963715638854</v>
      </c>
      <c r="K13" s="41">
        <f t="shared" si="4"/>
        <v>1.099087478569492</v>
      </c>
      <c r="L13" s="41">
        <f t="shared" si="4"/>
        <v>1.0391372524657014</v>
      </c>
      <c r="M13" s="41">
        <f t="shared" si="4"/>
        <v>0.9824570386948448</v>
      </c>
      <c r="N13" s="41">
        <f>N12*(1+$O$7)^($D$5-N11-1)</f>
        <v>20.610986825765973</v>
      </c>
      <c r="O13" s="17">
        <f>O7</f>
        <v>0.1</v>
      </c>
      <c r="P13" s="38" t="s">
        <v>3</v>
      </c>
    </row>
    <row r="14" spans="2:19" ht="13.5" thickBot="1" x14ac:dyDescent="0.25">
      <c r="B14" s="9"/>
      <c r="C14" s="8" t="s">
        <v>4</v>
      </c>
      <c r="D14" s="20">
        <f>SUM(D13:N13)</f>
        <v>33.421064821721984</v>
      </c>
      <c r="E14" s="21"/>
      <c r="F14" s="21"/>
      <c r="G14" s="21"/>
      <c r="H14" s="21"/>
      <c r="I14" s="21"/>
      <c r="J14" s="21"/>
      <c r="K14" s="21"/>
      <c r="L14" s="21"/>
      <c r="M14" s="21"/>
      <c r="N14" s="21"/>
      <c r="O14" s="18">
        <v>12</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3.13</v>
      </c>
      <c r="D18" s="41">
        <f>C18*(1+$O$17)</f>
        <v>3.13</v>
      </c>
      <c r="E18" s="41">
        <f>D18*(1+$O$17)</f>
        <v>3.13</v>
      </c>
      <c r="F18" s="41">
        <f>E18*(1+$O$17)</f>
        <v>3.13</v>
      </c>
      <c r="G18" s="41">
        <f>F18*(1+$O$17)</f>
        <v>3.13</v>
      </c>
      <c r="H18" s="41">
        <f>G18*(1+$O$17)</f>
        <v>3.13</v>
      </c>
      <c r="I18" s="41">
        <f>H18*(1+$O$18)</f>
        <v>3.13</v>
      </c>
      <c r="J18" s="41">
        <f>I18*(1+$O$18)</f>
        <v>3.13</v>
      </c>
      <c r="K18" s="41">
        <f>J18*(1+$O$18)</f>
        <v>3.13</v>
      </c>
      <c r="L18" s="41">
        <f>K18*(1+$O$18)</f>
        <v>3.13</v>
      </c>
      <c r="M18" s="41">
        <f>L18*(1+$O$18)</f>
        <v>3.13</v>
      </c>
      <c r="N18" s="41">
        <f>L18*O20</f>
        <v>25.04</v>
      </c>
      <c r="O18" s="70">
        <v>0</v>
      </c>
      <c r="P18" s="27" t="s">
        <v>2</v>
      </c>
    </row>
    <row r="19" spans="2:16" x14ac:dyDescent="0.2">
      <c r="B19" s="71" t="s">
        <v>155</v>
      </c>
      <c r="C19" s="7" t="str">
        <f>C13</f>
        <v>PV(10%)</v>
      </c>
      <c r="D19" s="41">
        <f>D18*(1+$O$19)^($D$17-D17-1)*$I$3</f>
        <v>1.5649999999999999</v>
      </c>
      <c r="E19" s="41">
        <f t="shared" ref="E19:M19" si="6">E18*(1+$O$19)^($D$17-E17-1)*$I$3</f>
        <v>1.4227272727272726</v>
      </c>
      <c r="F19" s="41">
        <f t="shared" si="6"/>
        <v>1.2933884297520659</v>
      </c>
      <c r="G19" s="41">
        <f t="shared" si="6"/>
        <v>1.1758076634109689</v>
      </c>
      <c r="H19" s="41">
        <f t="shared" si="6"/>
        <v>1.0689160576463352</v>
      </c>
      <c r="I19" s="41">
        <f t="shared" si="6"/>
        <v>0.97174187058757755</v>
      </c>
      <c r="J19" s="41">
        <f t="shared" si="6"/>
        <v>0.88340170053416112</v>
      </c>
      <c r="K19" s="41">
        <f t="shared" si="6"/>
        <v>0.80309245503105575</v>
      </c>
      <c r="L19" s="41">
        <f t="shared" si="6"/>
        <v>0.7300840500282324</v>
      </c>
      <c r="M19" s="41">
        <f t="shared" si="6"/>
        <v>0.6637127727529385</v>
      </c>
      <c r="N19" s="41">
        <f t="shared" ref="N19" si="7">N18*(1+$O$19)^($D$17-N17-1)</f>
        <v>9.6540039673154681</v>
      </c>
      <c r="O19" s="17">
        <f>O13</f>
        <v>0.1</v>
      </c>
      <c r="P19" s="38" t="s">
        <v>3</v>
      </c>
    </row>
    <row r="20" spans="2:16" ht="13.5" thickBot="1" x14ac:dyDescent="0.25">
      <c r="B20" s="71" t="s">
        <v>156</v>
      </c>
      <c r="C20" s="8" t="s">
        <v>4</v>
      </c>
      <c r="D20" s="20">
        <f>SUM(D19:N19)</f>
        <v>20.231876239786075</v>
      </c>
      <c r="E20" s="21"/>
      <c r="F20" s="21"/>
      <c r="G20" s="21"/>
      <c r="H20" s="21"/>
      <c r="I20" s="21"/>
      <c r="J20" s="21"/>
      <c r="K20" s="21"/>
      <c r="L20" s="21"/>
      <c r="M20" s="21"/>
      <c r="N20" s="21"/>
      <c r="O20" s="78">
        <v>8</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22.645377231614944</v>
      </c>
      <c r="F23" s="22">
        <f>E23*D23</f>
        <v>7.6994282587490819</v>
      </c>
      <c r="G23" s="25"/>
      <c r="P23" s="38"/>
    </row>
    <row r="24" spans="2:16" x14ac:dyDescent="0.2">
      <c r="B24" s="9"/>
      <c r="C24" s="9" t="s">
        <v>15</v>
      </c>
      <c r="D24" s="44">
        <v>0.33</v>
      </c>
      <c r="E24" s="41">
        <f>D14</f>
        <v>33.421064821721984</v>
      </c>
      <c r="F24" s="22">
        <f>E24*D24</f>
        <v>11.028951391168254</v>
      </c>
      <c r="G24" s="25"/>
      <c r="P24" s="38"/>
    </row>
    <row r="25" spans="2:16" ht="13.5" thickBot="1" x14ac:dyDescent="0.25">
      <c r="B25" s="9"/>
      <c r="C25" s="10" t="s">
        <v>29</v>
      </c>
      <c r="D25" s="44">
        <v>0.33</v>
      </c>
      <c r="E25" s="23">
        <f>D20</f>
        <v>20.231876239786075</v>
      </c>
      <c r="F25" s="24">
        <f>E25*D25</f>
        <v>6.6765191591294055</v>
      </c>
      <c r="G25" s="25"/>
      <c r="P25" s="38"/>
    </row>
    <row r="26" spans="2:16" ht="13.5" thickBot="1" x14ac:dyDescent="0.25">
      <c r="B26" s="9"/>
      <c r="C26" s="36" t="s">
        <v>167</v>
      </c>
      <c r="D26" s="36">
        <f>C3</f>
        <v>23.06</v>
      </c>
      <c r="E26" s="15" t="s">
        <v>11</v>
      </c>
      <c r="F26" s="16">
        <f>SUM(F23:F25)</f>
        <v>25.404898809046742</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43" priority="1" operator="containsText" text="overvalued">
      <formula>NOT(ISERROR(SEARCH("overvalued",D3)))</formula>
    </cfRule>
    <cfRule type="containsText" dxfId="42" priority="2" operator="containsText" text="undervalued">
      <formula>NOT(ISERROR(SEARCH("undervalued",D3)))</formula>
    </cfRule>
  </conditionalFormatting>
  <hyperlinks>
    <hyperlink ref="C30" r:id="rId1" xr:uid="{E63D79B9-E220-9A42-8B97-2DBE9A966979}"/>
    <hyperlink ref="B4" location="'COMPARATIVE TABLE'!A1" display="'COMPARATIVE TABLE'!A1" xr:uid="{8605B1FA-8E47-674C-B3B3-6062BC9574D7}"/>
  </hyperlinks>
  <pageMargins left="0.7" right="0.7" top="0.78740157499999996" bottom="0.78740157499999996"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7CB2-213F-9649-ABF5-E173098335F7}">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314</v>
      </c>
      <c r="C2" s="89" t="s">
        <v>36</v>
      </c>
      <c r="D2" s="32"/>
      <c r="E2" s="33"/>
      <c r="F2" s="33"/>
      <c r="G2" s="33"/>
      <c r="H2" s="33"/>
      <c r="I2" s="33"/>
      <c r="J2" s="33"/>
      <c r="K2" s="33"/>
      <c r="L2" s="33"/>
      <c r="M2" s="33"/>
      <c r="N2" s="33"/>
      <c r="O2" s="33"/>
      <c r="P2" s="34"/>
      <c r="S2" s="3" t="s">
        <v>7</v>
      </c>
    </row>
    <row r="3" spans="2:19" ht="13.5" thickBot="1" x14ac:dyDescent="0.25">
      <c r="B3" s="35" t="s">
        <v>166</v>
      </c>
      <c r="C3" s="29">
        <f>'COMPARATIVE TABLE'!C29</f>
        <v>23.81</v>
      </c>
      <c r="D3" s="37"/>
      <c r="F3" s="73" t="s">
        <v>189</v>
      </c>
      <c r="G3" s="74"/>
      <c r="H3" s="74"/>
      <c r="I3" s="75">
        <v>0.4</v>
      </c>
      <c r="P3" s="38"/>
    </row>
    <row r="4" spans="2:19" ht="26.25" thickBot="1" x14ac:dyDescent="0.25">
      <c r="B4" s="39" t="s">
        <v>85</v>
      </c>
      <c r="N4" s="76" t="s">
        <v>5</v>
      </c>
      <c r="O4" s="4" t="s">
        <v>0</v>
      </c>
      <c r="P4" s="38"/>
    </row>
    <row r="5" spans="2:19" x14ac:dyDescent="0.2">
      <c r="B5" s="71" t="s">
        <v>8</v>
      </c>
      <c r="C5" s="5" t="s">
        <v>356</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0.1</v>
      </c>
      <c r="P5" s="38" t="s">
        <v>1</v>
      </c>
      <c r="R5" s="1"/>
    </row>
    <row r="6" spans="2:19" x14ac:dyDescent="0.2">
      <c r="B6" s="71" t="s">
        <v>19</v>
      </c>
      <c r="C6" s="86">
        <v>3.3</v>
      </c>
      <c r="D6" s="41">
        <f>C6*(1+$O$5)</f>
        <v>3.63</v>
      </c>
      <c r="E6" s="41">
        <f>D6*(1+$O$5)</f>
        <v>3.9930000000000003</v>
      </c>
      <c r="F6" s="41">
        <f>E6*(1+$O$5)</f>
        <v>4.3923000000000005</v>
      </c>
      <c r="G6" s="41">
        <f>F6*(1+$O$5)</f>
        <v>4.8315300000000008</v>
      </c>
      <c r="H6" s="41">
        <f>G6*(1+$O$5)</f>
        <v>5.3146830000000014</v>
      </c>
      <c r="I6" s="41">
        <f>H6*(1+$O$6)</f>
        <v>5.0489488500000013</v>
      </c>
      <c r="J6" s="41">
        <f>I6*(1+$O$6)</f>
        <v>4.796501407500001</v>
      </c>
      <c r="K6" s="41">
        <f>J6*(1+$O$6)</f>
        <v>4.5566763371250003</v>
      </c>
      <c r="L6" s="41">
        <f>K6*(1+$O$6)</f>
        <v>4.3288425202687497</v>
      </c>
      <c r="M6" s="41">
        <f>L6*(1+$O$6)</f>
        <v>4.112400394255312</v>
      </c>
      <c r="N6" s="72">
        <f>L6*O8</f>
        <v>43.288425202687499</v>
      </c>
      <c r="O6" s="70">
        <v>-0.05</v>
      </c>
      <c r="P6" s="27" t="s">
        <v>2</v>
      </c>
    </row>
    <row r="7" spans="2:19" x14ac:dyDescent="0.2">
      <c r="B7" s="9"/>
      <c r="C7" s="7" t="str">
        <f>CONCATENATE(R8,O7*100,S8)</f>
        <v>PV(10%)</v>
      </c>
      <c r="D7" s="72">
        <f>D6*(1+$O$7)^($D$5-D5-1)*$I$3</f>
        <v>1.32</v>
      </c>
      <c r="E7" s="72">
        <f t="shared" ref="E7:M7" si="1">E6*(1+$O$7)^($D$5-E5-1)*$I$3</f>
        <v>1.32</v>
      </c>
      <c r="F7" s="72">
        <f t="shared" si="1"/>
        <v>1.3199999999999998</v>
      </c>
      <c r="G7" s="72">
        <f t="shared" si="1"/>
        <v>1.32</v>
      </c>
      <c r="H7" s="72">
        <f t="shared" si="1"/>
        <v>1.3199999999999998</v>
      </c>
      <c r="I7" s="72">
        <f t="shared" si="1"/>
        <v>1.1399999999999999</v>
      </c>
      <c r="J7" s="72">
        <f t="shared" si="1"/>
        <v>0.98454545454545428</v>
      </c>
      <c r="K7" s="72">
        <f t="shared" si="1"/>
        <v>0.85028925619834672</v>
      </c>
      <c r="L7" s="72">
        <f t="shared" si="1"/>
        <v>0.7343407212622084</v>
      </c>
      <c r="M7" s="72">
        <f t="shared" si="1"/>
        <v>0.63420335018099805</v>
      </c>
      <c r="N7" s="72">
        <f t="shared" ref="N7" si="2">N6*(1+$O$7)^($D$5-N5-1)</f>
        <v>16.689561846868372</v>
      </c>
      <c r="O7" s="17">
        <v>0.1</v>
      </c>
      <c r="P7" s="45" t="s">
        <v>3</v>
      </c>
    </row>
    <row r="8" spans="2:19" ht="13.5" thickBot="1" x14ac:dyDescent="0.25">
      <c r="B8" s="9"/>
      <c r="C8" s="8" t="s">
        <v>26</v>
      </c>
      <c r="D8" s="20">
        <f>SUM(D7:N7)</f>
        <v>27.632940629055376</v>
      </c>
      <c r="E8" s="21"/>
      <c r="F8" s="21"/>
      <c r="G8" s="21"/>
      <c r="H8" s="21"/>
      <c r="I8" s="21"/>
      <c r="J8" s="21"/>
      <c r="K8" s="21"/>
      <c r="L8" s="21"/>
      <c r="M8" s="21"/>
      <c r="N8" s="21"/>
      <c r="O8" s="78">
        <v>10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0.03</v>
      </c>
      <c r="P11" s="38" t="s">
        <v>1</v>
      </c>
    </row>
    <row r="12" spans="2:19" x14ac:dyDescent="0.2">
      <c r="B12" s="71" t="s">
        <v>18</v>
      </c>
      <c r="C12" s="6">
        <f>C6</f>
        <v>3.3</v>
      </c>
      <c r="D12" s="41">
        <f>C12*(1+$O$11)</f>
        <v>3.399</v>
      </c>
      <c r="E12" s="41">
        <f>D12*(1+$O$11)</f>
        <v>3.5009700000000001</v>
      </c>
      <c r="F12" s="41">
        <f>E12*(1+$O$11)</f>
        <v>3.6059991000000005</v>
      </c>
      <c r="G12" s="41">
        <f>F12*(1+$O$11)</f>
        <v>3.7141790730000004</v>
      </c>
      <c r="H12" s="41">
        <f>G12*(1+$O$11)</f>
        <v>3.8256044451900006</v>
      </c>
      <c r="I12" s="41">
        <f>H12*(1+$O$12)</f>
        <v>3.9403725785457007</v>
      </c>
      <c r="J12" s="41">
        <f>I12*(1+$O$12)</f>
        <v>4.0585837559020721</v>
      </c>
      <c r="K12" s="41">
        <f>J12*(1+$O$12)</f>
        <v>4.1803412685791344</v>
      </c>
      <c r="L12" s="41">
        <f>K12*(1+$O$12)</f>
        <v>4.3057515066365086</v>
      </c>
      <c r="M12" s="41">
        <f>L12*(1+$O$12)</f>
        <v>4.4349240518356039</v>
      </c>
      <c r="N12" s="41">
        <f>L12*O14</f>
        <v>51.669018079638107</v>
      </c>
      <c r="O12" s="70">
        <v>0.03</v>
      </c>
      <c r="P12" s="27" t="s">
        <v>2</v>
      </c>
    </row>
    <row r="13" spans="2:19" x14ac:dyDescent="0.2">
      <c r="B13" s="9">
        <f>B7</f>
        <v>0</v>
      </c>
      <c r="C13" s="7" t="str">
        <f>C7</f>
        <v>PV(10%)</v>
      </c>
      <c r="D13" s="41">
        <f>D12*(1+$O$13)^($D$11-D11-1)*$I$3</f>
        <v>1.236</v>
      </c>
      <c r="E13" s="41">
        <f t="shared" ref="E13:M13" si="4">E12*(1+$O$13)^($D$11-E11-1)*$I$3</f>
        <v>1.1573454545454547</v>
      </c>
      <c r="F13" s="41">
        <f t="shared" si="4"/>
        <v>1.0836961983471072</v>
      </c>
      <c r="G13" s="41">
        <f t="shared" si="4"/>
        <v>1.0147337129977458</v>
      </c>
      <c r="H13" s="41">
        <f t="shared" si="4"/>
        <v>0.95015974944334392</v>
      </c>
      <c r="I13" s="41">
        <f t="shared" si="4"/>
        <v>0.88969503811513106</v>
      </c>
      <c r="J13" s="41">
        <f t="shared" si="4"/>
        <v>0.83307808114416815</v>
      </c>
      <c r="K13" s="41">
        <f t="shared" si="4"/>
        <v>0.78006402143499376</v>
      </c>
      <c r="L13" s="41">
        <f t="shared" si="4"/>
        <v>0.73042358370731242</v>
      </c>
      <c r="M13" s="41">
        <f t="shared" si="4"/>
        <v>0.68394208292593794</v>
      </c>
      <c r="N13" s="41">
        <f>N12*(1+$O$7)^($D$5-N11-1)</f>
        <v>19.920643192017611</v>
      </c>
      <c r="O13" s="17">
        <f>O7</f>
        <v>0.1</v>
      </c>
      <c r="P13" s="38" t="s">
        <v>3</v>
      </c>
    </row>
    <row r="14" spans="2:19" ht="13.5" thickBot="1" x14ac:dyDescent="0.25">
      <c r="B14" s="9"/>
      <c r="C14" s="8" t="s">
        <v>4</v>
      </c>
      <c r="D14" s="20">
        <f>SUM(D13:N13)</f>
        <v>29.279781114678805</v>
      </c>
      <c r="E14" s="21"/>
      <c r="F14" s="21"/>
      <c r="G14" s="21"/>
      <c r="H14" s="21"/>
      <c r="I14" s="21"/>
      <c r="J14" s="21"/>
      <c r="K14" s="21"/>
      <c r="L14" s="21"/>
      <c r="M14" s="21"/>
      <c r="N14" s="21"/>
      <c r="O14" s="18">
        <v>12</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-0.03</v>
      </c>
      <c r="P17" s="38" t="s">
        <v>1</v>
      </c>
    </row>
    <row r="18" spans="2:16" x14ac:dyDescent="0.2">
      <c r="B18" s="71" t="s">
        <v>17</v>
      </c>
      <c r="C18" s="6">
        <f>C12</f>
        <v>3.3</v>
      </c>
      <c r="D18" s="41">
        <f>C18*(1+$O$17)</f>
        <v>3.2009999999999996</v>
      </c>
      <c r="E18" s="41">
        <f>D18*(1+$O$17)</f>
        <v>3.1049699999999993</v>
      </c>
      <c r="F18" s="41">
        <f>E18*(1+$O$17)</f>
        <v>3.0118208999999991</v>
      </c>
      <c r="G18" s="41">
        <f>F18*(1+$O$17)</f>
        <v>2.9214662729999992</v>
      </c>
      <c r="H18" s="41">
        <f>G18*(1+$O$17)</f>
        <v>2.8338222848099992</v>
      </c>
      <c r="I18" s="41">
        <f>H18*(1+$O$18)</f>
        <v>2.6921311705694992</v>
      </c>
      <c r="J18" s="41">
        <f>I18*(1+$O$18)</f>
        <v>2.557524612041024</v>
      </c>
      <c r="K18" s="41">
        <f>J18*(1+$O$18)</f>
        <v>2.4296483814389727</v>
      </c>
      <c r="L18" s="41">
        <f>K18*(1+$O$18)</f>
        <v>2.3081659623670241</v>
      </c>
      <c r="M18" s="41">
        <f>L18*(1+$O$18)</f>
        <v>2.1927576642486728</v>
      </c>
      <c r="N18" s="41">
        <f>L18*O20</f>
        <v>23.081659623670241</v>
      </c>
      <c r="O18" s="70">
        <v>-0.05</v>
      </c>
      <c r="P18" s="27" t="s">
        <v>2</v>
      </c>
    </row>
    <row r="19" spans="2:16" x14ac:dyDescent="0.2">
      <c r="B19" s="71" t="s">
        <v>155</v>
      </c>
      <c r="C19" s="7" t="str">
        <f>C13</f>
        <v>PV(10%)</v>
      </c>
      <c r="D19" s="41">
        <f>D18*(1+$O$19)^($D$17-D17-1)*$I$3</f>
        <v>1.1639999999999999</v>
      </c>
      <c r="E19" s="41">
        <f t="shared" ref="E19:M19" si="6">E18*(1+$O$19)^($D$17-E17-1)*$I$3</f>
        <v>1.0264363636363634</v>
      </c>
      <c r="F19" s="41">
        <f t="shared" si="6"/>
        <v>0.90513024793388386</v>
      </c>
      <c r="G19" s="41">
        <f t="shared" si="6"/>
        <v>0.79816030954169759</v>
      </c>
      <c r="H19" s="41">
        <f t="shared" si="6"/>
        <v>0.70383227295949691</v>
      </c>
      <c r="I19" s="41">
        <f t="shared" si="6"/>
        <v>0.60785514482865644</v>
      </c>
      <c r="J19" s="41">
        <f t="shared" si="6"/>
        <v>0.52496580689747574</v>
      </c>
      <c r="K19" s="41">
        <f t="shared" si="6"/>
        <v>0.45337956050236539</v>
      </c>
      <c r="L19" s="41">
        <f t="shared" si="6"/>
        <v>0.39155507497931563</v>
      </c>
      <c r="M19" s="41">
        <f t="shared" si="6"/>
        <v>0.33816120111849979</v>
      </c>
      <c r="N19" s="41">
        <f t="shared" ref="N19" si="7">N18*(1+$O$19)^($D$17-N17-1)</f>
        <v>8.898978976802626</v>
      </c>
      <c r="O19" s="17">
        <f>O13</f>
        <v>0.1</v>
      </c>
      <c r="P19" s="38" t="s">
        <v>3</v>
      </c>
    </row>
    <row r="20" spans="2:16" ht="13.5" thickBot="1" x14ac:dyDescent="0.25">
      <c r="B20" s="71" t="s">
        <v>156</v>
      </c>
      <c r="C20" s="8" t="s">
        <v>4</v>
      </c>
      <c r="D20" s="20">
        <f>SUM(D19:N19)</f>
        <v>15.81245495920038</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1</v>
      </c>
      <c r="E23" s="41">
        <f>D8</f>
        <v>27.632940629055376</v>
      </c>
      <c r="F23" s="22">
        <f>E23*D23</f>
        <v>27.632940629055376</v>
      </c>
      <c r="G23" s="25"/>
      <c r="P23" s="38"/>
    </row>
    <row r="24" spans="2:16" x14ac:dyDescent="0.2">
      <c r="B24" s="9"/>
      <c r="C24" s="9" t="s">
        <v>15</v>
      </c>
      <c r="D24" s="44">
        <v>0</v>
      </c>
      <c r="E24" s="41">
        <f>D14</f>
        <v>29.279781114678805</v>
      </c>
      <c r="F24" s="22">
        <f>E24*D24</f>
        <v>0</v>
      </c>
      <c r="G24" s="25"/>
      <c r="P24" s="38"/>
    </row>
    <row r="25" spans="2:16" ht="13.5" thickBot="1" x14ac:dyDescent="0.25">
      <c r="B25" s="9"/>
      <c r="C25" s="10" t="s">
        <v>29</v>
      </c>
      <c r="D25" s="44">
        <v>0</v>
      </c>
      <c r="E25" s="23">
        <f>D20</f>
        <v>15.81245495920038</v>
      </c>
      <c r="F25" s="24">
        <f>E25*D25</f>
        <v>0</v>
      </c>
      <c r="G25" s="25"/>
      <c r="P25" s="38"/>
    </row>
    <row r="26" spans="2:16" ht="13.5" thickBot="1" x14ac:dyDescent="0.25">
      <c r="B26" s="9"/>
      <c r="C26" s="36" t="s">
        <v>167</v>
      </c>
      <c r="D26" s="36">
        <f>C3</f>
        <v>23.81</v>
      </c>
      <c r="E26" s="15" t="s">
        <v>11</v>
      </c>
      <c r="F26" s="16">
        <f>SUM(F23:F25)</f>
        <v>27.632940629055376</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41" priority="1" operator="containsText" text="overvalued">
      <formula>NOT(ISERROR(SEARCH("overvalued",D3)))</formula>
    </cfRule>
    <cfRule type="containsText" dxfId="40" priority="2" operator="containsText" text="undervalued">
      <formula>NOT(ISERROR(SEARCH("undervalued",D3)))</formula>
    </cfRule>
  </conditionalFormatting>
  <hyperlinks>
    <hyperlink ref="C30" r:id="rId1" xr:uid="{C2220EE1-F437-0D49-9F38-0B47FC395F76}"/>
    <hyperlink ref="B4" location="'COMPARATIVE TABLE'!A1" display="'COMPARATIVE TABLE'!A1" xr:uid="{9EBF5F43-F485-AC40-AD2C-B8AB970E13AA}"/>
    <hyperlink ref="C2" r:id="rId2" xr:uid="{C83D0F20-515A-7849-BF8A-37611E0014BA}"/>
  </hyperlinks>
  <pageMargins left="0.7" right="0.7" top="0.78740157499999996" bottom="0.78740157499999996" header="0.3" footer="0.3"/>
  <pageSetup paperSize="9" orientation="portrait" r:id="rId3"/>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D02E-7AB4-984E-A9F0-E8999F4A6117}">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315</v>
      </c>
      <c r="C2" s="89" t="s">
        <v>36</v>
      </c>
      <c r="D2" s="32"/>
      <c r="E2" s="33"/>
      <c r="F2" s="33"/>
      <c r="G2" s="33"/>
      <c r="H2" s="33"/>
      <c r="I2" s="33"/>
      <c r="J2" s="33"/>
      <c r="K2" s="33"/>
      <c r="L2" s="33"/>
      <c r="M2" s="33"/>
      <c r="N2" s="33"/>
      <c r="O2" s="33"/>
      <c r="P2" s="34"/>
      <c r="S2" s="3" t="s">
        <v>7</v>
      </c>
    </row>
    <row r="3" spans="2:19" ht="13.5" thickBot="1" x14ac:dyDescent="0.25">
      <c r="B3" s="35" t="s">
        <v>166</v>
      </c>
      <c r="C3" s="29">
        <f>'COMPARATIVE TABLE'!C30</f>
        <v>48.98</v>
      </c>
      <c r="D3" s="37"/>
      <c r="F3" s="73" t="s">
        <v>189</v>
      </c>
      <c r="G3" s="74"/>
      <c r="H3" s="74"/>
      <c r="I3" s="75">
        <v>1</v>
      </c>
      <c r="P3" s="38"/>
    </row>
    <row r="4" spans="2:19" ht="26.25" thickBot="1" x14ac:dyDescent="0.25">
      <c r="B4" s="39" t="s">
        <v>85</v>
      </c>
      <c r="N4" s="76" t="s">
        <v>5</v>
      </c>
      <c r="O4" s="4" t="s">
        <v>0</v>
      </c>
      <c r="P4" s="38"/>
    </row>
    <row r="5" spans="2:19" x14ac:dyDescent="0.2">
      <c r="B5" s="71" t="s">
        <v>8</v>
      </c>
      <c r="C5" s="5" t="s">
        <v>192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0.03</v>
      </c>
      <c r="P5" s="38" t="s">
        <v>1</v>
      </c>
      <c r="R5" s="1"/>
    </row>
    <row r="6" spans="2:19" x14ac:dyDescent="0.2">
      <c r="B6" s="71" t="s">
        <v>19</v>
      </c>
      <c r="C6" s="86">
        <v>3.33</v>
      </c>
      <c r="D6" s="41">
        <f>C6*(1+$O$5)</f>
        <v>3.4298999999999999</v>
      </c>
      <c r="E6" s="41">
        <f>D6*(1+$O$5)</f>
        <v>3.532797</v>
      </c>
      <c r="F6" s="41">
        <f>E6*(1+$O$5)</f>
        <v>3.6387809099999999</v>
      </c>
      <c r="G6" s="41">
        <f>F6*(1+$O$5)</f>
        <v>3.7479443372999999</v>
      </c>
      <c r="H6" s="41">
        <f>G6*(1+$O$5)</f>
        <v>3.860382667419</v>
      </c>
      <c r="I6" s="41">
        <f>H6*(1+$O$6)</f>
        <v>3.9761941474415701</v>
      </c>
      <c r="J6" s="41">
        <f>I6*(1+$O$6)</f>
        <v>4.0954799718648172</v>
      </c>
      <c r="K6" s="41">
        <f>J6*(1+$O$6)</f>
        <v>4.2183443710207618</v>
      </c>
      <c r="L6" s="41">
        <f>K6*(1+$O$6)</f>
        <v>4.3448947021513851</v>
      </c>
      <c r="M6" s="41">
        <f>L6*(1+$O$6)</f>
        <v>4.4752415432159269</v>
      </c>
      <c r="N6" s="72">
        <f>L6*O8</f>
        <v>65.173420532270782</v>
      </c>
      <c r="O6" s="70">
        <v>0.03</v>
      </c>
      <c r="P6" s="27" t="s">
        <v>2</v>
      </c>
    </row>
    <row r="7" spans="2:19" x14ac:dyDescent="0.2">
      <c r="B7" s="9"/>
      <c r="C7" s="7" t="str">
        <f>CONCATENATE(R8,O7*100,S8)</f>
        <v>PV(10%)</v>
      </c>
      <c r="D7" s="72">
        <f>D6*(1+$O$7)^($D$5-D5-1)*$I$3</f>
        <v>3.1180909090909088</v>
      </c>
      <c r="E7" s="72">
        <f t="shared" ref="E7:M7" si="1">E6*(1+$O$7)^($D$5-E5-1)*$I$3</f>
        <v>2.9196669421487598</v>
      </c>
      <c r="F7" s="72">
        <f t="shared" si="1"/>
        <v>2.733869954921111</v>
      </c>
      <c r="G7" s="72">
        <f t="shared" si="1"/>
        <v>2.5598964123352221</v>
      </c>
      <c r="H7" s="72">
        <f t="shared" si="1"/>
        <v>2.3969939133684353</v>
      </c>
      <c r="I7" s="72">
        <f t="shared" si="1"/>
        <v>2.2444579370631712</v>
      </c>
      <c r="J7" s="72">
        <f t="shared" si="1"/>
        <v>2.1016287956136961</v>
      </c>
      <c r="K7" s="72">
        <f t="shared" si="1"/>
        <v>1.9678887813473702</v>
      </c>
      <c r="L7" s="72">
        <f t="shared" si="1"/>
        <v>1.8426594952616284</v>
      </c>
      <c r="M7" s="72">
        <f t="shared" si="1"/>
        <v>1.7253993455631613</v>
      </c>
      <c r="N7" s="72">
        <f t="shared" ref="N7" si="2">N6*(1+$O$7)^($D$5-N5-1)</f>
        <v>25.127174935385845</v>
      </c>
      <c r="O7" s="17">
        <v>0.1</v>
      </c>
      <c r="P7" s="45" t="s">
        <v>3</v>
      </c>
    </row>
    <row r="8" spans="2:19" ht="13.5" thickBot="1" x14ac:dyDescent="0.25">
      <c r="B8" s="9"/>
      <c r="C8" s="8" t="s">
        <v>26</v>
      </c>
      <c r="D8" s="20">
        <f>SUM(D7:N7)</f>
        <v>48.737727422099312</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 CHF</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0.04</v>
      </c>
      <c r="P11" s="38" t="s">
        <v>1</v>
      </c>
    </row>
    <row r="12" spans="2:19" x14ac:dyDescent="0.2">
      <c r="B12" s="71" t="s">
        <v>18</v>
      </c>
      <c r="C12" s="6">
        <f>C6</f>
        <v>3.33</v>
      </c>
      <c r="D12" s="41">
        <f>C12*(1+$O$11)</f>
        <v>3.4632000000000001</v>
      </c>
      <c r="E12" s="41">
        <f>D12*(1+$O$11)</f>
        <v>3.601728</v>
      </c>
      <c r="F12" s="41">
        <f>E12*(1+$O$11)</f>
        <v>3.7457971200000002</v>
      </c>
      <c r="G12" s="41">
        <f>F12*(1+$O$11)</f>
        <v>3.8956290048000004</v>
      </c>
      <c r="H12" s="41">
        <f>G12*(1+$O$11)</f>
        <v>4.0514541649920002</v>
      </c>
      <c r="I12" s="41">
        <f>H12*(1+$O$12)</f>
        <v>4.21351233159168</v>
      </c>
      <c r="J12" s="41">
        <f>I12*(1+$O$12)</f>
        <v>4.3820528248553474</v>
      </c>
      <c r="K12" s="41">
        <f>J12*(1+$O$12)</f>
        <v>4.5573349378495616</v>
      </c>
      <c r="L12" s="41">
        <f>K12*(1+$O$12)</f>
        <v>4.7396283353635438</v>
      </c>
      <c r="M12" s="41">
        <f>L12*(1+$O$12)</f>
        <v>4.9292134687780855</v>
      </c>
      <c r="N12" s="41">
        <f>L12*O14</f>
        <v>94.792566707270879</v>
      </c>
      <c r="O12" s="70">
        <v>0.04</v>
      </c>
      <c r="P12" s="27" t="s">
        <v>2</v>
      </c>
    </row>
    <row r="13" spans="2:19" x14ac:dyDescent="0.2">
      <c r="B13" s="9">
        <f>B7</f>
        <v>0</v>
      </c>
      <c r="C13" s="7" t="str">
        <f>C7</f>
        <v>PV(10%)</v>
      </c>
      <c r="D13" s="41">
        <f>D12*(1+$O$13)^($D$11-D11-1)*$I$3</f>
        <v>3.1483636363636363</v>
      </c>
      <c r="E13" s="41">
        <f t="shared" ref="E13:M13" si="4">E12*(1+$O$13)^($D$11-E11-1)*$I$3</f>
        <v>2.9766347107438014</v>
      </c>
      <c r="F13" s="41">
        <f t="shared" si="4"/>
        <v>2.8142728174305027</v>
      </c>
      <c r="G13" s="41">
        <f t="shared" si="4"/>
        <v>2.6607670273888391</v>
      </c>
      <c r="H13" s="41">
        <f t="shared" si="4"/>
        <v>2.5156342804403566</v>
      </c>
      <c r="I13" s="41">
        <f t="shared" si="4"/>
        <v>2.3784178651436099</v>
      </c>
      <c r="J13" s="41">
        <f t="shared" si="4"/>
        <v>2.2486859815903215</v>
      </c>
      <c r="K13" s="41">
        <f t="shared" si="4"/>
        <v>2.126030382594486</v>
      </c>
      <c r="L13" s="41">
        <f t="shared" si="4"/>
        <v>2.0100650889984228</v>
      </c>
      <c r="M13" s="41">
        <f t="shared" si="4"/>
        <v>1.9004251750530543</v>
      </c>
      <c r="N13" s="41">
        <f>N12*(1+$O$7)^($D$5-N11-1)</f>
        <v>36.546637981789509</v>
      </c>
      <c r="O13" s="17">
        <f>O7</f>
        <v>0.1</v>
      </c>
      <c r="P13" s="38" t="s">
        <v>3</v>
      </c>
    </row>
    <row r="14" spans="2:19" ht="13.5" thickBot="1" x14ac:dyDescent="0.25">
      <c r="B14" s="9"/>
      <c r="C14" s="8" t="s">
        <v>4</v>
      </c>
      <c r="D14" s="20">
        <f>SUM(D13:N13)</f>
        <v>61.325934947536538</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 CHF</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3.33</v>
      </c>
      <c r="D18" s="41">
        <f>C18*(1+$O$17)</f>
        <v>3.33</v>
      </c>
      <c r="E18" s="41">
        <f>D18*(1+$O$17)</f>
        <v>3.33</v>
      </c>
      <c r="F18" s="41">
        <f>E18*(1+$O$17)</f>
        <v>3.33</v>
      </c>
      <c r="G18" s="41">
        <f>F18*(1+$O$17)</f>
        <v>3.33</v>
      </c>
      <c r="H18" s="41">
        <f>G18*(1+$O$17)</f>
        <v>3.33</v>
      </c>
      <c r="I18" s="41">
        <f>H18*(1+$O$18)</f>
        <v>3.33</v>
      </c>
      <c r="J18" s="41">
        <f>I18*(1+$O$18)</f>
        <v>3.33</v>
      </c>
      <c r="K18" s="41">
        <f>J18*(1+$O$18)</f>
        <v>3.33</v>
      </c>
      <c r="L18" s="41">
        <f>K18*(1+$O$18)</f>
        <v>3.33</v>
      </c>
      <c r="M18" s="41">
        <f>L18*(1+$O$18)</f>
        <v>3.33</v>
      </c>
      <c r="N18" s="41">
        <f>L18*O20</f>
        <v>33.299999999999997</v>
      </c>
      <c r="O18" s="70">
        <v>0</v>
      </c>
      <c r="P18" s="27" t="s">
        <v>2</v>
      </c>
    </row>
    <row r="19" spans="2:16" x14ac:dyDescent="0.2">
      <c r="B19" s="71" t="s">
        <v>155</v>
      </c>
      <c r="C19" s="7" t="str">
        <f>C13</f>
        <v>PV(10%)</v>
      </c>
      <c r="D19" s="41">
        <f>D18*(1+$O$19)^($D$17-D17-1)*$I$3</f>
        <v>3.0272727272727273</v>
      </c>
      <c r="E19" s="41">
        <f t="shared" ref="E19:M19" si="6">E18*(1+$O$19)^($D$17-E17-1)*$I$3</f>
        <v>2.7520661157024793</v>
      </c>
      <c r="F19" s="41">
        <f t="shared" si="6"/>
        <v>2.5018782870022531</v>
      </c>
      <c r="G19" s="41">
        <f t="shared" si="6"/>
        <v>2.2744348063656847</v>
      </c>
      <c r="H19" s="41">
        <f t="shared" si="6"/>
        <v>2.0676680057869858</v>
      </c>
      <c r="I19" s="41">
        <f t="shared" si="6"/>
        <v>1.8796981870790781</v>
      </c>
      <c r="J19" s="41">
        <f t="shared" si="6"/>
        <v>1.7088165337082526</v>
      </c>
      <c r="K19" s="41">
        <f t="shared" si="6"/>
        <v>1.5534695760984114</v>
      </c>
      <c r="L19" s="41">
        <f t="shared" si="6"/>
        <v>1.4122450691803741</v>
      </c>
      <c r="M19" s="41">
        <f t="shared" si="6"/>
        <v>1.2838591538003399</v>
      </c>
      <c r="N19" s="41">
        <f t="shared" ref="N19" si="7">N18*(1+$O$19)^($D$17-N17-1)</f>
        <v>12.838591538003397</v>
      </c>
      <c r="O19" s="17">
        <f>O13</f>
        <v>0.1</v>
      </c>
      <c r="P19" s="38" t="s">
        <v>3</v>
      </c>
    </row>
    <row r="20" spans="2:16" ht="13.5" thickBot="1" x14ac:dyDescent="0.25">
      <c r="B20" s="71" t="s">
        <v>156</v>
      </c>
      <c r="C20" s="8" t="s">
        <v>4</v>
      </c>
      <c r="D20" s="20">
        <f>SUM(D19:N19)</f>
        <v>33.299999999999983</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48.737727422099312</v>
      </c>
      <c r="F23" s="22">
        <f>E23*D23</f>
        <v>16.570827323513768</v>
      </c>
      <c r="G23" s="25"/>
      <c r="P23" s="38"/>
    </row>
    <row r="24" spans="2:16" x14ac:dyDescent="0.2">
      <c r="B24" s="9"/>
      <c r="C24" s="9" t="s">
        <v>15</v>
      </c>
      <c r="D24" s="44">
        <v>0.33</v>
      </c>
      <c r="E24" s="41">
        <f>D14</f>
        <v>61.325934947536538</v>
      </c>
      <c r="F24" s="22">
        <f>E24*D24</f>
        <v>20.237558532687057</v>
      </c>
      <c r="G24" s="25"/>
      <c r="P24" s="38"/>
    </row>
    <row r="25" spans="2:16" ht="13.5" thickBot="1" x14ac:dyDescent="0.25">
      <c r="B25" s="9"/>
      <c r="C25" s="10" t="s">
        <v>29</v>
      </c>
      <c r="D25" s="44">
        <v>0.33</v>
      </c>
      <c r="E25" s="23">
        <f>D20</f>
        <v>33.299999999999983</v>
      </c>
      <c r="F25" s="24">
        <f>E25*D25</f>
        <v>10.988999999999995</v>
      </c>
      <c r="G25" s="25"/>
      <c r="P25" s="38"/>
    </row>
    <row r="26" spans="2:16" ht="13.5" thickBot="1" x14ac:dyDescent="0.25">
      <c r="B26" s="9"/>
      <c r="C26" s="36" t="s">
        <v>167</v>
      </c>
      <c r="D26" s="36">
        <f>C3</f>
        <v>48.98</v>
      </c>
      <c r="E26" s="15" t="s">
        <v>11</v>
      </c>
      <c r="F26" s="16">
        <f>SUM(F23:F25)</f>
        <v>47.797385856200826</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9" priority="1" operator="containsText" text="overvalued">
      <formula>NOT(ISERROR(SEARCH("overvalued",D3)))</formula>
    </cfRule>
    <cfRule type="containsText" dxfId="38" priority="2" operator="containsText" text="undervalued">
      <formula>NOT(ISERROR(SEARCH("undervalued",D3)))</formula>
    </cfRule>
  </conditionalFormatting>
  <hyperlinks>
    <hyperlink ref="C30" r:id="rId1" xr:uid="{7F32C83B-E24D-5546-AEED-55AFB6276373}"/>
    <hyperlink ref="B4" location="'COMPARATIVE TABLE'!A1" display="'COMPARATIVE TABLE'!A1" xr:uid="{5C5A89DE-C173-434F-9DA0-8FD930883ADB}"/>
    <hyperlink ref="C2" r:id="rId2" xr:uid="{A5211FCE-DF52-7643-94E3-B516F21C085E}"/>
  </hyperlinks>
  <pageMargins left="0.7" right="0.7" top="0.78740157499999996" bottom="0.78740157499999996" header="0.3" footer="0.3"/>
  <pageSetup paperSize="9" orientation="portrait" r:id="rId3"/>
  <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6224-9F07-5B48-AD4B-1BA3E9684039}">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394</v>
      </c>
      <c r="C2" s="31" t="s">
        <v>36</v>
      </c>
      <c r="D2" s="32"/>
      <c r="E2" s="33"/>
      <c r="F2" s="33"/>
      <c r="G2" s="33"/>
      <c r="H2" s="33"/>
      <c r="I2" s="33"/>
      <c r="J2" s="33"/>
      <c r="K2" s="33"/>
      <c r="L2" s="33"/>
      <c r="M2" s="33"/>
      <c r="N2" s="33"/>
      <c r="O2" s="33"/>
      <c r="P2" s="34"/>
      <c r="S2" s="3" t="s">
        <v>7</v>
      </c>
    </row>
    <row r="3" spans="2:19" ht="13.5" thickBot="1" x14ac:dyDescent="0.25">
      <c r="B3" s="35" t="s">
        <v>166</v>
      </c>
      <c r="C3" s="29">
        <f>'COMPARATIVE TABLE'!C31</f>
        <v>43.1</v>
      </c>
      <c r="D3" s="37"/>
      <c r="F3" s="73" t="s">
        <v>189</v>
      </c>
      <c r="G3" s="74"/>
      <c r="H3" s="74"/>
      <c r="I3" s="75">
        <v>0</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v>
      </c>
      <c r="P5" s="38" t="s">
        <v>1</v>
      </c>
      <c r="R5" s="1"/>
    </row>
    <row r="6" spans="2:19" x14ac:dyDescent="0.2">
      <c r="B6" s="71" t="s">
        <v>19</v>
      </c>
      <c r="C6" s="86">
        <v>0</v>
      </c>
      <c r="D6" s="41">
        <f>C6*(1+$O$5)</f>
        <v>0</v>
      </c>
      <c r="E6" s="41">
        <f>D6*(1+$O$5)</f>
        <v>0</v>
      </c>
      <c r="F6" s="41">
        <f>E6*(1+$O$5)</f>
        <v>0</v>
      </c>
      <c r="G6" s="41">
        <f>F6*(1+$O$5)</f>
        <v>0</v>
      </c>
      <c r="H6" s="41">
        <f>G6*(1+$O$5)</f>
        <v>0</v>
      </c>
      <c r="I6" s="41">
        <f>H6*(1+$O$6)</f>
        <v>0</v>
      </c>
      <c r="J6" s="41">
        <f>I6*(1+$O$6)</f>
        <v>0</v>
      </c>
      <c r="K6" s="41">
        <f>J6*(1+$O$6)</f>
        <v>0</v>
      </c>
      <c r="L6" s="41">
        <v>10</v>
      </c>
      <c r="M6" s="41">
        <v>10</v>
      </c>
      <c r="N6" s="72">
        <f>L6*O8</f>
        <v>150</v>
      </c>
      <c r="O6" s="70">
        <v>0</v>
      </c>
      <c r="P6" s="27" t="s">
        <v>2</v>
      </c>
    </row>
    <row r="7" spans="2:19" x14ac:dyDescent="0.2">
      <c r="B7" s="9"/>
      <c r="C7" s="7" t="str">
        <f>CONCATENATE(R8,O7*100,S8)</f>
        <v>PV(10%)</v>
      </c>
      <c r="D7" s="72">
        <f>D6*(1+$O$7)^($D$5-D5-1)*$I$3</f>
        <v>0</v>
      </c>
      <c r="E7" s="72">
        <f t="shared" ref="E7:M7" si="1">E6*(1+$O$7)^($D$5-E5-1)*$I$3</f>
        <v>0</v>
      </c>
      <c r="F7" s="72">
        <f t="shared" si="1"/>
        <v>0</v>
      </c>
      <c r="G7" s="72">
        <f t="shared" si="1"/>
        <v>0</v>
      </c>
      <c r="H7" s="72">
        <f t="shared" si="1"/>
        <v>0</v>
      </c>
      <c r="I7" s="72">
        <f t="shared" si="1"/>
        <v>0</v>
      </c>
      <c r="J7" s="72">
        <f t="shared" si="1"/>
        <v>0</v>
      </c>
      <c r="K7" s="72">
        <f t="shared" si="1"/>
        <v>0</v>
      </c>
      <c r="L7" s="72">
        <f t="shared" si="1"/>
        <v>0</v>
      </c>
      <c r="M7" s="72">
        <f t="shared" si="1"/>
        <v>0</v>
      </c>
      <c r="N7" s="72">
        <f t="shared" ref="N7" si="2">N6*(1+$O$7)^($D$5-N5-1)</f>
        <v>57.831493414429723</v>
      </c>
      <c r="O7" s="17">
        <v>0.1</v>
      </c>
      <c r="P7" s="45" t="s">
        <v>3</v>
      </c>
    </row>
    <row r="8" spans="2:19" ht="13.5" thickBot="1" x14ac:dyDescent="0.25">
      <c r="B8" s="9"/>
      <c r="C8" s="8" t="s">
        <v>26</v>
      </c>
      <c r="D8" s="20">
        <f>SUM(D7:N7)</f>
        <v>57.831493414429723</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v>
      </c>
      <c r="P11" s="38" t="s">
        <v>1</v>
      </c>
    </row>
    <row r="12" spans="2:19" x14ac:dyDescent="0.2">
      <c r="B12" s="71" t="s">
        <v>18</v>
      </c>
      <c r="C12" s="6">
        <f>C6</f>
        <v>0</v>
      </c>
      <c r="D12" s="41">
        <f>C12*(1+$O$11)</f>
        <v>0</v>
      </c>
      <c r="E12" s="41">
        <f>D12*(1+$O$11)</f>
        <v>0</v>
      </c>
      <c r="F12" s="41">
        <f>E12*(1+$O$11)</f>
        <v>0</v>
      </c>
      <c r="G12" s="41">
        <f>F12*(1+$O$11)</f>
        <v>0</v>
      </c>
      <c r="H12" s="41">
        <f>G12*(1+$O$11)</f>
        <v>0</v>
      </c>
      <c r="I12" s="41">
        <f>H12*(1+$O$12)</f>
        <v>0</v>
      </c>
      <c r="J12" s="41">
        <f>I12*(1+$O$12)</f>
        <v>0</v>
      </c>
      <c r="K12" s="41">
        <f>J12*(1+$O$12)</f>
        <v>0</v>
      </c>
      <c r="L12" s="41">
        <f>K12*(1+$O$12)</f>
        <v>0</v>
      </c>
      <c r="M12" s="41">
        <f>L12*(1+$O$12)</f>
        <v>0</v>
      </c>
      <c r="N12" s="41">
        <f>L12*O14</f>
        <v>0</v>
      </c>
      <c r="O12" s="70">
        <v>0</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0</v>
      </c>
      <c r="O13" s="17">
        <f>O7</f>
        <v>0.1</v>
      </c>
      <c r="P13" s="38" t="s">
        <v>3</v>
      </c>
    </row>
    <row r="14" spans="2:19" ht="13.5" thickBot="1" x14ac:dyDescent="0.25">
      <c r="B14" s="9"/>
      <c r="C14" s="8" t="s">
        <v>4</v>
      </c>
      <c r="D14" s="20">
        <f>SUM(D13:N13)</f>
        <v>0</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71" t="s">
        <v>17</v>
      </c>
      <c r="C18" s="6">
        <f>C12</f>
        <v>0</v>
      </c>
      <c r="D18" s="41">
        <f>C18*(1+$O$17)</f>
        <v>0</v>
      </c>
      <c r="E18" s="41">
        <f>D18*(1+$O$17)</f>
        <v>0</v>
      </c>
      <c r="F18" s="41">
        <f>E18*(1+$O$17)</f>
        <v>0</v>
      </c>
      <c r="G18" s="41">
        <f>F18*(1+$O$17)</f>
        <v>0</v>
      </c>
      <c r="H18" s="41">
        <f>G18*(1+$O$17)</f>
        <v>0</v>
      </c>
      <c r="I18" s="41">
        <f>H18*(1+$O$18)</f>
        <v>0</v>
      </c>
      <c r="J18" s="41">
        <f>I18*(1+$O$18)</f>
        <v>0</v>
      </c>
      <c r="K18" s="41">
        <f>J18*(1+$O$18)</f>
        <v>0</v>
      </c>
      <c r="L18" s="41">
        <f>K18*(1+$O$18)</f>
        <v>0</v>
      </c>
      <c r="M18" s="41">
        <f>L18*(1+$O$18)</f>
        <v>0</v>
      </c>
      <c r="N18" s="41">
        <f>L18*O20</f>
        <v>0</v>
      </c>
      <c r="O18" s="70">
        <v>0</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0</v>
      </c>
      <c r="O19" s="17">
        <f>O13</f>
        <v>0.1</v>
      </c>
      <c r="P19" s="38" t="s">
        <v>3</v>
      </c>
    </row>
    <row r="20" spans="2:16" ht="13.5" thickBot="1" x14ac:dyDescent="0.25">
      <c r="B20" s="71" t="s">
        <v>156</v>
      </c>
      <c r="C20" s="8" t="s">
        <v>4</v>
      </c>
      <c r="D20" s="20">
        <f>SUM(D19:N19)</f>
        <v>0</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1</v>
      </c>
      <c r="E23" s="41">
        <f>D8</f>
        <v>57.831493414429723</v>
      </c>
      <c r="F23" s="22">
        <f>E23*D23</f>
        <v>57.831493414429723</v>
      </c>
      <c r="G23" s="25"/>
      <c r="P23" s="38"/>
    </row>
    <row r="24" spans="2:16" x14ac:dyDescent="0.2">
      <c r="B24" s="9"/>
      <c r="C24" s="9" t="s">
        <v>15</v>
      </c>
      <c r="D24" s="44">
        <v>0</v>
      </c>
      <c r="E24" s="41">
        <f>D14</f>
        <v>0</v>
      </c>
      <c r="F24" s="22">
        <f>E24*D24</f>
        <v>0</v>
      </c>
      <c r="G24" s="25"/>
      <c r="P24" s="38"/>
    </row>
    <row r="25" spans="2:16" ht="13.5" thickBot="1" x14ac:dyDescent="0.25">
      <c r="B25" s="9"/>
      <c r="C25" s="10" t="s">
        <v>29</v>
      </c>
      <c r="D25" s="44">
        <v>0</v>
      </c>
      <c r="E25" s="23">
        <f>D20</f>
        <v>0</v>
      </c>
      <c r="F25" s="24">
        <f>E25*D25</f>
        <v>0</v>
      </c>
      <c r="G25" s="25"/>
      <c r="P25" s="38"/>
    </row>
    <row r="26" spans="2:16" ht="13.5" thickBot="1" x14ac:dyDescent="0.25">
      <c r="B26" s="9"/>
      <c r="C26" s="36" t="s">
        <v>167</v>
      </c>
      <c r="D26" s="36">
        <f>C3</f>
        <v>43.1</v>
      </c>
      <c r="E26" s="15" t="s">
        <v>11</v>
      </c>
      <c r="F26" s="16">
        <f>SUM(F23:F25)</f>
        <v>57.831493414429723</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7" priority="1" operator="containsText" text="overvalued">
      <formula>NOT(ISERROR(SEARCH("overvalued",D3)))</formula>
    </cfRule>
    <cfRule type="containsText" dxfId="36" priority="2" operator="containsText" text="undervalued">
      <formula>NOT(ISERROR(SEARCH("undervalued",D3)))</formula>
    </cfRule>
  </conditionalFormatting>
  <hyperlinks>
    <hyperlink ref="C30" r:id="rId1" xr:uid="{C4AA729E-9755-3248-BE5F-B296B9C76530}"/>
    <hyperlink ref="B4" location="'COMPARATIVE TABLE'!A1" display="'COMPARATIVE TABLE'!A1" xr:uid="{DBD0EAAD-FBD7-7C41-856A-9BC9A38236A4}"/>
  </hyperlinks>
  <pageMargins left="0.7" right="0.7" top="0.78740157499999996" bottom="0.78740157499999996" header="0.3" footer="0.3"/>
  <pageSetup paperSize="9" orientation="portrait"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4011-26E6-9E4E-9195-27E76E063394}">
  <dimension ref="B1:S30"/>
  <sheetViews>
    <sheetView showGridLines="0" topLeftCell="A3"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316</v>
      </c>
      <c r="C2" s="89" t="s">
        <v>36</v>
      </c>
      <c r="D2" s="32"/>
      <c r="E2" s="33"/>
      <c r="F2" s="33"/>
      <c r="G2" s="33"/>
      <c r="H2" s="33"/>
      <c r="I2" s="33"/>
      <c r="J2" s="33"/>
      <c r="K2" s="33"/>
      <c r="L2" s="33"/>
      <c r="M2" s="33"/>
      <c r="N2" s="33"/>
      <c r="O2" s="33"/>
      <c r="P2" s="34"/>
      <c r="S2" s="3" t="s">
        <v>7</v>
      </c>
    </row>
    <row r="3" spans="2:19" ht="13.5" thickBot="1" x14ac:dyDescent="0.25">
      <c r="B3" s="35" t="s">
        <v>166</v>
      </c>
      <c r="C3" s="29">
        <f>'COMPARATIVE TABLE'!C32</f>
        <v>2.95</v>
      </c>
      <c r="D3" s="37"/>
      <c r="F3" s="73" t="s">
        <v>189</v>
      </c>
      <c r="G3" s="74"/>
      <c r="H3" s="74"/>
      <c r="I3" s="75">
        <v>1</v>
      </c>
      <c r="P3" s="38"/>
    </row>
    <row r="4" spans="2:19" ht="26.25" thickBot="1" x14ac:dyDescent="0.25">
      <c r="B4" s="39" t="s">
        <v>85</v>
      </c>
      <c r="N4" s="76" t="s">
        <v>5</v>
      </c>
      <c r="O4" s="4" t="s">
        <v>0</v>
      </c>
      <c r="P4" s="38"/>
    </row>
    <row r="5" spans="2:19" x14ac:dyDescent="0.2">
      <c r="B5" s="71" t="s">
        <v>8</v>
      </c>
      <c r="C5" s="5" t="s">
        <v>225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0.17</v>
      </c>
      <c r="D6" s="41">
        <f>C6*(1+$O$5)</f>
        <v>0.17850000000000002</v>
      </c>
      <c r="E6" s="41">
        <f>D6*(1+$O$5)</f>
        <v>0.18742500000000004</v>
      </c>
      <c r="F6" s="41">
        <f>E6*(1+$O$5)</f>
        <v>0.19679625000000003</v>
      </c>
      <c r="G6" s="41">
        <f>F6*(1+$O$5)</f>
        <v>0.20663606250000005</v>
      </c>
      <c r="H6" s="41">
        <f>G6*(1+$O$5)</f>
        <v>0.21696786562500006</v>
      </c>
      <c r="I6" s="41">
        <f>H6*(1+$O$6)</f>
        <v>0.22781625890625007</v>
      </c>
      <c r="J6" s="41">
        <f>I6*(1+$O$6)</f>
        <v>0.23920707185156259</v>
      </c>
      <c r="K6" s="41">
        <f>J6*(1+$O$6)</f>
        <v>0.25116742544414072</v>
      </c>
      <c r="L6" s="41">
        <f>K6*(1+$O$6)</f>
        <v>0.26372579671634777</v>
      </c>
      <c r="M6" s="41">
        <f>L6*(1+$O$6)</f>
        <v>0.27691208655216515</v>
      </c>
      <c r="N6" s="72">
        <f>L6*O8</f>
        <v>3.9558869507452163</v>
      </c>
      <c r="O6" s="70">
        <v>0.05</v>
      </c>
      <c r="P6" s="27" t="s">
        <v>2</v>
      </c>
    </row>
    <row r="7" spans="2:19" x14ac:dyDescent="0.2">
      <c r="B7" s="9"/>
      <c r="C7" s="7" t="str">
        <f>CONCATENATE(R8,O7*100,S8)</f>
        <v>PV(10%)</v>
      </c>
      <c r="D7" s="72">
        <f>D6*(1+$O$7)^($D$5-D5-1)*$I$3</f>
        <v>0.16227272727272729</v>
      </c>
      <c r="E7" s="72">
        <f t="shared" ref="E7:M7" si="1">E6*(1+$O$7)^($D$5-E5-1)*$I$3</f>
        <v>0.15489669421487604</v>
      </c>
      <c r="F7" s="72">
        <f t="shared" si="1"/>
        <v>0.1478559353869271</v>
      </c>
      <c r="G7" s="72">
        <f t="shared" si="1"/>
        <v>0.1411352110511577</v>
      </c>
      <c r="H7" s="72">
        <f t="shared" si="1"/>
        <v>0.13471997418519599</v>
      </c>
      <c r="I7" s="72">
        <f t="shared" si="1"/>
        <v>0.12859633899495981</v>
      </c>
      <c r="J7" s="72">
        <f t="shared" si="1"/>
        <v>0.12275105085882525</v>
      </c>
      <c r="K7" s="72">
        <f t="shared" si="1"/>
        <v>0.11717145763796956</v>
      </c>
      <c r="L7" s="72">
        <f t="shared" si="1"/>
        <v>0.11184548229078912</v>
      </c>
      <c r="M7" s="72">
        <f t="shared" si="1"/>
        <v>0.10676159673211688</v>
      </c>
      <c r="N7" s="72">
        <f t="shared" ref="N7" si="2">N6*(1+$O$7)^($D$5-N5-1)</f>
        <v>1.5251656676016696</v>
      </c>
      <c r="O7" s="17">
        <v>0.1</v>
      </c>
      <c r="P7" s="45" t="s">
        <v>3</v>
      </c>
    </row>
    <row r="8" spans="2:19" ht="13.5" thickBot="1" x14ac:dyDescent="0.25">
      <c r="B8" s="9"/>
      <c r="C8" s="8" t="s">
        <v>26</v>
      </c>
      <c r="D8" s="20">
        <f>SUM(D7:N7)</f>
        <v>2.8531721362272142</v>
      </c>
      <c r="E8" s="21"/>
      <c r="F8" s="21"/>
      <c r="G8" s="21"/>
      <c r="H8" s="21"/>
      <c r="I8" s="21"/>
      <c r="J8" s="21"/>
      <c r="K8" s="21"/>
      <c r="L8" s="21"/>
      <c r="M8" s="21"/>
      <c r="N8" s="21"/>
      <c r="O8" s="78">
        <v>15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0.06</v>
      </c>
      <c r="P11" s="38" t="s">
        <v>1</v>
      </c>
    </row>
    <row r="12" spans="2:19" x14ac:dyDescent="0.2">
      <c r="B12" s="71" t="s">
        <v>18</v>
      </c>
      <c r="C12" s="6">
        <f>C6</f>
        <v>0.17</v>
      </c>
      <c r="D12" s="41">
        <f>C12*(1+$O$11)</f>
        <v>0.18020000000000003</v>
      </c>
      <c r="E12" s="41">
        <f>D12*(1+$O$11)</f>
        <v>0.19101200000000004</v>
      </c>
      <c r="F12" s="41">
        <f>E12*(1+$O$11)</f>
        <v>0.20247272000000005</v>
      </c>
      <c r="G12" s="41">
        <f>F12*(1+$O$11)</f>
        <v>0.21462108320000006</v>
      </c>
      <c r="H12" s="41">
        <f>G12*(1+$O$11)</f>
        <v>0.22749834819200007</v>
      </c>
      <c r="I12" s="41">
        <f>H12*(1+$O$12)</f>
        <v>0.24114824908352009</v>
      </c>
      <c r="J12" s="41">
        <f>I12*(1+$O$12)</f>
        <v>0.25561714402853131</v>
      </c>
      <c r="K12" s="41">
        <f>J12*(1+$O$12)</f>
        <v>0.27095417267024319</v>
      </c>
      <c r="L12" s="41">
        <f>K12*(1+$O$12)</f>
        <v>0.28721142303045777</v>
      </c>
      <c r="M12" s="41">
        <f>L12*(1+$O$12)</f>
        <v>0.30444410841228525</v>
      </c>
      <c r="N12" s="41">
        <f>L12*O14</f>
        <v>5.7442284606091558</v>
      </c>
      <c r="O12" s="70">
        <v>0.06</v>
      </c>
      <c r="P12" s="27" t="s">
        <v>2</v>
      </c>
    </row>
    <row r="13" spans="2:19" x14ac:dyDescent="0.2">
      <c r="B13" s="9">
        <f>B7</f>
        <v>0</v>
      </c>
      <c r="C13" s="7" t="str">
        <f>C7</f>
        <v>PV(10%)</v>
      </c>
      <c r="D13" s="41">
        <f>D12*(1+$O$13)^($D$11-D11-1)*$I$3</f>
        <v>0.16381818181818183</v>
      </c>
      <c r="E13" s="41">
        <f t="shared" ref="E13:M13" si="4">E12*(1+$O$13)^($D$11-E11-1)*$I$3</f>
        <v>0.15786115702479342</v>
      </c>
      <c r="F13" s="41">
        <f t="shared" si="4"/>
        <v>0.15212075131480091</v>
      </c>
      <c r="G13" s="41">
        <f t="shared" si="4"/>
        <v>0.14658908763062634</v>
      </c>
      <c r="H13" s="41">
        <f t="shared" si="4"/>
        <v>0.14125857535314898</v>
      </c>
      <c r="I13" s="41">
        <f t="shared" si="4"/>
        <v>0.13612189988576176</v>
      </c>
      <c r="J13" s="41">
        <f t="shared" si="4"/>
        <v>0.13117201261718858</v>
      </c>
      <c r="K13" s="41">
        <f t="shared" si="4"/>
        <v>0.12640212124929082</v>
      </c>
      <c r="L13" s="41">
        <f t="shared" si="4"/>
        <v>0.12180568047658934</v>
      </c>
      <c r="M13" s="41">
        <f t="shared" si="4"/>
        <v>0.11737638300471336</v>
      </c>
      <c r="N13" s="41">
        <f>N12*(1+$O$7)^($D$5-N11-1)</f>
        <v>2.2146487359379878</v>
      </c>
      <c r="O13" s="17">
        <f>O7</f>
        <v>0.1</v>
      </c>
      <c r="P13" s="38" t="s">
        <v>3</v>
      </c>
    </row>
    <row r="14" spans="2:19" ht="13.5" thickBot="1" x14ac:dyDescent="0.25">
      <c r="B14" s="9"/>
      <c r="C14" s="8" t="s">
        <v>4</v>
      </c>
      <c r="D14" s="20">
        <f>SUM(D13:N13)</f>
        <v>3.6091745863130829</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0.17</v>
      </c>
      <c r="D18" s="41">
        <f>C18*(1+$O$17)</f>
        <v>0.17340000000000003</v>
      </c>
      <c r="E18" s="41">
        <f>D18*(1+$O$17)</f>
        <v>0.17686800000000003</v>
      </c>
      <c r="F18" s="41">
        <f>E18*(1+$O$17)</f>
        <v>0.18040536000000004</v>
      </c>
      <c r="G18" s="41">
        <f>F18*(1+$O$17)</f>
        <v>0.18401346720000006</v>
      </c>
      <c r="H18" s="41">
        <f>G18*(1+$O$17)</f>
        <v>0.18769373654400007</v>
      </c>
      <c r="I18" s="41">
        <f>H18*(1+$O$18)</f>
        <v>0.19144761127488008</v>
      </c>
      <c r="J18" s="41">
        <f>I18*(1+$O$18)</f>
        <v>0.1952765635003777</v>
      </c>
      <c r="K18" s="41">
        <f>J18*(1+$O$18)</f>
        <v>0.19918209477038526</v>
      </c>
      <c r="L18" s="41">
        <f>K18*(1+$O$18)</f>
        <v>0.20316573666579296</v>
      </c>
      <c r="M18" s="41">
        <f>L18*(1+$O$18)</f>
        <v>0.20722905139910883</v>
      </c>
      <c r="N18" s="41">
        <f>L18*O20</f>
        <v>2.4379888399895155</v>
      </c>
      <c r="O18" s="70">
        <v>0.02</v>
      </c>
      <c r="P18" s="27" t="s">
        <v>2</v>
      </c>
    </row>
    <row r="19" spans="2:16" x14ac:dyDescent="0.2">
      <c r="B19" s="71" t="s">
        <v>155</v>
      </c>
      <c r="C19" s="7" t="str">
        <f>C13</f>
        <v>PV(10%)</v>
      </c>
      <c r="D19" s="41">
        <f>D18*(1+$O$19)^($D$17-D17-1)*$I$3</f>
        <v>0.15763636363636366</v>
      </c>
      <c r="E19" s="41">
        <f t="shared" ref="E19:M19" si="6">E18*(1+$O$19)^($D$17-E17-1)*$I$3</f>
        <v>0.14617190082644629</v>
      </c>
      <c r="F19" s="41">
        <f t="shared" si="6"/>
        <v>0.13554121712997746</v>
      </c>
      <c r="G19" s="41">
        <f t="shared" si="6"/>
        <v>0.12568367406597911</v>
      </c>
      <c r="H19" s="41">
        <f t="shared" si="6"/>
        <v>0.11654304322481698</v>
      </c>
      <c r="I19" s="41">
        <f t="shared" si="6"/>
        <v>0.10806718553573939</v>
      </c>
      <c r="J19" s="41">
        <f t="shared" si="6"/>
        <v>0.10020775386041288</v>
      </c>
      <c r="K19" s="41">
        <f t="shared" si="6"/>
        <v>9.2919917216019221E-2</v>
      </c>
      <c r="L19" s="41">
        <f t="shared" si="6"/>
        <v>8.6162105054854179E-2</v>
      </c>
      <c r="M19" s="41">
        <f t="shared" si="6"/>
        <v>7.9895770141773875E-2</v>
      </c>
      <c r="N19" s="41">
        <f t="shared" ref="N19" si="7">N18*(1+$O$19)^($D$17-N17-1)</f>
        <v>0.93995023696204549</v>
      </c>
      <c r="O19" s="17">
        <f>O13</f>
        <v>0.1</v>
      </c>
      <c r="P19" s="38" t="s">
        <v>3</v>
      </c>
    </row>
    <row r="20" spans="2:16" ht="13.5" thickBot="1" x14ac:dyDescent="0.25">
      <c r="B20" s="71" t="s">
        <v>156</v>
      </c>
      <c r="C20" s="8" t="s">
        <v>4</v>
      </c>
      <c r="D20" s="20">
        <f>SUM(D19:N19)</f>
        <v>2.0887791676544287</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2.8531721362272142</v>
      </c>
      <c r="F23" s="22">
        <f>E23*D23</f>
        <v>0.97007852631725289</v>
      </c>
      <c r="G23" s="25"/>
      <c r="P23" s="38"/>
    </row>
    <row r="24" spans="2:16" x14ac:dyDescent="0.2">
      <c r="B24" s="9"/>
      <c r="C24" s="9" t="s">
        <v>15</v>
      </c>
      <c r="D24" s="44">
        <v>0.33</v>
      </c>
      <c r="E24" s="41">
        <f>D14</f>
        <v>3.6091745863130829</v>
      </c>
      <c r="F24" s="22">
        <f>E24*D24</f>
        <v>1.1910276134833173</v>
      </c>
      <c r="G24" s="25"/>
      <c r="P24" s="38"/>
    </row>
    <row r="25" spans="2:16" ht="13.5" thickBot="1" x14ac:dyDescent="0.25">
      <c r="B25" s="9"/>
      <c r="C25" s="10" t="s">
        <v>29</v>
      </c>
      <c r="D25" s="44">
        <v>0.33</v>
      </c>
      <c r="E25" s="23">
        <f>D20</f>
        <v>2.0887791676544287</v>
      </c>
      <c r="F25" s="24">
        <f>E25*D25</f>
        <v>0.68929712532596155</v>
      </c>
      <c r="G25" s="25"/>
      <c r="P25" s="38"/>
    </row>
    <row r="26" spans="2:16" ht="13.5" thickBot="1" x14ac:dyDescent="0.25">
      <c r="B26" s="9"/>
      <c r="C26" s="36" t="s">
        <v>167</v>
      </c>
      <c r="D26" s="36">
        <f>C3</f>
        <v>2.95</v>
      </c>
      <c r="E26" s="15" t="s">
        <v>11</v>
      </c>
      <c r="F26" s="16">
        <f>SUM(F23:F25)</f>
        <v>2.8504032651265319</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5" priority="1" operator="containsText" text="overvalued">
      <formula>NOT(ISERROR(SEARCH("overvalued",D3)))</formula>
    </cfRule>
    <cfRule type="containsText" dxfId="34" priority="2" operator="containsText" text="undervalued">
      <formula>NOT(ISERROR(SEARCH("undervalued",D3)))</formula>
    </cfRule>
  </conditionalFormatting>
  <hyperlinks>
    <hyperlink ref="C30" r:id="rId1" xr:uid="{3DE34829-5420-2D48-A5C7-B8B434CA7DD6}"/>
    <hyperlink ref="B4" location="'COMPARATIVE TABLE'!A1" display="'COMPARATIVE TABLE'!A1" xr:uid="{C03599AC-6981-A647-9B40-0883EAB131D1}"/>
    <hyperlink ref="C2" r:id="rId2" xr:uid="{5A909EF7-956A-9B4E-B567-1A900C98422C}"/>
  </hyperlinks>
  <pageMargins left="0.7" right="0.7" top="0.78740157499999996" bottom="0.78740157499999996" header="0.3" footer="0.3"/>
  <pageSetup paperSize="9" orientation="portrait" r:id="rId3"/>
  <drawing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BA18-728B-0545-A305-097C59DC5D1F}">
  <dimension ref="B1:S30"/>
  <sheetViews>
    <sheetView showGridLines="0" zoomScale="147" zoomScaleNormal="14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401</v>
      </c>
      <c r="C2" s="31" t="s">
        <v>36</v>
      </c>
      <c r="D2" s="32"/>
      <c r="E2" s="33"/>
      <c r="F2" s="33"/>
      <c r="G2" s="33"/>
      <c r="H2" s="33"/>
      <c r="I2" s="33"/>
      <c r="J2" s="33"/>
      <c r="K2" s="33"/>
      <c r="L2" s="33"/>
      <c r="M2" s="33"/>
      <c r="N2" s="33"/>
      <c r="O2" s="33"/>
      <c r="P2" s="34"/>
      <c r="S2" s="3" t="s">
        <v>7</v>
      </c>
    </row>
    <row r="3" spans="2:19" ht="13.5" thickBot="1" x14ac:dyDescent="0.25">
      <c r="B3" s="35" t="s">
        <v>166</v>
      </c>
      <c r="C3" s="29">
        <f>'COMPARATIVE TABLE'!C17</f>
        <v>35.194535555000002</v>
      </c>
      <c r="D3" s="37"/>
      <c r="F3" s="73" t="s">
        <v>189</v>
      </c>
      <c r="G3" s="74"/>
      <c r="H3" s="74"/>
      <c r="I3" s="75">
        <v>0.33</v>
      </c>
      <c r="P3" s="38"/>
    </row>
    <row r="4" spans="2:19" ht="26.25" thickBot="1" x14ac:dyDescent="0.25">
      <c r="B4" s="39" t="s">
        <v>85</v>
      </c>
      <c r="N4" s="76" t="s">
        <v>5</v>
      </c>
      <c r="O4" s="4" t="s">
        <v>0</v>
      </c>
      <c r="P4" s="38"/>
    </row>
    <row r="5" spans="2:19" x14ac:dyDescent="0.2">
      <c r="B5" s="71" t="s">
        <v>8</v>
      </c>
      <c r="C5" s="5" t="s">
        <v>412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0.06</v>
      </c>
      <c r="P5" s="38" t="s">
        <v>1</v>
      </c>
      <c r="R5" s="1"/>
    </row>
    <row r="6" spans="2:19" x14ac:dyDescent="0.2">
      <c r="B6" s="71" t="s">
        <v>19</v>
      </c>
      <c r="C6" s="86">
        <v>3.75</v>
      </c>
      <c r="D6" s="41">
        <f>C6*(1+$O$5)</f>
        <v>3.9750000000000001</v>
      </c>
      <c r="E6" s="41">
        <f>D6*(1+$O$5)</f>
        <v>4.2135000000000007</v>
      </c>
      <c r="F6" s="41">
        <f>E6*(1+$O$5)</f>
        <v>4.4663100000000009</v>
      </c>
      <c r="G6" s="41">
        <f>F6*(1+$O$5)</f>
        <v>4.7342886000000011</v>
      </c>
      <c r="H6" s="41">
        <f>G6*(1+$O$5)</f>
        <v>5.0183459160000012</v>
      </c>
      <c r="I6" s="41">
        <f>H6*(1+$O$6)</f>
        <v>5.3194466709600015</v>
      </c>
      <c r="J6" s="41">
        <f>I6*(1+$O$6)</f>
        <v>5.6386134712176021</v>
      </c>
      <c r="K6" s="41">
        <f>J6*(1+$O$6)</f>
        <v>5.9769302794906585</v>
      </c>
      <c r="L6" s="41">
        <f>K6*(1+$O$6)</f>
        <v>6.3355460962600985</v>
      </c>
      <c r="M6" s="41">
        <f>L6*(1+$O$6)</f>
        <v>6.7156788620357046</v>
      </c>
      <c r="N6" s="72">
        <f>L6*O8</f>
        <v>76.026553155121178</v>
      </c>
      <c r="O6" s="70">
        <v>0.06</v>
      </c>
      <c r="P6" s="27" t="s">
        <v>2</v>
      </c>
    </row>
    <row r="7" spans="2:19" x14ac:dyDescent="0.2">
      <c r="B7" s="9"/>
      <c r="C7" s="7" t="str">
        <f>CONCATENATE(R8,O7*100,S8)</f>
        <v>PV(10%)</v>
      </c>
      <c r="D7" s="72">
        <f>D6*(1+$O$7)^($D$5-D5-1)*$I$3</f>
        <v>1.1925000000000001</v>
      </c>
      <c r="E7" s="72">
        <f t="shared" ref="E7:M7" si="1">E6*(1+$O$7)^($D$5-E5-1)*$I$3</f>
        <v>1.1491363636363636</v>
      </c>
      <c r="F7" s="72">
        <f t="shared" si="1"/>
        <v>1.1073495867768595</v>
      </c>
      <c r="G7" s="72">
        <f t="shared" si="1"/>
        <v>1.0670823290758829</v>
      </c>
      <c r="H7" s="72">
        <f t="shared" si="1"/>
        <v>1.0282793352913051</v>
      </c>
      <c r="I7" s="72">
        <f t="shared" si="1"/>
        <v>0.99088735946253048</v>
      </c>
      <c r="J7" s="72">
        <f t="shared" si="1"/>
        <v>0.95485509184571105</v>
      </c>
      <c r="K7" s="72">
        <f t="shared" si="1"/>
        <v>0.92013308850586706</v>
      </c>
      <c r="L7" s="72">
        <f t="shared" si="1"/>
        <v>0.88667370346929009</v>
      </c>
      <c r="M7" s="72">
        <f t="shared" si="1"/>
        <v>0.85443102334313403</v>
      </c>
      <c r="N7" s="72">
        <f t="shared" ref="N7" si="2">N6*(1+$O$7)^($D$5-N5-1)</f>
        <v>29.311527387414543</v>
      </c>
      <c r="O7" s="17">
        <v>0.1</v>
      </c>
      <c r="P7" s="45" t="s">
        <v>3</v>
      </c>
    </row>
    <row r="8" spans="2:19" ht="13.5" thickBot="1" x14ac:dyDescent="0.25">
      <c r="B8" s="9"/>
      <c r="C8" s="8" t="s">
        <v>26</v>
      </c>
      <c r="D8" s="20">
        <f>SUM(D7:N7)</f>
        <v>39.462855268821485</v>
      </c>
      <c r="E8" s="21"/>
      <c r="F8" s="21"/>
      <c r="G8" s="21"/>
      <c r="H8" s="21"/>
      <c r="I8" s="21"/>
      <c r="J8" s="21"/>
      <c r="K8" s="21"/>
      <c r="L8" s="21"/>
      <c r="M8" s="21"/>
      <c r="N8" s="21"/>
      <c r="O8" s="78">
        <v>12</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FCF GBP in billions</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0.08</v>
      </c>
      <c r="P11" s="38" t="s">
        <v>1</v>
      </c>
    </row>
    <row r="12" spans="2:19" x14ac:dyDescent="0.2">
      <c r="B12" s="71" t="s">
        <v>18</v>
      </c>
      <c r="C12" s="6">
        <f>C6</f>
        <v>3.75</v>
      </c>
      <c r="D12" s="41">
        <f>C12*(1+$O$11)</f>
        <v>4.0500000000000007</v>
      </c>
      <c r="E12" s="41">
        <f>D12*(1+$O$11)</f>
        <v>4.3740000000000014</v>
      </c>
      <c r="F12" s="41">
        <f>E12*(1+$O$11)</f>
        <v>4.7239200000000015</v>
      </c>
      <c r="G12" s="41">
        <f>F12*(1+$O$11)</f>
        <v>5.1018336000000017</v>
      </c>
      <c r="H12" s="41">
        <f>G12*(1+$O$11)</f>
        <v>5.5099802880000022</v>
      </c>
      <c r="I12" s="41">
        <f>H12*(1+$O$12)</f>
        <v>5.9507787110400026</v>
      </c>
      <c r="J12" s="41">
        <f>I12*(1+$O$12)</f>
        <v>6.426841007923203</v>
      </c>
      <c r="K12" s="41">
        <f>J12*(1+$O$12)</f>
        <v>6.94098828855706</v>
      </c>
      <c r="L12" s="41">
        <f>K12*(1+$O$12)</f>
        <v>7.4962673516416256</v>
      </c>
      <c r="M12" s="41">
        <f>L12*(1+$O$12)</f>
        <v>8.0959687397729567</v>
      </c>
      <c r="N12" s="41">
        <f>L12*O14</f>
        <v>112.44401027462439</v>
      </c>
      <c r="O12" s="70">
        <v>0.08</v>
      </c>
      <c r="P12" s="27" t="s">
        <v>2</v>
      </c>
    </row>
    <row r="13" spans="2:19" x14ac:dyDescent="0.2">
      <c r="B13" s="9">
        <f>B7</f>
        <v>0</v>
      </c>
      <c r="C13" s="7" t="str">
        <f>C7</f>
        <v>PV(10%)</v>
      </c>
      <c r="D13" s="41">
        <f>D12*(1+$O$13)^($D$11-D11-1)*$I$3</f>
        <v>1.2150000000000003</v>
      </c>
      <c r="E13" s="41">
        <f t="shared" ref="E13:M13" si="4">E12*(1+$O$13)^($D$11-E11-1)*$I$3</f>
        <v>1.1929090909090914</v>
      </c>
      <c r="F13" s="41">
        <f t="shared" si="4"/>
        <v>1.1712198347107439</v>
      </c>
      <c r="G13" s="41">
        <f t="shared" si="4"/>
        <v>1.1499249286250941</v>
      </c>
      <c r="H13" s="41">
        <f t="shared" si="4"/>
        <v>1.1290172026500922</v>
      </c>
      <c r="I13" s="41">
        <f t="shared" si="4"/>
        <v>1.1084896171473635</v>
      </c>
      <c r="J13" s="41">
        <f t="shared" si="4"/>
        <v>1.0883352604719565</v>
      </c>
      <c r="K13" s="41">
        <f t="shared" si="4"/>
        <v>1.0685473466451938</v>
      </c>
      <c r="L13" s="41">
        <f t="shared" si="4"/>
        <v>1.0491192130698268</v>
      </c>
      <c r="M13" s="41">
        <f t="shared" si="4"/>
        <v>1.0300443182867391</v>
      </c>
      <c r="N13" s="41">
        <f>N12*(1+$O$7)^($D$5-N11-1)</f>
        <v>43.35203359792672</v>
      </c>
      <c r="O13" s="17">
        <f>O7</f>
        <v>0.1</v>
      </c>
      <c r="P13" s="38" t="s">
        <v>3</v>
      </c>
    </row>
    <row r="14" spans="2:19" ht="13.5" thickBot="1" x14ac:dyDescent="0.25">
      <c r="B14" s="9"/>
      <c r="C14" s="8" t="s">
        <v>4</v>
      </c>
      <c r="D14" s="20">
        <f>SUM(D13:N13)</f>
        <v>54.554640410442822</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FCF GBP in billions</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3.75</v>
      </c>
      <c r="D18" s="41">
        <f>C18*(1+$O$17)</f>
        <v>3.8250000000000002</v>
      </c>
      <c r="E18" s="41">
        <f>D18*(1+$O$17)</f>
        <v>3.9015000000000004</v>
      </c>
      <c r="F18" s="41">
        <f>E18*(1+$O$17)</f>
        <v>3.9795300000000005</v>
      </c>
      <c r="G18" s="41">
        <f>F18*(1+$O$17)</f>
        <v>4.0591206000000009</v>
      </c>
      <c r="H18" s="41">
        <f>G18*(1+$O$17)</f>
        <v>4.1403030120000013</v>
      </c>
      <c r="I18" s="41">
        <f>H18*(1+$O$18)</f>
        <v>4.2231090722400015</v>
      </c>
      <c r="J18" s="41">
        <f>I18*(1+$O$18)</f>
        <v>4.3075712536848014</v>
      </c>
      <c r="K18" s="41">
        <f>J18*(1+$O$18)</f>
        <v>4.3937226787584978</v>
      </c>
      <c r="L18" s="41">
        <f>K18*(1+$O$18)</f>
        <v>4.4815971323336674</v>
      </c>
      <c r="M18" s="41">
        <f>L18*(1+$O$18)</f>
        <v>4.5712290749803408</v>
      </c>
      <c r="N18" s="41">
        <f>L18*O20</f>
        <v>44.815971323336676</v>
      </c>
      <c r="O18" s="70">
        <v>0.02</v>
      </c>
      <c r="P18" s="27" t="s">
        <v>2</v>
      </c>
    </row>
    <row r="19" spans="2:16" x14ac:dyDescent="0.2">
      <c r="B19" s="71" t="s">
        <v>155</v>
      </c>
      <c r="C19" s="7" t="str">
        <f>C13</f>
        <v>PV(10%)</v>
      </c>
      <c r="D19" s="41">
        <f>D18*(1+$O$19)^($D$17-D17-1)*$I$3</f>
        <v>1.1475000000000002</v>
      </c>
      <c r="E19" s="41">
        <f t="shared" ref="E19:M19" si="6">E18*(1+$O$19)^($D$17-E17-1)*$I$3</f>
        <v>1.0640454545454545</v>
      </c>
      <c r="F19" s="41">
        <f t="shared" si="6"/>
        <v>0.98666033057851221</v>
      </c>
      <c r="G19" s="41">
        <f t="shared" si="6"/>
        <v>0.91490321562734789</v>
      </c>
      <c r="H19" s="41">
        <f t="shared" si="6"/>
        <v>0.84836479994535885</v>
      </c>
      <c r="I19" s="41">
        <f t="shared" si="6"/>
        <v>0.78666554176751458</v>
      </c>
      <c r="J19" s="41">
        <f t="shared" si="6"/>
        <v>0.72945350236624062</v>
      </c>
      <c r="K19" s="41">
        <f t="shared" si="6"/>
        <v>0.67640233855778686</v>
      </c>
      <c r="L19" s="41">
        <f t="shared" si="6"/>
        <v>0.6272094412081296</v>
      </c>
      <c r="M19" s="41">
        <f t="shared" si="6"/>
        <v>0.5815942091202656</v>
      </c>
      <c r="N19" s="41">
        <f t="shared" ref="N19" si="7">N18*(1+$O$19)^($D$17-N17-1)</f>
        <v>17.278497002978774</v>
      </c>
      <c r="O19" s="17">
        <f>O13</f>
        <v>0.1</v>
      </c>
      <c r="P19" s="38" t="s">
        <v>3</v>
      </c>
    </row>
    <row r="20" spans="2:16" ht="13.5" thickBot="1" x14ac:dyDescent="0.25">
      <c r="B20" s="71" t="s">
        <v>156</v>
      </c>
      <c r="C20" s="8" t="s">
        <v>4</v>
      </c>
      <c r="D20" s="20">
        <f>SUM(D19:N19)</f>
        <v>25.641295836695384</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0.34</v>
      </c>
      <c r="E23" s="41">
        <f>D8</f>
        <v>39.462855268821485</v>
      </c>
      <c r="F23" s="22">
        <f>E23*D23</f>
        <v>13.417370791399305</v>
      </c>
      <c r="G23" s="25"/>
      <c r="P23" s="38"/>
    </row>
    <row r="24" spans="2:16" x14ac:dyDescent="0.2">
      <c r="B24" s="9"/>
      <c r="C24" s="9" t="s">
        <v>15</v>
      </c>
      <c r="D24" s="44">
        <v>0.33</v>
      </c>
      <c r="E24" s="41">
        <f>D14</f>
        <v>54.554640410442822</v>
      </c>
      <c r="F24" s="22">
        <f>E24*D24</f>
        <v>18.003031335446131</v>
      </c>
      <c r="G24" s="25"/>
      <c r="P24" s="38"/>
    </row>
    <row r="25" spans="2:16" ht="13.5" thickBot="1" x14ac:dyDescent="0.25">
      <c r="B25" s="9"/>
      <c r="C25" s="10" t="s">
        <v>29</v>
      </c>
      <c r="D25" s="44">
        <v>0.33</v>
      </c>
      <c r="E25" s="23">
        <f>D20</f>
        <v>25.641295836695384</v>
      </c>
      <c r="F25" s="24">
        <f>E25*D25</f>
        <v>8.4616276261094772</v>
      </c>
      <c r="G25" s="25"/>
      <c r="P25" s="38"/>
    </row>
    <row r="26" spans="2:16" ht="13.5" thickBot="1" x14ac:dyDescent="0.25">
      <c r="B26" s="9"/>
      <c r="C26" s="36" t="s">
        <v>167</v>
      </c>
      <c r="D26" s="36">
        <f>C3</f>
        <v>35.194535555000002</v>
      </c>
      <c r="E26" s="15" t="s">
        <v>11</v>
      </c>
      <c r="F26" s="16">
        <f>SUM(F23:F25)</f>
        <v>39.882029752954914</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3" priority="1" operator="containsText" text="overvalued">
      <formula>NOT(ISERROR(SEARCH("overvalued",D3)))</formula>
    </cfRule>
    <cfRule type="containsText" dxfId="32" priority="2" operator="containsText" text="undervalued">
      <formula>NOT(ISERROR(SEARCH("undervalued",D3)))</formula>
    </cfRule>
  </conditionalFormatting>
  <hyperlinks>
    <hyperlink ref="C30" r:id="rId1" xr:uid="{80DE392B-71DD-3F40-B50D-CAB2A88BB411}"/>
    <hyperlink ref="B4" location="'COMPARATIVE TABLE'!A1" display="'COMPARATIVE TABLE'!A1" xr:uid="{997E982A-B92A-A747-939B-E04967348F77}"/>
  </hyperlinks>
  <pageMargins left="0.7" right="0.7" top="0.78740157499999996" bottom="0.78740157499999996" header="0.3" footer="0.3"/>
  <pageSetup paperSize="9"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463E-1B6C-1440-B1CB-12E0AD653064}">
  <dimension ref="B1:S30"/>
  <sheetViews>
    <sheetView showGridLines="0" zoomScale="123" zoomScaleNormal="123"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86</v>
      </c>
      <c r="C2" s="31" t="s">
        <v>36</v>
      </c>
      <c r="D2" s="32"/>
      <c r="E2" s="33"/>
      <c r="F2" s="33"/>
      <c r="G2" s="33"/>
      <c r="H2" s="33"/>
      <c r="I2" s="33"/>
      <c r="J2" s="33"/>
      <c r="K2" s="33"/>
      <c r="L2" s="33"/>
      <c r="M2" s="33"/>
      <c r="N2" s="33"/>
      <c r="O2" s="33"/>
      <c r="P2" s="34"/>
      <c r="S2" s="3" t="s">
        <v>7</v>
      </c>
    </row>
    <row r="3" spans="2:19" ht="13.5" thickBot="1" x14ac:dyDescent="0.25">
      <c r="B3" s="35" t="s">
        <v>166</v>
      </c>
      <c r="C3" s="36">
        <f>'COMPARATIVE TABLE'!C53</f>
        <v>43.49</v>
      </c>
      <c r="D3" s="37"/>
      <c r="F3" s="11" t="s">
        <v>189</v>
      </c>
      <c r="G3" s="12"/>
      <c r="H3" s="12"/>
      <c r="I3" s="46">
        <v>1</v>
      </c>
      <c r="P3" s="38"/>
    </row>
    <row r="4" spans="2:19" ht="26.25" thickBot="1" x14ac:dyDescent="0.25">
      <c r="B4" s="39" t="s">
        <v>85</v>
      </c>
      <c r="N4" s="40" t="s">
        <v>5</v>
      </c>
      <c r="O4" s="4" t="s">
        <v>0</v>
      </c>
      <c r="P4" s="38"/>
    </row>
    <row r="5" spans="2:19" x14ac:dyDescent="0.2">
      <c r="B5" s="9" t="s">
        <v>8</v>
      </c>
      <c r="C5" s="5" t="s">
        <v>233</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70">
        <v>0.03</v>
      </c>
      <c r="P5" s="38" t="s">
        <v>1</v>
      </c>
      <c r="R5" s="1"/>
    </row>
    <row r="6" spans="2:19" x14ac:dyDescent="0.2">
      <c r="B6" s="9" t="s">
        <v>19</v>
      </c>
      <c r="C6" s="86">
        <v>2.62</v>
      </c>
      <c r="D6" s="41">
        <f>C6*(1+$O$5)</f>
        <v>2.6986000000000003</v>
      </c>
      <c r="E6" s="41">
        <f>D6*(1+$O$5)</f>
        <v>2.7795580000000002</v>
      </c>
      <c r="F6" s="41">
        <f>E6*(1+$O$5)</f>
        <v>2.8629447400000001</v>
      </c>
      <c r="G6" s="41">
        <f>F6*(1+$O$5)</f>
        <v>2.9488330822000002</v>
      </c>
      <c r="H6" s="41">
        <f>G6*(1+$O$5)</f>
        <v>3.0372980746660003</v>
      </c>
      <c r="I6" s="41">
        <f>H6*(1+$O$6)</f>
        <v>3.1284170169059804</v>
      </c>
      <c r="J6" s="41">
        <f>I6*(1+$O$6)</f>
        <v>3.2222695274131601</v>
      </c>
      <c r="K6" s="41">
        <f>J6*(1+$O$6)</f>
        <v>3.3189376132355548</v>
      </c>
      <c r="L6" s="41">
        <f>K6*(1+$O$6)</f>
        <v>3.4185057416326217</v>
      </c>
      <c r="M6" s="41">
        <f>L6*(1+$O$6)</f>
        <v>3.5210609138816005</v>
      </c>
      <c r="N6" s="41">
        <f>L6*O8</f>
        <v>51.277586124489325</v>
      </c>
      <c r="O6" s="70">
        <v>0.03</v>
      </c>
      <c r="P6" s="27" t="s">
        <v>2</v>
      </c>
    </row>
    <row r="7" spans="2:19" x14ac:dyDescent="0.2">
      <c r="B7" s="9"/>
      <c r="C7" s="7" t="str">
        <f>CONCATENATE(R8,O7*100,S8)</f>
        <v>PV(10%)</v>
      </c>
      <c r="D7" s="41">
        <f>D6*(1+$O$7)^($D$5-D5-1)*$I$3</f>
        <v>2.4532727272727275</v>
      </c>
      <c r="E7" s="41">
        <f t="shared" ref="E7:M7" si="1">E6*(1+$O$7)^($D$5-E5-1)*$I$3</f>
        <v>2.2971553719008262</v>
      </c>
      <c r="F7" s="41">
        <f t="shared" si="1"/>
        <v>2.1509727573253188</v>
      </c>
      <c r="G7" s="41">
        <f t="shared" si="1"/>
        <v>2.0140926727682533</v>
      </c>
      <c r="H7" s="41">
        <f t="shared" si="1"/>
        <v>1.8859231390466369</v>
      </c>
      <c r="I7" s="41">
        <f t="shared" si="1"/>
        <v>1.7659098483800328</v>
      </c>
      <c r="J7" s="41">
        <f t="shared" si="1"/>
        <v>1.653533767119485</v>
      </c>
      <c r="K7" s="41">
        <f t="shared" si="1"/>
        <v>1.5483088910300633</v>
      </c>
      <c r="L7" s="41">
        <f t="shared" si="1"/>
        <v>1.4497801434190591</v>
      </c>
      <c r="M7" s="41">
        <f t="shared" si="1"/>
        <v>1.3575214070196644</v>
      </c>
      <c r="N7" s="41">
        <f t="shared" ref="N7" si="2">N6*(1+$O$7)^($D$5-N5-1)</f>
        <v>19.769729228441715</v>
      </c>
      <c r="O7" s="70">
        <v>0.1</v>
      </c>
      <c r="P7" s="38" t="s">
        <v>3</v>
      </c>
    </row>
    <row r="8" spans="2:19" ht="13.5" thickBot="1" x14ac:dyDescent="0.25">
      <c r="B8" s="9"/>
      <c r="C8" s="8" t="s">
        <v>26</v>
      </c>
      <c r="D8" s="20">
        <f>SUM(D7:N7)</f>
        <v>38.346199953723783</v>
      </c>
      <c r="E8" s="21"/>
      <c r="F8" s="21"/>
      <c r="G8" s="21"/>
      <c r="H8" s="21"/>
      <c r="I8" s="21"/>
      <c r="J8" s="21"/>
      <c r="K8" s="21"/>
      <c r="L8" s="21"/>
      <c r="M8" s="21"/>
      <c r="N8" s="21"/>
      <c r="O8" s="78">
        <v>15</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0.05</v>
      </c>
      <c r="P11" s="38" t="s">
        <v>1</v>
      </c>
    </row>
    <row r="12" spans="2:19" x14ac:dyDescent="0.2">
      <c r="B12" s="9" t="s">
        <v>18</v>
      </c>
      <c r="C12" s="86">
        <f>C6</f>
        <v>2.62</v>
      </c>
      <c r="D12" s="41">
        <f>C12*(1+$O$11)</f>
        <v>2.7510000000000003</v>
      </c>
      <c r="E12" s="41">
        <f>D12*(1+$O$11)</f>
        <v>2.8885500000000004</v>
      </c>
      <c r="F12" s="41">
        <f>E12*(1+$O$11)</f>
        <v>3.0329775000000003</v>
      </c>
      <c r="G12" s="41">
        <f>F12*(1+$O$11)</f>
        <v>3.1846263750000006</v>
      </c>
      <c r="H12" s="41">
        <f>G12*(1+$O$11)</f>
        <v>3.3438576937500009</v>
      </c>
      <c r="I12" s="41">
        <f>H12*(1+$O$12)</f>
        <v>3.511050578437501</v>
      </c>
      <c r="J12" s="41">
        <f>I12*(1+$O$12)</f>
        <v>3.6866031073593764</v>
      </c>
      <c r="K12" s="41">
        <f>J12*(1+$O$12)</f>
        <v>3.8709332627273452</v>
      </c>
      <c r="L12" s="41">
        <f>K12*(1+$O$12)</f>
        <v>4.0644799258637123</v>
      </c>
      <c r="M12" s="41">
        <f>L12*(1+$O$12)</f>
        <v>4.2677039221568984</v>
      </c>
      <c r="N12" s="41">
        <f>L12*O14</f>
        <v>81.289598517274243</v>
      </c>
      <c r="O12" s="70">
        <v>0.05</v>
      </c>
      <c r="P12" s="27" t="s">
        <v>2</v>
      </c>
    </row>
    <row r="13" spans="2:19" x14ac:dyDescent="0.2">
      <c r="B13" s="9">
        <f>B7</f>
        <v>0</v>
      </c>
      <c r="C13" s="7" t="str">
        <f>C7</f>
        <v>PV(10%)</v>
      </c>
      <c r="D13" s="41">
        <f>D12*(1+$O$13)^($D$11-D11-1)*$I$3</f>
        <v>2.500909090909091</v>
      </c>
      <c r="E13" s="41">
        <f t="shared" ref="E13:M13" si="4">E12*(1+$O$13)^($D$11-E11-1)*$I$3</f>
        <v>2.3872314049586776</v>
      </c>
      <c r="F13" s="41">
        <f t="shared" si="4"/>
        <v>2.2787208865514645</v>
      </c>
      <c r="G13" s="41">
        <f t="shared" si="4"/>
        <v>2.1751426644354894</v>
      </c>
      <c r="H13" s="41">
        <f t="shared" si="4"/>
        <v>2.0762725433247851</v>
      </c>
      <c r="I13" s="41">
        <f t="shared" si="4"/>
        <v>1.981896518628204</v>
      </c>
      <c r="J13" s="41">
        <f t="shared" si="4"/>
        <v>1.8918103132360127</v>
      </c>
      <c r="K13" s="41">
        <f t="shared" si="4"/>
        <v>1.8058189353616485</v>
      </c>
      <c r="L13" s="41">
        <f t="shared" si="4"/>
        <v>1.7237362564815735</v>
      </c>
      <c r="M13" s="41">
        <f t="shared" si="4"/>
        <v>1.6453846084596837</v>
      </c>
      <c r="N13" s="41">
        <f>N12*(1+$O$7)^($D$5-N11-1)</f>
        <v>31.340659208755877</v>
      </c>
      <c r="O13" s="70">
        <f>O7</f>
        <v>0.1</v>
      </c>
      <c r="P13" s="38" t="s">
        <v>3</v>
      </c>
    </row>
    <row r="14" spans="2:19" ht="13.5" thickBot="1" x14ac:dyDescent="0.25">
      <c r="B14" s="9"/>
      <c r="C14" s="8" t="s">
        <v>4</v>
      </c>
      <c r="D14" s="20">
        <f>SUM(D13:N13)</f>
        <v>51.807582431102503</v>
      </c>
      <c r="E14" s="21"/>
      <c r="F14" s="21"/>
      <c r="G14" s="21"/>
      <c r="H14" s="21"/>
      <c r="I14" s="21"/>
      <c r="J14" s="21"/>
      <c r="K14" s="21"/>
      <c r="L14" s="21"/>
      <c r="M14" s="21"/>
      <c r="N14" s="21"/>
      <c r="O14" s="78">
        <v>20</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v>
      </c>
      <c r="P17" s="38" t="s">
        <v>1</v>
      </c>
    </row>
    <row r="18" spans="2:16" x14ac:dyDescent="0.2">
      <c r="B18" s="9" t="s">
        <v>17</v>
      </c>
      <c r="C18" s="86">
        <f>C12</f>
        <v>2.62</v>
      </c>
      <c r="D18" s="41">
        <f>C18*(1+$O$17)</f>
        <v>2.62</v>
      </c>
      <c r="E18" s="41">
        <f>D18*(1+$O$17)</f>
        <v>2.62</v>
      </c>
      <c r="F18" s="41">
        <f>E18*(1+$O$17)</f>
        <v>2.62</v>
      </c>
      <c r="G18" s="41">
        <f>F18*(1+$O$17)</f>
        <v>2.62</v>
      </c>
      <c r="H18" s="41">
        <f>G18*(1+$O$17)</f>
        <v>2.62</v>
      </c>
      <c r="I18" s="41">
        <f>H18*(1+$O$18)</f>
        <v>2.62</v>
      </c>
      <c r="J18" s="41">
        <f>I18*(1+$O$18)</f>
        <v>2.62</v>
      </c>
      <c r="K18" s="41">
        <f>J18*(1+$O$18)</f>
        <v>2.62</v>
      </c>
      <c r="L18" s="41">
        <f>K18*(1+$O$18)</f>
        <v>2.62</v>
      </c>
      <c r="M18" s="41">
        <f>L18*(1+$O$18)</f>
        <v>2.62</v>
      </c>
      <c r="N18" s="41">
        <f>L18*O20</f>
        <v>26.200000000000003</v>
      </c>
      <c r="O18" s="70">
        <v>0</v>
      </c>
      <c r="P18" s="27" t="s">
        <v>2</v>
      </c>
    </row>
    <row r="19" spans="2:16" x14ac:dyDescent="0.2">
      <c r="B19" s="9" t="s">
        <v>155</v>
      </c>
      <c r="C19" s="7" t="str">
        <f>C13</f>
        <v>PV(10%)</v>
      </c>
      <c r="D19" s="41">
        <f>D18*(1+$O$19)^($D$17-D17-1)*$I$3</f>
        <v>2.3818181818181818</v>
      </c>
      <c r="E19" s="41">
        <f t="shared" ref="E19:M19" si="6">E18*(1+$O$19)^($D$17-E17-1)*$I$3</f>
        <v>2.165289256198347</v>
      </c>
      <c r="F19" s="41">
        <f t="shared" si="6"/>
        <v>1.9684447783621333</v>
      </c>
      <c r="G19" s="41">
        <f t="shared" si="6"/>
        <v>1.7894952530564849</v>
      </c>
      <c r="H19" s="41">
        <f t="shared" si="6"/>
        <v>1.626813866414986</v>
      </c>
      <c r="I19" s="41">
        <f t="shared" si="6"/>
        <v>1.4789216967408965</v>
      </c>
      <c r="J19" s="41">
        <f t="shared" si="6"/>
        <v>1.3444742697644509</v>
      </c>
      <c r="K19" s="41">
        <f t="shared" si="6"/>
        <v>1.2222493361495008</v>
      </c>
      <c r="L19" s="41">
        <f t="shared" si="6"/>
        <v>1.1111357601359098</v>
      </c>
      <c r="M19" s="41">
        <f t="shared" si="6"/>
        <v>1.0101234183053724</v>
      </c>
      <c r="N19" s="41">
        <f t="shared" ref="N19" si="7">N18*(1+$O$19)^($D$17-N17-1)</f>
        <v>10.101234183053727</v>
      </c>
      <c r="O19" s="70">
        <f>O13</f>
        <v>0.1</v>
      </c>
      <c r="P19" s="38" t="s">
        <v>3</v>
      </c>
    </row>
    <row r="20" spans="2:16" ht="13.5" thickBot="1" x14ac:dyDescent="0.25">
      <c r="B20" s="9" t="s">
        <v>156</v>
      </c>
      <c r="C20" s="8" t="s">
        <v>4</v>
      </c>
      <c r="D20" s="20">
        <f>SUM(D19:N19)</f>
        <v>26.199999999999989</v>
      </c>
      <c r="E20" s="21"/>
      <c r="F20" s="21"/>
      <c r="G20" s="21"/>
      <c r="H20" s="21"/>
      <c r="I20" s="21"/>
      <c r="J20" s="21"/>
      <c r="K20" s="21"/>
      <c r="L20" s="21"/>
      <c r="M20" s="21"/>
      <c r="N20" s="21"/>
      <c r="O20" s="78">
        <v>10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38.346199953723783</v>
      </c>
      <c r="F23" s="22">
        <f>E23*D23</f>
        <v>23.00771997223427</v>
      </c>
      <c r="P23" s="38"/>
    </row>
    <row r="24" spans="2:16" x14ac:dyDescent="0.2">
      <c r="B24" s="9"/>
      <c r="C24" s="9" t="s">
        <v>15</v>
      </c>
      <c r="D24" s="44">
        <v>0.2</v>
      </c>
      <c r="E24" s="41">
        <f>D14</f>
        <v>51.807582431102503</v>
      </c>
      <c r="F24" s="22">
        <f>E24*D24</f>
        <v>10.361516486220502</v>
      </c>
      <c r="P24" s="38"/>
    </row>
    <row r="25" spans="2:16" ht="13.5" thickBot="1" x14ac:dyDescent="0.25">
      <c r="B25" s="9"/>
      <c r="C25" s="10" t="s">
        <v>29</v>
      </c>
      <c r="D25" s="44">
        <v>0.2</v>
      </c>
      <c r="E25" s="23">
        <f>D20</f>
        <v>26.199999999999989</v>
      </c>
      <c r="F25" s="24">
        <f>E25*D25</f>
        <v>5.2399999999999984</v>
      </c>
      <c r="P25" s="38"/>
    </row>
    <row r="26" spans="2:16" ht="13.5" thickBot="1" x14ac:dyDescent="0.25">
      <c r="B26" s="9"/>
      <c r="C26" s="36" t="s">
        <v>167</v>
      </c>
      <c r="D26" s="36">
        <f>C3</f>
        <v>43.49</v>
      </c>
      <c r="E26" s="15" t="s">
        <v>11</v>
      </c>
      <c r="F26" s="16">
        <f>SUM(F23:F25)</f>
        <v>38.609236458454774</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1" priority="1" operator="containsText" text="overvalued">
      <formula>NOT(ISERROR(SEARCH("overvalued",D3)))</formula>
    </cfRule>
    <cfRule type="containsText" dxfId="30" priority="2" operator="containsText" text="undervalued">
      <formula>NOT(ISERROR(SEARCH("undervalued",D3)))</formula>
    </cfRule>
  </conditionalFormatting>
  <hyperlinks>
    <hyperlink ref="C30" r:id="rId1" xr:uid="{038A7416-9845-8F4E-AC48-3B4D1F5B47BD}"/>
    <hyperlink ref="B4" location="'COMPARATIVE TABLE'!A1" display="'COMPARATIVE TABLE'!A1" xr:uid="{93E8889C-5F24-0F42-82A3-12078B9CDD1F}"/>
  </hyperlinks>
  <pageMargins left="0.7" right="0.7" top="0.78740157499999996" bottom="0.78740157499999996" header="0.3" footer="0.3"/>
  <pageSetup paperSize="9" orientation="portrait" r:id="rId2"/>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1F16-CC32-A443-987B-09162364022F}">
  <dimension ref="B1:S30"/>
  <sheetViews>
    <sheetView showGridLines="0" zoomScale="127" zoomScaleNormal="127"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230</v>
      </c>
      <c r="C2" s="31" t="s">
        <v>36</v>
      </c>
      <c r="D2" s="32"/>
      <c r="E2" s="33"/>
      <c r="F2" s="33"/>
      <c r="G2" s="33"/>
      <c r="H2" s="33"/>
      <c r="I2" s="33"/>
      <c r="J2" s="33"/>
      <c r="K2" s="33"/>
      <c r="L2" s="33"/>
      <c r="M2" s="33"/>
      <c r="N2" s="33"/>
      <c r="O2" s="33"/>
      <c r="P2" s="34"/>
      <c r="S2" s="3" t="s">
        <v>7</v>
      </c>
    </row>
    <row r="3" spans="2:19" ht="13.5" thickBot="1" x14ac:dyDescent="0.25">
      <c r="B3" s="35" t="s">
        <v>166</v>
      </c>
      <c r="C3" s="36">
        <f>'COMPARATIVE TABLE'!C52</f>
        <v>62.27</v>
      </c>
      <c r="D3" s="37"/>
      <c r="F3" s="11" t="s">
        <v>189</v>
      </c>
      <c r="G3" s="12"/>
      <c r="H3" s="12"/>
      <c r="I3" s="46">
        <v>0.6</v>
      </c>
      <c r="P3" s="38"/>
    </row>
    <row r="4" spans="2:19" ht="26.25" thickBot="1" x14ac:dyDescent="0.25">
      <c r="B4" s="39" t="s">
        <v>85</v>
      </c>
      <c r="N4" s="40" t="s">
        <v>5</v>
      </c>
      <c r="O4" s="4" t="s">
        <v>0</v>
      </c>
      <c r="P4" s="38"/>
    </row>
    <row r="5" spans="2:19" x14ac:dyDescent="0.2">
      <c r="B5" s="9" t="s">
        <v>8</v>
      </c>
      <c r="C5" s="5" t="s">
        <v>231</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0.05</v>
      </c>
      <c r="P5" s="38" t="s">
        <v>1</v>
      </c>
      <c r="R5" s="1"/>
    </row>
    <row r="6" spans="2:19" x14ac:dyDescent="0.2">
      <c r="B6" s="9" t="s">
        <v>19</v>
      </c>
      <c r="C6" s="6">
        <v>2.75</v>
      </c>
      <c r="D6" s="41">
        <f>C6*(1+$O$5)</f>
        <v>2.8875000000000002</v>
      </c>
      <c r="E6" s="41">
        <f>D6*(1+$O$5)</f>
        <v>3.0318750000000003</v>
      </c>
      <c r="F6" s="41">
        <f>E6*(1+$O$5)</f>
        <v>3.1834687500000003</v>
      </c>
      <c r="G6" s="41">
        <f>F6*(1+$O$5)</f>
        <v>3.3426421875000005</v>
      </c>
      <c r="H6" s="41">
        <f>G6*(1+$O$5)</f>
        <v>3.5097742968750008</v>
      </c>
      <c r="I6" s="41">
        <f>H6*(1+$O$6)</f>
        <v>3.6852630117187508</v>
      </c>
      <c r="J6" s="41">
        <f>I6*(1+$O$6)</f>
        <v>3.8695261623046884</v>
      </c>
      <c r="K6" s="41">
        <f>J6*(1+$O$6)</f>
        <v>4.0630024704199226</v>
      </c>
      <c r="L6" s="41">
        <f>K6*(1+$O$6)</f>
        <v>4.2661525939409186</v>
      </c>
      <c r="M6" s="41">
        <f>L6*(1+$O$6)</f>
        <v>4.4794602236379646</v>
      </c>
      <c r="N6" s="41">
        <f>L6*O8</f>
        <v>63.992288909113782</v>
      </c>
      <c r="O6" s="17">
        <v>0.05</v>
      </c>
      <c r="P6" s="27" t="s">
        <v>2</v>
      </c>
    </row>
    <row r="7" spans="2:19" x14ac:dyDescent="0.2">
      <c r="B7" s="9"/>
      <c r="C7" s="7" t="str">
        <f>CONCATENATE(R8,O7*100,S8)</f>
        <v>PV(10%)</v>
      </c>
      <c r="D7" s="41">
        <f>D6*(1+$O$7)^($D$5-D5-1)*$I$3</f>
        <v>1.575</v>
      </c>
      <c r="E7" s="41">
        <f t="shared" ref="E7:M7" si="1">E6*(1+$O$7)^($D$5-E5-1)*$I$3</f>
        <v>1.5034090909090909</v>
      </c>
      <c r="F7" s="41">
        <f t="shared" si="1"/>
        <v>1.4350723140495865</v>
      </c>
      <c r="G7" s="41">
        <f t="shared" si="1"/>
        <v>1.3698417543200601</v>
      </c>
      <c r="H7" s="41">
        <f t="shared" si="1"/>
        <v>1.3075762200327845</v>
      </c>
      <c r="I7" s="41">
        <f t="shared" si="1"/>
        <v>1.2481409373040215</v>
      </c>
      <c r="J7" s="41">
        <f t="shared" si="1"/>
        <v>1.1914072583356565</v>
      </c>
      <c r="K7" s="41">
        <f t="shared" si="1"/>
        <v>1.1372523829567631</v>
      </c>
      <c r="L7" s="41">
        <f t="shared" si="1"/>
        <v>1.0855590928223648</v>
      </c>
      <c r="M7" s="41">
        <f t="shared" si="1"/>
        <v>1.0362154976940752</v>
      </c>
      <c r="N7" s="41">
        <f t="shared" ref="N7" si="2">N6*(1+$O$7)^($D$5-N5-1)</f>
        <v>24.671797564144651</v>
      </c>
      <c r="O7" s="17">
        <v>0.1</v>
      </c>
      <c r="P7" s="38" t="s">
        <v>3</v>
      </c>
    </row>
    <row r="8" spans="2:19" ht="13.5" thickBot="1" x14ac:dyDescent="0.25">
      <c r="B8" s="9"/>
      <c r="C8" s="8" t="s">
        <v>26</v>
      </c>
      <c r="D8" s="20">
        <f>SUM(D7:N7)</f>
        <v>37.561272112569057</v>
      </c>
      <c r="E8" s="21"/>
      <c r="F8" s="21"/>
      <c r="G8" s="21"/>
      <c r="H8" s="21"/>
      <c r="I8" s="21"/>
      <c r="J8" s="21"/>
      <c r="K8" s="21"/>
      <c r="L8" s="21"/>
      <c r="M8" s="21"/>
      <c r="N8" s="21"/>
      <c r="O8" s="18">
        <v>15</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FCF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7.0000000000000007E-2</v>
      </c>
      <c r="P11" s="38" t="s">
        <v>1</v>
      </c>
    </row>
    <row r="12" spans="2:19" x14ac:dyDescent="0.2">
      <c r="B12" s="9" t="s">
        <v>18</v>
      </c>
      <c r="C12" s="6">
        <f>C6</f>
        <v>2.75</v>
      </c>
      <c r="D12" s="41">
        <f>C12*(1+$O$11)</f>
        <v>2.9425000000000003</v>
      </c>
      <c r="E12" s="41">
        <f>D12*(1+$O$11)</f>
        <v>3.1484750000000004</v>
      </c>
      <c r="F12" s="41">
        <f>E12*(1+$O$11)</f>
        <v>3.3688682500000007</v>
      </c>
      <c r="G12" s="41">
        <f>F12*(1+$O$11)</f>
        <v>3.604689027500001</v>
      </c>
      <c r="H12" s="41">
        <f>G12*(1+$O$11)</f>
        <v>3.8570172594250014</v>
      </c>
      <c r="I12" s="41">
        <f>H12*(1+$O$12)</f>
        <v>4.1270084675847514</v>
      </c>
      <c r="J12" s="41">
        <f>I12*(1+$O$12)</f>
        <v>4.4158990603156845</v>
      </c>
      <c r="K12" s="41">
        <f>J12*(1+$O$12)</f>
        <v>4.7250119945377831</v>
      </c>
      <c r="L12" s="41">
        <f>K12*(1+$O$12)</f>
        <v>5.0557628341554279</v>
      </c>
      <c r="M12" s="41">
        <f>L12*(1+$O$12)</f>
        <v>5.4096662325463081</v>
      </c>
      <c r="N12" s="41">
        <f>L12*O14</f>
        <v>101.11525668310856</v>
      </c>
      <c r="O12" s="17">
        <v>7.0000000000000007E-2</v>
      </c>
      <c r="P12" s="27" t="s">
        <v>2</v>
      </c>
    </row>
    <row r="13" spans="2:19" x14ac:dyDescent="0.2">
      <c r="B13" s="9">
        <f>B7</f>
        <v>0</v>
      </c>
      <c r="C13" s="7" t="str">
        <f>C7</f>
        <v>PV(10%)</v>
      </c>
      <c r="D13" s="41">
        <f>D12*(1+$O$13)^($D$11-D11-1)*$I$3</f>
        <v>1.6050000000000002</v>
      </c>
      <c r="E13" s="41">
        <f t="shared" ref="E13:M13" si="4">E12*(1+$O$13)^($D$11-E11-1)*$I$3</f>
        <v>1.5612272727272727</v>
      </c>
      <c r="F13" s="41">
        <f t="shared" si="4"/>
        <v>1.5186483471074379</v>
      </c>
      <c r="G13" s="41">
        <f t="shared" si="4"/>
        <v>1.4772306649135989</v>
      </c>
      <c r="H13" s="41">
        <f t="shared" si="4"/>
        <v>1.4369425558705007</v>
      </c>
      <c r="I13" s="41">
        <f t="shared" si="4"/>
        <v>1.3977532134376687</v>
      </c>
      <c r="J13" s="41">
        <f t="shared" si="4"/>
        <v>1.3596326712530049</v>
      </c>
      <c r="K13" s="41">
        <f t="shared" si="4"/>
        <v>1.3225517802188322</v>
      </c>
      <c r="L13" s="41">
        <f t="shared" si="4"/>
        <v>1.2864821862128641</v>
      </c>
      <c r="M13" s="41">
        <f t="shared" si="4"/>
        <v>1.2513963084070587</v>
      </c>
      <c r="N13" s="41">
        <f>N12*(1+$O$7)^($D$5-N11-1)</f>
        <v>38.984308673117091</v>
      </c>
      <c r="O13" s="17">
        <f>O7</f>
        <v>0.1</v>
      </c>
      <c r="P13" s="38" t="s">
        <v>3</v>
      </c>
    </row>
    <row r="14" spans="2:19" ht="13.5" thickBot="1" x14ac:dyDescent="0.25">
      <c r="B14" s="9"/>
      <c r="C14" s="8" t="s">
        <v>4</v>
      </c>
      <c r="D14" s="20">
        <f>SUM(D13:N13)</f>
        <v>53.20117367326533</v>
      </c>
      <c r="E14" s="21"/>
      <c r="F14" s="21"/>
      <c r="G14" s="21"/>
      <c r="H14" s="21"/>
      <c r="I14" s="21"/>
      <c r="J14" s="21"/>
      <c r="K14" s="21"/>
      <c r="L14" s="21"/>
      <c r="M14" s="21"/>
      <c r="N14" s="21"/>
      <c r="O14" s="18">
        <v>20</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FCF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0.03</v>
      </c>
      <c r="P17" s="38" t="s">
        <v>1</v>
      </c>
    </row>
    <row r="18" spans="2:16" x14ac:dyDescent="0.2">
      <c r="B18" s="9" t="s">
        <v>17</v>
      </c>
      <c r="C18" s="6">
        <f>C12</f>
        <v>2.75</v>
      </c>
      <c r="D18" s="41">
        <f>C18*(1+$O$17)</f>
        <v>2.8325</v>
      </c>
      <c r="E18" s="41">
        <f>D18*(1+$O$17)</f>
        <v>2.917475</v>
      </c>
      <c r="F18" s="41">
        <f>E18*(1+$O$17)</f>
        <v>3.00499925</v>
      </c>
      <c r="G18" s="41">
        <f>F18*(1+$O$17)</f>
        <v>3.0951492274999999</v>
      </c>
      <c r="H18" s="41">
        <f>G18*(1+$O$17)</f>
        <v>3.1880037043249998</v>
      </c>
      <c r="I18" s="41">
        <f>H18*(1+$O$18)</f>
        <v>3.28364381545475</v>
      </c>
      <c r="J18" s="41">
        <f>I18*(1+$O$18)</f>
        <v>3.3821531299183927</v>
      </c>
      <c r="K18" s="41">
        <f>J18*(1+$O$18)</f>
        <v>3.4836177238159447</v>
      </c>
      <c r="L18" s="41">
        <f>K18*(1+$O$18)</f>
        <v>3.588126255530423</v>
      </c>
      <c r="M18" s="41">
        <f>L18*(1+$O$18)</f>
        <v>3.6957700431963358</v>
      </c>
      <c r="N18" s="41">
        <f>L18*O20</f>
        <v>43.057515066365077</v>
      </c>
      <c r="O18" s="17">
        <v>0.03</v>
      </c>
      <c r="P18" s="27" t="s">
        <v>2</v>
      </c>
    </row>
    <row r="19" spans="2:16" x14ac:dyDescent="0.2">
      <c r="B19" s="9" t="s">
        <v>155</v>
      </c>
      <c r="C19" s="7" t="str">
        <f>C13</f>
        <v>PV(10%)</v>
      </c>
      <c r="D19" s="41">
        <f>D18*(1+$O$19)^($D$17-D17-1)*$I$3</f>
        <v>1.5449999999999997</v>
      </c>
      <c r="E19" s="41">
        <f t="shared" ref="E19:M19" si="6">E18*(1+$O$19)^($D$17-E17-1)*$I$3</f>
        <v>1.4466818181818182</v>
      </c>
      <c r="F19" s="41">
        <f t="shared" si="6"/>
        <v>1.354620247933884</v>
      </c>
      <c r="G19" s="41">
        <f t="shared" si="6"/>
        <v>1.2684171412471821</v>
      </c>
      <c r="H19" s="41">
        <f t="shared" si="6"/>
        <v>1.1876996868041796</v>
      </c>
      <c r="I19" s="41">
        <f t="shared" si="6"/>
        <v>1.1121187976439135</v>
      </c>
      <c r="J19" s="41">
        <f t="shared" si="6"/>
        <v>1.0413476014302099</v>
      </c>
      <c r="K19" s="41">
        <f t="shared" si="6"/>
        <v>0.97508002679374195</v>
      </c>
      <c r="L19" s="41">
        <f t="shared" si="6"/>
        <v>0.91302947963414016</v>
      </c>
      <c r="M19" s="41">
        <f t="shared" si="6"/>
        <v>0.85492760365742215</v>
      </c>
      <c r="N19" s="41">
        <f t="shared" ref="N19" si="7">N18*(1+$O$19)^($D$17-N17-1)</f>
        <v>16.600535993348004</v>
      </c>
      <c r="O19" s="17">
        <f>O13</f>
        <v>0.1</v>
      </c>
      <c r="P19" s="38" t="s">
        <v>3</v>
      </c>
    </row>
    <row r="20" spans="2:16" ht="13.5" thickBot="1" x14ac:dyDescent="0.25">
      <c r="B20" s="9" t="s">
        <v>156</v>
      </c>
      <c r="C20" s="8" t="s">
        <v>4</v>
      </c>
      <c r="D20" s="20">
        <f>SUM(D19:N19)</f>
        <v>28.299458396674495</v>
      </c>
      <c r="E20" s="21"/>
      <c r="F20" s="21"/>
      <c r="G20" s="21"/>
      <c r="H20" s="21"/>
      <c r="I20" s="21"/>
      <c r="J20" s="21"/>
      <c r="K20" s="21"/>
      <c r="L20" s="21"/>
      <c r="M20" s="21"/>
      <c r="N20" s="21"/>
      <c r="O20" s="18">
        <v>12</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37.561272112569057</v>
      </c>
      <c r="F23" s="22">
        <f>E23*D23</f>
        <v>22.536763267541435</v>
      </c>
      <c r="P23" s="38"/>
    </row>
    <row r="24" spans="2:16" x14ac:dyDescent="0.2">
      <c r="B24" s="9"/>
      <c r="C24" s="9" t="s">
        <v>15</v>
      </c>
      <c r="D24" s="44">
        <v>0.2</v>
      </c>
      <c r="E24" s="41">
        <f>D14</f>
        <v>53.20117367326533</v>
      </c>
      <c r="F24" s="22">
        <f>E24*D24</f>
        <v>10.640234734653067</v>
      </c>
      <c r="P24" s="38"/>
    </row>
    <row r="25" spans="2:16" ht="13.5" thickBot="1" x14ac:dyDescent="0.25">
      <c r="B25" s="9"/>
      <c r="C25" s="10" t="s">
        <v>29</v>
      </c>
      <c r="D25" s="44">
        <v>0.2</v>
      </c>
      <c r="E25" s="23">
        <f>D20</f>
        <v>28.299458396674495</v>
      </c>
      <c r="F25" s="24">
        <f>E25*D25</f>
        <v>5.6598916793348995</v>
      </c>
      <c r="P25" s="38"/>
    </row>
    <row r="26" spans="2:16" ht="13.5" thickBot="1" x14ac:dyDescent="0.25">
      <c r="B26" s="9"/>
      <c r="C26" s="36" t="s">
        <v>167</v>
      </c>
      <c r="D26" s="36">
        <f>C3</f>
        <v>62.27</v>
      </c>
      <c r="E26" s="15" t="s">
        <v>11</v>
      </c>
      <c r="F26" s="16">
        <f>SUM(F23:F25)</f>
        <v>38.836889681529399</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29" priority="1" operator="containsText" text="overvalued">
      <formula>NOT(ISERROR(SEARCH("overvalued",D3)))</formula>
    </cfRule>
    <cfRule type="containsText" dxfId="28" priority="2" operator="containsText" text="undervalued">
      <formula>NOT(ISERROR(SEARCH("undervalued",D3)))</formula>
    </cfRule>
  </conditionalFormatting>
  <hyperlinks>
    <hyperlink ref="C30" r:id="rId1" xr:uid="{49A2A0D2-4E4D-454E-BA8C-067BD34B71F9}"/>
    <hyperlink ref="B4" location="'COMPARATIVE TABLE'!A1" display="'COMPARATIVE TABLE'!A1" xr:uid="{BFF3B2F5-E4EB-564E-97B7-072053058C53}"/>
  </hyperlinks>
  <pageMargins left="0.7" right="0.7" top="0.78740157499999996" bottom="0.78740157499999996" header="0.3" footer="0.3"/>
  <pageSetup paperSize="9" orientation="portrait"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E463-6ECE-534C-8674-6AF48A442EDC}">
  <dimension ref="B1:S30"/>
  <sheetViews>
    <sheetView showGridLines="0" zoomScale="147" zoomScaleNormal="147" workbookViewId="0">
      <selection activeCell="O20" sqref="O20"/>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39</v>
      </c>
      <c r="C2" s="31" t="s">
        <v>36</v>
      </c>
      <c r="D2" s="32"/>
      <c r="E2" s="33"/>
      <c r="F2" s="33"/>
      <c r="G2" s="33"/>
      <c r="H2" s="33"/>
      <c r="I2" s="33"/>
      <c r="J2" s="33"/>
      <c r="K2" s="33"/>
      <c r="L2" s="33"/>
      <c r="M2" s="33"/>
      <c r="N2" s="33"/>
      <c r="O2" s="33"/>
      <c r="P2" s="34"/>
      <c r="S2" s="3" t="s">
        <v>7</v>
      </c>
    </row>
    <row r="3" spans="2:19" ht="13.5" thickBot="1" x14ac:dyDescent="0.25">
      <c r="B3" s="35" t="s">
        <v>166</v>
      </c>
      <c r="C3" s="29">
        <f>'COMPARATIVE TABLE'!C39</f>
        <v>226.79</v>
      </c>
      <c r="D3" s="37"/>
      <c r="F3" s="73" t="s">
        <v>189</v>
      </c>
      <c r="G3" s="74"/>
      <c r="H3" s="74"/>
      <c r="I3" s="75">
        <v>0.16</v>
      </c>
      <c r="P3" s="38"/>
    </row>
    <row r="4" spans="2:19" ht="26.25" thickBot="1" x14ac:dyDescent="0.25">
      <c r="B4" s="39" t="s">
        <v>85</v>
      </c>
      <c r="N4" s="76" t="s">
        <v>5</v>
      </c>
      <c r="O4" s="4" t="s">
        <v>0</v>
      </c>
      <c r="P4" s="38"/>
    </row>
    <row r="5" spans="2:19" x14ac:dyDescent="0.2">
      <c r="B5" s="71"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77">
        <v>2034</v>
      </c>
      <c r="O5" s="70">
        <v>0.05</v>
      </c>
      <c r="P5" s="38" t="s">
        <v>1</v>
      </c>
      <c r="R5" s="1"/>
    </row>
    <row r="6" spans="2:19" x14ac:dyDescent="0.2">
      <c r="B6" s="71" t="s">
        <v>19</v>
      </c>
      <c r="C6" s="86">
        <v>6.08</v>
      </c>
      <c r="D6" s="41">
        <f>C6*(1+$O$5)</f>
        <v>6.3840000000000003</v>
      </c>
      <c r="E6" s="41">
        <f>D6*(1+$O$5)</f>
        <v>6.7032000000000007</v>
      </c>
      <c r="F6" s="41">
        <f>E6*(1+$O$5)</f>
        <v>7.0383600000000008</v>
      </c>
      <c r="G6" s="41">
        <f>F6*(1+$O$5)</f>
        <v>7.3902780000000012</v>
      </c>
      <c r="H6" s="41">
        <f>G6*(1+$O$5)</f>
        <v>7.7597919000000015</v>
      </c>
      <c r="I6" s="41">
        <f>H6*(1+$O$6)</f>
        <v>8.147781495000002</v>
      </c>
      <c r="J6" s="41">
        <f>I6*(1+$O$6)</f>
        <v>8.5551705697500022</v>
      </c>
      <c r="K6" s="41">
        <f>J6*(1+$O$6)</f>
        <v>8.9829290982375021</v>
      </c>
      <c r="L6" s="41">
        <f>K6*(1+$O$6)</f>
        <v>9.4320755531493781</v>
      </c>
      <c r="M6" s="41">
        <f>L6*(1+$O$6)</f>
        <v>9.9036793308068471</v>
      </c>
      <c r="N6" s="72">
        <f>L6*O8</f>
        <v>188.64151106298755</v>
      </c>
      <c r="O6" s="70">
        <v>0.05</v>
      </c>
      <c r="P6" s="27" t="s">
        <v>2</v>
      </c>
    </row>
    <row r="7" spans="2:19" x14ac:dyDescent="0.2">
      <c r="B7" s="9"/>
      <c r="C7" s="7" t="str">
        <f>CONCATENATE(R8,O7*100,S8)</f>
        <v>PV(10%)</v>
      </c>
      <c r="D7" s="72">
        <f>D6*(1+$O$7)^($D$5-D5-1)*$I$3</f>
        <v>0.92858181818181817</v>
      </c>
      <c r="E7" s="72">
        <f t="shared" ref="E7:M7" si="1">E6*(1+$O$7)^($D$5-E5-1)*$I$3</f>
        <v>0.88637355371900828</v>
      </c>
      <c r="F7" s="72">
        <f t="shared" si="1"/>
        <v>0.8460838467317805</v>
      </c>
      <c r="G7" s="72">
        <f t="shared" si="1"/>
        <v>0.80762549006215423</v>
      </c>
      <c r="H7" s="72">
        <f t="shared" si="1"/>
        <v>0.77091524051387439</v>
      </c>
      <c r="I7" s="72">
        <f t="shared" si="1"/>
        <v>0.73587363867233468</v>
      </c>
      <c r="J7" s="72">
        <f t="shared" si="1"/>
        <v>0.70242483691450108</v>
      </c>
      <c r="K7" s="72">
        <f t="shared" si="1"/>
        <v>0.67049643523656932</v>
      </c>
      <c r="L7" s="72">
        <f t="shared" si="1"/>
        <v>0.6400193245439979</v>
      </c>
      <c r="M7" s="72">
        <f t="shared" si="1"/>
        <v>0.61092753706472525</v>
      </c>
      <c r="N7" s="72">
        <f t="shared" ref="N7" si="2">N6*(1+$O$7)^($D$5-N5-1)</f>
        <v>72.729468698181577</v>
      </c>
      <c r="O7" s="17">
        <v>0.1</v>
      </c>
      <c r="P7" s="45" t="s">
        <v>3</v>
      </c>
    </row>
    <row r="8" spans="2:19" ht="13.5" thickBot="1" x14ac:dyDescent="0.25">
      <c r="B8" s="9"/>
      <c r="C8" s="8" t="s">
        <v>26</v>
      </c>
      <c r="D8" s="20">
        <f>SUM(D7:N7)</f>
        <v>80.32879041982234</v>
      </c>
      <c r="E8" s="21"/>
      <c r="F8" s="21"/>
      <c r="G8" s="21"/>
      <c r="H8" s="21"/>
      <c r="I8" s="21"/>
      <c r="J8" s="21"/>
      <c r="K8" s="21"/>
      <c r="L8" s="21"/>
      <c r="M8" s="21"/>
      <c r="N8" s="21"/>
      <c r="O8" s="78">
        <v>20</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7.0000000000000007E-2</v>
      </c>
      <c r="P11" s="38" t="s">
        <v>1</v>
      </c>
    </row>
    <row r="12" spans="2:19" x14ac:dyDescent="0.2">
      <c r="B12" s="71" t="s">
        <v>18</v>
      </c>
      <c r="C12" s="6">
        <f>C6</f>
        <v>6.08</v>
      </c>
      <c r="D12" s="41">
        <f>C12*(1+$O$11)</f>
        <v>6.5056000000000003</v>
      </c>
      <c r="E12" s="41">
        <f>D12*(1+$O$11)</f>
        <v>6.960992000000001</v>
      </c>
      <c r="F12" s="41">
        <f>E12*(1+$O$11)</f>
        <v>7.4482614400000013</v>
      </c>
      <c r="G12" s="41">
        <f>F12*(1+$O$11)</f>
        <v>7.9696397408000017</v>
      </c>
      <c r="H12" s="41">
        <f>G12*(1+$O$11)</f>
        <v>8.5275145226560021</v>
      </c>
      <c r="I12" s="41">
        <f>H12*(1+$O$12)</f>
        <v>9.1244405392419221</v>
      </c>
      <c r="J12" s="41">
        <f>I12*(1+$O$12)</f>
        <v>9.7631513769888567</v>
      </c>
      <c r="K12" s="41">
        <f>J12*(1+$O$12)</f>
        <v>10.446571973378077</v>
      </c>
      <c r="L12" s="41">
        <f>K12*(1+$O$12)</f>
        <v>11.177832011514543</v>
      </c>
      <c r="M12" s="41">
        <f>L12*(1+$O$12)</f>
        <v>11.960280252320562</v>
      </c>
      <c r="N12" s="41">
        <f>L12*O14</f>
        <v>335.33496034543629</v>
      </c>
      <c r="O12" s="70">
        <v>7.0000000000000007E-2</v>
      </c>
      <c r="P12" s="27" t="s">
        <v>2</v>
      </c>
    </row>
    <row r="13" spans="2:19" x14ac:dyDescent="0.2">
      <c r="B13" s="9">
        <f>B7</f>
        <v>0</v>
      </c>
      <c r="C13" s="7" t="str">
        <f>C7</f>
        <v>PV(10%)</v>
      </c>
      <c r="D13" s="41">
        <f>D12*(1+$O$13)^($D$11-D11-1)*$I$3</f>
        <v>0.94626909090909095</v>
      </c>
      <c r="E13" s="41">
        <f t="shared" ref="E13:M13" si="4">E12*(1+$O$13)^($D$11-E11-1)*$I$3</f>
        <v>0.9204617520661158</v>
      </c>
      <c r="F13" s="41">
        <f t="shared" si="4"/>
        <v>0.8953582497370397</v>
      </c>
      <c r="G13" s="41">
        <f t="shared" si="4"/>
        <v>0.87093938838057516</v>
      </c>
      <c r="H13" s="41">
        <f t="shared" si="4"/>
        <v>0.84718649597019569</v>
      </c>
      <c r="I13" s="41">
        <f t="shared" si="4"/>
        <v>0.82408140971646304</v>
      </c>
      <c r="J13" s="41">
        <f t="shared" si="4"/>
        <v>0.80160646217874121</v>
      </c>
      <c r="K13" s="41">
        <f t="shared" si="4"/>
        <v>0.77974446775568473</v>
      </c>
      <c r="L13" s="41">
        <f t="shared" si="4"/>
        <v>0.75847870954416596</v>
      </c>
      <c r="M13" s="41">
        <f t="shared" si="4"/>
        <v>0.73779292655659778</v>
      </c>
      <c r="N13" s="41">
        <f>N12*(1+$O$7)^($D$5-N11-1)</f>
        <v>129.28614367230099</v>
      </c>
      <c r="O13" s="17">
        <f>O7</f>
        <v>0.1</v>
      </c>
      <c r="P13" s="38" t="s">
        <v>3</v>
      </c>
    </row>
    <row r="14" spans="2:19" ht="13.5" thickBot="1" x14ac:dyDescent="0.25">
      <c r="B14" s="9"/>
      <c r="C14" s="8" t="s">
        <v>4</v>
      </c>
      <c r="D14" s="20">
        <f>SUM(D13:N13)</f>
        <v>137.66806262511565</v>
      </c>
      <c r="E14" s="21"/>
      <c r="F14" s="21"/>
      <c r="G14" s="21"/>
      <c r="H14" s="21"/>
      <c r="I14" s="21"/>
      <c r="J14" s="21"/>
      <c r="K14" s="21"/>
      <c r="L14" s="21"/>
      <c r="M14" s="21"/>
      <c r="N14" s="21"/>
      <c r="O14" s="18">
        <v>30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70">
        <v>0.02</v>
      </c>
      <c r="P17" s="38" t="s">
        <v>1</v>
      </c>
    </row>
    <row r="18" spans="2:16" x14ac:dyDescent="0.2">
      <c r="B18" s="71" t="s">
        <v>17</v>
      </c>
      <c r="C18" s="6">
        <f>C12</f>
        <v>6.08</v>
      </c>
      <c r="D18" s="41">
        <f>C18*(1+$O$17)</f>
        <v>6.2016</v>
      </c>
      <c r="E18" s="41">
        <f>D18*(1+$O$17)</f>
        <v>6.3256319999999997</v>
      </c>
      <c r="F18" s="41">
        <f>E18*(1+$O$17)</f>
        <v>6.4521446400000002</v>
      </c>
      <c r="G18" s="41">
        <f>F18*(1+$O$17)</f>
        <v>6.5811875328000005</v>
      </c>
      <c r="H18" s="41">
        <f>G18*(1+$O$17)</f>
        <v>6.7128112834560003</v>
      </c>
      <c r="I18" s="41">
        <f>H18*(1+$O$18)</f>
        <v>6.8470675091251207</v>
      </c>
      <c r="J18" s="41">
        <f>I18*(1+$O$18)</f>
        <v>6.9840088593076235</v>
      </c>
      <c r="K18" s="41">
        <f>J18*(1+$O$18)</f>
        <v>7.1236890364937757</v>
      </c>
      <c r="L18" s="41">
        <f>K18*(1+$O$18)</f>
        <v>7.266162817223651</v>
      </c>
      <c r="M18" s="41">
        <f>L18*(1+$O$18)</f>
        <v>7.4114860735681241</v>
      </c>
      <c r="N18" s="41">
        <f>L18*O20</f>
        <v>87.193953806683808</v>
      </c>
      <c r="O18" s="70">
        <v>0.02</v>
      </c>
      <c r="P18" s="27" t="s">
        <v>2</v>
      </c>
    </row>
    <row r="19" spans="2:16" x14ac:dyDescent="0.2">
      <c r="B19" s="71" t="s">
        <v>155</v>
      </c>
      <c r="C19" s="7" t="str">
        <f>C13</f>
        <v>PV(10%)</v>
      </c>
      <c r="D19" s="41">
        <f>D18*(1+$O$19)^($D$17-D17-1)*$I$3</f>
        <v>0.90205090909090913</v>
      </c>
      <c r="E19" s="41">
        <f t="shared" ref="E19:M19" si="6">E18*(1+$O$19)^($D$17-E17-1)*$I$3</f>
        <v>0.83644720661157013</v>
      </c>
      <c r="F19" s="41">
        <f t="shared" si="6"/>
        <v>0.77561468249436494</v>
      </c>
      <c r="G19" s="41">
        <f t="shared" si="6"/>
        <v>0.7192063419493202</v>
      </c>
      <c r="H19" s="41">
        <f t="shared" si="6"/>
        <v>0.66690042617118783</v>
      </c>
      <c r="I19" s="41">
        <f t="shared" si="6"/>
        <v>0.61839857699510137</v>
      </c>
      <c r="J19" s="41">
        <f t="shared" si="6"/>
        <v>0.57342413503182121</v>
      </c>
      <c r="K19" s="41">
        <f t="shared" si="6"/>
        <v>0.5317205615749615</v>
      </c>
      <c r="L19" s="41">
        <f t="shared" si="6"/>
        <v>0.49304997527860067</v>
      </c>
      <c r="M19" s="41">
        <f t="shared" si="6"/>
        <v>0.45719179525833875</v>
      </c>
      <c r="N19" s="41">
        <f t="shared" ref="N19" si="7">N18*(1+$O$19)^($D$17-N17-1)</f>
        <v>33.617043768995494</v>
      </c>
      <c r="O19" s="17">
        <f>O13</f>
        <v>0.1</v>
      </c>
      <c r="P19" s="38" t="s">
        <v>3</v>
      </c>
    </row>
    <row r="20" spans="2:16" ht="13.5" thickBot="1" x14ac:dyDescent="0.25">
      <c r="B20" s="71" t="s">
        <v>156</v>
      </c>
      <c r="C20" s="8" t="s">
        <v>4</v>
      </c>
      <c r="D20" s="20">
        <f>SUM(D19:N19)</f>
        <v>40.191048379451672</v>
      </c>
      <c r="E20" s="21"/>
      <c r="F20" s="21"/>
      <c r="G20" s="21"/>
      <c r="H20" s="21"/>
      <c r="I20" s="21"/>
      <c r="J20" s="21"/>
      <c r="K20" s="21"/>
      <c r="L20" s="21"/>
      <c r="M20" s="21"/>
      <c r="N20" s="21"/>
      <c r="O20" s="78">
        <v>12</v>
      </c>
      <c r="P20" s="38" t="s">
        <v>20</v>
      </c>
    </row>
    <row r="21" spans="2:16" ht="13.5" thickBot="1" x14ac:dyDescent="0.25">
      <c r="B21" s="9"/>
      <c r="P21" s="38"/>
    </row>
    <row r="22" spans="2:16" ht="13.5" thickBot="1" x14ac:dyDescent="0.25">
      <c r="B22" s="9"/>
      <c r="C22" s="11" t="s">
        <v>12</v>
      </c>
      <c r="D22" s="12" t="s">
        <v>16</v>
      </c>
      <c r="E22" s="12" t="s">
        <v>13</v>
      </c>
      <c r="F22" s="13" t="s">
        <v>14</v>
      </c>
      <c r="G22" s="25"/>
      <c r="P22" s="38"/>
    </row>
    <row r="23" spans="2:16" x14ac:dyDescent="0.2">
      <c r="B23" s="9"/>
      <c r="C23" s="9" t="s">
        <v>28</v>
      </c>
      <c r="D23" s="44">
        <v>0.4</v>
      </c>
      <c r="E23" s="41">
        <f>D8</f>
        <v>80.32879041982234</v>
      </c>
      <c r="F23" s="22">
        <f>E23*D23</f>
        <v>32.131516167928936</v>
      </c>
      <c r="G23" s="25"/>
      <c r="P23" s="38"/>
    </row>
    <row r="24" spans="2:16" x14ac:dyDescent="0.2">
      <c r="B24" s="9"/>
      <c r="C24" s="9" t="s">
        <v>15</v>
      </c>
      <c r="D24" s="44">
        <v>0.3</v>
      </c>
      <c r="E24" s="41">
        <f>D14</f>
        <v>137.66806262511565</v>
      </c>
      <c r="F24" s="22">
        <f>E24*D24</f>
        <v>41.300418787534696</v>
      </c>
      <c r="G24" s="25"/>
      <c r="P24" s="38"/>
    </row>
    <row r="25" spans="2:16" ht="13.5" thickBot="1" x14ac:dyDescent="0.25">
      <c r="B25" s="9"/>
      <c r="C25" s="10" t="s">
        <v>29</v>
      </c>
      <c r="D25" s="44">
        <v>0.3</v>
      </c>
      <c r="E25" s="23">
        <f>D20</f>
        <v>40.191048379451672</v>
      </c>
      <c r="F25" s="24">
        <f>E25*D25</f>
        <v>12.057314513835502</v>
      </c>
      <c r="G25" s="25"/>
      <c r="P25" s="38"/>
    </row>
    <row r="26" spans="2:16" ht="13.5" thickBot="1" x14ac:dyDescent="0.25">
      <c r="B26" s="9"/>
      <c r="C26" s="36" t="s">
        <v>167</v>
      </c>
      <c r="D26" s="36">
        <f>C3</f>
        <v>226.79</v>
      </c>
      <c r="E26" s="15" t="s">
        <v>11</v>
      </c>
      <c r="F26" s="16">
        <f>SUM(F23:F25)</f>
        <v>85.489249469299139</v>
      </c>
      <c r="G26" s="25"/>
      <c r="P26" s="38"/>
    </row>
    <row r="27" spans="2:16" x14ac:dyDescent="0.2">
      <c r="B27" s="9"/>
      <c r="E27" s="25"/>
      <c r="F27" s="25"/>
      <c r="G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27" priority="1" operator="containsText" text="overvalued">
      <formula>NOT(ISERROR(SEARCH("overvalued",D3)))</formula>
    </cfRule>
    <cfRule type="containsText" dxfId="26" priority="2" operator="containsText" text="undervalued">
      <formula>NOT(ISERROR(SEARCH("undervalued",D3)))</formula>
    </cfRule>
  </conditionalFormatting>
  <hyperlinks>
    <hyperlink ref="C30" r:id="rId1" xr:uid="{145BDBE3-C3A2-EC41-B411-12BD7C93D40D}"/>
    <hyperlink ref="B4" location="'COMPARATIVE TABLE'!A1" display="'COMPARATIVE TABLE'!A1" xr:uid="{BF094EC2-30D7-3B42-B676-5EEF57113685}"/>
  </hyperlinks>
  <pageMargins left="0.7" right="0.7" top="0.78740157499999996" bottom="0.78740157499999996" header="0.3" footer="0.3"/>
  <pageSetup paperSize="9" orientation="portrait"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1855-2A59-5944-BADD-165C7413031A}">
  <dimension ref="B1:S30"/>
  <sheetViews>
    <sheetView showGridLines="0" zoomScale="135" zoomScaleNormal="135"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162</v>
      </c>
      <c r="C2" s="31" t="s">
        <v>36</v>
      </c>
      <c r="D2" s="32"/>
      <c r="E2" s="33"/>
      <c r="F2" s="33"/>
      <c r="G2" s="33"/>
      <c r="H2" s="33"/>
      <c r="I2" s="33"/>
      <c r="J2" s="33"/>
      <c r="K2" s="33"/>
      <c r="L2" s="33"/>
      <c r="M2" s="33"/>
      <c r="N2" s="33"/>
      <c r="O2" s="33"/>
      <c r="P2" s="34"/>
      <c r="S2" s="3" t="s">
        <v>7</v>
      </c>
    </row>
    <row r="3" spans="2:19" ht="13.5" thickBot="1" x14ac:dyDescent="0.25">
      <c r="B3" s="35" t="s">
        <v>166</v>
      </c>
      <c r="C3" s="36">
        <f>'MKT CAP - Price'!C13</f>
        <v>6522.1</v>
      </c>
      <c r="D3" s="37"/>
      <c r="F3" s="11" t="s">
        <v>189</v>
      </c>
      <c r="G3" s="74"/>
      <c r="H3" s="74"/>
      <c r="I3" s="79">
        <v>0.4</v>
      </c>
      <c r="P3" s="38"/>
    </row>
    <row r="4" spans="2:19" ht="26.25" thickBot="1" x14ac:dyDescent="0.25">
      <c r="B4" s="39" t="s">
        <v>85</v>
      </c>
      <c r="N4" s="40" t="s">
        <v>5</v>
      </c>
      <c r="O4" s="4" t="s">
        <v>0</v>
      </c>
      <c r="P4" s="38"/>
    </row>
    <row r="5" spans="2:19" x14ac:dyDescent="0.2">
      <c r="B5" s="9" t="s">
        <v>8</v>
      </c>
      <c r="C5" s="5" t="s">
        <v>222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0.05</v>
      </c>
      <c r="P5" s="38" t="s">
        <v>1</v>
      </c>
      <c r="R5" s="1"/>
    </row>
    <row r="6" spans="2:19" x14ac:dyDescent="0.2">
      <c r="B6" s="9" t="s">
        <v>19</v>
      </c>
      <c r="C6" s="6">
        <v>200</v>
      </c>
      <c r="D6" s="41">
        <f>C6*(1+$O$5)</f>
        <v>210</v>
      </c>
      <c r="E6" s="41">
        <f>D6*(1+$O$5)</f>
        <v>220.5</v>
      </c>
      <c r="F6" s="41">
        <f>E6*(1+$O$5)</f>
        <v>231.52500000000001</v>
      </c>
      <c r="G6" s="41">
        <f>F6*(1+$O$5)</f>
        <v>243.10125000000002</v>
      </c>
      <c r="H6" s="41">
        <f>G6*(1+$O$5)</f>
        <v>255.25631250000004</v>
      </c>
      <c r="I6" s="41">
        <f>H6*(1+$O$6)</f>
        <v>268.01912812500007</v>
      </c>
      <c r="J6" s="41">
        <f>I6*(1+$O$6)</f>
        <v>281.4200845312501</v>
      </c>
      <c r="K6" s="41">
        <f>J6*(1+$O$6)</f>
        <v>295.49108875781263</v>
      </c>
      <c r="L6" s="41">
        <f>K6*(1+$O$6)</f>
        <v>310.26564319570326</v>
      </c>
      <c r="M6" s="41">
        <f>L6*(1+$O$6)</f>
        <v>325.77892535548841</v>
      </c>
      <c r="N6" s="41">
        <f>L6*O8</f>
        <v>4653.9846479355492</v>
      </c>
      <c r="O6" s="17">
        <v>0.05</v>
      </c>
      <c r="P6" s="27" t="s">
        <v>2</v>
      </c>
    </row>
    <row r="7" spans="2:19" x14ac:dyDescent="0.2">
      <c r="B7" s="9"/>
      <c r="C7" s="7" t="str">
        <f>CONCATENATE(R8,O7*100,S8)</f>
        <v>PV(10%)</v>
      </c>
      <c r="D7" s="41">
        <f>D6*(1+$O$7)^($D$5-D5-1)*$I$3</f>
        <v>76.36363636363636</v>
      </c>
      <c r="E7" s="41">
        <f t="shared" ref="E7:M7" si="1">E6*(1+$O$7)^($D$5-E5-1)*$I$3</f>
        <v>72.892561983471069</v>
      </c>
      <c r="F7" s="41">
        <f t="shared" si="1"/>
        <v>69.579263711495102</v>
      </c>
      <c r="G7" s="41">
        <f t="shared" si="1"/>
        <v>66.416569906427156</v>
      </c>
      <c r="H7" s="41">
        <f t="shared" si="1"/>
        <v>63.397634910680452</v>
      </c>
      <c r="I7" s="41">
        <f t="shared" si="1"/>
        <v>60.515924232922259</v>
      </c>
      <c r="J7" s="41">
        <f t="shared" si="1"/>
        <v>57.765200404153056</v>
      </c>
      <c r="K7" s="41">
        <f t="shared" si="1"/>
        <v>55.139509476691558</v>
      </c>
      <c r="L7" s="41">
        <f t="shared" si="1"/>
        <v>52.633168136841938</v>
      </c>
      <c r="M7" s="41">
        <f t="shared" si="1"/>
        <v>50.240751403349122</v>
      </c>
      <c r="N7" s="41">
        <f t="shared" ref="N7" si="2">N6*(1+$O$7)^($D$5-N5-1)</f>
        <v>1794.3125501196116</v>
      </c>
      <c r="O7" s="70">
        <v>0.1</v>
      </c>
      <c r="P7" s="38" t="s">
        <v>3</v>
      </c>
    </row>
    <row r="8" spans="2:19" ht="13.5" thickBot="1" x14ac:dyDescent="0.25">
      <c r="B8" s="9"/>
      <c r="C8" s="8" t="s">
        <v>26</v>
      </c>
      <c r="D8" s="20">
        <f>SUM(D7:N7)</f>
        <v>2419.2567706492796</v>
      </c>
      <c r="E8" s="21"/>
      <c r="F8" s="21"/>
      <c r="G8" s="21"/>
      <c r="H8" s="21"/>
      <c r="I8" s="21"/>
      <c r="J8" s="21"/>
      <c r="K8" s="21"/>
      <c r="L8" s="21"/>
      <c r="M8" s="21"/>
      <c r="N8" s="21"/>
      <c r="O8" s="18">
        <v>15</v>
      </c>
      <c r="P8" s="38" t="s">
        <v>20</v>
      </c>
      <c r="R8" s="14" t="s">
        <v>21</v>
      </c>
      <c r="S8" s="14" t="s">
        <v>22</v>
      </c>
    </row>
    <row r="9" spans="2:19" x14ac:dyDescent="0.2">
      <c r="B9" s="9"/>
      <c r="D9" s="25"/>
      <c r="P9" s="38"/>
    </row>
    <row r="10" spans="2:19" ht="26.25" thickBot="1" x14ac:dyDescent="0.25">
      <c r="B10" s="9"/>
      <c r="N10" s="40" t="s">
        <v>5</v>
      </c>
      <c r="O10" s="4" t="s">
        <v>0</v>
      </c>
      <c r="P10" s="38"/>
    </row>
    <row r="11" spans="2:19" x14ac:dyDescent="0.2">
      <c r="B11" s="71" t="s">
        <v>9</v>
      </c>
      <c r="C11" s="5" t="str">
        <f>C5</f>
        <v>Earnings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70">
        <v>0.1</v>
      </c>
      <c r="P11" s="38" t="s">
        <v>1</v>
      </c>
    </row>
    <row r="12" spans="2:19" x14ac:dyDescent="0.2">
      <c r="B12" s="71" t="s">
        <v>18</v>
      </c>
      <c r="C12" s="6">
        <f>C6</f>
        <v>200</v>
      </c>
      <c r="D12" s="41">
        <f>C12*(1+$O$11)</f>
        <v>220.00000000000003</v>
      </c>
      <c r="E12" s="41">
        <f>D12*(1+$O$11)</f>
        <v>242.00000000000006</v>
      </c>
      <c r="F12" s="41">
        <f>E12*(1+$O$11)</f>
        <v>266.2000000000001</v>
      </c>
      <c r="G12" s="41">
        <f>F12*(1+$O$11)</f>
        <v>292.82000000000016</v>
      </c>
      <c r="H12" s="41">
        <f>G12*(1+$O$11)</f>
        <v>322.1020000000002</v>
      </c>
      <c r="I12" s="41">
        <f>H12*(1+$O$12)</f>
        <v>354.31220000000025</v>
      </c>
      <c r="J12" s="41">
        <f>I12*(1+$O$12)</f>
        <v>389.7434200000003</v>
      </c>
      <c r="K12" s="41">
        <f>J12*(1+$O$12)</f>
        <v>428.71776200000039</v>
      </c>
      <c r="L12" s="41">
        <f>K12*(1+$O$12)</f>
        <v>471.58953820000045</v>
      </c>
      <c r="M12" s="41">
        <f>L12*(1+$O$12)</f>
        <v>518.74849202000053</v>
      </c>
      <c r="N12" s="41">
        <f>L12*O14</f>
        <v>14147.686146000013</v>
      </c>
      <c r="O12" s="70">
        <v>0.1</v>
      </c>
      <c r="P12" s="27" t="s">
        <v>2</v>
      </c>
    </row>
    <row r="13" spans="2:19" x14ac:dyDescent="0.2">
      <c r="B13" s="9">
        <f>B7</f>
        <v>0</v>
      </c>
      <c r="C13" s="7" t="str">
        <f>C7</f>
        <v>PV(10%)</v>
      </c>
      <c r="D13" s="41">
        <f>D12*(1+$O$13)^($D$11-D11-1)*$I$3</f>
        <v>80.000000000000014</v>
      </c>
      <c r="E13" s="41">
        <f t="shared" ref="E13:M13" si="4">E12*(1+$O$13)^($D$11-E11-1)*$I$3</f>
        <v>80.000000000000014</v>
      </c>
      <c r="F13" s="41">
        <f t="shared" si="4"/>
        <v>80.000000000000014</v>
      </c>
      <c r="G13" s="41">
        <f t="shared" si="4"/>
        <v>80.000000000000028</v>
      </c>
      <c r="H13" s="41">
        <f t="shared" si="4"/>
        <v>80.000000000000028</v>
      </c>
      <c r="I13" s="41">
        <f t="shared" si="4"/>
        <v>80.000000000000028</v>
      </c>
      <c r="J13" s="41">
        <f t="shared" si="4"/>
        <v>80.000000000000014</v>
      </c>
      <c r="K13" s="41">
        <f t="shared" si="4"/>
        <v>80.000000000000028</v>
      </c>
      <c r="L13" s="41">
        <f t="shared" si="4"/>
        <v>80.000000000000028</v>
      </c>
      <c r="M13" s="41">
        <f t="shared" si="4"/>
        <v>80.000000000000028</v>
      </c>
      <c r="N13" s="41">
        <f>N12*(1+$O$7)^($D$5-N11-1)</f>
        <v>5454.5454545454559</v>
      </c>
      <c r="O13" s="70">
        <f>O7</f>
        <v>0.1</v>
      </c>
      <c r="P13" s="38" t="s">
        <v>3</v>
      </c>
    </row>
    <row r="14" spans="2:19" ht="13.5" thickBot="1" x14ac:dyDescent="0.25">
      <c r="B14" s="9"/>
      <c r="C14" s="8" t="s">
        <v>4</v>
      </c>
      <c r="D14" s="20">
        <f>SUM(D13:N13)</f>
        <v>6254.5454545454559</v>
      </c>
      <c r="E14" s="21"/>
      <c r="F14" s="21"/>
      <c r="G14" s="21"/>
      <c r="H14" s="21"/>
      <c r="I14" s="21"/>
      <c r="J14" s="21"/>
      <c r="K14" s="21"/>
      <c r="L14" s="21"/>
      <c r="M14" s="21"/>
      <c r="N14" s="21"/>
      <c r="O14" s="78">
        <v>30</v>
      </c>
      <c r="P14" s="38" t="s">
        <v>20</v>
      </c>
    </row>
    <row r="15" spans="2:19" x14ac:dyDescent="0.2">
      <c r="B15" s="9"/>
      <c r="D15" s="25"/>
      <c r="P15" s="38"/>
    </row>
    <row r="16" spans="2:19" ht="26.25" thickBot="1" x14ac:dyDescent="0.25">
      <c r="B16" s="9"/>
      <c r="N16" s="40" t="s">
        <v>5</v>
      </c>
      <c r="O16" s="4" t="s">
        <v>0</v>
      </c>
      <c r="P16" s="38"/>
    </row>
    <row r="17" spans="2:16" x14ac:dyDescent="0.2">
      <c r="B17" s="71" t="s">
        <v>10</v>
      </c>
      <c r="C17" s="5" t="str">
        <f>C11</f>
        <v>Earnings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0.04</v>
      </c>
      <c r="P17" s="38" t="s">
        <v>1</v>
      </c>
    </row>
    <row r="18" spans="2:16" x14ac:dyDescent="0.2">
      <c r="B18" s="71" t="s">
        <v>17</v>
      </c>
      <c r="C18" s="6">
        <f>C12</f>
        <v>200</v>
      </c>
      <c r="D18" s="41">
        <f>C18*(1+$O$17)</f>
        <v>208</v>
      </c>
      <c r="E18" s="41">
        <f>D18*(1+$O$17)</f>
        <v>216.32</v>
      </c>
      <c r="F18" s="41">
        <f>E18*(1+$O$17)</f>
        <v>224.97280000000001</v>
      </c>
      <c r="G18" s="41">
        <f>F18*(1+$O$17)</f>
        <v>233.97171200000003</v>
      </c>
      <c r="H18" s="41">
        <f>G18*(1+$O$17)</f>
        <v>243.33058048000004</v>
      </c>
      <c r="I18" s="41">
        <f>H18*(1+$O$18)</f>
        <v>253.06380369920004</v>
      </c>
      <c r="J18" s="41">
        <f>I18*(1+$O$18)</f>
        <v>263.18635584716804</v>
      </c>
      <c r="K18" s="41">
        <f>J18*(1+$O$18)</f>
        <v>273.71381008105476</v>
      </c>
      <c r="L18" s="41">
        <f>K18*(1+$O$18)</f>
        <v>284.66236248429698</v>
      </c>
      <c r="M18" s="41">
        <f>L18*(1+$O$18)</f>
        <v>296.04885698366888</v>
      </c>
      <c r="N18" s="41">
        <f>L18*O20</f>
        <v>2846.6236248429695</v>
      </c>
      <c r="O18" s="17">
        <v>0.04</v>
      </c>
      <c r="P18" s="27" t="s">
        <v>2</v>
      </c>
    </row>
    <row r="19" spans="2:16" x14ac:dyDescent="0.2">
      <c r="B19" s="71" t="s">
        <v>155</v>
      </c>
      <c r="C19" s="7" t="str">
        <f>C13</f>
        <v>PV(10%)</v>
      </c>
      <c r="D19" s="41">
        <f>D18*(1+$O$19)^($D$17-D17-1)*$I$3</f>
        <v>75.63636363636364</v>
      </c>
      <c r="E19" s="41">
        <f t="shared" ref="E19:M19" si="6">E18*(1+$O$19)^($D$17-E17-1)*$I$3</f>
        <v>71.510743801652879</v>
      </c>
      <c r="F19" s="41">
        <f t="shared" si="6"/>
        <v>67.610157776108167</v>
      </c>
      <c r="G19" s="41">
        <f t="shared" si="6"/>
        <v>63.922330988320461</v>
      </c>
      <c r="H19" s="41">
        <f t="shared" si="6"/>
        <v>60.435658388957521</v>
      </c>
      <c r="I19" s="41">
        <f t="shared" si="6"/>
        <v>57.139167931378019</v>
      </c>
      <c r="J19" s="41">
        <f t="shared" si="6"/>
        <v>54.022486044211945</v>
      </c>
      <c r="K19" s="41">
        <f t="shared" si="6"/>
        <v>51.075804987254926</v>
      </c>
      <c r="L19" s="41">
        <f t="shared" si="6"/>
        <v>48.289851987950115</v>
      </c>
      <c r="M19" s="41">
        <f t="shared" si="6"/>
        <v>45.65586006133465</v>
      </c>
      <c r="N19" s="41">
        <f t="shared" ref="N19" si="7">N18*(1+$O$19)^($D$17-N17-1)</f>
        <v>1097.4966360897749</v>
      </c>
      <c r="O19" s="17">
        <f>O13</f>
        <v>0.1</v>
      </c>
      <c r="P19" s="38" t="s">
        <v>3</v>
      </c>
    </row>
    <row r="20" spans="2:16" ht="13.5" thickBot="1" x14ac:dyDescent="0.25">
      <c r="B20" s="71" t="s">
        <v>156</v>
      </c>
      <c r="C20" s="8" t="s">
        <v>4</v>
      </c>
      <c r="D20" s="20">
        <f>SUM(D19:N19)</f>
        <v>1692.7950616933074</v>
      </c>
      <c r="E20" s="21"/>
      <c r="F20" s="21"/>
      <c r="G20" s="21"/>
      <c r="H20" s="21"/>
      <c r="I20" s="21"/>
      <c r="J20" s="21"/>
      <c r="K20" s="21"/>
      <c r="L20" s="21"/>
      <c r="M20" s="21"/>
      <c r="N20" s="21"/>
      <c r="O20" s="18">
        <v>10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80">
        <v>0.4</v>
      </c>
      <c r="E23" s="41">
        <f>D8</f>
        <v>2419.2567706492796</v>
      </c>
      <c r="F23" s="22">
        <f>E23*D23</f>
        <v>967.70270825971193</v>
      </c>
      <c r="P23" s="38"/>
    </row>
    <row r="24" spans="2:16" x14ac:dyDescent="0.2">
      <c r="B24" s="9"/>
      <c r="C24" s="9" t="s">
        <v>15</v>
      </c>
      <c r="D24" s="80">
        <v>0.3</v>
      </c>
      <c r="E24" s="41">
        <f>D14</f>
        <v>6254.5454545454559</v>
      </c>
      <c r="F24" s="22">
        <f>E24*D24</f>
        <v>1876.3636363636367</v>
      </c>
      <c r="P24" s="38"/>
    </row>
    <row r="25" spans="2:16" ht="13.5" thickBot="1" x14ac:dyDescent="0.25">
      <c r="B25" s="9"/>
      <c r="C25" s="10" t="s">
        <v>29</v>
      </c>
      <c r="D25" s="80">
        <v>0.3</v>
      </c>
      <c r="E25" s="23">
        <f>D20</f>
        <v>1692.7950616933074</v>
      </c>
      <c r="F25" s="24">
        <f>E25*D25</f>
        <v>507.83851850799221</v>
      </c>
      <c r="P25" s="38"/>
    </row>
    <row r="26" spans="2:16" ht="13.5" thickBot="1" x14ac:dyDescent="0.25">
      <c r="B26" s="9"/>
      <c r="C26" s="36" t="s">
        <v>167</v>
      </c>
      <c r="D26" s="36">
        <f>C3</f>
        <v>6522.1</v>
      </c>
      <c r="E26" s="15" t="s">
        <v>11</v>
      </c>
      <c r="F26" s="16">
        <f>SUM(F23:F25)</f>
        <v>3351.9048631313408</v>
      </c>
      <c r="P26" s="38"/>
    </row>
    <row r="27" spans="2:16" x14ac:dyDescent="0.2">
      <c r="B27" s="9"/>
      <c r="F27" s="25"/>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25" priority="1" operator="containsText" text="overvalued">
      <formula>NOT(ISERROR(SEARCH("overvalued",D3)))</formula>
    </cfRule>
    <cfRule type="containsText" dxfId="24" priority="2" operator="containsText" text="undervalued">
      <formula>NOT(ISERROR(SEARCH("undervalued",D3)))</formula>
    </cfRule>
  </conditionalFormatting>
  <hyperlinks>
    <hyperlink ref="C30" r:id="rId1" xr:uid="{56FF697C-863E-C449-9525-E69D572D004E}"/>
    <hyperlink ref="B4" location="'COMPARATIVE TABLE'!A1" display="'COMPARATIVE TABLE'!A1" xr:uid="{34F2C0F3-DABB-274E-8828-03C8546EB08C}"/>
  </hyperlinks>
  <pageMargins left="0.7" right="0.7" top="0.78740157499999996" bottom="0.78740157499999996" header="0.3" footer="0.3"/>
  <pageSetup paperSize="9" orientation="portrait"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2110-6EAE-FF49-AC31-5FC8E744D02D}">
  <dimension ref="B1:S30"/>
  <sheetViews>
    <sheetView showGridLines="0" zoomScale="138" zoomScaleNormal="138"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190</v>
      </c>
      <c r="C2" s="31" t="s">
        <v>36</v>
      </c>
      <c r="D2" s="32"/>
      <c r="E2" s="33"/>
      <c r="F2" s="33"/>
      <c r="G2" s="33"/>
      <c r="H2" s="33"/>
      <c r="I2" s="33"/>
      <c r="J2" s="33"/>
      <c r="K2" s="33"/>
      <c r="L2" s="33"/>
      <c r="M2" s="33"/>
      <c r="N2" s="33"/>
      <c r="O2" s="33"/>
      <c r="P2" s="34"/>
      <c r="S2" s="3" t="s">
        <v>7</v>
      </c>
    </row>
    <row r="3" spans="2:19" ht="13.5" thickBot="1" x14ac:dyDescent="0.25">
      <c r="B3" s="35" t="s">
        <v>166</v>
      </c>
      <c r="C3" s="36">
        <f>'MKT CAP - Price'!C92</f>
        <v>68.5</v>
      </c>
      <c r="D3" s="37"/>
      <c r="F3" s="73" t="s">
        <v>189</v>
      </c>
      <c r="G3" s="74"/>
      <c r="H3" s="74"/>
      <c r="I3" s="79">
        <v>1</v>
      </c>
      <c r="P3" s="38"/>
    </row>
    <row r="4" spans="2:19" ht="26.25" thickBot="1" x14ac:dyDescent="0.25">
      <c r="B4" s="39" t="s">
        <v>85</v>
      </c>
      <c r="N4" s="40" t="s">
        <v>5</v>
      </c>
      <c r="O4" s="4" t="s">
        <v>0</v>
      </c>
      <c r="P4" s="38"/>
    </row>
    <row r="5" spans="2:19" x14ac:dyDescent="0.2">
      <c r="B5" s="9"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0.05</v>
      </c>
      <c r="P5" s="38" t="s">
        <v>1</v>
      </c>
      <c r="R5" s="1"/>
    </row>
    <row r="6" spans="2:19" x14ac:dyDescent="0.2">
      <c r="B6" s="9" t="s">
        <v>19</v>
      </c>
      <c r="C6" s="6">
        <v>0.4</v>
      </c>
      <c r="D6" s="41">
        <f>C6*(1+$O$5)</f>
        <v>0.42000000000000004</v>
      </c>
      <c r="E6" s="41">
        <f>D6*(1+$O$5)</f>
        <v>0.44100000000000006</v>
      </c>
      <c r="F6" s="41">
        <f>E6*(1+$O$5)</f>
        <v>0.46305000000000007</v>
      </c>
      <c r="G6" s="41">
        <f>F6*(1+$O$5)</f>
        <v>0.48620250000000009</v>
      </c>
      <c r="H6" s="41">
        <f>G6*(1+$O$5)</f>
        <v>0.51051262500000016</v>
      </c>
      <c r="I6" s="41">
        <f>H6*(1+$O$6)</f>
        <v>0.53603825625000023</v>
      </c>
      <c r="J6" s="41">
        <f>I6*(1+$O$6)</f>
        <v>0.56284016906250023</v>
      </c>
      <c r="K6" s="41">
        <f>J6*(1+$O$6)</f>
        <v>0.59098217751562532</v>
      </c>
      <c r="L6" s="41">
        <f>K6*(1+$O$6)</f>
        <v>0.62053128639140664</v>
      </c>
      <c r="M6" s="41">
        <f>L6*(1+$O$6)</f>
        <v>0.65155785071097705</v>
      </c>
      <c r="N6" s="41">
        <f>L6*O8</f>
        <v>20.477532450916421</v>
      </c>
      <c r="O6" s="17">
        <v>0.05</v>
      </c>
      <c r="P6" s="27" t="s">
        <v>2</v>
      </c>
    </row>
    <row r="7" spans="2:19" x14ac:dyDescent="0.2">
      <c r="B7" s="9"/>
      <c r="C7" s="7" t="str">
        <f>CONCATENATE(R8,O7*100,S8)</f>
        <v>PV(10%)</v>
      </c>
      <c r="D7" s="41">
        <f>D6*(1+$O$7)^($D$5-D5-1)*$I$3</f>
        <v>0.38181818181818183</v>
      </c>
      <c r="E7" s="41">
        <f t="shared" ref="E7:M7" si="1">E6*(1+$O$7)^($D$5-E5-1)*$I$3</f>
        <v>0.36446280991735536</v>
      </c>
      <c r="F7" s="41">
        <f t="shared" si="1"/>
        <v>0.34789631855747555</v>
      </c>
      <c r="G7" s="41">
        <f t="shared" si="1"/>
        <v>0.33208284953213574</v>
      </c>
      <c r="H7" s="41">
        <f t="shared" si="1"/>
        <v>0.31698817455340234</v>
      </c>
      <c r="I7" s="41">
        <f t="shared" si="1"/>
        <v>0.30257962116461135</v>
      </c>
      <c r="J7" s="41">
        <f t="shared" si="1"/>
        <v>0.2888260020207653</v>
      </c>
      <c r="K7" s="41">
        <f t="shared" si="1"/>
        <v>0.27569754738345781</v>
      </c>
      <c r="L7" s="41">
        <f t="shared" si="1"/>
        <v>0.26316584068420978</v>
      </c>
      <c r="M7" s="41">
        <f t="shared" si="1"/>
        <v>0.25120375701674569</v>
      </c>
      <c r="N7" s="41">
        <f t="shared" ref="N7" si="2">N6*(1+$O$7)^($D$5-N5-1)</f>
        <v>7.8949752205262929</v>
      </c>
      <c r="O7" s="17">
        <v>0.1</v>
      </c>
      <c r="P7" s="38" t="s">
        <v>3</v>
      </c>
    </row>
    <row r="8" spans="2:19" ht="13.5" thickBot="1" x14ac:dyDescent="0.25">
      <c r="B8" s="9"/>
      <c r="C8" s="8" t="s">
        <v>26</v>
      </c>
      <c r="D8" s="20">
        <f>SUM(D7:N7)</f>
        <v>11.019696323174633</v>
      </c>
      <c r="E8" s="21"/>
      <c r="F8" s="21"/>
      <c r="G8" s="21"/>
      <c r="H8" s="21"/>
      <c r="I8" s="21"/>
      <c r="J8" s="21"/>
      <c r="K8" s="21"/>
      <c r="L8" s="21"/>
      <c r="M8" s="21"/>
      <c r="N8" s="21"/>
      <c r="O8" s="78">
        <v>33</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0.1</v>
      </c>
      <c r="P11" s="38" t="s">
        <v>1</v>
      </c>
    </row>
    <row r="12" spans="2:19" x14ac:dyDescent="0.2">
      <c r="B12" s="71" t="s">
        <v>18</v>
      </c>
      <c r="C12" s="6">
        <f>C6</f>
        <v>0.4</v>
      </c>
      <c r="D12" s="41">
        <f>C12*(1+$O$11)</f>
        <v>0.44000000000000006</v>
      </c>
      <c r="E12" s="41">
        <f>D12*(1+$O$11)</f>
        <v>0.4840000000000001</v>
      </c>
      <c r="F12" s="41">
        <f>E12*(1+$O$11)</f>
        <v>0.5324000000000001</v>
      </c>
      <c r="G12" s="41">
        <f>F12*(1+$O$11)</f>
        <v>0.58564000000000016</v>
      </c>
      <c r="H12" s="41">
        <f>G12*(1+$O$11)</f>
        <v>0.64420400000000022</v>
      </c>
      <c r="I12" s="41">
        <f>H12*(1+$O$12)</f>
        <v>0.70862440000000027</v>
      </c>
      <c r="J12" s="41">
        <f>I12*(1+$O$12)</f>
        <v>0.77948684000000035</v>
      </c>
      <c r="K12" s="41">
        <f>J12*(1+$O$12)</f>
        <v>0.85743552400000045</v>
      </c>
      <c r="L12" s="41">
        <f>K12*(1+$O$12)</f>
        <v>0.94317907640000054</v>
      </c>
      <c r="M12" s="41">
        <f>L12*(1+$O$12)</f>
        <v>1.0374969840400006</v>
      </c>
      <c r="N12" s="41">
        <f>L12*O14</f>
        <v>94.317907640000058</v>
      </c>
      <c r="O12" s="17">
        <v>0.1</v>
      </c>
      <c r="P12" s="27" t="s">
        <v>2</v>
      </c>
    </row>
    <row r="13" spans="2:19" x14ac:dyDescent="0.2">
      <c r="B13" s="9">
        <f>B7</f>
        <v>0</v>
      </c>
      <c r="C13" s="7" t="str">
        <f>C7</f>
        <v>PV(10%)</v>
      </c>
      <c r="D13" s="41">
        <f>D12*(1+$O$13)^($D$11-D11-1)*$I$3</f>
        <v>0.4</v>
      </c>
      <c r="E13" s="41">
        <f t="shared" ref="E13:M13" si="4">E12*(1+$O$13)^($D$11-E11-1)*$I$3</f>
        <v>0.4</v>
      </c>
      <c r="F13" s="41">
        <f t="shared" si="4"/>
        <v>0.39999999999999997</v>
      </c>
      <c r="G13" s="41">
        <f t="shared" si="4"/>
        <v>0.4</v>
      </c>
      <c r="H13" s="41">
        <f t="shared" si="4"/>
        <v>0.39999999999999997</v>
      </c>
      <c r="I13" s="41">
        <f t="shared" si="4"/>
        <v>0.4</v>
      </c>
      <c r="J13" s="41">
        <f t="shared" si="4"/>
        <v>0.39999999999999997</v>
      </c>
      <c r="K13" s="41">
        <f t="shared" si="4"/>
        <v>0.39999999999999997</v>
      </c>
      <c r="L13" s="41">
        <f t="shared" si="4"/>
        <v>0.39999999999999997</v>
      </c>
      <c r="M13" s="41">
        <f t="shared" si="4"/>
        <v>0.39999999999999997</v>
      </c>
      <c r="N13" s="41">
        <f>N12*(1+$O$7)^($D$5-N11-1)</f>
        <v>36.36363636363636</v>
      </c>
      <c r="O13" s="17">
        <f>O7</f>
        <v>0.1</v>
      </c>
      <c r="P13" s="38" t="s">
        <v>3</v>
      </c>
    </row>
    <row r="14" spans="2:19" ht="13.5" thickBot="1" x14ac:dyDescent="0.25">
      <c r="B14" s="9"/>
      <c r="C14" s="8" t="s">
        <v>4</v>
      </c>
      <c r="D14" s="20">
        <f>SUM(D13:N13)</f>
        <v>40.36363636363636</v>
      </c>
      <c r="E14" s="21"/>
      <c r="F14" s="21"/>
      <c r="G14" s="21"/>
      <c r="H14" s="21"/>
      <c r="I14" s="21"/>
      <c r="J14" s="21"/>
      <c r="K14" s="21"/>
      <c r="L14" s="21"/>
      <c r="M14" s="21"/>
      <c r="N14" s="21"/>
      <c r="O14" s="18">
        <v>100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v>
      </c>
      <c r="P17" s="38" t="s">
        <v>1</v>
      </c>
    </row>
    <row r="18" spans="2:16" x14ac:dyDescent="0.2">
      <c r="B18" s="71" t="s">
        <v>17</v>
      </c>
      <c r="C18" s="6">
        <f>C12</f>
        <v>0.4</v>
      </c>
      <c r="D18" s="41">
        <f>C18*(1+$O$17)</f>
        <v>0.4</v>
      </c>
      <c r="E18" s="41">
        <f>D18*(1+$O$17)</f>
        <v>0.4</v>
      </c>
      <c r="F18" s="41">
        <f>E18*(1+$O$17)</f>
        <v>0.4</v>
      </c>
      <c r="G18" s="41">
        <f>F18*(1+$O$17)</f>
        <v>0.4</v>
      </c>
      <c r="H18" s="41">
        <f>G18*(1+$O$17)</f>
        <v>0.4</v>
      </c>
      <c r="I18" s="41">
        <f>H18*(1+$O$18)</f>
        <v>0.4</v>
      </c>
      <c r="J18" s="41">
        <f>I18*(1+$O$18)</f>
        <v>0.4</v>
      </c>
      <c r="K18" s="41">
        <f>J18*(1+$O$18)</f>
        <v>0.4</v>
      </c>
      <c r="L18" s="41">
        <f>K18*(1+$O$18)</f>
        <v>0.4</v>
      </c>
      <c r="M18" s="41">
        <f>L18*(1+$O$18)</f>
        <v>0.4</v>
      </c>
      <c r="N18" s="41">
        <f>L18*O20</f>
        <v>8</v>
      </c>
      <c r="O18" s="17">
        <v>0</v>
      </c>
      <c r="P18" s="27" t="s">
        <v>2</v>
      </c>
    </row>
    <row r="19" spans="2:16" x14ac:dyDescent="0.2">
      <c r="B19" s="71" t="s">
        <v>155</v>
      </c>
      <c r="C19" s="7" t="str">
        <f>C13</f>
        <v>PV(10%)</v>
      </c>
      <c r="D19" s="41">
        <f>D18*(1+$O$19)^($D$17-D17-1)*$I$3</f>
        <v>0.36363636363636365</v>
      </c>
      <c r="E19" s="41">
        <f t="shared" ref="E19:M19" si="6">E18*(1+$O$19)^($D$17-E17-1)*$I$3</f>
        <v>0.33057851239669422</v>
      </c>
      <c r="F19" s="41">
        <f t="shared" si="6"/>
        <v>0.30052592036063103</v>
      </c>
      <c r="G19" s="41">
        <f t="shared" si="6"/>
        <v>0.27320538214602824</v>
      </c>
      <c r="H19" s="41">
        <f t="shared" si="6"/>
        <v>0.24836852922366198</v>
      </c>
      <c r="I19" s="41">
        <f t="shared" si="6"/>
        <v>0.2257895720215109</v>
      </c>
      <c r="J19" s="41">
        <f t="shared" si="6"/>
        <v>0.2052632472922826</v>
      </c>
      <c r="K19" s="41">
        <f t="shared" si="6"/>
        <v>0.18660295208389327</v>
      </c>
      <c r="L19" s="41">
        <f t="shared" si="6"/>
        <v>0.16963904734899388</v>
      </c>
      <c r="M19" s="41">
        <f t="shared" si="6"/>
        <v>0.15421731577181261</v>
      </c>
      <c r="N19" s="41">
        <f t="shared" ref="N19" si="7">N18*(1+$O$19)^($D$17-N17-1)</f>
        <v>3.0843463154362518</v>
      </c>
      <c r="O19" s="17">
        <f>O13</f>
        <v>0.1</v>
      </c>
      <c r="P19" s="38" t="s">
        <v>3</v>
      </c>
    </row>
    <row r="20" spans="2:16" ht="13.5" thickBot="1" x14ac:dyDescent="0.25">
      <c r="B20" s="9" t="s">
        <v>156</v>
      </c>
      <c r="C20" s="8" t="s">
        <v>4</v>
      </c>
      <c r="D20" s="20">
        <f>SUM(D19:N19)</f>
        <v>5.5421731577181248</v>
      </c>
      <c r="E20" s="21"/>
      <c r="F20" s="21"/>
      <c r="G20" s="21"/>
      <c r="H20" s="21"/>
      <c r="I20" s="21"/>
      <c r="J20" s="21"/>
      <c r="K20" s="21"/>
      <c r="L20" s="21"/>
      <c r="M20" s="21"/>
      <c r="N20" s="21"/>
      <c r="O20" s="18">
        <v>20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11.019696323174633</v>
      </c>
      <c r="F23" s="22">
        <f>E23*D23</f>
        <v>6.6118177939047795</v>
      </c>
      <c r="P23" s="38"/>
    </row>
    <row r="24" spans="2:16" x14ac:dyDescent="0.2">
      <c r="B24" s="9"/>
      <c r="C24" s="9" t="s">
        <v>15</v>
      </c>
      <c r="D24" s="44">
        <v>0.2</v>
      </c>
      <c r="E24" s="41">
        <f>D14</f>
        <v>40.36363636363636</v>
      </c>
      <c r="F24" s="22">
        <f>E24*D24</f>
        <v>8.0727272727272723</v>
      </c>
      <c r="P24" s="38"/>
    </row>
    <row r="25" spans="2:16" ht="13.5" thickBot="1" x14ac:dyDescent="0.25">
      <c r="B25" s="9"/>
      <c r="C25" s="10" t="s">
        <v>29</v>
      </c>
      <c r="D25" s="44">
        <v>0.2</v>
      </c>
      <c r="E25" s="23">
        <f>D20</f>
        <v>5.5421731577181248</v>
      </c>
      <c r="F25" s="24">
        <f>E25*D25</f>
        <v>1.1084346315436251</v>
      </c>
      <c r="P25" s="38"/>
    </row>
    <row r="26" spans="2:16" ht="13.5" thickBot="1" x14ac:dyDescent="0.25">
      <c r="B26" s="9"/>
      <c r="C26" s="36" t="s">
        <v>167</v>
      </c>
      <c r="D26" s="36">
        <f>C3</f>
        <v>68.5</v>
      </c>
      <c r="E26" s="15" t="s">
        <v>11</v>
      </c>
      <c r="F26" s="16">
        <f>SUM(F23:F25)</f>
        <v>15.792979698175676</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23" priority="1" operator="containsText" text="overvalued">
      <formula>NOT(ISERROR(SEARCH("overvalued",D3)))</formula>
    </cfRule>
    <cfRule type="containsText" dxfId="22" priority="2" operator="containsText" text="undervalued">
      <formula>NOT(ISERROR(SEARCH("undervalued",D3)))</formula>
    </cfRule>
  </conditionalFormatting>
  <hyperlinks>
    <hyperlink ref="C30" r:id="rId1" xr:uid="{7BA9FCF5-1F24-6F4A-9FA3-8AB53E284F6A}"/>
    <hyperlink ref="B4" location="'COMPARATIVE TABLE'!A1" display="'COMPARATIVE TABLE'!A1" xr:uid="{E6246AC1-7817-8D44-9BF0-281FC1AA3575}"/>
  </hyperlinks>
  <pageMargins left="0.7" right="0.7" top="0.78740157499999996" bottom="0.78740157499999996" header="0.3" footer="0.3"/>
  <pageSetup paperSize="9" orientation="portrait" r:id="rId2"/>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1A10-D3D2-3A44-AE40-C8DA5801188F}">
  <dimension ref="B1:S30"/>
  <sheetViews>
    <sheetView showGridLines="0" zoomScale="141" zoomScaleNormal="141"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33</v>
      </c>
      <c r="C2" s="31" t="s">
        <v>36</v>
      </c>
      <c r="D2" s="32"/>
      <c r="E2" s="33"/>
      <c r="F2" s="33"/>
      <c r="G2" s="33"/>
      <c r="H2" s="33"/>
      <c r="I2" s="33"/>
      <c r="J2" s="33"/>
      <c r="K2" s="33"/>
      <c r="L2" s="33"/>
      <c r="M2" s="33"/>
      <c r="N2" s="33"/>
      <c r="O2" s="33"/>
      <c r="P2" s="34"/>
      <c r="S2" s="3" t="s">
        <v>7</v>
      </c>
    </row>
    <row r="3" spans="2:19" ht="13.5" thickBot="1" x14ac:dyDescent="0.25">
      <c r="B3" s="35" t="s">
        <v>223</v>
      </c>
      <c r="C3" s="81">
        <f>'MKT CAP - Price'!C76/1000000000</f>
        <v>2456.4487398279998</v>
      </c>
      <c r="D3" s="37"/>
      <c r="F3" s="11" t="s">
        <v>189</v>
      </c>
      <c r="G3" s="12"/>
      <c r="H3" s="12"/>
      <c r="I3" s="46">
        <v>0</v>
      </c>
      <c r="P3" s="38"/>
    </row>
    <row r="4" spans="2:19" ht="26.25" thickBot="1" x14ac:dyDescent="0.25">
      <c r="B4" s="39" t="s">
        <v>85</v>
      </c>
      <c r="N4" s="40" t="s">
        <v>5</v>
      </c>
      <c r="O4" s="4" t="s">
        <v>0</v>
      </c>
      <c r="P4" s="38"/>
    </row>
    <row r="5" spans="2:19" x14ac:dyDescent="0.2">
      <c r="B5" s="9" t="s">
        <v>8</v>
      </c>
      <c r="C5" s="5" t="s">
        <v>194</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0.08</v>
      </c>
      <c r="P5" s="38" t="s">
        <v>1</v>
      </c>
      <c r="R5" s="1"/>
    </row>
    <row r="6" spans="2:19" x14ac:dyDescent="0.2">
      <c r="B6" s="9" t="s">
        <v>19</v>
      </c>
      <c r="C6" s="6">
        <v>50</v>
      </c>
      <c r="D6" s="41">
        <f>C6*(1+$O$5)</f>
        <v>54</v>
      </c>
      <c r="E6" s="41">
        <f>D6*(1+$O$5)</f>
        <v>58.320000000000007</v>
      </c>
      <c r="F6" s="41">
        <f>E6*(1+$O$5)</f>
        <v>62.985600000000012</v>
      </c>
      <c r="G6" s="41">
        <f>F6*(1+$O$5)</f>
        <v>68.024448000000021</v>
      </c>
      <c r="H6" s="41">
        <f>G6*(1+$O$5)</f>
        <v>73.466403840000027</v>
      </c>
      <c r="I6" s="41">
        <f>H6*(1+$O$6)</f>
        <v>79.343716147200027</v>
      </c>
      <c r="J6" s="41">
        <f>I6*(1+$O$6)</f>
        <v>85.691213438976035</v>
      </c>
      <c r="K6" s="41">
        <f>J6*(1+$O$6)</f>
        <v>92.546510514094123</v>
      </c>
      <c r="L6" s="41">
        <f>K6*(1+$O$6)</f>
        <v>99.950231355221661</v>
      </c>
      <c r="M6" s="41">
        <f>L6*(1+$O$6)</f>
        <v>107.94624986363939</v>
      </c>
      <c r="N6" s="41">
        <f>L6*O8</f>
        <v>1999.0046271044332</v>
      </c>
      <c r="O6" s="17">
        <v>0.08</v>
      </c>
      <c r="P6" s="27" t="s">
        <v>2</v>
      </c>
    </row>
    <row r="7" spans="2:19" x14ac:dyDescent="0.2">
      <c r="B7" s="9"/>
      <c r="C7" s="7" t="str">
        <f>CONCATENATE(R8,O7*100,S8)</f>
        <v>PV(10%)</v>
      </c>
      <c r="D7" s="41">
        <f>D6*(1+$O$7)^($D$5-D5-1)*$I$3</f>
        <v>0</v>
      </c>
      <c r="E7" s="41">
        <f t="shared" ref="E7:M7" si="1">E6*(1+$O$7)^($D$5-E5-1)*$I$3</f>
        <v>0</v>
      </c>
      <c r="F7" s="41">
        <f t="shared" si="1"/>
        <v>0</v>
      </c>
      <c r="G7" s="41">
        <f t="shared" si="1"/>
        <v>0</v>
      </c>
      <c r="H7" s="41">
        <f t="shared" si="1"/>
        <v>0</v>
      </c>
      <c r="I7" s="41">
        <f t="shared" si="1"/>
        <v>0</v>
      </c>
      <c r="J7" s="41">
        <f t="shared" si="1"/>
        <v>0</v>
      </c>
      <c r="K7" s="41">
        <f t="shared" si="1"/>
        <v>0</v>
      </c>
      <c r="L7" s="41">
        <f t="shared" si="1"/>
        <v>0</v>
      </c>
      <c r="M7" s="41">
        <f t="shared" si="1"/>
        <v>0</v>
      </c>
      <c r="N7" s="41">
        <f t="shared" ref="N7" si="2">N6*(1+$O$7)^($D$5-N5-1)</f>
        <v>770.70281951869708</v>
      </c>
      <c r="O7" s="17">
        <v>0.1</v>
      </c>
      <c r="P7" s="38" t="s">
        <v>3</v>
      </c>
    </row>
    <row r="8" spans="2:19" ht="13.5" thickBot="1" x14ac:dyDescent="0.25">
      <c r="B8" s="9"/>
      <c r="C8" s="8" t="s">
        <v>26</v>
      </c>
      <c r="D8" s="20">
        <f>SUM(D7:N7)</f>
        <v>770.70281951869708</v>
      </c>
      <c r="E8" s="21"/>
      <c r="F8" s="21"/>
      <c r="G8" s="21"/>
      <c r="H8" s="21"/>
      <c r="I8" s="21"/>
      <c r="J8" s="21"/>
      <c r="K8" s="21"/>
      <c r="L8" s="21"/>
      <c r="M8" s="21"/>
      <c r="N8" s="21"/>
      <c r="O8" s="18">
        <v>20</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Net income billions</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0.12</v>
      </c>
      <c r="P11" s="38" t="s">
        <v>1</v>
      </c>
    </row>
    <row r="12" spans="2:19" x14ac:dyDescent="0.2">
      <c r="B12" s="71" t="s">
        <v>18</v>
      </c>
      <c r="C12" s="6">
        <f>C6</f>
        <v>50</v>
      </c>
      <c r="D12" s="41">
        <f>C12*(1+$O$11)</f>
        <v>56.000000000000007</v>
      </c>
      <c r="E12" s="41">
        <f>D12*(1+$O$11)</f>
        <v>62.720000000000013</v>
      </c>
      <c r="F12" s="41">
        <f>E12*(1+$O$11)</f>
        <v>70.246400000000023</v>
      </c>
      <c r="G12" s="41">
        <f>F12*(1+$O$11)</f>
        <v>78.675968000000026</v>
      </c>
      <c r="H12" s="41">
        <f>G12*(1+$O$11)</f>
        <v>88.117084160000033</v>
      </c>
      <c r="I12" s="41">
        <f>H12*(1+$O$12)</f>
        <v>98.691134259200041</v>
      </c>
      <c r="J12" s="41">
        <f>I12*(1+$O$12)</f>
        <v>110.53407037030405</v>
      </c>
      <c r="K12" s="41">
        <f>J12*(1+$O$12)</f>
        <v>123.79815881474055</v>
      </c>
      <c r="L12" s="41">
        <f>K12*(1+$O$12)</f>
        <v>138.65393787250943</v>
      </c>
      <c r="M12" s="41">
        <f>L12*(1+$O$12)</f>
        <v>155.29241041721059</v>
      </c>
      <c r="N12" s="41">
        <f>L12*O14</f>
        <v>5546.1575149003775</v>
      </c>
      <c r="O12" s="17">
        <v>0.12</v>
      </c>
      <c r="P12" s="27" t="s">
        <v>2</v>
      </c>
    </row>
    <row r="13" spans="2:19" x14ac:dyDescent="0.2">
      <c r="B13" s="71">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2138.2838119890071</v>
      </c>
      <c r="O13" s="17">
        <f>O7</f>
        <v>0.1</v>
      </c>
      <c r="P13" s="38" t="s">
        <v>3</v>
      </c>
    </row>
    <row r="14" spans="2:19" ht="13.5" thickBot="1" x14ac:dyDescent="0.25">
      <c r="B14" s="9"/>
      <c r="C14" s="8" t="s">
        <v>4</v>
      </c>
      <c r="D14" s="20">
        <f>SUM(D13:N13)</f>
        <v>2138.2838119890071</v>
      </c>
      <c r="E14" s="21"/>
      <c r="F14" s="21"/>
      <c r="G14" s="21"/>
      <c r="H14" s="21"/>
      <c r="I14" s="21"/>
      <c r="J14" s="21"/>
      <c r="K14" s="21"/>
      <c r="L14" s="21"/>
      <c r="M14" s="21"/>
      <c r="N14" s="21"/>
      <c r="O14" s="18">
        <v>40</v>
      </c>
      <c r="P14" s="38" t="s">
        <v>20</v>
      </c>
    </row>
    <row r="15" spans="2:19" x14ac:dyDescent="0.2">
      <c r="B15" s="9"/>
      <c r="P15" s="38"/>
    </row>
    <row r="16" spans="2:19" ht="26.25" thickBot="1" x14ac:dyDescent="0.25">
      <c r="B16" s="9"/>
      <c r="N16" s="40" t="s">
        <v>5</v>
      </c>
      <c r="O16" s="4" t="s">
        <v>0</v>
      </c>
      <c r="P16" s="38"/>
    </row>
    <row r="17" spans="2:16" x14ac:dyDescent="0.2">
      <c r="B17" s="71" t="s">
        <v>10</v>
      </c>
      <c r="C17" s="5" t="str">
        <f>C11</f>
        <v>Net income billions</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0.06</v>
      </c>
      <c r="P17" s="38" t="s">
        <v>1</v>
      </c>
    </row>
    <row r="18" spans="2:16" x14ac:dyDescent="0.2">
      <c r="B18" s="71" t="s">
        <v>17</v>
      </c>
      <c r="C18" s="6">
        <f>C12</f>
        <v>50</v>
      </c>
      <c r="D18" s="41">
        <f>C18*(1+$O$17)</f>
        <v>53</v>
      </c>
      <c r="E18" s="41">
        <f>D18*(1+$O$17)</f>
        <v>56.18</v>
      </c>
      <c r="F18" s="41">
        <f>E18*(1+$O$17)</f>
        <v>59.550800000000002</v>
      </c>
      <c r="G18" s="41">
        <f>F18*(1+$O$17)</f>
        <v>63.123848000000002</v>
      </c>
      <c r="H18" s="41">
        <f>G18*(1+$O$17)</f>
        <v>66.911278880000012</v>
      </c>
      <c r="I18" s="41">
        <f>H18*(1+$O$18)</f>
        <v>70.92595561280001</v>
      </c>
      <c r="J18" s="41">
        <f>I18*(1+$O$18)</f>
        <v>75.181512949568017</v>
      </c>
      <c r="K18" s="41">
        <f>J18*(1+$O$18)</f>
        <v>79.692403726542096</v>
      </c>
      <c r="L18" s="41">
        <f>K18*(1+$O$18)</f>
        <v>84.47394795013463</v>
      </c>
      <c r="M18" s="41">
        <f>L18*(1+$O$18)</f>
        <v>89.542384827142712</v>
      </c>
      <c r="N18" s="41">
        <f>L18*O20</f>
        <v>1267.1092192520196</v>
      </c>
      <c r="O18" s="17">
        <v>0.06</v>
      </c>
      <c r="P18" s="27" t="s">
        <v>2</v>
      </c>
    </row>
    <row r="19" spans="2:16" x14ac:dyDescent="0.2">
      <c r="B19" s="71"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488.52545645690901</v>
      </c>
      <c r="O19" s="17">
        <f>O13</f>
        <v>0.1</v>
      </c>
      <c r="P19" s="38" t="s">
        <v>3</v>
      </c>
    </row>
    <row r="20" spans="2:16" ht="13.5" thickBot="1" x14ac:dyDescent="0.25">
      <c r="B20" s="71" t="s">
        <v>156</v>
      </c>
      <c r="C20" s="8" t="s">
        <v>4</v>
      </c>
      <c r="D20" s="20">
        <f>SUM(D19:N19)</f>
        <v>488.52545645690901</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0.4</v>
      </c>
      <c r="E23" s="41">
        <f>D8</f>
        <v>770.70281951869708</v>
      </c>
      <c r="F23" s="22">
        <f>E23*D23</f>
        <v>308.28112780747887</v>
      </c>
      <c r="P23" s="38"/>
    </row>
    <row r="24" spans="2:16" x14ac:dyDescent="0.2">
      <c r="B24" s="9"/>
      <c r="C24" s="9" t="s">
        <v>15</v>
      </c>
      <c r="D24" s="44">
        <v>0.4</v>
      </c>
      <c r="E24" s="41">
        <f>D14</f>
        <v>2138.2838119890071</v>
      </c>
      <c r="F24" s="22">
        <f>E24*D24</f>
        <v>855.31352479560292</v>
      </c>
      <c r="P24" s="38"/>
    </row>
    <row r="25" spans="2:16" ht="13.5" thickBot="1" x14ac:dyDescent="0.25">
      <c r="B25" s="9"/>
      <c r="C25" s="10" t="s">
        <v>29</v>
      </c>
      <c r="D25" s="44">
        <v>0.2</v>
      </c>
      <c r="E25" s="23">
        <f>D20</f>
        <v>488.52545645690901</v>
      </c>
      <c r="F25" s="24">
        <f>E25*D25</f>
        <v>97.705091291381805</v>
      </c>
      <c r="P25" s="38"/>
    </row>
    <row r="26" spans="2:16" ht="13.5" thickBot="1" x14ac:dyDescent="0.25">
      <c r="B26" s="9"/>
      <c r="C26" s="36" t="s">
        <v>167</v>
      </c>
      <c r="D26" s="36">
        <f>C3</f>
        <v>2456.4487398279998</v>
      </c>
      <c r="E26" s="15" t="s">
        <v>11</v>
      </c>
      <c r="F26" s="16">
        <f>SUM(F23:F25)</f>
        <v>1261.2997438944637</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21" priority="1" operator="containsText" text="overvalued">
      <formula>NOT(ISERROR(SEARCH("overvalued",D3)))</formula>
    </cfRule>
    <cfRule type="containsText" dxfId="20" priority="2" operator="containsText" text="undervalued">
      <formula>NOT(ISERROR(SEARCH("undervalued",D3)))</formula>
    </cfRule>
  </conditionalFormatting>
  <hyperlinks>
    <hyperlink ref="C30" r:id="rId1" xr:uid="{CC8BD6E4-0E70-FF45-BAF8-26F557C34F72}"/>
    <hyperlink ref="B4" location="'COMPARATIVE TABLE'!A1" display="'COMPARATIVE TABLE'!A1" xr:uid="{D25975DE-9ACF-184F-8C4A-854476B45966}"/>
  </hyperlinks>
  <pageMargins left="0.7" right="0.7" top="0.78740157499999996" bottom="0.78740157499999996" header="0.3" footer="0.3"/>
  <pageSetup paperSize="9" orientation="portrait" r:id="rId2"/>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B5B1-0758-9B48-98F5-565765188AE4}">
  <dimension ref="B1:S30"/>
  <sheetViews>
    <sheetView showGridLines="0" zoomScale="138" zoomScaleNormal="138"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191</v>
      </c>
      <c r="C2" s="31" t="s">
        <v>36</v>
      </c>
      <c r="D2" s="32"/>
      <c r="E2" s="33"/>
      <c r="F2" s="33"/>
      <c r="G2" s="33"/>
      <c r="H2" s="33"/>
      <c r="I2" s="33"/>
      <c r="J2" s="33"/>
      <c r="K2" s="33"/>
      <c r="L2" s="33"/>
      <c r="M2" s="33"/>
      <c r="N2" s="33"/>
      <c r="O2" s="33"/>
      <c r="P2" s="34"/>
      <c r="S2" s="3" t="s">
        <v>7</v>
      </c>
    </row>
    <row r="3" spans="2:19" ht="13.5" thickBot="1" x14ac:dyDescent="0.25">
      <c r="B3" s="35" t="s">
        <v>166</v>
      </c>
      <c r="C3" s="36"/>
      <c r="D3" s="37"/>
      <c r="F3" s="11" t="s">
        <v>189</v>
      </c>
      <c r="G3" s="12"/>
      <c r="H3" s="12"/>
      <c r="I3" s="46">
        <v>1</v>
      </c>
      <c r="P3" s="38"/>
    </row>
    <row r="4" spans="2:19" ht="26.25" thickBot="1" x14ac:dyDescent="0.25">
      <c r="B4" s="39" t="s">
        <v>85</v>
      </c>
      <c r="N4" s="40" t="s">
        <v>5</v>
      </c>
      <c r="O4" s="4" t="s">
        <v>0</v>
      </c>
      <c r="P4" s="38"/>
    </row>
    <row r="5" spans="2:19" x14ac:dyDescent="0.2">
      <c r="B5" s="9" t="s">
        <v>8</v>
      </c>
      <c r="C5" s="5" t="s">
        <v>193</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v>
      </c>
      <c r="P5" s="38" t="s">
        <v>1</v>
      </c>
      <c r="R5" s="1"/>
    </row>
    <row r="6" spans="2:19" x14ac:dyDescent="0.2">
      <c r="B6" s="9" t="s">
        <v>19</v>
      </c>
      <c r="C6" s="6">
        <v>4.5999999999999996</v>
      </c>
      <c r="D6" s="41">
        <f>C6*(1+$O$5)</f>
        <v>4.5999999999999996</v>
      </c>
      <c r="E6" s="41">
        <f>D6*(1+$O$5)</f>
        <v>4.5999999999999996</v>
      </c>
      <c r="F6" s="41">
        <f>E6*(1+$O$5)</f>
        <v>4.5999999999999996</v>
      </c>
      <c r="G6" s="41">
        <f>F6*(1+$O$5)</f>
        <v>4.5999999999999996</v>
      </c>
      <c r="H6" s="41">
        <f>G6*(1+$O$5)</f>
        <v>4.5999999999999996</v>
      </c>
      <c r="I6" s="41">
        <f>H6*(1+$O$6)</f>
        <v>4.5999999999999996</v>
      </c>
      <c r="J6" s="41">
        <f>I6*(1+$O$6)</f>
        <v>4.5999999999999996</v>
      </c>
      <c r="K6" s="41">
        <f>J6*(1+$O$6)</f>
        <v>4.5999999999999996</v>
      </c>
      <c r="L6" s="41">
        <f>K6*(1+$O$6)</f>
        <v>4.5999999999999996</v>
      </c>
      <c r="M6" s="41">
        <f>L6*(1+$O$6)</f>
        <v>4.5999999999999996</v>
      </c>
      <c r="N6" s="41">
        <f>L6*O8</f>
        <v>100.00399999999999</v>
      </c>
      <c r="O6" s="17">
        <v>0</v>
      </c>
      <c r="P6" s="27" t="s">
        <v>2</v>
      </c>
    </row>
    <row r="7" spans="2:19" x14ac:dyDescent="0.2">
      <c r="B7" s="9"/>
      <c r="C7" s="7" t="str">
        <f>CONCATENATE(R8,O7*100,S8)</f>
        <v>PV(4,6%)</v>
      </c>
      <c r="D7" s="41">
        <f>D6*(1+$O$7)^($D$5-D5-1)*$I$3</f>
        <v>4.3977055449330775</v>
      </c>
      <c r="E7" s="41">
        <f t="shared" ref="E7:M7" si="1">E6*(1+$O$7)^($D$5-E5-1)*$I$3</f>
        <v>4.2043074043337265</v>
      </c>
      <c r="F7" s="41">
        <f t="shared" si="1"/>
        <v>4.0194143444873101</v>
      </c>
      <c r="G7" s="41">
        <f t="shared" si="1"/>
        <v>3.8426523369859562</v>
      </c>
      <c r="H7" s="41">
        <f t="shared" si="1"/>
        <v>3.6736638020898238</v>
      </c>
      <c r="I7" s="41">
        <f t="shared" si="1"/>
        <v>3.5121068853631199</v>
      </c>
      <c r="J7" s="41">
        <f t="shared" si="1"/>
        <v>3.3576547661215295</v>
      </c>
      <c r="K7" s="41">
        <f t="shared" si="1"/>
        <v>3.2099949962920933</v>
      </c>
      <c r="L7" s="41">
        <f t="shared" si="1"/>
        <v>3.0688288683480813</v>
      </c>
      <c r="M7" s="41">
        <f t="shared" si="1"/>
        <v>2.9338708110402307</v>
      </c>
      <c r="N7" s="41">
        <f t="shared" ref="N7" si="2">N6*(1+$O$7)^($D$5-N5-1)</f>
        <v>63.782351432014622</v>
      </c>
      <c r="O7" s="17">
        <v>4.5999999999999999E-2</v>
      </c>
      <c r="P7" s="38" t="s">
        <v>3</v>
      </c>
    </row>
    <row r="8" spans="2:19" ht="13.5" thickBot="1" x14ac:dyDescent="0.25">
      <c r="B8" s="9"/>
      <c r="C8" s="8" t="s">
        <v>26</v>
      </c>
      <c r="D8" s="20">
        <f>SUM(D7:N7)</f>
        <v>100.00255119200958</v>
      </c>
      <c r="E8" s="21"/>
      <c r="F8" s="21"/>
      <c r="G8" s="21"/>
      <c r="H8" s="21"/>
      <c r="I8" s="21"/>
      <c r="J8" s="21"/>
      <c r="K8" s="21"/>
      <c r="L8" s="21"/>
      <c r="M8" s="21"/>
      <c r="N8" s="21"/>
      <c r="O8" s="18">
        <v>21.74</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Yield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v>
      </c>
      <c r="P11" s="38" t="s">
        <v>1</v>
      </c>
    </row>
    <row r="12" spans="2:19" x14ac:dyDescent="0.2">
      <c r="B12" s="9" t="s">
        <v>18</v>
      </c>
      <c r="C12" s="6">
        <f>C6</f>
        <v>4.5999999999999996</v>
      </c>
      <c r="D12" s="41">
        <f>C12*(1+$O$11)</f>
        <v>4.5999999999999996</v>
      </c>
      <c r="E12" s="41">
        <f>D12*(1+$O$11)</f>
        <v>4.5999999999999996</v>
      </c>
      <c r="F12" s="41">
        <f>E12*(1+$O$11)</f>
        <v>4.5999999999999996</v>
      </c>
      <c r="G12" s="41">
        <f>F12*(1+$O$11)</f>
        <v>4.5999999999999996</v>
      </c>
      <c r="H12" s="41">
        <f>G12*(1+$O$11)</f>
        <v>4.5999999999999996</v>
      </c>
      <c r="I12" s="41">
        <f>H12*(1+$O$12)</f>
        <v>4.5999999999999996</v>
      </c>
      <c r="J12" s="41">
        <f>I12*(1+$O$12)</f>
        <v>4.5999999999999996</v>
      </c>
      <c r="K12" s="41">
        <f>J12*(1+$O$12)</f>
        <v>4.5999999999999996</v>
      </c>
      <c r="L12" s="41">
        <f>K12*(1+$O$12)</f>
        <v>4.5999999999999996</v>
      </c>
      <c r="M12" s="41">
        <f>L12*(1+$O$12)</f>
        <v>4.5999999999999996</v>
      </c>
      <c r="N12" s="41">
        <f>L12*O14</f>
        <v>100.00399999999999</v>
      </c>
      <c r="O12" s="17">
        <v>0</v>
      </c>
      <c r="P12" s="27" t="s">
        <v>2</v>
      </c>
    </row>
    <row r="13" spans="2:19" x14ac:dyDescent="0.2">
      <c r="B13" s="9">
        <f>B7</f>
        <v>0</v>
      </c>
      <c r="C13" s="7" t="str">
        <f>C7</f>
        <v>PV(4,6%)</v>
      </c>
      <c r="D13" s="41">
        <f>D12*(1+$O$13)^($D$11-D11-1)</f>
        <v>4.3977055449330775</v>
      </c>
      <c r="E13" s="41">
        <f t="shared" ref="E13:M13" si="4">E12*(1+$O$13)^($D$11-E11-1)</f>
        <v>4.2043074043337265</v>
      </c>
      <c r="F13" s="41">
        <f t="shared" si="4"/>
        <v>4.0194143444873101</v>
      </c>
      <c r="G13" s="41">
        <f t="shared" si="4"/>
        <v>3.8426523369859562</v>
      </c>
      <c r="H13" s="41">
        <f t="shared" si="4"/>
        <v>3.6736638020898238</v>
      </c>
      <c r="I13" s="41">
        <f t="shared" si="4"/>
        <v>3.5121068853631199</v>
      </c>
      <c r="J13" s="41">
        <f t="shared" si="4"/>
        <v>3.3576547661215295</v>
      </c>
      <c r="K13" s="41">
        <f t="shared" si="4"/>
        <v>3.2099949962920933</v>
      </c>
      <c r="L13" s="41">
        <f t="shared" si="4"/>
        <v>3.0688288683480813</v>
      </c>
      <c r="M13" s="41">
        <f t="shared" si="4"/>
        <v>2.9338708110402307</v>
      </c>
      <c r="N13" s="41">
        <f>N12*(1+$O$7)^($D$5-N11-1)</f>
        <v>63.782351432014622</v>
      </c>
      <c r="O13" s="17">
        <f>O7</f>
        <v>4.5999999999999999E-2</v>
      </c>
      <c r="P13" s="38" t="s">
        <v>3</v>
      </c>
    </row>
    <row r="14" spans="2:19" ht="13.5" thickBot="1" x14ac:dyDescent="0.25">
      <c r="B14" s="9"/>
      <c r="C14" s="8" t="s">
        <v>4</v>
      </c>
      <c r="D14" s="20">
        <f>SUM(D13:N13)</f>
        <v>100.00255119200958</v>
      </c>
      <c r="E14" s="21"/>
      <c r="F14" s="21"/>
      <c r="G14" s="21"/>
      <c r="H14" s="21"/>
      <c r="I14" s="21"/>
      <c r="J14" s="21"/>
      <c r="K14" s="21"/>
      <c r="L14" s="21"/>
      <c r="M14" s="21"/>
      <c r="N14" s="21"/>
      <c r="O14" s="18">
        <v>21.74</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Yield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v>
      </c>
      <c r="P17" s="38" t="s">
        <v>1</v>
      </c>
    </row>
    <row r="18" spans="2:16" x14ac:dyDescent="0.2">
      <c r="B18" s="9" t="s">
        <v>17</v>
      </c>
      <c r="C18" s="6">
        <f>C12</f>
        <v>4.5999999999999996</v>
      </c>
      <c r="D18" s="41">
        <f>C18*(1+$O$17)</f>
        <v>4.5999999999999996</v>
      </c>
      <c r="E18" s="41">
        <f>D18*(1+$O$17)</f>
        <v>4.5999999999999996</v>
      </c>
      <c r="F18" s="41">
        <f>E18*(1+$O$17)</f>
        <v>4.5999999999999996</v>
      </c>
      <c r="G18" s="41">
        <f>F18*(1+$O$17)</f>
        <v>4.5999999999999996</v>
      </c>
      <c r="H18" s="41">
        <f>G18*(1+$O$17)</f>
        <v>4.5999999999999996</v>
      </c>
      <c r="I18" s="41">
        <f>H18*(1+$O$18)</f>
        <v>4.5999999999999996</v>
      </c>
      <c r="J18" s="41">
        <f>I18*(1+$O$18)</f>
        <v>4.5999999999999996</v>
      </c>
      <c r="K18" s="41">
        <f>J18*(1+$O$18)</f>
        <v>4.5999999999999996</v>
      </c>
      <c r="L18" s="41">
        <f>K18*(1+$O$18)</f>
        <v>4.5999999999999996</v>
      </c>
      <c r="M18" s="41">
        <f>L18*(1+$O$18)</f>
        <v>4.5999999999999996</v>
      </c>
      <c r="N18" s="41">
        <f>L18*O20</f>
        <v>100.00399999999999</v>
      </c>
      <c r="O18" s="17">
        <v>0</v>
      </c>
      <c r="P18" s="27" t="s">
        <v>2</v>
      </c>
    </row>
    <row r="19" spans="2:16" x14ac:dyDescent="0.2">
      <c r="B19" s="9" t="s">
        <v>155</v>
      </c>
      <c r="C19" s="7" t="str">
        <f>C13</f>
        <v>PV(4,6%)</v>
      </c>
      <c r="D19" s="41">
        <f>D18*(1+$O$19)^($D$17-D17-1)*$I$3</f>
        <v>4.3977055449330775</v>
      </c>
      <c r="E19" s="41">
        <f t="shared" ref="E19:M19" si="6">E18*(1+$O$19)^($D$17-E17-1)*$I$3</f>
        <v>4.2043074043337265</v>
      </c>
      <c r="F19" s="41">
        <f t="shared" si="6"/>
        <v>4.0194143444873101</v>
      </c>
      <c r="G19" s="41">
        <f t="shared" si="6"/>
        <v>3.8426523369859562</v>
      </c>
      <c r="H19" s="41">
        <f t="shared" si="6"/>
        <v>3.6736638020898238</v>
      </c>
      <c r="I19" s="41">
        <f t="shared" si="6"/>
        <v>3.5121068853631199</v>
      </c>
      <c r="J19" s="41">
        <f t="shared" si="6"/>
        <v>3.3576547661215295</v>
      </c>
      <c r="K19" s="41">
        <f t="shared" si="6"/>
        <v>3.2099949962920933</v>
      </c>
      <c r="L19" s="41">
        <f t="shared" si="6"/>
        <v>3.0688288683480813</v>
      </c>
      <c r="M19" s="41">
        <f t="shared" si="6"/>
        <v>2.9338708110402307</v>
      </c>
      <c r="N19" s="41">
        <f t="shared" ref="N19" si="7">N18*(1+$O$19)^($D$17-N17-1)</f>
        <v>63.782351432014622</v>
      </c>
      <c r="O19" s="17">
        <f>O13</f>
        <v>4.5999999999999999E-2</v>
      </c>
      <c r="P19" s="38" t="s">
        <v>3</v>
      </c>
    </row>
    <row r="20" spans="2:16" ht="13.5" thickBot="1" x14ac:dyDescent="0.25">
      <c r="B20" s="9" t="s">
        <v>156</v>
      </c>
      <c r="C20" s="8" t="s">
        <v>4</v>
      </c>
      <c r="D20" s="20">
        <f>SUM(D19:N19)</f>
        <v>100.00255119200958</v>
      </c>
      <c r="E20" s="21"/>
      <c r="F20" s="21"/>
      <c r="G20" s="21"/>
      <c r="H20" s="21"/>
      <c r="I20" s="21"/>
      <c r="J20" s="21"/>
      <c r="K20" s="21"/>
      <c r="L20" s="21"/>
      <c r="M20" s="21"/>
      <c r="N20" s="21"/>
      <c r="O20" s="18">
        <v>21.74</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100.00255119200958</v>
      </c>
      <c r="F23" s="22">
        <f>E23*D23</f>
        <v>60.001530715205746</v>
      </c>
      <c r="P23" s="38"/>
    </row>
    <row r="24" spans="2:16" x14ac:dyDescent="0.2">
      <c r="B24" s="9"/>
      <c r="C24" s="9" t="s">
        <v>15</v>
      </c>
      <c r="D24" s="44">
        <v>0.2</v>
      </c>
      <c r="E24" s="41">
        <f>D14</f>
        <v>100.00255119200958</v>
      </c>
      <c r="F24" s="22">
        <f>E24*D24</f>
        <v>20.000510238401915</v>
      </c>
      <c r="P24" s="38"/>
    </row>
    <row r="25" spans="2:16" ht="13.5" thickBot="1" x14ac:dyDescent="0.25">
      <c r="B25" s="9"/>
      <c r="C25" s="10" t="s">
        <v>29</v>
      </c>
      <c r="D25" s="44">
        <v>0.2</v>
      </c>
      <c r="E25" s="23">
        <f>D20</f>
        <v>100.00255119200958</v>
      </c>
      <c r="F25" s="24">
        <f>E25*D25</f>
        <v>20.000510238401915</v>
      </c>
      <c r="P25" s="38"/>
    </row>
    <row r="26" spans="2:16" ht="13.5" thickBot="1" x14ac:dyDescent="0.25">
      <c r="B26" s="9"/>
      <c r="C26" s="36" t="s">
        <v>167</v>
      </c>
      <c r="D26" s="36">
        <f>C3</f>
        <v>0</v>
      </c>
      <c r="E26" s="15" t="s">
        <v>11</v>
      </c>
      <c r="F26" s="16">
        <f>SUM(F23:F25)</f>
        <v>100.00255119200958</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9" priority="1" operator="containsText" text="overvalued">
      <formula>NOT(ISERROR(SEARCH("overvalued",D3)))</formula>
    </cfRule>
    <cfRule type="containsText" dxfId="18" priority="2" operator="containsText" text="undervalued">
      <formula>NOT(ISERROR(SEARCH("undervalued",D3)))</formula>
    </cfRule>
  </conditionalFormatting>
  <hyperlinks>
    <hyperlink ref="C30" r:id="rId1" xr:uid="{8524BB63-1970-5544-AA14-B8DCDB43EC69}"/>
    <hyperlink ref="B4" location="'COMPARATIVE TABLE'!A1" display="'COMPARATIVE TABLE'!A1" xr:uid="{49A6BCFE-FC71-FD45-BA98-79A669A2DE88}"/>
  </hyperlinks>
  <pageMargins left="0.7" right="0.7" top="0.78740157499999996" bottom="0.78740157499999996" header="0.3" footer="0.3"/>
  <pageSetup paperSize="9" orientation="portrait" r:id="rId2"/>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1EBB-6204-304D-9B89-5430369B2F72}">
  <dimension ref="B1:S30"/>
  <sheetViews>
    <sheetView showGridLines="0" zoomScale="140" zoomScaleNormal="140"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131</v>
      </c>
      <c r="C2" s="31" t="s">
        <v>36</v>
      </c>
      <c r="D2" s="32"/>
      <c r="E2" s="33"/>
      <c r="F2" s="33"/>
      <c r="G2" s="33"/>
      <c r="H2" s="33"/>
      <c r="I2" s="33"/>
      <c r="J2" s="33"/>
      <c r="K2" s="33"/>
      <c r="L2" s="33"/>
      <c r="M2" s="33"/>
      <c r="N2" s="33"/>
      <c r="O2" s="33"/>
      <c r="P2" s="34"/>
      <c r="S2" s="3" t="s">
        <v>7</v>
      </c>
    </row>
    <row r="3" spans="2:19" ht="13.5" thickBot="1" x14ac:dyDescent="0.25">
      <c r="B3" s="35" t="s">
        <v>166</v>
      </c>
      <c r="C3" s="36">
        <f>'MKT CAP - Price'!C59</f>
        <v>305.94</v>
      </c>
      <c r="D3" s="37"/>
      <c r="F3" s="11" t="s">
        <v>189</v>
      </c>
      <c r="G3" s="12"/>
      <c r="H3" s="12"/>
      <c r="I3" s="46">
        <v>1</v>
      </c>
      <c r="P3" s="38"/>
    </row>
    <row r="4" spans="2:19" ht="26.25" thickBot="1" x14ac:dyDescent="0.25">
      <c r="B4" s="39" t="s">
        <v>85</v>
      </c>
      <c r="N4" s="40" t="s">
        <v>5</v>
      </c>
      <c r="O4" s="4" t="s">
        <v>0</v>
      </c>
      <c r="P4" s="38"/>
    </row>
    <row r="5" spans="2:19" x14ac:dyDescent="0.2">
      <c r="B5" s="9"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0.05</v>
      </c>
      <c r="P5" s="38" t="s">
        <v>1</v>
      </c>
      <c r="R5" s="1"/>
    </row>
    <row r="6" spans="2:19" x14ac:dyDescent="0.2">
      <c r="B6" s="9" t="s">
        <v>19</v>
      </c>
      <c r="C6" s="6">
        <v>7.08</v>
      </c>
      <c r="D6" s="41">
        <f>C6*(1+$O$5)</f>
        <v>7.4340000000000002</v>
      </c>
      <c r="E6" s="41">
        <f>D6*(1+$O$5)</f>
        <v>7.8057000000000007</v>
      </c>
      <c r="F6" s="41">
        <f>E6*(1+$O$5)</f>
        <v>8.1959850000000003</v>
      </c>
      <c r="G6" s="41">
        <f>F6*(1+$O$5)</f>
        <v>8.605784250000001</v>
      </c>
      <c r="H6" s="41">
        <f>G6*(1+$O$5)</f>
        <v>9.036073462500001</v>
      </c>
      <c r="I6" s="41">
        <f>H6*(1+$O$6)</f>
        <v>9.487877135625002</v>
      </c>
      <c r="J6" s="41">
        <f>I6*(1+$O$6)</f>
        <v>9.9622709924062534</v>
      </c>
      <c r="K6" s="41">
        <f>J6*(1+$O$6)</f>
        <v>10.460384542026567</v>
      </c>
      <c r="L6" s="41">
        <f>K6*(1+$O$6)</f>
        <v>10.983403769127897</v>
      </c>
      <c r="M6" s="41">
        <f>L6*(1+$O$6)</f>
        <v>11.532573957584292</v>
      </c>
      <c r="N6" s="41">
        <f>L6*O8</f>
        <v>274.58509422819742</v>
      </c>
      <c r="O6" s="17">
        <v>0.05</v>
      </c>
      <c r="P6" s="27" t="s">
        <v>2</v>
      </c>
    </row>
    <row r="7" spans="2:19" x14ac:dyDescent="0.2">
      <c r="B7" s="9"/>
      <c r="C7" s="7" t="str">
        <f>CONCATENATE(R8,O7*100,S8)</f>
        <v>PV(10%)</v>
      </c>
      <c r="D7" s="41">
        <f>D6*(1+$O$7)^($D$5-D5-1)*$I$3</f>
        <v>6.7581818181818178</v>
      </c>
      <c r="E7" s="41">
        <f t="shared" ref="E7:M7" si="1">E6*(1+$O$7)^($D$5-E5-1)*$I$3</f>
        <v>6.4509917355371904</v>
      </c>
      <c r="F7" s="41">
        <f t="shared" si="1"/>
        <v>6.1577648384673163</v>
      </c>
      <c r="G7" s="41">
        <f t="shared" si="1"/>
        <v>5.8778664367188025</v>
      </c>
      <c r="H7" s="41">
        <f t="shared" si="1"/>
        <v>5.61069068959522</v>
      </c>
      <c r="I7" s="41">
        <f t="shared" si="1"/>
        <v>5.3556592946136199</v>
      </c>
      <c r="J7" s="41">
        <f t="shared" si="1"/>
        <v>5.1122202357675457</v>
      </c>
      <c r="K7" s="41">
        <f t="shared" si="1"/>
        <v>4.8798465886872027</v>
      </c>
      <c r="L7" s="41">
        <f t="shared" si="1"/>
        <v>4.6580353801105119</v>
      </c>
      <c r="M7" s="41">
        <f t="shared" si="1"/>
        <v>4.4463064991963979</v>
      </c>
      <c r="N7" s="41">
        <f t="shared" ref="N7" si="2">N6*(1+$O$7)^($D$5-N5-1)</f>
        <v>105.86444045705709</v>
      </c>
      <c r="O7" s="17">
        <v>0.1</v>
      </c>
      <c r="P7" s="38" t="s">
        <v>3</v>
      </c>
    </row>
    <row r="8" spans="2:19" ht="13.5" thickBot="1" x14ac:dyDescent="0.25">
      <c r="B8" s="9"/>
      <c r="C8" s="8" t="s">
        <v>26</v>
      </c>
      <c r="D8" s="20">
        <f>SUM(D7:N7)</f>
        <v>161.1720039739327</v>
      </c>
      <c r="E8" s="21"/>
      <c r="F8" s="21"/>
      <c r="G8" s="21"/>
      <c r="H8" s="21"/>
      <c r="I8" s="21"/>
      <c r="J8" s="21"/>
      <c r="K8" s="21"/>
      <c r="L8" s="21"/>
      <c r="M8" s="21"/>
      <c r="N8" s="21"/>
      <c r="O8" s="18">
        <v>25</v>
      </c>
      <c r="P8" s="45"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0.05</v>
      </c>
      <c r="P11" s="38" t="s">
        <v>1</v>
      </c>
    </row>
    <row r="12" spans="2:19" x14ac:dyDescent="0.2">
      <c r="B12" s="9" t="s">
        <v>18</v>
      </c>
      <c r="C12" s="6">
        <f>C6</f>
        <v>7.08</v>
      </c>
      <c r="D12" s="41">
        <f>C12*(1+$O$11)</f>
        <v>7.4340000000000002</v>
      </c>
      <c r="E12" s="41">
        <f>D12*(1+$O$11)</f>
        <v>7.8057000000000007</v>
      </c>
      <c r="F12" s="41">
        <f>E12*(1+$O$11)</f>
        <v>8.1959850000000003</v>
      </c>
      <c r="G12" s="41">
        <f>F12*(1+$O$11)</f>
        <v>8.605784250000001</v>
      </c>
      <c r="H12" s="41">
        <f>G12*(1+$O$11)</f>
        <v>9.036073462500001</v>
      </c>
      <c r="I12" s="41">
        <f>H12*(1+$O$12)</f>
        <v>9.487877135625002</v>
      </c>
      <c r="J12" s="41">
        <f>I12*(1+$O$12)</f>
        <v>9.9622709924062534</v>
      </c>
      <c r="K12" s="41">
        <f>J12*(1+$O$12)</f>
        <v>10.460384542026567</v>
      </c>
      <c r="L12" s="41">
        <f>K12*(1+$O$12)</f>
        <v>10.983403769127897</v>
      </c>
      <c r="M12" s="41">
        <f>L12*(1+$O$12)</f>
        <v>11.532573957584292</v>
      </c>
      <c r="N12" s="41">
        <f>L12*O14</f>
        <v>549.17018845639484</v>
      </c>
      <c r="O12" s="17">
        <v>0.05</v>
      </c>
      <c r="P12" s="27" t="s">
        <v>2</v>
      </c>
    </row>
    <row r="13" spans="2:19" x14ac:dyDescent="0.2">
      <c r="B13" s="9">
        <f>B7</f>
        <v>0</v>
      </c>
      <c r="C13" s="7" t="str">
        <f>C7</f>
        <v>PV(10%)</v>
      </c>
      <c r="D13" s="41">
        <f>D12*(1+$O$13)^($D$11-D11-1)*$I$3</f>
        <v>6.7581818181818178</v>
      </c>
      <c r="E13" s="41">
        <f t="shared" ref="E13:M13" si="4">E12*(1+$O$13)^($D$11-E11-1)*$I$3</f>
        <v>6.4509917355371904</v>
      </c>
      <c r="F13" s="41">
        <f t="shared" si="4"/>
        <v>6.1577648384673163</v>
      </c>
      <c r="G13" s="41">
        <f t="shared" si="4"/>
        <v>5.8778664367188025</v>
      </c>
      <c r="H13" s="41">
        <f t="shared" si="4"/>
        <v>5.61069068959522</v>
      </c>
      <c r="I13" s="41">
        <f t="shared" si="4"/>
        <v>5.3556592946136199</v>
      </c>
      <c r="J13" s="41">
        <f t="shared" si="4"/>
        <v>5.1122202357675457</v>
      </c>
      <c r="K13" s="41">
        <f t="shared" si="4"/>
        <v>4.8798465886872027</v>
      </c>
      <c r="L13" s="41">
        <f t="shared" si="4"/>
        <v>4.6580353801105119</v>
      </c>
      <c r="M13" s="41">
        <f t="shared" si="4"/>
        <v>4.4463064991963979</v>
      </c>
      <c r="N13" s="41">
        <f>N12*(1+$O$7)^($D$5-N11-1)</f>
        <v>211.72888091411417</v>
      </c>
      <c r="O13" s="17">
        <f>O7</f>
        <v>0.1</v>
      </c>
      <c r="P13" s="38" t="s">
        <v>3</v>
      </c>
    </row>
    <row r="14" spans="2:19" ht="13.5" thickBot="1" x14ac:dyDescent="0.25">
      <c r="B14" s="9"/>
      <c r="C14" s="8" t="s">
        <v>4</v>
      </c>
      <c r="D14" s="20">
        <f>SUM(D13:N13)</f>
        <v>267.03644443098977</v>
      </c>
      <c r="E14" s="21"/>
      <c r="F14" s="21"/>
      <c r="G14" s="21"/>
      <c r="H14" s="21"/>
      <c r="I14" s="21"/>
      <c r="J14" s="21"/>
      <c r="K14" s="21"/>
      <c r="L14" s="21"/>
      <c r="M14" s="21"/>
      <c r="N14" s="21"/>
      <c r="O14" s="18">
        <v>50</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0.04</v>
      </c>
      <c r="P17" s="38" t="s">
        <v>1</v>
      </c>
    </row>
    <row r="18" spans="2:16" x14ac:dyDescent="0.2">
      <c r="B18" s="9" t="s">
        <v>17</v>
      </c>
      <c r="C18" s="6">
        <f>C12</f>
        <v>7.08</v>
      </c>
      <c r="D18" s="41">
        <f>C18*(1+$O$17)</f>
        <v>7.3632</v>
      </c>
      <c r="E18" s="41">
        <f>D18*(1+$O$17)</f>
        <v>7.6577280000000005</v>
      </c>
      <c r="F18" s="41">
        <f>E18*(1+$O$17)</f>
        <v>7.9640371200000004</v>
      </c>
      <c r="G18" s="41">
        <f>F18*(1+$O$17)</f>
        <v>8.2825986048000004</v>
      </c>
      <c r="H18" s="41">
        <f>G18*(1+$O$17)</f>
        <v>8.6139025489920016</v>
      </c>
      <c r="I18" s="41">
        <f>H18*(1+$O$18)</f>
        <v>8.9584586509516821</v>
      </c>
      <c r="J18" s="41">
        <f>I18*(1+$O$18)</f>
        <v>9.3167969969897495</v>
      </c>
      <c r="K18" s="41">
        <f>J18*(1+$O$18)</f>
        <v>9.6894688768693396</v>
      </c>
      <c r="L18" s="41">
        <f>K18*(1+$O$18)</f>
        <v>10.077047631944113</v>
      </c>
      <c r="M18" s="41">
        <f>L18*(1+$O$18)</f>
        <v>10.480129537221877</v>
      </c>
      <c r="N18" s="41">
        <f>L18*O20</f>
        <v>201.54095263888226</v>
      </c>
      <c r="O18" s="17">
        <v>0.04</v>
      </c>
      <c r="P18" s="27" t="s">
        <v>2</v>
      </c>
    </row>
    <row r="19" spans="2:16" x14ac:dyDescent="0.2">
      <c r="B19" s="9" t="s">
        <v>155</v>
      </c>
      <c r="C19" s="7" t="str">
        <f>C13</f>
        <v>PV(10%)</v>
      </c>
      <c r="D19" s="41">
        <f>D18*(1+$O$19)^($D$17-D17-1)*$I$3</f>
        <v>6.6938181818181812</v>
      </c>
      <c r="E19" s="41">
        <f t="shared" ref="E19:M19" si="6">E18*(1+$O$19)^($D$17-E17-1)*$I$3</f>
        <v>6.3287008264462807</v>
      </c>
      <c r="F19" s="41">
        <f t="shared" si="6"/>
        <v>5.9834989631855731</v>
      </c>
      <c r="G19" s="41">
        <f t="shared" si="6"/>
        <v>5.6571262924663603</v>
      </c>
      <c r="H19" s="41">
        <f t="shared" si="6"/>
        <v>5.3485557674227406</v>
      </c>
      <c r="I19" s="41">
        <f t="shared" si="6"/>
        <v>5.0568163619269555</v>
      </c>
      <c r="J19" s="41">
        <f t="shared" si="6"/>
        <v>4.7809900149127564</v>
      </c>
      <c r="K19" s="41">
        <f t="shared" si="6"/>
        <v>4.5202087413720609</v>
      </c>
      <c r="L19" s="41">
        <f t="shared" si="6"/>
        <v>4.2736519009335847</v>
      </c>
      <c r="M19" s="41">
        <f t="shared" si="6"/>
        <v>4.040543615428116</v>
      </c>
      <c r="N19" s="41">
        <f t="shared" ref="N19" si="7">N18*(1+$O$19)^($D$17-N17-1)</f>
        <v>77.702761835156082</v>
      </c>
      <c r="O19" s="17">
        <f>O13</f>
        <v>0.1</v>
      </c>
      <c r="P19" s="38" t="s">
        <v>3</v>
      </c>
    </row>
    <row r="20" spans="2:16" ht="13.5" thickBot="1" x14ac:dyDescent="0.25">
      <c r="B20" s="9" t="s">
        <v>156</v>
      </c>
      <c r="C20" s="8" t="s">
        <v>4</v>
      </c>
      <c r="D20" s="20">
        <f>SUM(D19:N19)</f>
        <v>130.38667250106869</v>
      </c>
      <c r="E20" s="21"/>
      <c r="F20" s="21"/>
      <c r="G20" s="21"/>
      <c r="H20" s="21"/>
      <c r="I20" s="21"/>
      <c r="J20" s="21"/>
      <c r="K20" s="21"/>
      <c r="L20" s="21"/>
      <c r="M20" s="21"/>
      <c r="N20" s="21"/>
      <c r="O20" s="18">
        <v>20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0.4</v>
      </c>
      <c r="E23" s="41">
        <f>D8</f>
        <v>161.1720039739327</v>
      </c>
      <c r="F23" s="22">
        <f>E23*D23</f>
        <v>64.46880158957309</v>
      </c>
      <c r="P23" s="38"/>
    </row>
    <row r="24" spans="2:16" x14ac:dyDescent="0.2">
      <c r="B24" s="9"/>
      <c r="C24" s="9" t="s">
        <v>15</v>
      </c>
      <c r="D24" s="44">
        <v>0.3</v>
      </c>
      <c r="E24" s="41">
        <f>D14</f>
        <v>267.03644443098977</v>
      </c>
      <c r="F24" s="22">
        <f>E24*D24</f>
        <v>80.110933329296927</v>
      </c>
      <c r="P24" s="38"/>
    </row>
    <row r="25" spans="2:16" ht="13.5" thickBot="1" x14ac:dyDescent="0.25">
      <c r="B25" s="9"/>
      <c r="C25" s="10" t="s">
        <v>29</v>
      </c>
      <c r="D25" s="44">
        <v>0.3</v>
      </c>
      <c r="E25" s="23">
        <f>D20</f>
        <v>130.38667250106869</v>
      </c>
      <c r="F25" s="24">
        <f>E25*D25</f>
        <v>39.116001750320606</v>
      </c>
      <c r="P25" s="38"/>
    </row>
    <row r="26" spans="2:16" ht="13.5" thickBot="1" x14ac:dyDescent="0.25">
      <c r="B26" s="9"/>
      <c r="C26" s="36" t="s">
        <v>167</v>
      </c>
      <c r="D26" s="36">
        <f>C3</f>
        <v>305.94</v>
      </c>
      <c r="E26" s="15" t="s">
        <v>11</v>
      </c>
      <c r="F26" s="16">
        <f>SUM(F23:F25)</f>
        <v>183.69573666919064</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7" priority="1" operator="containsText" text="overvalued">
      <formula>NOT(ISERROR(SEARCH("overvalued",D3)))</formula>
    </cfRule>
    <cfRule type="containsText" dxfId="16" priority="2" operator="containsText" text="undervalued">
      <formula>NOT(ISERROR(SEARCH("undervalued",D3)))</formula>
    </cfRule>
  </conditionalFormatting>
  <hyperlinks>
    <hyperlink ref="C30" r:id="rId1" xr:uid="{30D32DEC-57F1-C148-957B-4DC7401200A1}"/>
    <hyperlink ref="B4" location="'COMPARATIVE TABLE'!A1" display="'COMPARATIVE TABLE'!A1" xr:uid="{0440DFD5-6ACE-E34D-9828-EDAE3980FF78}"/>
  </hyperlinks>
  <pageMargins left="0.7" right="0.7" top="0.78740157499999996" bottom="0.78740157499999996" header="0.3" footer="0.3"/>
  <pageSetup paperSize="9" orientation="portrait" r:id="rId2"/>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F750-5AA5-B948-A7A2-1B43F30F4C33}">
  <dimension ref="B1:S30"/>
  <sheetViews>
    <sheetView showGridLines="0" zoomScaleNormal="100"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32</v>
      </c>
      <c r="C2" s="31" t="s">
        <v>36</v>
      </c>
      <c r="D2" s="32"/>
      <c r="E2" s="33"/>
      <c r="F2" s="33"/>
      <c r="G2" s="33"/>
      <c r="H2" s="33"/>
      <c r="I2" s="33"/>
      <c r="J2" s="33"/>
      <c r="K2" s="33"/>
      <c r="L2" s="33"/>
      <c r="M2" s="33"/>
      <c r="N2" s="33"/>
      <c r="O2" s="33"/>
      <c r="P2" s="34"/>
      <c r="S2" s="3" t="s">
        <v>7</v>
      </c>
    </row>
    <row r="3" spans="2:19" ht="13.5" thickBot="1" x14ac:dyDescent="0.25">
      <c r="B3" s="35" t="s">
        <v>166</v>
      </c>
      <c r="C3" s="36">
        <f>'MKT CAP - Price'!H26</f>
        <v>73.599999999999994</v>
      </c>
      <c r="D3" s="37"/>
      <c r="F3" s="11" t="s">
        <v>189</v>
      </c>
      <c r="G3" s="12"/>
      <c r="H3" s="12"/>
      <c r="I3" s="46">
        <v>1</v>
      </c>
      <c r="P3" s="38"/>
    </row>
    <row r="4" spans="2:19" ht="26.25" thickBot="1" x14ac:dyDescent="0.25">
      <c r="B4" s="39" t="s">
        <v>85</v>
      </c>
      <c r="N4" s="40" t="s">
        <v>5</v>
      </c>
      <c r="O4" s="4" t="s">
        <v>0</v>
      </c>
      <c r="P4" s="38"/>
    </row>
    <row r="5" spans="2:19" x14ac:dyDescent="0.2">
      <c r="B5" s="9" t="s">
        <v>8</v>
      </c>
      <c r="C5" s="5" t="s">
        <v>192</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0.04</v>
      </c>
      <c r="P5" s="38" t="s">
        <v>1</v>
      </c>
      <c r="R5" s="1"/>
    </row>
    <row r="6" spans="2:19" x14ac:dyDescent="0.2">
      <c r="B6" s="9" t="s">
        <v>19</v>
      </c>
      <c r="C6" s="6">
        <v>3</v>
      </c>
      <c r="D6" s="41">
        <f>C6*(1+$O$5)</f>
        <v>3.12</v>
      </c>
      <c r="E6" s="41">
        <f>D6*(1+$O$5)</f>
        <v>3.2448000000000001</v>
      </c>
      <c r="F6" s="41">
        <f>E6*(1+$O$5)</f>
        <v>3.3745920000000003</v>
      </c>
      <c r="G6" s="41">
        <f>F6*(1+$O$5)</f>
        <v>3.5095756800000002</v>
      </c>
      <c r="H6" s="41">
        <f>G6*(1+$O$5)</f>
        <v>3.6499587072000002</v>
      </c>
      <c r="I6" s="41">
        <f>H6*(1+$O$6)</f>
        <v>3.7959570554880004</v>
      </c>
      <c r="J6" s="41">
        <f>I6*(1+$O$6)</f>
        <v>3.9477953377075208</v>
      </c>
      <c r="K6" s="41">
        <f>J6*(1+$O$6)</f>
        <v>4.1057071512158219</v>
      </c>
      <c r="L6" s="41">
        <f>K6*(1+$O$6)</f>
        <v>4.2699354372644551</v>
      </c>
      <c r="M6" s="41">
        <f>L6*(1+$O$6)</f>
        <v>4.4407328547550335</v>
      </c>
      <c r="N6" s="41">
        <f>L6*O8</f>
        <v>85.398708745289099</v>
      </c>
      <c r="O6" s="17">
        <v>0.04</v>
      </c>
      <c r="P6" s="27" t="s">
        <v>2</v>
      </c>
    </row>
    <row r="7" spans="2:19" x14ac:dyDescent="0.2">
      <c r="B7" s="9"/>
      <c r="C7" s="7" t="str">
        <f>CONCATENATE(R8,O7*100,S8)</f>
        <v>PV(10%)</v>
      </c>
      <c r="D7" s="41">
        <f>D6*(1+$O$7)^($D$5-D5-1)*$I$3</f>
        <v>2.8363636363636364</v>
      </c>
      <c r="E7" s="41">
        <f t="shared" ref="E7:M7" si="1">E6*(1+$O$7)^($D$5-E5-1)*$I$3</f>
        <v>2.6816528925619831</v>
      </c>
      <c r="F7" s="41">
        <f t="shared" si="1"/>
        <v>2.5353809166040566</v>
      </c>
      <c r="G7" s="41">
        <f t="shared" si="1"/>
        <v>2.3970874120620174</v>
      </c>
      <c r="H7" s="41">
        <f t="shared" si="1"/>
        <v>2.2663371895859066</v>
      </c>
      <c r="I7" s="41">
        <f t="shared" si="1"/>
        <v>2.1427187974266757</v>
      </c>
      <c r="J7" s="41">
        <f t="shared" si="1"/>
        <v>2.0258432266579476</v>
      </c>
      <c r="K7" s="41">
        <f t="shared" si="1"/>
        <v>1.9153426870220598</v>
      </c>
      <c r="L7" s="41">
        <f t="shared" si="1"/>
        <v>1.8108694495481292</v>
      </c>
      <c r="M7" s="41">
        <f t="shared" si="1"/>
        <v>1.7120947523000494</v>
      </c>
      <c r="N7" s="41">
        <f t="shared" ref="N7" si="2">N6*(1+$O$7)^($D$5-N5-1)</f>
        <v>32.924899082693258</v>
      </c>
      <c r="O7" s="17">
        <v>0.1</v>
      </c>
      <c r="P7" s="38" t="s">
        <v>3</v>
      </c>
    </row>
    <row r="8" spans="2:19" ht="13.5" thickBot="1" x14ac:dyDescent="0.25">
      <c r="B8" s="9"/>
      <c r="C8" s="8" t="s">
        <v>26</v>
      </c>
      <c r="D8" s="20">
        <f>SUM(D7:N7)</f>
        <v>55.248590042825725</v>
      </c>
      <c r="E8" s="21"/>
      <c r="F8" s="21"/>
      <c r="G8" s="21"/>
      <c r="H8" s="21"/>
      <c r="I8" s="21"/>
      <c r="J8" s="21"/>
      <c r="K8" s="21"/>
      <c r="L8" s="21"/>
      <c r="M8" s="21"/>
      <c r="N8" s="21"/>
      <c r="O8" s="18">
        <v>20</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 per share CHF</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0.06</v>
      </c>
      <c r="P11" s="38" t="s">
        <v>1</v>
      </c>
    </row>
    <row r="12" spans="2:19" x14ac:dyDescent="0.2">
      <c r="B12" s="9" t="s">
        <v>18</v>
      </c>
      <c r="C12" s="6">
        <f>C6</f>
        <v>3</v>
      </c>
      <c r="D12" s="41">
        <f>C12*(1+$O$11)</f>
        <v>3.18</v>
      </c>
      <c r="E12" s="41">
        <f>D12*(1+$O$11)</f>
        <v>3.3708000000000005</v>
      </c>
      <c r="F12" s="41">
        <f>E12*(1+$O$11)</f>
        <v>3.5730480000000009</v>
      </c>
      <c r="G12" s="41">
        <f>F12*(1+$O$11)</f>
        <v>3.7874308800000009</v>
      </c>
      <c r="H12" s="41">
        <f>G12*(1+$O$11)</f>
        <v>4.0146767328000008</v>
      </c>
      <c r="I12" s="41">
        <f>H12*(1+$O$12)</f>
        <v>4.2555573367680015</v>
      </c>
      <c r="J12" s="41">
        <f>I12*(1+$O$12)</f>
        <v>4.5108907769740823</v>
      </c>
      <c r="K12" s="41">
        <f>J12*(1+$O$12)</f>
        <v>4.7815442235925278</v>
      </c>
      <c r="L12" s="41">
        <f>K12*(1+$O$12)</f>
        <v>5.0684368770080797</v>
      </c>
      <c r="M12" s="41">
        <f>L12*(1+$O$12)</f>
        <v>5.3725430896285644</v>
      </c>
      <c r="N12" s="41">
        <f>L12*O14</f>
        <v>126.71092192520199</v>
      </c>
      <c r="O12" s="17">
        <v>0.06</v>
      </c>
      <c r="P12" s="27" t="s">
        <v>2</v>
      </c>
    </row>
    <row r="13" spans="2:19" x14ac:dyDescent="0.2">
      <c r="B13" s="9">
        <f>B7</f>
        <v>0</v>
      </c>
      <c r="C13" s="7" t="str">
        <f>C7</f>
        <v>PV(10%)</v>
      </c>
      <c r="D13" s="41">
        <f>D12*(1+$O$13)^($D$11-D11-1)*$I$3</f>
        <v>2.8909090909090911</v>
      </c>
      <c r="E13" s="41">
        <f t="shared" ref="E13:M13" si="4">E12*(1+$O$13)^($D$11-E11-1)</f>
        <v>2.7857851239669422</v>
      </c>
      <c r="F13" s="41">
        <f t="shared" si="4"/>
        <v>2.6844838467317804</v>
      </c>
      <c r="G13" s="41">
        <f t="shared" si="4"/>
        <v>2.5868662523051702</v>
      </c>
      <c r="H13" s="41">
        <f t="shared" si="4"/>
        <v>2.492798388584982</v>
      </c>
      <c r="I13" s="41">
        <f t="shared" si="4"/>
        <v>2.4021511744546196</v>
      </c>
      <c r="J13" s="41">
        <f t="shared" si="4"/>
        <v>2.3148002226562694</v>
      </c>
      <c r="K13" s="41">
        <f t="shared" si="4"/>
        <v>2.2306256691051325</v>
      </c>
      <c r="L13" s="41">
        <f t="shared" si="4"/>
        <v>2.1495120084104005</v>
      </c>
      <c r="M13" s="41">
        <f t="shared" si="4"/>
        <v>2.071347935377295</v>
      </c>
      <c r="N13" s="41">
        <f>N12*(1+$O$7)^($D$5-N11-1)</f>
        <v>48.852545645690917</v>
      </c>
      <c r="O13" s="17">
        <f>O7</f>
        <v>0.1</v>
      </c>
      <c r="P13" s="38" t="s">
        <v>3</v>
      </c>
    </row>
    <row r="14" spans="2:19" ht="13.5" thickBot="1" x14ac:dyDescent="0.25">
      <c r="B14" s="9"/>
      <c r="C14" s="8" t="s">
        <v>4</v>
      </c>
      <c r="D14" s="20">
        <f>SUM(D13:N13)</f>
        <v>73.461825358192598</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 per share CHF</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0.02</v>
      </c>
      <c r="P17" s="38" t="s">
        <v>1</v>
      </c>
    </row>
    <row r="18" spans="2:16" x14ac:dyDescent="0.2">
      <c r="B18" s="9" t="s">
        <v>17</v>
      </c>
      <c r="C18" s="6">
        <f>C12</f>
        <v>3</v>
      </c>
      <c r="D18" s="41">
        <f>C18*(1+$O$17)</f>
        <v>3.06</v>
      </c>
      <c r="E18" s="41">
        <f>D18*(1+$O$17)</f>
        <v>3.1212</v>
      </c>
      <c r="F18" s="41">
        <f>E18*(1+$O$17)</f>
        <v>3.183624</v>
      </c>
      <c r="G18" s="41">
        <f>F18*(1+$O$17)</f>
        <v>3.2472964800000002</v>
      </c>
      <c r="H18" s="41">
        <f>G18*(1+$O$17)</f>
        <v>3.3122424096</v>
      </c>
      <c r="I18" s="41">
        <f>H18*(1+$O$18)</f>
        <v>3.378487257792</v>
      </c>
      <c r="J18" s="41">
        <f>I18*(1+$O$18)</f>
        <v>3.4460570029478399</v>
      </c>
      <c r="K18" s="41">
        <f>J18*(1+$O$18)</f>
        <v>3.5149781430067968</v>
      </c>
      <c r="L18" s="41">
        <f>K18*(1+$O$18)</f>
        <v>3.585277705866933</v>
      </c>
      <c r="M18" s="41">
        <f>L18*(1+$O$18)</f>
        <v>3.6569832599842718</v>
      </c>
      <c r="N18" s="41">
        <f>L18*O20</f>
        <v>53.779165588003991</v>
      </c>
      <c r="O18" s="17">
        <v>0.02</v>
      </c>
      <c r="P18" s="27" t="s">
        <v>2</v>
      </c>
    </row>
    <row r="19" spans="2:16" x14ac:dyDescent="0.2">
      <c r="B19" s="9" t="s">
        <v>155</v>
      </c>
      <c r="C19" s="7" t="str">
        <f>C13</f>
        <v>PV(10%)</v>
      </c>
      <c r="D19" s="41">
        <f>D18*(1+$O$19)^($D$17-D17-1)*$I$3</f>
        <v>2.7818181818181817</v>
      </c>
      <c r="E19" s="41">
        <f t="shared" ref="E19:M19" si="6">E18*(1+$O$19)^($D$17-E17-1)*$I$3</f>
        <v>2.5795041322314045</v>
      </c>
      <c r="F19" s="41">
        <f t="shared" si="6"/>
        <v>2.3919038317054837</v>
      </c>
      <c r="G19" s="41">
        <f t="shared" si="6"/>
        <v>2.2179471893996308</v>
      </c>
      <c r="H19" s="41">
        <f t="shared" si="6"/>
        <v>2.0566419392614752</v>
      </c>
      <c r="I19" s="41">
        <f t="shared" si="6"/>
        <v>1.907067980042459</v>
      </c>
      <c r="J19" s="41">
        <f t="shared" si="6"/>
        <v>1.7683721269484616</v>
      </c>
      <c r="K19" s="41">
        <f t="shared" si="6"/>
        <v>1.6397632449885735</v>
      </c>
      <c r="L19" s="41">
        <f t="shared" si="6"/>
        <v>1.5205077362621318</v>
      </c>
      <c r="M19" s="41">
        <f t="shared" si="6"/>
        <v>1.4099253554430677</v>
      </c>
      <c r="N19" s="41">
        <f t="shared" ref="N19" si="7">N18*(1+$O$19)^($D$17-N17-1)</f>
        <v>20.734196403574522</v>
      </c>
      <c r="O19" s="17">
        <f>O13</f>
        <v>0.1</v>
      </c>
      <c r="P19" s="38" t="s">
        <v>3</v>
      </c>
    </row>
    <row r="20" spans="2:16" ht="13.5" thickBot="1" x14ac:dyDescent="0.25">
      <c r="B20" s="9" t="s">
        <v>156</v>
      </c>
      <c r="C20" s="8" t="s">
        <v>4</v>
      </c>
      <c r="D20" s="20">
        <f>SUM(D19:N19)</f>
        <v>41.007648121675388</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55.248590042825725</v>
      </c>
      <c r="F23" s="22">
        <f>E23*D23</f>
        <v>33.149154025695431</v>
      </c>
      <c r="P23" s="38"/>
    </row>
    <row r="24" spans="2:16" x14ac:dyDescent="0.2">
      <c r="B24" s="9"/>
      <c r="C24" s="9" t="s">
        <v>15</v>
      </c>
      <c r="D24" s="44">
        <v>0.3</v>
      </c>
      <c r="E24" s="41">
        <f>D14</f>
        <v>73.461825358192598</v>
      </c>
      <c r="F24" s="22">
        <f>E24*D24</f>
        <v>22.03854760745778</v>
      </c>
      <c r="P24" s="38"/>
    </row>
    <row r="25" spans="2:16" ht="13.5" thickBot="1" x14ac:dyDescent="0.25">
      <c r="B25" s="9"/>
      <c r="C25" s="10" t="s">
        <v>29</v>
      </c>
      <c r="D25" s="44">
        <v>0.1</v>
      </c>
      <c r="E25" s="23">
        <f>D20</f>
        <v>41.007648121675388</v>
      </c>
      <c r="F25" s="24">
        <f>E25*D25</f>
        <v>4.1007648121675393</v>
      </c>
      <c r="P25" s="38"/>
    </row>
    <row r="26" spans="2:16" ht="13.5" thickBot="1" x14ac:dyDescent="0.25">
      <c r="B26" s="9"/>
      <c r="C26" s="36" t="s">
        <v>167</v>
      </c>
      <c r="D26" s="36">
        <f>C3</f>
        <v>73.599999999999994</v>
      </c>
      <c r="E26" s="15" t="s">
        <v>11</v>
      </c>
      <c r="F26" s="16">
        <f>SUM(F23:F25)</f>
        <v>59.288466445320751</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5" priority="1" operator="containsText" text="overvalued">
      <formula>NOT(ISERROR(SEARCH("overvalued",D3)))</formula>
    </cfRule>
    <cfRule type="containsText" dxfId="14" priority="2" operator="containsText" text="undervalued">
      <formula>NOT(ISERROR(SEARCH("undervalued",D3)))</formula>
    </cfRule>
  </conditionalFormatting>
  <hyperlinks>
    <hyperlink ref="C30" r:id="rId1" xr:uid="{09B19B6A-2F21-044F-8890-2D96296B2C1B}"/>
    <hyperlink ref="B4" location="'COMPARATIVE TABLE'!A1" display="'COMPARATIVE TABLE'!A1" xr:uid="{8C41963E-6D40-C049-A1DF-EA256D95CD83}"/>
  </hyperlinks>
  <pageMargins left="0.7" right="0.7" top="0.78740157499999996" bottom="0.78740157499999996" header="0.3" footer="0.3"/>
  <pageSetup paperSize="9" orientation="portrait" r:id="rId2"/>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B447-2B3A-4A4B-8564-27F715165170}">
  <dimension ref="B1:S30"/>
  <sheetViews>
    <sheetView showGridLines="0" zoomScale="141" zoomScaleNormal="141" workbookViewId="0">
      <selection activeCell="D26" sqref="D26:F26"/>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122</v>
      </c>
      <c r="C2" s="31" t="s">
        <v>36</v>
      </c>
      <c r="D2" s="32"/>
      <c r="E2" s="33"/>
      <c r="F2" s="33"/>
      <c r="G2" s="33"/>
      <c r="H2" s="33"/>
      <c r="I2" s="33"/>
      <c r="J2" s="33"/>
      <c r="K2" s="33"/>
      <c r="L2" s="33"/>
      <c r="M2" s="33"/>
      <c r="N2" s="33"/>
      <c r="O2" s="33"/>
      <c r="P2" s="34"/>
      <c r="S2" s="3" t="s">
        <v>7</v>
      </c>
    </row>
    <row r="3" spans="2:19" ht="13.5" thickBot="1" x14ac:dyDescent="0.25">
      <c r="B3" s="35" t="s">
        <v>166</v>
      </c>
      <c r="C3" s="36">
        <f>'MKT CAP - Price'!C93</f>
        <v>74.25</v>
      </c>
      <c r="D3" s="37"/>
      <c r="F3" s="11" t="s">
        <v>189</v>
      </c>
      <c r="G3" s="12"/>
      <c r="H3" s="12"/>
      <c r="I3" s="46">
        <v>1</v>
      </c>
      <c r="P3" s="38"/>
    </row>
    <row r="4" spans="2:19" ht="26.25" thickBot="1" x14ac:dyDescent="0.25">
      <c r="B4" s="39" t="s">
        <v>85</v>
      </c>
      <c r="N4" s="40" t="s">
        <v>5</v>
      </c>
      <c r="O4" s="4" t="s">
        <v>0</v>
      </c>
      <c r="P4" s="38"/>
    </row>
    <row r="5" spans="2:19" x14ac:dyDescent="0.2">
      <c r="B5" s="9"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0.05</v>
      </c>
      <c r="P5" s="38" t="s">
        <v>1</v>
      </c>
      <c r="R5" s="1"/>
    </row>
    <row r="6" spans="2:19" x14ac:dyDescent="0.2">
      <c r="B6" s="9" t="s">
        <v>19</v>
      </c>
      <c r="C6" s="6">
        <v>1.6</v>
      </c>
      <c r="D6" s="41">
        <f>C6*(1+$O$5)</f>
        <v>1.6800000000000002</v>
      </c>
      <c r="E6" s="41">
        <f>D6*(1+$O$5)</f>
        <v>1.7640000000000002</v>
      </c>
      <c r="F6" s="41">
        <f>E6*(1+$O$5)</f>
        <v>1.8522000000000003</v>
      </c>
      <c r="G6" s="41">
        <f>F6*(1+$O$5)</f>
        <v>1.9448100000000004</v>
      </c>
      <c r="H6" s="41">
        <f>G6*(1+$O$5)</f>
        <v>2.0420505000000007</v>
      </c>
      <c r="I6" s="41">
        <f>H6*(1+$O$6)</f>
        <v>2.1441530250000009</v>
      </c>
      <c r="J6" s="41">
        <f>I6*(1+$O$6)</f>
        <v>2.2513606762500009</v>
      </c>
      <c r="K6" s="41">
        <f>J6*(1+$O$6)</f>
        <v>2.3639287100625013</v>
      </c>
      <c r="L6" s="41">
        <f>K6*(1+$O$6)</f>
        <v>2.4821251455656266</v>
      </c>
      <c r="M6" s="41">
        <f>L6*(1+$O$6)</f>
        <v>2.6062314028439082</v>
      </c>
      <c r="N6" s="41">
        <f>L6*O8</f>
        <v>81.910129803665683</v>
      </c>
      <c r="O6" s="17">
        <v>0.05</v>
      </c>
      <c r="P6" s="27" t="s">
        <v>2</v>
      </c>
    </row>
    <row r="7" spans="2:19" x14ac:dyDescent="0.2">
      <c r="B7" s="9"/>
      <c r="C7" s="7" t="str">
        <f>CONCATENATE(R8,O7*100,S8)</f>
        <v>PV(10%)</v>
      </c>
      <c r="D7" s="41">
        <f>D6*(1+$O$7)^($D$5-D5-1)*$I$3</f>
        <v>1.5272727272727273</v>
      </c>
      <c r="E7" s="41">
        <f t="shared" ref="E7:M7" si="1">E6*(1+$O$7)^($D$5-E5-1)*$I$3</f>
        <v>1.4578512396694214</v>
      </c>
      <c r="F7" s="41">
        <f t="shared" si="1"/>
        <v>1.3915852742299022</v>
      </c>
      <c r="G7" s="41">
        <f t="shared" si="1"/>
        <v>1.328331398128543</v>
      </c>
      <c r="H7" s="41">
        <f t="shared" si="1"/>
        <v>1.2679526982136093</v>
      </c>
      <c r="I7" s="41">
        <f t="shared" si="1"/>
        <v>1.2103184846584454</v>
      </c>
      <c r="J7" s="41">
        <f t="shared" si="1"/>
        <v>1.1553040080830612</v>
      </c>
      <c r="K7" s="41">
        <f t="shared" si="1"/>
        <v>1.1027901895338312</v>
      </c>
      <c r="L7" s="41">
        <f t="shared" si="1"/>
        <v>1.0526633627368391</v>
      </c>
      <c r="M7" s="41">
        <f t="shared" si="1"/>
        <v>1.0048150280669828</v>
      </c>
      <c r="N7" s="41">
        <f t="shared" ref="N7" si="2">N6*(1+$O$7)^($D$5-N5-1)</f>
        <v>31.579900882105171</v>
      </c>
      <c r="O7" s="17">
        <v>0.1</v>
      </c>
      <c r="P7" s="38" t="s">
        <v>3</v>
      </c>
    </row>
    <row r="8" spans="2:19" ht="13.5" thickBot="1" x14ac:dyDescent="0.25">
      <c r="B8" s="9"/>
      <c r="C8" s="8" t="s">
        <v>26</v>
      </c>
      <c r="D8" s="20">
        <f>SUM(D7:N7)</f>
        <v>44.078785292698534</v>
      </c>
      <c r="E8" s="21"/>
      <c r="F8" s="21"/>
      <c r="G8" s="21"/>
      <c r="H8" s="21"/>
      <c r="I8" s="21"/>
      <c r="J8" s="21"/>
      <c r="K8" s="21"/>
      <c r="L8" s="21"/>
      <c r="M8" s="21"/>
      <c r="N8" s="21"/>
      <c r="O8" s="18">
        <v>33</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71"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0.08</v>
      </c>
      <c r="P11" s="38" t="s">
        <v>1</v>
      </c>
    </row>
    <row r="12" spans="2:19" x14ac:dyDescent="0.2">
      <c r="B12" s="71" t="s">
        <v>18</v>
      </c>
      <c r="C12" s="6">
        <f>C6</f>
        <v>1.6</v>
      </c>
      <c r="D12" s="41">
        <f>C12*(1+$O$11)</f>
        <v>1.7280000000000002</v>
      </c>
      <c r="E12" s="41">
        <f>D12*(1+$O$11)</f>
        <v>1.8662400000000003</v>
      </c>
      <c r="F12" s="41">
        <f>E12*(1+$O$11)</f>
        <v>2.0155392000000005</v>
      </c>
      <c r="G12" s="41">
        <f>F12*(1+$O$11)</f>
        <v>2.1767823360000009</v>
      </c>
      <c r="H12" s="41">
        <f>G12*(1+$O$11)</f>
        <v>2.3509249228800013</v>
      </c>
      <c r="I12" s="41">
        <f>H12*(1+$O$12)</f>
        <v>2.5389989167104017</v>
      </c>
      <c r="J12" s="41">
        <f>I12*(1+$O$12)</f>
        <v>2.7421188300472341</v>
      </c>
      <c r="K12" s="41">
        <f>J12*(1+$O$12)</f>
        <v>2.9614883364510129</v>
      </c>
      <c r="L12" s="41">
        <f>K12*(1+$O$12)</f>
        <v>3.1984074033670944</v>
      </c>
      <c r="M12" s="41">
        <f>L12*(1+$O$12)</f>
        <v>3.4542799956364623</v>
      </c>
      <c r="N12" s="41">
        <f>L12*O14</f>
        <v>127.93629613468377</v>
      </c>
      <c r="O12" s="17">
        <v>0.08</v>
      </c>
      <c r="P12" s="27" t="s">
        <v>2</v>
      </c>
    </row>
    <row r="13" spans="2:19" x14ac:dyDescent="0.2">
      <c r="B13" s="9">
        <f>B7</f>
        <v>0</v>
      </c>
      <c r="C13" s="7" t="str">
        <f>C7</f>
        <v>PV(10%)</v>
      </c>
      <c r="D13" s="41">
        <f>D12*(1+$O$13)^($D$11-D11-1)</f>
        <v>1.570909090909091</v>
      </c>
      <c r="E13" s="41">
        <f t="shared" ref="E13:M13" si="4">E12*(1+$O$13)^($D$11-E11-1)</f>
        <v>1.5423471074380166</v>
      </c>
      <c r="F13" s="41">
        <f t="shared" si="4"/>
        <v>1.5143044327573252</v>
      </c>
      <c r="G13" s="41">
        <f t="shared" si="4"/>
        <v>1.4867716248890106</v>
      </c>
      <c r="H13" s="41">
        <f t="shared" si="4"/>
        <v>1.4597394135273922</v>
      </c>
      <c r="I13" s="41">
        <f t="shared" si="4"/>
        <v>1.4331986969178034</v>
      </c>
      <c r="J13" s="41">
        <f t="shared" si="4"/>
        <v>1.4071405387920251</v>
      </c>
      <c r="K13" s="41">
        <f t="shared" si="4"/>
        <v>1.3815561653594428</v>
      </c>
      <c r="L13" s="41">
        <f t="shared" si="4"/>
        <v>1.3564369623529076</v>
      </c>
      <c r="M13" s="41">
        <f t="shared" si="4"/>
        <v>1.3317744721283094</v>
      </c>
      <c r="N13" s="41">
        <f>N12*(1+$O$7)^($D$5-N11-1)</f>
        <v>49.324980449196637</v>
      </c>
      <c r="O13" s="17">
        <f>O7</f>
        <v>0.1</v>
      </c>
      <c r="P13" s="38" t="s">
        <v>3</v>
      </c>
    </row>
    <row r="14" spans="2:19" ht="13.5" thickBot="1" x14ac:dyDescent="0.25">
      <c r="B14" s="9"/>
      <c r="C14" s="8" t="s">
        <v>4</v>
      </c>
      <c r="D14" s="20">
        <f>SUM(D13:N13)</f>
        <v>63.809158954267957</v>
      </c>
      <c r="E14" s="21"/>
      <c r="F14" s="21"/>
      <c r="G14" s="21"/>
      <c r="H14" s="21"/>
      <c r="I14" s="21"/>
      <c r="J14" s="21"/>
      <c r="K14" s="21"/>
      <c r="L14" s="21"/>
      <c r="M14" s="21"/>
      <c r="N14" s="21"/>
      <c r="O14" s="18">
        <v>40</v>
      </c>
      <c r="P14" s="38" t="s">
        <v>20</v>
      </c>
    </row>
    <row r="15" spans="2:19" x14ac:dyDescent="0.2">
      <c r="B15" s="9"/>
      <c r="P15" s="38"/>
    </row>
    <row r="16" spans="2:19" ht="26.25" thickBot="1" x14ac:dyDescent="0.25">
      <c r="B16" s="71"/>
      <c r="N16" s="40" t="s">
        <v>5</v>
      </c>
      <c r="O16" s="4" t="s">
        <v>0</v>
      </c>
      <c r="P16" s="38"/>
    </row>
    <row r="17" spans="2:16" x14ac:dyDescent="0.2">
      <c r="B17" s="71"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0.04</v>
      </c>
      <c r="P17" s="38" t="s">
        <v>1</v>
      </c>
    </row>
    <row r="18" spans="2:16" x14ac:dyDescent="0.2">
      <c r="B18" s="71" t="s">
        <v>17</v>
      </c>
      <c r="C18" s="6">
        <f>C12</f>
        <v>1.6</v>
      </c>
      <c r="D18" s="41">
        <f>C18*(1+$O$17)</f>
        <v>1.6640000000000001</v>
      </c>
      <c r="E18" s="41">
        <f>D18*(1+$O$17)</f>
        <v>1.7305600000000003</v>
      </c>
      <c r="F18" s="41">
        <f>E18*(1+$O$17)</f>
        <v>1.7997824000000004</v>
      </c>
      <c r="G18" s="41">
        <f>F18*(1+$O$17)</f>
        <v>1.8717736960000004</v>
      </c>
      <c r="H18" s="41">
        <f>G18*(1+$O$17)</f>
        <v>1.9466446438400005</v>
      </c>
      <c r="I18" s="41">
        <f>H18*(1+$O$18)</f>
        <v>2.0245104295936005</v>
      </c>
      <c r="J18" s="41">
        <f>I18*(1+$O$18)</f>
        <v>2.1054908467773448</v>
      </c>
      <c r="K18" s="41">
        <f>J18*(1+$O$18)</f>
        <v>2.1897104806484387</v>
      </c>
      <c r="L18" s="41">
        <f>K18*(1+$O$18)</f>
        <v>2.2772988998743764</v>
      </c>
      <c r="M18" s="41">
        <f>L18*(1+$O$18)</f>
        <v>2.3683908558693516</v>
      </c>
      <c r="N18" s="41">
        <f>L18*O20</f>
        <v>56.932472496859411</v>
      </c>
      <c r="O18" s="17">
        <v>0.04</v>
      </c>
      <c r="P18" s="27" t="s">
        <v>2</v>
      </c>
    </row>
    <row r="19" spans="2:16" x14ac:dyDescent="0.2">
      <c r="B19" s="71" t="s">
        <v>155</v>
      </c>
      <c r="C19" s="7" t="str">
        <f>C13</f>
        <v>PV(10%)</v>
      </c>
      <c r="D19" s="41">
        <f>D18*(1+$O$19)^($D$17-D17-1)*$I$3</f>
        <v>1.5127272727272729</v>
      </c>
      <c r="E19" s="41">
        <f t="shared" ref="E19:M19" si="6">E18*(1+$O$19)^($D$17-E17-1)*$I$3</f>
        <v>1.430214876033058</v>
      </c>
      <c r="F19" s="41">
        <f t="shared" si="6"/>
        <v>1.3522031555221636</v>
      </c>
      <c r="G19" s="41">
        <f t="shared" si="6"/>
        <v>1.2784466197664093</v>
      </c>
      <c r="H19" s="41">
        <f t="shared" si="6"/>
        <v>1.2087131677791505</v>
      </c>
      <c r="I19" s="41">
        <f t="shared" si="6"/>
        <v>1.1427833586275604</v>
      </c>
      <c r="J19" s="41">
        <f t="shared" si="6"/>
        <v>1.080449720884239</v>
      </c>
      <c r="K19" s="41">
        <f t="shared" si="6"/>
        <v>1.0215160997450987</v>
      </c>
      <c r="L19" s="41">
        <f t="shared" si="6"/>
        <v>0.96579703975900244</v>
      </c>
      <c r="M19" s="41">
        <f t="shared" si="6"/>
        <v>0.91311720122669315</v>
      </c>
      <c r="N19" s="41">
        <f t="shared" ref="N19" si="7">N18*(1+$O$19)^($D$17-N17-1)</f>
        <v>21.949932721795509</v>
      </c>
      <c r="O19" s="17">
        <f>O13</f>
        <v>0.1</v>
      </c>
      <c r="P19" s="38" t="s">
        <v>3</v>
      </c>
    </row>
    <row r="20" spans="2:16" ht="13.5" thickBot="1" x14ac:dyDescent="0.25">
      <c r="B20" s="71" t="s">
        <v>156</v>
      </c>
      <c r="C20" s="8" t="s">
        <v>4</v>
      </c>
      <c r="D20" s="20">
        <f>SUM(D19:N19)</f>
        <v>33.855901233866156</v>
      </c>
      <c r="E20" s="21"/>
      <c r="F20" s="21"/>
      <c r="G20" s="21"/>
      <c r="H20" s="21"/>
      <c r="I20" s="21"/>
      <c r="J20" s="21"/>
      <c r="K20" s="21"/>
      <c r="L20" s="21"/>
      <c r="M20" s="21"/>
      <c r="N20" s="21"/>
      <c r="O20" s="18">
        <v>25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44.078785292698534</v>
      </c>
      <c r="F23" s="22">
        <f>E23*D23</f>
        <v>26.447271175619118</v>
      </c>
      <c r="P23" s="38"/>
    </row>
    <row r="24" spans="2:16" x14ac:dyDescent="0.2">
      <c r="B24" s="9"/>
      <c r="C24" s="9" t="s">
        <v>15</v>
      </c>
      <c r="D24" s="44">
        <v>0.2</v>
      </c>
      <c r="E24" s="41">
        <f>D14</f>
        <v>63.809158954267957</v>
      </c>
      <c r="F24" s="22">
        <f>E24*D24</f>
        <v>12.761831790853591</v>
      </c>
      <c r="P24" s="38"/>
    </row>
    <row r="25" spans="2:16" ht="13.5" thickBot="1" x14ac:dyDescent="0.25">
      <c r="B25" s="9"/>
      <c r="C25" s="10" t="s">
        <v>29</v>
      </c>
      <c r="D25" s="44">
        <v>0.2</v>
      </c>
      <c r="E25" s="23">
        <f>D20</f>
        <v>33.855901233866156</v>
      </c>
      <c r="F25" s="24">
        <f>E25*D25</f>
        <v>6.7711802467732314</v>
      </c>
      <c r="P25" s="38"/>
    </row>
    <row r="26" spans="2:16" ht="13.5" thickBot="1" x14ac:dyDescent="0.25">
      <c r="B26" s="9"/>
      <c r="C26" s="36" t="s">
        <v>167</v>
      </c>
      <c r="D26" s="36">
        <f>C3</f>
        <v>74.25</v>
      </c>
      <c r="E26" s="15" t="s">
        <v>11</v>
      </c>
      <c r="F26" s="16">
        <f>SUM(F23:F25)</f>
        <v>45.980283213245947</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3" priority="1" operator="containsText" text="overvalued">
      <formula>NOT(ISERROR(SEARCH("overvalued",D3)))</formula>
    </cfRule>
    <cfRule type="containsText" dxfId="12" priority="2" operator="containsText" text="undervalued">
      <formula>NOT(ISERROR(SEARCH("undervalued",D3)))</formula>
    </cfRule>
  </conditionalFormatting>
  <hyperlinks>
    <hyperlink ref="C30" r:id="rId1" xr:uid="{D22BF8B0-F365-B541-9764-CDF09EC91E89}"/>
    <hyperlink ref="B4" location="'COMPARATIVE TABLE'!A1" display="'COMPARATIVE TABLE'!A1" xr:uid="{DB49D345-0708-D542-8BE9-07540BCEEC5A}"/>
  </hyperlinks>
  <pageMargins left="0.7" right="0.7" top="0.78740157499999996" bottom="0.78740157499999996" header="0.3" footer="0.3"/>
  <pageSetup paperSize="9" orientation="portrait" r:id="rId2"/>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F9BC-4B90-3F4E-AC2B-350C30366E86}">
  <dimension ref="B1:S30"/>
  <sheetViews>
    <sheetView showGridLines="0" zoomScale="142" zoomScaleNormal="142"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195</v>
      </c>
      <c r="C2" s="31" t="s">
        <v>36</v>
      </c>
      <c r="D2" s="32"/>
      <c r="E2" s="33"/>
      <c r="F2" s="33"/>
      <c r="G2" s="33"/>
      <c r="H2" s="33"/>
      <c r="I2" s="33"/>
      <c r="J2" s="33"/>
      <c r="K2" s="33"/>
      <c r="L2" s="33"/>
      <c r="M2" s="33"/>
      <c r="N2" s="33"/>
      <c r="O2" s="33"/>
      <c r="P2" s="34"/>
      <c r="S2" s="3" t="s">
        <v>7</v>
      </c>
    </row>
    <row r="3" spans="2:19" ht="13.5" thickBot="1" x14ac:dyDescent="0.25">
      <c r="B3" s="35" t="s">
        <v>166</v>
      </c>
      <c r="C3" s="36">
        <f>'MKT CAP - Price'!C94</f>
        <v>38.5</v>
      </c>
      <c r="D3" s="37"/>
      <c r="F3" s="11" t="s">
        <v>189</v>
      </c>
      <c r="G3" s="12"/>
      <c r="H3" s="12"/>
      <c r="I3" s="46">
        <v>1</v>
      </c>
      <c r="P3" s="38"/>
    </row>
    <row r="4" spans="2:19" ht="26.25" thickBot="1" x14ac:dyDescent="0.25">
      <c r="B4" s="39" t="s">
        <v>85</v>
      </c>
      <c r="N4" s="40" t="s">
        <v>5</v>
      </c>
      <c r="O4" s="4" t="s">
        <v>0</v>
      </c>
      <c r="P4" s="38"/>
    </row>
    <row r="5" spans="2:19" x14ac:dyDescent="0.2">
      <c r="B5" s="9" t="s">
        <v>8</v>
      </c>
      <c r="C5" s="5" t="s">
        <v>157</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70">
        <v>0.06</v>
      </c>
      <c r="P5" s="38" t="s">
        <v>1</v>
      </c>
      <c r="R5" s="1"/>
    </row>
    <row r="6" spans="2:19" x14ac:dyDescent="0.2">
      <c r="B6" s="9" t="s">
        <v>19</v>
      </c>
      <c r="C6" s="6">
        <v>1.84</v>
      </c>
      <c r="D6" s="41">
        <f>C6*(1+$O$5)</f>
        <v>1.9504000000000001</v>
      </c>
      <c r="E6" s="41">
        <f>D6*(1+$O$5)</f>
        <v>2.0674240000000004</v>
      </c>
      <c r="F6" s="41">
        <f>E6*(1+$O$5)</f>
        <v>2.1914694400000005</v>
      </c>
      <c r="G6" s="41">
        <f>F6*(1+$O$5)</f>
        <v>2.3229576064000006</v>
      </c>
      <c r="H6" s="41">
        <f>G6*(1+$O$5)</f>
        <v>2.4623350627840006</v>
      </c>
      <c r="I6" s="41">
        <f>H6*(1+$O$6)</f>
        <v>2.6100751665510407</v>
      </c>
      <c r="J6" s="41">
        <f>I6*(1+$O$6)</f>
        <v>2.7666796765441033</v>
      </c>
      <c r="K6" s="41">
        <f>J6*(1+$O$6)</f>
        <v>2.9326804571367497</v>
      </c>
      <c r="L6" s="41">
        <f>K6*(1+$O$6)</f>
        <v>3.1086412845649547</v>
      </c>
      <c r="M6" s="41">
        <f>L6*(1+$O$6)</f>
        <v>3.2951597616388519</v>
      </c>
      <c r="N6" s="41">
        <f>L6*O8</f>
        <v>52.846901837604229</v>
      </c>
      <c r="O6" s="70">
        <v>0.06</v>
      </c>
      <c r="P6" s="27" t="s">
        <v>2</v>
      </c>
    </row>
    <row r="7" spans="2:19" x14ac:dyDescent="0.2">
      <c r="B7" s="9"/>
      <c r="C7" s="7" t="str">
        <f>CONCATENATE(R8,O7*100,S8)</f>
        <v>PV(10%)</v>
      </c>
      <c r="D7" s="41">
        <f>D6*(1+$O$7)^($D$5-D5-1)*$I$3</f>
        <v>1.7730909090909091</v>
      </c>
      <c r="E7" s="41">
        <f t="shared" ref="E7:M7" si="1">E6*(1+$O$7)^($D$5-E5-1)*$I$3</f>
        <v>1.7086148760330579</v>
      </c>
      <c r="F7" s="41">
        <f t="shared" si="1"/>
        <v>1.6464834259954921</v>
      </c>
      <c r="G7" s="41">
        <f t="shared" si="1"/>
        <v>1.5866113014138379</v>
      </c>
      <c r="H7" s="41">
        <f t="shared" si="1"/>
        <v>1.528916344998789</v>
      </c>
      <c r="I7" s="41">
        <f t="shared" si="1"/>
        <v>1.473319386998833</v>
      </c>
      <c r="J7" s="41">
        <f t="shared" si="1"/>
        <v>1.4197441365625116</v>
      </c>
      <c r="K7" s="41">
        <f t="shared" si="1"/>
        <v>1.3681170770511477</v>
      </c>
      <c r="L7" s="41">
        <f t="shared" si="1"/>
        <v>1.3183673651583787</v>
      </c>
      <c r="M7" s="41">
        <f t="shared" si="1"/>
        <v>1.2704267336980739</v>
      </c>
      <c r="N7" s="41">
        <f t="shared" ref="N7" si="2">N6*(1+$O$7)^($D$5-N5-1)</f>
        <v>20.374768370629486</v>
      </c>
      <c r="O7" s="70">
        <v>0.1</v>
      </c>
      <c r="P7" s="38" t="s">
        <v>3</v>
      </c>
    </row>
    <row r="8" spans="2:19" ht="13.5" thickBot="1" x14ac:dyDescent="0.25">
      <c r="B8" s="9"/>
      <c r="C8" s="8" t="s">
        <v>26</v>
      </c>
      <c r="D8" s="20">
        <f>SUM(D7:N7)</f>
        <v>35.468459927630519</v>
      </c>
      <c r="E8" s="21"/>
      <c r="F8" s="21"/>
      <c r="G8" s="21"/>
      <c r="H8" s="21"/>
      <c r="I8" s="21"/>
      <c r="J8" s="21"/>
      <c r="K8" s="21"/>
      <c r="L8" s="21"/>
      <c r="M8" s="21"/>
      <c r="N8" s="21"/>
      <c r="O8" s="78">
        <v>17</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 per share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0.08</v>
      </c>
      <c r="P11" s="38" t="s">
        <v>1</v>
      </c>
    </row>
    <row r="12" spans="2:19" x14ac:dyDescent="0.2">
      <c r="B12" s="9" t="s">
        <v>18</v>
      </c>
      <c r="C12" s="6">
        <f>C6</f>
        <v>1.84</v>
      </c>
      <c r="D12" s="41">
        <f>C12*(1+$O$11)</f>
        <v>1.9872000000000003</v>
      </c>
      <c r="E12" s="41">
        <f>D12*(1+$O$11)</f>
        <v>2.1461760000000005</v>
      </c>
      <c r="F12" s="41">
        <f>E12*(1+$O$11)</f>
        <v>2.3178700800000009</v>
      </c>
      <c r="G12" s="41">
        <f>F12*(1+$O$11)</f>
        <v>2.503299686400001</v>
      </c>
      <c r="H12" s="41">
        <f>G12*(1+$O$11)</f>
        <v>2.7035636613120011</v>
      </c>
      <c r="I12" s="41">
        <f>H12*(1+$O$12)</f>
        <v>2.9198487542169613</v>
      </c>
      <c r="J12" s="41">
        <f>I12*(1+$O$12)</f>
        <v>3.1534366545543184</v>
      </c>
      <c r="K12" s="41">
        <f>J12*(1+$O$12)</f>
        <v>3.405711586918664</v>
      </c>
      <c r="L12" s="41">
        <f>K12*(1+$O$12)</f>
        <v>3.6781685138721576</v>
      </c>
      <c r="M12" s="41">
        <f>L12*(1+$O$12)</f>
        <v>3.9724219949819304</v>
      </c>
      <c r="N12" s="41">
        <f>L12*O14</f>
        <v>91.954212846803941</v>
      </c>
      <c r="O12" s="17">
        <v>0.08</v>
      </c>
      <c r="P12" s="27" t="s">
        <v>2</v>
      </c>
    </row>
    <row r="13" spans="2:19" x14ac:dyDescent="0.2">
      <c r="B13" s="9">
        <f>B7</f>
        <v>0</v>
      </c>
      <c r="C13" s="7" t="str">
        <f>C7</f>
        <v>PV(10%)</v>
      </c>
      <c r="D13" s="41">
        <f>D12*(1+$O$13)^($D$11-D11-1)</f>
        <v>1.8065454545454547</v>
      </c>
      <c r="E13" s="41">
        <f t="shared" ref="E13:M13" si="4">E12*(1+$O$13)^($D$11-E11-1)</f>
        <v>1.7736991735537193</v>
      </c>
      <c r="F13" s="41">
        <f t="shared" si="4"/>
        <v>1.7414500976709244</v>
      </c>
      <c r="G13" s="41">
        <f t="shared" si="4"/>
        <v>1.7097873686223621</v>
      </c>
      <c r="H13" s="41">
        <f t="shared" si="4"/>
        <v>1.6787003255565007</v>
      </c>
      <c r="I13" s="41">
        <f t="shared" si="4"/>
        <v>1.6481785014554735</v>
      </c>
      <c r="J13" s="41">
        <f t="shared" si="4"/>
        <v>1.6182116196108283</v>
      </c>
      <c r="K13" s="41">
        <f t="shared" si="4"/>
        <v>1.5887895901633589</v>
      </c>
      <c r="L13" s="41">
        <f t="shared" si="4"/>
        <v>1.5599025067058434</v>
      </c>
      <c r="M13" s="41">
        <f t="shared" si="4"/>
        <v>1.5315406429475553</v>
      </c>
      <c r="N13" s="41">
        <f>N12*(1+$O$7)^($D$5-N11-1)</f>
        <v>35.452329697860073</v>
      </c>
      <c r="O13" s="17">
        <f>O7</f>
        <v>0.1</v>
      </c>
      <c r="P13" s="38" t="s">
        <v>3</v>
      </c>
    </row>
    <row r="14" spans="2:19" ht="13.5" thickBot="1" x14ac:dyDescent="0.25">
      <c r="B14" s="9"/>
      <c r="C14" s="8" t="s">
        <v>4</v>
      </c>
      <c r="D14" s="20">
        <f>SUM(D13:N13)</f>
        <v>52.109134978692097</v>
      </c>
      <c r="E14" s="21"/>
      <c r="F14" s="21"/>
      <c r="G14" s="21"/>
      <c r="H14" s="21"/>
      <c r="I14" s="21"/>
      <c r="J14" s="21"/>
      <c r="K14" s="21"/>
      <c r="L14" s="21"/>
      <c r="M14" s="21"/>
      <c r="N14" s="21"/>
      <c r="O14" s="78">
        <v>25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 per share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v>
      </c>
      <c r="P17" s="38" t="s">
        <v>1</v>
      </c>
    </row>
    <row r="18" spans="2:16" x14ac:dyDescent="0.2">
      <c r="B18" s="9" t="s">
        <v>17</v>
      </c>
      <c r="C18" s="6">
        <f>C12</f>
        <v>1.84</v>
      </c>
      <c r="D18" s="41">
        <f>C18*(1+$O$17)</f>
        <v>1.84</v>
      </c>
      <c r="E18" s="41">
        <f>D18*(1+$O$17)</f>
        <v>1.84</v>
      </c>
      <c r="F18" s="41">
        <f>E18*(1+$O$17)</f>
        <v>1.84</v>
      </c>
      <c r="G18" s="41">
        <f>F18*(1+$O$17)</f>
        <v>1.84</v>
      </c>
      <c r="H18" s="41">
        <f>G18*(1+$O$17)</f>
        <v>1.84</v>
      </c>
      <c r="I18" s="41">
        <f>H18*(1+$O$18)</f>
        <v>1.84</v>
      </c>
      <c r="J18" s="41">
        <f>I18*(1+$O$18)</f>
        <v>1.84</v>
      </c>
      <c r="K18" s="41">
        <f>J18*(1+$O$18)</f>
        <v>1.84</v>
      </c>
      <c r="L18" s="41">
        <f>K18*(1+$O$18)</f>
        <v>1.84</v>
      </c>
      <c r="M18" s="41">
        <f>L18*(1+$O$18)</f>
        <v>1.84</v>
      </c>
      <c r="N18" s="41">
        <f>L18*O20</f>
        <v>27.6</v>
      </c>
      <c r="O18" s="17">
        <v>0</v>
      </c>
      <c r="P18" s="27" t="s">
        <v>2</v>
      </c>
    </row>
    <row r="19" spans="2:16" x14ac:dyDescent="0.2">
      <c r="B19" s="9" t="s">
        <v>155</v>
      </c>
      <c r="C19" s="7" t="str">
        <f>C13</f>
        <v>PV(10%)</v>
      </c>
      <c r="D19" s="41">
        <f>D18*(1+$O$19)^($D$17-D17-1)*$I$3</f>
        <v>1.6727272727272728</v>
      </c>
      <c r="E19" s="41">
        <f t="shared" ref="E19:M19" si="6">E18*(1+$O$19)^($D$17-E17-1)*$I$3</f>
        <v>1.5206611570247932</v>
      </c>
      <c r="F19" s="41">
        <f t="shared" si="6"/>
        <v>1.3824192336589027</v>
      </c>
      <c r="G19" s="41">
        <f t="shared" si="6"/>
        <v>1.2567447578717299</v>
      </c>
      <c r="H19" s="41">
        <f t="shared" si="6"/>
        <v>1.142495234428845</v>
      </c>
      <c r="I19" s="41">
        <f t="shared" si="6"/>
        <v>1.0386320312989501</v>
      </c>
      <c r="J19" s="41">
        <f t="shared" si="6"/>
        <v>0.94421093754449992</v>
      </c>
      <c r="K19" s="41">
        <f t="shared" si="6"/>
        <v>0.85837357958590899</v>
      </c>
      <c r="L19" s="41">
        <f t="shared" si="6"/>
        <v>0.78033961780537187</v>
      </c>
      <c r="M19" s="41">
        <f t="shared" si="6"/>
        <v>0.70939965255033799</v>
      </c>
      <c r="N19" s="41">
        <f t="shared" ref="N19" si="7">N18*(1+$O$19)^($D$17-N17-1)</f>
        <v>10.640994788255069</v>
      </c>
      <c r="O19" s="17">
        <f>O13</f>
        <v>0.1</v>
      </c>
      <c r="P19" s="38" t="s">
        <v>3</v>
      </c>
    </row>
    <row r="20" spans="2:16" ht="13.5" thickBot="1" x14ac:dyDescent="0.25">
      <c r="B20" s="9" t="s">
        <v>156</v>
      </c>
      <c r="C20" s="8" t="s">
        <v>4</v>
      </c>
      <c r="D20" s="20">
        <f>SUM(D19:N19)</f>
        <v>21.946998262751684</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0.4</v>
      </c>
      <c r="E23" s="41">
        <f>D8</f>
        <v>35.468459927630519</v>
      </c>
      <c r="F23" s="22">
        <f>E23*D23</f>
        <v>14.187383971052208</v>
      </c>
      <c r="P23" s="38"/>
    </row>
    <row r="24" spans="2:16" x14ac:dyDescent="0.2">
      <c r="B24" s="9"/>
      <c r="C24" s="9" t="s">
        <v>15</v>
      </c>
      <c r="D24" s="44">
        <v>0.3</v>
      </c>
      <c r="E24" s="41">
        <f>D14</f>
        <v>52.109134978692097</v>
      </c>
      <c r="F24" s="22">
        <f>E24*D24</f>
        <v>15.632740493607628</v>
      </c>
      <c r="P24" s="38"/>
    </row>
    <row r="25" spans="2:16" ht="13.5" thickBot="1" x14ac:dyDescent="0.25">
      <c r="B25" s="9"/>
      <c r="C25" s="10" t="s">
        <v>29</v>
      </c>
      <c r="D25" s="44">
        <v>0.3</v>
      </c>
      <c r="E25" s="23">
        <f>D20</f>
        <v>21.946998262751684</v>
      </c>
      <c r="F25" s="24">
        <f>E25*D25</f>
        <v>6.5840994788255047</v>
      </c>
      <c r="P25" s="38"/>
    </row>
    <row r="26" spans="2:16" ht="13.5" thickBot="1" x14ac:dyDescent="0.25">
      <c r="B26" s="9"/>
      <c r="C26" s="36" t="s">
        <v>167</v>
      </c>
      <c r="D26" s="36">
        <f>C3</f>
        <v>38.5</v>
      </c>
      <c r="E26" s="15" t="s">
        <v>11</v>
      </c>
      <c r="F26" s="16">
        <f>SUM(F23:F25)</f>
        <v>36.404223943485341</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1" priority="1" operator="containsText" text="overvalued">
      <formula>NOT(ISERROR(SEARCH("overvalued",D3)))</formula>
    </cfRule>
    <cfRule type="containsText" dxfId="10" priority="2" operator="containsText" text="undervalued">
      <formula>NOT(ISERROR(SEARCH("undervalued",D3)))</formula>
    </cfRule>
  </conditionalFormatting>
  <hyperlinks>
    <hyperlink ref="C30" r:id="rId1" xr:uid="{4C77F82B-1300-7A4B-8A41-B70CBF57C74C}"/>
    <hyperlink ref="B4" location="'COMPARATIVE TABLE'!A1" display="'COMPARATIVE TABLE'!A1" xr:uid="{5B75112F-E8E8-1747-8001-ED6AD7DB1DFA}"/>
  </hyperlinks>
  <pageMargins left="0.7" right="0.7" top="0.78740157499999996" bottom="0.78740157499999996" header="0.3" footer="0.3"/>
  <pageSetup paperSize="9" orientation="portrait" r:id="rId2"/>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940F-7204-C342-A54C-0A80C8E2DEE3}">
  <dimension ref="B1:S30"/>
  <sheetViews>
    <sheetView showGridLines="0" zoomScale="138" zoomScaleNormal="138"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196</v>
      </c>
      <c r="C2" s="31" t="s">
        <v>36</v>
      </c>
      <c r="D2" s="32"/>
      <c r="E2" s="33"/>
      <c r="F2" s="33"/>
      <c r="G2" s="33"/>
      <c r="H2" s="33"/>
      <c r="I2" s="33"/>
      <c r="J2" s="33"/>
      <c r="K2" s="33"/>
      <c r="L2" s="33"/>
      <c r="M2" s="33"/>
      <c r="N2" s="33"/>
      <c r="O2" s="33"/>
      <c r="P2" s="34"/>
      <c r="S2" s="3" t="s">
        <v>7</v>
      </c>
    </row>
    <row r="3" spans="2:19" ht="13.5" thickBot="1" x14ac:dyDescent="0.25">
      <c r="B3" s="35" t="s">
        <v>166</v>
      </c>
      <c r="C3" s="36">
        <f>'MKT CAP - Price'!C95</f>
        <v>27.5</v>
      </c>
      <c r="D3" s="37"/>
      <c r="F3" s="11" t="s">
        <v>189</v>
      </c>
      <c r="G3" s="12"/>
      <c r="H3" s="12"/>
      <c r="I3" s="46">
        <v>1</v>
      </c>
      <c r="P3" s="38"/>
    </row>
    <row r="4" spans="2:19" ht="26.25" thickBot="1" x14ac:dyDescent="0.25">
      <c r="B4" s="39" t="s">
        <v>85</v>
      </c>
      <c r="N4" s="40" t="s">
        <v>5</v>
      </c>
      <c r="O4" s="4" t="s">
        <v>0</v>
      </c>
      <c r="P4" s="38"/>
    </row>
    <row r="5" spans="2:19" x14ac:dyDescent="0.2">
      <c r="B5" s="9" t="s">
        <v>8</v>
      </c>
      <c r="C5" s="5" t="s">
        <v>163</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0.03</v>
      </c>
      <c r="P5" s="38" t="s">
        <v>1</v>
      </c>
      <c r="R5" s="1"/>
    </row>
    <row r="6" spans="2:19" x14ac:dyDescent="0.2">
      <c r="B6" s="9" t="s">
        <v>19</v>
      </c>
      <c r="C6" s="6">
        <v>1.02</v>
      </c>
      <c r="D6" s="41">
        <f>C6*(1+$O$5)</f>
        <v>1.0506</v>
      </c>
      <c r="E6" s="41">
        <f>D6*(1+$O$5)</f>
        <v>1.0821179999999999</v>
      </c>
      <c r="F6" s="41">
        <f>E6*(1+$O$5)</f>
        <v>1.1145815399999999</v>
      </c>
      <c r="G6" s="41">
        <f>F6*(1+$O$5)</f>
        <v>1.1480189861999999</v>
      </c>
      <c r="H6" s="41">
        <f>G6*(1+$O$5)</f>
        <v>1.1824595557859998</v>
      </c>
      <c r="I6" s="41">
        <f>H6*(1+$O$6)</f>
        <v>1.2179333424595797</v>
      </c>
      <c r="J6" s="41">
        <f>I6*(1+$O$6)</f>
        <v>1.2544713427333671</v>
      </c>
      <c r="K6" s="41">
        <f>J6*(1+$O$6)</f>
        <v>1.2921054830153682</v>
      </c>
      <c r="L6" s="41">
        <f>K6*(1+$O$6)</f>
        <v>1.3308686475058293</v>
      </c>
      <c r="M6" s="41">
        <f>L6*(1+$O$6)</f>
        <v>1.3707947069310042</v>
      </c>
      <c r="N6" s="41">
        <f>L6*O8</f>
        <v>26.617372950116586</v>
      </c>
      <c r="O6" s="17">
        <v>0.03</v>
      </c>
      <c r="P6" s="27" t="s">
        <v>2</v>
      </c>
    </row>
    <row r="7" spans="2:19" x14ac:dyDescent="0.2">
      <c r="B7" s="9"/>
      <c r="C7" s="7" t="str">
        <f>CONCATENATE(R8,O7*100,S8)</f>
        <v>PV(10%)</v>
      </c>
      <c r="D7" s="41">
        <f>D6*(1+$O$7)^($D$5-D5-1)*$I$3</f>
        <v>0.95509090909090899</v>
      </c>
      <c r="E7" s="41">
        <f t="shared" ref="E7:M7" si="1">E6*(1+$O$7)^($D$5-E5-1)*$I$3</f>
        <v>0.8943123966942147</v>
      </c>
      <c r="F7" s="41">
        <f t="shared" si="1"/>
        <v>0.83740160781367357</v>
      </c>
      <c r="G7" s="41">
        <f t="shared" si="1"/>
        <v>0.78411241458916714</v>
      </c>
      <c r="H7" s="41">
        <f t="shared" si="1"/>
        <v>0.73421435184258366</v>
      </c>
      <c r="I7" s="41">
        <f t="shared" si="1"/>
        <v>0.68749162036169187</v>
      </c>
      <c r="J7" s="41">
        <f t="shared" si="1"/>
        <v>0.6437421536114023</v>
      </c>
      <c r="K7" s="41">
        <f t="shared" si="1"/>
        <v>0.60277674383613122</v>
      </c>
      <c r="L7" s="41">
        <f t="shared" si="1"/>
        <v>0.564418223773832</v>
      </c>
      <c r="M7" s="41">
        <f t="shared" si="1"/>
        <v>0.52850070044276998</v>
      </c>
      <c r="N7" s="41">
        <f t="shared" ref="N7" si="2">N6*(1+$O$7)^($D$5-N5-1)</f>
        <v>10.262149523160581</v>
      </c>
      <c r="O7" s="17">
        <v>0.1</v>
      </c>
      <c r="P7" s="38" t="s">
        <v>3</v>
      </c>
    </row>
    <row r="8" spans="2:19" ht="13.5" thickBot="1" x14ac:dyDescent="0.25">
      <c r="B8" s="9"/>
      <c r="C8" s="8" t="s">
        <v>26</v>
      </c>
      <c r="D8" s="20">
        <f>SUM(D7:N7)</f>
        <v>17.494210645216956</v>
      </c>
      <c r="E8" s="21"/>
      <c r="F8" s="21"/>
      <c r="G8" s="21"/>
      <c r="H8" s="21"/>
      <c r="I8" s="21"/>
      <c r="J8" s="21"/>
      <c r="K8" s="21"/>
      <c r="L8" s="21"/>
      <c r="M8" s="21"/>
      <c r="N8" s="21"/>
      <c r="O8" s="18">
        <v>20</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input, per share or market cap</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0.05</v>
      </c>
      <c r="P11" s="38" t="s">
        <v>1</v>
      </c>
    </row>
    <row r="12" spans="2:19" x14ac:dyDescent="0.2">
      <c r="B12" s="9" t="s">
        <v>18</v>
      </c>
      <c r="C12" s="6">
        <f>C6</f>
        <v>1.02</v>
      </c>
      <c r="D12" s="41">
        <f>C12*(1+$O$11)</f>
        <v>1.0710000000000002</v>
      </c>
      <c r="E12" s="41">
        <f>D12*(1+$O$11)</f>
        <v>1.1245500000000002</v>
      </c>
      <c r="F12" s="41">
        <f>E12*(1+$O$11)</f>
        <v>1.1807775000000003</v>
      </c>
      <c r="G12" s="41">
        <f>F12*(1+$O$11)</f>
        <v>1.2398163750000004</v>
      </c>
      <c r="H12" s="41">
        <f>G12*(1+$O$11)</f>
        <v>1.3018071937500004</v>
      </c>
      <c r="I12" s="41">
        <f>H12*(1+$O$12)</f>
        <v>1.3668975534375005</v>
      </c>
      <c r="J12" s="41">
        <f>I12*(1+$O$12)</f>
        <v>1.4352424311093757</v>
      </c>
      <c r="K12" s="41">
        <f>J12*(1+$O$12)</f>
        <v>1.5070045526648446</v>
      </c>
      <c r="L12" s="41">
        <f>K12*(1+$O$12)</f>
        <v>1.5823547802980868</v>
      </c>
      <c r="M12" s="41">
        <f>L12*(1+$O$12)</f>
        <v>1.6614725193129913</v>
      </c>
      <c r="N12" s="41">
        <f>L12*O14</f>
        <v>39.558869507452172</v>
      </c>
      <c r="O12" s="17">
        <v>0.05</v>
      </c>
      <c r="P12" s="27" t="s">
        <v>2</v>
      </c>
    </row>
    <row r="13" spans="2:19" x14ac:dyDescent="0.2">
      <c r="B13" s="9">
        <f>B7</f>
        <v>0</v>
      </c>
      <c r="C13" s="7" t="str">
        <f>C7</f>
        <v>PV(10%)</v>
      </c>
      <c r="D13" s="41">
        <f>D12*(1+$O$13)^($D$11-D11-1)</f>
        <v>0.97363636363636374</v>
      </c>
      <c r="E13" s="41">
        <f t="shared" ref="E13:M13" si="4">E12*(1+$O$13)^($D$11-E11-1)</f>
        <v>0.92938016528925627</v>
      </c>
      <c r="F13" s="41">
        <f t="shared" si="4"/>
        <v>0.88713561232156268</v>
      </c>
      <c r="G13" s="41">
        <f t="shared" si="4"/>
        <v>0.84681126630694636</v>
      </c>
      <c r="H13" s="41">
        <f t="shared" si="4"/>
        <v>0.80831984511117594</v>
      </c>
      <c r="I13" s="41">
        <f t="shared" si="4"/>
        <v>0.77157803396975888</v>
      </c>
      <c r="J13" s="41">
        <f t="shared" si="4"/>
        <v>0.73650630515295157</v>
      </c>
      <c r="K13" s="41">
        <f t="shared" si="4"/>
        <v>0.70302874582781749</v>
      </c>
      <c r="L13" s="41">
        <f t="shared" si="4"/>
        <v>0.67107289374473489</v>
      </c>
      <c r="M13" s="41">
        <f t="shared" si="4"/>
        <v>0.6405695803927014</v>
      </c>
      <c r="N13" s="41">
        <f>N12*(1+$O$7)^($D$5-N11-1)</f>
        <v>15.251656676016701</v>
      </c>
      <c r="O13" s="17">
        <f>O7</f>
        <v>0.1</v>
      </c>
      <c r="P13" s="38" t="s">
        <v>3</v>
      </c>
    </row>
    <row r="14" spans="2:19" ht="13.5" thickBot="1" x14ac:dyDescent="0.25">
      <c r="B14" s="9"/>
      <c r="C14" s="8" t="s">
        <v>4</v>
      </c>
      <c r="D14" s="20">
        <f>SUM(D13:N13)</f>
        <v>23.219695487769968</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input, per share or market cap</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0.02</v>
      </c>
      <c r="P17" s="38" t="s">
        <v>1</v>
      </c>
    </row>
    <row r="18" spans="2:16" x14ac:dyDescent="0.2">
      <c r="B18" s="9" t="s">
        <v>17</v>
      </c>
      <c r="C18" s="6">
        <f>C12</f>
        <v>1.02</v>
      </c>
      <c r="D18" s="41">
        <f>C18*(1+$O$17)</f>
        <v>1.0404</v>
      </c>
      <c r="E18" s="41">
        <f>D18*(1+$O$17)</f>
        <v>1.0612079999999999</v>
      </c>
      <c r="F18" s="41">
        <f>E18*(1+$O$17)</f>
        <v>1.08243216</v>
      </c>
      <c r="G18" s="41">
        <f>F18*(1+$O$17)</f>
        <v>1.1040808032</v>
      </c>
      <c r="H18" s="41">
        <f>G18*(1+$O$17)</f>
        <v>1.1261624192640001</v>
      </c>
      <c r="I18" s="41">
        <f>H18*(1+$O$18)</f>
        <v>1.14868566764928</v>
      </c>
      <c r="J18" s="41">
        <f>I18*(1+$O$18)</f>
        <v>1.1716593810022657</v>
      </c>
      <c r="K18" s="41">
        <f>J18*(1+$O$18)</f>
        <v>1.1950925686223111</v>
      </c>
      <c r="L18" s="41">
        <f>K18*(1+$O$18)</f>
        <v>1.2189944199947573</v>
      </c>
      <c r="M18" s="41">
        <f>L18*(1+$O$18)</f>
        <v>1.2433743083946525</v>
      </c>
      <c r="N18" s="41">
        <f>L18*O20</f>
        <v>18.28491629992136</v>
      </c>
      <c r="O18" s="17">
        <v>0.02</v>
      </c>
      <c r="P18" s="27" t="s">
        <v>2</v>
      </c>
    </row>
    <row r="19" spans="2:16" x14ac:dyDescent="0.2">
      <c r="B19" s="9" t="s">
        <v>155</v>
      </c>
      <c r="C19" s="7" t="str">
        <f>C13</f>
        <v>PV(10%)</v>
      </c>
      <c r="D19" s="41">
        <f>D18*(1+$O$19)^($D$17-D17-1)*$I$3</f>
        <v>0.94581818181818178</v>
      </c>
      <c r="E19" s="41">
        <f t="shared" ref="E19:M19" si="6">E18*(1+$O$19)^($D$17-E17-1)*$I$3</f>
        <v>0.87703140495867749</v>
      </c>
      <c r="F19" s="41">
        <f t="shared" si="6"/>
        <v>0.81324730277986446</v>
      </c>
      <c r="G19" s="41">
        <f t="shared" si="6"/>
        <v>0.75410204439587447</v>
      </c>
      <c r="H19" s="41">
        <f t="shared" si="6"/>
        <v>0.69925825934890162</v>
      </c>
      <c r="I19" s="41">
        <f t="shared" si="6"/>
        <v>0.64840311321443611</v>
      </c>
      <c r="J19" s="41">
        <f t="shared" si="6"/>
        <v>0.60124652316247706</v>
      </c>
      <c r="K19" s="41">
        <f t="shared" si="6"/>
        <v>0.5575195032961151</v>
      </c>
      <c r="L19" s="41">
        <f t="shared" si="6"/>
        <v>0.51697263032912488</v>
      </c>
      <c r="M19" s="41">
        <f t="shared" si="6"/>
        <v>0.47937462085064303</v>
      </c>
      <c r="N19" s="41">
        <f t="shared" ref="N19" si="7">N18*(1+$O$19)^($D$17-N17-1)</f>
        <v>7.0496267772153383</v>
      </c>
      <c r="O19" s="17">
        <f>O13</f>
        <v>0.1</v>
      </c>
      <c r="P19" s="38" t="s">
        <v>3</v>
      </c>
    </row>
    <row r="20" spans="2:16" ht="13.5" thickBot="1" x14ac:dyDescent="0.25">
      <c r="B20" s="9" t="s">
        <v>156</v>
      </c>
      <c r="C20" s="8" t="s">
        <v>4</v>
      </c>
      <c r="D20" s="20">
        <f>SUM(D19:N19)</f>
        <v>13.942600361369633</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0.3</v>
      </c>
      <c r="E23" s="41">
        <f>D8</f>
        <v>17.494210645216956</v>
      </c>
      <c r="F23" s="22">
        <f>E23*D23</f>
        <v>5.2482631935650863</v>
      </c>
      <c r="P23" s="38"/>
    </row>
    <row r="24" spans="2:16" x14ac:dyDescent="0.2">
      <c r="B24" s="9"/>
      <c r="C24" s="9" t="s">
        <v>15</v>
      </c>
      <c r="D24" s="44">
        <v>0.3</v>
      </c>
      <c r="E24" s="41">
        <f>D14</f>
        <v>23.219695487769968</v>
      </c>
      <c r="F24" s="22">
        <f>E24*D24</f>
        <v>6.9659086463309903</v>
      </c>
      <c r="P24" s="38"/>
    </row>
    <row r="25" spans="2:16" ht="13.5" thickBot="1" x14ac:dyDescent="0.25">
      <c r="B25" s="9"/>
      <c r="C25" s="10" t="s">
        <v>29</v>
      </c>
      <c r="D25" s="44">
        <v>0.3</v>
      </c>
      <c r="E25" s="23">
        <f>D20</f>
        <v>13.942600361369633</v>
      </c>
      <c r="F25" s="24">
        <f>E25*D25</f>
        <v>4.1827801084108902</v>
      </c>
      <c r="P25" s="38"/>
    </row>
    <row r="26" spans="2:16" ht="13.5" thickBot="1" x14ac:dyDescent="0.25">
      <c r="B26" s="9"/>
      <c r="C26" s="36" t="s">
        <v>167</v>
      </c>
      <c r="D26" s="36">
        <f>C3</f>
        <v>27.5</v>
      </c>
      <c r="E26" s="15" t="s">
        <v>11</v>
      </c>
      <c r="F26" s="16">
        <f>SUM(F23:F25)</f>
        <v>16.396951948306967</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9" priority="1" operator="containsText" text="overvalued">
      <formula>NOT(ISERROR(SEARCH("overvalued",D3)))</formula>
    </cfRule>
    <cfRule type="containsText" dxfId="8" priority="2" operator="containsText" text="undervalued">
      <formula>NOT(ISERROR(SEARCH("undervalued",D3)))</formula>
    </cfRule>
  </conditionalFormatting>
  <hyperlinks>
    <hyperlink ref="C30" r:id="rId1" xr:uid="{8845C693-8AE8-4B4B-9DEA-82FA9F89D8C2}"/>
    <hyperlink ref="B4" location="'COMPARATIVE TABLE'!A1" display="'COMPARATIVE TABLE'!A1" xr:uid="{9A1A1B2A-EE1D-B742-B214-781EB45A7D2F}"/>
  </hyperlinks>
  <pageMargins left="0.7" right="0.7" top="0.78740157499999996" bottom="0.78740157499999996" header="0.3" footer="0.3"/>
  <pageSetup paperSize="9" orientation="portrait" r:id="rId2"/>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8783-9925-AE47-B763-7B2A4E636282}">
  <dimension ref="B1:S30"/>
  <sheetViews>
    <sheetView showGridLines="0" zoomScale="135" zoomScaleNormal="135"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162</v>
      </c>
      <c r="C2" s="31" t="s">
        <v>36</v>
      </c>
      <c r="D2" s="32"/>
      <c r="E2" s="33"/>
      <c r="F2" s="33"/>
      <c r="G2" s="33"/>
      <c r="H2" s="33"/>
      <c r="I2" s="33"/>
      <c r="J2" s="33"/>
      <c r="K2" s="33"/>
      <c r="L2" s="33"/>
      <c r="M2" s="33"/>
      <c r="N2" s="33"/>
      <c r="O2" s="33"/>
      <c r="P2" s="34"/>
      <c r="S2" s="3" t="s">
        <v>7</v>
      </c>
    </row>
    <row r="3" spans="2:19" ht="13.5" thickBot="1" x14ac:dyDescent="0.25">
      <c r="B3" s="35" t="s">
        <v>166</v>
      </c>
      <c r="C3" s="36">
        <f>'MKT CAP - Price'!C9</f>
        <v>239.56</v>
      </c>
      <c r="D3" s="37"/>
      <c r="F3" s="11" t="s">
        <v>189</v>
      </c>
      <c r="G3" s="12"/>
      <c r="H3" s="12"/>
      <c r="I3" s="46">
        <v>0.1</v>
      </c>
      <c r="P3" s="38"/>
    </row>
    <row r="4" spans="2:19" ht="26.25" thickBot="1" x14ac:dyDescent="0.25">
      <c r="B4" s="39" t="s">
        <v>85</v>
      </c>
      <c r="N4" s="40" t="s">
        <v>5</v>
      </c>
      <c r="O4" s="4" t="s">
        <v>0</v>
      </c>
      <c r="P4" s="38"/>
    </row>
    <row r="5" spans="2:19" x14ac:dyDescent="0.2">
      <c r="B5" s="9" t="s">
        <v>8</v>
      </c>
      <c r="C5" s="5" t="s">
        <v>224</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0.08</v>
      </c>
      <c r="P5" s="38" t="s">
        <v>1</v>
      </c>
      <c r="R5" s="1"/>
    </row>
    <row r="6" spans="2:19" x14ac:dyDescent="0.2">
      <c r="B6" s="9" t="s">
        <v>19</v>
      </c>
      <c r="C6" s="6">
        <v>7.53</v>
      </c>
      <c r="D6" s="41">
        <f>C6*(1+$O$5)</f>
        <v>8.1324000000000005</v>
      </c>
      <c r="E6" s="41">
        <f>D6*(1+$O$5)</f>
        <v>8.7829920000000019</v>
      </c>
      <c r="F6" s="41">
        <f>E6*(1+$O$5)</f>
        <v>9.4856313600000028</v>
      </c>
      <c r="G6" s="41">
        <f>F6*(1+$O$5)</f>
        <v>10.244481868800003</v>
      </c>
      <c r="H6" s="41">
        <f>G6*(1+$O$5)</f>
        <v>11.064040418304003</v>
      </c>
      <c r="I6" s="41">
        <f>H6*(1+$O$6)</f>
        <v>11.949163651768325</v>
      </c>
      <c r="J6" s="41">
        <f>I6*(1+$O$6)</f>
        <v>12.905096743909793</v>
      </c>
      <c r="K6" s="41">
        <f>J6*(1+$O$6)</f>
        <v>13.937504483422577</v>
      </c>
      <c r="L6" s="41">
        <f>K6*(1+$O$6)</f>
        <v>15.052504842096385</v>
      </c>
      <c r="M6" s="41">
        <f>L6*(1+$O$6)</f>
        <v>16.256705229464096</v>
      </c>
      <c r="N6" s="41">
        <f>L6*O8</f>
        <v>376.31262105240961</v>
      </c>
      <c r="O6" s="17">
        <v>0.08</v>
      </c>
      <c r="P6" s="27" t="s">
        <v>2</v>
      </c>
    </row>
    <row r="7" spans="2:19" x14ac:dyDescent="0.2">
      <c r="B7" s="9"/>
      <c r="C7" s="7" t="str">
        <f>CONCATENATE(R8,O7*100,S8)</f>
        <v>PV(10%)</v>
      </c>
      <c r="D7" s="41">
        <f>D6*(1+$O$7)^($D$5-D5-1)*$I$3</f>
        <v>0.73930909090909092</v>
      </c>
      <c r="E7" s="41">
        <f t="shared" ref="E7:M7" si="1">E6*(1+$O$7)^($D$5-E5-1)*$I$3</f>
        <v>0.72586710743801663</v>
      </c>
      <c r="F7" s="41">
        <f t="shared" si="1"/>
        <v>0.71266952366641634</v>
      </c>
      <c r="G7" s="41">
        <f t="shared" si="1"/>
        <v>0.69971189596339056</v>
      </c>
      <c r="H7" s="41">
        <f t="shared" si="1"/>
        <v>0.68698986149132879</v>
      </c>
      <c r="I7" s="41">
        <f t="shared" si="1"/>
        <v>0.67449913673694117</v>
      </c>
      <c r="J7" s="41">
        <f t="shared" si="1"/>
        <v>0.66223551606899667</v>
      </c>
      <c r="K7" s="41">
        <f t="shared" si="1"/>
        <v>0.65019487032228773</v>
      </c>
      <c r="L7" s="41">
        <f t="shared" si="1"/>
        <v>0.63837314540733703</v>
      </c>
      <c r="M7" s="41">
        <f t="shared" si="1"/>
        <v>0.62676636094538551</v>
      </c>
      <c r="N7" s="41">
        <f t="shared" ref="N7" si="2">N6*(1+$O$7)^($D$5-N5-1)</f>
        <v>145.08480577439477</v>
      </c>
      <c r="O7" s="17">
        <v>0.1</v>
      </c>
      <c r="P7" s="38" t="s">
        <v>3</v>
      </c>
    </row>
    <row r="8" spans="2:19" ht="13.5" thickBot="1" x14ac:dyDescent="0.25">
      <c r="B8" s="9"/>
      <c r="C8" s="8" t="s">
        <v>26</v>
      </c>
      <c r="D8" s="20">
        <f>SUM(D7:N7)</f>
        <v>151.90142228334395</v>
      </c>
      <c r="E8" s="21"/>
      <c r="F8" s="21"/>
      <c r="G8" s="21"/>
      <c r="H8" s="21"/>
      <c r="I8" s="21"/>
      <c r="J8" s="21"/>
      <c r="K8" s="21"/>
      <c r="L8" s="21"/>
      <c r="M8" s="21"/>
      <c r="N8" s="21"/>
      <c r="O8" s="18">
        <v>25</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EPS</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0.1</v>
      </c>
      <c r="P11" s="38" t="s">
        <v>1</v>
      </c>
    </row>
    <row r="12" spans="2:19" x14ac:dyDescent="0.2">
      <c r="B12" s="9" t="s">
        <v>18</v>
      </c>
      <c r="C12" s="6">
        <f>C6</f>
        <v>7.53</v>
      </c>
      <c r="D12" s="41">
        <f>C12*(1+$O$11)</f>
        <v>8.2830000000000013</v>
      </c>
      <c r="E12" s="41">
        <f>D12*(1+$O$11)</f>
        <v>9.1113000000000017</v>
      </c>
      <c r="F12" s="41">
        <f>E12*(1+$O$11)</f>
        <v>10.022430000000004</v>
      </c>
      <c r="G12" s="41">
        <f>F12*(1+$O$11)</f>
        <v>11.024673000000005</v>
      </c>
      <c r="H12" s="41">
        <f>G12*(1+$O$11)</f>
        <v>12.127140300000006</v>
      </c>
      <c r="I12" s="41">
        <f>H12*(1+$O$12)</f>
        <v>13.339854330000009</v>
      </c>
      <c r="J12" s="41">
        <f>I12*(1+$O$12)</f>
        <v>14.673839763000011</v>
      </c>
      <c r="K12" s="41">
        <f>J12*(1+$O$12)</f>
        <v>16.141223739300013</v>
      </c>
      <c r="L12" s="41">
        <f>K12*(1+$O$12)</f>
        <v>17.755346113230015</v>
      </c>
      <c r="M12" s="41">
        <f>L12*(1+$O$12)</f>
        <v>19.530880724553018</v>
      </c>
      <c r="N12" s="41">
        <f>L12*O14</f>
        <v>532.66038339690044</v>
      </c>
      <c r="O12" s="17">
        <v>0.1</v>
      </c>
      <c r="P12" s="27" t="s">
        <v>2</v>
      </c>
    </row>
    <row r="13" spans="2:19" x14ac:dyDescent="0.2">
      <c r="B13" s="9">
        <f>B7</f>
        <v>0</v>
      </c>
      <c r="C13" s="7" t="str">
        <f>C7</f>
        <v>PV(10%)</v>
      </c>
      <c r="D13" s="41">
        <f>D12*(1+$O$13)^($D$11-D11-1)*$I$3</f>
        <v>0.75300000000000011</v>
      </c>
      <c r="E13" s="41">
        <f t="shared" ref="E13:M13" si="4">E12*(1+$O$13)^($D$11-E11-1)*$I$3</f>
        <v>0.75300000000000011</v>
      </c>
      <c r="F13" s="41">
        <f t="shared" si="4"/>
        <v>0.75300000000000011</v>
      </c>
      <c r="G13" s="41">
        <f t="shared" si="4"/>
        <v>0.75300000000000022</v>
      </c>
      <c r="H13" s="41">
        <f t="shared" si="4"/>
        <v>0.75300000000000011</v>
      </c>
      <c r="I13" s="41">
        <f t="shared" si="4"/>
        <v>0.75300000000000022</v>
      </c>
      <c r="J13" s="41">
        <f t="shared" si="4"/>
        <v>0.75300000000000011</v>
      </c>
      <c r="K13" s="41">
        <f t="shared" si="4"/>
        <v>0.75300000000000022</v>
      </c>
      <c r="L13" s="41">
        <f t="shared" si="4"/>
        <v>0.75300000000000022</v>
      </c>
      <c r="M13" s="41">
        <f t="shared" si="4"/>
        <v>0.75300000000000022</v>
      </c>
      <c r="N13" s="41">
        <f>N12*(1+$O$7)^($D$5-N11-1)</f>
        <v>205.3636363636364</v>
      </c>
      <c r="O13" s="17">
        <f>O7</f>
        <v>0.1</v>
      </c>
      <c r="P13" s="38" t="s">
        <v>3</v>
      </c>
    </row>
    <row r="14" spans="2:19" ht="13.5" thickBot="1" x14ac:dyDescent="0.25">
      <c r="B14" s="9"/>
      <c r="C14" s="8" t="s">
        <v>4</v>
      </c>
      <c r="D14" s="20">
        <f>SUM(D13:N13)</f>
        <v>212.8936363636364</v>
      </c>
      <c r="E14" s="21"/>
      <c r="F14" s="21"/>
      <c r="G14" s="21"/>
      <c r="H14" s="21"/>
      <c r="I14" s="21"/>
      <c r="J14" s="21"/>
      <c r="K14" s="21"/>
      <c r="L14" s="21"/>
      <c r="M14" s="21"/>
      <c r="N14" s="21"/>
      <c r="O14" s="18">
        <v>30</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EPS</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0.04</v>
      </c>
      <c r="P17" s="38" t="s">
        <v>1</v>
      </c>
    </row>
    <row r="18" spans="2:16" x14ac:dyDescent="0.2">
      <c r="B18" s="9" t="s">
        <v>17</v>
      </c>
      <c r="C18" s="6">
        <f>C12</f>
        <v>7.53</v>
      </c>
      <c r="D18" s="41">
        <f>C18*(1+$O$17)</f>
        <v>7.8312000000000008</v>
      </c>
      <c r="E18" s="41">
        <f>D18*(1+$O$17)</f>
        <v>8.1444480000000006</v>
      </c>
      <c r="F18" s="41">
        <f>E18*(1+$O$17)</f>
        <v>8.4702259200000007</v>
      </c>
      <c r="G18" s="41">
        <f>F18*(1+$O$17)</f>
        <v>8.8090349568000015</v>
      </c>
      <c r="H18" s="41">
        <f>G18*(1+$O$17)</f>
        <v>9.1613963550720019</v>
      </c>
      <c r="I18" s="41">
        <f>H18*(1+$O$18)</f>
        <v>9.527852209274883</v>
      </c>
      <c r="J18" s="41">
        <f>I18*(1+$O$18)</f>
        <v>9.908966297645879</v>
      </c>
      <c r="K18" s="41">
        <f>J18*(1+$O$18)</f>
        <v>10.305324949551714</v>
      </c>
      <c r="L18" s="41">
        <f>K18*(1+$O$18)</f>
        <v>10.717537947533783</v>
      </c>
      <c r="M18" s="41">
        <f>L18*(1+$O$18)</f>
        <v>11.146239465435135</v>
      </c>
      <c r="N18" s="41">
        <f>L18*O20</f>
        <v>160.76306921300676</v>
      </c>
      <c r="O18" s="17">
        <v>0.04</v>
      </c>
      <c r="P18" s="27" t="s">
        <v>2</v>
      </c>
    </row>
    <row r="19" spans="2:16" x14ac:dyDescent="0.2">
      <c r="B19" s="9" t="s">
        <v>155</v>
      </c>
      <c r="C19" s="7" t="str">
        <f>C13</f>
        <v>PV(10%)</v>
      </c>
      <c r="D19" s="41">
        <f>D18*(1+$O$19)^($D$17-D17-1)*$I$3</f>
        <v>0.71192727272727285</v>
      </c>
      <c r="E19" s="41">
        <f t="shared" ref="E19:M19" si="6">E18*(1+$O$19)^($D$17-E17-1)*$I$3</f>
        <v>0.67309487603305795</v>
      </c>
      <c r="F19" s="41">
        <f t="shared" si="6"/>
        <v>0.63638061006761826</v>
      </c>
      <c r="G19" s="41">
        <f t="shared" si="6"/>
        <v>0.60166894042756647</v>
      </c>
      <c r="H19" s="41">
        <f t="shared" si="6"/>
        <v>0.56885063458606266</v>
      </c>
      <c r="I19" s="41">
        <f t="shared" si="6"/>
        <v>0.5378224181540957</v>
      </c>
      <c r="J19" s="41">
        <f t="shared" si="6"/>
        <v>0.508486649891145</v>
      </c>
      <c r="K19" s="41">
        <f t="shared" si="6"/>
        <v>0.48075101444253709</v>
      </c>
      <c r="L19" s="41">
        <f t="shared" si="6"/>
        <v>0.45452823183658053</v>
      </c>
      <c r="M19" s="41">
        <f t="shared" si="6"/>
        <v>0.42973578282731251</v>
      </c>
      <c r="N19" s="41">
        <f t="shared" ref="N19" si="7">N18*(1+$O$19)^($D$17-N17-1)</f>
        <v>61.981122523170065</v>
      </c>
      <c r="O19" s="17">
        <f>O13</f>
        <v>0.1</v>
      </c>
      <c r="P19" s="38" t="s">
        <v>3</v>
      </c>
    </row>
    <row r="20" spans="2:16" ht="13.5" thickBot="1" x14ac:dyDescent="0.25">
      <c r="B20" s="9" t="s">
        <v>156</v>
      </c>
      <c r="C20" s="8" t="s">
        <v>4</v>
      </c>
      <c r="D20" s="20">
        <f>SUM(D19:N19)</f>
        <v>67.58436895416331</v>
      </c>
      <c r="E20" s="21"/>
      <c r="F20" s="21"/>
      <c r="G20" s="21"/>
      <c r="H20" s="21"/>
      <c r="I20" s="21"/>
      <c r="J20" s="21"/>
      <c r="K20" s="21"/>
      <c r="L20" s="21"/>
      <c r="M20" s="21"/>
      <c r="N20" s="21"/>
      <c r="O20" s="18">
        <v>15</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0.33</v>
      </c>
      <c r="E23" s="41">
        <f>D8</f>
        <v>151.90142228334395</v>
      </c>
      <c r="F23" s="22">
        <f>E23*D23</f>
        <v>50.127469353503507</v>
      </c>
      <c r="P23" s="38"/>
    </row>
    <row r="24" spans="2:16" x14ac:dyDescent="0.2">
      <c r="B24" s="9"/>
      <c r="C24" s="9" t="s">
        <v>15</v>
      </c>
      <c r="D24" s="44">
        <v>0.34</v>
      </c>
      <c r="E24" s="41">
        <f>D14</f>
        <v>212.8936363636364</v>
      </c>
      <c r="F24" s="22">
        <f>E24*D24</f>
        <v>72.383836363636377</v>
      </c>
      <c r="P24" s="38"/>
    </row>
    <row r="25" spans="2:16" ht="13.5" thickBot="1" x14ac:dyDescent="0.25">
      <c r="B25" s="9"/>
      <c r="C25" s="10" t="s">
        <v>29</v>
      </c>
      <c r="D25" s="44">
        <v>0.33</v>
      </c>
      <c r="E25" s="23">
        <f>D20</f>
        <v>67.58436895416331</v>
      </c>
      <c r="F25" s="24">
        <f>E25*D25</f>
        <v>22.302841754873892</v>
      </c>
      <c r="P25" s="38"/>
    </row>
    <row r="26" spans="2:16" ht="13.5" thickBot="1" x14ac:dyDescent="0.25">
      <c r="B26" s="9"/>
      <c r="C26" s="36" t="s">
        <v>167</v>
      </c>
      <c r="D26" s="36">
        <f>C3</f>
        <v>239.56</v>
      </c>
      <c r="E26" s="15" t="s">
        <v>11</v>
      </c>
      <c r="F26" s="16">
        <f>SUM(F23:F25)</f>
        <v>144.81414747201379</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7" priority="1" operator="containsText" text="overvalued">
      <formula>NOT(ISERROR(SEARCH("overvalued",D3)))</formula>
    </cfRule>
    <cfRule type="containsText" dxfId="6" priority="2" operator="containsText" text="undervalued">
      <formula>NOT(ISERROR(SEARCH("undervalued",D3)))</formula>
    </cfRule>
  </conditionalFormatting>
  <hyperlinks>
    <hyperlink ref="C30" r:id="rId1" xr:uid="{078AEA92-CA60-B74F-A9AA-96D6DF41BEF6}"/>
    <hyperlink ref="B4" location="'COMPARATIVE TABLE'!A1" display="'COMPARATIVE TABLE'!A1" xr:uid="{3C4A4726-1267-6644-A46F-D64315133B2D}"/>
  </hyperlinks>
  <pageMargins left="0.7" right="0.7" top="0.78740157499999996" bottom="0.78740157499999996" header="0.3" footer="0.3"/>
  <pageSetup paperSize="9" orientation="portrait" r:id="rId2"/>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545B-DED8-194E-92F7-6C3DAC1B063D}">
  <dimension ref="B1:S30"/>
  <sheetViews>
    <sheetView showGridLines="0" zoomScale="143" zoomScaleNormal="143"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162</v>
      </c>
      <c r="C2" s="31" t="s">
        <v>36</v>
      </c>
      <c r="D2" s="32"/>
      <c r="E2" s="33"/>
      <c r="F2" s="33"/>
      <c r="G2" s="33"/>
      <c r="H2" s="33"/>
      <c r="I2" s="33"/>
      <c r="J2" s="33"/>
      <c r="K2" s="33"/>
      <c r="L2" s="33"/>
      <c r="M2" s="33"/>
      <c r="N2" s="33"/>
      <c r="O2" s="33"/>
      <c r="P2" s="34"/>
      <c r="S2" s="3" t="s">
        <v>7</v>
      </c>
    </row>
    <row r="3" spans="2:19" ht="13.5" thickBot="1" x14ac:dyDescent="0.25">
      <c r="B3" s="35" t="s">
        <v>166</v>
      </c>
      <c r="C3" s="36">
        <f>'MKT CAP - Price'!C96</f>
        <v>12.76</v>
      </c>
      <c r="D3" s="37"/>
      <c r="F3" s="11" t="s">
        <v>189</v>
      </c>
      <c r="G3" s="12"/>
      <c r="H3" s="12"/>
      <c r="I3" s="46">
        <v>1</v>
      </c>
      <c r="P3" s="38"/>
    </row>
    <row r="4" spans="2:19" ht="26.25" thickBot="1" x14ac:dyDescent="0.25">
      <c r="B4" s="39" t="s">
        <v>85</v>
      </c>
      <c r="N4" s="40" t="s">
        <v>5</v>
      </c>
      <c r="O4" s="4" t="s">
        <v>0</v>
      </c>
      <c r="P4" s="38"/>
    </row>
    <row r="5" spans="2:19" x14ac:dyDescent="0.2">
      <c r="B5" s="9" t="s">
        <v>8</v>
      </c>
      <c r="C5" s="5" t="s">
        <v>225</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v>
      </c>
      <c r="P5" s="38" t="s">
        <v>1</v>
      </c>
      <c r="R5" s="1"/>
    </row>
    <row r="6" spans="2:19" x14ac:dyDescent="0.2">
      <c r="B6" s="9" t="s">
        <v>19</v>
      </c>
      <c r="C6" s="6">
        <v>1.75</v>
      </c>
      <c r="D6" s="41">
        <f>C6*(1+$O$5)</f>
        <v>1.75</v>
      </c>
      <c r="E6" s="41">
        <f>D6*(1+$O$5)</f>
        <v>1.75</v>
      </c>
      <c r="F6" s="41">
        <f>E6*(1+$O$5)</f>
        <v>1.75</v>
      </c>
      <c r="G6" s="41">
        <f>F6*(1+$O$5)</f>
        <v>1.75</v>
      </c>
      <c r="H6" s="41">
        <f>G6*(1+$O$5)</f>
        <v>1.75</v>
      </c>
      <c r="I6" s="41">
        <f>H6*(1+$O$6)</f>
        <v>1.75</v>
      </c>
      <c r="J6" s="41">
        <f>I6*(1+$O$6)</f>
        <v>1.75</v>
      </c>
      <c r="K6" s="41">
        <f>J6*(1+$O$6)</f>
        <v>1.75</v>
      </c>
      <c r="L6" s="41">
        <f>K6*(1+$O$6)</f>
        <v>1.75</v>
      </c>
      <c r="M6" s="41">
        <f>L6*(1+$O$6)</f>
        <v>1.75</v>
      </c>
      <c r="N6" s="41">
        <f>L6*O8</f>
        <v>12.25</v>
      </c>
      <c r="O6" s="17">
        <v>0</v>
      </c>
      <c r="P6" s="27" t="s">
        <v>2</v>
      </c>
    </row>
    <row r="7" spans="2:19" x14ac:dyDescent="0.2">
      <c r="B7" s="9"/>
      <c r="C7" s="7" t="str">
        <f>CONCATENATE(R8,O7*100,S8)</f>
        <v>PV(10%)</v>
      </c>
      <c r="D7" s="41">
        <f>D6*(1+$O$7)^($D$5-D5-1)*$I$3</f>
        <v>1.5909090909090908</v>
      </c>
      <c r="E7" s="41">
        <f t="shared" ref="E7:M7" si="1">E6*(1+$O$7)^($D$5-E5-1)*$I$3</f>
        <v>1.446280991735537</v>
      </c>
      <c r="F7" s="41">
        <f t="shared" si="1"/>
        <v>1.3148009015777606</v>
      </c>
      <c r="G7" s="41">
        <f t="shared" si="1"/>
        <v>1.1952735468888733</v>
      </c>
      <c r="H7" s="41">
        <f t="shared" si="1"/>
        <v>1.0866123153535212</v>
      </c>
      <c r="I7" s="41">
        <f t="shared" si="1"/>
        <v>0.98782937759411016</v>
      </c>
      <c r="J7" s="41">
        <f t="shared" si="1"/>
        <v>0.89802670690373632</v>
      </c>
      <c r="K7" s="41">
        <f t="shared" si="1"/>
        <v>0.81638791536703303</v>
      </c>
      <c r="L7" s="41">
        <f t="shared" si="1"/>
        <v>0.7421708321518482</v>
      </c>
      <c r="M7" s="41">
        <f t="shared" si="1"/>
        <v>0.67470075650168004</v>
      </c>
      <c r="N7" s="41">
        <f t="shared" ref="N7" si="2">N6*(1+$O$7)^($D$5-N5-1)</f>
        <v>4.7229052955117607</v>
      </c>
      <c r="O7" s="17">
        <v>0.1</v>
      </c>
      <c r="P7" s="38" t="s">
        <v>3</v>
      </c>
    </row>
    <row r="8" spans="2:19" ht="13.5" thickBot="1" x14ac:dyDescent="0.25">
      <c r="B8" s="9"/>
      <c r="C8" s="8" t="s">
        <v>26</v>
      </c>
      <c r="D8" s="20">
        <f>SUM(D7:N7)</f>
        <v>15.475897730494953</v>
      </c>
      <c r="E8" s="21"/>
      <c r="F8" s="21"/>
      <c r="G8" s="21"/>
      <c r="H8" s="21"/>
      <c r="I8" s="21"/>
      <c r="J8" s="21"/>
      <c r="K8" s="21"/>
      <c r="L8" s="21"/>
      <c r="M8" s="21"/>
      <c r="N8" s="21"/>
      <c r="O8" s="18">
        <v>7</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Dividend</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0.05</v>
      </c>
      <c r="P11" s="38" t="s">
        <v>1</v>
      </c>
    </row>
    <row r="12" spans="2:19" x14ac:dyDescent="0.2">
      <c r="B12" s="9" t="s">
        <v>18</v>
      </c>
      <c r="C12" s="6">
        <f>C6</f>
        <v>1.75</v>
      </c>
      <c r="D12" s="41">
        <f>C12*(1+$O$11)</f>
        <v>1.8375000000000001</v>
      </c>
      <c r="E12" s="41">
        <f>D12*(1+$O$11)</f>
        <v>1.9293750000000003</v>
      </c>
      <c r="F12" s="41">
        <f>E12*(1+$O$11)</f>
        <v>2.0258437500000004</v>
      </c>
      <c r="G12" s="41">
        <f>F12*(1+$O$11)</f>
        <v>2.1271359375000003</v>
      </c>
      <c r="H12" s="41">
        <f>G12*(1+$O$11)</f>
        <v>2.2334927343750004</v>
      </c>
      <c r="I12" s="41">
        <f>H12*(1+$O$12)</f>
        <v>2.3451673710937504</v>
      </c>
      <c r="J12" s="41">
        <f>I12*(1+$O$12)</f>
        <v>2.4624257396484381</v>
      </c>
      <c r="K12" s="41">
        <f>J12*(1+$O$12)</f>
        <v>2.5855470266308602</v>
      </c>
      <c r="L12" s="41">
        <f>K12*(1+$O$12)</f>
        <v>2.7148243779624033</v>
      </c>
      <c r="M12" s="41">
        <f>L12*(1+$O$12)</f>
        <v>2.8505655968605237</v>
      </c>
      <c r="N12" s="41">
        <f>L12*O14</f>
        <v>40.722365669436051</v>
      </c>
      <c r="O12" s="17">
        <v>0.05</v>
      </c>
      <c r="P12" s="27" t="s">
        <v>2</v>
      </c>
    </row>
    <row r="13" spans="2:19" x14ac:dyDescent="0.2">
      <c r="B13" s="9">
        <f>B7</f>
        <v>0</v>
      </c>
      <c r="C13" s="7" t="str">
        <f>C7</f>
        <v>PV(10%)</v>
      </c>
      <c r="D13" s="41">
        <f>D12*(1+$O$13)^($D$11-D11-1)*$I$3</f>
        <v>1.6704545454545454</v>
      </c>
      <c r="E13" s="41">
        <f t="shared" ref="E13:M13" si="4">E12*(1+$O$13)^($D$11-E11-1)*$I$3</f>
        <v>1.5945247933884299</v>
      </c>
      <c r="F13" s="41">
        <f t="shared" si="4"/>
        <v>1.5220463936889554</v>
      </c>
      <c r="G13" s="41">
        <f t="shared" si="4"/>
        <v>1.4528624667030938</v>
      </c>
      <c r="H13" s="41">
        <f t="shared" si="4"/>
        <v>1.3868232636711348</v>
      </c>
      <c r="I13" s="41">
        <f t="shared" si="4"/>
        <v>1.3237858425951743</v>
      </c>
      <c r="J13" s="41">
        <f t="shared" si="4"/>
        <v>1.263613758840848</v>
      </c>
      <c r="K13" s="41">
        <f t="shared" si="4"/>
        <v>1.2061767698026278</v>
      </c>
      <c r="L13" s="41">
        <f t="shared" si="4"/>
        <v>1.1513505529934174</v>
      </c>
      <c r="M13" s="41">
        <f t="shared" si="4"/>
        <v>1.099016436948262</v>
      </c>
      <c r="N13" s="41">
        <f>N12*(1+$O$7)^($D$5-N11-1)</f>
        <v>15.700234813546601</v>
      </c>
      <c r="O13" s="17">
        <f>O7</f>
        <v>0.1</v>
      </c>
      <c r="P13" s="38" t="s">
        <v>3</v>
      </c>
    </row>
    <row r="14" spans="2:19" ht="13.5" thickBot="1" x14ac:dyDescent="0.25">
      <c r="B14" s="9"/>
      <c r="C14" s="8" t="s">
        <v>4</v>
      </c>
      <c r="D14" s="20">
        <f>SUM(D13:N13)</f>
        <v>29.370889637633091</v>
      </c>
      <c r="E14" s="21"/>
      <c r="F14" s="21"/>
      <c r="G14" s="21"/>
      <c r="H14" s="21"/>
      <c r="I14" s="21"/>
      <c r="J14" s="21"/>
      <c r="K14" s="21"/>
      <c r="L14" s="21"/>
      <c r="M14" s="21"/>
      <c r="N14" s="21"/>
      <c r="O14" s="18">
        <v>15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Dividend</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v>
      </c>
      <c r="P17" s="38" t="s">
        <v>1</v>
      </c>
    </row>
    <row r="18" spans="2:16" x14ac:dyDescent="0.2">
      <c r="B18" s="9" t="s">
        <v>17</v>
      </c>
      <c r="C18" s="6">
        <f>C12</f>
        <v>1.75</v>
      </c>
      <c r="D18" s="41">
        <f>C18*(1+$O$17)</f>
        <v>1.75</v>
      </c>
      <c r="E18" s="41">
        <f>D18*(1+$O$17)</f>
        <v>1.75</v>
      </c>
      <c r="F18" s="41">
        <f>E18*(1+$O$17)</f>
        <v>1.75</v>
      </c>
      <c r="G18" s="41">
        <f>F18*(1+$O$17)</f>
        <v>1.75</v>
      </c>
      <c r="H18" s="41">
        <f>G18*(1+$O$17)</f>
        <v>1.75</v>
      </c>
      <c r="I18" s="41">
        <f>H18*(1+$O$18)</f>
        <v>0</v>
      </c>
      <c r="J18" s="41">
        <f>I18*(1+$O$18)</f>
        <v>0</v>
      </c>
      <c r="K18" s="41">
        <f>J18*(1+$O$18)</f>
        <v>0</v>
      </c>
      <c r="L18" s="41">
        <f>K18*(1+$O$18)</f>
        <v>0</v>
      </c>
      <c r="M18" s="41">
        <f>L18*(1+$O$18)</f>
        <v>0</v>
      </c>
      <c r="N18" s="41">
        <f>L18*O20</f>
        <v>0</v>
      </c>
      <c r="O18" s="17">
        <v>-1</v>
      </c>
      <c r="P18" s="27" t="s">
        <v>2</v>
      </c>
    </row>
    <row r="19" spans="2:16" x14ac:dyDescent="0.2">
      <c r="B19" s="9" t="s">
        <v>155</v>
      </c>
      <c r="C19" s="7" t="str">
        <f>C13</f>
        <v>PV(10%)</v>
      </c>
      <c r="D19" s="41">
        <f>D18*(1+$O$19)^($D$17-D17-1)*$I$3</f>
        <v>1.5909090909090908</v>
      </c>
      <c r="E19" s="41">
        <f t="shared" ref="E19:M19" si="6">E18*(1+$O$19)^($D$17-E17-1)*$I$3</f>
        <v>1.446280991735537</v>
      </c>
      <c r="F19" s="41">
        <f t="shared" si="6"/>
        <v>1.3148009015777606</v>
      </c>
      <c r="G19" s="41">
        <f t="shared" si="6"/>
        <v>1.1952735468888733</v>
      </c>
      <c r="H19" s="41">
        <f t="shared" si="6"/>
        <v>1.0866123153535212</v>
      </c>
      <c r="I19" s="41">
        <f t="shared" si="6"/>
        <v>0</v>
      </c>
      <c r="J19" s="41">
        <f t="shared" si="6"/>
        <v>0</v>
      </c>
      <c r="K19" s="41">
        <f t="shared" si="6"/>
        <v>0</v>
      </c>
      <c r="L19" s="41">
        <f t="shared" si="6"/>
        <v>0</v>
      </c>
      <c r="M19" s="41">
        <f t="shared" si="6"/>
        <v>0</v>
      </c>
      <c r="N19" s="41">
        <f t="shared" ref="N19" si="7">N18*(1+$O$19)^($D$17-N17-1)</f>
        <v>0</v>
      </c>
      <c r="O19" s="17">
        <f>O13</f>
        <v>0.1</v>
      </c>
      <c r="P19" s="38" t="s">
        <v>3</v>
      </c>
    </row>
    <row r="20" spans="2:16" ht="13.5" thickBot="1" x14ac:dyDescent="0.25">
      <c r="B20" s="9" t="s">
        <v>156</v>
      </c>
      <c r="C20" s="8" t="s">
        <v>4</v>
      </c>
      <c r="D20" s="20">
        <f>SUM(D19:N19)</f>
        <v>6.6338768464647835</v>
      </c>
      <c r="E20" s="21"/>
      <c r="F20" s="21"/>
      <c r="G20" s="21"/>
      <c r="H20" s="21"/>
      <c r="I20" s="21"/>
      <c r="J20" s="21"/>
      <c r="K20" s="21"/>
      <c r="L20" s="21"/>
      <c r="M20" s="21"/>
      <c r="N20" s="21"/>
      <c r="O20" s="18">
        <v>10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0.33</v>
      </c>
      <c r="E23" s="41">
        <f>D8</f>
        <v>15.475897730494953</v>
      </c>
      <c r="F23" s="22">
        <f>E23*D23</f>
        <v>5.107046251063335</v>
      </c>
      <c r="P23" s="38"/>
    </row>
    <row r="24" spans="2:16" x14ac:dyDescent="0.2">
      <c r="B24" s="9"/>
      <c r="C24" s="9" t="s">
        <v>15</v>
      </c>
      <c r="D24" s="44">
        <v>0.34</v>
      </c>
      <c r="E24" s="41">
        <f>D14</f>
        <v>29.370889637633091</v>
      </c>
      <c r="F24" s="22">
        <f>E24*D24</f>
        <v>9.9861024767952511</v>
      </c>
      <c r="P24" s="38"/>
    </row>
    <row r="25" spans="2:16" ht="13.5" thickBot="1" x14ac:dyDescent="0.25">
      <c r="B25" s="9"/>
      <c r="C25" s="10" t="s">
        <v>29</v>
      </c>
      <c r="D25" s="44">
        <v>0.33</v>
      </c>
      <c r="E25" s="23">
        <f>D20</f>
        <v>6.6338768464647835</v>
      </c>
      <c r="F25" s="24">
        <f>E25*D25</f>
        <v>2.1891793593333788</v>
      </c>
      <c r="P25" s="38"/>
    </row>
    <row r="26" spans="2:16" ht="13.5" thickBot="1" x14ac:dyDescent="0.25">
      <c r="B26" s="9"/>
      <c r="C26" s="36" t="s">
        <v>167</v>
      </c>
      <c r="D26" s="36">
        <f>C3</f>
        <v>12.76</v>
      </c>
      <c r="E26" s="15" t="s">
        <v>11</v>
      </c>
      <c r="F26" s="16">
        <f>SUM(F23:F25)</f>
        <v>17.282328087191967</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5" priority="1" operator="containsText" text="overvalued">
      <formula>NOT(ISERROR(SEARCH("overvalued",D3)))</formula>
    </cfRule>
    <cfRule type="containsText" dxfId="4" priority="2" operator="containsText" text="undervalued">
      <formula>NOT(ISERROR(SEARCH("undervalued",D3)))</formula>
    </cfRule>
  </conditionalFormatting>
  <hyperlinks>
    <hyperlink ref="C30" r:id="rId1" xr:uid="{DB091936-CF3E-0C43-9205-9C217F2E57F5}"/>
    <hyperlink ref="B4" location="'COMPARATIVE TABLE'!A1" display="'COMPARATIVE TABLE'!A1" xr:uid="{21D99385-2C89-B547-8E81-57D0666E7EA1}"/>
  </hyperlinks>
  <pageMargins left="0.7" right="0.7" top="0.78740157499999996" bottom="0.78740157499999996" header="0.3" footer="0.3"/>
  <pageSetup paperSize="9" orientation="portrait" r:id="rId2"/>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1EF9-B92F-4D4B-B644-50ABCCC52DEE}">
  <dimension ref="B1:S30"/>
  <sheetViews>
    <sheetView showGridLines="0" zoomScale="131" zoomScaleNormal="131" workbookViewId="0">
      <selection activeCell="B4" sqref="B4"/>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162</v>
      </c>
      <c r="C2" s="31" t="s">
        <v>36</v>
      </c>
      <c r="D2" s="32"/>
      <c r="E2" s="33"/>
      <c r="F2" s="33"/>
      <c r="G2" s="33"/>
      <c r="H2" s="33"/>
      <c r="I2" s="33"/>
      <c r="J2" s="33"/>
      <c r="K2" s="33"/>
      <c r="L2" s="33"/>
      <c r="M2" s="33"/>
      <c r="N2" s="33"/>
      <c r="O2" s="33"/>
      <c r="P2" s="34"/>
      <c r="S2" s="3" t="s">
        <v>7</v>
      </c>
    </row>
    <row r="3" spans="2:19" ht="13.5" thickBot="1" x14ac:dyDescent="0.25">
      <c r="B3" s="35" t="s">
        <v>227</v>
      </c>
      <c r="C3" s="29">
        <f>'COMPARATIVE TABLE'!C51</f>
        <v>1061.6745683419999</v>
      </c>
      <c r="D3" s="37"/>
      <c r="F3" s="73" t="s">
        <v>189</v>
      </c>
      <c r="G3" s="74"/>
      <c r="H3" s="74"/>
      <c r="I3" s="79">
        <v>0</v>
      </c>
      <c r="P3" s="38"/>
    </row>
    <row r="4" spans="2:19" ht="26.25" thickBot="1" x14ac:dyDescent="0.25">
      <c r="B4" s="39" t="s">
        <v>85</v>
      </c>
      <c r="N4" s="40" t="s">
        <v>5</v>
      </c>
      <c r="O4" s="4" t="s">
        <v>0</v>
      </c>
      <c r="P4" s="38"/>
    </row>
    <row r="5" spans="2:19" x14ac:dyDescent="0.2">
      <c r="B5" s="9" t="s">
        <v>8</v>
      </c>
      <c r="C5" s="5" t="s">
        <v>226</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0.06</v>
      </c>
      <c r="P5" s="38" t="s">
        <v>1</v>
      </c>
      <c r="R5" s="1"/>
    </row>
    <row r="6" spans="2:19" x14ac:dyDescent="0.2">
      <c r="B6" s="9" t="s">
        <v>19</v>
      </c>
      <c r="C6" s="6">
        <v>40</v>
      </c>
      <c r="D6" s="41">
        <f>C6*(1+$O$5)</f>
        <v>42.400000000000006</v>
      </c>
      <c r="E6" s="41">
        <f>D6*(1+$O$5)</f>
        <v>44.94400000000001</v>
      </c>
      <c r="F6" s="41">
        <f>E6*(1+$O$5)</f>
        <v>47.640640000000012</v>
      </c>
      <c r="G6" s="41">
        <f>F6*(1+$O$5)</f>
        <v>50.499078400000016</v>
      </c>
      <c r="H6" s="41">
        <f>G6*(1+$O$5)</f>
        <v>53.529023104000018</v>
      </c>
      <c r="I6" s="41">
        <f>H6*(1+$O$6)</f>
        <v>56.740764490240025</v>
      </c>
      <c r="J6" s="41">
        <f>I6*(1+$O$6)</f>
        <v>60.145210359654428</v>
      </c>
      <c r="K6" s="41">
        <f>J6*(1+$O$6)</f>
        <v>63.7539229812337</v>
      </c>
      <c r="L6" s="41">
        <f>K6*(1+$O$6)</f>
        <v>67.579158360107726</v>
      </c>
      <c r="M6" s="41">
        <f>L6*(1+$O$6)</f>
        <v>71.633907861714192</v>
      </c>
      <c r="N6" s="41">
        <f>L6*O8</f>
        <v>1013.6873754016159</v>
      </c>
      <c r="O6" s="17">
        <v>0.06</v>
      </c>
      <c r="P6" s="27" t="s">
        <v>2</v>
      </c>
    </row>
    <row r="7" spans="2:19" x14ac:dyDescent="0.2">
      <c r="B7" s="9"/>
      <c r="C7" s="7" t="str">
        <f>CONCATENATE(R8,O7*100,S8)</f>
        <v>PV(10%)</v>
      </c>
      <c r="D7" s="41">
        <f>D6*(1+$O$7)^($D$5-D5-1)*$I$3</f>
        <v>0</v>
      </c>
      <c r="E7" s="41">
        <f t="shared" ref="E7:M7" si="1">E6*(1+$O$7)^($D$5-E5-1)*$I$3</f>
        <v>0</v>
      </c>
      <c r="F7" s="41">
        <f t="shared" si="1"/>
        <v>0</v>
      </c>
      <c r="G7" s="41">
        <f t="shared" si="1"/>
        <v>0</v>
      </c>
      <c r="H7" s="41">
        <f t="shared" si="1"/>
        <v>0</v>
      </c>
      <c r="I7" s="41">
        <f t="shared" si="1"/>
        <v>0</v>
      </c>
      <c r="J7" s="41">
        <f t="shared" si="1"/>
        <v>0</v>
      </c>
      <c r="K7" s="41">
        <f t="shared" si="1"/>
        <v>0</v>
      </c>
      <c r="L7" s="41">
        <f t="shared" si="1"/>
        <v>0</v>
      </c>
      <c r="M7" s="41">
        <f t="shared" si="1"/>
        <v>0</v>
      </c>
      <c r="N7" s="41">
        <f t="shared" ref="N7" si="2">N6*(1+$O$7)^($D$5-N5-1)</f>
        <v>390.82036516552733</v>
      </c>
      <c r="O7" s="17">
        <v>0.1</v>
      </c>
      <c r="P7" s="38" t="s">
        <v>3</v>
      </c>
    </row>
    <row r="8" spans="2:19" ht="13.5" thickBot="1" x14ac:dyDescent="0.25">
      <c r="B8" s="9"/>
      <c r="C8" s="8" t="s">
        <v>26</v>
      </c>
      <c r="D8" s="20">
        <f>SUM(D7:N7)</f>
        <v>390.82036516552733</v>
      </c>
      <c r="E8" s="21"/>
      <c r="F8" s="21"/>
      <c r="G8" s="21"/>
      <c r="H8" s="21"/>
      <c r="I8" s="21"/>
      <c r="J8" s="21"/>
      <c r="K8" s="21"/>
      <c r="L8" s="21"/>
      <c r="M8" s="21"/>
      <c r="N8" s="21"/>
      <c r="O8" s="18">
        <v>15</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Net income</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0.08</v>
      </c>
      <c r="P11" s="38" t="s">
        <v>1</v>
      </c>
    </row>
    <row r="12" spans="2:19" x14ac:dyDescent="0.2">
      <c r="B12" s="9" t="s">
        <v>18</v>
      </c>
      <c r="C12" s="6">
        <f>C6</f>
        <v>40</v>
      </c>
      <c r="D12" s="41">
        <f>C12*(1+$O$11)</f>
        <v>43.2</v>
      </c>
      <c r="E12" s="41">
        <f>D12*(1+$O$11)</f>
        <v>46.656000000000006</v>
      </c>
      <c r="F12" s="41">
        <f>E12*(1+$O$11)</f>
        <v>50.388480000000008</v>
      </c>
      <c r="G12" s="41">
        <f>F12*(1+$O$11)</f>
        <v>54.419558400000014</v>
      </c>
      <c r="H12" s="41">
        <f>G12*(1+$O$11)</f>
        <v>58.773123072000018</v>
      </c>
      <c r="I12" s="41">
        <f>H12*(1+$O$12)</f>
        <v>63.474972917760027</v>
      </c>
      <c r="J12" s="41">
        <f>I12*(1+$O$12)</f>
        <v>68.552970751180837</v>
      </c>
      <c r="K12" s="41">
        <f>J12*(1+$O$12)</f>
        <v>74.037208411275316</v>
      </c>
      <c r="L12" s="41">
        <f>K12*(1+$O$12)</f>
        <v>79.96018508417734</v>
      </c>
      <c r="M12" s="41">
        <f>L12*(1+$O$12)</f>
        <v>86.356999890911538</v>
      </c>
      <c r="N12" s="41">
        <f>L12*O14</f>
        <v>1999.0046271044334</v>
      </c>
      <c r="O12" s="17">
        <v>0.08</v>
      </c>
      <c r="P12" s="27" t="s">
        <v>2</v>
      </c>
    </row>
    <row r="13" spans="2:19" x14ac:dyDescent="0.2">
      <c r="B13" s="9">
        <f>B7</f>
        <v>0</v>
      </c>
      <c r="C13" s="7" t="str">
        <f>C7</f>
        <v>PV(10%)</v>
      </c>
      <c r="D13" s="41">
        <f>D12*(1+$O$13)^($D$11-D11-1)*$I$3</f>
        <v>0</v>
      </c>
      <c r="E13" s="41">
        <f t="shared" ref="E13:M13" si="4">E12*(1+$O$13)^($D$11-E11-1)*$I$3</f>
        <v>0</v>
      </c>
      <c r="F13" s="41">
        <f t="shared" si="4"/>
        <v>0</v>
      </c>
      <c r="G13" s="41">
        <f t="shared" si="4"/>
        <v>0</v>
      </c>
      <c r="H13" s="41">
        <f t="shared" si="4"/>
        <v>0</v>
      </c>
      <c r="I13" s="41">
        <f t="shared" si="4"/>
        <v>0</v>
      </c>
      <c r="J13" s="41">
        <f t="shared" si="4"/>
        <v>0</v>
      </c>
      <c r="K13" s="41">
        <f t="shared" si="4"/>
        <v>0</v>
      </c>
      <c r="L13" s="41">
        <f t="shared" si="4"/>
        <v>0</v>
      </c>
      <c r="M13" s="41">
        <f t="shared" si="4"/>
        <v>0</v>
      </c>
      <c r="N13" s="41">
        <f>N12*(1+$O$7)^($D$5-N11-1)</f>
        <v>770.7028195186972</v>
      </c>
      <c r="O13" s="17">
        <f>O7</f>
        <v>0.1</v>
      </c>
      <c r="P13" s="38" t="s">
        <v>3</v>
      </c>
    </row>
    <row r="14" spans="2:19" ht="13.5" thickBot="1" x14ac:dyDescent="0.25">
      <c r="B14" s="9"/>
      <c r="C14" s="8" t="s">
        <v>4</v>
      </c>
      <c r="D14" s="20">
        <f>SUM(D13:N13)</f>
        <v>770.7028195186972</v>
      </c>
      <c r="E14" s="21"/>
      <c r="F14" s="21"/>
      <c r="G14" s="21"/>
      <c r="H14" s="21"/>
      <c r="I14" s="21"/>
      <c r="J14" s="21"/>
      <c r="K14" s="21"/>
      <c r="L14" s="21"/>
      <c r="M14" s="21"/>
      <c r="N14" s="21"/>
      <c r="O14" s="18">
        <v>25</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Net income</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0.05</v>
      </c>
      <c r="P17" s="38" t="s">
        <v>1</v>
      </c>
    </row>
    <row r="18" spans="2:16" x14ac:dyDescent="0.2">
      <c r="B18" s="9" t="s">
        <v>17</v>
      </c>
      <c r="C18" s="6">
        <f>C12</f>
        <v>40</v>
      </c>
      <c r="D18" s="41">
        <f>C18*(1+$O$17)</f>
        <v>42</v>
      </c>
      <c r="E18" s="41">
        <f>D18*(1+$O$17)</f>
        <v>44.1</v>
      </c>
      <c r="F18" s="41">
        <f>E18*(1+$O$17)</f>
        <v>46.305000000000007</v>
      </c>
      <c r="G18" s="41">
        <f>F18*(1+$O$17)</f>
        <v>48.620250000000006</v>
      </c>
      <c r="H18" s="41">
        <f>G18*(1+$O$17)</f>
        <v>51.051262500000007</v>
      </c>
      <c r="I18" s="41">
        <f>H18*(1+$O$18)</f>
        <v>53.603825625000013</v>
      </c>
      <c r="J18" s="41">
        <f>I18*(1+$O$18)</f>
        <v>56.284016906250017</v>
      </c>
      <c r="K18" s="41">
        <f>J18*(1+$O$18)</f>
        <v>59.098217751562522</v>
      </c>
      <c r="L18" s="41">
        <f>K18*(1+$O$18)</f>
        <v>62.053128639140652</v>
      </c>
      <c r="M18" s="41">
        <f>L18*(1+$O$18)</f>
        <v>65.155785071097682</v>
      </c>
      <c r="N18" s="41">
        <f>L18*O20</f>
        <v>744.63754366968783</v>
      </c>
      <c r="O18" s="17">
        <v>0.05</v>
      </c>
      <c r="P18" s="27" t="s">
        <v>2</v>
      </c>
    </row>
    <row r="19" spans="2:16" x14ac:dyDescent="0.2">
      <c r="B19" s="9" t="s">
        <v>155</v>
      </c>
      <c r="C19" s="7" t="str">
        <f>C13</f>
        <v>PV(10%)</v>
      </c>
      <c r="D19" s="41">
        <f>D18*(1+$O$19)^($D$17-D17-1)*$I$3</f>
        <v>0</v>
      </c>
      <c r="E19" s="41">
        <f t="shared" ref="E19:M19" si="6">E18*(1+$O$19)^($D$17-E17-1)*$I$3</f>
        <v>0</v>
      </c>
      <c r="F19" s="41">
        <f t="shared" si="6"/>
        <v>0</v>
      </c>
      <c r="G19" s="41">
        <f t="shared" si="6"/>
        <v>0</v>
      </c>
      <c r="H19" s="41">
        <f t="shared" si="6"/>
        <v>0</v>
      </c>
      <c r="I19" s="41">
        <f t="shared" si="6"/>
        <v>0</v>
      </c>
      <c r="J19" s="41">
        <f t="shared" si="6"/>
        <v>0</v>
      </c>
      <c r="K19" s="41">
        <f t="shared" si="6"/>
        <v>0</v>
      </c>
      <c r="L19" s="41">
        <f t="shared" si="6"/>
        <v>0</v>
      </c>
      <c r="M19" s="41">
        <f t="shared" si="6"/>
        <v>0</v>
      </c>
      <c r="N19" s="41">
        <f t="shared" ref="N19" si="7">N18*(1+$O$19)^($D$17-N17-1)</f>
        <v>287.09000801913783</v>
      </c>
      <c r="O19" s="17">
        <f>O13</f>
        <v>0.1</v>
      </c>
      <c r="P19" s="38" t="s">
        <v>3</v>
      </c>
    </row>
    <row r="20" spans="2:16" ht="13.5" thickBot="1" x14ac:dyDescent="0.25">
      <c r="B20" s="9" t="s">
        <v>156</v>
      </c>
      <c r="C20" s="8" t="s">
        <v>4</v>
      </c>
      <c r="D20" s="20">
        <f>SUM(D19:N19)</f>
        <v>287.09000801913783</v>
      </c>
      <c r="E20" s="21"/>
      <c r="F20" s="21"/>
      <c r="G20" s="21"/>
      <c r="H20" s="21"/>
      <c r="I20" s="21"/>
      <c r="J20" s="21"/>
      <c r="K20" s="21"/>
      <c r="L20" s="21"/>
      <c r="M20" s="21"/>
      <c r="N20" s="21"/>
      <c r="O20" s="18">
        <v>12</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0.33</v>
      </c>
      <c r="E23" s="41">
        <f>D8</f>
        <v>390.82036516552733</v>
      </c>
      <c r="F23" s="22">
        <f>E23*D23</f>
        <v>128.97072050462404</v>
      </c>
      <c r="P23" s="38"/>
    </row>
    <row r="24" spans="2:16" x14ac:dyDescent="0.2">
      <c r="B24" s="9"/>
      <c r="C24" s="9" t="s">
        <v>15</v>
      </c>
      <c r="D24" s="44">
        <v>0.34</v>
      </c>
      <c r="E24" s="41">
        <f>D14</f>
        <v>770.7028195186972</v>
      </c>
      <c r="F24" s="22">
        <f>E24*D24</f>
        <v>262.03895863635705</v>
      </c>
      <c r="P24" s="38"/>
    </row>
    <row r="25" spans="2:16" ht="13.5" thickBot="1" x14ac:dyDescent="0.25">
      <c r="B25" s="9"/>
      <c r="C25" s="10" t="s">
        <v>29</v>
      </c>
      <c r="D25" s="44">
        <v>0.33</v>
      </c>
      <c r="E25" s="23">
        <f>D20</f>
        <v>287.09000801913783</v>
      </c>
      <c r="F25" s="24">
        <f>E25*D25</f>
        <v>94.739702646315493</v>
      </c>
      <c r="P25" s="38"/>
    </row>
    <row r="26" spans="2:16" ht="13.5" thickBot="1" x14ac:dyDescent="0.25">
      <c r="B26" s="9"/>
      <c r="C26" s="36" t="s">
        <v>167</v>
      </c>
      <c r="D26" s="36">
        <f>C3</f>
        <v>1061.6745683419999</v>
      </c>
      <c r="E26" s="15" t="s">
        <v>11</v>
      </c>
      <c r="F26" s="16">
        <f>SUM(F23:F25)</f>
        <v>485.74938178729661</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3" priority="1" operator="containsText" text="overvalued">
      <formula>NOT(ISERROR(SEARCH("overvalued",D3)))</formula>
    </cfRule>
    <cfRule type="containsText" dxfId="2" priority="2" operator="containsText" text="undervalued">
      <formula>NOT(ISERROR(SEARCH("undervalued",D3)))</formula>
    </cfRule>
  </conditionalFormatting>
  <hyperlinks>
    <hyperlink ref="C30" r:id="rId1" xr:uid="{E0E648BE-6A15-CC44-9FE6-41484B98137A}"/>
    <hyperlink ref="B4" location="'COMPARATIVE TABLE'!A1" display="'COMPARATIVE TABLE'!A1" xr:uid="{9420741F-18B4-9149-BF86-122FC6FC9295}"/>
  </hyperlinks>
  <pageMargins left="0.7" right="0.7" top="0.78740157499999996" bottom="0.78740157499999996" header="0.3" footer="0.3"/>
  <pageSetup paperSize="9" orientation="portrait"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0A2F-328C-4078-A166-2894DE1619F1}">
  <dimension ref="B1:S30"/>
  <sheetViews>
    <sheetView showGridLines="0" zoomScaleNormal="100" workbookViewId="0">
      <selection activeCell="D42" sqref="D42"/>
    </sheetView>
  </sheetViews>
  <sheetFormatPr defaultColWidth="11.42578125" defaultRowHeight="12.75" x14ac:dyDescent="0.2"/>
  <cols>
    <col min="1" max="1" width="4.28515625" customWidth="1"/>
    <col min="2" max="2" width="11.42578125" customWidth="1"/>
    <col min="3" max="3" width="23" customWidth="1"/>
    <col min="4" max="4" width="10.7109375" bestFit="1" customWidth="1"/>
    <col min="5" max="5" width="7.42578125" customWidth="1"/>
    <col min="6" max="6" width="9.7109375" customWidth="1"/>
    <col min="7" max="13" width="7" customWidth="1"/>
    <col min="14" max="14" width="10.7109375" bestFit="1" customWidth="1"/>
    <col min="16" max="16" width="20" customWidth="1"/>
  </cols>
  <sheetData>
    <row r="1" spans="2:19" ht="13.5" thickBot="1" x14ac:dyDescent="0.25">
      <c r="S1" s="2" t="s">
        <v>6</v>
      </c>
    </row>
    <row r="2" spans="2:19" ht="16.5" thickBot="1" x14ac:dyDescent="0.3">
      <c r="B2" s="30" t="s">
        <v>162</v>
      </c>
      <c r="C2" s="31" t="s">
        <v>36</v>
      </c>
      <c r="D2" s="32"/>
      <c r="E2" s="33"/>
      <c r="F2" s="33"/>
      <c r="G2" s="33"/>
      <c r="H2" s="33"/>
      <c r="I2" s="33"/>
      <c r="J2" s="33"/>
      <c r="K2" s="33"/>
      <c r="L2" s="33"/>
      <c r="M2" s="33"/>
      <c r="N2" s="33"/>
      <c r="O2" s="33"/>
      <c r="P2" s="34"/>
      <c r="S2" s="3" t="s">
        <v>7</v>
      </c>
    </row>
    <row r="3" spans="2:19" ht="13.5" thickBot="1" x14ac:dyDescent="0.25">
      <c r="B3" s="35" t="s">
        <v>166</v>
      </c>
      <c r="C3" s="36"/>
      <c r="D3" s="37"/>
      <c r="F3" s="11" t="s">
        <v>189</v>
      </c>
      <c r="G3" s="12"/>
      <c r="H3" s="12"/>
      <c r="I3" s="46">
        <v>1</v>
      </c>
      <c r="P3" s="38"/>
    </row>
    <row r="4" spans="2:19" ht="26.25" thickBot="1" x14ac:dyDescent="0.25">
      <c r="B4" s="39" t="s">
        <v>85</v>
      </c>
      <c r="N4" s="40" t="s">
        <v>5</v>
      </c>
      <c r="O4" s="4" t="s">
        <v>0</v>
      </c>
      <c r="P4" s="38"/>
    </row>
    <row r="5" spans="2:19" x14ac:dyDescent="0.2">
      <c r="B5" s="9" t="s">
        <v>8</v>
      </c>
      <c r="C5" s="5" t="s">
        <v>163</v>
      </c>
      <c r="D5" s="19">
        <v>2025</v>
      </c>
      <c r="E5" s="19">
        <f t="shared" ref="E5:M5" si="0">D5+1</f>
        <v>2026</v>
      </c>
      <c r="F5" s="19">
        <f t="shared" si="0"/>
        <v>2027</v>
      </c>
      <c r="G5" s="19">
        <f t="shared" si="0"/>
        <v>2028</v>
      </c>
      <c r="H5" s="19">
        <f t="shared" si="0"/>
        <v>2029</v>
      </c>
      <c r="I5" s="19">
        <f t="shared" si="0"/>
        <v>2030</v>
      </c>
      <c r="J5" s="19">
        <f t="shared" si="0"/>
        <v>2031</v>
      </c>
      <c r="K5" s="19">
        <f t="shared" si="0"/>
        <v>2032</v>
      </c>
      <c r="L5" s="19">
        <f t="shared" si="0"/>
        <v>2033</v>
      </c>
      <c r="M5" s="19">
        <f t="shared" si="0"/>
        <v>2034</v>
      </c>
      <c r="N5" s="19">
        <v>2034</v>
      </c>
      <c r="O5" s="17">
        <v>0.08</v>
      </c>
      <c r="P5" s="38" t="s">
        <v>1</v>
      </c>
      <c r="R5" s="1"/>
    </row>
    <row r="6" spans="2:19" x14ac:dyDescent="0.2">
      <c r="B6" s="9" t="s">
        <v>19</v>
      </c>
      <c r="C6" s="6">
        <v>0.9</v>
      </c>
      <c r="D6" s="41">
        <f>C6*(1+$O$5)</f>
        <v>0.97200000000000009</v>
      </c>
      <c r="E6" s="41">
        <f>D6*(1+$O$5)</f>
        <v>1.0497600000000002</v>
      </c>
      <c r="F6" s="41">
        <f>E6*(1+$O$5)</f>
        <v>1.1337408000000004</v>
      </c>
      <c r="G6" s="41">
        <f>F6*(1+$O$5)</f>
        <v>1.2244400640000006</v>
      </c>
      <c r="H6" s="41">
        <f>G6*(1+$O$5)</f>
        <v>1.3223952691200007</v>
      </c>
      <c r="I6" s="41">
        <f>H6*(1+$O$6)</f>
        <v>1.4281868906496009</v>
      </c>
      <c r="J6" s="41">
        <f>I6*(1+$O$6)</f>
        <v>1.5424418419015691</v>
      </c>
      <c r="K6" s="41">
        <f>J6*(1+$O$6)</f>
        <v>1.6658371892536947</v>
      </c>
      <c r="L6" s="41">
        <f>K6*(1+$O$6)</f>
        <v>1.7991041643939905</v>
      </c>
      <c r="M6" s="41">
        <f>L6*(1+$O$6)</f>
        <v>1.9430324975455098</v>
      </c>
      <c r="N6" s="41">
        <f>L6*O8</f>
        <v>26.986562465909856</v>
      </c>
      <c r="O6" s="17">
        <v>0.08</v>
      </c>
      <c r="P6" s="27" t="s">
        <v>2</v>
      </c>
    </row>
    <row r="7" spans="2:19" x14ac:dyDescent="0.2">
      <c r="B7" s="9"/>
      <c r="C7" s="7" t="str">
        <f>CONCATENATE(R8,O7*100,S8)</f>
        <v>PV(10%)</v>
      </c>
      <c r="D7" s="41">
        <f>D6*(1+$O$7)^($D$5-D5-1)*$I$3</f>
        <v>0.88363636363636366</v>
      </c>
      <c r="E7" s="41">
        <f t="shared" ref="E7:M7" si="1">E6*(1+$O$7)^($D$5-E5-1)*$I$3</f>
        <v>0.86757024793388438</v>
      </c>
      <c r="F7" s="41">
        <f t="shared" si="1"/>
        <v>0.85179624342599558</v>
      </c>
      <c r="G7" s="41">
        <f t="shared" si="1"/>
        <v>0.83630903900006848</v>
      </c>
      <c r="H7" s="41">
        <f t="shared" si="1"/>
        <v>0.82110342010915804</v>
      </c>
      <c r="I7" s="41">
        <f t="shared" si="1"/>
        <v>0.80617426701626438</v>
      </c>
      <c r="J7" s="41">
        <f t="shared" si="1"/>
        <v>0.79151655307051405</v>
      </c>
      <c r="K7" s="41">
        <f t="shared" si="1"/>
        <v>0.77712534301468661</v>
      </c>
      <c r="L7" s="41">
        <f t="shared" si="1"/>
        <v>0.76299579132351047</v>
      </c>
      <c r="M7" s="41">
        <f t="shared" si="1"/>
        <v>0.74912314057217388</v>
      </c>
      <c r="N7" s="41">
        <f t="shared" ref="N7" si="2">N6*(1+$O$7)^($D$5-N5-1)</f>
        <v>10.404488063502415</v>
      </c>
      <c r="O7" s="17">
        <v>0.1</v>
      </c>
      <c r="P7" s="38" t="s">
        <v>3</v>
      </c>
    </row>
    <row r="8" spans="2:19" ht="13.5" thickBot="1" x14ac:dyDescent="0.25">
      <c r="B8" s="9"/>
      <c r="C8" s="8" t="s">
        <v>26</v>
      </c>
      <c r="D8" s="20">
        <f>SUM(D7:N7)</f>
        <v>18.551838472605034</v>
      </c>
      <c r="E8" s="21"/>
      <c r="F8" s="21"/>
      <c r="G8" s="21"/>
      <c r="H8" s="21"/>
      <c r="I8" s="21"/>
      <c r="J8" s="21"/>
      <c r="K8" s="21"/>
      <c r="L8" s="21"/>
      <c r="M8" s="21"/>
      <c r="N8" s="21"/>
      <c r="O8" s="18">
        <v>15</v>
      </c>
      <c r="P8" s="38" t="s">
        <v>20</v>
      </c>
      <c r="R8" s="14" t="s">
        <v>21</v>
      </c>
      <c r="S8" s="14" t="s">
        <v>22</v>
      </c>
    </row>
    <row r="9" spans="2:19" x14ac:dyDescent="0.2">
      <c r="B9" s="9"/>
      <c r="P9" s="38"/>
    </row>
    <row r="10" spans="2:19" ht="26.25" thickBot="1" x14ac:dyDescent="0.25">
      <c r="B10" s="9"/>
      <c r="N10" s="40" t="s">
        <v>5</v>
      </c>
      <c r="O10" s="4" t="s">
        <v>0</v>
      </c>
      <c r="P10" s="38"/>
    </row>
    <row r="11" spans="2:19" x14ac:dyDescent="0.2">
      <c r="B11" s="9" t="s">
        <v>9</v>
      </c>
      <c r="C11" s="5" t="str">
        <f>C5</f>
        <v>input, per share or market cap</v>
      </c>
      <c r="D11" s="19">
        <f>D5</f>
        <v>2025</v>
      </c>
      <c r="E11" s="19">
        <f t="shared" ref="E11:M11" si="3">D11+1</f>
        <v>2026</v>
      </c>
      <c r="F11" s="19">
        <f t="shared" si="3"/>
        <v>2027</v>
      </c>
      <c r="G11" s="19">
        <f t="shared" si="3"/>
        <v>2028</v>
      </c>
      <c r="H11" s="19">
        <f t="shared" si="3"/>
        <v>2029</v>
      </c>
      <c r="I11" s="19">
        <f t="shared" si="3"/>
        <v>2030</v>
      </c>
      <c r="J11" s="19">
        <f t="shared" si="3"/>
        <v>2031</v>
      </c>
      <c r="K11" s="19">
        <f t="shared" si="3"/>
        <v>2032</v>
      </c>
      <c r="L11" s="19">
        <f t="shared" si="3"/>
        <v>2033</v>
      </c>
      <c r="M11" s="19">
        <f t="shared" si="3"/>
        <v>2034</v>
      </c>
      <c r="N11" s="19">
        <f>N5</f>
        <v>2034</v>
      </c>
      <c r="O11" s="17">
        <v>0.1</v>
      </c>
      <c r="P11" s="38" t="s">
        <v>1</v>
      </c>
    </row>
    <row r="12" spans="2:19" x14ac:dyDescent="0.2">
      <c r="B12" s="9" t="s">
        <v>18</v>
      </c>
      <c r="C12" s="6">
        <f>C6</f>
        <v>0.9</v>
      </c>
      <c r="D12" s="41">
        <f>C12*(1+$O$11)</f>
        <v>0.9900000000000001</v>
      </c>
      <c r="E12" s="41">
        <f>D12*(1+$O$11)</f>
        <v>1.0890000000000002</v>
      </c>
      <c r="F12" s="41">
        <f>E12*(1+$O$11)</f>
        <v>1.1979000000000004</v>
      </c>
      <c r="G12" s="41">
        <f>F12*(1+$O$11)</f>
        <v>1.3176900000000005</v>
      </c>
      <c r="H12" s="41">
        <f>G12*(1+$O$11)</f>
        <v>1.4494590000000007</v>
      </c>
      <c r="I12" s="41">
        <f>H12*(1+$O$12)</f>
        <v>1.5944049000000009</v>
      </c>
      <c r="J12" s="41">
        <f>I12*(1+$O$12)</f>
        <v>1.7538453900000011</v>
      </c>
      <c r="K12" s="41">
        <f>J12*(1+$O$12)</f>
        <v>1.9292299290000012</v>
      </c>
      <c r="L12" s="41">
        <f>K12*(1+$O$12)</f>
        <v>2.1221529219000015</v>
      </c>
      <c r="M12" s="41">
        <f>L12*(1+$O$12)</f>
        <v>2.3343682140900017</v>
      </c>
      <c r="N12" s="41">
        <f>L12*O14</f>
        <v>63.664587657000041</v>
      </c>
      <c r="O12" s="17">
        <v>0.1</v>
      </c>
      <c r="P12" s="27" t="s">
        <v>2</v>
      </c>
    </row>
    <row r="13" spans="2:19" x14ac:dyDescent="0.2">
      <c r="B13" s="9">
        <f>B7</f>
        <v>0</v>
      </c>
      <c r="C13" s="7" t="str">
        <f>C7</f>
        <v>PV(10%)</v>
      </c>
      <c r="D13" s="41">
        <f>D12*(1+$O$13)^($D$11-D11-1)*$I$3</f>
        <v>0.9</v>
      </c>
      <c r="E13" s="41">
        <f t="shared" ref="E13:M13" si="4">E12*(1+$O$13)^($D$11-E11-1)*$I$3</f>
        <v>0.9</v>
      </c>
      <c r="F13" s="41">
        <f t="shared" si="4"/>
        <v>0.9</v>
      </c>
      <c r="G13" s="41">
        <f t="shared" si="4"/>
        <v>0.90000000000000013</v>
      </c>
      <c r="H13" s="41">
        <f t="shared" si="4"/>
        <v>0.90000000000000013</v>
      </c>
      <c r="I13" s="41">
        <f t="shared" si="4"/>
        <v>0.90000000000000013</v>
      </c>
      <c r="J13" s="41">
        <f t="shared" si="4"/>
        <v>0.9</v>
      </c>
      <c r="K13" s="41">
        <f t="shared" si="4"/>
        <v>0.9</v>
      </c>
      <c r="L13" s="41">
        <f t="shared" si="4"/>
        <v>0.90000000000000013</v>
      </c>
      <c r="M13" s="41">
        <f t="shared" si="4"/>
        <v>0.9</v>
      </c>
      <c r="N13" s="41">
        <f>N12*(1+$O$7)^($D$5-N11-1)</f>
        <v>24.545454545454543</v>
      </c>
      <c r="O13" s="17">
        <f>O7</f>
        <v>0.1</v>
      </c>
      <c r="P13" s="38" t="s">
        <v>3</v>
      </c>
    </row>
    <row r="14" spans="2:19" ht="13.5" thickBot="1" x14ac:dyDescent="0.25">
      <c r="B14" s="9"/>
      <c r="C14" s="8" t="s">
        <v>4</v>
      </c>
      <c r="D14" s="20">
        <f>SUM(D13:N13)</f>
        <v>33.545454545454547</v>
      </c>
      <c r="E14" s="21"/>
      <c r="F14" s="21"/>
      <c r="G14" s="21"/>
      <c r="H14" s="21"/>
      <c r="I14" s="21"/>
      <c r="J14" s="21"/>
      <c r="K14" s="21"/>
      <c r="L14" s="21"/>
      <c r="M14" s="21"/>
      <c r="N14" s="21"/>
      <c r="O14" s="18">
        <v>30</v>
      </c>
      <c r="P14" s="38" t="s">
        <v>20</v>
      </c>
    </row>
    <row r="15" spans="2:19" x14ac:dyDescent="0.2">
      <c r="B15" s="9"/>
      <c r="P15" s="38"/>
    </row>
    <row r="16" spans="2:19" ht="26.25" thickBot="1" x14ac:dyDescent="0.25">
      <c r="B16" s="9"/>
      <c r="N16" s="40" t="s">
        <v>5</v>
      </c>
      <c r="O16" s="4" t="s">
        <v>0</v>
      </c>
      <c r="P16" s="38"/>
    </row>
    <row r="17" spans="2:16" x14ac:dyDescent="0.2">
      <c r="B17" s="9" t="s">
        <v>10</v>
      </c>
      <c r="C17" s="5" t="str">
        <f>C11</f>
        <v>input, per share or market cap</v>
      </c>
      <c r="D17" s="19">
        <f>D11</f>
        <v>2025</v>
      </c>
      <c r="E17" s="19">
        <f t="shared" ref="E17:M17" si="5">D17+1</f>
        <v>2026</v>
      </c>
      <c r="F17" s="19">
        <f t="shared" si="5"/>
        <v>2027</v>
      </c>
      <c r="G17" s="19">
        <f t="shared" si="5"/>
        <v>2028</v>
      </c>
      <c r="H17" s="19">
        <f t="shared" si="5"/>
        <v>2029</v>
      </c>
      <c r="I17" s="19">
        <f t="shared" si="5"/>
        <v>2030</v>
      </c>
      <c r="J17" s="19">
        <f t="shared" si="5"/>
        <v>2031</v>
      </c>
      <c r="K17" s="19">
        <f t="shared" si="5"/>
        <v>2032</v>
      </c>
      <c r="L17" s="19">
        <f t="shared" si="5"/>
        <v>2033</v>
      </c>
      <c r="M17" s="19">
        <f t="shared" si="5"/>
        <v>2034</v>
      </c>
      <c r="N17" s="19">
        <f>N11</f>
        <v>2034</v>
      </c>
      <c r="O17" s="17">
        <v>0.04</v>
      </c>
      <c r="P17" s="38" t="s">
        <v>1</v>
      </c>
    </row>
    <row r="18" spans="2:16" x14ac:dyDescent="0.2">
      <c r="B18" s="9" t="s">
        <v>17</v>
      </c>
      <c r="C18" s="6">
        <f>C12</f>
        <v>0.9</v>
      </c>
      <c r="D18" s="41">
        <f>C18*(1+$O$17)</f>
        <v>0.93600000000000005</v>
      </c>
      <c r="E18" s="41">
        <f>D18*(1+$O$17)</f>
        <v>0.97344000000000008</v>
      </c>
      <c r="F18" s="41">
        <f>E18*(1+$O$17)</f>
        <v>1.0123776000000002</v>
      </c>
      <c r="G18" s="41">
        <f>F18*(1+$O$17)</f>
        <v>1.0528727040000003</v>
      </c>
      <c r="H18" s="41">
        <f>G18*(1+$O$17)</f>
        <v>1.0949876121600004</v>
      </c>
      <c r="I18" s="41">
        <f>H18*(1+$O$18)</f>
        <v>1.1387871166464005</v>
      </c>
      <c r="J18" s="41">
        <f>I18*(1+$O$18)</f>
        <v>1.1843386013122565</v>
      </c>
      <c r="K18" s="41">
        <f>J18*(1+$O$18)</f>
        <v>1.2317121453647468</v>
      </c>
      <c r="L18" s="41">
        <f>K18*(1+$O$18)</f>
        <v>1.2809806311793368</v>
      </c>
      <c r="M18" s="41">
        <f>L18*(1+$O$18)</f>
        <v>1.3322198564265104</v>
      </c>
      <c r="N18" s="41">
        <f>L18*O20</f>
        <v>12.809806311793368</v>
      </c>
      <c r="O18" s="17">
        <v>0.04</v>
      </c>
      <c r="P18" s="27" t="s">
        <v>2</v>
      </c>
    </row>
    <row r="19" spans="2:16" x14ac:dyDescent="0.2">
      <c r="B19" s="9" t="s">
        <v>155</v>
      </c>
      <c r="C19" s="7" t="str">
        <f>C13</f>
        <v>PV(10%)</v>
      </c>
      <c r="D19" s="41">
        <f>D18*(1+$O$19)^($D$17-D17-1)*$I$3</f>
        <v>0.85090909090909095</v>
      </c>
      <c r="E19" s="41">
        <f t="shared" ref="E19:M19" si="6">E18*(1+$O$19)^($D$17-E17-1)*$I$3</f>
        <v>0.80449586776859505</v>
      </c>
      <c r="F19" s="41">
        <f t="shared" si="6"/>
        <v>0.76061427498121703</v>
      </c>
      <c r="G19" s="41">
        <f t="shared" si="6"/>
        <v>0.71912622361860534</v>
      </c>
      <c r="H19" s="41">
        <f t="shared" si="6"/>
        <v>0.67990115687577224</v>
      </c>
      <c r="I19" s="41">
        <f t="shared" si="6"/>
        <v>0.64281563922800289</v>
      </c>
      <c r="J19" s="41">
        <f t="shared" si="6"/>
        <v>0.60775296799738443</v>
      </c>
      <c r="K19" s="41">
        <f t="shared" si="6"/>
        <v>0.57460280610661807</v>
      </c>
      <c r="L19" s="41">
        <f t="shared" si="6"/>
        <v>0.54326083486443888</v>
      </c>
      <c r="M19" s="41">
        <f t="shared" si="6"/>
        <v>0.51362842569001499</v>
      </c>
      <c r="N19" s="41">
        <f t="shared" ref="N19" si="7">N18*(1+$O$19)^($D$17-N17-1)</f>
        <v>4.9387348624039893</v>
      </c>
      <c r="O19" s="17">
        <f>O13</f>
        <v>0.1</v>
      </c>
      <c r="P19" s="38" t="s">
        <v>3</v>
      </c>
    </row>
    <row r="20" spans="2:16" ht="13.5" thickBot="1" x14ac:dyDescent="0.25">
      <c r="B20" s="9" t="s">
        <v>156</v>
      </c>
      <c r="C20" s="8" t="s">
        <v>4</v>
      </c>
      <c r="D20" s="20">
        <f>SUM(D19:N19)</f>
        <v>11.635842150443729</v>
      </c>
      <c r="E20" s="21"/>
      <c r="F20" s="21"/>
      <c r="G20" s="21"/>
      <c r="H20" s="21"/>
      <c r="I20" s="21"/>
      <c r="J20" s="21"/>
      <c r="K20" s="21"/>
      <c r="L20" s="21"/>
      <c r="M20" s="21"/>
      <c r="N20" s="21"/>
      <c r="O20" s="18">
        <v>10</v>
      </c>
      <c r="P20" s="38" t="s">
        <v>20</v>
      </c>
    </row>
    <row r="21" spans="2:16" ht="13.5" thickBot="1" x14ac:dyDescent="0.25">
      <c r="B21" s="9"/>
      <c r="P21" s="38"/>
    </row>
    <row r="22" spans="2:16" ht="13.5" thickBot="1" x14ac:dyDescent="0.25">
      <c r="B22" s="9"/>
      <c r="C22" s="11" t="s">
        <v>12</v>
      </c>
      <c r="D22" s="12" t="s">
        <v>16</v>
      </c>
      <c r="E22" s="12" t="s">
        <v>13</v>
      </c>
      <c r="F22" s="13" t="s">
        <v>14</v>
      </c>
      <c r="P22" s="38"/>
    </row>
    <row r="23" spans="2:16" x14ac:dyDescent="0.2">
      <c r="B23" s="9"/>
      <c r="C23" s="9" t="s">
        <v>28</v>
      </c>
      <c r="D23" s="44">
        <v>0.6</v>
      </c>
      <c r="E23" s="41">
        <f>D8</f>
        <v>18.551838472605034</v>
      </c>
      <c r="F23" s="22">
        <f>E23*D23</f>
        <v>11.131103083563021</v>
      </c>
      <c r="P23" s="38"/>
    </row>
    <row r="24" spans="2:16" x14ac:dyDescent="0.2">
      <c r="B24" s="9"/>
      <c r="C24" s="9" t="s">
        <v>15</v>
      </c>
      <c r="D24" s="44">
        <v>0.2</v>
      </c>
      <c r="E24" s="41">
        <f>D14</f>
        <v>33.545454545454547</v>
      </c>
      <c r="F24" s="22">
        <f>E24*D24</f>
        <v>6.7090909090909099</v>
      </c>
      <c r="P24" s="38"/>
    </row>
    <row r="25" spans="2:16" ht="13.5" thickBot="1" x14ac:dyDescent="0.25">
      <c r="B25" s="9"/>
      <c r="C25" s="10" t="s">
        <v>29</v>
      </c>
      <c r="D25" s="44">
        <v>0.2</v>
      </c>
      <c r="E25" s="23">
        <f>D20</f>
        <v>11.635842150443729</v>
      </c>
      <c r="F25" s="24">
        <f>E25*D25</f>
        <v>2.3271684300887459</v>
      </c>
      <c r="P25" s="38"/>
    </row>
    <row r="26" spans="2:16" ht="13.5" thickBot="1" x14ac:dyDescent="0.25">
      <c r="B26" s="9"/>
      <c r="C26" s="36" t="s">
        <v>167</v>
      </c>
      <c r="D26" s="36">
        <f>C3</f>
        <v>0</v>
      </c>
      <c r="E26" s="15" t="s">
        <v>11</v>
      </c>
      <c r="F26" s="16">
        <f>SUM(F23:F25)</f>
        <v>20.167362422742677</v>
      </c>
      <c r="P26" s="38"/>
    </row>
    <row r="27" spans="2:16" x14ac:dyDescent="0.2">
      <c r="B27" s="9"/>
      <c r="P27" s="38"/>
    </row>
    <row r="28" spans="2:16" x14ac:dyDescent="0.2">
      <c r="B28" s="9" t="s">
        <v>24</v>
      </c>
      <c r="P28" s="38"/>
    </row>
    <row r="29" spans="2:16" x14ac:dyDescent="0.2">
      <c r="B29" s="9"/>
      <c r="P29" s="38"/>
    </row>
    <row r="30" spans="2:16" ht="13.5" thickBot="1" x14ac:dyDescent="0.25">
      <c r="B30" s="10" t="s">
        <v>23</v>
      </c>
      <c r="C30" s="42" t="s">
        <v>25</v>
      </c>
      <c r="D30" s="26"/>
      <c r="E30" s="26"/>
      <c r="F30" s="26"/>
      <c r="G30" s="26"/>
      <c r="H30" s="26"/>
      <c r="I30" s="26"/>
      <c r="J30" s="26"/>
      <c r="K30" s="26"/>
      <c r="L30" s="26"/>
      <c r="M30" s="26"/>
      <c r="N30" s="26"/>
      <c r="O30" s="26"/>
      <c r="P30" s="43"/>
    </row>
  </sheetData>
  <conditionalFormatting sqref="D3">
    <cfRule type="containsText" dxfId="1" priority="1" operator="containsText" text="overvalued">
      <formula>NOT(ISERROR(SEARCH("overvalued",D3)))</formula>
    </cfRule>
    <cfRule type="containsText" dxfId="0" priority="2" operator="containsText" text="undervalued">
      <formula>NOT(ISERROR(SEARCH("undervalued",D3)))</formula>
    </cfRule>
  </conditionalFormatting>
  <hyperlinks>
    <hyperlink ref="C30" r:id="rId1" xr:uid="{748A716F-BBBC-4CF4-9E10-47503BE7F6CE}"/>
    <hyperlink ref="B4" location="'COMPARATIVE TABLE'!A1" display="'COMPARATIVE TABLE'!A1" xr:uid="{746FEC96-C899-490A-8059-F65CFCF1BE34}"/>
  </hyperlinks>
  <pageMargins left="0.7" right="0.7" top="0.78740157499999996" bottom="0.78740157499999996"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49</vt:i4>
      </vt:variant>
      <vt:variant>
        <vt:lpstr>Named Ranges</vt:lpstr>
      </vt:variant>
      <vt:variant>
        <vt:i4>1</vt:i4>
      </vt:variant>
    </vt:vector>
  </HeadingPairs>
  <TitlesOfParts>
    <vt:vector size="50" baseType="lpstr">
      <vt:lpstr>Template</vt:lpstr>
      <vt:lpstr>COMPARATIVE TABLE</vt:lpstr>
      <vt:lpstr>MKT CAP - Price</vt:lpstr>
      <vt:lpstr>LXS</vt:lpstr>
      <vt:lpstr>AKER</vt:lpstr>
      <vt:lpstr>Ahold</vt:lpstr>
      <vt:lpstr>BABA</vt:lpstr>
      <vt:lpstr>ACOMO</vt:lpstr>
      <vt:lpstr>ADM</vt:lpstr>
      <vt:lpstr>ABF</vt:lpstr>
      <vt:lpstr>BRK.B</vt:lpstr>
      <vt:lpstr>LND</vt:lpstr>
      <vt:lpstr>CEMBRE</vt:lpstr>
      <vt:lpstr>CHM</vt:lpstr>
      <vt:lpstr>CK</vt:lpstr>
      <vt:lpstr>Clarks</vt:lpstr>
      <vt:lpstr>FP</vt:lpstr>
      <vt:lpstr>FLOW</vt:lpstr>
      <vt:lpstr>ICL</vt:lpstr>
      <vt:lpstr>LBTYK</vt:lpstr>
      <vt:lpstr>LUNDIN</vt:lpstr>
      <vt:lpstr>Maersk</vt:lpstr>
      <vt:lpstr>Nine D</vt:lpstr>
      <vt:lpstr>NTR</vt:lpstr>
      <vt:lpstr>MOS</vt:lpstr>
      <vt:lpstr>RHIM</vt:lpstr>
      <vt:lpstr>RUI</vt:lpstr>
      <vt:lpstr>LIGHT</vt:lpstr>
      <vt:lpstr>SIRI</vt:lpstr>
      <vt:lpstr>SNRE</vt:lpstr>
      <vt:lpstr>TIBN</vt:lpstr>
      <vt:lpstr>Wilmar</vt:lpstr>
      <vt:lpstr>GLEN</vt:lpstr>
      <vt:lpstr>VZ</vt:lpstr>
      <vt:lpstr>MDLZ</vt:lpstr>
      <vt:lpstr>APPLE</vt:lpstr>
      <vt:lpstr>S&amp;P 500</vt:lpstr>
      <vt:lpstr>GDX</vt:lpstr>
      <vt:lpstr>AMZN</vt:lpstr>
      <vt:lpstr>10yT</vt:lpstr>
      <vt:lpstr>MCD</vt:lpstr>
      <vt:lpstr>NESN</vt:lpstr>
      <vt:lpstr>NKE</vt:lpstr>
      <vt:lpstr>DHL</vt:lpstr>
      <vt:lpstr>SCHD</vt:lpstr>
      <vt:lpstr>GOOG</vt:lpstr>
      <vt:lpstr>PBR</vt:lpstr>
      <vt:lpstr>BRK</vt:lpstr>
      <vt:lpstr>= (3)</vt:lpstr>
      <vt:lpstr>'MKT CAP - Price'!pubhtml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Carlin</dc:creator>
  <cp:lastModifiedBy>Sven Carlin</cp:lastModifiedBy>
  <cp:lastPrinted>2021-01-27T18:55:07Z</cp:lastPrinted>
  <dcterms:created xsi:type="dcterms:W3CDTF">2018-09-24T17:45:43Z</dcterms:created>
  <dcterms:modified xsi:type="dcterms:W3CDTF">2025-09-11T08:16:05Z</dcterms:modified>
</cp:coreProperties>
</file>