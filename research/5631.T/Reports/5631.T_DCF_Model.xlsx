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<sst xmlns="http://schemas.openxmlformats.org/spreadsheetml/2006/main" count="385" uniqueCount="174">
  <si>
    <t xml:space="preserve">Ticker</t>
  </si>
  <si>
    <t xml:space="preserve">5631.T</t>
  </si>
  <si>
    <t xml:space="preserve">Company</t>
  </si>
  <si>
    <t xml:space="preserve">The Japan Steel Works, Ltd.</t>
  </si>
  <si>
    <t xml:space="preserve">Valuation date</t>
  </si>
  <si>
    <t xml:space="preserve">2026-10-31</t>
  </si>
  <si>
    <t xml:space="preserve">Current price</t>
  </si>
  <si>
    <t xml:space="preserve">Price as of</t>
  </si>
  <si>
    <t xml:space="preserve">2026-10-30T06:30:00Z regular close (Tokyo)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</si>
  <si>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</si>
  <si>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</si>
  <si>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</si>
  <si>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</si>
  <si>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</si>
  <si>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JPY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</si>
  <si>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</si>
  <si>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</si>
  <si>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</si>
  <si>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</si>
  <si>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</si>
  <si>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</si>
  <si>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2026-10-31T09:55:13Z</t>
  </si>
  <si>
    <t xml:space="preserve">Drivers file</t>
  </si>
  <si>
    <t xml:space="preserve">5631.T_Drivers.json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</si>
  <si>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</si>
  <si>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</si>
  <si>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</si>
  <si>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JSW as a cyclical capital-goods maker mid-way through a capex and working-capital supercycle: run the FY2027-28 investment peak explicitly in the flows rather than normalising the -JPY 40.6bn FY2026 FCF by hand, then capitalise a mid-cycle owner-FCF margin of ~5% of revenue at a capped 15x multiple. The stock trades at ~22x FY2027 guided EPS and ~13x EV/EBITDA, a multiple that already prices the JGP2028 plan; the DCF asks what the business is worth if the plan is delivered at ~85% and the cash finally arrives in FY2029 onwards.
key_risks_to_valuation: Working-capital capture: at -35% of incremental revenue the model reproduces the plan's FY2027 net-debt path; if the Subcontract Act step is fully behind and capture is nearer -20%, base value rises materially (every 5pp of capture is ~JPY 1.5-2bn/yr of FCF in the growth years).; Terminal cap at 15x FCF binds in the base and bull; a buyer paying the stock's current ~13x EV/EBITDA on a mature margin would value it higher. The cap is the cyclical-discipline rule and is the single largest driver of the gap to the market price.; Order lumpiness: defense orders of JPY 116bn in FY2025 vs 87bn in FY2026; one large MOD contract in either direction moves a year's revenue by 10%+.; Capex overrun or delay at Muroran/Hiroshima extends the negative-FCF window beyond FY2028.; Investment securities are added at 75% of book (JPY 17.6bn, ~JPY 238/share); the company is realising them, so the haircut is conservative but the asset is real.</t>
  </si>
  <si>
    <t xml:space="preserve">Data sources</t>
  </si>
  <si>
    <t xml:space="preserve">price: Yahoo Finance chart API at inputs.price_as_of; 52-week range 5,850-10,620 (price is at the 52-week low).
financials: 5631.T_Metrics.csv / metrics_normalized (FY2009-FY2026 annuals, Q1 FY2027 interim) built from the English tanshin; FY2026 annual report (31 Mar 2026) for balance sheet detail, leases, NCI and the no-potential-shares note; Q1 FY2027 tanshin (30 Jun 2026) for net debt, investment securities and share count; JGP2028 medium-term plan update (Jul 2026) for capex, working-capital and leverage plans.
qualitative: 5631.T_Analysis.json (2026-10-31): business model, segment mix, risks, bull/bear case, guidance.</t>
  </si>
  <si>
    <t xml:space="preserve">Scenario narrative: bear</t>
  </si>
  <si>
    <t xml:space="preserve">The FY2026 defense order drop (-28%) and the Q1 FY2027 sales decline (-14%) prove to be the start of an order air-pocket rather than timing noise: FY2027 comes in at +5%, FY2028 flat and FY2029 -6% as the molding-machine business loses share to Haitian and European makers while EV battery-film and China capex stay weak. The FY2027-28 capex is already committed and is spent into a softer market, so the new capacity is under-absorbed and the EBITDA margin troughs at 9% (FY2021-23 levels) before settling at 10.5%. Net debt stays elevated longer and Japanese rate normalisation raises interest costs. No loss year is modelled, but the FY2015-16 losses are the reminder that project cost overruns in this business can go further than this path.</t>
  </si>
  <si>
    <t xml:space="preserve">Scenario narrative: base</t>
  </si>
  <si>
    <t xml:space="preserve">JSW delivers FY2027 guidance (sales JPY 310bn, OP 27bn) and grows toward but not to the raised JGP2028 targets, reaching ~JPY 347bn in FY2028 and ~JPY 400bn around FY2030. The Hiroshima and Muroran capacity programmes complete on schedule, with capex of ~JPY 31bn/yr in FY2027-28 and the working-capital build from the Subcontract Act and long-WIP defense/nuclear orders continuing at 35% of incremental revenue, so owner FCF is negative for two more years and net debt peaks near the plan's ~JPY 69bn before cash generation recovers. The EBITDA margin dips to 11.9% in FY2027 and matures at 13.5% as defense, nuclear forgings and aftermarket mix improve, giving a mid-cycle owner-FCF margin of ~5% of revenue by year 6. Terminal value is bound by the 15x cap.</t>
  </si>
  <si>
    <t xml:space="preserve">Scenario narrative: bull</t>
  </si>
  <si>
    <t xml:space="preserve">Both structural tailwinds land at once: Japan's defense build-up keeps artillery, armoured-vehicle and missile-canister orders at or above the FY2025 peak, and the European/US nuclear new-build cycle plus AI/data-centre-driven thermal investment fills the doubled Muroran forging capacity. Revenue reaches the JGP2028 JPY 400bn target a year late and approaches the FY2033 vision of 500bn by year 8; EBITDA margin reaches 14.5% on the richer mix and aftermarket growth. The same capex and working-capital burden applies in years 1-2, so the bull case still shows negative owner FCF initially; the difference is the scale of the business it converts into.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</si>
  <si>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</si>
  <si>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</si>
  <si>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</si>
  <si>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</si>
  <si>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</si>
  <si>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</si>
  <si>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</si>
  <si>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</si>
  <si>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</si>
  <si>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</si>
  <si>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</si>
  <si>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</si>
  <si>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</si>
  <si>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</si>
  <si>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</si>
  <si>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</si>
  <si>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</si>
  <si>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</si>
  <si>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</si>
  <si>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</si>
  <si>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</si>
  <si>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</si>
  <si>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</si>
  <si>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</si>
  <si>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</si>
  <si>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</si>
  <si>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</si>
  <si>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OrdersReceived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</si>
  <si>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</si>
  <si>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</si>
  <si>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</si>
  <si>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</si>
  <si>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</si>
  <si>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</si>
  <si>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</si>
  <si>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</si>
  <si>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</si>
  <si>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</si>
  <si>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</si>
  <si>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</si>
  <si>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</si>
  <si>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</si>
  <si>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</si>
  <si>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</si>
  <si>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</si>
  <si>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</si>
  <si>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</si>
  <si>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</si>
  <si>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</si>
  <si>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</si>
  <si>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</si>
  <si>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</si>
  <si>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</si>
  <si>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</si>
  <si>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</si>
  <si>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</si>
  <si>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</si>
  <si>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</si>
  <si>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</si>
  <si>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</si>
  <si>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</si>
  <si>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</si>
  <si>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</si>
  <si>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</si>
  <si>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</si>
  <si>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</si>
  <si>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</si>
  <si>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</si>
  <si>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</si>
  <si>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</si>
  <si>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</si>
  <si>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</si>
  <si>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</si>
  <si>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</si>
  <si>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</si>
  <si>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</si>
  <si>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</si>
  <si>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</si>
  <si>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</si>
  <si>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</si>
  <si>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</si>
  <si>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</si>
  <si>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</si>
  <si>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5631.T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</si>
  <si>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</si>
  <si>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</si>
  <si>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</si>
  <si>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</si>
  <si>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</si>
  <si>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</si>
  <si>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</si>
  <si>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</si>
  <si>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</si>
  <si>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</si>
  <si>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</si>
  <si>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</si>
  <si>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</si>
  <si>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</si>
  <si>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</si>
  <si>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</si>
  <si>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</si>
  <si>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</si>
  <si>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</si>
  <si>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</si>
  <si>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</si>
  <si>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</si>
  <si>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</si>
  <si>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</si>
  <si>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</si>
  <si>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</si>
  <si>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</si>
  <si>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</si>
  <si>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</si>
  <si>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</si>
  <si>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5631.T owner-FCF component DCF: base case (millions, JPY)</t>
  </si>
  <si>
    <t xml:space="preserve">5631.T owner-FCF component DCF: bull case (millions, JPY)</t>
  </si>
  <si>
    <t xml:space="preserve">5631.T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</si>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</sst>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5885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227113</v>
      </c>
      <c r="C2" s="0" t="n">
        <v>161560</v>
      </c>
      <c r="D2" s="0" t="n">
        <v>65552</v>
      </c>
      <c r="E2" s="0" t="n">
        <v>28.86</v>
      </c>
      <c r="F2" s="0" t="n">
        <v>36633</v>
      </c>
      <c r="G2" s="0" t="n">
        <v>16.13</v>
      </c>
      <c r="H2" s="0" t="n">
        <v>48596</v>
      </c>
      <c r="I2" s="0" t="n">
        <v>16034</v>
      </c>
      <c r="J2" s="0" t="n">
        <v>7.06</v>
      </c>
      <c r="K2" s="0" t="n">
        <v>215.95</v>
      </c>
      <c r="L2" s="0" t="n">
        <v>26319</v>
      </c>
      <c r="M2" s="0" t="n">
        <v>22200</v>
      </c>
      <c r="N2" s="0" t="n">
        <v>4119</v>
      </c>
      <c r="O2" s="0" t="n">
        <v>89879</v>
      </c>
      <c r="P2" s="0" t="n">
        <v>296909</v>
      </c>
      <c r="Q2" s="0" t="n">
        <v>206784</v>
      </c>
      <c r="R2" s="0" t="n">
        <v>46437</v>
      </c>
      <c r="S2" s="0" t="n">
        <v>39904</v>
      </c>
      <c r="T2" s="0" t="n">
        <v>74.249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201680</v>
      </c>
      <c r="C3" s="0" t="n">
        <v>143708</v>
      </c>
      <c r="D3" s="0" t="n">
        <v>57971</v>
      </c>
      <c r="E3" s="0" t="n">
        <v>28.74</v>
      </c>
      <c r="F3" s="0" t="n">
        <v>32185</v>
      </c>
      <c r="G3" s="0" t="n">
        <v>15.96</v>
      </c>
      <c r="H3" s="0" t="n">
        <v>46697</v>
      </c>
      <c r="I3" s="0" t="n">
        <v>17528</v>
      </c>
      <c r="J3" s="0" t="n">
        <v>8.69</v>
      </c>
      <c r="K3" s="0" t="n">
        <v>236.1</v>
      </c>
      <c r="L3" s="0" t="n">
        <v>45668</v>
      </c>
      <c r="M3" s="0" t="n">
        <v>35892</v>
      </c>
      <c r="N3" s="0" t="n">
        <v>9776</v>
      </c>
      <c r="O3" s="0" t="n">
        <v>109918</v>
      </c>
      <c r="P3" s="0" t="n">
        <v>322986</v>
      </c>
      <c r="Q3" s="0" t="n">
        <v>211837</v>
      </c>
      <c r="R3" s="0" t="n">
        <v>58441</v>
      </c>
      <c r="S3" s="0" t="n">
        <v>45603</v>
      </c>
      <c r="T3" s="0" t="n">
        <v>74.24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212929</v>
      </c>
      <c r="C4" s="0" t="n">
        <v>155433</v>
      </c>
      <c r="D4" s="0" t="n">
        <v>57496</v>
      </c>
      <c r="E4" s="0" t="n">
        <v>27</v>
      </c>
      <c r="F4" s="0" t="n">
        <v>28495</v>
      </c>
      <c r="G4" s="0" t="n">
        <v>13.38</v>
      </c>
      <c r="H4" s="0" t="n">
        <v>48516</v>
      </c>
      <c r="I4" s="0" t="n">
        <v>16532</v>
      </c>
      <c r="J4" s="0" t="n">
        <v>7.76</v>
      </c>
      <c r="K4" s="0" t="n">
        <v>222.7</v>
      </c>
      <c r="L4" s="0" t="n">
        <v>21774</v>
      </c>
      <c r="M4" s="0" t="n">
        <v>27626</v>
      </c>
      <c r="N4" s="0" t="n">
        <v>-5852</v>
      </c>
      <c r="O4" s="0" t="n">
        <v>119880</v>
      </c>
      <c r="P4" s="0" t="n">
        <v>339263</v>
      </c>
      <c r="Q4" s="0" t="n">
        <v>218443</v>
      </c>
      <c r="R4" s="0" t="n">
        <v>65685</v>
      </c>
      <c r="S4" s="0" t="n">
        <v>41116</v>
      </c>
      <c r="T4" s="0" t="n">
        <v>74.234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221368</v>
      </c>
      <c r="C5" s="0" t="n">
        <v>169733</v>
      </c>
      <c r="D5" s="0" t="n">
        <v>51634</v>
      </c>
      <c r="E5" s="0" t="n">
        <v>23.32</v>
      </c>
      <c r="F5" s="0" t="n">
        <v>23911</v>
      </c>
      <c r="G5" s="0" t="n">
        <v>10.8</v>
      </c>
      <c r="H5" s="0" t="n">
        <v>43155</v>
      </c>
      <c r="I5" s="0" t="n">
        <v>12591</v>
      </c>
      <c r="J5" s="0" t="n">
        <v>5.69</v>
      </c>
      <c r="K5" s="0" t="n">
        <v>169.65</v>
      </c>
      <c r="L5" s="0" t="n">
        <v>32507</v>
      </c>
      <c r="M5" s="0" t="n">
        <v>17233</v>
      </c>
      <c r="N5" s="0" t="n">
        <v>15274</v>
      </c>
      <c r="O5" s="0" t="n">
        <v>127673</v>
      </c>
      <c r="P5" s="0" t="n">
        <v>325653</v>
      </c>
      <c r="Q5" s="0" t="n">
        <v>197040</v>
      </c>
      <c r="R5" s="0" t="n">
        <v>63607</v>
      </c>
      <c r="S5" s="0" t="n">
        <v>48107</v>
      </c>
      <c r="T5" s="0" t="n">
        <v>74.218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220653</v>
      </c>
      <c r="C6" s="0" t="n">
        <v>176172</v>
      </c>
      <c r="D6" s="0" t="n">
        <v>44480</v>
      </c>
      <c r="E6" s="0" t="n">
        <v>20.16</v>
      </c>
      <c r="F6" s="0" t="n">
        <v>16680</v>
      </c>
      <c r="G6" s="0" t="n">
        <v>7.56</v>
      </c>
      <c r="H6" s="0" t="n">
        <v>32670</v>
      </c>
      <c r="I6" s="0" t="n">
        <v>8281</v>
      </c>
      <c r="J6" s="0" t="n">
        <v>3.75</v>
      </c>
      <c r="K6" s="0" t="n">
        <v>111.65</v>
      </c>
      <c r="L6" s="0" t="n">
        <v>23735</v>
      </c>
      <c r="M6" s="0" t="n">
        <v>6209</v>
      </c>
      <c r="N6" s="0" t="n">
        <v>17526</v>
      </c>
      <c r="O6" s="0" t="n">
        <v>133237</v>
      </c>
      <c r="P6" s="0" t="n">
        <v>303970</v>
      </c>
      <c r="Q6" s="0" t="n">
        <v>169602</v>
      </c>
      <c r="R6" s="0" t="n">
        <v>53241</v>
      </c>
      <c r="S6" s="0" t="n">
        <v>50972</v>
      </c>
      <c r="T6" s="0" t="n">
        <v>74.169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188719</v>
      </c>
      <c r="C7" s="0" t="n">
        <v>153137</v>
      </c>
      <c r="D7" s="0" t="n">
        <v>35581</v>
      </c>
      <c r="E7" s="0" t="n">
        <v>18.85</v>
      </c>
      <c r="F7" s="0" t="n">
        <v>8864</v>
      </c>
      <c r="G7" s="0" t="n">
        <v>4.7</v>
      </c>
      <c r="H7" s="0" t="n">
        <v>21742</v>
      </c>
      <c r="I7" s="0" t="n">
        <v>5527</v>
      </c>
      <c r="J7" s="0" t="n">
        <v>2.93</v>
      </c>
      <c r="K7" s="0" t="n">
        <v>74.6</v>
      </c>
      <c r="L7" s="0" t="n">
        <v>11549</v>
      </c>
      <c r="M7" s="0" t="n">
        <v>4610</v>
      </c>
      <c r="N7" s="0" t="n">
        <v>6939</v>
      </c>
      <c r="O7" s="0" t="n">
        <v>138050</v>
      </c>
      <c r="P7" s="0" t="n">
        <v>293139</v>
      </c>
      <c r="Q7" s="0" t="n">
        <v>153871</v>
      </c>
      <c r="R7" s="0" t="n">
        <v>40087</v>
      </c>
      <c r="S7" s="0" t="n">
        <v>42329</v>
      </c>
      <c r="T7" s="0" t="n">
        <v>74.088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194674</v>
      </c>
      <c r="C8" s="0" t="n">
        <v>159188</v>
      </c>
      <c r="D8" s="0" t="n">
        <v>35486</v>
      </c>
      <c r="E8" s="0" t="n">
        <v>18.23</v>
      </c>
      <c r="F8" s="0" t="n">
        <v>7517</v>
      </c>
      <c r="G8" s="0" t="n">
        <v>3.86</v>
      </c>
      <c r="H8" s="0" t="n">
        <v>18525</v>
      </c>
      <c r="I8" s="0" t="n">
        <v>-5327</v>
      </c>
      <c r="J8" s="0" t="n">
        <v>-2.74</v>
      </c>
      <c r="K8" s="0" t="n">
        <v>-71.95</v>
      </c>
      <c r="L8" s="0" t="n">
        <v>11580</v>
      </c>
      <c r="M8" s="0" t="n">
        <v>5392</v>
      </c>
      <c r="N8" s="0" t="n">
        <v>6188</v>
      </c>
      <c r="O8" s="0" t="n">
        <v>136558</v>
      </c>
      <c r="P8" s="0" t="n">
        <v>319667</v>
      </c>
      <c r="Q8" s="0" t="n">
        <v>181432</v>
      </c>
      <c r="R8" s="0" t="n">
        <v>39587</v>
      </c>
      <c r="S8" s="0" t="n">
        <v>49176</v>
      </c>
      <c r="T8" s="0" t="n">
        <v>74.054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223301</v>
      </c>
      <c r="C9" s="0" t="n">
        <v>179197</v>
      </c>
      <c r="D9" s="0" t="n">
        <v>44103</v>
      </c>
      <c r="E9" s="0" t="n">
        <v>19.75</v>
      </c>
      <c r="F9" s="0" t="n">
        <v>14423</v>
      </c>
      <c r="G9" s="0" t="n">
        <v>6.46</v>
      </c>
      <c r="H9" s="0" t="n">
        <v>25092</v>
      </c>
      <c r="I9" s="0" t="n">
        <v>-16600</v>
      </c>
      <c r="J9" s="0" t="n">
        <v>-7.43</v>
      </c>
      <c r="K9" s="0" t="n">
        <v>-226.6</v>
      </c>
      <c r="L9" s="0" t="n">
        <v>19721</v>
      </c>
      <c r="M9" s="0" t="n">
        <v>9976</v>
      </c>
      <c r="N9" s="0" t="n">
        <v>9745</v>
      </c>
      <c r="O9" s="0" t="n">
        <v>110022</v>
      </c>
      <c r="P9" s="0" t="n">
        <v>293138</v>
      </c>
      <c r="Q9" s="0" t="n">
        <v>181797</v>
      </c>
      <c r="R9" s="0" t="n">
        <v>49696</v>
      </c>
      <c r="S9" s="0" t="n">
        <v>62018</v>
      </c>
      <c r="T9" s="0" t="n">
        <v>73.494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212469</v>
      </c>
      <c r="C10" s="0" t="n">
        <v>170695</v>
      </c>
      <c r="D10" s="0" t="n">
        <v>41773</v>
      </c>
      <c r="E10" s="0" t="n">
        <v>19.66</v>
      </c>
      <c r="F10" s="0" t="n">
        <v>12340</v>
      </c>
      <c r="G10" s="0" t="n">
        <v>5.81</v>
      </c>
      <c r="H10" s="0" t="n">
        <v>20198</v>
      </c>
      <c r="I10" s="0" t="n">
        <v>-4968</v>
      </c>
      <c r="J10" s="0" t="n">
        <v>-2.34</v>
      </c>
      <c r="K10" s="0" t="n">
        <v>-67.61</v>
      </c>
      <c r="L10" s="0" t="n">
        <v>12023</v>
      </c>
      <c r="M10" s="0" t="n">
        <v>13348</v>
      </c>
      <c r="N10" s="0" t="n">
        <v>-1325</v>
      </c>
      <c r="O10" s="0" t="n">
        <v>106300</v>
      </c>
      <c r="P10" s="0" t="n">
        <v>275315</v>
      </c>
      <c r="Q10" s="0" t="n">
        <v>167727</v>
      </c>
      <c r="R10" s="0" t="n">
        <v>51024</v>
      </c>
      <c r="S10" s="0" t="n">
        <v>59801</v>
      </c>
      <c r="T10" s="0" t="n">
        <v>73.491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73</v>
      </c>
      <c r="B11" s="0" t="n">
        <v>212957</v>
      </c>
      <c r="C11" s="0" t="n">
        <v>163455</v>
      </c>
      <c r="D11" s="0" t="n">
        <v>49501</v>
      </c>
      <c r="E11" s="0" t="n">
        <v>23.24</v>
      </c>
      <c r="F11" s="0" t="n">
        <v>21318</v>
      </c>
      <c r="G11" s="0" t="n">
        <v>10.01</v>
      </c>
      <c r="H11" s="0" t="n">
        <v>25415</v>
      </c>
      <c r="I11" s="0" t="n">
        <v>10712</v>
      </c>
      <c r="J11" s="0" t="n">
        <v>5.03</v>
      </c>
      <c r="K11" s="0" t="n">
        <v>145.77</v>
      </c>
      <c r="L11" s="0" t="n">
        <v>26712</v>
      </c>
      <c r="M11" s="0" t="n">
        <v>6549</v>
      </c>
      <c r="N11" s="0" t="n">
        <v>20163</v>
      </c>
      <c r="O11" s="0" t="n">
        <v>117031</v>
      </c>
      <c r="P11" s="0" t="n">
        <v>297433</v>
      </c>
      <c r="Q11" s="0" t="n">
        <v>178833</v>
      </c>
      <c r="R11" s="0" t="n">
        <v>51404</v>
      </c>
      <c r="S11" s="0" t="n">
        <v>79032</v>
      </c>
      <c r="T11" s="0" t="n">
        <v>73.49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74</v>
      </c>
      <c r="B12" s="0" t="n">
        <v>220153</v>
      </c>
      <c r="C12" s="0" t="n">
        <v>166622</v>
      </c>
      <c r="D12" s="0" t="n">
        <v>53531</v>
      </c>
      <c r="E12" s="0" t="n">
        <v>24.32</v>
      </c>
      <c r="F12" s="0" t="n">
        <v>24290</v>
      </c>
      <c r="G12" s="0" t="n">
        <v>11.03</v>
      </c>
      <c r="H12" s="0" t="n">
        <v>28714</v>
      </c>
      <c r="I12" s="0" t="n">
        <v>19966</v>
      </c>
      <c r="J12" s="0" t="n">
        <v>9.07</v>
      </c>
      <c r="K12" s="0" t="n">
        <v>271.69</v>
      </c>
      <c r="L12" s="0" t="n">
        <v>1092</v>
      </c>
      <c r="M12" s="0" t="n">
        <v>7347</v>
      </c>
      <c r="N12" s="0" t="n">
        <v>-6255</v>
      </c>
      <c r="O12" s="0" t="n">
        <v>128408</v>
      </c>
      <c r="P12" s="0" t="n">
        <v>305471</v>
      </c>
      <c r="Q12" s="0" t="n">
        <v>175643</v>
      </c>
      <c r="R12" s="0" t="n">
        <v>51495</v>
      </c>
      <c r="S12" s="0" t="n">
        <v>74304</v>
      </c>
      <c r="T12" s="0" t="n">
        <v>73.506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75</v>
      </c>
      <c r="B13" s="0" t="n">
        <v>217527</v>
      </c>
      <c r="C13" s="0" t="n">
        <v>167251</v>
      </c>
      <c r="D13" s="0" t="n">
        <v>50275</v>
      </c>
      <c r="E13" s="0" t="n">
        <v>23.11</v>
      </c>
      <c r="F13" s="0" t="n">
        <v>18709</v>
      </c>
      <c r="G13" s="0" t="n">
        <v>8.6</v>
      </c>
      <c r="H13" s="0" t="n">
        <v>24442</v>
      </c>
      <c r="I13" s="0" t="n">
        <v>9310</v>
      </c>
      <c r="J13" s="0" t="n">
        <v>4.28</v>
      </c>
      <c r="K13" s="0" t="n">
        <v>126.66</v>
      </c>
      <c r="L13" s="0" t="n">
        <v>18959</v>
      </c>
      <c r="M13" s="0" t="n">
        <v>12824</v>
      </c>
      <c r="N13" s="0" t="n">
        <v>6135</v>
      </c>
      <c r="O13" s="0" t="n">
        <v>130804</v>
      </c>
      <c r="P13" s="0" t="n">
        <v>297173</v>
      </c>
      <c r="Q13" s="0" t="n">
        <v>164680</v>
      </c>
      <c r="R13" s="0" t="n">
        <v>50894</v>
      </c>
      <c r="S13" s="0" t="n">
        <v>75525</v>
      </c>
      <c r="T13" s="0" t="n">
        <v>73.529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76</v>
      </c>
      <c r="B14" s="0" t="n">
        <v>198041</v>
      </c>
      <c r="C14" s="0" t="n">
        <v>155758</v>
      </c>
      <c r="D14" s="0" t="n">
        <v>42283</v>
      </c>
      <c r="E14" s="0" t="n">
        <v>21.35</v>
      </c>
      <c r="F14" s="0" t="n">
        <v>10226</v>
      </c>
      <c r="G14" s="0" t="n">
        <v>5.16</v>
      </c>
      <c r="H14" s="0" t="n">
        <v>16266</v>
      </c>
      <c r="I14" s="0" t="n">
        <v>6893</v>
      </c>
      <c r="J14" s="0" t="n">
        <v>3.48</v>
      </c>
      <c r="K14" s="0" t="n">
        <v>93.76</v>
      </c>
      <c r="L14" s="0" t="n">
        <v>14712</v>
      </c>
      <c r="M14" s="0" t="n">
        <v>8276</v>
      </c>
      <c r="N14" s="0" t="n">
        <v>6436</v>
      </c>
      <c r="O14" s="0" t="n">
        <v>140399</v>
      </c>
      <c r="P14" s="0" t="n">
        <v>316249</v>
      </c>
      <c r="Q14" s="0" t="n">
        <v>174263</v>
      </c>
      <c r="R14" s="0" t="n">
        <v>56878</v>
      </c>
      <c r="S14" s="0" t="n">
        <v>89441</v>
      </c>
      <c r="T14" s="0" t="n">
        <v>73.556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77</v>
      </c>
      <c r="B15" s="0" t="n">
        <v>213790</v>
      </c>
      <c r="C15" s="0" t="n">
        <v>165974</v>
      </c>
      <c r="D15" s="0" t="n">
        <v>47816</v>
      </c>
      <c r="E15" s="0" t="n">
        <v>22.37</v>
      </c>
      <c r="F15" s="0" t="n">
        <v>15460</v>
      </c>
      <c r="G15" s="0" t="n">
        <v>7.23</v>
      </c>
      <c r="H15" s="0" t="n">
        <v>21643</v>
      </c>
      <c r="I15" s="0" t="n">
        <v>13948</v>
      </c>
      <c r="J15" s="0" t="n">
        <v>6.52</v>
      </c>
      <c r="K15" s="0" t="n">
        <v>189.63</v>
      </c>
      <c r="L15" s="0" t="n">
        <v>22325</v>
      </c>
      <c r="M15" s="0" t="n">
        <v>8805</v>
      </c>
      <c r="N15" s="0" t="n">
        <v>13520</v>
      </c>
      <c r="O15" s="0" t="n">
        <v>149440</v>
      </c>
      <c r="P15" s="0" t="n">
        <v>339729</v>
      </c>
      <c r="Q15" s="0" t="n">
        <v>188646</v>
      </c>
      <c r="R15" s="0" t="n">
        <v>57493</v>
      </c>
      <c r="S15" s="0" t="n">
        <v>106239</v>
      </c>
      <c r="T15" s="0" t="n">
        <v>73.569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78</v>
      </c>
      <c r="B16" s="0" t="n">
        <v>238721</v>
      </c>
      <c r="C16" s="0" t="n">
        <v>189340</v>
      </c>
      <c r="D16" s="0" t="n">
        <v>49380</v>
      </c>
      <c r="E16" s="0" t="n">
        <v>20.69</v>
      </c>
      <c r="F16" s="0" t="n">
        <v>13846</v>
      </c>
      <c r="G16" s="0" t="n">
        <v>5.8</v>
      </c>
      <c r="H16" s="0" t="n">
        <v>20418</v>
      </c>
      <c r="I16" s="0" t="n">
        <v>11974</v>
      </c>
      <c r="J16" s="0" t="n">
        <v>5.02</v>
      </c>
      <c r="K16" s="0" t="n">
        <v>162.75</v>
      </c>
      <c r="L16" s="0" t="n">
        <v>-986</v>
      </c>
      <c r="M16" s="0" t="n">
        <v>6107</v>
      </c>
      <c r="N16" s="0" t="n">
        <v>-7093</v>
      </c>
      <c r="O16" s="0" t="n">
        <v>159100</v>
      </c>
      <c r="P16" s="0" t="n">
        <v>348358</v>
      </c>
      <c r="Q16" s="0" t="n">
        <v>187721</v>
      </c>
      <c r="R16" s="0" t="n">
        <v>42546</v>
      </c>
      <c r="S16" s="0" t="n">
        <v>87286</v>
      </c>
      <c r="T16" s="0" t="n">
        <v>73.583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79</v>
      </c>
      <c r="B17" s="0" t="n">
        <v>252501</v>
      </c>
      <c r="C17" s="0" t="n">
        <v>195688</v>
      </c>
      <c r="D17" s="0" t="n">
        <v>56813</v>
      </c>
      <c r="E17" s="0" t="n">
        <v>22.5</v>
      </c>
      <c r="F17" s="0" t="n">
        <v>18014</v>
      </c>
      <c r="G17" s="0" t="n">
        <v>7.13</v>
      </c>
      <c r="H17" s="0" t="n">
        <v>25757</v>
      </c>
      <c r="I17" s="0" t="n">
        <v>14278</v>
      </c>
      <c r="J17" s="0" t="n">
        <v>5.65</v>
      </c>
      <c r="K17" s="0" t="n">
        <v>194.02</v>
      </c>
      <c r="L17" s="0" t="n">
        <v>21707</v>
      </c>
      <c r="M17" s="0" t="n">
        <v>9864</v>
      </c>
      <c r="N17" s="0" t="n">
        <v>11843</v>
      </c>
      <c r="O17" s="0" t="n">
        <v>176984</v>
      </c>
      <c r="P17" s="0" t="n">
        <v>366775</v>
      </c>
      <c r="Q17" s="0" t="n">
        <v>188161</v>
      </c>
      <c r="R17" s="0" t="n">
        <v>42476</v>
      </c>
      <c r="S17" s="0" t="n">
        <v>97613</v>
      </c>
      <c r="T17" s="0" t="n">
        <v>73.595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80</v>
      </c>
      <c r="B18" s="0" t="n">
        <v>248556</v>
      </c>
      <c r="C18" s="0" t="n">
        <v>187562</v>
      </c>
      <c r="D18" s="0" t="n">
        <v>60993</v>
      </c>
      <c r="E18" s="0" t="n">
        <v>24.54</v>
      </c>
      <c r="F18" s="0" t="n">
        <v>22824</v>
      </c>
      <c r="G18" s="0" t="n">
        <v>9.18</v>
      </c>
      <c r="H18" s="0" t="n">
        <v>30719</v>
      </c>
      <c r="I18" s="0" t="n">
        <v>17961</v>
      </c>
      <c r="J18" s="0" t="n">
        <v>7.23</v>
      </c>
      <c r="K18" s="0" t="n">
        <v>244.03</v>
      </c>
      <c r="L18" s="0" t="n">
        <v>-4567</v>
      </c>
      <c r="M18" s="0" t="n">
        <v>15110</v>
      </c>
      <c r="N18" s="0" t="n">
        <v>-19677</v>
      </c>
      <c r="O18" s="0" t="n">
        <v>193220</v>
      </c>
      <c r="P18" s="0" t="n">
        <v>398122</v>
      </c>
      <c r="Q18" s="0" t="n">
        <v>203020</v>
      </c>
      <c r="R18" s="0" t="n">
        <v>42212</v>
      </c>
      <c r="S18" s="0" t="n">
        <v>75899</v>
      </c>
      <c r="T18" s="0" t="n">
        <v>73.604</v>
      </c>
      <c r="AA18" s="0" t="s">
        <v>17</v>
      </c>
      <c r="AB18" s="0" t="s">
        <v>14</v>
      </c>
      <c r="AC18" s="0" t="n">
        <v>307921</v>
      </c>
    </row>
    <row r="19" customFormat="false" ht="15" hidden="false" customHeight="false" outlineLevel="0" collapsed="false">
      <c r="A19" s="0" t="s">
        <v>81</v>
      </c>
      <c r="B19" s="0" t="n">
        <v>274852</v>
      </c>
      <c r="C19" s="0" t="n">
        <v>210593</v>
      </c>
      <c r="D19" s="0" t="n">
        <v>64259</v>
      </c>
      <c r="E19" s="0" t="n">
        <v>23.38</v>
      </c>
      <c r="F19" s="0" t="n">
        <v>25306</v>
      </c>
      <c r="G19" s="0" t="n">
        <v>9.21</v>
      </c>
      <c r="H19" s="0" t="n">
        <v>34361</v>
      </c>
      <c r="I19" s="0" t="n">
        <v>19239</v>
      </c>
      <c r="J19" s="0" t="n">
        <v>7</v>
      </c>
      <c r="K19" s="0" t="n">
        <v>261.38</v>
      </c>
      <c r="L19" s="0" t="n">
        <v>-16893</v>
      </c>
      <c r="M19" s="0" t="n">
        <v>23693</v>
      </c>
      <c r="N19" s="0" t="n">
        <v>-40586</v>
      </c>
      <c r="O19" s="0" t="n">
        <v>212431</v>
      </c>
      <c r="P19" s="0" t="n">
        <v>429983</v>
      </c>
      <c r="Q19" s="0" t="n">
        <v>216151</v>
      </c>
      <c r="R19" s="0" t="n">
        <v>86123</v>
      </c>
      <c r="S19" s="0" t="n">
        <v>77763</v>
      </c>
      <c r="T19" s="0" t="n">
        <v>73.611</v>
      </c>
      <c r="AA19" s="0" t="s">
        <v>17</v>
      </c>
      <c r="AB19" s="0" t="s">
        <v>14</v>
      </c>
      <c r="AC19" s="0" t="n">
        <v>306397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5885</v>
      </c>
    </row>
    <row r="3" customFormat="false" ht="15" hidden="false" customHeight="false" outlineLevel="0" collapsed="false">
      <c r="A3" s="0" t="s">
        <v>85</v>
      </c>
      <c r="B3" s="3" t="n">
        <v>73.611</v>
      </c>
    </row>
    <row r="4" customFormat="false" ht="15" hidden="false" customHeight="false" outlineLevel="0" collapsed="false">
      <c r="A4" s="0" t="s">
        <v>86</v>
      </c>
      <c r="B4" s="3" t="n">
        <v>9930</v>
      </c>
    </row>
    <row r="5" customFormat="false" ht="15" hidden="false" customHeight="false" outlineLevel="0" collapsed="false">
      <c r="A5" s="0" t="s">
        <v>87</v>
      </c>
      <c r="B5" s="3" t="n">
        <v>16151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274852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5</v>
      </c>
      <c r="D13" s="3" t="n">
        <v>0</v>
      </c>
      <c r="E13" s="3" t="n">
        <v>-6</v>
      </c>
      <c r="F13" s="3" t="n">
        <v>2</v>
      </c>
      <c r="G13" s="3" t="n">
        <v>3</v>
      </c>
      <c r="H13" s="3" t="n">
        <v>3</v>
      </c>
      <c r="I13" s="3" t="n">
        <v>2.5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106</v>
      </c>
      <c r="C14" s="3" t="n">
        <v>11</v>
      </c>
      <c r="D14" s="3" t="n">
        <v>10</v>
      </c>
      <c r="E14" s="3" t="n">
        <v>9</v>
      </c>
      <c r="F14" s="3" t="n">
        <v>9.5</v>
      </c>
      <c r="G14" s="3" t="n">
        <v>10</v>
      </c>
      <c r="H14" s="3" t="n">
        <v>10.5</v>
      </c>
      <c r="I14" s="3" t="n">
        <v>10.5</v>
      </c>
      <c r="J14" s="3" t="n">
        <v>10.5</v>
      </c>
      <c r="K14" s="3" t="n">
        <v>10.5</v>
      </c>
      <c r="L14" s="3" t="n">
        <v>10.5</v>
      </c>
    </row>
    <row r="15" customFormat="false" ht="15" hidden="false" customHeight="false" outlineLevel="0" collapsed="false">
      <c r="A15" s="0" t="s">
        <v>107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3.4</v>
      </c>
      <c r="D17" s="3" t="n">
        <v>3.8</v>
      </c>
      <c r="E17" s="3" t="n">
        <v>4.2</v>
      </c>
      <c r="F17" s="3" t="n">
        <v>4.3</v>
      </c>
      <c r="G17" s="3" t="n">
        <v>4.3</v>
      </c>
      <c r="H17" s="3" t="n">
        <v>4.2</v>
      </c>
      <c r="I17" s="3" t="n">
        <v>4.2</v>
      </c>
      <c r="J17" s="3" t="n">
        <v>4.2</v>
      </c>
      <c r="K17" s="3" t="n">
        <v>4.2</v>
      </c>
      <c r="L17" s="3" t="n">
        <v>4.2</v>
      </c>
    </row>
    <row r="18" customFormat="false" ht="15" hidden="false" customHeight="false" outlineLevel="0" collapsed="false">
      <c r="A18" s="0" t="s">
        <v>110</v>
      </c>
      <c r="C18" s="3" t="n">
        <v>10</v>
      </c>
      <c r="D18" s="3" t="n">
        <v>8.5</v>
      </c>
      <c r="E18" s="3" t="n">
        <v>5</v>
      </c>
      <c r="F18" s="3" t="n">
        <v>4.5</v>
      </c>
      <c r="G18" s="3" t="n">
        <v>4.5</v>
      </c>
      <c r="H18" s="3" t="n">
        <v>4.2</v>
      </c>
      <c r="I18" s="3" t="n">
        <v>4.2</v>
      </c>
      <c r="J18" s="3" t="n">
        <v>4.2</v>
      </c>
      <c r="K18" s="3" t="n">
        <v>4.2</v>
      </c>
      <c r="L18" s="3" t="n">
        <v>4.2</v>
      </c>
    </row>
    <row r="19" customFormat="false" ht="15" hidden="false" customHeight="false" outlineLevel="0" collapsed="false">
      <c r="A19" s="0" t="s">
        <v>111</v>
      </c>
      <c r="C19" s="3" t="n">
        <v>30.5</v>
      </c>
      <c r="D19" s="3" t="n">
        <v>30.5</v>
      </c>
      <c r="E19" s="3" t="n">
        <v>30.5</v>
      </c>
      <c r="F19" s="3" t="n">
        <v>30.5</v>
      </c>
      <c r="G19" s="3" t="n">
        <v>30.5</v>
      </c>
      <c r="H19" s="3" t="n">
        <v>30.5</v>
      </c>
      <c r="I19" s="3" t="n">
        <v>30.5</v>
      </c>
      <c r="J19" s="3" t="n">
        <v>30.5</v>
      </c>
      <c r="K19" s="3" t="n">
        <v>30.5</v>
      </c>
      <c r="L19" s="3" t="n">
        <v>30.5</v>
      </c>
    </row>
    <row r="20" customFormat="false" ht="15" hidden="false" customHeight="false" outlineLevel="0" collapsed="false">
      <c r="A20" s="0" t="s">
        <v>112</v>
      </c>
      <c r="B20" s="3" t="n">
        <v>8.5</v>
      </c>
    </row>
    <row r="21" customFormat="false" ht="15" hidden="false" customHeight="false" outlineLevel="0" collapsed="false">
      <c r="A21" s="0" t="s">
        <v>113</v>
      </c>
      <c r="B21" s="3" t="n">
        <v>1.5</v>
      </c>
    </row>
    <row r="22" customFormat="false" ht="15" hidden="false" customHeight="false" outlineLevel="0" collapsed="false">
      <c r="A22" s="0" t="s">
        <v>114</v>
      </c>
      <c r="B22" s="3" t="n">
        <v>12</v>
      </c>
    </row>
    <row r="23" customFormat="false" ht="15" hidden="false" customHeight="false" outlineLevel="0" collapsed="false">
      <c r="A23" s="0" t="s">
        <v>115</v>
      </c>
      <c r="B23" s="3" t="n">
        <v>-35</v>
      </c>
    </row>
    <row r="24" customFormat="false" ht="15" hidden="false" customHeight="false" outlineLevel="0" collapsed="false">
      <c r="A24" s="0" t="s">
        <v>116</v>
      </c>
      <c r="B24" s="3" t="n">
        <v>0.25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12.8</v>
      </c>
      <c r="D27" s="3" t="n">
        <v>12</v>
      </c>
      <c r="E27" s="3" t="n">
        <v>8</v>
      </c>
      <c r="F27" s="3" t="n">
        <v>6</v>
      </c>
      <c r="G27" s="3" t="n">
        <v>5</v>
      </c>
      <c r="H27" s="3" t="n">
        <v>4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106</v>
      </c>
      <c r="C28" s="3" t="n">
        <v>11.9</v>
      </c>
      <c r="D28" s="3" t="n">
        <v>12.8</v>
      </c>
      <c r="E28" s="3" t="n">
        <v>13</v>
      </c>
      <c r="F28" s="3" t="n">
        <v>13.2</v>
      </c>
      <c r="G28" s="3" t="n">
        <v>13.3</v>
      </c>
      <c r="H28" s="3" t="n">
        <v>13.4</v>
      </c>
      <c r="I28" s="3" t="n">
        <v>13.5</v>
      </c>
      <c r="J28" s="3" t="n">
        <v>13.5</v>
      </c>
      <c r="K28" s="3" t="n">
        <v>13.5</v>
      </c>
      <c r="L28" s="3" t="n">
        <v>13.5</v>
      </c>
    </row>
    <row r="29" customFormat="false" ht="15" hidden="false" customHeight="false" outlineLevel="0" collapsed="false">
      <c r="A29" s="0" t="s">
        <v>107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3.3</v>
      </c>
      <c r="D31" s="3" t="n">
        <v>3.6</v>
      </c>
      <c r="E31" s="3" t="n">
        <v>3.8</v>
      </c>
      <c r="F31" s="3" t="n">
        <v>4</v>
      </c>
      <c r="G31" s="3" t="n">
        <v>4</v>
      </c>
      <c r="H31" s="3" t="n">
        <v>4</v>
      </c>
      <c r="I31" s="3" t="n">
        <v>4</v>
      </c>
      <c r="J31" s="3" t="n">
        <v>4</v>
      </c>
      <c r="K31" s="3" t="n">
        <v>4</v>
      </c>
      <c r="L31" s="3" t="n">
        <v>4</v>
      </c>
    </row>
    <row r="32" customFormat="false" ht="15" hidden="false" customHeight="false" outlineLevel="0" collapsed="false">
      <c r="A32" s="0" t="s">
        <v>110</v>
      </c>
      <c r="C32" s="3" t="n">
        <v>10</v>
      </c>
      <c r="D32" s="3" t="n">
        <v>9</v>
      </c>
      <c r="E32" s="3" t="n">
        <v>6.5</v>
      </c>
      <c r="F32" s="3" t="n">
        <v>5.5</v>
      </c>
      <c r="G32" s="3" t="n">
        <v>5</v>
      </c>
      <c r="H32" s="3" t="n">
        <v>4.5</v>
      </c>
      <c r="I32" s="3" t="n">
        <v>4.5</v>
      </c>
      <c r="J32" s="3" t="n">
        <v>4.5</v>
      </c>
      <c r="K32" s="3" t="n">
        <v>4.5</v>
      </c>
      <c r="L32" s="3" t="n">
        <v>4.5</v>
      </c>
    </row>
    <row r="33" customFormat="false" ht="15" hidden="false" customHeight="false" outlineLevel="0" collapsed="false">
      <c r="A33" s="0" t="s">
        <v>111</v>
      </c>
      <c r="C33" s="3" t="n">
        <v>30.5</v>
      </c>
      <c r="D33" s="3" t="n">
        <v>30.5</v>
      </c>
      <c r="E33" s="3" t="n">
        <v>30.5</v>
      </c>
      <c r="F33" s="3" t="n">
        <v>30.5</v>
      </c>
      <c r="G33" s="3" t="n">
        <v>30.5</v>
      </c>
      <c r="H33" s="3" t="n">
        <v>30.5</v>
      </c>
      <c r="I33" s="3" t="n">
        <v>30.5</v>
      </c>
      <c r="J33" s="3" t="n">
        <v>30.5</v>
      </c>
      <c r="K33" s="3" t="n">
        <v>30.5</v>
      </c>
      <c r="L33" s="3" t="n">
        <v>30.5</v>
      </c>
    </row>
    <row r="34" customFormat="false" ht="15" hidden="false" customHeight="false" outlineLevel="0" collapsed="false">
      <c r="A34" s="0" t="s">
        <v>112</v>
      </c>
      <c r="B34" s="3" t="n">
        <v>8.5</v>
      </c>
    </row>
    <row r="35" customFormat="false" ht="15" hidden="false" customHeight="false" outlineLevel="0" collapsed="false">
      <c r="A35" s="0" t="s">
        <v>113</v>
      </c>
      <c r="B35" s="3" t="n">
        <v>2</v>
      </c>
    </row>
    <row r="36" customFormat="false" ht="15" hidden="false" customHeight="false" outlineLevel="0" collapsed="false">
      <c r="A36" s="0" t="s">
        <v>114</v>
      </c>
      <c r="B36" s="3" t="n">
        <v>15</v>
      </c>
    </row>
    <row r="37" customFormat="false" ht="15" hidden="false" customHeight="false" outlineLevel="0" collapsed="false">
      <c r="A37" s="0" t="s">
        <v>115</v>
      </c>
      <c r="B37" s="3" t="n">
        <v>-35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12.8</v>
      </c>
      <c r="D41" s="3" t="n">
        <v>18</v>
      </c>
      <c r="E41" s="3" t="n">
        <v>10</v>
      </c>
      <c r="F41" s="3" t="n">
        <v>7</v>
      </c>
      <c r="G41" s="3" t="n">
        <v>6</v>
      </c>
      <c r="H41" s="3" t="n">
        <v>5</v>
      </c>
      <c r="I41" s="3" t="n">
        <v>4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106</v>
      </c>
      <c r="C42" s="3" t="n">
        <v>12.2</v>
      </c>
      <c r="D42" s="3" t="n">
        <v>13.5</v>
      </c>
      <c r="E42" s="3" t="n">
        <v>14</v>
      </c>
      <c r="F42" s="3" t="n">
        <v>14.5</v>
      </c>
      <c r="G42" s="3" t="n">
        <v>14.5</v>
      </c>
      <c r="H42" s="3" t="n">
        <v>14.5</v>
      </c>
      <c r="I42" s="3" t="n">
        <v>14.5</v>
      </c>
      <c r="J42" s="3" t="n">
        <v>14.5</v>
      </c>
      <c r="K42" s="3" t="n">
        <v>14.5</v>
      </c>
      <c r="L42" s="3" t="n">
        <v>14.5</v>
      </c>
    </row>
    <row r="43" customFormat="false" ht="15" hidden="false" customHeight="false" outlineLevel="0" collapsed="false">
      <c r="A43" s="0" t="s">
        <v>107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3.3</v>
      </c>
      <c r="D45" s="3" t="n">
        <v>3.6</v>
      </c>
      <c r="E45" s="3" t="n">
        <v>3.8</v>
      </c>
      <c r="F45" s="3" t="n">
        <v>4</v>
      </c>
      <c r="G45" s="3" t="n">
        <v>4</v>
      </c>
      <c r="H45" s="3" t="n">
        <v>4</v>
      </c>
      <c r="I45" s="3" t="n">
        <v>4</v>
      </c>
      <c r="J45" s="3" t="n">
        <v>4</v>
      </c>
      <c r="K45" s="3" t="n">
        <v>4</v>
      </c>
      <c r="L45" s="3" t="n">
        <v>4</v>
      </c>
    </row>
    <row r="46" customFormat="false" ht="15" hidden="false" customHeight="false" outlineLevel="0" collapsed="false">
      <c r="A46" s="0" t="s">
        <v>110</v>
      </c>
      <c r="C46" s="3" t="n">
        <v>10</v>
      </c>
      <c r="D46" s="3" t="n">
        <v>9</v>
      </c>
      <c r="E46" s="3" t="n">
        <v>6.5</v>
      </c>
      <c r="F46" s="3" t="n">
        <v>5.5</v>
      </c>
      <c r="G46" s="3" t="n">
        <v>5</v>
      </c>
      <c r="H46" s="3" t="n">
        <v>4.5</v>
      </c>
      <c r="I46" s="3" t="n">
        <v>4.5</v>
      </c>
      <c r="J46" s="3" t="n">
        <v>4.5</v>
      </c>
      <c r="K46" s="3" t="n">
        <v>4.5</v>
      </c>
      <c r="L46" s="3" t="n">
        <v>4.5</v>
      </c>
    </row>
    <row r="47" customFormat="false" ht="15" hidden="false" customHeight="false" outlineLevel="0" collapsed="false">
      <c r="A47" s="0" t="s">
        <v>111</v>
      </c>
      <c r="C47" s="3" t="n">
        <v>30.5</v>
      </c>
      <c r="D47" s="3" t="n">
        <v>30.5</v>
      </c>
      <c r="E47" s="3" t="n">
        <v>30.5</v>
      </c>
      <c r="F47" s="3" t="n">
        <v>30.5</v>
      </c>
      <c r="G47" s="3" t="n">
        <v>30.5</v>
      </c>
      <c r="H47" s="3" t="n">
        <v>30.5</v>
      </c>
      <c r="I47" s="3" t="n">
        <v>30.5</v>
      </c>
      <c r="J47" s="3" t="n">
        <v>30.5</v>
      </c>
      <c r="K47" s="3" t="n">
        <v>30.5</v>
      </c>
      <c r="L47" s="3" t="n">
        <v>30.5</v>
      </c>
    </row>
    <row r="48" customFormat="false" ht="15" hidden="false" customHeight="false" outlineLevel="0" collapsed="false">
      <c r="A48" s="0" t="s">
        <v>112</v>
      </c>
      <c r="B48" s="3" t="n">
        <v>8.5</v>
      </c>
    </row>
    <row r="49" customFormat="false" ht="15" hidden="false" customHeight="false" outlineLevel="0" collapsed="false">
      <c r="A49" s="0" t="s">
        <v>113</v>
      </c>
      <c r="B49" s="3" t="n">
        <v>2.5</v>
      </c>
    </row>
    <row r="50" customFormat="false" ht="15" hidden="false" customHeight="false" outlineLevel="0" collapsed="false">
      <c r="A50" s="0" t="s">
        <v>114</v>
      </c>
      <c r="B50" s="3" t="n">
        <v>15</v>
      </c>
    </row>
    <row r="51" customFormat="false" ht="15" hidden="false" customHeight="false" outlineLevel="0" collapsed="false">
      <c r="A51" s="0" t="s">
        <v>115</v>
      </c>
      <c r="B51" s="3" t="n">
        <v>-35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5</v>
      </c>
      <c r="D5" s="4" t="n">
        <f aca="false">Assumptions!D13</f>
        <v>0</v>
      </c>
      <c r="E5" s="4" t="n">
        <f aca="false">Assumptions!E13</f>
        <v>-6</v>
      </c>
      <c r="F5" s="4" t="n">
        <f aca="false">Assumptions!F13</f>
        <v>2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274852</v>
      </c>
      <c r="C6" s="0" t="n">
        <f aca="false">B6*(1+C5/100)</f>
        <v>288594.6</v>
      </c>
      <c r="D6" s="0" t="n">
        <f aca="false">C6*(1+D5/100)</f>
        <v>288594.6</v>
      </c>
      <c r="E6" s="0" t="n">
        <f aca="false">D6*(1+E5/100)</f>
        <v>271278.924</v>
      </c>
      <c r="F6" s="0" t="n">
        <f aca="false">E6*(1+F5/100)</f>
        <v>276704.50248</v>
      </c>
      <c r="G6" s="0" t="n">
        <f aca="false">F6*(1+G5/100)</f>
        <v>285005.6375544</v>
      </c>
      <c r="H6" s="0" t="n">
        <f aca="false">G6*(1+H5/100)</f>
        <v>293555.806681032</v>
      </c>
      <c r="I6" s="0" t="n">
        <f aca="false">H6*(1+I5/100)</f>
        <v>300894.701848058</v>
      </c>
      <c r="J6" s="0" t="n">
        <f aca="false">I6*(1+J5/100)</f>
        <v>306912.595885019</v>
      </c>
      <c r="K6" s="0" t="n">
        <f aca="false">J6*(1+K5/100)</f>
        <v>313050.847802719</v>
      </c>
      <c r="L6" s="0" t="n">
        <f aca="false">K6*(1+L5/100)</f>
        <v>319311.864758774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11</v>
      </c>
      <c r="D7" s="4" t="n">
        <f aca="false">Assumptions!D14</f>
        <v>10</v>
      </c>
      <c r="E7" s="4" t="n">
        <f aca="false">Assumptions!E14</f>
        <v>9</v>
      </c>
      <c r="F7" s="4" t="n">
        <f aca="false">Assumptions!F14</f>
        <v>9.5</v>
      </c>
      <c r="G7" s="4" t="n">
        <f aca="false">Assumptions!G14</f>
        <v>10</v>
      </c>
      <c r="H7" s="4" t="n">
        <f aca="false">Assumptions!H14</f>
        <v>10.5</v>
      </c>
      <c r="I7" s="4" t="n">
        <f aca="false">Assumptions!I14</f>
        <v>10.5</v>
      </c>
      <c r="J7" s="4" t="n">
        <f aca="false">Assumptions!J14</f>
        <v>10.5</v>
      </c>
      <c r="K7" s="4" t="n">
        <f aca="false">Assumptions!K14</f>
        <v>10.5</v>
      </c>
      <c r="L7" s="4" t="n">
        <f aca="false">Assumptions!L14</f>
        <v>10.5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31745.406</v>
      </c>
      <c r="D8" s="0" t="n">
        <f aca="false">D6*D7/100</f>
        <v>28859.46</v>
      </c>
      <c r="E8" s="0" t="n">
        <f aca="false">E6*E7/100</f>
        <v>24415.10316</v>
      </c>
      <c r="F8" s="0" t="n">
        <f aca="false">F6*F7/100</f>
        <v>26286.9277356</v>
      </c>
      <c r="G8" s="0" t="n">
        <f aca="false">G6*G7/100</f>
        <v>28500.56375544</v>
      </c>
      <c r="H8" s="0" t="n">
        <f aca="false">H6*H7/100</f>
        <v>30823.3597015084</v>
      </c>
      <c r="I8" s="0" t="n">
        <f aca="false">I6*I7/100</f>
        <v>31593.9436940461</v>
      </c>
      <c r="J8" s="0" t="n">
        <f aca="false">J6*J7/100</f>
        <v>32225.822567927</v>
      </c>
      <c r="K8" s="0" t="n">
        <f aca="false">K6*K7/100</f>
        <v>32870.3390192855</v>
      </c>
      <c r="L8" s="0" t="n">
        <f aca="false">L6*L7/100</f>
        <v>33527.7457996712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31745.406</v>
      </c>
      <c r="D11" s="0" t="n">
        <f aca="false">D8+D10+D24</f>
        <v>28859.46</v>
      </c>
      <c r="E11" s="0" t="n">
        <f aca="false">E8+E10+E24</f>
        <v>24415.10316</v>
      </c>
      <c r="F11" s="0" t="n">
        <f aca="false">F8+F10+F24</f>
        <v>26286.9277356</v>
      </c>
      <c r="G11" s="0" t="n">
        <f aca="false">G8+G10+G24</f>
        <v>28500.56375544</v>
      </c>
      <c r="H11" s="0" t="n">
        <f aca="false">H8+H10+H24</f>
        <v>30823.3597015084</v>
      </c>
      <c r="I11" s="0" t="n">
        <f aca="false">I8+I10+I24</f>
        <v>31593.9436940461</v>
      </c>
      <c r="J11" s="0" t="n">
        <f aca="false">J8+J10+J24</f>
        <v>32225.822567927</v>
      </c>
      <c r="K11" s="0" t="n">
        <f aca="false">K8+K10+K24</f>
        <v>32870.3390192855</v>
      </c>
      <c r="L11" s="0" t="n">
        <f aca="false">L8+L10+L24</f>
        <v>33527.7457996712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-9812.2164</v>
      </c>
      <c r="D12" s="4" t="n">
        <f aca="false">-D6*Assumptions!D17/100</f>
        <v>-10966.5948</v>
      </c>
      <c r="E12" s="4" t="n">
        <f aca="false">-E6*Assumptions!E17/100</f>
        <v>-11393.714808</v>
      </c>
      <c r="F12" s="4" t="n">
        <f aca="false">-F6*Assumptions!F17/100</f>
        <v>-11898.29360664</v>
      </c>
      <c r="G12" s="4" t="n">
        <f aca="false">-G6*Assumptions!G17/100</f>
        <v>-12255.2424148392</v>
      </c>
      <c r="H12" s="4" t="n">
        <f aca="false">-H6*Assumptions!H17/100</f>
        <v>-12329.3438806033</v>
      </c>
      <c r="I12" s="4" t="n">
        <f aca="false">-I6*Assumptions!I17/100</f>
        <v>-12637.5774776184</v>
      </c>
      <c r="J12" s="4" t="n">
        <f aca="false">-J6*Assumptions!J17/100</f>
        <v>-12890.3290271708</v>
      </c>
      <c r="K12" s="4" t="n">
        <f aca="false">-K6*Assumptions!K17/100</f>
        <v>-13148.1356077142</v>
      </c>
      <c r="L12" s="4" t="n">
        <f aca="false">-L6*Assumptions!L17/100</f>
        <v>-13411.0983198685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21933.1896</v>
      </c>
      <c r="D13" s="0" t="n">
        <f aca="false">D11+D12</f>
        <v>17892.8652</v>
      </c>
      <c r="E13" s="0" t="n">
        <f aca="false">E11+E12</f>
        <v>13021.388352</v>
      </c>
      <c r="F13" s="0" t="n">
        <f aca="false">F11+F12</f>
        <v>14388.63412896</v>
      </c>
      <c r="G13" s="0" t="n">
        <f aca="false">G11+G12</f>
        <v>16245.3213406008</v>
      </c>
      <c r="H13" s="0" t="n">
        <f aca="false">H11+H12</f>
        <v>18494.015820905</v>
      </c>
      <c r="I13" s="0" t="n">
        <f aca="false">I11+I12</f>
        <v>18956.3662164276</v>
      </c>
      <c r="J13" s="0" t="n">
        <f aca="false">J11+J12</f>
        <v>19335.4935407562</v>
      </c>
      <c r="K13" s="0" t="n">
        <f aca="false">K11+K12</f>
        <v>19722.2034115713</v>
      </c>
      <c r="L13" s="0" t="n">
        <f aca="false">L11+L12</f>
        <v>20116.6474798027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30.5</v>
      </c>
      <c r="D14" s="4" t="n">
        <f aca="false">Assumptions!D19</f>
        <v>30.5</v>
      </c>
      <c r="E14" s="4" t="n">
        <f aca="false">Assumptions!E19</f>
        <v>30.5</v>
      </c>
      <c r="F14" s="4" t="n">
        <f aca="false">Assumptions!F19</f>
        <v>30.5</v>
      </c>
      <c r="G14" s="4" t="n">
        <f aca="false">Assumptions!G19</f>
        <v>30.5</v>
      </c>
      <c r="H14" s="4" t="n">
        <f aca="false">Assumptions!H19</f>
        <v>30.5</v>
      </c>
      <c r="I14" s="4" t="n">
        <f aca="false">Assumptions!I19</f>
        <v>30.5</v>
      </c>
      <c r="J14" s="4" t="n">
        <f aca="false">Assumptions!J19</f>
        <v>30.5</v>
      </c>
      <c r="K14" s="4" t="n">
        <f aca="false">Assumptions!K19</f>
        <v>30.5</v>
      </c>
      <c r="L14" s="4" t="n">
        <f aca="false">Assumptions!L19</f>
        <v>30.5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15243.566772</v>
      </c>
      <c r="D15" s="0" t="n">
        <f aca="false">D13-MAX(0,D13)*D14/100</f>
        <v>12435.541314</v>
      </c>
      <c r="E15" s="0" t="n">
        <f aca="false">E13-MAX(0,E13)*E14/100</f>
        <v>9049.86490464</v>
      </c>
      <c r="F15" s="0" t="n">
        <f aca="false">F13-MAX(0,F13)*F14/100</f>
        <v>10000.1007196272</v>
      </c>
      <c r="G15" s="0" t="n">
        <f aca="false">G13-MAX(0,G13)*G14/100</f>
        <v>11290.4983317176</v>
      </c>
      <c r="H15" s="0" t="n">
        <f aca="false">H13-MAX(0,H13)*H14/100</f>
        <v>12853.340995529</v>
      </c>
      <c r="I15" s="0" t="n">
        <f aca="false">I13-MAX(0,I13)*I14/100</f>
        <v>13174.6745204172</v>
      </c>
      <c r="J15" s="0" t="n">
        <f aca="false">J13-MAX(0,J13)*J14/100</f>
        <v>13438.1680108256</v>
      </c>
      <c r="K15" s="0" t="n">
        <f aca="false">K13-MAX(0,K13)*K14/100</f>
        <v>13706.9313710421</v>
      </c>
      <c r="L15" s="0" t="n">
        <f aca="false">L13-MAX(0,L13)*L14/100</f>
        <v>13981.0699984629</v>
      </c>
    </row>
    <row r="16" customFormat="false" ht="15" hidden="false" customHeight="false" outlineLevel="0" collapsed="false">
      <c r="A16" s="0" t="s">
        <v>127</v>
      </c>
      <c r="C16" s="0" t="n">
        <f aca="false">-C12</f>
        <v>9812.2164</v>
      </c>
      <c r="D16" s="0" t="n">
        <f aca="false">-D12</f>
        <v>10966.5948</v>
      </c>
      <c r="E16" s="0" t="n">
        <f aca="false">-E12</f>
        <v>11393.714808</v>
      </c>
      <c r="F16" s="0" t="n">
        <f aca="false">-F12</f>
        <v>11898.29360664</v>
      </c>
      <c r="G16" s="0" t="n">
        <f aca="false">-G12</f>
        <v>12255.2424148392</v>
      </c>
      <c r="H16" s="0" t="n">
        <f aca="false">-H12</f>
        <v>12329.3438806033</v>
      </c>
      <c r="I16" s="0" t="n">
        <f aca="false">-I12</f>
        <v>12637.5774776184</v>
      </c>
      <c r="J16" s="0" t="n">
        <f aca="false">-J12</f>
        <v>12890.3290271708</v>
      </c>
      <c r="K16" s="0" t="n">
        <f aca="false">-K12</f>
        <v>13148.1356077142</v>
      </c>
      <c r="L16" s="0" t="n">
        <f aca="false">-L12</f>
        <v>13411.0983198685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-28859.46</v>
      </c>
      <c r="D17" s="4" t="n">
        <f aca="false">-D6*Assumptions!D18/100</f>
        <v>-24530.541</v>
      </c>
      <c r="E17" s="4" t="n">
        <f aca="false">-E6*Assumptions!E18/100</f>
        <v>-13563.9462</v>
      </c>
      <c r="F17" s="4" t="n">
        <f aca="false">-F6*Assumptions!F18/100</f>
        <v>-12451.7026116</v>
      </c>
      <c r="G17" s="4" t="n">
        <f aca="false">-G6*Assumptions!G18/100</f>
        <v>-12825.253689948</v>
      </c>
      <c r="H17" s="4" t="n">
        <f aca="false">-H6*Assumptions!H18/100</f>
        <v>-12329.3438806033</v>
      </c>
      <c r="I17" s="4" t="n">
        <f aca="false">-I6*Assumptions!I18/100</f>
        <v>-12637.5774776184</v>
      </c>
      <c r="J17" s="4" t="n">
        <f aca="false">-J6*Assumptions!J18/100</f>
        <v>-12890.3290271708</v>
      </c>
      <c r="K17" s="4" t="n">
        <f aca="false">-K6*Assumptions!K18/100</f>
        <v>-13148.1356077142</v>
      </c>
      <c r="L17" s="4" t="n">
        <f aca="false">-L6*Assumptions!L18/100</f>
        <v>-13411.0983198685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-4809.91000000001</v>
      </c>
      <c r="D18" s="4" t="n">
        <f aca="false">(D6-C6)*Assumptions!$B$23/100</f>
        <v>-0</v>
      </c>
      <c r="E18" s="4" t="n">
        <f aca="false">(E6-D6)*Assumptions!$B$23/100</f>
        <v>6060.48660000001</v>
      </c>
      <c r="F18" s="4" t="n">
        <f aca="false">(F6-E6)*Assumptions!$B$23/100</f>
        <v>-1898.95246800001</v>
      </c>
      <c r="G18" s="4" t="n">
        <f aca="false">(G6-F6)*Assumptions!$B$23/100</f>
        <v>-2905.39727604</v>
      </c>
      <c r="H18" s="4" t="n">
        <f aca="false">(H6-G6)*Assumptions!$B$23/100</f>
        <v>-2992.55919432119</v>
      </c>
      <c r="I18" s="4" t="n">
        <f aca="false">(I6-H6)*Assumptions!$B$23/100</f>
        <v>-2568.61330845903</v>
      </c>
      <c r="J18" s="4" t="n">
        <f aca="false">(J6-I6)*Assumptions!$B$23/100</f>
        <v>-2106.2629129364</v>
      </c>
      <c r="K18" s="4" t="n">
        <f aca="false">(K6-J6)*Assumptions!$B$23/100</f>
        <v>-2148.38817119514</v>
      </c>
      <c r="L18" s="4" t="n">
        <f aca="false">(L6-K6)*Assumptions!$B$23/100</f>
        <v>-2191.35593461903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-8613.58682800002</v>
      </c>
      <c r="D19" s="0" t="n">
        <f aca="false">D15+D16+D17+D18</f>
        <v>-1128.404886</v>
      </c>
      <c r="E19" s="0" t="n">
        <f aca="false">E15+E16+E17+E18</f>
        <v>12940.12011264</v>
      </c>
      <c r="F19" s="0" t="n">
        <f aca="false">F15+F16+F17+F18</f>
        <v>7547.73924666719</v>
      </c>
      <c r="G19" s="0" t="n">
        <f aca="false">G15+G16+G17+G18</f>
        <v>7815.08978056876</v>
      </c>
      <c r="H19" s="0" t="n">
        <f aca="false">H15+H16+H17+H18</f>
        <v>9860.78180120779</v>
      </c>
      <c r="I19" s="0" t="n">
        <f aca="false">I15+I16+I17+I18</f>
        <v>10606.0612119582</v>
      </c>
      <c r="J19" s="0" t="n">
        <f aca="false">J15+J16+J17+J18</f>
        <v>11331.9050978892</v>
      </c>
      <c r="K19" s="0" t="n">
        <f aca="false">K15+K16+K17+K18</f>
        <v>11558.5431998469</v>
      </c>
      <c r="L19" s="0" t="n">
        <f aca="false">L15+L16+L17+L18</f>
        <v>11789.7140638439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-7938.78970322582</v>
      </c>
      <c r="D21" s="0" t="n">
        <f aca="false">D19*D20</f>
        <v>-958.529496060648</v>
      </c>
      <c r="E21" s="0" t="n">
        <f aca="false">E19*E20</f>
        <v>10130.9248308522</v>
      </c>
      <c r="F21" s="0" t="n">
        <f aca="false">F19*F20</f>
        <v>5446.25454475502</v>
      </c>
      <c r="G21" s="0" t="n">
        <f aca="false">G19*G20</f>
        <v>5197.38969115548</v>
      </c>
      <c r="H21" s="0" t="n">
        <f aca="false">H19*H20</f>
        <v>6044.11779441396</v>
      </c>
      <c r="I21" s="0" t="n">
        <f aca="false">I19*I20</f>
        <v>5991.64345654382</v>
      </c>
      <c r="J21" s="0" t="n">
        <f aca="false">J19*J20</f>
        <v>5900.17676889724</v>
      </c>
      <c r="K21" s="0" t="n">
        <f aca="false">K19*K20</f>
        <v>5546.70995785731</v>
      </c>
      <c r="L21" s="0" t="n">
        <f aca="false">L19*L20</f>
        <v>5214.41857789351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40574.3164230821</v>
      </c>
    </row>
    <row r="31" customFormat="false" ht="15" hidden="false" customHeight="false" outlineLevel="0" collapsed="false">
      <c r="A31" s="0" t="s">
        <v>136</v>
      </c>
      <c r="B31" s="0" t="n">
        <f aca="false">L19</f>
        <v>11789.7140638439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170950.853925736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141476.568766127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141476.568766127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62573.0229347221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103147.339357804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109368.339357804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1485.76081506574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-0.747534271016867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1485.76081506574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88641.1835170484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742.447637516249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12.8</v>
      </c>
      <c r="D5" s="4" t="n">
        <f aca="false">Assumptions!D27</f>
        <v>12</v>
      </c>
      <c r="E5" s="4" t="n">
        <f aca="false">Assumptions!E27</f>
        <v>8</v>
      </c>
      <c r="F5" s="4" t="n">
        <f aca="false">Assumptions!F27</f>
        <v>6</v>
      </c>
      <c r="G5" s="4" t="n">
        <f aca="false">Assumptions!G27</f>
        <v>5</v>
      </c>
      <c r="H5" s="4" t="n">
        <f aca="false">Assumptions!H27</f>
        <v>4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274852</v>
      </c>
      <c r="C6" s="0" t="n">
        <f aca="false">B6*(1+C5/100)</f>
        <v>310033.056</v>
      </c>
      <c r="D6" s="0" t="n">
        <f aca="false">C6*(1+D5/100)</f>
        <v>347237.02272</v>
      </c>
      <c r="E6" s="0" t="n">
        <f aca="false">D6*(1+E5/100)</f>
        <v>375015.9845376</v>
      </c>
      <c r="F6" s="0" t="n">
        <f aca="false">E6*(1+F5/100)</f>
        <v>397516.943609856</v>
      </c>
      <c r="G6" s="0" t="n">
        <f aca="false">F6*(1+G5/100)</f>
        <v>417392.790790349</v>
      </c>
      <c r="H6" s="0" t="n">
        <f aca="false">G6*(1+H5/100)</f>
        <v>434088.502421963</v>
      </c>
      <c r="I6" s="0" t="n">
        <f aca="false">H6*(1+I5/100)</f>
        <v>447111.157494622</v>
      </c>
      <c r="J6" s="0" t="n">
        <f aca="false">I6*(1+J5/100)</f>
        <v>460524.492219461</v>
      </c>
      <c r="K6" s="0" t="n">
        <f aca="false">J6*(1+K5/100)</f>
        <v>472037.604524947</v>
      </c>
      <c r="L6" s="0" t="n">
        <f aca="false">K6*(1+L5/100)</f>
        <v>483838.544638071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11.9</v>
      </c>
      <c r="D7" s="4" t="n">
        <f aca="false">Assumptions!D28</f>
        <v>12.8</v>
      </c>
      <c r="E7" s="4" t="n">
        <f aca="false">Assumptions!E28</f>
        <v>13</v>
      </c>
      <c r="F7" s="4" t="n">
        <f aca="false">Assumptions!F28</f>
        <v>13.2</v>
      </c>
      <c r="G7" s="4" t="n">
        <f aca="false">Assumptions!G28</f>
        <v>13.3</v>
      </c>
      <c r="H7" s="4" t="n">
        <f aca="false">Assumptions!H28</f>
        <v>13.4</v>
      </c>
      <c r="I7" s="4" t="n">
        <f aca="false">Assumptions!I28</f>
        <v>13.5</v>
      </c>
      <c r="J7" s="4" t="n">
        <f aca="false">Assumptions!J28</f>
        <v>13.5</v>
      </c>
      <c r="K7" s="4" t="n">
        <f aca="false">Assumptions!K28</f>
        <v>13.5</v>
      </c>
      <c r="L7" s="4" t="n">
        <f aca="false">Assumptions!L28</f>
        <v>13.5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36893.933664</v>
      </c>
      <c r="D8" s="0" t="n">
        <f aca="false">D6*D7/100</f>
        <v>44446.33890816</v>
      </c>
      <c r="E8" s="0" t="n">
        <f aca="false">E6*E7/100</f>
        <v>48752.077989888</v>
      </c>
      <c r="F8" s="0" t="n">
        <f aca="false">F6*F7/100</f>
        <v>52472.236556501</v>
      </c>
      <c r="G8" s="0" t="n">
        <f aca="false">G6*G7/100</f>
        <v>55513.2411751164</v>
      </c>
      <c r="H8" s="0" t="n">
        <f aca="false">H6*H7/100</f>
        <v>58167.859324543</v>
      </c>
      <c r="I8" s="0" t="n">
        <f aca="false">I6*I7/100</f>
        <v>60360.0062617739</v>
      </c>
      <c r="J8" s="0" t="n">
        <f aca="false">J6*J7/100</f>
        <v>62170.8064496272</v>
      </c>
      <c r="K8" s="0" t="n">
        <f aca="false">K6*K7/100</f>
        <v>63725.0766108678</v>
      </c>
      <c r="L8" s="0" t="n">
        <f aca="false">L6*L7/100</f>
        <v>65318.2035261395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36893.933664</v>
      </c>
      <c r="D11" s="0" t="n">
        <f aca="false">D8+D10+D24</f>
        <v>44446.33890816</v>
      </c>
      <c r="E11" s="0" t="n">
        <f aca="false">E8+E10+E24</f>
        <v>48752.077989888</v>
      </c>
      <c r="F11" s="0" t="n">
        <f aca="false">F8+F10+F24</f>
        <v>52472.236556501</v>
      </c>
      <c r="G11" s="0" t="n">
        <f aca="false">G8+G10+G24</f>
        <v>55513.2411751164</v>
      </c>
      <c r="H11" s="0" t="n">
        <f aca="false">H8+H10+H24</f>
        <v>58167.859324543</v>
      </c>
      <c r="I11" s="0" t="n">
        <f aca="false">I8+I10+I24</f>
        <v>60360.0062617739</v>
      </c>
      <c r="J11" s="0" t="n">
        <f aca="false">J8+J10+J24</f>
        <v>62170.8064496272</v>
      </c>
      <c r="K11" s="0" t="n">
        <f aca="false">K8+K10+K24</f>
        <v>63725.0766108678</v>
      </c>
      <c r="L11" s="0" t="n">
        <f aca="false">L8+L10+L24</f>
        <v>65318.2035261395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-10231.090848</v>
      </c>
      <c r="D12" s="4" t="n">
        <f aca="false">-D6*Assumptions!D31/100</f>
        <v>-12500.53281792</v>
      </c>
      <c r="E12" s="4" t="n">
        <f aca="false">-E6*Assumptions!E31/100</f>
        <v>-14250.6074124288</v>
      </c>
      <c r="F12" s="4" t="n">
        <f aca="false">-F6*Assumptions!F31/100</f>
        <v>-15900.6777443942</v>
      </c>
      <c r="G12" s="4" t="n">
        <f aca="false">-G6*Assumptions!G31/100</f>
        <v>-16695.711631614</v>
      </c>
      <c r="H12" s="4" t="n">
        <f aca="false">-H6*Assumptions!H31/100</f>
        <v>-17363.5400968785</v>
      </c>
      <c r="I12" s="4" t="n">
        <f aca="false">-I6*Assumptions!I31/100</f>
        <v>-17884.4462997849</v>
      </c>
      <c r="J12" s="4" t="n">
        <f aca="false">-J6*Assumptions!J31/100</f>
        <v>-18420.9796887784</v>
      </c>
      <c r="K12" s="4" t="n">
        <f aca="false">-K6*Assumptions!K31/100</f>
        <v>-18881.5041809979</v>
      </c>
      <c r="L12" s="4" t="n">
        <f aca="false">-L6*Assumptions!L31/100</f>
        <v>-19353.5417855228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26662.842816</v>
      </c>
      <c r="D13" s="0" t="n">
        <f aca="false">D11+D12</f>
        <v>31945.80609024</v>
      </c>
      <c r="E13" s="0" t="n">
        <f aca="false">E11+E12</f>
        <v>34501.4705774592</v>
      </c>
      <c r="F13" s="0" t="n">
        <f aca="false">F11+F12</f>
        <v>36571.5588121068</v>
      </c>
      <c r="G13" s="0" t="n">
        <f aca="false">G11+G12</f>
        <v>38817.5295435025</v>
      </c>
      <c r="H13" s="0" t="n">
        <f aca="false">H11+H12</f>
        <v>40804.3192276645</v>
      </c>
      <c r="I13" s="0" t="n">
        <f aca="false">I11+I12</f>
        <v>42475.5599619891</v>
      </c>
      <c r="J13" s="0" t="n">
        <f aca="false">J11+J12</f>
        <v>43749.8267608488</v>
      </c>
      <c r="K13" s="0" t="n">
        <f aca="false">K11+K12</f>
        <v>44843.57242987</v>
      </c>
      <c r="L13" s="0" t="n">
        <f aca="false">L11+L12</f>
        <v>45964.6617406167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30.5</v>
      </c>
      <c r="D14" s="4" t="n">
        <f aca="false">Assumptions!D33</f>
        <v>30.5</v>
      </c>
      <c r="E14" s="4" t="n">
        <f aca="false">Assumptions!E33</f>
        <v>30.5</v>
      </c>
      <c r="F14" s="4" t="n">
        <f aca="false">Assumptions!F33</f>
        <v>30.5</v>
      </c>
      <c r="G14" s="4" t="n">
        <f aca="false">Assumptions!G33</f>
        <v>30.5</v>
      </c>
      <c r="H14" s="4" t="n">
        <f aca="false">Assumptions!H33</f>
        <v>30.5</v>
      </c>
      <c r="I14" s="4" t="n">
        <f aca="false">Assumptions!I33</f>
        <v>30.5</v>
      </c>
      <c r="J14" s="4" t="n">
        <f aca="false">Assumptions!J33</f>
        <v>30.5</v>
      </c>
      <c r="K14" s="4" t="n">
        <f aca="false">Assumptions!K33</f>
        <v>30.5</v>
      </c>
      <c r="L14" s="4" t="n">
        <f aca="false">Assumptions!L33</f>
        <v>30.5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18530.67575712</v>
      </c>
      <c r="D15" s="0" t="n">
        <f aca="false">D13-MAX(0,D13)*D14/100</f>
        <v>22202.3352327168</v>
      </c>
      <c r="E15" s="0" t="n">
        <f aca="false">E13-MAX(0,E13)*E14/100</f>
        <v>23978.5220513341</v>
      </c>
      <c r="F15" s="0" t="n">
        <f aca="false">F13-MAX(0,F13)*F14/100</f>
        <v>25417.2333744142</v>
      </c>
      <c r="G15" s="0" t="n">
        <f aca="false">G13-MAX(0,G13)*G14/100</f>
        <v>26978.1830327342</v>
      </c>
      <c r="H15" s="0" t="n">
        <f aca="false">H13-MAX(0,H13)*H14/100</f>
        <v>28359.0018632268</v>
      </c>
      <c r="I15" s="0" t="n">
        <f aca="false">I13-MAX(0,I13)*I14/100</f>
        <v>29520.5141735824</v>
      </c>
      <c r="J15" s="0" t="n">
        <f aca="false">J13-MAX(0,J13)*J14/100</f>
        <v>30406.1295987899</v>
      </c>
      <c r="K15" s="0" t="n">
        <f aca="false">K13-MAX(0,K13)*K14/100</f>
        <v>31166.2828387596</v>
      </c>
      <c r="L15" s="0" t="n">
        <f aca="false">L13-MAX(0,L13)*L14/100</f>
        <v>31945.4399097286</v>
      </c>
    </row>
    <row r="16" customFormat="false" ht="15" hidden="false" customHeight="false" outlineLevel="0" collapsed="false">
      <c r="A16" s="0" t="s">
        <v>127</v>
      </c>
      <c r="C16" s="0" t="n">
        <f aca="false">-C12</f>
        <v>10231.090848</v>
      </c>
      <c r="D16" s="0" t="n">
        <f aca="false">-D12</f>
        <v>12500.53281792</v>
      </c>
      <c r="E16" s="0" t="n">
        <f aca="false">-E12</f>
        <v>14250.6074124288</v>
      </c>
      <c r="F16" s="0" t="n">
        <f aca="false">-F12</f>
        <v>15900.6777443942</v>
      </c>
      <c r="G16" s="0" t="n">
        <f aca="false">-G12</f>
        <v>16695.711631614</v>
      </c>
      <c r="H16" s="0" t="n">
        <f aca="false">-H12</f>
        <v>17363.5400968785</v>
      </c>
      <c r="I16" s="0" t="n">
        <f aca="false">-I12</f>
        <v>17884.4462997849</v>
      </c>
      <c r="J16" s="0" t="n">
        <f aca="false">-J12</f>
        <v>18420.9796887784</v>
      </c>
      <c r="K16" s="0" t="n">
        <f aca="false">-K12</f>
        <v>18881.5041809979</v>
      </c>
      <c r="L16" s="0" t="n">
        <f aca="false">-L12</f>
        <v>19353.5417855228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-31003.3056</v>
      </c>
      <c r="D17" s="4" t="n">
        <f aca="false">-D6*Assumptions!D32/100</f>
        <v>-31251.3320448</v>
      </c>
      <c r="E17" s="4" t="n">
        <f aca="false">-E6*Assumptions!E32/100</f>
        <v>-24376.038994944</v>
      </c>
      <c r="F17" s="4" t="n">
        <f aca="false">-F6*Assumptions!F32/100</f>
        <v>-21863.4318985421</v>
      </c>
      <c r="G17" s="4" t="n">
        <f aca="false">-G6*Assumptions!G32/100</f>
        <v>-20869.6395395174</v>
      </c>
      <c r="H17" s="4" t="n">
        <f aca="false">-H6*Assumptions!H32/100</f>
        <v>-19533.9826089883</v>
      </c>
      <c r="I17" s="4" t="n">
        <f aca="false">-I6*Assumptions!I32/100</f>
        <v>-20120.002087258</v>
      </c>
      <c r="J17" s="4" t="n">
        <f aca="false">-J6*Assumptions!J32/100</f>
        <v>-20723.6021498757</v>
      </c>
      <c r="K17" s="4" t="n">
        <f aca="false">-K6*Assumptions!K32/100</f>
        <v>-21241.6922036226</v>
      </c>
      <c r="L17" s="4" t="n">
        <f aca="false">-L6*Assumptions!L32/100</f>
        <v>-21772.7345087132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-12313.3696</v>
      </c>
      <c r="D18" s="4" t="n">
        <f aca="false">(D6-C6)*Assumptions!$B$37/100</f>
        <v>-13021.388352</v>
      </c>
      <c r="E18" s="4" t="n">
        <f aca="false">(E6-D6)*Assumptions!$B$37/100</f>
        <v>-9722.63663616</v>
      </c>
      <c r="F18" s="4" t="n">
        <f aca="false">(F6-E6)*Assumptions!$B$37/100</f>
        <v>-7875.33567528962</v>
      </c>
      <c r="G18" s="4" t="n">
        <f aca="false">(G6-F6)*Assumptions!$B$37/100</f>
        <v>-6956.54651317249</v>
      </c>
      <c r="H18" s="4" t="n">
        <f aca="false">(H6-G6)*Assumptions!$B$37/100</f>
        <v>-5843.49907106488</v>
      </c>
      <c r="I18" s="4" t="n">
        <f aca="false">(I6-H6)*Assumptions!$B$37/100</f>
        <v>-4557.92927543062</v>
      </c>
      <c r="J18" s="4" t="n">
        <f aca="false">(J6-I6)*Assumptions!$B$37/100</f>
        <v>-4694.66715369354</v>
      </c>
      <c r="K18" s="4" t="n">
        <f aca="false">(K6-J6)*Assumptions!$B$37/100</f>
        <v>-4029.58930692026</v>
      </c>
      <c r="L18" s="4" t="n">
        <f aca="false">(L6-K6)*Assumptions!$B$37/100</f>
        <v>-4130.32903959327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-14554.90859488</v>
      </c>
      <c r="D19" s="0" t="n">
        <f aca="false">D15+D16+D17+D18</f>
        <v>-9569.85234616321</v>
      </c>
      <c r="E19" s="0" t="n">
        <f aca="false">E15+E16+E17+E18</f>
        <v>4130.45383265894</v>
      </c>
      <c r="F19" s="0" t="n">
        <f aca="false">F15+F16+F17+F18</f>
        <v>11579.1435449767</v>
      </c>
      <c r="G19" s="0" t="n">
        <f aca="false">G15+G16+G17+G18</f>
        <v>15847.7086116582</v>
      </c>
      <c r="H19" s="0" t="n">
        <f aca="false">H15+H16+H17+H18</f>
        <v>20345.0602800521</v>
      </c>
      <c r="I19" s="0" t="n">
        <f aca="false">I15+I16+I17+I18</f>
        <v>22727.0291106787</v>
      </c>
      <c r="J19" s="0" t="n">
        <f aca="false">J15+J16+J17+J18</f>
        <v>23408.839983999</v>
      </c>
      <c r="K19" s="0" t="n">
        <f aca="false">K15+K16+K17+K18</f>
        <v>24776.5055092146</v>
      </c>
      <c r="L19" s="0" t="n">
        <f aca="false">L15+L16+L17+L18</f>
        <v>25395.918146945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-13414.6622994286</v>
      </c>
      <c r="D21" s="0" t="n">
        <f aca="false">D19*D20</f>
        <v>-8129.16166931828</v>
      </c>
      <c r="E21" s="0" t="n">
        <f aca="false">E19*E20</f>
        <v>3233.76575578293</v>
      </c>
      <c r="F21" s="0" t="n">
        <f aca="false">F19*F20</f>
        <v>8355.21221590248</v>
      </c>
      <c r="G21" s="0" t="n">
        <f aca="false">G19*G20</f>
        <v>10539.446081792</v>
      </c>
      <c r="H21" s="0" t="n">
        <f aca="false">H19*H20</f>
        <v>12470.4048163834</v>
      </c>
      <c r="I21" s="0" t="n">
        <f aca="false">I19*I20</f>
        <v>12839.0976194015</v>
      </c>
      <c r="J21" s="0" t="n">
        <f aca="false">J19*J20</f>
        <v>12188.2677861599</v>
      </c>
      <c r="K21" s="0" t="n">
        <f aca="false">K19*K20</f>
        <v>11889.741419203</v>
      </c>
      <c r="L21" s="0" t="n">
        <f aca="false">L19*L20</f>
        <v>11232.2441978646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61204.355923743</v>
      </c>
    </row>
    <row r="31" customFormat="false" ht="15" hidden="false" customHeight="false" outlineLevel="0" collapsed="false">
      <c r="A31" s="0" t="s">
        <v>136</v>
      </c>
      <c r="B31" s="0" t="n">
        <f aca="false">L19</f>
        <v>25395.918146945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398520.561690521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380938.772204175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380938.772204175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168483.662967969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229688.018891712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235909.018891712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3204.80660352002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-0.455427934830924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3204.80660352002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199260.280845261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1237.72805665343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12.8</v>
      </c>
      <c r="D5" s="4" t="n">
        <f aca="false">Assumptions!D41</f>
        <v>18</v>
      </c>
      <c r="E5" s="4" t="n">
        <f aca="false">Assumptions!E41</f>
        <v>10</v>
      </c>
      <c r="F5" s="4" t="n">
        <f aca="false">Assumptions!F41</f>
        <v>7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274852</v>
      </c>
      <c r="C6" s="0" t="n">
        <f aca="false">B6*(1+C5/100)</f>
        <v>310033.056</v>
      </c>
      <c r="D6" s="0" t="n">
        <f aca="false">C6*(1+D5/100)</f>
        <v>365839.00608</v>
      </c>
      <c r="E6" s="0" t="n">
        <f aca="false">D6*(1+E5/100)</f>
        <v>402422.906688</v>
      </c>
      <c r="F6" s="0" t="n">
        <f aca="false">E6*(1+F5/100)</f>
        <v>430592.51015616</v>
      </c>
      <c r="G6" s="0" t="n">
        <f aca="false">F6*(1+G5/100)</f>
        <v>456428.06076553</v>
      </c>
      <c r="H6" s="0" t="n">
        <f aca="false">G6*(1+H5/100)</f>
        <v>479249.463803806</v>
      </c>
      <c r="I6" s="0" t="n">
        <f aca="false">H6*(1+I5/100)</f>
        <v>498419.442355959</v>
      </c>
      <c r="J6" s="0" t="n">
        <f aca="false">I6*(1+J5/100)</f>
        <v>513372.025626637</v>
      </c>
      <c r="K6" s="0" t="n">
        <f aca="false">J6*(1+K5/100)</f>
        <v>528773.186395436</v>
      </c>
      <c r="L6" s="0" t="n">
        <f aca="false">K6*(1+L5/100)</f>
        <v>544636.3819873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12.2</v>
      </c>
      <c r="D7" s="4" t="n">
        <f aca="false">Assumptions!D42</f>
        <v>13.5</v>
      </c>
      <c r="E7" s="4" t="n">
        <f aca="false">Assumptions!E42</f>
        <v>14</v>
      </c>
      <c r="F7" s="4" t="n">
        <f aca="false">Assumptions!F42</f>
        <v>14.5</v>
      </c>
      <c r="G7" s="4" t="n">
        <f aca="false">Assumptions!G42</f>
        <v>14.5</v>
      </c>
      <c r="H7" s="4" t="n">
        <f aca="false">Assumptions!H42</f>
        <v>14.5</v>
      </c>
      <c r="I7" s="4" t="n">
        <f aca="false">Assumptions!I42</f>
        <v>14.5</v>
      </c>
      <c r="J7" s="4" t="n">
        <f aca="false">Assumptions!J42</f>
        <v>14.5</v>
      </c>
      <c r="K7" s="4" t="n">
        <f aca="false">Assumptions!K42</f>
        <v>14.5</v>
      </c>
      <c r="L7" s="4" t="n">
        <f aca="false">Assumptions!L42</f>
        <v>14.5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37824.032832</v>
      </c>
      <c r="D8" s="0" t="n">
        <f aca="false">D6*D7/100</f>
        <v>49388.2658208</v>
      </c>
      <c r="E8" s="0" t="n">
        <f aca="false">E6*E7/100</f>
        <v>56339.20693632</v>
      </c>
      <c r="F8" s="0" t="n">
        <f aca="false">F6*F7/100</f>
        <v>62435.9139726432</v>
      </c>
      <c r="G8" s="0" t="n">
        <f aca="false">G6*G7/100</f>
        <v>66182.0688110018</v>
      </c>
      <c r="H8" s="0" t="n">
        <f aca="false">H6*H7/100</f>
        <v>69491.1722515519</v>
      </c>
      <c r="I8" s="0" t="n">
        <f aca="false">I6*I7/100</f>
        <v>72270.819141614</v>
      </c>
      <c r="J8" s="0" t="n">
        <f aca="false">J6*J7/100</f>
        <v>74438.9437158624</v>
      </c>
      <c r="K8" s="0" t="n">
        <f aca="false">K6*K7/100</f>
        <v>76672.1120273383</v>
      </c>
      <c r="L8" s="0" t="n">
        <f aca="false">L6*L7/100</f>
        <v>78972.2753881584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37824.032832</v>
      </c>
      <c r="D11" s="0" t="n">
        <f aca="false">D8+D10+D24</f>
        <v>49388.2658208</v>
      </c>
      <c r="E11" s="0" t="n">
        <f aca="false">E8+E10+E24</f>
        <v>56339.20693632</v>
      </c>
      <c r="F11" s="0" t="n">
        <f aca="false">F8+F10+F24</f>
        <v>62435.9139726432</v>
      </c>
      <c r="G11" s="0" t="n">
        <f aca="false">G8+G10+G24</f>
        <v>66182.0688110018</v>
      </c>
      <c r="H11" s="0" t="n">
        <f aca="false">H8+H10+H24</f>
        <v>69491.1722515519</v>
      </c>
      <c r="I11" s="0" t="n">
        <f aca="false">I8+I10+I24</f>
        <v>72270.819141614</v>
      </c>
      <c r="J11" s="0" t="n">
        <f aca="false">J8+J10+J24</f>
        <v>74438.9437158624</v>
      </c>
      <c r="K11" s="0" t="n">
        <f aca="false">K8+K10+K24</f>
        <v>76672.1120273383</v>
      </c>
      <c r="L11" s="0" t="n">
        <f aca="false">L8+L10+L24</f>
        <v>78972.2753881584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-10231.090848</v>
      </c>
      <c r="D12" s="4" t="n">
        <f aca="false">-D6*Assumptions!D45/100</f>
        <v>-13170.20421888</v>
      </c>
      <c r="E12" s="4" t="n">
        <f aca="false">-E6*Assumptions!E45/100</f>
        <v>-15292.070454144</v>
      </c>
      <c r="F12" s="4" t="n">
        <f aca="false">-F6*Assumptions!F45/100</f>
        <v>-17223.7004062464</v>
      </c>
      <c r="G12" s="4" t="n">
        <f aca="false">-G6*Assumptions!G45/100</f>
        <v>-18257.1224306212</v>
      </c>
      <c r="H12" s="4" t="n">
        <f aca="false">-H6*Assumptions!H45/100</f>
        <v>-19169.9785521523</v>
      </c>
      <c r="I12" s="4" t="n">
        <f aca="false">-I6*Assumptions!I45/100</f>
        <v>-19936.7776942383</v>
      </c>
      <c r="J12" s="4" t="n">
        <f aca="false">-J6*Assumptions!J45/100</f>
        <v>-20534.8810250655</v>
      </c>
      <c r="K12" s="4" t="n">
        <f aca="false">-K6*Assumptions!K45/100</f>
        <v>-21150.9274558175</v>
      </c>
      <c r="L12" s="4" t="n">
        <f aca="false">-L6*Assumptions!L45/100</f>
        <v>-21785.455279492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27592.941984</v>
      </c>
      <c r="D13" s="0" t="n">
        <f aca="false">D11+D12</f>
        <v>36218.06160192</v>
      </c>
      <c r="E13" s="0" t="n">
        <f aca="false">E11+E12</f>
        <v>41047.136482176</v>
      </c>
      <c r="F13" s="0" t="n">
        <f aca="false">F11+F12</f>
        <v>45212.2135663968</v>
      </c>
      <c r="G13" s="0" t="n">
        <f aca="false">G11+G12</f>
        <v>47924.9463803806</v>
      </c>
      <c r="H13" s="0" t="n">
        <f aca="false">H11+H12</f>
        <v>50321.1936993997</v>
      </c>
      <c r="I13" s="0" t="n">
        <f aca="false">I11+I12</f>
        <v>52334.0414473757</v>
      </c>
      <c r="J13" s="0" t="n">
        <f aca="false">J11+J12</f>
        <v>53904.0626907969</v>
      </c>
      <c r="K13" s="0" t="n">
        <f aca="false">K11+K12</f>
        <v>55521.1845715208</v>
      </c>
      <c r="L13" s="0" t="n">
        <f aca="false">L11+L12</f>
        <v>57186.8201086665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30.5</v>
      </c>
      <c r="D14" s="4" t="n">
        <f aca="false">Assumptions!D47</f>
        <v>30.5</v>
      </c>
      <c r="E14" s="4" t="n">
        <f aca="false">Assumptions!E47</f>
        <v>30.5</v>
      </c>
      <c r="F14" s="4" t="n">
        <f aca="false">Assumptions!F47</f>
        <v>30.5</v>
      </c>
      <c r="G14" s="4" t="n">
        <f aca="false">Assumptions!G47</f>
        <v>30.5</v>
      </c>
      <c r="H14" s="4" t="n">
        <f aca="false">Assumptions!H47</f>
        <v>30.5</v>
      </c>
      <c r="I14" s="4" t="n">
        <f aca="false">Assumptions!I47</f>
        <v>30.5</v>
      </c>
      <c r="J14" s="4" t="n">
        <f aca="false">Assumptions!J47</f>
        <v>30.5</v>
      </c>
      <c r="K14" s="4" t="n">
        <f aca="false">Assumptions!K47</f>
        <v>30.5</v>
      </c>
      <c r="L14" s="4" t="n">
        <f aca="false">Assumptions!L47</f>
        <v>30.5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19177.09467888</v>
      </c>
      <c r="D15" s="0" t="n">
        <f aca="false">D13-MAX(0,D13)*D14/100</f>
        <v>25171.5528133344</v>
      </c>
      <c r="E15" s="0" t="n">
        <f aca="false">E13-MAX(0,E13)*E14/100</f>
        <v>28527.7598551123</v>
      </c>
      <c r="F15" s="0" t="n">
        <f aca="false">F13-MAX(0,F13)*F14/100</f>
        <v>31422.4884286458</v>
      </c>
      <c r="G15" s="0" t="n">
        <f aca="false">G13-MAX(0,G13)*G14/100</f>
        <v>33307.8377343645</v>
      </c>
      <c r="H15" s="0" t="n">
        <f aca="false">H13-MAX(0,H13)*H14/100</f>
        <v>34973.2296210828</v>
      </c>
      <c r="I15" s="0" t="n">
        <f aca="false">I13-MAX(0,I13)*I14/100</f>
        <v>36372.1588059261</v>
      </c>
      <c r="J15" s="0" t="n">
        <f aca="false">J13-MAX(0,J13)*J14/100</f>
        <v>37463.3235701039</v>
      </c>
      <c r="K15" s="0" t="n">
        <f aca="false">K13-MAX(0,K13)*K14/100</f>
        <v>38587.223277207</v>
      </c>
      <c r="L15" s="0" t="n">
        <f aca="false">L13-MAX(0,L13)*L14/100</f>
        <v>39744.8399755232</v>
      </c>
    </row>
    <row r="16" customFormat="false" ht="15" hidden="false" customHeight="false" outlineLevel="0" collapsed="false">
      <c r="A16" s="0" t="s">
        <v>127</v>
      </c>
      <c r="C16" s="0" t="n">
        <f aca="false">-C12</f>
        <v>10231.090848</v>
      </c>
      <c r="D16" s="0" t="n">
        <f aca="false">-D12</f>
        <v>13170.20421888</v>
      </c>
      <c r="E16" s="0" t="n">
        <f aca="false">-E12</f>
        <v>15292.070454144</v>
      </c>
      <c r="F16" s="0" t="n">
        <f aca="false">-F12</f>
        <v>17223.7004062464</v>
      </c>
      <c r="G16" s="0" t="n">
        <f aca="false">-G12</f>
        <v>18257.1224306212</v>
      </c>
      <c r="H16" s="0" t="n">
        <f aca="false">-H12</f>
        <v>19169.9785521523</v>
      </c>
      <c r="I16" s="0" t="n">
        <f aca="false">-I12</f>
        <v>19936.7776942383</v>
      </c>
      <c r="J16" s="0" t="n">
        <f aca="false">-J12</f>
        <v>20534.8810250655</v>
      </c>
      <c r="K16" s="0" t="n">
        <f aca="false">-K12</f>
        <v>21150.9274558175</v>
      </c>
      <c r="L16" s="0" t="n">
        <f aca="false">-L12</f>
        <v>21785.455279492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-31003.3056</v>
      </c>
      <c r="D17" s="4" t="n">
        <f aca="false">-D6*Assumptions!D46/100</f>
        <v>-32925.5105472</v>
      </c>
      <c r="E17" s="4" t="n">
        <f aca="false">-E6*Assumptions!E46/100</f>
        <v>-26157.48893472</v>
      </c>
      <c r="F17" s="4" t="n">
        <f aca="false">-F6*Assumptions!F46/100</f>
        <v>-23682.5880585888</v>
      </c>
      <c r="G17" s="4" t="n">
        <f aca="false">-G6*Assumptions!G46/100</f>
        <v>-22821.4030382765</v>
      </c>
      <c r="H17" s="4" t="n">
        <f aca="false">-H6*Assumptions!H46/100</f>
        <v>-21566.2258711713</v>
      </c>
      <c r="I17" s="4" t="n">
        <f aca="false">-I6*Assumptions!I46/100</f>
        <v>-22428.8749060181</v>
      </c>
      <c r="J17" s="4" t="n">
        <f aca="false">-J6*Assumptions!J46/100</f>
        <v>-23101.7411531987</v>
      </c>
      <c r="K17" s="4" t="n">
        <f aca="false">-K6*Assumptions!K46/100</f>
        <v>-23794.7933877946</v>
      </c>
      <c r="L17" s="4" t="n">
        <f aca="false">-L6*Assumptions!L46/100</f>
        <v>-24508.6371894285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-12313.3696</v>
      </c>
      <c r="D18" s="4" t="n">
        <f aca="false">(D6-C6)*Assumptions!$B$51/100</f>
        <v>-19532.082528</v>
      </c>
      <c r="E18" s="4" t="n">
        <f aca="false">(E6-D6)*Assumptions!$B$51/100</f>
        <v>-12804.3652128</v>
      </c>
      <c r="F18" s="4" t="n">
        <f aca="false">(F6-E6)*Assumptions!$B$51/100</f>
        <v>-9859.36121385601</v>
      </c>
      <c r="G18" s="4" t="n">
        <f aca="false">(G6-F6)*Assumptions!$B$51/100</f>
        <v>-9042.44271327938</v>
      </c>
      <c r="H18" s="4" t="n">
        <f aca="false">(H6-G6)*Assumptions!$B$51/100</f>
        <v>-7987.49106339679</v>
      </c>
      <c r="I18" s="4" t="n">
        <f aca="false">(I6-H6)*Assumptions!$B$51/100</f>
        <v>-6709.4924932533</v>
      </c>
      <c r="J18" s="4" t="n">
        <f aca="false">(J6-I6)*Assumptions!$B$51/100</f>
        <v>-5233.40414473757</v>
      </c>
      <c r="K18" s="4" t="n">
        <f aca="false">(K6-J6)*Assumptions!$B$51/100</f>
        <v>-5390.40626907968</v>
      </c>
      <c r="L18" s="4" t="n">
        <f aca="false">(L6-K6)*Assumptions!$B$51/100</f>
        <v>-5552.1184571521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-13908.48967312</v>
      </c>
      <c r="D19" s="0" t="n">
        <f aca="false">D15+D16+D17+D18</f>
        <v>-14115.8360429856</v>
      </c>
      <c r="E19" s="0" t="n">
        <f aca="false">E15+E16+E17+E18</f>
        <v>4857.97616173631</v>
      </c>
      <c r="F19" s="0" t="n">
        <f aca="false">F15+F16+F17+F18</f>
        <v>15104.2395624474</v>
      </c>
      <c r="G19" s="0" t="n">
        <f aca="false">G15+G16+G17+G18</f>
        <v>19701.1144134299</v>
      </c>
      <c r="H19" s="0" t="n">
        <f aca="false">H15+H16+H17+H18</f>
        <v>24589.491238667</v>
      </c>
      <c r="I19" s="0" t="n">
        <f aca="false">I15+I16+I17+I18</f>
        <v>27170.569100893</v>
      </c>
      <c r="J19" s="0" t="n">
        <f aca="false">J15+J16+J17+J18</f>
        <v>29663.0592972331</v>
      </c>
      <c r="K19" s="0" t="n">
        <f aca="false">K15+K16+K17+K18</f>
        <v>30552.9510761501</v>
      </c>
      <c r="L19" s="0" t="n">
        <f aca="false">L15+L16+L17+L18</f>
        <v>31469.5396084346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-12818.8844913549</v>
      </c>
      <c r="D21" s="0" t="n">
        <f aca="false">D19*D20</f>
        <v>-11990.7715542786</v>
      </c>
      <c r="E21" s="0" t="n">
        <f aca="false">E19*E20</f>
        <v>3803.34887900679</v>
      </c>
      <c r="F21" s="0" t="n">
        <f aca="false">F19*F20</f>
        <v>10898.8308516847</v>
      </c>
      <c r="G21" s="0" t="n">
        <f aca="false">G19*G20</f>
        <v>13102.1359743334</v>
      </c>
      <c r="H21" s="0" t="n">
        <f aca="false">H19*H20</f>
        <v>15072.0079348079</v>
      </c>
      <c r="I21" s="0" t="n">
        <f aca="false">I19*I20</f>
        <v>15349.370450586</v>
      </c>
      <c r="J21" s="0" t="n">
        <f aca="false">J19*J20</f>
        <v>15444.6487018813</v>
      </c>
      <c r="K21" s="0" t="n">
        <f aca="false">K19*K20</f>
        <v>14661.740242339</v>
      </c>
      <c r="L21" s="0" t="n">
        <f aca="false">L19*L20</f>
        <v>13918.5183867365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77440.945375742</v>
      </c>
    </row>
    <row r="31" customFormat="false" ht="15" hidden="false" customHeight="false" outlineLevel="0" collapsed="false">
      <c r="A31" s="0" t="s">
        <v>136</v>
      </c>
      <c r="B31" s="0" t="n">
        <f aca="false">L19</f>
        <v>31469.5396084346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537604.634977424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472043.094126519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472043.094126519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208777.775801048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286218.72117679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292439.72117679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3972.77202017076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-0.324932536929353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3972.77202017076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258050.224789164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1574.08610321685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1485.76081506574</v>
      </c>
      <c r="C4" s="0" t="n">
        <f aca="false">B4/Assumptions!$B$2-1</f>
        <v>-0.747534271016867</v>
      </c>
      <c r="D4" s="4" t="n">
        <f aca="false">Assumptions!$B$24</f>
        <v>0.25</v>
      </c>
      <c r="E4" s="4" t="n">
        <f aca="false">DCF_Bear!$B$43</f>
        <v>1485.76081506574</v>
      </c>
      <c r="F4" s="4" t="n">
        <f aca="false">DCF_Bear!$B$47</f>
        <v>742.447637516249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3204.80660352002</v>
      </c>
      <c r="C5" s="0" t="n">
        <f aca="false">B5/Assumptions!$B$2-1</f>
        <v>-0.455427934830924</v>
      </c>
      <c r="D5" s="4" t="n">
        <f aca="false">Assumptions!$B$38</f>
        <v>0.5</v>
      </c>
      <c r="E5" s="4" t="n">
        <f aca="false">DCF_Base!$B$43</f>
        <v>3204.80660352002</v>
      </c>
      <c r="F5" s="4" t="n">
        <f aca="false">DCF_Base!$B$47</f>
        <v>1237.72805665343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3972.77202017076</v>
      </c>
      <c r="C6" s="0" t="n">
        <f aca="false">B6/Assumptions!$B$2-1</f>
        <v>-0.324932536929353</v>
      </c>
      <c r="D6" s="4" t="n">
        <f aca="false">Assumptions!$B$52</f>
        <v>0.25</v>
      </c>
      <c r="E6" s="4" t="n">
        <f aca="false">DCF_Bull!$B$43</f>
        <v>3972.77202017076</v>
      </c>
      <c r="F6" s="4" t="n">
        <f aca="false">DCF_Bull!$B$47</f>
        <v>1574.08610321685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2967.03651056913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2967.03651056913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-0.983460594110164</v>
      </c>
    </row>
    <row r="11" customFormat="false" ht="15" hidden="false" customHeight="false" outlineLevel="0" collapsed="false">
      <c r="A11" s="0" t="s">
        <v>163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1197.99746350999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3204.80660352002</v>
      </c>
      <c r="C15" s="3" t="n">
        <v>8.5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3005.90380547601</v>
      </c>
      <c r="C16" s="3" t="n">
        <v>9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2515.06816130534</v>
      </c>
      <c r="C17" s="3" t="n">
        <v>10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2137.87691431479</v>
      </c>
      <c r="C18" s="3" t="n">
        <v>11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1840.01004686267</v>
      </c>
      <c r="C19" s="3" t="n">
        <v>12</v>
      </c>
    </row>
    <row r="20" customFormat="false" ht="15" hidden="false" customHeight="false" outlineLevel="0" collapsed="false">
      <c r="A20" s="0" t="s">
        <v>172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1237.72805665343</v>
      </c>
      <c r="C20" s="3" t="n">
        <v>15</v>
      </c>
    </row>
    <row r="22" customFormat="false" ht="15" hidden="false" customHeight="false" outlineLevel="0" collapsed="false">
      <c r="A22" s="2" t="s">
        <v>173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3821.96595085213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3821.96595085213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3821.96595085213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3821.96595085213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3821.96595085213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3498.33310158243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3498.33310158243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3498.33310158243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3498.33310158243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3498.33310158243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2970.83648442469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3128.51199946719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3204.80660352002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3204.80660352002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3204.80660352002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2504.30066097256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2616.38765441498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2743.4195803164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2888.59892420373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2938.3178775898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2140.84347174238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2222.98534228507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2314.79096230338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2418.07228482397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2535.1244503473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2026-10-31T09:55:13Z</dcterms:created>
  <dc:creator>openpyxl</dc:creator>
  <dc:description/>
  <dc:language>en-NZ</dc:language>
  <cp:lastModifiedBy/>
  <dcterms:modified xsi:type="dcterms:W3CDTF">2026-10-31T09:55:13Z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