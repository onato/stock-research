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<sst xmlns="http://schemas.openxmlformats.org/spreadsheetml/2006/main" count="387" uniqueCount="175">
  <si>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</si>
  <si>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CNI</t>
  </si>
  <si>
    <t xml:space="preserve">Company</t>
  </si>
  <si>
    <t xml:space="preserve">Canadian National Railway Company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</si>
  <si>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</si>
  <si>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</si>
  <si>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</si>
  <si>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</si>
  <si>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</si>
  <si>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</si>
  <si>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</si>
  <si>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</si>
  <si>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</si>
  <si>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</si>
  <si>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</si>
  <si>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</si>
  <si>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</si>
  <si>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</si>
  <si>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</si>
  <si>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</si>
  <si>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</si>
  <si>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</si>
  <si>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2026-10-03T21:28:51Z</t>
  </si>
  <si>
    <t xml:space="preserve">Drivers file</t>
  </si>
  <si>
    <t xml:space="preserve">CNI_Drivers.json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</si>
  <si>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</si>
  <si>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</si>
  <si>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</si>
  <si>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railway duopoly is about as durable as an operating business gets, so the question is not survival but what the market is paying for it. On an unlevered owner-FCF basis with SBC expensed, capex normalised to mid-cycle and a CAD-built 7.25% WACC, the scenarios are valued in CAD and converted to USD at the dated spot rate. The model gives the network credit for inflation-plus pricing and a return to peak margins, but not for margins beyond the prior peak or for the trapped pension surplus.
key_risks_to_valuation: Terminal value dominates: a 20x cap on base terminal FCF; each 1x of terminal multiple is worth roughly US$4-5/share; Capex normalisation: every 1pp of revenue in mid-cycle capex is ~C$180M/yr of FCF; US-Canada tariffs on the ~32% cross-border book and the Dec-2026 TCRC expiry are front-loaded in years 1-2; FX: the USD-quoted value moves one-for-one with CAD/USD (rate dated 2026-10-03) independent of operations; Pension surplus (C$5.6B) excluded - upside if it ever becomes accessible via contribution holidays or plan changes</t>
  </si>
  <si>
    <t xml:space="preserve">Data sources</t>
  </si>
  <si>
    <t xml:space="preserve">price: Yahoo Finance chart API at inputs.price_as_of (NYSE:CNI, USD); 52-week range 90.74-131.55. Parity-checked against CNR.TO and CAD=X (see inputs.fx_note).
financials: CNI_Metrics.csv (SEC XBRL, CAD despite the USD label) for FY2007-FY2025; SEC companyfacts XBRL for FY2025 SBC, withholding, leases, debt detail and cash taxes; Q2-2026 6-K (a2026q2fsnotes.htm, a2026q2pressreleasestatssu.htm, filed 2026-07-24) for the 2026-06-30 balance sheet, share count, H1 cash flow and raised guidance - saved to research/CNI/Extracted/.
qualitative: CNI_Analysis.json (2026-10-04)</t>
  </si>
  <si>
    <t xml:space="preserve">Scenario narrative: bear</t>
  </si>
  <si>
    <t xml:space="preserve">The 50% US tariffs on Canadian goods (effective Aug-2026) hit the ~32% of revenue that is cross-border traffic, fuel surcharge reverses, and a 2027 TCRC stoppage repeats the August-2024 lockout: FY2027 revenue falls 2% and the margin drops to 46% (FY2024 lockout year was 48.2% pre-SBC). Regulatory pressure on the duopoly (interswitching, CTA rate oversight) caps pricing, volumes grow only ~2%, and capex has to stay at 18.5% for safety rules and network resilience after wildfire/flood outages.</t>
  </si>
  <si>
    <t xml:space="preserve">Scenario narrative: base</t>
  </si>
  <si>
    <t xml:space="preserve">CN keeps its half of the Canadian rail duopoly and its three-coast single-line network earns inflation-plus pricing on low-single-digit volume growth. FY2026 lands near the raised guidance (+6% revenue, inflated by fuel surcharge), FY2027 is soft as fuel normalises, the US-Canada tariff dispute grinds on without a cross-border collapse, and the TCRC contract expiring Dec-2026 is settled through the usual CIRB/arbitration route with a short or no stoppage. Margins recover to the FY2022-25 peak of ~50% pre-SBC rather than beyond it, and capex settles at 17.5% of revenue once the FY2023-25 capacity build is done.</t>
  </si>
  <si>
    <t xml:space="preserve">Scenario narrative: bull</t>
  </si>
  <si>
    <t xml:space="preserve">Intermodal truck-to-rail conversion through Prince Rupert and the Gulf, LNG Canada and grain/fertiliser export growth push volumes above GDP; PSR productivity and record fuel efficiency carry the pre-SBC margin to ~51.5%; the USMCA review de-escalates tariffs; and the lower capex run-rate holds at ~17% because the capacity is already built. Growth of 4.5-5% through FY2031 fading to 3.5%,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</si>
  <si>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</si>
  <si>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</si>
  <si>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</si>
  <si>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</si>
  <si>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</si>
  <si>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</si>
  <si>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</si>
  <si>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</si>
  <si>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</si>
  <si>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</si>
  <si>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</si>
  <si>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</si>
  <si>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</si>
  <si>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</si>
  <si>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</si>
  <si>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</si>
  <si>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</si>
  <si>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</si>
  <si>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</si>
  <si>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</si>
  <si>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</si>
  <si>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</si>
  <si>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</si>
  <si>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</si>
  <si>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</si>
  <si>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</si>
  <si>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</si>
  <si>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</si>
  <si>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</si>
  <si>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</si>
  <si>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</si>
  <si>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</si>
  <si>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</si>
  <si>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</si>
  <si>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</si>
  <si>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</si>
  <si>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</si>
  <si>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</si>
  <si>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</si>
  <si>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</si>
  <si>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</si>
  <si>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</si>
  <si>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</si>
  <si>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</si>
  <si>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</si>
  <si>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</si>
  <si>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</si>
  <si>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</si>
  <si>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</si>
  <si>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</si>
  <si>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</si>
  <si>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</si>
  <si>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</si>
  <si>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</si>
  <si>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</si>
  <si>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</si>
  <si>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</si>
  <si>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</si>
  <si>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</si>
  <si>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</si>
  <si>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</si>
  <si>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</si>
  <si>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</si>
  <si>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</si>
  <si>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</si>
  <si>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</si>
  <si>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</si>
  <si>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</si>
  <si>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</si>
  <si>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</si>
  <si>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</si>
  <si>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</si>
  <si>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</si>
  <si>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</si>
  <si>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</si>
  <si>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</si>
  <si>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</si>
  <si>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</si>
  <si>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</si>
  <si>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</si>
  <si>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</si>
  <si>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</si>
  <si>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</si>
  <si>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CNI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</si>
  <si>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</si>
  <si>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</si>
  <si>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</si>
  <si>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</si>
  <si>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</si>
  <si>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</si>
  <si>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</si>
  <si>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</si>
  <si>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</si>
  <si>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</si>
  <si>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</si>
  <si>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</si>
  <si>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</si>
  <si>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</si>
  <si>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</si>
  <si>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</si>
  <si>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</si>
  <si>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</si>
  <si>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</si>
  <si>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</si>
  <si>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</si>
  <si>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</si>
  <si>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</si>
  <si>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</si>
  <si>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</si>
  <si>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</si>
  <si>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</si>
  <si>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</si>
  <si>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</si>
  <si>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</si>
  <si>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CNI owner-FCF component DCF: base case (millions, CAD)</t>
  </si>
  <si>
    <t xml:space="preserve">CNI owner-FCF component DCF: bull case (millions, CAD)</t>
  </si>
  <si>
    <t xml:space="preserve">CNI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</si>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</sst>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119.77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10177</v>
      </c>
      <c r="S2" s="0" t="n">
        <v>310</v>
      </c>
      <c r="T2" s="0" t="n">
        <v>485.2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8482</v>
      </c>
      <c r="F3" s="0" t="n">
        <v>2894</v>
      </c>
      <c r="G3" s="0" t="n">
        <v>34.1193114831408</v>
      </c>
      <c r="H3" s="0" t="n">
        <v>3619</v>
      </c>
      <c r="I3" s="0" t="n">
        <v>1895</v>
      </c>
      <c r="J3" s="0" t="n">
        <v>22.3414289082764</v>
      </c>
      <c r="K3" s="0" t="n">
        <v>3.99</v>
      </c>
      <c r="L3" s="0" t="n">
        <v>2031</v>
      </c>
      <c r="M3" s="0" t="n">
        <v>1424</v>
      </c>
      <c r="N3" s="0" t="n">
        <v>607</v>
      </c>
      <c r="O3" s="0" t="n">
        <v>10559</v>
      </c>
      <c r="P3" s="0" t="n">
        <v>26720</v>
      </c>
      <c r="R3" s="0" t="n">
        <v>7911</v>
      </c>
      <c r="S3" s="0" t="n">
        <v>413</v>
      </c>
      <c r="T3" s="0" t="n">
        <v>468.2</v>
      </c>
      <c r="V3" s="0" t="n">
        <v>0.92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7367</v>
      </c>
      <c r="F4" s="0" t="n">
        <v>2406</v>
      </c>
      <c r="G4" s="0" t="n">
        <v>32.6591556943125</v>
      </c>
      <c r="H4" s="0" t="n">
        <v>3196</v>
      </c>
      <c r="I4" s="0" t="n">
        <v>1854</v>
      </c>
      <c r="J4" s="0" t="n">
        <v>25.1662820686847</v>
      </c>
      <c r="K4" s="0" t="n">
        <v>3.95</v>
      </c>
      <c r="L4" s="0" t="n">
        <v>2279</v>
      </c>
      <c r="M4" s="0" t="n">
        <v>1402</v>
      </c>
      <c r="N4" s="0" t="n">
        <v>877</v>
      </c>
      <c r="O4" s="0" t="n">
        <v>11233</v>
      </c>
      <c r="P4" s="0" t="n">
        <v>25176</v>
      </c>
      <c r="R4" s="0" t="n">
        <v>6531</v>
      </c>
      <c r="S4" s="0" t="n">
        <v>352</v>
      </c>
      <c r="T4" s="0" t="n">
        <v>471</v>
      </c>
      <c r="U4" s="0" t="n">
        <v>90</v>
      </c>
      <c r="V4" s="0" t="n">
        <v>1.01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8297</v>
      </c>
      <c r="F5" s="0" t="n">
        <v>3024</v>
      </c>
      <c r="G5" s="0" t="n">
        <v>36.4469085211522</v>
      </c>
      <c r="H5" s="0" t="n">
        <v>3858</v>
      </c>
      <c r="I5" s="0" t="n">
        <v>2104</v>
      </c>
      <c r="J5" s="0" t="n">
        <v>25.3585633361456</v>
      </c>
      <c r="K5" s="0" t="n">
        <v>4.51</v>
      </c>
      <c r="L5" s="0" t="n">
        <v>2999</v>
      </c>
      <c r="M5" s="0" t="n">
        <v>1586</v>
      </c>
      <c r="N5" s="0" t="n">
        <v>1413</v>
      </c>
      <c r="O5" s="0" t="n">
        <v>11284</v>
      </c>
      <c r="P5" s="0" t="n">
        <v>25206</v>
      </c>
      <c r="R5" s="0" t="n">
        <v>6611</v>
      </c>
      <c r="S5" s="0" t="n">
        <v>490</v>
      </c>
      <c r="T5" s="0" t="n">
        <v>918.7</v>
      </c>
      <c r="U5" s="0" t="n">
        <v>104</v>
      </c>
      <c r="V5" s="0" t="n">
        <v>1.08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9028</v>
      </c>
      <c r="F6" s="0" t="n">
        <v>3296</v>
      </c>
      <c r="G6" s="0" t="n">
        <v>36.5086397873283</v>
      </c>
      <c r="H6" s="0" t="n">
        <v>4180</v>
      </c>
      <c r="I6" s="0" t="n">
        <v>2457</v>
      </c>
      <c r="J6" s="0" t="n">
        <v>27.2153300841825</v>
      </c>
      <c r="K6" s="0" t="n">
        <v>2.72</v>
      </c>
      <c r="L6" s="0" t="n">
        <v>2976</v>
      </c>
      <c r="M6" s="0" t="n">
        <v>1625</v>
      </c>
      <c r="N6" s="0" t="n">
        <v>1351</v>
      </c>
      <c r="O6" s="0" t="n">
        <v>10680</v>
      </c>
      <c r="P6" s="0" t="n">
        <v>26026</v>
      </c>
      <c r="R6" s="0" t="n">
        <v>6711</v>
      </c>
      <c r="S6" s="0" t="n">
        <v>101</v>
      </c>
      <c r="T6" s="0" t="n">
        <v>908.9</v>
      </c>
      <c r="U6" s="0" t="n">
        <v>112</v>
      </c>
      <c r="V6" s="0" t="n">
        <v>0.65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9920</v>
      </c>
      <c r="F7" s="0" t="n">
        <v>3685</v>
      </c>
      <c r="G7" s="0" t="n">
        <v>37.1471774193548</v>
      </c>
      <c r="H7" s="0" t="n">
        <v>4609</v>
      </c>
      <c r="I7" s="0" t="n">
        <v>2680</v>
      </c>
      <c r="J7" s="0" t="n">
        <v>27.0161290322581</v>
      </c>
      <c r="K7" s="0" t="n">
        <v>3.08</v>
      </c>
      <c r="L7" s="0" t="n">
        <v>3060</v>
      </c>
      <c r="M7" s="0" t="n">
        <v>1731</v>
      </c>
      <c r="N7" s="0" t="n">
        <v>1329</v>
      </c>
      <c r="O7" s="0" t="n">
        <v>11018</v>
      </c>
      <c r="P7" s="0" t="n">
        <v>26659</v>
      </c>
      <c r="R7" s="0" t="n">
        <v>7477</v>
      </c>
      <c r="S7" s="0" t="n">
        <v>155</v>
      </c>
      <c r="T7" s="0" t="n">
        <v>875.4</v>
      </c>
      <c r="U7" s="0" t="n">
        <v>105</v>
      </c>
      <c r="V7" s="0" t="n">
        <v>0.75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10575</v>
      </c>
      <c r="F8" s="0" t="n">
        <v>3873</v>
      </c>
      <c r="G8" s="0" t="n">
        <v>36.6241134751773</v>
      </c>
      <c r="H8" s="0" t="n">
        <v>4853</v>
      </c>
      <c r="I8" s="0" t="n">
        <v>2612</v>
      </c>
      <c r="J8" s="0" t="n">
        <v>24.6997635933806</v>
      </c>
      <c r="K8" s="0" t="n">
        <v>3.1</v>
      </c>
      <c r="L8" s="0" t="n">
        <v>3548</v>
      </c>
      <c r="M8" s="0" t="n">
        <v>1973</v>
      </c>
      <c r="N8" s="0" t="n">
        <v>1575</v>
      </c>
      <c r="O8" s="0" t="n">
        <v>12953</v>
      </c>
      <c r="P8" s="0" t="n">
        <v>30163</v>
      </c>
      <c r="R8" s="0" t="n">
        <v>8861</v>
      </c>
      <c r="S8" s="0" t="n">
        <v>214</v>
      </c>
      <c r="T8" s="0" t="n">
        <v>846.1</v>
      </c>
      <c r="U8" s="0" t="n">
        <v>136</v>
      </c>
      <c r="V8" s="0" t="n">
        <v>0.86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12134</v>
      </c>
      <c r="F9" s="0" t="n">
        <v>4624</v>
      </c>
      <c r="G9" s="0" t="n">
        <v>38.10779627493</v>
      </c>
      <c r="H9" s="0" t="n">
        <v>5674</v>
      </c>
      <c r="I9" s="0" t="n">
        <v>3167</v>
      </c>
      <c r="J9" s="0" t="n">
        <v>26.100214273941</v>
      </c>
      <c r="K9" s="0" t="n">
        <v>3.86</v>
      </c>
      <c r="L9" s="0" t="n">
        <v>4381</v>
      </c>
      <c r="M9" s="0" t="n">
        <v>2297</v>
      </c>
      <c r="N9" s="0" t="n">
        <v>2084</v>
      </c>
      <c r="O9" s="0" t="n">
        <v>13470</v>
      </c>
      <c r="P9" s="0" t="n">
        <v>31687</v>
      </c>
      <c r="R9" s="0" t="n">
        <v>8372</v>
      </c>
      <c r="S9" s="0" t="n">
        <v>52</v>
      </c>
      <c r="T9" s="0" t="n">
        <v>823.5</v>
      </c>
      <c r="U9" s="0" t="n">
        <v>161</v>
      </c>
      <c r="V9" s="0" t="n">
        <v>1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12611</v>
      </c>
      <c r="F10" s="0" t="n">
        <v>5266</v>
      </c>
      <c r="G10" s="0" t="n">
        <v>41.757196098644</v>
      </c>
      <c r="H10" s="0" t="n">
        <v>6424</v>
      </c>
      <c r="I10" s="0" t="n">
        <v>3538</v>
      </c>
      <c r="J10" s="0" t="n">
        <v>28.0548727301562</v>
      </c>
      <c r="K10" s="0" t="n">
        <v>4.42</v>
      </c>
      <c r="L10" s="0" t="n">
        <v>5140</v>
      </c>
      <c r="M10" s="0" t="n">
        <v>2706</v>
      </c>
      <c r="N10" s="0" t="n">
        <v>2434</v>
      </c>
      <c r="O10" s="0" t="n">
        <v>14950</v>
      </c>
      <c r="P10" s="0" t="n">
        <v>36402</v>
      </c>
      <c r="R10" s="0" t="n">
        <v>10427</v>
      </c>
      <c r="S10" s="0" t="n">
        <v>153</v>
      </c>
      <c r="T10" s="0" t="n">
        <v>805.1</v>
      </c>
      <c r="U10" s="0" t="n">
        <v>61</v>
      </c>
      <c r="V10" s="0" t="n">
        <v>1.25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12037</v>
      </c>
      <c r="F11" s="0" t="n">
        <v>5032</v>
      </c>
      <c r="G11" s="0" t="n">
        <v>41.8044363213425</v>
      </c>
      <c r="H11" s="0" t="n">
        <v>6257</v>
      </c>
      <c r="I11" s="0" t="n">
        <v>3640</v>
      </c>
      <c r="J11" s="0" t="n">
        <v>30.2400930464401</v>
      </c>
      <c r="K11" s="0" t="n">
        <v>4.69</v>
      </c>
      <c r="L11" s="0" t="n">
        <v>5202</v>
      </c>
      <c r="M11" s="0" t="n">
        <v>2695</v>
      </c>
      <c r="N11" s="0" t="n">
        <v>2507</v>
      </c>
      <c r="O11" s="0" t="n">
        <v>14841</v>
      </c>
      <c r="P11" s="0" t="n">
        <v>37057</v>
      </c>
      <c r="R11" s="0" t="n">
        <v>10937</v>
      </c>
      <c r="S11" s="0" t="n">
        <v>176</v>
      </c>
      <c r="T11" s="0" t="n">
        <v>779.2</v>
      </c>
      <c r="U11" s="0" t="n">
        <v>113</v>
      </c>
      <c r="V11" s="0" t="n">
        <v>1.5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13041</v>
      </c>
      <c r="F12" s="0" t="n">
        <v>5243</v>
      </c>
      <c r="G12" s="0" t="n">
        <v>40.2039720880301</v>
      </c>
      <c r="H12" s="0" t="n">
        <v>6524</v>
      </c>
      <c r="I12" s="0" t="n">
        <v>5484</v>
      </c>
      <c r="J12" s="0" t="n">
        <v>42.0519898780768</v>
      </c>
      <c r="K12" s="0" t="n">
        <v>7.28</v>
      </c>
      <c r="L12" s="0" t="n">
        <v>5516</v>
      </c>
      <c r="M12" s="0" t="n">
        <v>2673</v>
      </c>
      <c r="N12" s="0" t="n">
        <v>2843</v>
      </c>
      <c r="O12" s="0" t="n">
        <v>16656</v>
      </c>
      <c r="P12" s="0" t="n">
        <v>37629</v>
      </c>
      <c r="R12" s="0" t="n">
        <v>10828</v>
      </c>
      <c r="S12" s="0" t="n">
        <v>70</v>
      </c>
      <c r="T12" s="0" t="n">
        <v>757.3</v>
      </c>
      <c r="U12" s="0" t="n">
        <v>111</v>
      </c>
      <c r="V12" s="0" t="n">
        <v>1.65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14321</v>
      </c>
      <c r="F13" s="0" t="n">
        <v>5493</v>
      </c>
      <c r="G13" s="0" t="n">
        <v>38.3562600377069</v>
      </c>
      <c r="H13" s="0" t="n">
        <v>6822</v>
      </c>
      <c r="I13" s="0" t="n">
        <v>4328</v>
      </c>
      <c r="J13" s="0" t="n">
        <v>30.2213532574541</v>
      </c>
      <c r="K13" s="0" t="n">
        <v>5.89</v>
      </c>
      <c r="L13" s="0" t="n">
        <v>5918</v>
      </c>
      <c r="M13" s="0" t="n">
        <v>3531</v>
      </c>
      <c r="N13" s="0" t="n">
        <v>2387</v>
      </c>
      <c r="O13" s="0" t="n">
        <v>17641</v>
      </c>
      <c r="P13" s="0" t="n">
        <v>41214</v>
      </c>
      <c r="R13" s="0" t="n">
        <v>13724</v>
      </c>
      <c r="S13" s="0" t="n">
        <v>266</v>
      </c>
      <c r="T13" s="0" t="n">
        <v>737.7</v>
      </c>
      <c r="U13" s="0" t="n">
        <v>90</v>
      </c>
      <c r="V13" s="0" t="n">
        <v>1.82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14917</v>
      </c>
      <c r="F14" s="0" t="n">
        <v>5593</v>
      </c>
      <c r="G14" s="0" t="n">
        <v>37.4941342092914</v>
      </c>
      <c r="H14" s="0" t="n">
        <v>7155</v>
      </c>
      <c r="I14" s="0" t="n">
        <v>4216</v>
      </c>
      <c r="J14" s="0" t="n">
        <v>28.2630555741771</v>
      </c>
      <c r="K14" s="0" t="n">
        <v>5.85</v>
      </c>
      <c r="L14" s="0" t="n">
        <v>5923</v>
      </c>
      <c r="M14" s="0" t="n">
        <v>3865</v>
      </c>
      <c r="N14" s="0" t="n">
        <v>2058</v>
      </c>
      <c r="O14" s="0" t="n">
        <v>18041</v>
      </c>
      <c r="P14" s="0" t="n">
        <v>43784</v>
      </c>
      <c r="R14" s="0" t="n">
        <v>15592</v>
      </c>
      <c r="S14" s="0" t="n">
        <v>64</v>
      </c>
      <c r="T14" s="0" t="n">
        <v>722.6</v>
      </c>
      <c r="U14" s="0" t="n">
        <v>57</v>
      </c>
      <c r="V14" s="0" t="n">
        <v>2.15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13819</v>
      </c>
      <c r="F15" s="0" t="n">
        <v>4777</v>
      </c>
      <c r="G15" s="0" t="n">
        <v>34.5683479267675</v>
      </c>
      <c r="H15" s="0" t="n">
        <v>6366</v>
      </c>
      <c r="I15" s="0" t="n">
        <v>3562</v>
      </c>
      <c r="J15" s="0" t="n">
        <v>25.7761053621825</v>
      </c>
      <c r="K15" s="0" t="n">
        <v>5.01</v>
      </c>
      <c r="L15" s="0" t="n">
        <v>6165</v>
      </c>
      <c r="M15" s="0" t="n">
        <v>2863</v>
      </c>
      <c r="N15" s="0" t="n">
        <v>3302</v>
      </c>
      <c r="O15" s="0" t="n">
        <v>19651</v>
      </c>
      <c r="P15" s="0" t="n">
        <v>44804</v>
      </c>
      <c r="R15" s="0" t="n">
        <v>13742</v>
      </c>
      <c r="S15" s="0" t="n">
        <v>569</v>
      </c>
      <c r="T15" s="0" t="n">
        <v>713</v>
      </c>
      <c r="U15" s="0" t="n">
        <v>64</v>
      </c>
      <c r="V15" s="0" t="n">
        <v>2.3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O16" s="0" t="n">
        <v>22744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17107</v>
      </c>
      <c r="F17" s="0" t="n">
        <v>6840</v>
      </c>
      <c r="G17" s="0" t="n">
        <v>39.9836324311685</v>
      </c>
      <c r="H17" s="0" t="n">
        <v>8569</v>
      </c>
      <c r="I17" s="0" t="n">
        <v>5118</v>
      </c>
      <c r="J17" s="0" t="n">
        <v>29.9175775998129</v>
      </c>
      <c r="K17" s="0" t="n">
        <v>7.46</v>
      </c>
      <c r="L17" s="0" t="n">
        <v>6667</v>
      </c>
      <c r="M17" s="0" t="n">
        <v>2750</v>
      </c>
      <c r="N17" s="0" t="n">
        <v>3917</v>
      </c>
      <c r="O17" s="0" t="n">
        <v>21384</v>
      </c>
      <c r="S17" s="0" t="n">
        <v>328</v>
      </c>
      <c r="T17" s="0" t="n">
        <v>688.3</v>
      </c>
      <c r="U17" s="0" t="n">
        <v>63</v>
      </c>
      <c r="V17" s="0" t="n">
        <v>2.93</v>
      </c>
      <c r="AA17" s="0" t="s">
        <v>18</v>
      </c>
      <c r="AB17" s="0" t="s">
        <v>16</v>
      </c>
    </row>
    <row r="18" customFormat="false" ht="15" hidden="false" customHeight="false" outlineLevel="0" collapsed="false">
      <c r="A18" s="0" t="s">
        <v>80</v>
      </c>
      <c r="B18" s="0" t="n">
        <v>16828</v>
      </c>
      <c r="F18" s="0" t="n">
        <v>6597</v>
      </c>
      <c r="G18" s="0" t="n">
        <v>39.2025196101735</v>
      </c>
      <c r="H18" s="0" t="n">
        <v>8414</v>
      </c>
      <c r="I18" s="0" t="n">
        <v>5625</v>
      </c>
      <c r="J18" s="0" t="n">
        <v>33.4264321369147</v>
      </c>
      <c r="K18" s="0" t="n">
        <v>8.55</v>
      </c>
      <c r="L18" s="0" t="n">
        <v>6965</v>
      </c>
      <c r="M18" s="0" t="n">
        <v>3187</v>
      </c>
      <c r="N18" s="0" t="n">
        <v>3778</v>
      </c>
      <c r="O18" s="0" t="n">
        <v>20117</v>
      </c>
      <c r="P18" s="0" t="n">
        <v>52666</v>
      </c>
      <c r="Q18" s="0" t="n">
        <v>32549</v>
      </c>
      <c r="R18" s="0" t="n">
        <v>20775</v>
      </c>
      <c r="S18" s="0" t="n">
        <v>475</v>
      </c>
      <c r="T18" s="0" t="n">
        <v>659.1</v>
      </c>
      <c r="U18" s="0" t="n">
        <v>64</v>
      </c>
      <c r="V18" s="0" t="n">
        <v>3.16</v>
      </c>
      <c r="AA18" s="0" t="s">
        <v>18</v>
      </c>
      <c r="AB18" s="0" t="s">
        <v>16</v>
      </c>
    </row>
    <row r="19" customFormat="false" ht="15" hidden="false" customHeight="false" outlineLevel="0" collapsed="false">
      <c r="A19" s="0" t="s">
        <v>81</v>
      </c>
      <c r="B19" s="0" t="n">
        <v>17046</v>
      </c>
      <c r="F19" s="0" t="n">
        <v>6247</v>
      </c>
      <c r="G19" s="0" t="n">
        <v>36.6478939340608</v>
      </c>
      <c r="H19" s="0" t="n">
        <v>8139</v>
      </c>
      <c r="I19" s="0" t="n">
        <v>4448</v>
      </c>
      <c r="J19" s="0" t="n">
        <v>26.094098322187</v>
      </c>
      <c r="K19" s="0" t="n">
        <v>7.02</v>
      </c>
      <c r="L19" s="0" t="n">
        <v>6699</v>
      </c>
      <c r="M19" s="0" t="n">
        <v>3549</v>
      </c>
      <c r="N19" s="0" t="n">
        <v>3150</v>
      </c>
      <c r="O19" s="0" t="n">
        <v>21051</v>
      </c>
      <c r="P19" s="0" t="n">
        <v>57067</v>
      </c>
      <c r="Q19" s="0" t="n">
        <v>36016</v>
      </c>
      <c r="R19" s="0" t="n">
        <v>22053</v>
      </c>
      <c r="S19" s="0" t="n">
        <v>389</v>
      </c>
      <c r="T19" s="0" t="n">
        <v>634.5</v>
      </c>
      <c r="U19" s="0" t="n">
        <v>74</v>
      </c>
      <c r="V19" s="0" t="n">
        <v>3.38</v>
      </c>
      <c r="AA19" s="0" t="s">
        <v>18</v>
      </c>
      <c r="AB19" s="0" t="s">
        <v>16</v>
      </c>
    </row>
    <row r="20" customFormat="false" ht="15" hidden="false" customHeight="false" outlineLevel="0" collapsed="false">
      <c r="A20" s="0" t="s">
        <v>82</v>
      </c>
      <c r="B20" s="0" t="n">
        <v>17304</v>
      </c>
      <c r="F20" s="0" t="n">
        <v>6587</v>
      </c>
      <c r="G20" s="0" t="n">
        <v>38.0663430420712</v>
      </c>
      <c r="H20" s="0" t="n">
        <v>8525</v>
      </c>
      <c r="I20" s="0" t="n">
        <v>4720</v>
      </c>
      <c r="J20" s="0" t="n">
        <v>27.2769301895516</v>
      </c>
      <c r="K20" s="0" t="n">
        <v>7.58</v>
      </c>
      <c r="L20" s="0" t="n">
        <v>7049</v>
      </c>
      <c r="M20" s="0" t="n">
        <v>3658</v>
      </c>
      <c r="N20" s="0" t="n">
        <v>3391</v>
      </c>
      <c r="O20" s="0" t="n">
        <v>21568</v>
      </c>
      <c r="P20" s="0" t="n">
        <v>58555</v>
      </c>
      <c r="Q20" s="0" t="n">
        <v>36987</v>
      </c>
      <c r="R20" s="0" t="n">
        <v>22107</v>
      </c>
      <c r="S20" s="0" t="n">
        <v>350</v>
      </c>
      <c r="T20" s="0" t="n">
        <v>623.7</v>
      </c>
      <c r="U20" s="0" t="n">
        <v>106</v>
      </c>
      <c r="V20" s="0" t="n">
        <v>3.55</v>
      </c>
      <c r="AA20" s="0" t="s">
        <v>18</v>
      </c>
      <c r="AB20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119.77</v>
      </c>
    </row>
    <row r="3" customFormat="false" ht="15" hidden="false" customHeight="false" outlineLevel="0" collapsed="false">
      <c r="A3" s="0" t="s">
        <v>86</v>
      </c>
      <c r="B3" s="3" t="n">
        <v>605.9</v>
      </c>
    </row>
    <row r="4" customFormat="false" ht="15" hidden="false" customHeight="false" outlineLevel="0" collapsed="false">
      <c r="A4" s="0" t="s">
        <v>87</v>
      </c>
      <c r="B4" s="3" t="n">
        <v>21974</v>
      </c>
    </row>
    <row r="5" customFormat="false" ht="15" hidden="false" customHeight="false" outlineLevel="0" collapsed="false">
      <c r="A5" s="0" t="s">
        <v>88</v>
      </c>
      <c r="B5" s="3" t="n">
        <v>-1927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17304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0.7019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</v>
      </c>
      <c r="D13" s="3" t="n">
        <v>-2</v>
      </c>
      <c r="E13" s="3" t="n">
        <v>1.5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48</v>
      </c>
      <c r="D14" s="3" t="n">
        <v>46</v>
      </c>
      <c r="E14" s="3" t="n">
        <v>46.5</v>
      </c>
      <c r="F14" s="3" t="n">
        <v>47</v>
      </c>
      <c r="G14" s="3" t="n">
        <v>47</v>
      </c>
      <c r="H14" s="3" t="n">
        <v>47</v>
      </c>
      <c r="I14" s="3" t="n">
        <v>47</v>
      </c>
      <c r="J14" s="3" t="n">
        <v>47</v>
      </c>
      <c r="K14" s="3" t="n">
        <v>47</v>
      </c>
      <c r="L14" s="3" t="n">
        <v>47</v>
      </c>
    </row>
    <row r="15" customFormat="false" ht="15" hidden="false" customHeight="false" outlineLevel="0" collapsed="false">
      <c r="A15" s="0" t="s">
        <v>108</v>
      </c>
      <c r="C15" s="3" t="n">
        <v>0.65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11</v>
      </c>
      <c r="D17" s="3" t="n">
        <v>11.3</v>
      </c>
      <c r="E17" s="3" t="n">
        <v>11.4</v>
      </c>
      <c r="F17" s="3" t="n">
        <v>11.4</v>
      </c>
      <c r="G17" s="3" t="n">
        <v>11.4</v>
      </c>
      <c r="H17" s="3" t="n">
        <v>11.4</v>
      </c>
      <c r="I17" s="3" t="n">
        <v>11.4</v>
      </c>
      <c r="J17" s="3" t="n">
        <v>11.4</v>
      </c>
      <c r="K17" s="3" t="n">
        <v>11.4</v>
      </c>
      <c r="L17" s="3" t="n">
        <v>11.4</v>
      </c>
    </row>
    <row r="18" customFormat="false" ht="15" hidden="false" customHeight="false" outlineLevel="0" collapsed="false">
      <c r="A18" s="0" t="s">
        <v>111</v>
      </c>
      <c r="C18" s="3" t="n">
        <v>17</v>
      </c>
      <c r="D18" s="3" t="n">
        <v>18.5</v>
      </c>
      <c r="E18" s="3" t="n">
        <v>18.5</v>
      </c>
      <c r="F18" s="3" t="n">
        <v>18.5</v>
      </c>
      <c r="G18" s="3" t="n">
        <v>18.5</v>
      </c>
      <c r="H18" s="3" t="n">
        <v>18.5</v>
      </c>
      <c r="I18" s="3" t="n">
        <v>18.5</v>
      </c>
      <c r="J18" s="3" t="n">
        <v>18.5</v>
      </c>
      <c r="K18" s="3" t="n">
        <v>18.5</v>
      </c>
      <c r="L18" s="3" t="n">
        <v>18.5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22</v>
      </c>
      <c r="E19" s="3" t="n">
        <v>23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7.25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2.5</v>
      </c>
      <c r="E27" s="3" t="n">
        <v>3.5</v>
      </c>
      <c r="F27" s="3" t="n">
        <v>3.5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48.5</v>
      </c>
      <c r="D28" s="3" t="n">
        <v>49.3</v>
      </c>
      <c r="E28" s="3" t="n">
        <v>49.7</v>
      </c>
      <c r="F28" s="3" t="n">
        <v>50</v>
      </c>
      <c r="G28" s="3" t="n">
        <v>50</v>
      </c>
      <c r="H28" s="3" t="n">
        <v>50</v>
      </c>
      <c r="I28" s="3" t="n">
        <v>50</v>
      </c>
      <c r="J28" s="3" t="n">
        <v>50</v>
      </c>
      <c r="K28" s="3" t="n">
        <v>50</v>
      </c>
      <c r="L28" s="3" t="n">
        <v>50</v>
      </c>
    </row>
    <row r="29" customFormat="false" ht="15" hidden="false" customHeight="false" outlineLevel="0" collapsed="false">
      <c r="A29" s="0" t="s">
        <v>108</v>
      </c>
      <c r="C29" s="3" t="n">
        <v>0.65</v>
      </c>
      <c r="D29" s="3" t="n">
        <v>0.65</v>
      </c>
      <c r="E29" s="3" t="n">
        <v>0.65</v>
      </c>
      <c r="F29" s="3" t="n">
        <v>0.65</v>
      </c>
      <c r="G29" s="3" t="n">
        <v>0.65</v>
      </c>
      <c r="H29" s="3" t="n">
        <v>0.65</v>
      </c>
      <c r="I29" s="3" t="n">
        <v>0.65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11</v>
      </c>
      <c r="D31" s="3" t="n">
        <v>11</v>
      </c>
      <c r="E31" s="3" t="n">
        <v>11.1</v>
      </c>
      <c r="F31" s="3" t="n">
        <v>11.2</v>
      </c>
      <c r="G31" s="3" t="n">
        <v>11.2</v>
      </c>
      <c r="H31" s="3" t="n">
        <v>11.2</v>
      </c>
      <c r="I31" s="3" t="n">
        <v>11.2</v>
      </c>
      <c r="J31" s="3" t="n">
        <v>11.2</v>
      </c>
      <c r="K31" s="3" t="n">
        <v>11.2</v>
      </c>
      <c r="L31" s="3" t="n">
        <v>11.2</v>
      </c>
    </row>
    <row r="32" customFormat="false" ht="15" hidden="false" customHeight="false" outlineLevel="0" collapsed="false">
      <c r="A32" s="0" t="s">
        <v>111</v>
      </c>
      <c r="C32" s="3" t="n">
        <v>17</v>
      </c>
      <c r="D32" s="3" t="n">
        <v>17.5</v>
      </c>
      <c r="E32" s="3" t="n">
        <v>17.5</v>
      </c>
      <c r="F32" s="3" t="n">
        <v>17.5</v>
      </c>
      <c r="G32" s="3" t="n">
        <v>17.5</v>
      </c>
      <c r="H32" s="3" t="n">
        <v>17.5</v>
      </c>
      <c r="I32" s="3" t="n">
        <v>17.5</v>
      </c>
      <c r="J32" s="3" t="n">
        <v>17.5</v>
      </c>
      <c r="K32" s="3" t="n">
        <v>17.5</v>
      </c>
      <c r="L32" s="3" t="n">
        <v>17.5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21.5</v>
      </c>
      <c r="E33" s="3" t="n">
        <v>22</v>
      </c>
      <c r="F33" s="3" t="n">
        <v>22.5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7.25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4.5</v>
      </c>
      <c r="E41" s="3" t="n">
        <v>5</v>
      </c>
      <c r="F41" s="3" t="n">
        <v>5</v>
      </c>
      <c r="G41" s="3" t="n">
        <v>4.5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48.8</v>
      </c>
      <c r="D42" s="3" t="n">
        <v>50</v>
      </c>
      <c r="E42" s="3" t="n">
        <v>50.8</v>
      </c>
      <c r="F42" s="3" t="n">
        <v>51.2</v>
      </c>
      <c r="G42" s="3" t="n">
        <v>51.5</v>
      </c>
      <c r="H42" s="3" t="n">
        <v>51.5</v>
      </c>
      <c r="I42" s="3" t="n">
        <v>51.5</v>
      </c>
      <c r="J42" s="3" t="n">
        <v>51.5</v>
      </c>
      <c r="K42" s="3" t="n">
        <v>51.5</v>
      </c>
      <c r="L42" s="3" t="n">
        <v>51.5</v>
      </c>
    </row>
    <row r="43" customFormat="false" ht="15" hidden="false" customHeight="false" outlineLevel="0" collapsed="false">
      <c r="A43" s="0" t="s">
        <v>108</v>
      </c>
      <c r="C43" s="3" t="n">
        <v>0.65</v>
      </c>
      <c r="D43" s="3" t="n">
        <v>0.65</v>
      </c>
      <c r="E43" s="3" t="n">
        <v>0.65</v>
      </c>
      <c r="F43" s="3" t="n">
        <v>0.65</v>
      </c>
      <c r="G43" s="3" t="n">
        <v>0.65</v>
      </c>
      <c r="H43" s="3" t="n">
        <v>0.65</v>
      </c>
      <c r="I43" s="3" t="n">
        <v>0.65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11</v>
      </c>
      <c r="D45" s="3" t="n">
        <v>11</v>
      </c>
      <c r="E45" s="3" t="n">
        <v>11.1</v>
      </c>
      <c r="F45" s="3" t="n">
        <v>11.2</v>
      </c>
      <c r="G45" s="3" t="n">
        <v>11.2</v>
      </c>
      <c r="H45" s="3" t="n">
        <v>11.2</v>
      </c>
      <c r="I45" s="3" t="n">
        <v>11.2</v>
      </c>
      <c r="J45" s="3" t="n">
        <v>11.2</v>
      </c>
      <c r="K45" s="3" t="n">
        <v>11.2</v>
      </c>
      <c r="L45" s="3" t="n">
        <v>11.2</v>
      </c>
    </row>
    <row r="46" customFormat="false" ht="15" hidden="false" customHeight="false" outlineLevel="0" collapsed="false">
      <c r="A46" s="0" t="s">
        <v>111</v>
      </c>
      <c r="C46" s="3" t="n">
        <v>16.8</v>
      </c>
      <c r="D46" s="3" t="n">
        <v>16.8</v>
      </c>
      <c r="E46" s="3" t="n">
        <v>17</v>
      </c>
      <c r="F46" s="3" t="n">
        <v>17</v>
      </c>
      <c r="G46" s="3" t="n">
        <v>17</v>
      </c>
      <c r="H46" s="3" t="n">
        <v>17</v>
      </c>
      <c r="I46" s="3" t="n">
        <v>17</v>
      </c>
      <c r="J46" s="3" t="n">
        <v>17</v>
      </c>
      <c r="K46" s="3" t="n">
        <v>17</v>
      </c>
      <c r="L46" s="3" t="n">
        <v>17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21.5</v>
      </c>
      <c r="F47" s="3" t="n">
        <v>22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113</v>
      </c>
      <c r="B48" s="3" t="n">
        <v>7.25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</v>
      </c>
      <c r="D5" s="4" t="n">
        <f aca="false">Assumptions!D13</f>
        <v>-2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17304</v>
      </c>
      <c r="C6" s="0" t="n">
        <f aca="false">B6*(1+C5/100)</f>
        <v>18169.2</v>
      </c>
      <c r="D6" s="0" t="n">
        <f aca="false">C6*(1+D5/100)</f>
        <v>17805.816</v>
      </c>
      <c r="E6" s="0" t="n">
        <f aca="false">D6*(1+E5/100)</f>
        <v>18072.90324</v>
      </c>
      <c r="F6" s="0" t="n">
        <f aca="false">E6*(1+F5/100)</f>
        <v>18434.3613048</v>
      </c>
      <c r="G6" s="0" t="n">
        <f aca="false">F6*(1+G5/100)</f>
        <v>18895.22033742</v>
      </c>
      <c r="H6" s="0" t="n">
        <f aca="false">G6*(1+H5/100)</f>
        <v>19367.6008458555</v>
      </c>
      <c r="I6" s="0" t="n">
        <f aca="false">H6*(1+I5/100)</f>
        <v>19851.7908670019</v>
      </c>
      <c r="J6" s="0" t="n">
        <f aca="false">I6*(1+J5/100)</f>
        <v>20248.8266843419</v>
      </c>
      <c r="K6" s="0" t="n">
        <f aca="false">J6*(1+K5/100)</f>
        <v>20653.8032180288</v>
      </c>
      <c r="L6" s="0" t="n">
        <f aca="false">K6*(1+L5/100)</f>
        <v>21066.8792823893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48</v>
      </c>
      <c r="D7" s="4" t="n">
        <f aca="false">Assumptions!D14</f>
        <v>46</v>
      </c>
      <c r="E7" s="4" t="n">
        <f aca="false">Assumptions!E14</f>
        <v>46.5</v>
      </c>
      <c r="F7" s="4" t="n">
        <f aca="false">Assumptions!F14</f>
        <v>47</v>
      </c>
      <c r="G7" s="4" t="n">
        <f aca="false">Assumptions!G14</f>
        <v>47</v>
      </c>
      <c r="H7" s="4" t="n">
        <f aca="false">Assumptions!H14</f>
        <v>47</v>
      </c>
      <c r="I7" s="4" t="n">
        <f aca="false">Assumptions!I14</f>
        <v>47</v>
      </c>
      <c r="J7" s="4" t="n">
        <f aca="false">Assumptions!J14</f>
        <v>47</v>
      </c>
      <c r="K7" s="4" t="n">
        <f aca="false">Assumptions!K14</f>
        <v>47</v>
      </c>
      <c r="L7" s="4" t="n">
        <f aca="false">Assumptions!L14</f>
        <v>47</v>
      </c>
    </row>
    <row r="8" customFormat="false" ht="15" hidden="false" customHeight="false" outlineLevel="0" collapsed="false">
      <c r="A8" s="0" t="s">
        <v>44</v>
      </c>
      <c r="C8" s="0" t="n">
        <f aca="false">C6*C7/100</f>
        <v>8721.216</v>
      </c>
      <c r="D8" s="0" t="n">
        <f aca="false">D6*D7/100</f>
        <v>8190.67536</v>
      </c>
      <c r="E8" s="0" t="n">
        <f aca="false">E6*E7/100</f>
        <v>8403.9000066</v>
      </c>
      <c r="F8" s="0" t="n">
        <f aca="false">F6*F7/100</f>
        <v>8664.149813256</v>
      </c>
      <c r="G8" s="0" t="n">
        <f aca="false">G6*G7/100</f>
        <v>8880.7535585874</v>
      </c>
      <c r="H8" s="0" t="n">
        <f aca="false">H6*H7/100</f>
        <v>9102.77239755208</v>
      </c>
      <c r="I8" s="0" t="n">
        <f aca="false">I6*I7/100</f>
        <v>9330.34170749089</v>
      </c>
      <c r="J8" s="0" t="n">
        <f aca="false">J6*J7/100</f>
        <v>9516.9485416407</v>
      </c>
      <c r="K8" s="0" t="n">
        <f aca="false">K6*K7/100</f>
        <v>9707.28751247352</v>
      </c>
      <c r="L8" s="0" t="n">
        <f aca="false">L6*L7/100</f>
        <v>9901.43326272299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0.65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-118.0998</v>
      </c>
      <c r="D10" s="0" t="n">
        <f aca="false">-D6*D9/100</f>
        <v>-115.737804</v>
      </c>
      <c r="E10" s="0" t="n">
        <f aca="false">-E6*E9/100</f>
        <v>-117.47387106</v>
      </c>
      <c r="F10" s="0" t="n">
        <f aca="false">-F6*F9/100</f>
        <v>-119.8233484812</v>
      </c>
      <c r="G10" s="0" t="n">
        <f aca="false">-G6*G9/100</f>
        <v>-122.81893219323</v>
      </c>
      <c r="H10" s="0" t="n">
        <f aca="false">-H6*H9/100</f>
        <v>-125.889405498061</v>
      </c>
      <c r="I10" s="0" t="n">
        <f aca="false">-I6*I9/100</f>
        <v>-129.036640635512</v>
      </c>
      <c r="J10" s="0" t="n">
        <f aca="false">-J6*J9/100</f>
        <v>-131.617373448222</v>
      </c>
      <c r="K10" s="0" t="n">
        <f aca="false">-K6*K9/100</f>
        <v>-134.249720917187</v>
      </c>
      <c r="L10" s="0" t="n">
        <f aca="false">-L6*L9/100</f>
        <v>-136.934715335531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8603.1162</v>
      </c>
      <c r="D11" s="0" t="n">
        <f aca="false">D8+D10+D24</f>
        <v>8074.937556</v>
      </c>
      <c r="E11" s="0" t="n">
        <f aca="false">E8+E10+E24</f>
        <v>8286.42613554</v>
      </c>
      <c r="F11" s="0" t="n">
        <f aca="false">F8+F10+F24</f>
        <v>8544.3264647748</v>
      </c>
      <c r="G11" s="0" t="n">
        <f aca="false">G8+G10+G24</f>
        <v>8757.93462639417</v>
      </c>
      <c r="H11" s="0" t="n">
        <f aca="false">H8+H10+H24</f>
        <v>8976.88299205402</v>
      </c>
      <c r="I11" s="0" t="n">
        <f aca="false">I8+I10+I24</f>
        <v>9201.30506685537</v>
      </c>
      <c r="J11" s="0" t="n">
        <f aca="false">J8+J10+J24</f>
        <v>9385.33116819248</v>
      </c>
      <c r="K11" s="0" t="n">
        <f aca="false">K8+K10+K24</f>
        <v>9573.03779155633</v>
      </c>
      <c r="L11" s="0" t="n">
        <f aca="false">L8+L10+L24</f>
        <v>9764.49854738746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-1998.612</v>
      </c>
      <c r="D12" s="4" t="n">
        <f aca="false">-D6*Assumptions!D17/100</f>
        <v>-2012.057208</v>
      </c>
      <c r="E12" s="4" t="n">
        <f aca="false">-E6*Assumptions!E17/100</f>
        <v>-2060.31096936</v>
      </c>
      <c r="F12" s="4" t="n">
        <f aca="false">-F6*Assumptions!F17/100</f>
        <v>-2101.5171887472</v>
      </c>
      <c r="G12" s="4" t="n">
        <f aca="false">-G6*Assumptions!G17/100</f>
        <v>-2154.05511846588</v>
      </c>
      <c r="H12" s="4" t="n">
        <f aca="false">-H6*Assumptions!H17/100</f>
        <v>-2207.90649642753</v>
      </c>
      <c r="I12" s="4" t="n">
        <f aca="false">-I6*Assumptions!I17/100</f>
        <v>-2263.10415883821</v>
      </c>
      <c r="J12" s="4" t="n">
        <f aca="false">-J6*Assumptions!J17/100</f>
        <v>-2308.36624201498</v>
      </c>
      <c r="K12" s="4" t="n">
        <f aca="false">-K6*Assumptions!K17/100</f>
        <v>-2354.53356685528</v>
      </c>
      <c r="L12" s="4" t="n">
        <f aca="false">-L6*Assumptions!L17/100</f>
        <v>-2401.62423819238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6604.5042</v>
      </c>
      <c r="D13" s="0" t="n">
        <f aca="false">D11+D12</f>
        <v>6062.880348</v>
      </c>
      <c r="E13" s="0" t="n">
        <f aca="false">E11+E12</f>
        <v>6226.11516618</v>
      </c>
      <c r="F13" s="0" t="n">
        <f aca="false">F11+F12</f>
        <v>6442.8092760276</v>
      </c>
      <c r="G13" s="0" t="n">
        <f aca="false">G11+G12</f>
        <v>6603.87950792829</v>
      </c>
      <c r="H13" s="0" t="n">
        <f aca="false">H11+H12</f>
        <v>6768.9764956265</v>
      </c>
      <c r="I13" s="0" t="n">
        <f aca="false">I11+I12</f>
        <v>6938.20090801716</v>
      </c>
      <c r="J13" s="0" t="n">
        <f aca="false">J11+J12</f>
        <v>7076.9649261775</v>
      </c>
      <c r="K13" s="0" t="n">
        <f aca="false">K11+K12</f>
        <v>7218.50422470105</v>
      </c>
      <c r="L13" s="0" t="n">
        <f aca="false">L11+L12</f>
        <v>7362.87430919507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5217.558318</v>
      </c>
      <c r="D15" s="0" t="n">
        <f aca="false">D13-MAX(0,D13)*D14/100</f>
        <v>4729.04667144</v>
      </c>
      <c r="E15" s="0" t="n">
        <f aca="false">E13-MAX(0,E13)*E14/100</f>
        <v>4794.1086779586</v>
      </c>
      <c r="F15" s="0" t="n">
        <f aca="false">F13-MAX(0,F13)*F14/100</f>
        <v>4896.53504978098</v>
      </c>
      <c r="G15" s="0" t="n">
        <f aca="false">G13-MAX(0,G13)*G14/100</f>
        <v>5018.9484260255</v>
      </c>
      <c r="H15" s="0" t="n">
        <f aca="false">H13-MAX(0,H13)*H14/100</f>
        <v>5144.42213667614</v>
      </c>
      <c r="I15" s="0" t="n">
        <f aca="false">I13-MAX(0,I13)*I14/100</f>
        <v>5273.03269009304</v>
      </c>
      <c r="J15" s="0" t="n">
        <f aca="false">J13-MAX(0,J13)*J14/100</f>
        <v>5378.4933438949</v>
      </c>
      <c r="K15" s="0" t="n">
        <f aca="false">K13-MAX(0,K13)*K14/100</f>
        <v>5486.0632107728</v>
      </c>
      <c r="L15" s="0" t="n">
        <f aca="false">L13-MAX(0,L13)*L14/100</f>
        <v>5595.78447498826</v>
      </c>
    </row>
    <row r="16" customFormat="false" ht="15" hidden="false" customHeight="false" outlineLevel="0" collapsed="false">
      <c r="A16" s="0" t="s">
        <v>128</v>
      </c>
      <c r="C16" s="0" t="n">
        <f aca="false">-C12</f>
        <v>1998.612</v>
      </c>
      <c r="D16" s="0" t="n">
        <f aca="false">-D12</f>
        <v>2012.057208</v>
      </c>
      <c r="E16" s="0" t="n">
        <f aca="false">-E12</f>
        <v>2060.31096936</v>
      </c>
      <c r="F16" s="0" t="n">
        <f aca="false">-F12</f>
        <v>2101.5171887472</v>
      </c>
      <c r="G16" s="0" t="n">
        <f aca="false">-G12</f>
        <v>2154.05511846588</v>
      </c>
      <c r="H16" s="0" t="n">
        <f aca="false">-H12</f>
        <v>2207.90649642753</v>
      </c>
      <c r="I16" s="0" t="n">
        <f aca="false">-I12</f>
        <v>2263.10415883821</v>
      </c>
      <c r="J16" s="0" t="n">
        <f aca="false">-J12</f>
        <v>2308.36624201498</v>
      </c>
      <c r="K16" s="0" t="n">
        <f aca="false">-K12</f>
        <v>2354.53356685528</v>
      </c>
      <c r="L16" s="0" t="n">
        <f aca="false">-L12</f>
        <v>2401.62423819238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-3088.764</v>
      </c>
      <c r="D17" s="4" t="n">
        <f aca="false">-D6*Assumptions!D18/100</f>
        <v>-3294.07596</v>
      </c>
      <c r="E17" s="4" t="n">
        <f aca="false">-E6*Assumptions!E18/100</f>
        <v>-3343.4870994</v>
      </c>
      <c r="F17" s="4" t="n">
        <f aca="false">-F6*Assumptions!F18/100</f>
        <v>-3410.356841388</v>
      </c>
      <c r="G17" s="4" t="n">
        <f aca="false">-G6*Assumptions!G18/100</f>
        <v>-3495.6157624227</v>
      </c>
      <c r="H17" s="4" t="n">
        <f aca="false">-H6*Assumptions!H18/100</f>
        <v>-3583.00615648327</v>
      </c>
      <c r="I17" s="4" t="n">
        <f aca="false">-I6*Assumptions!I18/100</f>
        <v>-3672.58131039535</v>
      </c>
      <c r="J17" s="4" t="n">
        <f aca="false">-J6*Assumptions!J18/100</f>
        <v>-3746.03293660326</v>
      </c>
      <c r="K17" s="4" t="n">
        <f aca="false">-K6*Assumptions!K18/100</f>
        <v>-3820.95359533532</v>
      </c>
      <c r="L17" s="4" t="n">
        <f aca="false">-L6*Assumptions!L18/100</f>
        <v>-3897.37266724203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-43.26</v>
      </c>
      <c r="D18" s="4" t="n">
        <f aca="false">(D6-C6)*Assumptions!$B$23/100</f>
        <v>18.1692000000001</v>
      </c>
      <c r="E18" s="4" t="n">
        <f aca="false">(E6-D6)*Assumptions!$B$23/100</f>
        <v>-13.3543619999999</v>
      </c>
      <c r="F18" s="4" t="n">
        <f aca="false">(F6-E6)*Assumptions!$B$23/100</f>
        <v>-18.0729032400001</v>
      </c>
      <c r="G18" s="4" t="n">
        <f aca="false">(G6-F6)*Assumptions!$B$23/100</f>
        <v>-23.042951631</v>
      </c>
      <c r="H18" s="4" t="n">
        <f aca="false">(H6-G6)*Assumptions!$B$23/100</f>
        <v>-23.6190254217749</v>
      </c>
      <c r="I18" s="4" t="n">
        <f aca="false">(I6-H6)*Assumptions!$B$23/100</f>
        <v>-24.2095010573194</v>
      </c>
      <c r="J18" s="4" t="n">
        <f aca="false">(J6-I6)*Assumptions!$B$23/100</f>
        <v>-19.8517908670019</v>
      </c>
      <c r="K18" s="4" t="n">
        <f aca="false">(K6-J6)*Assumptions!$B$23/100</f>
        <v>-20.248826684342</v>
      </c>
      <c r="L18" s="4" t="n">
        <f aca="false">(L6-K6)*Assumptions!$B$23/100</f>
        <v>-20.6538032180288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4084.146318</v>
      </c>
      <c r="D19" s="0" t="n">
        <f aca="false">D15+D16+D17+D18</f>
        <v>3465.19711944</v>
      </c>
      <c r="E19" s="0" t="n">
        <f aca="false">E15+E16+E17+E18</f>
        <v>3497.5781859186</v>
      </c>
      <c r="F19" s="0" t="n">
        <f aca="false">F15+F16+F17+F18</f>
        <v>3569.62249390018</v>
      </c>
      <c r="G19" s="0" t="n">
        <f aca="false">G15+G16+G17+G18</f>
        <v>3654.34483043768</v>
      </c>
      <c r="H19" s="0" t="n">
        <f aca="false">H15+H16+H17+H18</f>
        <v>3745.70345119862</v>
      </c>
      <c r="I19" s="0" t="n">
        <f aca="false">I15+I16+I17+I18</f>
        <v>3839.34603747859</v>
      </c>
      <c r="J19" s="0" t="n">
        <f aca="false">J15+J16+J17+J18</f>
        <v>3920.97485843962</v>
      </c>
      <c r="K19" s="0" t="n">
        <f aca="false">K15+K16+K17+K18</f>
        <v>3999.39435560842</v>
      </c>
      <c r="L19" s="0" t="n">
        <f aca="false">L15+L16+L17+L18</f>
        <v>4079.38224272058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3808.06183496504</v>
      </c>
      <c r="D21" s="0" t="n">
        <f aca="false">D19*D20</f>
        <v>3012.54361316446</v>
      </c>
      <c r="E21" s="0" t="n">
        <f aca="false">E19*E20</f>
        <v>2835.146656839</v>
      </c>
      <c r="F21" s="0" t="n">
        <f aca="false">F19*F20</f>
        <v>2697.94496440737</v>
      </c>
      <c r="G21" s="0" t="n">
        <f aca="false">G19*G20</f>
        <v>2575.27149903371</v>
      </c>
      <c r="H21" s="0" t="n">
        <f aca="false">H19*H20</f>
        <v>2461.2151855567</v>
      </c>
      <c r="I21" s="0" t="n">
        <f aca="false">I19*I20</f>
        <v>2352.21031719871</v>
      </c>
      <c r="J21" s="0" t="n">
        <f aca="false">J19*J20</f>
        <v>2239.83306089088</v>
      </c>
      <c r="K21" s="0" t="n">
        <f aca="false">K19*K20</f>
        <v>2130.19088308503</v>
      </c>
      <c r="L21" s="0" t="n">
        <f aca="false">L19*L20</f>
        <v>2025.91580489205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7.25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26138.3338200329</v>
      </c>
    </row>
    <row r="31" customFormat="false" ht="15" hidden="false" customHeight="false" outlineLevel="0" collapsed="false">
      <c r="A31" s="0" t="s">
        <v>137</v>
      </c>
      <c r="B31" s="0" t="n">
        <f aca="false">L19</f>
        <v>4079.38224272058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79256.5692871428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65270.1158835293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65270.1158835293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32414.6528782729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58552.9866983058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34651.9866983058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40.1423163286695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-0.664838304010441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859.546083269832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1321.23911710648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42.6686294696897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32007.4606736538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3.2779523363869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2.5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17304</v>
      </c>
      <c r="C6" s="0" t="n">
        <f aca="false">B6*(1+C5/100)</f>
        <v>18342.24</v>
      </c>
      <c r="D6" s="0" t="n">
        <f aca="false">C6*(1+D5/100)</f>
        <v>18800.796</v>
      </c>
      <c r="E6" s="0" t="n">
        <f aca="false">D6*(1+E5/100)</f>
        <v>19458.82386</v>
      </c>
      <c r="F6" s="0" t="n">
        <f aca="false">E6*(1+F5/100)</f>
        <v>20139.8826951</v>
      </c>
      <c r="G6" s="0" t="n">
        <f aca="false">F6*(1+G5/100)</f>
        <v>20844.7785894285</v>
      </c>
      <c r="H6" s="0" t="n">
        <f aca="false">G6*(1+H5/100)</f>
        <v>21574.3458400585</v>
      </c>
      <c r="I6" s="0" t="n">
        <f aca="false">H6*(1+I5/100)</f>
        <v>22221.5762152602</v>
      </c>
      <c r="J6" s="0" t="n">
        <f aca="false">I6*(1+J5/100)</f>
        <v>22888.2235017181</v>
      </c>
      <c r="K6" s="0" t="n">
        <f aca="false">J6*(1+K5/100)</f>
        <v>23574.8702067696</v>
      </c>
      <c r="L6" s="0" t="n">
        <f aca="false">K6*(1+L5/100)</f>
        <v>24282.1163129727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48.5</v>
      </c>
      <c r="D7" s="4" t="n">
        <f aca="false">Assumptions!D28</f>
        <v>49.3</v>
      </c>
      <c r="E7" s="4" t="n">
        <f aca="false">Assumptions!E28</f>
        <v>49.7</v>
      </c>
      <c r="F7" s="4" t="n">
        <f aca="false">Assumptions!F28</f>
        <v>50</v>
      </c>
      <c r="G7" s="4" t="n">
        <f aca="false">Assumptions!G28</f>
        <v>50</v>
      </c>
      <c r="H7" s="4" t="n">
        <f aca="false">Assumptions!H28</f>
        <v>50</v>
      </c>
      <c r="I7" s="4" t="n">
        <f aca="false">Assumptions!I28</f>
        <v>50</v>
      </c>
      <c r="J7" s="4" t="n">
        <f aca="false">Assumptions!J28</f>
        <v>50</v>
      </c>
      <c r="K7" s="4" t="n">
        <f aca="false">Assumptions!K28</f>
        <v>50</v>
      </c>
      <c r="L7" s="4" t="n">
        <f aca="false">Assumptions!L28</f>
        <v>50</v>
      </c>
    </row>
    <row r="8" customFormat="false" ht="15" hidden="false" customHeight="false" outlineLevel="0" collapsed="false">
      <c r="A8" s="0" t="s">
        <v>44</v>
      </c>
      <c r="C8" s="0" t="n">
        <f aca="false">C6*C7/100</f>
        <v>8895.9864</v>
      </c>
      <c r="D8" s="0" t="n">
        <f aca="false">D6*D7/100</f>
        <v>9268.792428</v>
      </c>
      <c r="E8" s="0" t="n">
        <f aca="false">E6*E7/100</f>
        <v>9671.03545842</v>
      </c>
      <c r="F8" s="0" t="n">
        <f aca="false">F6*F7/100</f>
        <v>10069.94134755</v>
      </c>
      <c r="G8" s="0" t="n">
        <f aca="false">G6*G7/100</f>
        <v>10422.3892947142</v>
      </c>
      <c r="H8" s="0" t="n">
        <f aca="false">H6*H7/100</f>
        <v>10787.1729200292</v>
      </c>
      <c r="I8" s="0" t="n">
        <f aca="false">I6*I7/100</f>
        <v>11110.7881076301</v>
      </c>
      <c r="J8" s="0" t="n">
        <f aca="false">J6*J7/100</f>
        <v>11444.111750859</v>
      </c>
      <c r="K8" s="0" t="n">
        <f aca="false">K6*K7/100</f>
        <v>11787.4351033848</v>
      </c>
      <c r="L8" s="0" t="n">
        <f aca="false">L6*L7/100</f>
        <v>12141.0581564863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0.65</v>
      </c>
      <c r="D9" s="4" t="n">
        <f aca="false">Assumptions!D29</f>
        <v>0.65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0.65</v>
      </c>
      <c r="H9" s="4" t="n">
        <f aca="false">Assumptions!H29</f>
        <v>0.65</v>
      </c>
      <c r="I9" s="4" t="n">
        <f aca="false">Assumptions!I29</f>
        <v>0.65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-119.22456</v>
      </c>
      <c r="D10" s="0" t="n">
        <f aca="false">-D6*D9/100</f>
        <v>-122.205174</v>
      </c>
      <c r="E10" s="0" t="n">
        <f aca="false">-E6*E9/100</f>
        <v>-126.48235509</v>
      </c>
      <c r="F10" s="0" t="n">
        <f aca="false">-F6*F9/100</f>
        <v>-130.90923751815</v>
      </c>
      <c r="G10" s="0" t="n">
        <f aca="false">-G6*G9/100</f>
        <v>-135.491060831285</v>
      </c>
      <c r="H10" s="0" t="n">
        <f aca="false">-H6*H9/100</f>
        <v>-140.23324796038</v>
      </c>
      <c r="I10" s="0" t="n">
        <f aca="false">-I6*I9/100</f>
        <v>-144.440245399192</v>
      </c>
      <c r="J10" s="0" t="n">
        <f aca="false">-J6*J9/100</f>
        <v>-148.773452761167</v>
      </c>
      <c r="K10" s="0" t="n">
        <f aca="false">-K6*K9/100</f>
        <v>-153.236656344002</v>
      </c>
      <c r="L10" s="0" t="n">
        <f aca="false">-L6*L9/100</f>
        <v>-157.833756034322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8776.76184</v>
      </c>
      <c r="D11" s="0" t="n">
        <f aca="false">D8+D10+D24</f>
        <v>9146.587254</v>
      </c>
      <c r="E11" s="0" t="n">
        <f aca="false">E8+E10+E24</f>
        <v>9544.55310333</v>
      </c>
      <c r="F11" s="0" t="n">
        <f aca="false">F8+F10+F24</f>
        <v>9939.03211003185</v>
      </c>
      <c r="G11" s="0" t="n">
        <f aca="false">G8+G10+G24</f>
        <v>10286.898233883</v>
      </c>
      <c r="H11" s="0" t="n">
        <f aca="false">H8+H10+H24</f>
        <v>10646.9396720689</v>
      </c>
      <c r="I11" s="0" t="n">
        <f aca="false">I8+I10+I24</f>
        <v>10966.3478622309</v>
      </c>
      <c r="J11" s="0" t="n">
        <f aca="false">J8+J10+J24</f>
        <v>11295.3382980979</v>
      </c>
      <c r="K11" s="0" t="n">
        <f aca="false">K8+K10+K24</f>
        <v>11634.1984470408</v>
      </c>
      <c r="L11" s="0" t="n">
        <f aca="false">L8+L10+L24</f>
        <v>11983.224400452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-2017.6464</v>
      </c>
      <c r="D12" s="4" t="n">
        <f aca="false">-D6*Assumptions!D31/100</f>
        <v>-2068.08756</v>
      </c>
      <c r="E12" s="4" t="n">
        <f aca="false">-E6*Assumptions!E31/100</f>
        <v>-2159.92944846</v>
      </c>
      <c r="F12" s="4" t="n">
        <f aca="false">-F6*Assumptions!F31/100</f>
        <v>-2255.6668618512</v>
      </c>
      <c r="G12" s="4" t="n">
        <f aca="false">-G6*Assumptions!G31/100</f>
        <v>-2334.61520201599</v>
      </c>
      <c r="H12" s="4" t="n">
        <f aca="false">-H6*Assumptions!H31/100</f>
        <v>-2416.32673408655</v>
      </c>
      <c r="I12" s="4" t="n">
        <f aca="false">-I6*Assumptions!I31/100</f>
        <v>-2488.81653610915</v>
      </c>
      <c r="J12" s="4" t="n">
        <f aca="false">-J6*Assumptions!J31/100</f>
        <v>-2563.48103219242</v>
      </c>
      <c r="K12" s="4" t="n">
        <f aca="false">-K6*Assumptions!K31/100</f>
        <v>-2640.38546315819</v>
      </c>
      <c r="L12" s="4" t="n">
        <f aca="false">-L6*Assumptions!L31/100</f>
        <v>-2719.59702705294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6759.11544</v>
      </c>
      <c r="D13" s="0" t="n">
        <f aca="false">D11+D12</f>
        <v>7078.499694</v>
      </c>
      <c r="E13" s="0" t="n">
        <f aca="false">E11+E12</f>
        <v>7384.62365487</v>
      </c>
      <c r="F13" s="0" t="n">
        <f aca="false">F11+F12</f>
        <v>7683.36524818065</v>
      </c>
      <c r="G13" s="0" t="n">
        <f aca="false">G11+G12</f>
        <v>7952.28303186697</v>
      </c>
      <c r="H13" s="0" t="n">
        <f aca="false">H11+H12</f>
        <v>8230.61293798231</v>
      </c>
      <c r="I13" s="0" t="n">
        <f aca="false">I11+I12</f>
        <v>8477.53132612178</v>
      </c>
      <c r="J13" s="0" t="n">
        <f aca="false">J11+J12</f>
        <v>8731.85726590544</v>
      </c>
      <c r="K13" s="0" t="n">
        <f aca="false">K11+K12</f>
        <v>8993.8129838826</v>
      </c>
      <c r="L13" s="0" t="n">
        <f aca="false">L11+L12</f>
        <v>9263.62737339908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21.5</v>
      </c>
      <c r="E14" s="4" t="n">
        <f aca="false">Assumptions!E33</f>
        <v>22</v>
      </c>
      <c r="F14" s="4" t="n">
        <f aca="false">Assumptions!F33</f>
        <v>22.5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5339.7011976</v>
      </c>
      <c r="D15" s="0" t="n">
        <f aca="false">D13-MAX(0,D13)*D14/100</f>
        <v>5556.62225979</v>
      </c>
      <c r="E15" s="0" t="n">
        <f aca="false">E13-MAX(0,E13)*E14/100</f>
        <v>5760.0064507986</v>
      </c>
      <c r="F15" s="0" t="n">
        <f aca="false">F13-MAX(0,F13)*F14/100</f>
        <v>5954.60806734</v>
      </c>
      <c r="G15" s="0" t="n">
        <f aca="false">G13-MAX(0,G13)*G14/100</f>
        <v>6123.25793453757</v>
      </c>
      <c r="H15" s="0" t="n">
        <f aca="false">H13-MAX(0,H13)*H14/100</f>
        <v>6337.57196224638</v>
      </c>
      <c r="I15" s="0" t="n">
        <f aca="false">I13-MAX(0,I13)*I14/100</f>
        <v>6527.69912111377</v>
      </c>
      <c r="J15" s="0" t="n">
        <f aca="false">J13-MAX(0,J13)*J14/100</f>
        <v>6723.53009474719</v>
      </c>
      <c r="K15" s="0" t="n">
        <f aca="false">K13-MAX(0,K13)*K14/100</f>
        <v>6925.2359975896</v>
      </c>
      <c r="L15" s="0" t="n">
        <f aca="false">L13-MAX(0,L13)*L14/100</f>
        <v>7132.99307751729</v>
      </c>
    </row>
    <row r="16" customFormat="false" ht="15" hidden="false" customHeight="false" outlineLevel="0" collapsed="false">
      <c r="A16" s="0" t="s">
        <v>128</v>
      </c>
      <c r="C16" s="0" t="n">
        <f aca="false">-C12</f>
        <v>2017.6464</v>
      </c>
      <c r="D16" s="0" t="n">
        <f aca="false">-D12</f>
        <v>2068.08756</v>
      </c>
      <c r="E16" s="0" t="n">
        <f aca="false">-E12</f>
        <v>2159.92944846</v>
      </c>
      <c r="F16" s="0" t="n">
        <f aca="false">-F12</f>
        <v>2255.6668618512</v>
      </c>
      <c r="G16" s="0" t="n">
        <f aca="false">-G12</f>
        <v>2334.61520201599</v>
      </c>
      <c r="H16" s="0" t="n">
        <f aca="false">-H12</f>
        <v>2416.32673408655</v>
      </c>
      <c r="I16" s="0" t="n">
        <f aca="false">-I12</f>
        <v>2488.81653610915</v>
      </c>
      <c r="J16" s="0" t="n">
        <f aca="false">-J12</f>
        <v>2563.48103219242</v>
      </c>
      <c r="K16" s="0" t="n">
        <f aca="false">-K12</f>
        <v>2640.38546315819</v>
      </c>
      <c r="L16" s="0" t="n">
        <f aca="false">-L12</f>
        <v>2719.59702705294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-3118.1808</v>
      </c>
      <c r="D17" s="4" t="n">
        <f aca="false">-D6*Assumptions!D32/100</f>
        <v>-3290.1393</v>
      </c>
      <c r="E17" s="4" t="n">
        <f aca="false">-E6*Assumptions!E32/100</f>
        <v>-3405.2941755</v>
      </c>
      <c r="F17" s="4" t="n">
        <f aca="false">-F6*Assumptions!F32/100</f>
        <v>-3524.4794716425</v>
      </c>
      <c r="G17" s="4" t="n">
        <f aca="false">-G6*Assumptions!G32/100</f>
        <v>-3647.83625314999</v>
      </c>
      <c r="H17" s="4" t="n">
        <f aca="false">-H6*Assumptions!H32/100</f>
        <v>-3775.51052201024</v>
      </c>
      <c r="I17" s="4" t="n">
        <f aca="false">-I6*Assumptions!I32/100</f>
        <v>-3888.77583767054</v>
      </c>
      <c r="J17" s="4" t="n">
        <f aca="false">-J6*Assumptions!J32/100</f>
        <v>-4005.43911280066</v>
      </c>
      <c r="K17" s="4" t="n">
        <f aca="false">-K6*Assumptions!K32/100</f>
        <v>-4125.60228618468</v>
      </c>
      <c r="L17" s="4" t="n">
        <f aca="false">-L6*Assumptions!L32/100</f>
        <v>-4249.37035477022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-51.9120000000001</v>
      </c>
      <c r="D18" s="4" t="n">
        <f aca="false">(D6-C6)*Assumptions!$B$37/100</f>
        <v>-22.9277999999998</v>
      </c>
      <c r="E18" s="4" t="n">
        <f aca="false">(E6-D6)*Assumptions!$B$37/100</f>
        <v>-32.9013929999999</v>
      </c>
      <c r="F18" s="4" t="n">
        <f aca="false">(F6-E6)*Assumptions!$B$37/100</f>
        <v>-34.0529417549999</v>
      </c>
      <c r="G18" s="4" t="n">
        <f aca="false">(G6-F6)*Assumptions!$B$37/100</f>
        <v>-35.244794716425</v>
      </c>
      <c r="H18" s="4" t="n">
        <f aca="false">(H6-G6)*Assumptions!$B$37/100</f>
        <v>-36.4783625314998</v>
      </c>
      <c r="I18" s="4" t="n">
        <f aca="false">(I6-H6)*Assumptions!$B$37/100</f>
        <v>-32.3615187600877</v>
      </c>
      <c r="J18" s="4" t="n">
        <f aca="false">(J6-I6)*Assumptions!$B$37/100</f>
        <v>-33.3323643228903</v>
      </c>
      <c r="K18" s="4" t="n">
        <f aca="false">(K6-J6)*Assumptions!$B$37/100</f>
        <v>-34.3323352525771</v>
      </c>
      <c r="L18" s="4" t="n">
        <f aca="false">(L6-K6)*Assumptions!$B$37/100</f>
        <v>-35.3623053101544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4187.2547976</v>
      </c>
      <c r="D19" s="0" t="n">
        <f aca="false">D15+D16+D17+D18</f>
        <v>4311.64271979</v>
      </c>
      <c r="E19" s="0" t="n">
        <f aca="false">E15+E16+E17+E18</f>
        <v>4481.7403307586</v>
      </c>
      <c r="F19" s="0" t="n">
        <f aca="false">F15+F16+F17+F18</f>
        <v>4651.7425157937</v>
      </c>
      <c r="G19" s="0" t="n">
        <f aca="false">G15+G16+G17+G18</f>
        <v>4774.79208868715</v>
      </c>
      <c r="H19" s="0" t="n">
        <f aca="false">H15+H16+H17+H18</f>
        <v>4941.9098117912</v>
      </c>
      <c r="I19" s="0" t="n">
        <f aca="false">I15+I16+I17+I18</f>
        <v>5095.37830079229</v>
      </c>
      <c r="J19" s="0" t="n">
        <f aca="false">J15+J16+J17+J18</f>
        <v>5248.23964981606</v>
      </c>
      <c r="K19" s="0" t="n">
        <f aca="false">K15+K16+K17+K18</f>
        <v>5405.68683931054</v>
      </c>
      <c r="L19" s="0" t="n">
        <f aca="false">L15+L16+L17+L18</f>
        <v>5567.85744448986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3904.20027748252</v>
      </c>
      <c r="D21" s="0" t="n">
        <f aca="false">D19*D20</f>
        <v>3748.41929334442</v>
      </c>
      <c r="E21" s="0" t="n">
        <f aca="false">E19*E20</f>
        <v>3632.91124319314</v>
      </c>
      <c r="F21" s="0" t="n">
        <f aca="false">F19*F20</f>
        <v>3515.81863842778</v>
      </c>
      <c r="G21" s="0" t="n">
        <f aca="false">G19*G20</f>
        <v>3364.86745240594</v>
      </c>
      <c r="H21" s="0" t="n">
        <f aca="false">H19*H20</f>
        <v>3247.21474427986</v>
      </c>
      <c r="I21" s="0" t="n">
        <f aca="false">I19*I20</f>
        <v>3121.72992279311</v>
      </c>
      <c r="J21" s="0" t="n">
        <f aca="false">J19*J20</f>
        <v>2998.02500743767</v>
      </c>
      <c r="K21" s="0" t="n">
        <f aca="false">K19*K20</f>
        <v>2879.22215166508</v>
      </c>
      <c r="L21" s="0" t="n">
        <f aca="false">L19*L20</f>
        <v>2765.127101366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7.25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33177.5358323955</v>
      </c>
    </row>
    <row r="31" customFormat="false" ht="15" hidden="false" customHeight="false" outlineLevel="0" collapsed="false">
      <c r="A31" s="0" t="s">
        <v>137</v>
      </c>
      <c r="B31" s="0" t="n">
        <f aca="false">L19</f>
        <v>5567.85744448986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120148.502749518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111357.148889797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111357.148889797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55302.5420273199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88480.0778597154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64579.0778597154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74.8111152826114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-0.375376844931022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939.983089920521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1691.44211145488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77.8594687218677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45656.4310448168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12.6813630209378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17304</v>
      </c>
      <c r="C6" s="0" t="n">
        <f aca="false">B6*(1+C5/100)</f>
        <v>18428.76</v>
      </c>
      <c r="D6" s="0" t="n">
        <f aca="false">C6*(1+D5/100)</f>
        <v>19258.0542</v>
      </c>
      <c r="E6" s="0" t="n">
        <f aca="false">D6*(1+E5/100)</f>
        <v>20220.95691</v>
      </c>
      <c r="F6" s="0" t="n">
        <f aca="false">E6*(1+F5/100)</f>
        <v>21232.0047555</v>
      </c>
      <c r="G6" s="0" t="n">
        <f aca="false">F6*(1+G5/100)</f>
        <v>22187.4449694975</v>
      </c>
      <c r="H6" s="0" t="n">
        <f aca="false">G6*(1+H5/100)</f>
        <v>23185.8799931249</v>
      </c>
      <c r="I6" s="0" t="n">
        <f aca="false">H6*(1+I5/100)</f>
        <v>24113.3151928499</v>
      </c>
      <c r="J6" s="0" t="n">
        <f aca="false">I6*(1+J5/100)</f>
        <v>25077.8478005639</v>
      </c>
      <c r="K6" s="0" t="n">
        <f aca="false">J6*(1+K5/100)</f>
        <v>25955.5724735836</v>
      </c>
      <c r="L6" s="0" t="n">
        <f aca="false">K6*(1+L5/100)</f>
        <v>26864.017510159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48.8</v>
      </c>
      <c r="D7" s="4" t="n">
        <f aca="false">Assumptions!D42</f>
        <v>50</v>
      </c>
      <c r="E7" s="4" t="n">
        <f aca="false">Assumptions!E42</f>
        <v>50.8</v>
      </c>
      <c r="F7" s="4" t="n">
        <f aca="false">Assumptions!F42</f>
        <v>51.2</v>
      </c>
      <c r="G7" s="4" t="n">
        <f aca="false">Assumptions!G42</f>
        <v>51.5</v>
      </c>
      <c r="H7" s="4" t="n">
        <f aca="false">Assumptions!H42</f>
        <v>51.5</v>
      </c>
      <c r="I7" s="4" t="n">
        <f aca="false">Assumptions!I42</f>
        <v>51.5</v>
      </c>
      <c r="J7" s="4" t="n">
        <f aca="false">Assumptions!J42</f>
        <v>51.5</v>
      </c>
      <c r="K7" s="4" t="n">
        <f aca="false">Assumptions!K42</f>
        <v>51.5</v>
      </c>
      <c r="L7" s="4" t="n">
        <f aca="false">Assumptions!L42</f>
        <v>51.5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8993.23488</v>
      </c>
      <c r="D8" s="0" t="n">
        <f aca="false">D6*D7/100</f>
        <v>9629.0271</v>
      </c>
      <c r="E8" s="0" t="n">
        <f aca="false">E6*E7/100</f>
        <v>10272.24611028</v>
      </c>
      <c r="F8" s="0" t="n">
        <f aca="false">F6*F7/100</f>
        <v>10870.786434816</v>
      </c>
      <c r="G8" s="0" t="n">
        <f aca="false">G6*G7/100</f>
        <v>11426.5341592912</v>
      </c>
      <c r="H8" s="0" t="n">
        <f aca="false">H6*H7/100</f>
        <v>11940.7281964593</v>
      </c>
      <c r="I8" s="0" t="n">
        <f aca="false">I6*I7/100</f>
        <v>12418.3573243177</v>
      </c>
      <c r="J8" s="0" t="n">
        <f aca="false">J6*J7/100</f>
        <v>12915.0916172904</v>
      </c>
      <c r="K8" s="0" t="n">
        <f aca="false">K6*K7/100</f>
        <v>13367.1198238956</v>
      </c>
      <c r="L8" s="0" t="n">
        <f aca="false">L6*L7/100</f>
        <v>13834.9690177319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0.65</v>
      </c>
      <c r="D9" s="4" t="n">
        <f aca="false">Assumptions!D43</f>
        <v>0.65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0.65</v>
      </c>
      <c r="H9" s="4" t="n">
        <f aca="false">Assumptions!H43</f>
        <v>0.65</v>
      </c>
      <c r="I9" s="4" t="n">
        <f aca="false">Assumptions!I43</f>
        <v>0.65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-119.78694</v>
      </c>
      <c r="D10" s="0" t="n">
        <f aca="false">-D6*D9/100</f>
        <v>-125.1773523</v>
      </c>
      <c r="E10" s="0" t="n">
        <f aca="false">-E6*E9/100</f>
        <v>-131.436219915</v>
      </c>
      <c r="F10" s="0" t="n">
        <f aca="false">-F6*F9/100</f>
        <v>-138.00803091075</v>
      </c>
      <c r="G10" s="0" t="n">
        <f aca="false">-G6*G9/100</f>
        <v>-144.218392301734</v>
      </c>
      <c r="H10" s="0" t="n">
        <f aca="false">-H6*H9/100</f>
        <v>-150.708219955312</v>
      </c>
      <c r="I10" s="0" t="n">
        <f aca="false">-I6*I9/100</f>
        <v>-156.736548753524</v>
      </c>
      <c r="J10" s="0" t="n">
        <f aca="false">-J6*J9/100</f>
        <v>-163.006010703665</v>
      </c>
      <c r="K10" s="0" t="n">
        <f aca="false">-K6*K9/100</f>
        <v>-168.711221078294</v>
      </c>
      <c r="L10" s="0" t="n">
        <f aca="false">-L6*L9/100</f>
        <v>-174.616113816034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8873.44794</v>
      </c>
      <c r="D11" s="0" t="n">
        <f aca="false">D8+D10+D24</f>
        <v>9503.8497477</v>
      </c>
      <c r="E11" s="0" t="n">
        <f aca="false">E8+E10+E24</f>
        <v>10140.809890365</v>
      </c>
      <c r="F11" s="0" t="n">
        <f aca="false">F8+F10+F24</f>
        <v>10732.7784039053</v>
      </c>
      <c r="G11" s="0" t="n">
        <f aca="false">G8+G10+G24</f>
        <v>11282.3157669895</v>
      </c>
      <c r="H11" s="0" t="n">
        <f aca="false">H8+H10+H24</f>
        <v>11790.019976504</v>
      </c>
      <c r="I11" s="0" t="n">
        <f aca="false">I8+I10+I24</f>
        <v>12261.6207755642</v>
      </c>
      <c r="J11" s="0" t="n">
        <f aca="false">J8+J10+J24</f>
        <v>12752.0856065867</v>
      </c>
      <c r="K11" s="0" t="n">
        <f aca="false">K8+K10+K24</f>
        <v>13198.4086028173</v>
      </c>
      <c r="L11" s="0" t="n">
        <f aca="false">L8+L10+L24</f>
        <v>13660.3529039159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-2027.1636</v>
      </c>
      <c r="D12" s="4" t="n">
        <f aca="false">-D6*Assumptions!D45/100</f>
        <v>-2118.385962</v>
      </c>
      <c r="E12" s="4" t="n">
        <f aca="false">-E6*Assumptions!E45/100</f>
        <v>-2244.52621701</v>
      </c>
      <c r="F12" s="4" t="n">
        <f aca="false">-F6*Assumptions!F45/100</f>
        <v>-2377.984532616</v>
      </c>
      <c r="G12" s="4" t="n">
        <f aca="false">-G6*Assumptions!G45/100</f>
        <v>-2484.99383658372</v>
      </c>
      <c r="H12" s="4" t="n">
        <f aca="false">-H6*Assumptions!H45/100</f>
        <v>-2596.81855922999</v>
      </c>
      <c r="I12" s="4" t="n">
        <f aca="false">-I6*Assumptions!I45/100</f>
        <v>-2700.69130159919</v>
      </c>
      <c r="J12" s="4" t="n">
        <f aca="false">-J6*Assumptions!J45/100</f>
        <v>-2808.71895366315</v>
      </c>
      <c r="K12" s="4" t="n">
        <f aca="false">-K6*Assumptions!K45/100</f>
        <v>-2907.02411704136</v>
      </c>
      <c r="L12" s="4" t="n">
        <f aca="false">-L6*Assumptions!L45/100</f>
        <v>-3008.76996113781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6846.28434</v>
      </c>
      <c r="D13" s="0" t="n">
        <f aca="false">D11+D12</f>
        <v>7385.4637857</v>
      </c>
      <c r="E13" s="0" t="n">
        <f aca="false">E11+E12</f>
        <v>7896.283673355</v>
      </c>
      <c r="F13" s="0" t="n">
        <f aca="false">F11+F12</f>
        <v>8354.79387128925</v>
      </c>
      <c r="G13" s="0" t="n">
        <f aca="false">G11+G12</f>
        <v>8797.32193040576</v>
      </c>
      <c r="H13" s="0" t="n">
        <f aca="false">H11+H12</f>
        <v>9193.20141727402</v>
      </c>
      <c r="I13" s="0" t="n">
        <f aca="false">I11+I12</f>
        <v>9560.92947396498</v>
      </c>
      <c r="J13" s="0" t="n">
        <f aca="false">J11+J12</f>
        <v>9943.36665292358</v>
      </c>
      <c r="K13" s="0" t="n">
        <f aca="false">K11+K12</f>
        <v>10291.3844857759</v>
      </c>
      <c r="L13" s="0" t="n">
        <f aca="false">L11+L12</f>
        <v>10651.5829427781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21.5</v>
      </c>
      <c r="F14" s="4" t="n">
        <f aca="false">Assumptions!F47</f>
        <v>22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5408.5646286</v>
      </c>
      <c r="D15" s="0" t="n">
        <f aca="false">D13-MAX(0,D13)*D14/100</f>
        <v>5834.516390703</v>
      </c>
      <c r="E15" s="0" t="n">
        <f aca="false">E13-MAX(0,E13)*E14/100</f>
        <v>6198.58268358368</v>
      </c>
      <c r="F15" s="0" t="n">
        <f aca="false">F13-MAX(0,F13)*F14/100</f>
        <v>6516.73921960562</v>
      </c>
      <c r="G15" s="0" t="n">
        <f aca="false">G13-MAX(0,G13)*G14/100</f>
        <v>6817.92449606446</v>
      </c>
      <c r="H15" s="0" t="n">
        <f aca="false">H13-MAX(0,H13)*H14/100</f>
        <v>7124.73109838737</v>
      </c>
      <c r="I15" s="0" t="n">
        <f aca="false">I13-MAX(0,I13)*I14/100</f>
        <v>7409.72034232286</v>
      </c>
      <c r="J15" s="0" t="n">
        <f aca="false">J13-MAX(0,J13)*J14/100</f>
        <v>7706.10915601577</v>
      </c>
      <c r="K15" s="0" t="n">
        <f aca="false">K13-MAX(0,K13)*K14/100</f>
        <v>7975.82297647633</v>
      </c>
      <c r="L15" s="0" t="n">
        <f aca="false">L13-MAX(0,L13)*L14/100</f>
        <v>8254.976780653</v>
      </c>
    </row>
    <row r="16" customFormat="false" ht="15" hidden="false" customHeight="false" outlineLevel="0" collapsed="false">
      <c r="A16" s="0" t="s">
        <v>128</v>
      </c>
      <c r="C16" s="0" t="n">
        <f aca="false">-C12</f>
        <v>2027.1636</v>
      </c>
      <c r="D16" s="0" t="n">
        <f aca="false">-D12</f>
        <v>2118.385962</v>
      </c>
      <c r="E16" s="0" t="n">
        <f aca="false">-E12</f>
        <v>2244.52621701</v>
      </c>
      <c r="F16" s="0" t="n">
        <f aca="false">-F12</f>
        <v>2377.984532616</v>
      </c>
      <c r="G16" s="0" t="n">
        <f aca="false">-G12</f>
        <v>2484.99383658372</v>
      </c>
      <c r="H16" s="0" t="n">
        <f aca="false">-H12</f>
        <v>2596.81855922999</v>
      </c>
      <c r="I16" s="0" t="n">
        <f aca="false">-I12</f>
        <v>2700.69130159919</v>
      </c>
      <c r="J16" s="0" t="n">
        <f aca="false">-J12</f>
        <v>2808.71895366315</v>
      </c>
      <c r="K16" s="0" t="n">
        <f aca="false">-K12</f>
        <v>2907.02411704136</v>
      </c>
      <c r="L16" s="0" t="n">
        <f aca="false">-L12</f>
        <v>3008.76996113781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-3096.03168</v>
      </c>
      <c r="D17" s="4" t="n">
        <f aca="false">-D6*Assumptions!D46/100</f>
        <v>-3235.3531056</v>
      </c>
      <c r="E17" s="4" t="n">
        <f aca="false">-E6*Assumptions!E46/100</f>
        <v>-3437.5626747</v>
      </c>
      <c r="F17" s="4" t="n">
        <f aca="false">-F6*Assumptions!F46/100</f>
        <v>-3609.440808435</v>
      </c>
      <c r="G17" s="4" t="n">
        <f aca="false">-G6*Assumptions!G46/100</f>
        <v>-3771.86564481458</v>
      </c>
      <c r="H17" s="4" t="n">
        <f aca="false">-H6*Assumptions!H46/100</f>
        <v>-3941.59959883123</v>
      </c>
      <c r="I17" s="4" t="n">
        <f aca="false">-I6*Assumptions!I46/100</f>
        <v>-4099.26358278448</v>
      </c>
      <c r="J17" s="4" t="n">
        <f aca="false">-J6*Assumptions!J46/100</f>
        <v>-4263.23412609586</v>
      </c>
      <c r="K17" s="4" t="n">
        <f aca="false">-K6*Assumptions!K46/100</f>
        <v>-4412.44732050921</v>
      </c>
      <c r="L17" s="4" t="n">
        <f aca="false">-L6*Assumptions!L46/100</f>
        <v>-4566.88297672704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-56.2379999999999</v>
      </c>
      <c r="D18" s="4" t="n">
        <f aca="false">(D6-C6)*Assumptions!$B$51/100</f>
        <v>-41.46471</v>
      </c>
      <c r="E18" s="4" t="n">
        <f aca="false">(E6-D6)*Assumptions!$B$51/100</f>
        <v>-48.1451355000001</v>
      </c>
      <c r="F18" s="4" t="n">
        <f aca="false">(F6-E6)*Assumptions!$B$51/100</f>
        <v>-50.5523922750001</v>
      </c>
      <c r="G18" s="4" t="n">
        <f aca="false">(G6-F6)*Assumptions!$B$51/100</f>
        <v>-47.772010699875</v>
      </c>
      <c r="H18" s="4" t="n">
        <f aca="false">(H6-G6)*Assumptions!$B$51/100</f>
        <v>-49.9217511813693</v>
      </c>
      <c r="I18" s="4" t="n">
        <f aca="false">(I6-H6)*Assumptions!$B$51/100</f>
        <v>-46.3717599862499</v>
      </c>
      <c r="J18" s="4" t="n">
        <f aca="false">(J6-I6)*Assumptions!$B$51/100</f>
        <v>-48.2266303856999</v>
      </c>
      <c r="K18" s="4" t="n">
        <f aca="false">(K6-J6)*Assumptions!$B$51/100</f>
        <v>-43.8862336509867</v>
      </c>
      <c r="L18" s="4" t="n">
        <f aca="false">(L6-K6)*Assumptions!$B$51/100</f>
        <v>-45.4222518287712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4283.4585486</v>
      </c>
      <c r="D19" s="0" t="n">
        <f aca="false">D15+D16+D17+D18</f>
        <v>4676.084537103</v>
      </c>
      <c r="E19" s="0" t="n">
        <f aca="false">E15+E16+E17+E18</f>
        <v>4957.40109039368</v>
      </c>
      <c r="F19" s="0" t="n">
        <f aca="false">F15+F16+F17+F18</f>
        <v>5234.73055151162</v>
      </c>
      <c r="G19" s="0" t="n">
        <f aca="false">G15+G16+G17+G18</f>
        <v>5483.28067713373</v>
      </c>
      <c r="H19" s="0" t="n">
        <f aca="false">H15+H16+H17+H18</f>
        <v>5730.02830760475</v>
      </c>
      <c r="I19" s="0" t="n">
        <f aca="false">I15+I16+I17+I18</f>
        <v>5964.77630115131</v>
      </c>
      <c r="J19" s="0" t="n">
        <f aca="false">J15+J16+J17+J18</f>
        <v>6203.36735319737</v>
      </c>
      <c r="K19" s="0" t="n">
        <f aca="false">K15+K16+K17+K18</f>
        <v>6426.51353935749</v>
      </c>
      <c r="L19" s="0" t="n">
        <f aca="false">L15+L16+L17+L18</f>
        <v>6651.441513235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3993.90074461538</v>
      </c>
      <c r="D21" s="0" t="n">
        <f aca="false">D19*D20</f>
        <v>4065.25462226613</v>
      </c>
      <c r="E21" s="0" t="n">
        <f aca="false">E19*E20</f>
        <v>4018.48318491507</v>
      </c>
      <c r="F21" s="0" t="n">
        <f aca="false">F19*F20</f>
        <v>3956.44496178904</v>
      </c>
      <c r="G21" s="0" t="n">
        <f aca="false">G19*G20</f>
        <v>3864.14996510702</v>
      </c>
      <c r="H21" s="0" t="n">
        <f aca="false">H19*H20</f>
        <v>3765.06919677095</v>
      </c>
      <c r="I21" s="0" t="n">
        <f aca="false">I19*I20</f>
        <v>3654.37452586708</v>
      </c>
      <c r="J21" s="0" t="n">
        <f aca="false">J19*J20</f>
        <v>3543.63590387111</v>
      </c>
      <c r="K21" s="0" t="n">
        <f aca="false">K19*K20</f>
        <v>3422.94340951013</v>
      </c>
      <c r="L21" s="0" t="n">
        <f aca="false">L19*L20</f>
        <v>3303.26007351327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7.25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37587.5165882252</v>
      </c>
    </row>
    <row r="31" customFormat="false" ht="15" hidden="false" customHeight="false" outlineLevel="0" collapsed="false">
      <c r="A31" s="0" t="s">
        <v>137</v>
      </c>
      <c r="B31" s="0" t="n">
        <f aca="false">L19</f>
        <v>6651.441513235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161199.641379578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146331.71329117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146331.71329117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72671.7216172919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110259.238205517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86358.2382055171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100.04100907155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-0.164723978696247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997.745861442685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2101.64618898013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103.631474957327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57091.5396552671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19.3099206681507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40.1423163286695</v>
      </c>
      <c r="C4" s="0" t="n">
        <f aca="false">B4/Assumptions!$B$2-1</f>
        <v>-0.664838304010441</v>
      </c>
      <c r="D4" s="4" t="n">
        <f aca="false">Assumptions!$B$24</f>
        <v>0.25</v>
      </c>
      <c r="E4" s="4" t="n">
        <f aca="false">DCF_Bear!$B$43</f>
        <v>42.6686294696897</v>
      </c>
      <c r="F4" s="4" t="n">
        <f aca="false">DCF_Bear!$B$47</f>
        <v>3.2779523363869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74.8111152826114</v>
      </c>
      <c r="C5" s="0" t="n">
        <f aca="false">B5/Assumptions!$B$2-1</f>
        <v>-0.375376844931022</v>
      </c>
      <c r="D5" s="4" t="n">
        <f aca="false">Assumptions!$B$38</f>
        <v>0.5</v>
      </c>
      <c r="E5" s="4" t="n">
        <f aca="false">DCF_Base!$B$43</f>
        <v>77.8594687218677</v>
      </c>
      <c r="F5" s="4" t="n">
        <f aca="false">DCF_Base!$B$47</f>
        <v>12.6813630209378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100.04100907155</v>
      </c>
      <c r="C6" s="0" t="n">
        <f aca="false">B6/Assumptions!$B$2-1</f>
        <v>-0.164723978696247</v>
      </c>
      <c r="D6" s="4" t="n">
        <f aca="false">Assumptions!$B$52</f>
        <v>0.25</v>
      </c>
      <c r="E6" s="4" t="n">
        <f aca="false">DCF_Bull!$B$43</f>
        <v>103.631474957327</v>
      </c>
      <c r="F6" s="4" t="n">
        <f aca="false">DCF_Bull!$B$47</f>
        <v>19.3099206681507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72.4513889913607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75.5047604676879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-0.653108403681283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1549.7168089602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11.9876497616033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74.8111152826114</v>
      </c>
      <c r="C15" s="3" t="n">
        <v>7.25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50.6537993508475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40.0907853352328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32.019050695757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25.6514970644383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12.6813630209378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92.0835517808046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92.0835517808046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92.0835517808046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92.0835517808046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92.0835517808046</v>
      </c>
    </row>
    <row r="25" customFormat="false" ht="15" hidden="false" customHeight="false" outlineLevel="0" collapsed="false">
      <c r="A25" s="3" t="n">
        <v>6.25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83.0305322145061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83.0305322145061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83.0305322145061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83.0305322145061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83.0305322145061</v>
      </c>
    </row>
    <row r="26" customFormat="false" ht="15" hidden="false" customHeight="false" outlineLevel="0" collapsed="false">
      <c r="A26" s="3" t="n">
        <v>7.25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67.2904664115655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72.9806928060606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74.8111152826114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74.8111152826114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74.8111152826114</v>
      </c>
    </row>
    <row r="27" customFormat="false" ht="15" hidden="false" customHeight="false" outlineLevel="0" collapsed="false">
      <c r="A27" s="3" t="n">
        <v>8.25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52.8511208119597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56.5965144307341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60.9932808527735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66.2275265932967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67.339652709066</v>
      </c>
    </row>
    <row r="28" customFormat="false" ht="15" hidden="false" customHeight="false" outlineLevel="0" collapsed="false">
      <c r="A28" s="3" t="n">
        <v>9.25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42.1577644470479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44.7465714918908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47.7189055063401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51.1668129631013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55.2143564992991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2026-10-03T21:28:51Z</dcterms:created>
  <dc:creator>openpyxl</dc:creator>
  <dc:description/>
  <dc:language>en-NZ</dc:language>
  <cp:lastModifiedBy/>
  <dcterms:modified xsi:type="dcterms:W3CDTF">2026-10-03T21:28:51Z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