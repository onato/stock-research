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<sst xmlns="http://schemas.openxmlformats.org/spreadsheetml/2006/main" count="384" uniqueCount="173">
  <si>
    <t xml:space="preserve">Ticker</t>
  </si>
  <si>
    <t xml:space="preserve">ADM</t>
  </si>
  <si>
    <t xml:space="preserve">Company</t>
  </si>
  <si>
    <t xml:space="preserve">Archer-Daniels-Midland Company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</si>
  <si>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</si>
  <si>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</si>
  <si>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</si>
  <si>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</si>
  <si>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2026-09-24T20:00:03Z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</si>
  <si>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</si>
  <si>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</si>
  <si>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</si>
  <si>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</si>
  <si>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</si>
  <si>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</si>
  <si>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</si>
  <si>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</si>
  <si>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</si>
  <si>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</si>
  <si>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</si>
  <si>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</si>
  <si>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2026-09-25T06:55:15Z</t>
  </si>
  <si>
    <t xml:space="preserve">Drivers file</t>
  </si>
  <si>
    <t xml:space="preserve">ADM_Drivers.json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</si>
  <si>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</si>
  <si>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</si>
  <si>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</si>
  <si>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ADM is a highly cyclical, thin-margin global agribusiness processor whose reported earnings swing 3-4x through the crush-margin and biofuel-policy cycle (FY2022 EPS $7.71 at the peak vs FY2025 EPS $2.23 at the trough, further depressed by the 2024 Nutrition segment accounting scandal). The FY2026 guidance raise reflects a real earnings recovery -- record 2026-2027 EPA Renewable Volume Obligations, a raised ~$250M 45Z tax-credit benefit, and genuine Nutrition segment improvement -- but a large share of it is policy-contingent and management itself flags limited forward visibility (~30% of Q4 2026 crush volume locked). This DCF is built on a mid-cycle-normalized owner-FCF basis: year-1 margins give partial credit to the current upswing, then mean-revert over 3-4 years to a ~5.0% through-cycle EBITDA margin (between the FY2022 peak of 6.5% and the FY2025 trough of 3.8%) rather than extrapolating either the FY2026 guidance spike or the FY2024-25 trough into perpetuity. A low terminal cap multiple (10x, house default 20x) reflects ADM's own trading history and a business with essentially no pricing power. Note: FY2022-2025 revenue in the source data was corrected before this build -- the SEC XBRL ingestion had captured a ~3-4x-too-small revenue subset tag (RevenueFromContractWithCustomerExcludingAssessedTax) instead of the actual GAAP total (Revenues); the corrected series now shows sane 6-8% gross margins consistent with a commodity processor.
key_risks_to_valuation: Biofuel policy reversal (RVO rollback, 45Z credit repeal or legal challenge) would remove a growing and currently un-hedged share of FY2026-27 profit; Only ~30% of Q4 2026 North American crush volume was locked as of the Q2 2026 call -- forward earnings visibility is genuinely limited even after the guidance raise; Nutrition segment credibility is still rebuilding post-scandal; the litigated SEC action against the former CFO and ongoing shareholder class actions are live tail risk; Net debt of ~$6.5B against a thin, cyclical EBITDA base (net debt/EBITDA ~2.1-2.7x through-cycle) means a sustained margin downturn pressures coverage and could raise the effective cost of capital; Global crop supply/demand and weather risk (South American harvest, China purchasing behavior) directly moves origination volumes and crush spreads independent of company execution</t>
  </si>
  <si>
    <t xml:space="preserve">Data sources</t>
  </si>
  <si>
    <t xml:space="preserve">price: Yahoo Finance chart API at inputs.price_as_of; 52-week range 55.58-88.75
financials: research/ADM/Reports/ADM_Metrics.csv (SEC XBRL-derived core_metrics, corrected for the revenue tag error above -- see ADM_Corrections.jsonl); SEC XBRL companyconcept API (us-gaap:Revenues, CostOfRevenue, NetIncomeLoss, DepreciationDepletionAndAmortization, IncomeTaxExpenseBenefit, InterestExpense, WeightedAverageNumberOfDilutedSharesOutstanding) for cross-check and EBITDA/EBIT reconstruction
qualitative: research/ADM/Reports/ADM_Analysis.json (2026-09-25): business model, growth drivers (RVOs, 45Z, Nutrition recovery, crush debottlenecking, carbon capture), risks, guidance, bull/bear case</t>
  </si>
  <si>
    <t xml:space="preserve">Scenario narrative: bear</t>
  </si>
  <si>
    <t xml:space="preserve">Biofuel policy reverses (RVOs/45Z rolled back or challenged), crush margins stay at the FY2024-25 trough, Nutrition's recovery stalls again amid ongoing SEC/shareholder litigation, and leverage becomes a real constraint.</t>
  </si>
  <si>
    <t xml:space="preserve">Scenario narrative: base</t>
  </si>
  <si>
    <t xml:space="preserve">FY2026 guidance is a genuine but partly cyclical/policy-driven upswing (crush margins, 45Z, Nutrition recovery); the model gives it partial credit in year 1 then reverts to a ~5.0% through-cycle EBITDA margin, never capitalizing either the FY2022 peak or the FY2024-25 trough in perpetuity.</t>
  </si>
  <si>
    <t xml:space="preserve">Scenario narrative: bull</t>
  </si>
  <si>
    <t xml:space="preserve">RVO/45Z tailwinds prove durable, low-capital-intensity crush debottlenecking delivers high returns, and Nutrition's post-scandal recovery compounds -- margin holds near the FY2022 cycle peak.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</si>
  <si>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</si>
  <si>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</si>
  <si>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</si>
  <si>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</si>
  <si>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</si>
  <si>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</si>
  <si>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</si>
  <si>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</si>
  <si>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</si>
  <si>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</si>
  <si>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</si>
  <si>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</si>
  <si>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</si>
  <si>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</si>
  <si>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</si>
  <si>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</si>
  <si>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</si>
  <si>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</si>
  <si>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</si>
  <si>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</si>
  <si>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</si>
  <si>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</si>
  <si>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</si>
  <si>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</si>
  <si>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</si>
  <si>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</si>
  <si>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</si>
  <si>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</si>
  <si>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</si>
  <si>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</si>
  <si>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</si>
  <si>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</si>
  <si>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</si>
  <si>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</si>
  <si>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</si>
  <si>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</si>
  <si>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</si>
  <si>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</si>
  <si>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</si>
  <si>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</si>
  <si>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</si>
  <si>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</si>
  <si>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</si>
  <si>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</si>
  <si>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</si>
  <si>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</si>
  <si>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</si>
  <si>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</si>
  <si>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</si>
  <si>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</si>
  <si>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</si>
  <si>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</si>
  <si>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</si>
  <si>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</si>
  <si>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</si>
  <si>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</si>
  <si>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</si>
  <si>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</si>
  <si>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</si>
  <si>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</si>
  <si>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</si>
  <si>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</si>
  <si>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</si>
  <si>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</si>
  <si>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</si>
  <si>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</si>
  <si>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</si>
  <si>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</si>
  <si>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</si>
  <si>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</si>
  <si>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</si>
  <si>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</si>
  <si>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</si>
  <si>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</si>
  <si>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</si>
  <si>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</si>
  <si>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</si>
  <si>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</si>
  <si>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</si>
  <si>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</si>
  <si>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</si>
  <si>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</si>
  <si>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ADM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</si>
  <si>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</si>
  <si>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</si>
  <si>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</si>
  <si>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</si>
  <si>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</si>
  <si>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</si>
  <si>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</si>
  <si>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</si>
  <si>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</si>
  <si>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</si>
  <si>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</si>
  <si>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</si>
  <si>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</si>
  <si>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</si>
  <si>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</si>
  <si>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</si>
  <si>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</si>
  <si>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</si>
  <si>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</si>
  <si>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</si>
  <si>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</si>
  <si>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</si>
  <si>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</si>
  <si>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</si>
  <si>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</si>
  <si>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</si>
  <si>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</si>
  <si>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</si>
  <si>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</si>
  <si>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</si>
  <si>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ADM owner-FCF component DCF: base case (millions, USD)</t>
  </si>
  <si>
    <t xml:space="preserve">ADM owner-FCF component DCF: bull case (millions, USD)</t>
  </si>
  <si>
    <t xml:space="preserve">ADM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</si>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</sst>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81.88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69816</v>
      </c>
      <c r="C2" s="0" t="n">
        <v>65974</v>
      </c>
      <c r="D2" s="0" t="n">
        <v>3842</v>
      </c>
      <c r="E2" s="0" t="n">
        <v>5.50303655322562</v>
      </c>
      <c r="I2" s="0" t="n">
        <v>1780</v>
      </c>
      <c r="J2" s="0" t="n">
        <v>2.54955884038043</v>
      </c>
      <c r="K2" s="0" t="n">
        <v>2.75</v>
      </c>
      <c r="L2" s="0" t="n">
        <v>-3204</v>
      </c>
      <c r="M2" s="0" t="n">
        <v>1779</v>
      </c>
      <c r="N2" s="0" t="n">
        <v>-4983</v>
      </c>
      <c r="S2" s="0" t="n">
        <v>2248</v>
      </c>
      <c r="T2" s="0" t="n">
        <v>646</v>
      </c>
      <c r="U2" s="0" t="n">
        <v>70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69207</v>
      </c>
      <c r="C3" s="0" t="n">
        <v>65118</v>
      </c>
      <c r="D3" s="0" t="n">
        <v>4089</v>
      </c>
      <c r="E3" s="0" t="n">
        <v>5.90836187090901</v>
      </c>
      <c r="I3" s="0" t="n">
        <v>1684</v>
      </c>
      <c r="J3" s="0" t="n">
        <v>2.43327987053333</v>
      </c>
      <c r="K3" s="0" t="n">
        <v>2.62</v>
      </c>
      <c r="L3" s="0" t="n">
        <v>5341</v>
      </c>
      <c r="M3" s="0" t="n">
        <v>1898</v>
      </c>
      <c r="N3" s="0" t="n">
        <v>3443</v>
      </c>
      <c r="O3" s="0" t="n">
        <v>14795</v>
      </c>
      <c r="P3" s="0" t="n">
        <v>33529</v>
      </c>
      <c r="R3" s="0" t="n">
        <v>7644</v>
      </c>
      <c r="S3" s="0" t="n">
        <v>1317</v>
      </c>
      <c r="T3" s="0" t="n">
        <v>644</v>
      </c>
      <c r="U3" s="0" t="n">
        <v>65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61682</v>
      </c>
      <c r="C4" s="0" t="n">
        <v>57839</v>
      </c>
      <c r="D4" s="0" t="n">
        <v>3843</v>
      </c>
      <c r="E4" s="0" t="n">
        <v>6.23034272559256</v>
      </c>
      <c r="I4" s="0" t="n">
        <v>1930</v>
      </c>
      <c r="J4" s="0" t="n">
        <v>3.12895172011284</v>
      </c>
      <c r="K4" s="0" t="n">
        <v>3</v>
      </c>
      <c r="L4" s="0" t="n">
        <v>2684</v>
      </c>
      <c r="M4" s="0" t="n">
        <v>1607</v>
      </c>
      <c r="N4" s="0" t="n">
        <v>1077</v>
      </c>
      <c r="O4" s="0" t="n">
        <v>15904</v>
      </c>
      <c r="P4" s="0" t="n">
        <v>42610</v>
      </c>
      <c r="R4" s="0" t="n">
        <v>7053</v>
      </c>
      <c r="S4" s="0" t="n">
        <v>526</v>
      </c>
      <c r="T4" s="0" t="n">
        <v>644</v>
      </c>
      <c r="U4" s="0" t="n">
        <v>45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80676</v>
      </c>
      <c r="C5" s="0" t="n">
        <v>76376</v>
      </c>
      <c r="D5" s="0" t="n">
        <v>4300</v>
      </c>
      <c r="E5" s="0" t="n">
        <v>5.32996182259904</v>
      </c>
      <c r="I5" s="0" t="n">
        <v>2036</v>
      </c>
      <c r="J5" s="0" t="n">
        <v>2.52367494670038</v>
      </c>
      <c r="K5" s="0" t="n">
        <v>3.13</v>
      </c>
      <c r="L5" s="0" t="n">
        <v>-2340</v>
      </c>
      <c r="M5" s="0" t="n">
        <v>1247</v>
      </c>
      <c r="N5" s="0" t="n">
        <v>-3587</v>
      </c>
      <c r="O5" s="0" t="n">
        <v>18165</v>
      </c>
      <c r="P5" s="0" t="n">
        <v>41516</v>
      </c>
      <c r="R5" s="0" t="n">
        <v>8364</v>
      </c>
      <c r="S5" s="0" t="n">
        <v>864</v>
      </c>
      <c r="T5" s="0" t="n">
        <v>654</v>
      </c>
      <c r="U5" s="0" t="n">
        <v>47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89038</v>
      </c>
      <c r="C6" s="0" t="n">
        <v>85370</v>
      </c>
      <c r="D6" s="0" t="n">
        <v>3668</v>
      </c>
      <c r="E6" s="0" t="n">
        <v>4.11958938880029</v>
      </c>
      <c r="I6" s="0" t="n">
        <v>1223</v>
      </c>
      <c r="J6" s="0" t="n">
        <v>1.37357083492441</v>
      </c>
      <c r="K6" s="0" t="n">
        <v>1.84</v>
      </c>
      <c r="L6" s="0" t="n">
        <v>2895</v>
      </c>
      <c r="M6" s="0" t="n">
        <v>1477</v>
      </c>
      <c r="N6" s="0" t="n">
        <v>1418</v>
      </c>
      <c r="O6" s="0" t="n">
        <v>19131</v>
      </c>
      <c r="P6" s="0" t="n">
        <v>45136</v>
      </c>
      <c r="R6" s="0" t="n">
        <v>6992</v>
      </c>
      <c r="S6" s="0" t="n">
        <v>1714</v>
      </c>
      <c r="T6" s="0" t="n">
        <v>666</v>
      </c>
      <c r="U6" s="0" t="n">
        <v>48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89804</v>
      </c>
      <c r="C7" s="0" t="n">
        <v>85915</v>
      </c>
      <c r="D7" s="0" t="n">
        <v>3889</v>
      </c>
      <c r="E7" s="0" t="n">
        <v>4.33054206939557</v>
      </c>
      <c r="I7" s="0" t="n">
        <v>1342</v>
      </c>
      <c r="J7" s="0" t="n">
        <v>1.49436550710436</v>
      </c>
      <c r="K7" s="0" t="n">
        <v>2.02</v>
      </c>
      <c r="L7" s="0" t="n">
        <v>5226</v>
      </c>
      <c r="M7" s="0" t="n">
        <v>913</v>
      </c>
      <c r="N7" s="0" t="n">
        <v>4313</v>
      </c>
      <c r="O7" s="0" t="n">
        <v>20194</v>
      </c>
      <c r="P7" s="0" t="n">
        <v>43752</v>
      </c>
      <c r="R7" s="0" t="n">
        <v>7677</v>
      </c>
      <c r="S7" s="0" t="n">
        <v>3121</v>
      </c>
      <c r="T7" s="0" t="n">
        <v>663</v>
      </c>
      <c r="U7" s="0" t="n">
        <v>43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81201</v>
      </c>
      <c r="C8" s="0" t="n">
        <v>76433</v>
      </c>
      <c r="D8" s="0" t="n">
        <v>4768</v>
      </c>
      <c r="E8" s="0" t="n">
        <v>5.8718488688563</v>
      </c>
      <c r="I8" s="0" t="n">
        <v>2248</v>
      </c>
      <c r="J8" s="0" t="n">
        <v>2.7684388123299</v>
      </c>
      <c r="K8" s="0" t="n">
        <v>3.43</v>
      </c>
      <c r="L8" s="0" t="n">
        <v>4943</v>
      </c>
      <c r="M8" s="0" t="n">
        <v>894</v>
      </c>
      <c r="N8" s="0" t="n">
        <v>4049</v>
      </c>
      <c r="O8" s="0" t="n">
        <v>19630</v>
      </c>
      <c r="P8" s="0" t="n">
        <v>43997</v>
      </c>
      <c r="R8" s="0" t="n">
        <v>5576</v>
      </c>
      <c r="S8" s="0" t="n">
        <v>1099</v>
      </c>
      <c r="T8" s="0" t="n">
        <v>656</v>
      </c>
      <c r="U8" s="0" t="n">
        <v>55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67702</v>
      </c>
      <c r="C9" s="0" t="n">
        <v>63736</v>
      </c>
      <c r="D9" s="0" t="n">
        <v>3966</v>
      </c>
      <c r="E9" s="0" t="n">
        <v>5.85802487371127</v>
      </c>
      <c r="I9" s="0" t="n">
        <v>1849</v>
      </c>
      <c r="J9" s="0" t="n">
        <v>2.73108623083513</v>
      </c>
      <c r="K9" s="0" t="n">
        <v>2.98</v>
      </c>
      <c r="L9" s="0" t="n">
        <v>1705</v>
      </c>
      <c r="M9" s="0" t="n">
        <v>1125</v>
      </c>
      <c r="N9" s="0" t="n">
        <v>580</v>
      </c>
      <c r="O9" s="0" t="n">
        <v>17915</v>
      </c>
      <c r="P9" s="0" t="n">
        <v>40157</v>
      </c>
      <c r="R9" s="0" t="n">
        <v>5803</v>
      </c>
      <c r="S9" s="0" t="n">
        <v>910</v>
      </c>
      <c r="T9" s="0" t="n">
        <v>621</v>
      </c>
      <c r="U9" s="0" t="n">
        <v>79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62346</v>
      </c>
      <c r="C10" s="0" t="n">
        <v>58728</v>
      </c>
      <c r="D10" s="0" t="n">
        <v>3618</v>
      </c>
      <c r="E10" s="0" t="n">
        <v>5.80309883553075</v>
      </c>
      <c r="I10" s="0" t="n">
        <v>1279</v>
      </c>
      <c r="J10" s="0" t="n">
        <v>2.05145478458923</v>
      </c>
      <c r="K10" s="0" t="n">
        <v>2.16</v>
      </c>
      <c r="L10" s="0" t="n">
        <v>-6508</v>
      </c>
      <c r="M10" s="0" t="n">
        <v>882</v>
      </c>
      <c r="N10" s="0" t="n">
        <v>-7390</v>
      </c>
      <c r="O10" s="0" t="n">
        <v>17181</v>
      </c>
      <c r="P10" s="0" t="n">
        <v>39769</v>
      </c>
      <c r="R10" s="0" t="n">
        <v>7050</v>
      </c>
      <c r="S10" s="0" t="n">
        <v>619</v>
      </c>
      <c r="T10" s="0" t="n">
        <v>591</v>
      </c>
      <c r="U10" s="0" t="n">
        <v>74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60828</v>
      </c>
      <c r="C11" s="0" t="n">
        <v>57310</v>
      </c>
      <c r="D11" s="0" t="n">
        <v>3518</v>
      </c>
      <c r="E11" s="0" t="n">
        <v>5.7835207470244</v>
      </c>
      <c r="I11" s="0" t="n">
        <v>1595</v>
      </c>
      <c r="J11" s="0" t="n">
        <v>2.6221476951404</v>
      </c>
      <c r="K11" s="0" t="n">
        <v>2.79</v>
      </c>
      <c r="L11" s="0" t="n">
        <v>-5966</v>
      </c>
      <c r="M11" s="0" t="n">
        <v>1049</v>
      </c>
      <c r="N11" s="0" t="n">
        <v>-7015</v>
      </c>
      <c r="O11" s="0" t="n">
        <v>18322</v>
      </c>
      <c r="P11" s="0" t="n">
        <v>39963</v>
      </c>
      <c r="R11" s="0" t="n">
        <v>6649</v>
      </c>
      <c r="S11" s="0" t="n">
        <v>804</v>
      </c>
      <c r="T11" s="0" t="n">
        <v>572</v>
      </c>
      <c r="U11" s="0" t="n">
        <v>66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64341</v>
      </c>
      <c r="C12" s="0" t="n">
        <v>60160</v>
      </c>
      <c r="D12" s="0" t="n">
        <v>4181</v>
      </c>
      <c r="E12" s="0" t="n">
        <v>6.49818933494972</v>
      </c>
      <c r="I12" s="0" t="n">
        <v>1810</v>
      </c>
      <c r="J12" s="0" t="n">
        <v>2.81313625837335</v>
      </c>
      <c r="K12" s="0" t="n">
        <v>3.19</v>
      </c>
      <c r="L12" s="0" t="n">
        <v>-4784</v>
      </c>
      <c r="M12" s="0" t="n">
        <v>842</v>
      </c>
      <c r="N12" s="0" t="n">
        <v>-5626</v>
      </c>
      <c r="O12" s="0" t="n">
        <v>18996</v>
      </c>
      <c r="P12" s="0" t="n">
        <v>40833</v>
      </c>
      <c r="R12" s="0" t="n">
        <v>8862</v>
      </c>
      <c r="S12" s="0" t="n">
        <v>1997</v>
      </c>
      <c r="T12" s="0" t="n">
        <v>567</v>
      </c>
      <c r="U12" s="0" t="n">
        <v>109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64656</v>
      </c>
      <c r="C13" s="0" t="n">
        <v>60509</v>
      </c>
      <c r="D13" s="0" t="n">
        <v>4147</v>
      </c>
      <c r="E13" s="0" t="n">
        <v>6.41394456817619</v>
      </c>
      <c r="I13" s="0" t="n">
        <v>1379</v>
      </c>
      <c r="J13" s="0" t="n">
        <v>2.13282603316011</v>
      </c>
      <c r="K13" s="0" t="n">
        <v>2.44</v>
      </c>
      <c r="L13" s="0" t="n">
        <v>-5452</v>
      </c>
      <c r="M13" s="0" t="n">
        <v>828</v>
      </c>
      <c r="N13" s="0" t="n">
        <v>-6280</v>
      </c>
      <c r="O13" s="0" t="n">
        <v>19225</v>
      </c>
      <c r="P13" s="0" t="n">
        <v>43997</v>
      </c>
      <c r="R13" s="0" t="n">
        <v>7686</v>
      </c>
      <c r="S13" s="0" t="n">
        <v>852</v>
      </c>
      <c r="T13" s="0" t="n">
        <v>565</v>
      </c>
      <c r="U13" s="0" t="n">
        <v>89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64355</v>
      </c>
      <c r="C14" s="0" t="n">
        <v>59902</v>
      </c>
      <c r="D14" s="0" t="n">
        <v>4453</v>
      </c>
      <c r="E14" s="0" t="n">
        <v>6.91943127962085</v>
      </c>
      <c r="I14" s="0" t="n">
        <v>1772</v>
      </c>
      <c r="J14" s="0" t="n">
        <v>2.7534768083288</v>
      </c>
      <c r="K14" s="0" t="n">
        <v>3.15</v>
      </c>
      <c r="L14" s="0" t="n">
        <v>-2386</v>
      </c>
      <c r="M14" s="0" t="n">
        <v>823</v>
      </c>
      <c r="N14" s="0" t="n">
        <v>-3209</v>
      </c>
      <c r="O14" s="0" t="n">
        <v>20022</v>
      </c>
      <c r="P14" s="0" t="n">
        <v>49719</v>
      </c>
      <c r="R14" s="0" t="n">
        <v>7889</v>
      </c>
      <c r="S14" s="0" t="n">
        <v>666</v>
      </c>
      <c r="T14" s="0" t="n">
        <v>565</v>
      </c>
      <c r="U14" s="0" t="n">
        <v>151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85249</v>
      </c>
      <c r="C15" s="0" t="n">
        <v>79262</v>
      </c>
      <c r="D15" s="0" t="n">
        <v>5987</v>
      </c>
      <c r="E15" s="0" t="n">
        <v>7.02295628101209</v>
      </c>
      <c r="I15" s="0" t="n">
        <v>2709</v>
      </c>
      <c r="J15" s="0" t="n">
        <v>3.17774988562916</v>
      </c>
      <c r="K15" s="0" t="n">
        <v>4.79</v>
      </c>
      <c r="L15" s="0" t="n">
        <v>6595</v>
      </c>
      <c r="M15" s="0" t="n">
        <v>1169</v>
      </c>
      <c r="N15" s="0" t="n">
        <v>5426</v>
      </c>
      <c r="O15" s="0" t="n">
        <v>22508</v>
      </c>
      <c r="P15" s="0" t="n">
        <v>56136</v>
      </c>
      <c r="R15" s="0" t="n">
        <v>9151</v>
      </c>
      <c r="S15" s="0" t="n">
        <v>943</v>
      </c>
      <c r="T15" s="0" t="n">
        <v>566</v>
      </c>
      <c r="U15" s="0" t="n">
        <v>161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101556</v>
      </c>
      <c r="C16" s="0" t="n">
        <v>93986</v>
      </c>
      <c r="D16" s="0" t="n">
        <v>7570</v>
      </c>
      <c r="E16" s="0" t="n">
        <v>27.4215750199232</v>
      </c>
      <c r="I16" s="0" t="n">
        <v>4340</v>
      </c>
      <c r="J16" s="0" t="n">
        <v>15.7212200246323</v>
      </c>
      <c r="K16" s="0" t="n">
        <v>7.71</v>
      </c>
      <c r="L16" s="0" t="n">
        <v>3478</v>
      </c>
      <c r="M16" s="0" t="n">
        <v>1319</v>
      </c>
      <c r="N16" s="0" t="n">
        <v>2159</v>
      </c>
      <c r="O16" s="0" t="n">
        <v>24317</v>
      </c>
      <c r="P16" s="0" t="n">
        <v>59774</v>
      </c>
      <c r="R16" s="0" t="n">
        <v>9619</v>
      </c>
      <c r="S16" s="0" t="n">
        <v>1037</v>
      </c>
      <c r="T16" s="0" t="n">
        <v>563</v>
      </c>
      <c r="U16" s="0" t="n">
        <v>147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93935</v>
      </c>
      <c r="C17" s="0" t="n">
        <v>86422</v>
      </c>
      <c r="D17" s="0" t="n">
        <v>7513</v>
      </c>
      <c r="E17" s="0" t="n">
        <v>29.2437040208633</v>
      </c>
      <c r="I17" s="0" t="n">
        <v>3483</v>
      </c>
      <c r="J17" s="0" t="n">
        <v>13.5572768673855</v>
      </c>
      <c r="K17" s="0" t="n">
        <v>6.43</v>
      </c>
      <c r="L17" s="0" t="n">
        <v>4460</v>
      </c>
      <c r="M17" s="0" t="n">
        <v>1494</v>
      </c>
      <c r="N17" s="0" t="n">
        <v>2966</v>
      </c>
      <c r="O17" s="0" t="n">
        <v>24145</v>
      </c>
      <c r="P17" s="0" t="n">
        <v>54631</v>
      </c>
      <c r="R17" s="0" t="n">
        <v>8261</v>
      </c>
      <c r="S17" s="0" t="n">
        <v>1368</v>
      </c>
      <c r="T17" s="0" t="n">
        <v>542</v>
      </c>
      <c r="U17" s="0" t="n">
        <v>112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85530</v>
      </c>
      <c r="C18" s="0" t="n">
        <v>79752</v>
      </c>
      <c r="D18" s="0" t="n">
        <v>5778</v>
      </c>
      <c r="E18" s="0" t="n">
        <v>23.7065605383006</v>
      </c>
      <c r="I18" s="0" t="n">
        <v>1800</v>
      </c>
      <c r="J18" s="0" t="n">
        <v>7.38522135149551</v>
      </c>
      <c r="K18" s="0" t="n">
        <v>3.65</v>
      </c>
      <c r="L18" s="0" t="n">
        <v>2790</v>
      </c>
      <c r="M18" s="0" t="n">
        <v>1563</v>
      </c>
      <c r="N18" s="0" t="n">
        <v>1227</v>
      </c>
      <c r="O18" s="0" t="n">
        <v>22178</v>
      </c>
      <c r="P18" s="0" t="n">
        <v>53271</v>
      </c>
      <c r="R18" s="0" t="n">
        <v>8928</v>
      </c>
      <c r="S18" s="0" t="n">
        <v>611</v>
      </c>
      <c r="T18" s="0" t="n">
        <v>493</v>
      </c>
      <c r="U18" s="0" t="n">
        <v>74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80269</v>
      </c>
      <c r="C19" s="0" t="n">
        <v>75236</v>
      </c>
      <c r="D19" s="0" t="n">
        <v>5033</v>
      </c>
      <c r="E19" s="0" t="n">
        <v>20.1674947908319</v>
      </c>
      <c r="I19" s="0" t="n">
        <v>1078</v>
      </c>
      <c r="J19" s="0" t="n">
        <v>4.31960250040071</v>
      </c>
      <c r="K19" s="0" t="n">
        <v>2.23</v>
      </c>
      <c r="L19" s="0" t="n">
        <v>5452</v>
      </c>
      <c r="M19" s="0" t="n">
        <v>1248</v>
      </c>
      <c r="N19" s="0" t="n">
        <v>4204</v>
      </c>
      <c r="O19" s="0" t="n">
        <v>22740</v>
      </c>
      <c r="P19" s="0" t="n">
        <v>52389</v>
      </c>
      <c r="R19" s="0" t="n">
        <v>8618</v>
      </c>
      <c r="S19" s="0" t="n">
        <v>1015</v>
      </c>
      <c r="T19" s="0" t="n">
        <v>484</v>
      </c>
      <c r="U19" s="0" t="n">
        <v>83</v>
      </c>
      <c r="AA19" s="0" t="s">
        <v>17</v>
      </c>
      <c r="AB1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81.88</v>
      </c>
    </row>
    <row r="3" customFormat="false" ht="15" hidden="false" customHeight="false" outlineLevel="0" collapsed="false">
      <c r="A3" s="0" t="s">
        <v>84</v>
      </c>
      <c r="B3" s="3" t="n">
        <v>485</v>
      </c>
    </row>
    <row r="4" customFormat="false" ht="15" hidden="false" customHeight="false" outlineLevel="0" collapsed="false">
      <c r="A4" s="0" t="s">
        <v>85</v>
      </c>
      <c r="B4" s="3" t="n">
        <v>6544</v>
      </c>
    </row>
    <row r="5" customFormat="false" ht="15" hidden="false" customHeight="false" outlineLevel="0" collapsed="false">
      <c r="A5" s="0" t="s">
        <v>86</v>
      </c>
      <c r="B5" s="3" t="n">
        <v>0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82000</v>
      </c>
    </row>
    <row r="8" customFormat="false" ht="15" hidden="false" customHeight="false" outlineLevel="0" collapsed="false">
      <c r="A8" s="0" t="s">
        <v>89</v>
      </c>
      <c r="B8" s="3" t="s">
        <v>80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0.5</v>
      </c>
      <c r="D13" s="3" t="n">
        <v>0.5</v>
      </c>
      <c r="E13" s="3" t="n">
        <v>1</v>
      </c>
      <c r="F13" s="3" t="n">
        <v>1</v>
      </c>
      <c r="G13" s="3" t="n">
        <v>1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105</v>
      </c>
      <c r="C14" s="3" t="n">
        <v>4.5</v>
      </c>
      <c r="D14" s="3" t="n">
        <v>4</v>
      </c>
      <c r="E14" s="3" t="n">
        <v>3.8</v>
      </c>
      <c r="F14" s="3" t="n">
        <v>3.8</v>
      </c>
      <c r="G14" s="3" t="n">
        <v>3.8</v>
      </c>
      <c r="H14" s="3" t="n">
        <v>3.9</v>
      </c>
      <c r="I14" s="3" t="n">
        <v>4</v>
      </c>
      <c r="J14" s="3" t="n">
        <v>4</v>
      </c>
      <c r="K14" s="3" t="n">
        <v>4</v>
      </c>
      <c r="L14" s="3" t="n">
        <v>4</v>
      </c>
    </row>
    <row r="15" customFormat="false" ht="15" hidden="false" customHeight="false" outlineLevel="0" collapsed="false">
      <c r="A15" s="0" t="s">
        <v>106</v>
      </c>
      <c r="C15" s="3" t="n">
        <v>0.1</v>
      </c>
      <c r="D15" s="3" t="n">
        <v>0.1</v>
      </c>
      <c r="E15" s="3" t="n">
        <v>0.1</v>
      </c>
      <c r="F15" s="3" t="n">
        <v>0.1</v>
      </c>
      <c r="G15" s="3" t="n">
        <v>0.1</v>
      </c>
      <c r="H15" s="3" t="n">
        <v>0.1</v>
      </c>
      <c r="I15" s="3" t="n">
        <v>0.1</v>
      </c>
      <c r="J15" s="3" t="n">
        <v>0.1</v>
      </c>
      <c r="K15" s="3" t="n">
        <v>0.1</v>
      </c>
      <c r="L15" s="3" t="n">
        <v>0.1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1.5</v>
      </c>
      <c r="D17" s="3" t="n">
        <v>1.5</v>
      </c>
      <c r="E17" s="3" t="n">
        <v>1.5</v>
      </c>
      <c r="F17" s="3" t="n">
        <v>1.48</v>
      </c>
      <c r="G17" s="3" t="n">
        <v>1.45</v>
      </c>
      <c r="H17" s="3" t="n">
        <v>1.45</v>
      </c>
      <c r="I17" s="3" t="n">
        <v>1.45</v>
      </c>
      <c r="J17" s="3" t="n">
        <v>1.45</v>
      </c>
      <c r="K17" s="3" t="n">
        <v>1.45</v>
      </c>
      <c r="L17" s="3" t="n">
        <v>1.45</v>
      </c>
    </row>
    <row r="18" customFormat="false" ht="15" hidden="false" customHeight="false" outlineLevel="0" collapsed="false">
      <c r="A18" s="0" t="s">
        <v>109</v>
      </c>
      <c r="C18" s="3" t="n">
        <v>1.8</v>
      </c>
      <c r="D18" s="3" t="n">
        <v>1.75</v>
      </c>
      <c r="E18" s="3" t="n">
        <v>1.7</v>
      </c>
      <c r="F18" s="3" t="n">
        <v>1.65</v>
      </c>
      <c r="G18" s="3" t="n">
        <v>1.6</v>
      </c>
      <c r="H18" s="3" t="n">
        <v>1.55</v>
      </c>
      <c r="I18" s="3" t="n">
        <v>1.55</v>
      </c>
      <c r="J18" s="3" t="n">
        <v>1.55</v>
      </c>
      <c r="K18" s="3" t="n">
        <v>1.55</v>
      </c>
      <c r="L18" s="3" t="n">
        <v>1.55</v>
      </c>
    </row>
    <row r="19" customFormat="false" ht="15" hidden="false" customHeight="false" outlineLevel="0" collapsed="false">
      <c r="A19" s="0" t="s">
        <v>110</v>
      </c>
      <c r="C19" s="3" t="n">
        <v>22</v>
      </c>
      <c r="D19" s="3" t="n">
        <v>23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111</v>
      </c>
      <c r="B20" s="3" t="n">
        <v>9.5</v>
      </c>
    </row>
    <row r="21" customFormat="false" ht="15" hidden="false" customHeight="false" outlineLevel="0" collapsed="false">
      <c r="A21" s="0" t="s">
        <v>112</v>
      </c>
      <c r="B21" s="3" t="n">
        <v>1.5</v>
      </c>
    </row>
    <row r="22" customFormat="false" ht="15" hidden="false" customHeight="false" outlineLevel="0" collapsed="false">
      <c r="A22" s="0" t="s">
        <v>113</v>
      </c>
      <c r="B22" s="3" t="n">
        <v>8</v>
      </c>
    </row>
    <row r="23" customFormat="false" ht="15" hidden="false" customHeight="false" outlineLevel="0" collapsed="false">
      <c r="A23" s="0" t="s">
        <v>114</v>
      </c>
      <c r="B23" s="3" t="n">
        <v>-10</v>
      </c>
    </row>
    <row r="24" customFormat="false" ht="15" hidden="false" customHeight="false" outlineLevel="0" collapsed="false">
      <c r="A24" s="0" t="s">
        <v>115</v>
      </c>
      <c r="B24" s="3" t="n">
        <v>0.3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2</v>
      </c>
      <c r="D27" s="3" t="n">
        <v>2</v>
      </c>
      <c r="E27" s="3" t="n">
        <v>2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105</v>
      </c>
      <c r="C28" s="3" t="n">
        <v>5.7</v>
      </c>
      <c r="D28" s="3" t="n">
        <v>5.4</v>
      </c>
      <c r="E28" s="3" t="n">
        <v>5.2</v>
      </c>
      <c r="F28" s="3" t="n">
        <v>5.1</v>
      </c>
      <c r="G28" s="3" t="n">
        <v>5</v>
      </c>
      <c r="H28" s="3" t="n">
        <v>5</v>
      </c>
      <c r="I28" s="3" t="n">
        <v>5</v>
      </c>
      <c r="J28" s="3" t="n">
        <v>5</v>
      </c>
      <c r="K28" s="3" t="n">
        <v>5</v>
      </c>
      <c r="L28" s="3" t="n">
        <v>5</v>
      </c>
    </row>
    <row r="29" customFormat="false" ht="15" hidden="false" customHeight="false" outlineLevel="0" collapsed="false">
      <c r="A29" s="0" t="s">
        <v>106</v>
      </c>
      <c r="C29" s="3" t="n">
        <v>0.1</v>
      </c>
      <c r="D29" s="3" t="n">
        <v>0.1</v>
      </c>
      <c r="E29" s="3" t="n">
        <v>0.1</v>
      </c>
      <c r="F29" s="3" t="n">
        <v>0.1</v>
      </c>
      <c r="G29" s="3" t="n">
        <v>0.1</v>
      </c>
      <c r="H29" s="3" t="n">
        <v>0.1</v>
      </c>
      <c r="I29" s="3" t="n">
        <v>0.1</v>
      </c>
      <c r="J29" s="3" t="n">
        <v>0.1</v>
      </c>
      <c r="K29" s="3" t="n">
        <v>0.1</v>
      </c>
      <c r="L29" s="3" t="n">
        <v>0.1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1.45</v>
      </c>
      <c r="D31" s="3" t="n">
        <v>1.45</v>
      </c>
      <c r="E31" s="3" t="n">
        <v>1.43</v>
      </c>
      <c r="F31" s="3" t="n">
        <v>1.42</v>
      </c>
      <c r="G31" s="3" t="n">
        <v>1.4</v>
      </c>
      <c r="H31" s="3" t="n">
        <v>1.4</v>
      </c>
      <c r="I31" s="3" t="n">
        <v>1.4</v>
      </c>
      <c r="J31" s="3" t="n">
        <v>1.4</v>
      </c>
      <c r="K31" s="3" t="n">
        <v>1.4</v>
      </c>
      <c r="L31" s="3" t="n">
        <v>1.4</v>
      </c>
    </row>
    <row r="32" customFormat="false" ht="15" hidden="false" customHeight="false" outlineLevel="0" collapsed="false">
      <c r="A32" s="0" t="s">
        <v>109</v>
      </c>
      <c r="C32" s="3" t="n">
        <v>1.75</v>
      </c>
      <c r="D32" s="3" t="n">
        <v>1.7</v>
      </c>
      <c r="E32" s="3" t="n">
        <v>1.65</v>
      </c>
      <c r="F32" s="3" t="n">
        <v>1.6</v>
      </c>
      <c r="G32" s="3" t="n">
        <v>1.55</v>
      </c>
      <c r="H32" s="3" t="n">
        <v>1.5</v>
      </c>
      <c r="I32" s="3" t="n">
        <v>1.5</v>
      </c>
      <c r="J32" s="3" t="n">
        <v>1.5</v>
      </c>
      <c r="K32" s="3" t="n">
        <v>1.5</v>
      </c>
      <c r="L32" s="3" t="n">
        <v>1.5</v>
      </c>
    </row>
    <row r="33" customFormat="false" ht="15" hidden="false" customHeight="false" outlineLevel="0" collapsed="false">
      <c r="A33" s="0" t="s">
        <v>110</v>
      </c>
      <c r="C33" s="3" t="n">
        <v>20</v>
      </c>
      <c r="D33" s="3" t="n">
        <v>21</v>
      </c>
      <c r="E33" s="3" t="n">
        <v>22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111</v>
      </c>
      <c r="B34" s="3" t="n">
        <v>8.7</v>
      </c>
    </row>
    <row r="35" customFormat="false" ht="15" hidden="false" customHeight="false" outlineLevel="0" collapsed="false">
      <c r="A35" s="0" t="s">
        <v>112</v>
      </c>
      <c r="B35" s="3" t="n">
        <v>2</v>
      </c>
    </row>
    <row r="36" customFormat="false" ht="15" hidden="false" customHeight="false" outlineLevel="0" collapsed="false">
      <c r="A36" s="0" t="s">
        <v>113</v>
      </c>
      <c r="B36" s="3" t="n">
        <v>10</v>
      </c>
    </row>
    <row r="37" customFormat="false" ht="15" hidden="false" customHeight="false" outlineLevel="0" collapsed="false">
      <c r="A37" s="0" t="s">
        <v>114</v>
      </c>
      <c r="B37" s="3" t="n">
        <v>-8</v>
      </c>
    </row>
    <row r="38" customFormat="false" ht="15" hidden="false" customHeight="false" outlineLevel="0" collapsed="false">
      <c r="A38" s="0" t="s">
        <v>115</v>
      </c>
      <c r="B38" s="3" t="n">
        <v>0.45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3.5</v>
      </c>
      <c r="D41" s="3" t="n">
        <v>3</v>
      </c>
      <c r="E41" s="3" t="n">
        <v>2.5</v>
      </c>
      <c r="F41" s="3" t="n">
        <v>2.5</v>
      </c>
      <c r="G41" s="3" t="n">
        <v>2.5</v>
      </c>
      <c r="H41" s="3" t="n">
        <v>2</v>
      </c>
      <c r="I41" s="3" t="n">
        <v>2</v>
      </c>
      <c r="J41" s="3" t="n">
        <v>2</v>
      </c>
      <c r="K41" s="3" t="n">
        <v>2</v>
      </c>
      <c r="L41" s="3" t="n">
        <v>2</v>
      </c>
    </row>
    <row r="42" customFormat="false" ht="15" hidden="false" customHeight="false" outlineLevel="0" collapsed="false">
      <c r="A42" s="0" t="s">
        <v>105</v>
      </c>
      <c r="C42" s="3" t="n">
        <v>6.5</v>
      </c>
      <c r="D42" s="3" t="n">
        <v>6.3</v>
      </c>
      <c r="E42" s="3" t="n">
        <v>6.1</v>
      </c>
      <c r="F42" s="3" t="n">
        <v>6</v>
      </c>
      <c r="G42" s="3" t="n">
        <v>5.9</v>
      </c>
      <c r="H42" s="3" t="n">
        <v>5.8</v>
      </c>
      <c r="I42" s="3" t="n">
        <v>5.8</v>
      </c>
      <c r="J42" s="3" t="n">
        <v>5.8</v>
      </c>
      <c r="K42" s="3" t="n">
        <v>5.8</v>
      </c>
      <c r="L42" s="3" t="n">
        <v>5.8</v>
      </c>
    </row>
    <row r="43" customFormat="false" ht="15" hidden="false" customHeight="false" outlineLevel="0" collapsed="false">
      <c r="A43" s="0" t="s">
        <v>106</v>
      </c>
      <c r="C43" s="3" t="n">
        <v>0.1</v>
      </c>
      <c r="D43" s="3" t="n">
        <v>0.1</v>
      </c>
      <c r="E43" s="3" t="n">
        <v>0.1</v>
      </c>
      <c r="F43" s="3" t="n">
        <v>0.1</v>
      </c>
      <c r="G43" s="3" t="n">
        <v>0.1</v>
      </c>
      <c r="H43" s="3" t="n">
        <v>0.1</v>
      </c>
      <c r="I43" s="3" t="n">
        <v>0.1</v>
      </c>
      <c r="J43" s="3" t="n">
        <v>0.1</v>
      </c>
      <c r="K43" s="3" t="n">
        <v>0.1</v>
      </c>
      <c r="L43" s="3" t="n">
        <v>0.1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1.45</v>
      </c>
      <c r="D45" s="3" t="n">
        <v>1.43</v>
      </c>
      <c r="E45" s="3" t="n">
        <v>1.42</v>
      </c>
      <c r="F45" s="3" t="n">
        <v>1.4</v>
      </c>
      <c r="G45" s="3" t="n">
        <v>1.38</v>
      </c>
      <c r="H45" s="3" t="n">
        <v>1.38</v>
      </c>
      <c r="I45" s="3" t="n">
        <v>1.38</v>
      </c>
      <c r="J45" s="3" t="n">
        <v>1.38</v>
      </c>
      <c r="K45" s="3" t="n">
        <v>1.38</v>
      </c>
      <c r="L45" s="3" t="n">
        <v>1.38</v>
      </c>
    </row>
    <row r="46" customFormat="false" ht="15" hidden="false" customHeight="false" outlineLevel="0" collapsed="false">
      <c r="A46" s="0" t="s">
        <v>109</v>
      </c>
      <c r="C46" s="3" t="n">
        <v>1.7</v>
      </c>
      <c r="D46" s="3" t="n">
        <v>1.65</v>
      </c>
      <c r="E46" s="3" t="n">
        <v>1.6</v>
      </c>
      <c r="F46" s="3" t="n">
        <v>1.55</v>
      </c>
      <c r="G46" s="3" t="n">
        <v>1.5</v>
      </c>
      <c r="H46" s="3" t="n">
        <v>1.45</v>
      </c>
      <c r="I46" s="3" t="n">
        <v>1.45</v>
      </c>
      <c r="J46" s="3" t="n">
        <v>1.45</v>
      </c>
      <c r="K46" s="3" t="n">
        <v>1.45</v>
      </c>
      <c r="L46" s="3" t="n">
        <v>1.45</v>
      </c>
    </row>
    <row r="47" customFormat="false" ht="15" hidden="false" customHeight="false" outlineLevel="0" collapsed="false">
      <c r="A47" s="0" t="s">
        <v>110</v>
      </c>
      <c r="C47" s="3" t="n">
        <v>18</v>
      </c>
      <c r="D47" s="3" t="n">
        <v>19</v>
      </c>
      <c r="E47" s="3" t="n">
        <v>20</v>
      </c>
      <c r="F47" s="3" t="n">
        <v>21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111</v>
      </c>
      <c r="B48" s="3" t="n">
        <v>8.2</v>
      </c>
    </row>
    <row r="49" customFormat="false" ht="15" hidden="false" customHeight="false" outlineLevel="0" collapsed="false">
      <c r="A49" s="0" t="s">
        <v>112</v>
      </c>
      <c r="B49" s="3" t="n">
        <v>2.5</v>
      </c>
    </row>
    <row r="50" customFormat="false" ht="15" hidden="false" customHeight="false" outlineLevel="0" collapsed="false">
      <c r="A50" s="0" t="s">
        <v>113</v>
      </c>
      <c r="B50" s="3" t="n">
        <v>12</v>
      </c>
    </row>
    <row r="51" customFormat="false" ht="15" hidden="false" customHeight="false" outlineLevel="0" collapsed="false">
      <c r="A51" s="0" t="s">
        <v>114</v>
      </c>
      <c r="B51" s="3" t="n">
        <v>-6</v>
      </c>
    </row>
    <row r="52" customFormat="false" ht="15" hidden="false" customHeight="false" outlineLevel="0" collapsed="false">
      <c r="A52" s="0" t="s">
        <v>115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0.5</v>
      </c>
      <c r="D5" s="4" t="n">
        <f aca="false">Assumptions!D13</f>
        <v>0.5</v>
      </c>
      <c r="E5" s="4" t="n">
        <f aca="false">Assumptions!E13</f>
        <v>1</v>
      </c>
      <c r="F5" s="4" t="n">
        <f aca="false">Assumptions!F13</f>
        <v>1</v>
      </c>
      <c r="G5" s="4" t="n">
        <f aca="false">Assumptions!G13</f>
        <v>1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82000</v>
      </c>
      <c r="C6" s="0" t="n">
        <f aca="false">B6*(1+C5/100)</f>
        <v>82410</v>
      </c>
      <c r="D6" s="0" t="n">
        <f aca="false">C6*(1+D5/100)</f>
        <v>82822.05</v>
      </c>
      <c r="E6" s="0" t="n">
        <f aca="false">D6*(1+E5/100)</f>
        <v>83650.2705</v>
      </c>
      <c r="F6" s="0" t="n">
        <f aca="false">E6*(1+F5/100)</f>
        <v>84486.773205</v>
      </c>
      <c r="G6" s="0" t="n">
        <f aca="false">F6*(1+G5/100)</f>
        <v>85331.64093705</v>
      </c>
      <c r="H6" s="0" t="n">
        <f aca="false">G6*(1+H5/100)</f>
        <v>86611.6155511057</v>
      </c>
      <c r="I6" s="0" t="n">
        <f aca="false">H6*(1+I5/100)</f>
        <v>87910.7897843723</v>
      </c>
      <c r="J6" s="0" t="n">
        <f aca="false">I6*(1+J5/100)</f>
        <v>89229.4516311379</v>
      </c>
      <c r="K6" s="0" t="n">
        <f aca="false">J6*(1+K5/100)</f>
        <v>90567.8934056049</v>
      </c>
      <c r="L6" s="0" t="n">
        <f aca="false">K6*(1+L5/100)</f>
        <v>91926.411806689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4.5</v>
      </c>
      <c r="D7" s="4" t="n">
        <f aca="false">Assumptions!D14</f>
        <v>4</v>
      </c>
      <c r="E7" s="4" t="n">
        <f aca="false">Assumptions!E14</f>
        <v>3.8</v>
      </c>
      <c r="F7" s="4" t="n">
        <f aca="false">Assumptions!F14</f>
        <v>3.8</v>
      </c>
      <c r="G7" s="4" t="n">
        <f aca="false">Assumptions!G14</f>
        <v>3.8</v>
      </c>
      <c r="H7" s="4" t="n">
        <f aca="false">Assumptions!H14</f>
        <v>3.9</v>
      </c>
      <c r="I7" s="4" t="n">
        <f aca="false">Assumptions!I14</f>
        <v>4</v>
      </c>
      <c r="J7" s="4" t="n">
        <f aca="false">Assumptions!J14</f>
        <v>4</v>
      </c>
      <c r="K7" s="4" t="n">
        <f aca="false">Assumptions!K14</f>
        <v>4</v>
      </c>
      <c r="L7" s="4" t="n">
        <f aca="false">Assumptions!L14</f>
        <v>4</v>
      </c>
    </row>
    <row r="8" customFormat="false" ht="15" hidden="false" customHeight="false" outlineLevel="0" collapsed="false">
      <c r="A8" s="0" t="s">
        <v>43</v>
      </c>
      <c r="C8" s="0" t="n">
        <f aca="false">C6*C7/100</f>
        <v>3708.45</v>
      </c>
      <c r="D8" s="0" t="n">
        <f aca="false">D6*D7/100</f>
        <v>3312.882</v>
      </c>
      <c r="E8" s="0" t="n">
        <f aca="false">E6*E7/100</f>
        <v>3178.710279</v>
      </c>
      <c r="F8" s="0" t="n">
        <f aca="false">F6*F7/100</f>
        <v>3210.49738179</v>
      </c>
      <c r="G8" s="0" t="n">
        <f aca="false">G6*G7/100</f>
        <v>3242.6023556079</v>
      </c>
      <c r="H8" s="0" t="n">
        <f aca="false">H6*H7/100</f>
        <v>3377.85300649312</v>
      </c>
      <c r="I8" s="0" t="n">
        <f aca="false">I6*I7/100</f>
        <v>3516.43159137489</v>
      </c>
      <c r="J8" s="0" t="n">
        <f aca="false">J6*J7/100</f>
        <v>3569.17806524551</v>
      </c>
      <c r="K8" s="0" t="n">
        <f aca="false">K6*K7/100</f>
        <v>3622.7157362242</v>
      </c>
      <c r="L8" s="0" t="n">
        <f aca="false">L6*L7/100</f>
        <v>3677.05647226756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0.1</v>
      </c>
      <c r="D9" s="4" t="n">
        <f aca="false">Assumptions!D15</f>
        <v>0.1</v>
      </c>
      <c r="E9" s="4" t="n">
        <f aca="false">Assumptions!E15</f>
        <v>0.1</v>
      </c>
      <c r="F9" s="4" t="n">
        <f aca="false">Assumptions!F15</f>
        <v>0.1</v>
      </c>
      <c r="G9" s="4" t="n">
        <f aca="false">Assumptions!G15</f>
        <v>0.1</v>
      </c>
      <c r="H9" s="4" t="n">
        <f aca="false">Assumptions!H15</f>
        <v>0.1</v>
      </c>
      <c r="I9" s="4" t="n">
        <f aca="false">Assumptions!I15</f>
        <v>0.1</v>
      </c>
      <c r="J9" s="4" t="n">
        <f aca="false">Assumptions!J15</f>
        <v>0.1</v>
      </c>
      <c r="K9" s="4" t="n">
        <f aca="false">Assumptions!K15</f>
        <v>0.1</v>
      </c>
      <c r="L9" s="4" t="n">
        <f aca="false">Assumptions!L15</f>
        <v>0.1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-82.41</v>
      </c>
      <c r="D10" s="0" t="n">
        <f aca="false">-D6*D9/100</f>
        <v>-82.82205</v>
      </c>
      <c r="E10" s="0" t="n">
        <f aca="false">-E6*E9/100</f>
        <v>-83.6502705</v>
      </c>
      <c r="F10" s="0" t="n">
        <f aca="false">-F6*F9/100</f>
        <v>-84.486773205</v>
      </c>
      <c r="G10" s="0" t="n">
        <f aca="false">-G6*G9/100</f>
        <v>-85.33164093705</v>
      </c>
      <c r="H10" s="0" t="n">
        <f aca="false">-H6*H9/100</f>
        <v>-86.6116155511057</v>
      </c>
      <c r="I10" s="0" t="n">
        <f aca="false">-I6*I9/100</f>
        <v>-87.9107897843723</v>
      </c>
      <c r="J10" s="0" t="n">
        <f aca="false">-J6*J9/100</f>
        <v>-89.2294516311379</v>
      </c>
      <c r="K10" s="0" t="n">
        <f aca="false">-K6*K9/100</f>
        <v>-90.5678934056049</v>
      </c>
      <c r="L10" s="0" t="n">
        <f aca="false">-L6*L9/100</f>
        <v>-91.926411806689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3626.04</v>
      </c>
      <c r="D11" s="0" t="n">
        <f aca="false">D8+D10+D24</f>
        <v>3230.05995</v>
      </c>
      <c r="E11" s="0" t="n">
        <f aca="false">E8+E10+E24</f>
        <v>3095.0600085</v>
      </c>
      <c r="F11" s="0" t="n">
        <f aca="false">F8+F10+F24</f>
        <v>3126.010608585</v>
      </c>
      <c r="G11" s="0" t="n">
        <f aca="false">G8+G10+G24</f>
        <v>3157.27071467085</v>
      </c>
      <c r="H11" s="0" t="n">
        <f aca="false">H8+H10+H24</f>
        <v>3291.24139094202</v>
      </c>
      <c r="I11" s="0" t="n">
        <f aca="false">I8+I10+I24</f>
        <v>3428.52080159052</v>
      </c>
      <c r="J11" s="0" t="n">
        <f aca="false">J8+J10+J24</f>
        <v>3479.94861361438</v>
      </c>
      <c r="K11" s="0" t="n">
        <f aca="false">K8+K10+K24</f>
        <v>3532.14784281859</v>
      </c>
      <c r="L11" s="0" t="n">
        <f aca="false">L8+L10+L24</f>
        <v>3585.13006046087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-1236.15</v>
      </c>
      <c r="D12" s="4" t="n">
        <f aca="false">-D6*Assumptions!D17/100</f>
        <v>-1242.33075</v>
      </c>
      <c r="E12" s="4" t="n">
        <f aca="false">-E6*Assumptions!E17/100</f>
        <v>-1254.7540575</v>
      </c>
      <c r="F12" s="4" t="n">
        <f aca="false">-F6*Assumptions!F17/100</f>
        <v>-1250.404243434</v>
      </c>
      <c r="G12" s="4" t="n">
        <f aca="false">-G6*Assumptions!G17/100</f>
        <v>-1237.30879358722</v>
      </c>
      <c r="H12" s="4" t="n">
        <f aca="false">-H6*Assumptions!H17/100</f>
        <v>-1255.86842549103</v>
      </c>
      <c r="I12" s="4" t="n">
        <f aca="false">-I6*Assumptions!I17/100</f>
        <v>-1274.7064518734</v>
      </c>
      <c r="J12" s="4" t="n">
        <f aca="false">-J6*Assumptions!J17/100</f>
        <v>-1293.8270486515</v>
      </c>
      <c r="K12" s="4" t="n">
        <f aca="false">-K6*Assumptions!K17/100</f>
        <v>-1313.23445438127</v>
      </c>
      <c r="L12" s="4" t="n">
        <f aca="false">-L6*Assumptions!L17/100</f>
        <v>-1332.93297119699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2389.89</v>
      </c>
      <c r="D13" s="0" t="n">
        <f aca="false">D11+D12</f>
        <v>1987.7292</v>
      </c>
      <c r="E13" s="0" t="n">
        <f aca="false">E11+E12</f>
        <v>1840.305951</v>
      </c>
      <c r="F13" s="0" t="n">
        <f aca="false">F11+F12</f>
        <v>1875.606365151</v>
      </c>
      <c r="G13" s="0" t="n">
        <f aca="false">G11+G12</f>
        <v>1919.96192108362</v>
      </c>
      <c r="H13" s="0" t="n">
        <f aca="false">H11+H12</f>
        <v>2035.37296545098</v>
      </c>
      <c r="I13" s="0" t="n">
        <f aca="false">I11+I12</f>
        <v>2153.81434971712</v>
      </c>
      <c r="J13" s="0" t="n">
        <f aca="false">J11+J12</f>
        <v>2186.12156496288</v>
      </c>
      <c r="K13" s="0" t="n">
        <f aca="false">K11+K12</f>
        <v>2218.91338843732</v>
      </c>
      <c r="L13" s="0" t="n">
        <f aca="false">L11+L12</f>
        <v>2252.19708926388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22</v>
      </c>
      <c r="D14" s="4" t="n">
        <f aca="false">Assumptions!D19</f>
        <v>23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1864.1142</v>
      </c>
      <c r="D15" s="0" t="n">
        <f aca="false">D13-MAX(0,D13)*D14/100</f>
        <v>1530.551484</v>
      </c>
      <c r="E15" s="0" t="n">
        <f aca="false">E13-MAX(0,E13)*E14/100</f>
        <v>1398.63252276</v>
      </c>
      <c r="F15" s="0" t="n">
        <f aca="false">F13-MAX(0,F13)*F14/100</f>
        <v>1425.46083751476</v>
      </c>
      <c r="G15" s="0" t="n">
        <f aca="false">G13-MAX(0,G13)*G14/100</f>
        <v>1459.17106002355</v>
      </c>
      <c r="H15" s="0" t="n">
        <f aca="false">H13-MAX(0,H13)*H14/100</f>
        <v>1546.88345374275</v>
      </c>
      <c r="I15" s="0" t="n">
        <f aca="false">I13-MAX(0,I13)*I14/100</f>
        <v>1636.89890578501</v>
      </c>
      <c r="J15" s="0" t="n">
        <f aca="false">J13-MAX(0,J13)*J14/100</f>
        <v>1661.45238937179</v>
      </c>
      <c r="K15" s="0" t="n">
        <f aca="false">K13-MAX(0,K13)*K14/100</f>
        <v>1686.37417521236</v>
      </c>
      <c r="L15" s="0" t="n">
        <f aca="false">L13-MAX(0,L13)*L14/100</f>
        <v>1711.66978784055</v>
      </c>
    </row>
    <row r="16" customFormat="false" ht="15" hidden="false" customHeight="false" outlineLevel="0" collapsed="false">
      <c r="A16" s="0" t="s">
        <v>126</v>
      </c>
      <c r="C16" s="0" t="n">
        <f aca="false">-C12</f>
        <v>1236.15</v>
      </c>
      <c r="D16" s="0" t="n">
        <f aca="false">-D12</f>
        <v>1242.33075</v>
      </c>
      <c r="E16" s="0" t="n">
        <f aca="false">-E12</f>
        <v>1254.7540575</v>
      </c>
      <c r="F16" s="0" t="n">
        <f aca="false">-F12</f>
        <v>1250.404243434</v>
      </c>
      <c r="G16" s="0" t="n">
        <f aca="false">-G12</f>
        <v>1237.30879358722</v>
      </c>
      <c r="H16" s="0" t="n">
        <f aca="false">-H12</f>
        <v>1255.86842549103</v>
      </c>
      <c r="I16" s="0" t="n">
        <f aca="false">-I12</f>
        <v>1274.7064518734</v>
      </c>
      <c r="J16" s="0" t="n">
        <f aca="false">-J12</f>
        <v>1293.8270486515</v>
      </c>
      <c r="K16" s="0" t="n">
        <f aca="false">-K12</f>
        <v>1313.23445438127</v>
      </c>
      <c r="L16" s="0" t="n">
        <f aca="false">-L12</f>
        <v>1332.93297119699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-1483.38</v>
      </c>
      <c r="D17" s="4" t="n">
        <f aca="false">-D6*Assumptions!D18/100</f>
        <v>-1449.385875</v>
      </c>
      <c r="E17" s="4" t="n">
        <f aca="false">-E6*Assumptions!E18/100</f>
        <v>-1422.0545985</v>
      </c>
      <c r="F17" s="4" t="n">
        <f aca="false">-F6*Assumptions!F18/100</f>
        <v>-1394.0317578825</v>
      </c>
      <c r="G17" s="4" t="n">
        <f aca="false">-G6*Assumptions!G18/100</f>
        <v>-1365.3062549928</v>
      </c>
      <c r="H17" s="4" t="n">
        <f aca="false">-H6*Assumptions!H18/100</f>
        <v>-1342.48004104214</v>
      </c>
      <c r="I17" s="4" t="n">
        <f aca="false">-I6*Assumptions!I18/100</f>
        <v>-1362.61724165777</v>
      </c>
      <c r="J17" s="4" t="n">
        <f aca="false">-J6*Assumptions!J18/100</f>
        <v>-1383.05650028264</v>
      </c>
      <c r="K17" s="4" t="n">
        <f aca="false">-K6*Assumptions!K18/100</f>
        <v>-1403.80234778688</v>
      </c>
      <c r="L17" s="4" t="n">
        <f aca="false">-L6*Assumptions!L18/100</f>
        <v>-1424.85938300368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-40.9999999999985</v>
      </c>
      <c r="D18" s="4" t="n">
        <f aca="false">(D6-C6)*Assumptions!$B$23/100</f>
        <v>-41.2049999999988</v>
      </c>
      <c r="E18" s="4" t="n">
        <f aca="false">(E6-D6)*Assumptions!$B$23/100</f>
        <v>-82.8220499999996</v>
      </c>
      <c r="F18" s="4" t="n">
        <f aca="false">(F6-E6)*Assumptions!$B$23/100</f>
        <v>-83.6502705000006</v>
      </c>
      <c r="G18" s="4" t="n">
        <f aca="false">(G6-F6)*Assumptions!$B$23/100</f>
        <v>-84.4867732049999</v>
      </c>
      <c r="H18" s="4" t="n">
        <f aca="false">(H6-G6)*Assumptions!$B$23/100</f>
        <v>-127.997461405574</v>
      </c>
      <c r="I18" s="4" t="n">
        <f aca="false">(I6-H6)*Assumptions!$B$23/100</f>
        <v>-129.917423326657</v>
      </c>
      <c r="J18" s="4" t="n">
        <f aca="false">(J6-I6)*Assumptions!$B$23/100</f>
        <v>-131.866184676558</v>
      </c>
      <c r="K18" s="4" t="n">
        <f aca="false">(K6-J6)*Assumptions!$B$23/100</f>
        <v>-133.844177446706</v>
      </c>
      <c r="L18" s="4" t="n">
        <f aca="false">(L6-K6)*Assumptions!$B$23/100</f>
        <v>-135.851840108406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1575.8842</v>
      </c>
      <c r="D19" s="0" t="n">
        <f aca="false">D15+D16+D17+D18</f>
        <v>1282.291359</v>
      </c>
      <c r="E19" s="0" t="n">
        <f aca="false">E15+E16+E17+E18</f>
        <v>1148.50993176</v>
      </c>
      <c r="F19" s="0" t="n">
        <f aca="false">F15+F16+F17+F18</f>
        <v>1198.18305256626</v>
      </c>
      <c r="G19" s="0" t="n">
        <f aca="false">G15+G16+G17+G18</f>
        <v>1246.68682541298</v>
      </c>
      <c r="H19" s="0" t="n">
        <f aca="false">H15+H16+H17+H18</f>
        <v>1332.27437678607</v>
      </c>
      <c r="I19" s="0" t="n">
        <f aca="false">I15+I16+I17+I18</f>
        <v>1419.07069267398</v>
      </c>
      <c r="J19" s="0" t="n">
        <f aca="false">J15+J16+J17+J18</f>
        <v>1440.35675306409</v>
      </c>
      <c r="K19" s="0" t="n">
        <f aca="false">K15+K16+K17+K18</f>
        <v>1461.96210436005</v>
      </c>
      <c r="L19" s="0" t="n">
        <f aca="false">L15+L16+L17+L18</f>
        <v>1483.89153592545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1439.16365296804</v>
      </c>
      <c r="D21" s="0" t="n">
        <f aca="false">D19*D20</f>
        <v>1069.4450566085</v>
      </c>
      <c r="E21" s="0" t="n">
        <f aca="false">E19*E20</f>
        <v>874.767012855479</v>
      </c>
      <c r="F21" s="0" t="n">
        <f aca="false">F19*F20</f>
        <v>833.425330252844</v>
      </c>
      <c r="G21" s="0" t="n">
        <f aca="false">G19*G20</f>
        <v>791.929961444743</v>
      </c>
      <c r="H21" s="0" t="n">
        <f aca="false">H19*H20</f>
        <v>772.874467470923</v>
      </c>
      <c r="I21" s="0" t="n">
        <f aca="false">I19*I20</f>
        <v>751.804977358443</v>
      </c>
      <c r="J21" s="0" t="n">
        <f aca="false">J19*J20</f>
        <v>696.878586318557</v>
      </c>
      <c r="K21" s="0" t="n">
        <f aca="false">K19*K20</f>
        <v>645.965082295283</v>
      </c>
      <c r="L21" s="0" t="n">
        <f aca="false">L19*L20</f>
        <v>598.771286328505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8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8475.02541390131</v>
      </c>
    </row>
    <row r="31" customFormat="false" ht="15" hidden="false" customHeight="false" outlineLevel="0" collapsed="false">
      <c r="A31" s="0" t="s">
        <v>135</v>
      </c>
      <c r="B31" s="0" t="n">
        <f aca="false">L19</f>
        <v>1483.89153592545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18826.8738620542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11871.1322874036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11871.1322874036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4790.17029062804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13265.1957045294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6721.19570452935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13.8581354732564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-0.830750665934827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538.120155114995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470.625193369402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15.9380227897191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11156.6659923284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6.13697319462149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2</v>
      </c>
      <c r="D5" s="4" t="n">
        <f aca="false">Assumptions!D27</f>
        <v>2</v>
      </c>
      <c r="E5" s="4" t="n">
        <f aca="false">Assumptions!E27</f>
        <v>2</v>
      </c>
      <c r="F5" s="4" t="n">
        <f aca="false">Assumptions!F27</f>
        <v>2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82000</v>
      </c>
      <c r="C6" s="0" t="n">
        <f aca="false">B6*(1+C5/100)</f>
        <v>83640</v>
      </c>
      <c r="D6" s="0" t="n">
        <f aca="false">C6*(1+D5/100)</f>
        <v>85312.8</v>
      </c>
      <c r="E6" s="0" t="n">
        <f aca="false">D6*(1+E5/100)</f>
        <v>87019.056</v>
      </c>
      <c r="F6" s="0" t="n">
        <f aca="false">E6*(1+F5/100)</f>
        <v>88759.43712</v>
      </c>
      <c r="G6" s="0" t="n">
        <f aca="false">F6*(1+G5/100)</f>
        <v>90534.6258624</v>
      </c>
      <c r="H6" s="0" t="n">
        <f aca="false">G6*(1+H5/100)</f>
        <v>92345.318379648</v>
      </c>
      <c r="I6" s="0" t="n">
        <f aca="false">H6*(1+I5/100)</f>
        <v>94192.224747241</v>
      </c>
      <c r="J6" s="0" t="n">
        <f aca="false">I6*(1+J5/100)</f>
        <v>96076.0692421858</v>
      </c>
      <c r="K6" s="0" t="n">
        <f aca="false">J6*(1+K5/100)</f>
        <v>97997.5906270295</v>
      </c>
      <c r="L6" s="0" t="n">
        <f aca="false">K6*(1+L5/100)</f>
        <v>99957.5424395701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5.7</v>
      </c>
      <c r="D7" s="4" t="n">
        <f aca="false">Assumptions!D28</f>
        <v>5.4</v>
      </c>
      <c r="E7" s="4" t="n">
        <f aca="false">Assumptions!E28</f>
        <v>5.2</v>
      </c>
      <c r="F7" s="4" t="n">
        <f aca="false">Assumptions!F28</f>
        <v>5.1</v>
      </c>
      <c r="G7" s="4" t="n">
        <f aca="false">Assumptions!G28</f>
        <v>5</v>
      </c>
      <c r="H7" s="4" t="n">
        <f aca="false">Assumptions!H28</f>
        <v>5</v>
      </c>
      <c r="I7" s="4" t="n">
        <f aca="false">Assumptions!I28</f>
        <v>5</v>
      </c>
      <c r="J7" s="4" t="n">
        <f aca="false">Assumptions!J28</f>
        <v>5</v>
      </c>
      <c r="K7" s="4" t="n">
        <f aca="false">Assumptions!K28</f>
        <v>5</v>
      </c>
      <c r="L7" s="4" t="n">
        <f aca="false">Assumptions!L28</f>
        <v>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4767.48</v>
      </c>
      <c r="D8" s="0" t="n">
        <f aca="false">D6*D7/100</f>
        <v>4606.8912</v>
      </c>
      <c r="E8" s="0" t="n">
        <f aca="false">E6*E7/100</f>
        <v>4524.990912</v>
      </c>
      <c r="F8" s="0" t="n">
        <f aca="false">F6*F7/100</f>
        <v>4526.73129312</v>
      </c>
      <c r="G8" s="0" t="n">
        <f aca="false">G6*G7/100</f>
        <v>4526.73129312</v>
      </c>
      <c r="H8" s="0" t="n">
        <f aca="false">H6*H7/100</f>
        <v>4617.2659189824</v>
      </c>
      <c r="I8" s="0" t="n">
        <f aca="false">I6*I7/100</f>
        <v>4709.61123736205</v>
      </c>
      <c r="J8" s="0" t="n">
        <f aca="false">J6*J7/100</f>
        <v>4803.80346210929</v>
      </c>
      <c r="K8" s="0" t="n">
        <f aca="false">K6*K7/100</f>
        <v>4899.87953135148</v>
      </c>
      <c r="L8" s="0" t="n">
        <f aca="false">L6*L7/100</f>
        <v>4997.87712197851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0.1</v>
      </c>
      <c r="D9" s="4" t="n">
        <f aca="false">Assumptions!D29</f>
        <v>0.1</v>
      </c>
      <c r="E9" s="4" t="n">
        <f aca="false">Assumptions!E29</f>
        <v>0.1</v>
      </c>
      <c r="F9" s="4" t="n">
        <f aca="false">Assumptions!F29</f>
        <v>0.1</v>
      </c>
      <c r="G9" s="4" t="n">
        <f aca="false">Assumptions!G29</f>
        <v>0.1</v>
      </c>
      <c r="H9" s="4" t="n">
        <f aca="false">Assumptions!H29</f>
        <v>0.1</v>
      </c>
      <c r="I9" s="4" t="n">
        <f aca="false">Assumptions!I29</f>
        <v>0.1</v>
      </c>
      <c r="J9" s="4" t="n">
        <f aca="false">Assumptions!J29</f>
        <v>0.1</v>
      </c>
      <c r="K9" s="4" t="n">
        <f aca="false">Assumptions!K29</f>
        <v>0.1</v>
      </c>
      <c r="L9" s="4" t="n">
        <f aca="false">Assumptions!L29</f>
        <v>0.1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-83.64</v>
      </c>
      <c r="D10" s="0" t="n">
        <f aca="false">-D6*D9/100</f>
        <v>-85.3128</v>
      </c>
      <c r="E10" s="0" t="n">
        <f aca="false">-E6*E9/100</f>
        <v>-87.019056</v>
      </c>
      <c r="F10" s="0" t="n">
        <f aca="false">-F6*F9/100</f>
        <v>-88.75943712</v>
      </c>
      <c r="G10" s="0" t="n">
        <f aca="false">-G6*G9/100</f>
        <v>-90.5346258624</v>
      </c>
      <c r="H10" s="0" t="n">
        <f aca="false">-H6*H9/100</f>
        <v>-92.345318379648</v>
      </c>
      <c r="I10" s="0" t="n">
        <f aca="false">-I6*I9/100</f>
        <v>-94.192224747241</v>
      </c>
      <c r="J10" s="0" t="n">
        <f aca="false">-J6*J9/100</f>
        <v>-96.0760692421858</v>
      </c>
      <c r="K10" s="0" t="n">
        <f aca="false">-K6*K9/100</f>
        <v>-97.9975906270295</v>
      </c>
      <c r="L10" s="0" t="n">
        <f aca="false">-L6*L9/100</f>
        <v>-99.9575424395701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4683.84</v>
      </c>
      <c r="D11" s="0" t="n">
        <f aca="false">D8+D10+D24</f>
        <v>4521.5784</v>
      </c>
      <c r="E11" s="0" t="n">
        <f aca="false">E8+E10+E24</f>
        <v>4437.971856</v>
      </c>
      <c r="F11" s="0" t="n">
        <f aca="false">F8+F10+F24</f>
        <v>4437.971856</v>
      </c>
      <c r="G11" s="0" t="n">
        <f aca="false">G8+G10+G24</f>
        <v>4436.1966672576</v>
      </c>
      <c r="H11" s="0" t="n">
        <f aca="false">H8+H10+H24</f>
        <v>4524.92060060275</v>
      </c>
      <c r="I11" s="0" t="n">
        <f aca="false">I8+I10+I24</f>
        <v>4615.41901261481</v>
      </c>
      <c r="J11" s="0" t="n">
        <f aca="false">J8+J10+J24</f>
        <v>4707.72739286711</v>
      </c>
      <c r="K11" s="0" t="n">
        <f aca="false">K8+K10+K24</f>
        <v>4801.88194072445</v>
      </c>
      <c r="L11" s="0" t="n">
        <f aca="false">L8+L10+L24</f>
        <v>4897.91957953894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-1212.78</v>
      </c>
      <c r="D12" s="4" t="n">
        <f aca="false">-D6*Assumptions!D31/100</f>
        <v>-1237.0356</v>
      </c>
      <c r="E12" s="4" t="n">
        <f aca="false">-E6*Assumptions!E31/100</f>
        <v>-1244.3725008</v>
      </c>
      <c r="F12" s="4" t="n">
        <f aca="false">-F6*Assumptions!F31/100</f>
        <v>-1260.384007104</v>
      </c>
      <c r="G12" s="4" t="n">
        <f aca="false">-G6*Assumptions!G31/100</f>
        <v>-1267.4847620736</v>
      </c>
      <c r="H12" s="4" t="n">
        <f aca="false">-H6*Assumptions!H31/100</f>
        <v>-1292.83445731507</v>
      </c>
      <c r="I12" s="4" t="n">
        <f aca="false">-I6*Assumptions!I31/100</f>
        <v>-1318.69114646137</v>
      </c>
      <c r="J12" s="4" t="n">
        <f aca="false">-J6*Assumptions!J31/100</f>
        <v>-1345.0649693906</v>
      </c>
      <c r="K12" s="4" t="n">
        <f aca="false">-K6*Assumptions!K31/100</f>
        <v>-1371.96626877841</v>
      </c>
      <c r="L12" s="4" t="n">
        <f aca="false">-L6*Assumptions!L31/100</f>
        <v>-1399.40559415398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3471.06</v>
      </c>
      <c r="D13" s="0" t="n">
        <f aca="false">D11+D12</f>
        <v>3284.5428</v>
      </c>
      <c r="E13" s="0" t="n">
        <f aca="false">E11+E12</f>
        <v>3193.5993552</v>
      </c>
      <c r="F13" s="0" t="n">
        <f aca="false">F11+F12</f>
        <v>3177.587848896</v>
      </c>
      <c r="G13" s="0" t="n">
        <f aca="false">G11+G12</f>
        <v>3168.711905184</v>
      </c>
      <c r="H13" s="0" t="n">
        <f aca="false">H11+H12</f>
        <v>3232.08614328768</v>
      </c>
      <c r="I13" s="0" t="n">
        <f aca="false">I11+I12</f>
        <v>3296.72786615343</v>
      </c>
      <c r="J13" s="0" t="n">
        <f aca="false">J11+J12</f>
        <v>3362.6624234765</v>
      </c>
      <c r="K13" s="0" t="n">
        <f aca="false">K11+K12</f>
        <v>3429.91567194603</v>
      </c>
      <c r="L13" s="0" t="n">
        <f aca="false">L11+L12</f>
        <v>3498.51398538495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20</v>
      </c>
      <c r="D14" s="4" t="n">
        <f aca="false">Assumptions!D33</f>
        <v>21</v>
      </c>
      <c r="E14" s="4" t="n">
        <f aca="false">Assumptions!E33</f>
        <v>22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2776.848</v>
      </c>
      <c r="D15" s="0" t="n">
        <f aca="false">D13-MAX(0,D13)*D14/100</f>
        <v>2594.788812</v>
      </c>
      <c r="E15" s="0" t="n">
        <f aca="false">E13-MAX(0,E13)*E14/100</f>
        <v>2491.007497056</v>
      </c>
      <c r="F15" s="0" t="n">
        <f aca="false">F13-MAX(0,F13)*F14/100</f>
        <v>2446.74264364992</v>
      </c>
      <c r="G15" s="0" t="n">
        <f aca="false">G13-MAX(0,G13)*G14/100</f>
        <v>2439.90816699168</v>
      </c>
      <c r="H15" s="0" t="n">
        <f aca="false">H13-MAX(0,H13)*H14/100</f>
        <v>2488.70633033151</v>
      </c>
      <c r="I15" s="0" t="n">
        <f aca="false">I13-MAX(0,I13)*I14/100</f>
        <v>2538.48045693814</v>
      </c>
      <c r="J15" s="0" t="n">
        <f aca="false">J13-MAX(0,J13)*J14/100</f>
        <v>2589.25006607691</v>
      </c>
      <c r="K15" s="0" t="n">
        <f aca="false">K13-MAX(0,K13)*K14/100</f>
        <v>2641.03506739845</v>
      </c>
      <c r="L15" s="0" t="n">
        <f aca="false">L13-MAX(0,L13)*L14/100</f>
        <v>2693.85576874641</v>
      </c>
    </row>
    <row r="16" customFormat="false" ht="15" hidden="false" customHeight="false" outlineLevel="0" collapsed="false">
      <c r="A16" s="0" t="s">
        <v>126</v>
      </c>
      <c r="C16" s="0" t="n">
        <f aca="false">-C12</f>
        <v>1212.78</v>
      </c>
      <c r="D16" s="0" t="n">
        <f aca="false">-D12</f>
        <v>1237.0356</v>
      </c>
      <c r="E16" s="0" t="n">
        <f aca="false">-E12</f>
        <v>1244.3725008</v>
      </c>
      <c r="F16" s="0" t="n">
        <f aca="false">-F12</f>
        <v>1260.384007104</v>
      </c>
      <c r="G16" s="0" t="n">
        <f aca="false">-G12</f>
        <v>1267.4847620736</v>
      </c>
      <c r="H16" s="0" t="n">
        <f aca="false">-H12</f>
        <v>1292.83445731507</v>
      </c>
      <c r="I16" s="0" t="n">
        <f aca="false">-I12</f>
        <v>1318.69114646137</v>
      </c>
      <c r="J16" s="0" t="n">
        <f aca="false">-J12</f>
        <v>1345.0649693906</v>
      </c>
      <c r="K16" s="0" t="n">
        <f aca="false">-K12</f>
        <v>1371.96626877841</v>
      </c>
      <c r="L16" s="0" t="n">
        <f aca="false">-L12</f>
        <v>1399.40559415398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-1463.7</v>
      </c>
      <c r="D17" s="4" t="n">
        <f aca="false">-D6*Assumptions!D32/100</f>
        <v>-1450.3176</v>
      </c>
      <c r="E17" s="4" t="n">
        <f aca="false">-E6*Assumptions!E32/100</f>
        <v>-1435.814424</v>
      </c>
      <c r="F17" s="4" t="n">
        <f aca="false">-F6*Assumptions!F32/100</f>
        <v>-1420.15099392</v>
      </c>
      <c r="G17" s="4" t="n">
        <f aca="false">-G6*Assumptions!G32/100</f>
        <v>-1403.2867008672</v>
      </c>
      <c r="H17" s="4" t="n">
        <f aca="false">-H6*Assumptions!H32/100</f>
        <v>-1385.17977569472</v>
      </c>
      <c r="I17" s="4" t="n">
        <f aca="false">-I6*Assumptions!I32/100</f>
        <v>-1412.88337120861</v>
      </c>
      <c r="J17" s="4" t="n">
        <f aca="false">-J6*Assumptions!J32/100</f>
        <v>-1441.14103863279</v>
      </c>
      <c r="K17" s="4" t="n">
        <f aca="false">-K6*Assumptions!K32/100</f>
        <v>-1469.96385940544</v>
      </c>
      <c r="L17" s="4" t="n">
        <f aca="false">-L6*Assumptions!L32/100</f>
        <v>-1499.36313659355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-131.2</v>
      </c>
      <c r="D18" s="4" t="n">
        <f aca="false">(D6-C6)*Assumptions!$B$37/100</f>
        <v>-133.824</v>
      </c>
      <c r="E18" s="4" t="n">
        <f aca="false">(E6-D6)*Assumptions!$B$37/100</f>
        <v>-136.500480000001</v>
      </c>
      <c r="F18" s="4" t="n">
        <f aca="false">(F6-E6)*Assumptions!$B$37/100</f>
        <v>-139.2304896</v>
      </c>
      <c r="G18" s="4" t="n">
        <f aca="false">(G6-F6)*Assumptions!$B$37/100</f>
        <v>-142.015099392</v>
      </c>
      <c r="H18" s="4" t="n">
        <f aca="false">(H6-G6)*Assumptions!$B$37/100</f>
        <v>-144.85540137984</v>
      </c>
      <c r="I18" s="4" t="n">
        <f aca="false">(I6-H6)*Assumptions!$B$37/100</f>
        <v>-147.752509407437</v>
      </c>
      <c r="J18" s="4" t="n">
        <f aca="false">(J6-I6)*Assumptions!$B$37/100</f>
        <v>-150.707559595585</v>
      </c>
      <c r="K18" s="4" t="n">
        <f aca="false">(K6-J6)*Assumptions!$B$37/100</f>
        <v>-153.721710787497</v>
      </c>
      <c r="L18" s="4" t="n">
        <f aca="false">(L6-K6)*Assumptions!$B$37/100</f>
        <v>-156.796145003247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2394.728</v>
      </c>
      <c r="D19" s="0" t="n">
        <f aca="false">D15+D16+D17+D18</f>
        <v>2247.682812</v>
      </c>
      <c r="E19" s="0" t="n">
        <f aca="false">E15+E16+E17+E18</f>
        <v>2163.065093856</v>
      </c>
      <c r="F19" s="0" t="n">
        <f aca="false">F15+F16+F17+F18</f>
        <v>2147.74516723392</v>
      </c>
      <c r="G19" s="0" t="n">
        <f aca="false">G15+G16+G17+G18</f>
        <v>2162.09112880608</v>
      </c>
      <c r="H19" s="0" t="n">
        <f aca="false">H15+H16+H17+H18</f>
        <v>2251.50561057203</v>
      </c>
      <c r="I19" s="0" t="n">
        <f aca="false">I15+I16+I17+I18</f>
        <v>2296.53572278347</v>
      </c>
      <c r="J19" s="0" t="n">
        <f aca="false">J15+J16+J17+J18</f>
        <v>2342.46643723914</v>
      </c>
      <c r="K19" s="0" t="n">
        <f aca="false">K15+K16+K17+K18</f>
        <v>2389.31576598392</v>
      </c>
      <c r="L19" s="0" t="n">
        <f aca="false">L15+L16+L17+L18</f>
        <v>2437.1020813036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0.919963201471941</v>
      </c>
      <c r="D20" s="0" t="n">
        <f aca="false">1/(1+$B$27/100)^D4</f>
        <v>0.846332292062503</v>
      </c>
      <c r="E20" s="0" t="n">
        <f aca="false">1/(1+$B$27/100)^E4</f>
        <v>0.778594564914907</v>
      </c>
      <c r="F20" s="0" t="n">
        <f aca="false">1/(1+$B$27/100)^F4</f>
        <v>0.716278348587771</v>
      </c>
      <c r="G20" s="0" t="n">
        <f aca="false">1/(1+$B$27/100)^G4</f>
        <v>0.658949722711841</v>
      </c>
      <c r="H20" s="0" t="n">
        <f aca="false">1/(1+$B$27/100)^H4</f>
        <v>0.606209496515033</v>
      </c>
      <c r="I20" s="0" t="n">
        <f aca="false">1/(1+$B$27/100)^I4</f>
        <v>0.557690429176663</v>
      </c>
      <c r="J20" s="0" t="n">
        <f aca="false">1/(1+$B$27/100)^J4</f>
        <v>0.513054672655624</v>
      </c>
      <c r="K20" s="0" t="n">
        <f aca="false">1/(1+$B$27/100)^K4</f>
        <v>0.471991419186406</v>
      </c>
      <c r="L20" s="0" t="n">
        <f aca="false">1/(1+$B$27/100)^L4</f>
        <v>0.434214737062011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2203.0616375345</v>
      </c>
      <c r="D21" s="0" t="n">
        <f aca="false">D19*D20</f>
        <v>1902.28654610945</v>
      </c>
      <c r="E21" s="0" t="n">
        <f aca="false">E19*E20</f>
        <v>1684.15072563343</v>
      </c>
      <c r="F21" s="0" t="n">
        <f aca="false">F19*F20</f>
        <v>1538.38336157368</v>
      </c>
      <c r="G21" s="0" t="n">
        <f aca="false">G19*G20</f>
        <v>1424.7093498045</v>
      </c>
      <c r="H21" s="0" t="n">
        <f aca="false">H19*H20</f>
        <v>1364.88408258564</v>
      </c>
      <c r="I21" s="0" t="n">
        <f aca="false">I19*I20</f>
        <v>1280.75599285865</v>
      </c>
      <c r="J21" s="0" t="n">
        <f aca="false">J19*J20</f>
        <v>1201.81335116451</v>
      </c>
      <c r="K21" s="0" t="n">
        <f aca="false">K19*K20</f>
        <v>1127.73653927121</v>
      </c>
      <c r="L21" s="0" t="n">
        <f aca="false">L19*L20</f>
        <v>1058.22563942652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8.7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10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14786.0072259621</v>
      </c>
    </row>
    <row r="31" customFormat="false" ht="15" hidden="false" customHeight="false" outlineLevel="0" collapsed="false">
      <c r="A31" s="0" t="s">
        <v>135</v>
      </c>
      <c r="B31" s="0" t="n">
        <f aca="false">L19</f>
        <v>2437.1020813036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37102.1510885025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24371.020813036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24371.020813036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10582.2563942652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25368.2636202273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18824.2636202273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38.812914680881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-0.525978081572044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587.595540777343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660.762668177881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41.3868491323351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19121.8778686898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19.7399081592285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3.5</v>
      </c>
      <c r="D5" s="4" t="n">
        <f aca="false">Assumptions!D41</f>
        <v>3</v>
      </c>
      <c r="E5" s="4" t="n">
        <f aca="false">Assumptions!E41</f>
        <v>2.5</v>
      </c>
      <c r="F5" s="4" t="n">
        <f aca="false">Assumptions!F41</f>
        <v>2.5</v>
      </c>
      <c r="G5" s="4" t="n">
        <f aca="false">Assumptions!G41</f>
        <v>2.5</v>
      </c>
      <c r="H5" s="4" t="n">
        <f aca="false">Assumptions!H41</f>
        <v>2</v>
      </c>
      <c r="I5" s="4" t="n">
        <f aca="false">Assumptions!I41</f>
        <v>2</v>
      </c>
      <c r="J5" s="4" t="n">
        <f aca="false">Assumptions!J41</f>
        <v>2</v>
      </c>
      <c r="K5" s="4" t="n">
        <f aca="false">Assumptions!K41</f>
        <v>2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37</v>
      </c>
      <c r="B6" s="3" t="n">
        <v>82000</v>
      </c>
      <c r="C6" s="0" t="n">
        <f aca="false">B6*(1+C5/100)</f>
        <v>84870</v>
      </c>
      <c r="D6" s="0" t="n">
        <f aca="false">C6*(1+D5/100)</f>
        <v>87416.1</v>
      </c>
      <c r="E6" s="0" t="n">
        <f aca="false">D6*(1+E5/100)</f>
        <v>89601.5025</v>
      </c>
      <c r="F6" s="0" t="n">
        <f aca="false">E6*(1+F5/100)</f>
        <v>91841.5400625</v>
      </c>
      <c r="G6" s="0" t="n">
        <f aca="false">F6*(1+G5/100)</f>
        <v>94137.5785640625</v>
      </c>
      <c r="H6" s="0" t="n">
        <f aca="false">G6*(1+H5/100)</f>
        <v>96020.3301353437</v>
      </c>
      <c r="I6" s="0" t="n">
        <f aca="false">H6*(1+I5/100)</f>
        <v>97940.7367380506</v>
      </c>
      <c r="J6" s="0" t="n">
        <f aca="false">I6*(1+J5/100)</f>
        <v>99899.5514728116</v>
      </c>
      <c r="K6" s="0" t="n">
        <f aca="false">J6*(1+K5/100)</f>
        <v>101897.542502268</v>
      </c>
      <c r="L6" s="0" t="n">
        <f aca="false">K6*(1+L5/100)</f>
        <v>103935.493352313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6.5</v>
      </c>
      <c r="D7" s="4" t="n">
        <f aca="false">Assumptions!D42</f>
        <v>6.3</v>
      </c>
      <c r="E7" s="4" t="n">
        <f aca="false">Assumptions!E42</f>
        <v>6.1</v>
      </c>
      <c r="F7" s="4" t="n">
        <f aca="false">Assumptions!F42</f>
        <v>6</v>
      </c>
      <c r="G7" s="4" t="n">
        <f aca="false">Assumptions!G42</f>
        <v>5.9</v>
      </c>
      <c r="H7" s="4" t="n">
        <f aca="false">Assumptions!H42</f>
        <v>5.8</v>
      </c>
      <c r="I7" s="4" t="n">
        <f aca="false">Assumptions!I42</f>
        <v>5.8</v>
      </c>
      <c r="J7" s="4" t="n">
        <f aca="false">Assumptions!J42</f>
        <v>5.8</v>
      </c>
      <c r="K7" s="4" t="n">
        <f aca="false">Assumptions!K42</f>
        <v>5.8</v>
      </c>
      <c r="L7" s="4" t="n">
        <f aca="false">Assumptions!L42</f>
        <v>5.8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5516.55</v>
      </c>
      <c r="D8" s="0" t="n">
        <f aca="false">D6*D7/100</f>
        <v>5507.2143</v>
      </c>
      <c r="E8" s="0" t="n">
        <f aca="false">E6*E7/100</f>
        <v>5465.6916525</v>
      </c>
      <c r="F8" s="0" t="n">
        <f aca="false">F6*F7/100</f>
        <v>5510.49240375</v>
      </c>
      <c r="G8" s="0" t="n">
        <f aca="false">G6*G7/100</f>
        <v>5554.11713527969</v>
      </c>
      <c r="H8" s="0" t="n">
        <f aca="false">H6*H7/100</f>
        <v>5569.17914784994</v>
      </c>
      <c r="I8" s="0" t="n">
        <f aca="false">I6*I7/100</f>
        <v>5680.56273080693</v>
      </c>
      <c r="J8" s="0" t="n">
        <f aca="false">J6*J7/100</f>
        <v>5794.17398542307</v>
      </c>
      <c r="K8" s="0" t="n">
        <f aca="false">K6*K7/100</f>
        <v>5910.05746513154</v>
      </c>
      <c r="L8" s="0" t="n">
        <f aca="false">L6*L7/100</f>
        <v>6028.25861443417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0.1</v>
      </c>
      <c r="D9" s="4" t="n">
        <f aca="false">Assumptions!D43</f>
        <v>0.1</v>
      </c>
      <c r="E9" s="4" t="n">
        <f aca="false">Assumptions!E43</f>
        <v>0.1</v>
      </c>
      <c r="F9" s="4" t="n">
        <f aca="false">Assumptions!F43</f>
        <v>0.1</v>
      </c>
      <c r="G9" s="4" t="n">
        <f aca="false">Assumptions!G43</f>
        <v>0.1</v>
      </c>
      <c r="H9" s="4" t="n">
        <f aca="false">Assumptions!H43</f>
        <v>0.1</v>
      </c>
      <c r="I9" s="4" t="n">
        <f aca="false">Assumptions!I43</f>
        <v>0.1</v>
      </c>
      <c r="J9" s="4" t="n">
        <f aca="false">Assumptions!J43</f>
        <v>0.1</v>
      </c>
      <c r="K9" s="4" t="n">
        <f aca="false">Assumptions!K43</f>
        <v>0.1</v>
      </c>
      <c r="L9" s="4" t="n">
        <f aca="false">Assumptions!L43</f>
        <v>0.1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-84.87</v>
      </c>
      <c r="D10" s="0" t="n">
        <f aca="false">-D6*D9/100</f>
        <v>-87.4161</v>
      </c>
      <c r="E10" s="0" t="n">
        <f aca="false">-E6*E9/100</f>
        <v>-89.6015025</v>
      </c>
      <c r="F10" s="0" t="n">
        <f aca="false">-F6*F9/100</f>
        <v>-91.8415400625</v>
      </c>
      <c r="G10" s="0" t="n">
        <f aca="false">-G6*G9/100</f>
        <v>-94.1375785640625</v>
      </c>
      <c r="H10" s="0" t="n">
        <f aca="false">-H6*H9/100</f>
        <v>-96.0203301353437</v>
      </c>
      <c r="I10" s="0" t="n">
        <f aca="false">-I6*I9/100</f>
        <v>-97.9407367380506</v>
      </c>
      <c r="J10" s="0" t="n">
        <f aca="false">-J6*J9/100</f>
        <v>-99.8995514728116</v>
      </c>
      <c r="K10" s="0" t="n">
        <f aca="false">-K6*K9/100</f>
        <v>-101.897542502268</v>
      </c>
      <c r="L10" s="0" t="n">
        <f aca="false">-L6*L9/100</f>
        <v>-103.935493352313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5431.68</v>
      </c>
      <c r="D11" s="0" t="n">
        <f aca="false">D8+D10+D24</f>
        <v>5419.7982</v>
      </c>
      <c r="E11" s="0" t="n">
        <f aca="false">E8+E10+E24</f>
        <v>5376.09015</v>
      </c>
      <c r="F11" s="0" t="n">
        <f aca="false">F8+F10+F24</f>
        <v>5418.6508636875</v>
      </c>
      <c r="G11" s="0" t="n">
        <f aca="false">G8+G10+G24</f>
        <v>5459.97955671562</v>
      </c>
      <c r="H11" s="0" t="n">
        <f aca="false">H8+H10+H24</f>
        <v>5473.15881771459</v>
      </c>
      <c r="I11" s="0" t="n">
        <f aca="false">I8+I10+I24</f>
        <v>5582.62199406888</v>
      </c>
      <c r="J11" s="0" t="n">
        <f aca="false">J8+J10+J24</f>
        <v>5694.27443395026</v>
      </c>
      <c r="K11" s="0" t="n">
        <f aca="false">K8+K10+K24</f>
        <v>5808.15992262927</v>
      </c>
      <c r="L11" s="0" t="n">
        <f aca="false">L8+L10+L24</f>
        <v>5924.32312108185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-1230.615</v>
      </c>
      <c r="D12" s="4" t="n">
        <f aca="false">-D6*Assumptions!D45/100</f>
        <v>-1250.05023</v>
      </c>
      <c r="E12" s="4" t="n">
        <f aca="false">-E6*Assumptions!E45/100</f>
        <v>-1272.3413355</v>
      </c>
      <c r="F12" s="4" t="n">
        <f aca="false">-F6*Assumptions!F45/100</f>
        <v>-1285.781560875</v>
      </c>
      <c r="G12" s="4" t="n">
        <f aca="false">-G6*Assumptions!G45/100</f>
        <v>-1299.09858418406</v>
      </c>
      <c r="H12" s="4" t="n">
        <f aca="false">-H6*Assumptions!H45/100</f>
        <v>-1325.08055586774</v>
      </c>
      <c r="I12" s="4" t="n">
        <f aca="false">-I6*Assumptions!I45/100</f>
        <v>-1351.5821669851</v>
      </c>
      <c r="J12" s="4" t="n">
        <f aca="false">-J6*Assumptions!J45/100</f>
        <v>-1378.6138103248</v>
      </c>
      <c r="K12" s="4" t="n">
        <f aca="false">-K6*Assumptions!K45/100</f>
        <v>-1406.1860865313</v>
      </c>
      <c r="L12" s="4" t="n">
        <f aca="false">-L6*Assumptions!L45/100</f>
        <v>-1434.30980826192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4201.065</v>
      </c>
      <c r="D13" s="0" t="n">
        <f aca="false">D11+D12</f>
        <v>4169.74797</v>
      </c>
      <c r="E13" s="0" t="n">
        <f aca="false">E11+E12</f>
        <v>4103.7488145</v>
      </c>
      <c r="F13" s="0" t="n">
        <f aca="false">F11+F12</f>
        <v>4132.8693028125</v>
      </c>
      <c r="G13" s="0" t="n">
        <f aca="false">G11+G12</f>
        <v>4160.88097253156</v>
      </c>
      <c r="H13" s="0" t="n">
        <f aca="false">H11+H12</f>
        <v>4148.07826184685</v>
      </c>
      <c r="I13" s="0" t="n">
        <f aca="false">I11+I12</f>
        <v>4231.03982708379</v>
      </c>
      <c r="J13" s="0" t="n">
        <f aca="false">J11+J12</f>
        <v>4315.66062362546</v>
      </c>
      <c r="K13" s="0" t="n">
        <f aca="false">K11+K12</f>
        <v>4401.97383609797</v>
      </c>
      <c r="L13" s="0" t="n">
        <f aca="false">L11+L12</f>
        <v>4490.01331281993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18</v>
      </c>
      <c r="D14" s="4" t="n">
        <f aca="false">Assumptions!D47</f>
        <v>19</v>
      </c>
      <c r="E14" s="4" t="n">
        <f aca="false">Assumptions!E47</f>
        <v>20</v>
      </c>
      <c r="F14" s="4" t="n">
        <f aca="false">Assumptions!F47</f>
        <v>21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3444.8733</v>
      </c>
      <c r="D15" s="0" t="n">
        <f aca="false">D13-MAX(0,D13)*D14/100</f>
        <v>3377.4958557</v>
      </c>
      <c r="E15" s="0" t="n">
        <f aca="false">E13-MAX(0,E13)*E14/100</f>
        <v>3282.9990516</v>
      </c>
      <c r="F15" s="0" t="n">
        <f aca="false">F13-MAX(0,F13)*F14/100</f>
        <v>3264.96674922188</v>
      </c>
      <c r="G15" s="0" t="n">
        <f aca="false">G13-MAX(0,G13)*G14/100</f>
        <v>3245.48715857462</v>
      </c>
      <c r="H15" s="0" t="n">
        <f aca="false">H13-MAX(0,H13)*H14/100</f>
        <v>3235.50104424054</v>
      </c>
      <c r="I15" s="0" t="n">
        <f aca="false">I13-MAX(0,I13)*I14/100</f>
        <v>3300.21106512535</v>
      </c>
      <c r="J15" s="0" t="n">
        <f aca="false">J13-MAX(0,J13)*J14/100</f>
        <v>3366.21528642786</v>
      </c>
      <c r="K15" s="0" t="n">
        <f aca="false">K13-MAX(0,K13)*K14/100</f>
        <v>3433.53959215642</v>
      </c>
      <c r="L15" s="0" t="n">
        <f aca="false">L13-MAX(0,L13)*L14/100</f>
        <v>3502.21038399955</v>
      </c>
    </row>
    <row r="16" customFormat="false" ht="15" hidden="false" customHeight="false" outlineLevel="0" collapsed="false">
      <c r="A16" s="0" t="s">
        <v>126</v>
      </c>
      <c r="C16" s="0" t="n">
        <f aca="false">-C12</f>
        <v>1230.615</v>
      </c>
      <c r="D16" s="0" t="n">
        <f aca="false">-D12</f>
        <v>1250.05023</v>
      </c>
      <c r="E16" s="0" t="n">
        <f aca="false">-E12</f>
        <v>1272.3413355</v>
      </c>
      <c r="F16" s="0" t="n">
        <f aca="false">-F12</f>
        <v>1285.781560875</v>
      </c>
      <c r="G16" s="0" t="n">
        <f aca="false">-G12</f>
        <v>1299.09858418406</v>
      </c>
      <c r="H16" s="0" t="n">
        <f aca="false">-H12</f>
        <v>1325.08055586774</v>
      </c>
      <c r="I16" s="0" t="n">
        <f aca="false">-I12</f>
        <v>1351.5821669851</v>
      </c>
      <c r="J16" s="0" t="n">
        <f aca="false">-J12</f>
        <v>1378.6138103248</v>
      </c>
      <c r="K16" s="0" t="n">
        <f aca="false">-K12</f>
        <v>1406.1860865313</v>
      </c>
      <c r="L16" s="0" t="n">
        <f aca="false">-L12</f>
        <v>1434.30980826192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-1442.79</v>
      </c>
      <c r="D17" s="4" t="n">
        <f aca="false">-D6*Assumptions!D46/100</f>
        <v>-1442.36565</v>
      </c>
      <c r="E17" s="4" t="n">
        <f aca="false">-E6*Assumptions!E46/100</f>
        <v>-1433.62404</v>
      </c>
      <c r="F17" s="4" t="n">
        <f aca="false">-F6*Assumptions!F46/100</f>
        <v>-1423.54387096875</v>
      </c>
      <c r="G17" s="4" t="n">
        <f aca="false">-G6*Assumptions!G46/100</f>
        <v>-1412.06367846094</v>
      </c>
      <c r="H17" s="4" t="n">
        <f aca="false">-H6*Assumptions!H46/100</f>
        <v>-1392.29478696248</v>
      </c>
      <c r="I17" s="4" t="n">
        <f aca="false">-I6*Assumptions!I46/100</f>
        <v>-1420.14068270173</v>
      </c>
      <c r="J17" s="4" t="n">
        <f aca="false">-J6*Assumptions!J46/100</f>
        <v>-1448.54349635577</v>
      </c>
      <c r="K17" s="4" t="n">
        <f aca="false">-K6*Assumptions!K46/100</f>
        <v>-1477.51436628288</v>
      </c>
      <c r="L17" s="4" t="n">
        <f aca="false">-L6*Assumptions!L46/100</f>
        <v>-1507.06465360854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-172.2</v>
      </c>
      <c r="D18" s="4" t="n">
        <f aca="false">(D6-C6)*Assumptions!$B$51/100</f>
        <v>-152.766</v>
      </c>
      <c r="E18" s="4" t="n">
        <f aca="false">(E6-D6)*Assumptions!$B$51/100</f>
        <v>-131.12415</v>
      </c>
      <c r="F18" s="4" t="n">
        <f aca="false">(F6-E6)*Assumptions!$B$51/100</f>
        <v>-134.402253749999</v>
      </c>
      <c r="G18" s="4" t="n">
        <f aca="false">(G6-F6)*Assumptions!$B$51/100</f>
        <v>-137.76231009375</v>
      </c>
      <c r="H18" s="4" t="n">
        <f aca="false">(H6-G6)*Assumptions!$B$51/100</f>
        <v>-112.965094276875</v>
      </c>
      <c r="I18" s="4" t="n">
        <f aca="false">(I6-H6)*Assumptions!$B$51/100</f>
        <v>-115.224396162413</v>
      </c>
      <c r="J18" s="4" t="n">
        <f aca="false">(J6-I6)*Assumptions!$B$51/100</f>
        <v>-117.52888408566</v>
      </c>
      <c r="K18" s="4" t="n">
        <f aca="false">(K6-J6)*Assumptions!$B$51/100</f>
        <v>-119.879461767374</v>
      </c>
      <c r="L18" s="4" t="n">
        <f aca="false">(L6-K6)*Assumptions!$B$51/100</f>
        <v>-122.277051002721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3060.4983</v>
      </c>
      <c r="D19" s="0" t="n">
        <f aca="false">D15+D16+D17+D18</f>
        <v>3032.4144357</v>
      </c>
      <c r="E19" s="0" t="n">
        <f aca="false">E15+E16+E17+E18</f>
        <v>2990.5921971</v>
      </c>
      <c r="F19" s="0" t="n">
        <f aca="false">F15+F16+F17+F18</f>
        <v>2992.80218537813</v>
      </c>
      <c r="G19" s="0" t="n">
        <f aca="false">G15+G16+G17+G18</f>
        <v>2994.75975420399</v>
      </c>
      <c r="H19" s="0" t="n">
        <f aca="false">H15+H16+H17+H18</f>
        <v>3055.32171886893</v>
      </c>
      <c r="I19" s="0" t="n">
        <f aca="false">I15+I16+I17+I18</f>
        <v>3116.4281532463</v>
      </c>
      <c r="J19" s="0" t="n">
        <f aca="false">J15+J16+J17+J18</f>
        <v>3178.75671631123</v>
      </c>
      <c r="K19" s="0" t="n">
        <f aca="false">K15+K16+K17+K18</f>
        <v>3242.33185063746</v>
      </c>
      <c r="L19" s="0" t="n">
        <f aca="false">L15+L16+L17+L18</f>
        <v>3307.1784876502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0.924214417744917</v>
      </c>
      <c r="D20" s="0" t="n">
        <f aca="false">1/(1+$B$27/100)^D4</f>
        <v>0.854172289967576</v>
      </c>
      <c r="E20" s="0" t="n">
        <f aca="false">1/(1+$B$27/100)^E4</f>
        <v>0.789438345626225</v>
      </c>
      <c r="F20" s="0" t="n">
        <f aca="false">1/(1+$B$27/100)^F4</f>
        <v>0.729610300948452</v>
      </c>
      <c r="G20" s="0" t="n">
        <f aca="false">1/(1+$B$27/100)^G4</f>
        <v>0.674316359471767</v>
      </c>
      <c r="H20" s="0" t="n">
        <f aca="false">1/(1+$B$27/100)^H4</f>
        <v>0.623212901545071</v>
      </c>
      <c r="I20" s="0" t="n">
        <f aca="false">1/(1+$B$27/100)^I4</f>
        <v>0.575982348932598</v>
      </c>
      <c r="J20" s="0" t="n">
        <f aca="false">1/(1+$B$27/100)^J4</f>
        <v>0.532331191250091</v>
      </c>
      <c r="K20" s="0" t="n">
        <f aca="false">1/(1+$B$27/100)^K4</f>
        <v>0.49198816196866</v>
      </c>
      <c r="L20" s="0" t="n">
        <f aca="false">1/(1+$B$27/100)^L4</f>
        <v>0.454702552651257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2828.55665434381</v>
      </c>
      <c r="D21" s="0" t="n">
        <f aca="false">D19*D20</f>
        <v>2590.2043826726</v>
      </c>
      <c r="E21" s="0" t="n">
        <f aca="false">E19*E20</f>
        <v>2360.88815652132</v>
      </c>
      <c r="F21" s="0" t="n">
        <f aca="false">F19*F20</f>
        <v>2183.57930315292</v>
      </c>
      <c r="G21" s="0" t="n">
        <f aca="false">G19*G20</f>
        <v>2019.4154949474</v>
      </c>
      <c r="H21" s="0" t="n">
        <f aca="false">H19*H20</f>
        <v>1904.11591356998</v>
      </c>
      <c r="I21" s="0" t="n">
        <f aca="false">I19*I20</f>
        <v>1795.00760798649</v>
      </c>
      <c r="J21" s="0" t="n">
        <f aca="false">J19*J20</f>
        <v>1692.15134948818</v>
      </c>
      <c r="K21" s="0" t="n">
        <f aca="false">K19*K20</f>
        <v>1595.18888768757</v>
      </c>
      <c r="L21" s="0" t="n">
        <f aca="false">L19*L20</f>
        <v>1503.78250040787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8.2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20472.8902507781</v>
      </c>
    </row>
    <row r="31" customFormat="false" ht="15" hidden="false" customHeight="false" outlineLevel="0" collapsed="false">
      <c r="A31" s="0" t="s">
        <v>135</v>
      </c>
      <c r="B31" s="0" t="n">
        <f aca="false">L19</f>
        <v>3307.1784876502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59471.1921024818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39686.1418518025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39686.1418518025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18045.3900048945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38518.2802556726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31974.2802556726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65.9263510426239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-0.194841828986029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621.153402979231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849.846096347784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68.9593397010302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27118.8635987317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32.0635530272167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13.8581354732564</v>
      </c>
      <c r="C4" s="0" t="n">
        <f aca="false">B4/Assumptions!$B$2-1</f>
        <v>-0.830750665934827</v>
      </c>
      <c r="D4" s="4" t="n">
        <f aca="false">Assumptions!$B$24</f>
        <v>0.3</v>
      </c>
      <c r="E4" s="4" t="n">
        <f aca="false">DCF_Bear!$B$43</f>
        <v>15.9380227897191</v>
      </c>
      <c r="F4" s="4" t="n">
        <f aca="false">DCF_Bear!$B$47</f>
        <v>6.13697319462149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38.812914680881</v>
      </c>
      <c r="C5" s="0" t="n">
        <f aca="false">B5/Assumptions!$B$2-1</f>
        <v>-0.525978081572044</v>
      </c>
      <c r="D5" s="4" t="n">
        <f aca="false">Assumptions!$B$38</f>
        <v>0.45</v>
      </c>
      <c r="E5" s="4" t="n">
        <f aca="false">DCF_Base!$B$43</f>
        <v>41.3868491323351</v>
      </c>
      <c r="F5" s="4" t="n">
        <f aca="false">DCF_Base!$B$47</f>
        <v>19.7399081592285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65.9263510426239</v>
      </c>
      <c r="C6" s="0" t="n">
        <f aca="false">B6/Assumptions!$B$2-1</f>
        <v>-0.194841828986029</v>
      </c>
      <c r="D6" s="4" t="n">
        <f aca="false">Assumptions!$B$52</f>
        <v>0.25</v>
      </c>
      <c r="E6" s="4" t="n">
        <f aca="false">DCF_Bull!$B$43</f>
        <v>68.9593397010302</v>
      </c>
      <c r="F6" s="4" t="n">
        <f aca="false">DCF_Bull!$B$47</f>
        <v>32.0635530272167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38.1048400090294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40.6453238717241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-1.1488083923354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1723.10324949431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18.7399388868435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38.812914680881</v>
      </c>
      <c r="C15" s="3" t="n">
        <v>8.7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37.8152055005055</v>
      </c>
      <c r="C16" s="3" t="n">
        <v>9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34.6729067407283</v>
      </c>
      <c r="C17" s="3" t="n">
        <v>10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31.7917060378165</v>
      </c>
      <c r="C18" s="3" t="n">
        <v>11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29.1465703111681</v>
      </c>
      <c r="C19" s="3" t="n">
        <v>12</v>
      </c>
    </row>
    <row r="20" customFormat="false" ht="15" hidden="false" customHeight="false" outlineLevel="0" collapsed="false">
      <c r="A20" s="0" t="s">
        <v>171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19.7399081592285</v>
      </c>
      <c r="C20" s="3" t="n">
        <v>15</v>
      </c>
    </row>
    <row r="22" customFormat="false" ht="15" hidden="false" customHeight="false" outlineLevel="0" collapsed="false">
      <c r="A22" s="2" t="s">
        <v>172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6.7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46.1918707484465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46.1918707484465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46.1918707484465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46.1918707484465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46.1918707484465</v>
      </c>
    </row>
    <row r="25" customFormat="false" ht="15" hidden="false" customHeight="false" outlineLevel="0" collapsed="false">
      <c r="A25" s="3" t="n">
        <v>7.7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42.3370408040302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42.3370408040302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42.3370408040302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42.3370408040302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42.3370408040302</v>
      </c>
    </row>
    <row r="26" customFormat="false" ht="15" hidden="false" customHeight="false" outlineLevel="0" collapsed="false">
      <c r="A26" s="3" t="n">
        <v>8.7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38.812914680881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38.812914680881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38.812914680881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38.812914680881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38.812914680881</v>
      </c>
    </row>
    <row r="27" customFormat="false" ht="15" hidden="false" customHeight="false" outlineLevel="0" collapsed="false">
      <c r="A27" s="3" t="n">
        <v>9.7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35.5869669880893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35.5869669880893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35.5869669880893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35.5869669880893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35.5869669880893</v>
      </c>
    </row>
    <row r="28" customFormat="false" ht="15" hidden="false" customHeight="false" outlineLevel="0" collapsed="false">
      <c r="A28" s="3" t="n">
        <v>10.7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32.6301945593837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32.6301945593837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32.6301945593837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32.6301945593837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32.6301945593837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2026-09-25T06:55:15Z</dcterms:created>
  <dc:creator>openpyxl</dc:creator>
  <dc:description/>
  <dc:language>en-NZ</dc:language>
  <cp:lastModifiedBy/>
  <dcterms:modified xsi:type="dcterms:W3CDTF">2026-09-25T06:55:15Z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