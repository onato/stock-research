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<sst xmlns="http://schemas.openxmlformats.org/spreadsheetml/2006/main" count="375" uniqueCount="170">
  <si>
    <t xml:space="preserve">Ticker</t>
  </si>
  <si>
    <t xml:space="preserve">DG.PA</t>
  </si>
  <si>
    <t xml:space="preserve">Company</t>
  </si>
  <si>
    <t xml:space="preserve">Vinci SA</t>
  </si>
  <si>
    <t xml:space="preserve">Valuation date</t>
  </si>
  <si>
    <t xml:space="preserve">2026-10-26</t>
  </si>
  <si>
    <t xml:space="preserve">Current price</t>
  </si>
  <si>
    <t xml:space="preserve">Price as of</t>
  </si>
  <si>
    <t xml:space="preserve">2026-10-23T15:39:30Z (Euronext Paris regular close, Friday; valuation written Monday 2026-10-26 before the open)</t>
  </si>
  <si>
    <t xml:space="preserve">Balance sheet date</t>
  </si>
  <si>
    <t xml:space="preserve">2026-06-30</t>
  </si>
  <si>
    <t xml:space="preserve">Model</t>
  </si>
  <si>
    <t xml:space="preserve">owner_fcf_dcf_component</t>
  </si>
  <si>
    <t xml:space="preserve">Currency (model)</t>
  </si>
  <si>
    <t xml:space="preserve">EUR</t>
  </si>
  <si>
    <t xml:space="preserve">Currency (quote)</t>
  </si>
  <si>
    <t xml:space="preserve">Units</t>
  </si>
  <si>
    <t xml:space="preserve">millions</t>
  </si>
  <si>
    <t xml:space="preserve">Engine</t>
  </si>
  <si>
    <t xml:space="preserve">dcf_engine v1</t>
  </si>
  <si>
    <t xml:space="preserve">Built at</t>
  </si>
  <si>
    <t xml:space="preserve">2026-10-25T11:37:35Z</t>
  </si>
  <si>
    <t xml:space="preserve">Drivers file</t>
  </si>
  <si>
    <t xml:space="preserve">DG.PA_Drivers.json</t>
  </si>
  <si>
    <t xml:space="preserve">Convention</t>
  </si>
  <si>
    <t xml:space="preserve">Percents stored as percents; formulas divide by 100. Blue = input, green = link, black = formula.</t>
  </si>
  <si>
    <t xml:space="preserve">Methodology</t>
  </si>
  <si>
    <t xml:space="preserve">summary: Value Vinci as an owner would: unlevered owner FCF on the whole group, SBC and the full lease charge expensed, working capital tied to growth rather than to 2025's windfall, the French motorway concessions treated as the finite annuities they contractually are (zero terminal value after ASF's April 2036 expiry), NCI taken out at what the minorities are worth rather than at book, and one EUR WACC for all scenarios with the risks carried in the flows and weights. The question the model answers is what the post-2036 Vinci - airports, Energy Solutions, Construction - plus ten years of motorway cash is worth, not what a perpetuity on today's 18% margin would be.
key_risks_to_valuation: Terminal mix: the 2037 group is capitalised at 16x owner FCF; every 1x on the cap is roughly EUR4-5/share; Working-capital capture: 25% of the revenue change vs a 2022-2025 history of EUR1.4-2.5bn/yr inflows - 10pp of capture is ~EUR8/share over the horizon; French taxation: each extra year of the exceptional surcharge is ~EUR0.8/share; a permanent +1.5pp on the cash tax rate is ~EUR6/share; Successor motorway arrangements: the base gives them zero; a 10% residual at concession margins (bull) is worth ~EUR5/share; NCI fair value is an estimate (EUR6.0bn vs EUR3.65bn book); airport M&amp;A multiples decide which is right; Airport capex (Gatwick runway, Lisbon Alcochete in the 2030s) is charged as capex at 5.0-5.3% of revenue without a matching revenue uplift beyond the growth path</t>
  </si>
  <si>
    <t xml:space="preserve">Data sources</t>
  </si>
  <si>
    <t xml:space="preserve">price: Yahoo Finance chart API at inputs.price_as_of; 52-week range 104.25-143.15
financials: DG.PA_Metrics.csv (FY2016-FY2025 annual, H1-2016 to H1-2026 half-years, EUR millions) from the ticker DuckDB; FY2025 Universal Registration Document (cash-flow table 1.5, segment information note 1.1, net financial debt 1.6, EPS note, Note E.11 ADP stake, concession table p.398-400); H1 2026 half-year report (net financial debt, diluted-EPS note, balance sheet, outlook 7.2)
qualitative: DG.PA_Analysis.json (2026-10-26): French transport-tax and surcharge risk, concession expiry overhang, record EUR76.8bn order book, FY2026 guidance (FCF could reach EUR6bn)</t>
  </si>
  <si>
    <t xml:space="preserve">Scenario narrative: bear</t>
  </si>
  <si>
    <t xml:space="preserve">France's budget crisis makes ad hoc taxation on Vinci structural, the motorway concessions end on time with no successor role, Construction and Immobilier stay weak, airport traffic stalls, and the working-capital tailwind of 2022-2025 reverses to roughly zero. The 2037 group is a mid-margin contractor plus airports, capitalised at 13x.</t>
  </si>
  <si>
    <t xml:space="preserve">Scenario narrative: base</t>
  </si>
  <si>
    <t xml:space="preserve">Vinci compounds the ex-motorway group at ~4% with modest margin expansion while the French motorway concessions run off exactly on contract (Escota 2032, Cofiroute 2034, ASF 2036) with zero residual value; airports, Energy Solutions and Construction are what is left to capitalise in 2037. The surcharge recurs once (2026) and the normal cash tax rate is 29.5%. Working-capital inflows continue only in proportion to growth (25% of the revenue change), well below the 2022-2025 run-rate, which is why year-1 FCF is below the EUR6bn guidance.</t>
  </si>
  <si>
    <t xml:space="preserve">Scenario narrative: bull</t>
  </si>
  <si>
    <t xml:space="preserve">Energy Solutions rides electrification, data-centre and defence spending at high single-digit growth with margin to ~11%; airport capacity additions (Gatwick runway, OMA, Lisbon) lift airport growth; French fiscal measures lapse and the transport-tax case is won; order-book growth sustains large working-capital inflows; Vinci keeps a toehold in French motorways after 2036 via new concessions and operating contracts.</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</si>
  <si>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</si>
  <si>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</si>
  <si>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</si>
  <si>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</si>
  <si>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</si>
  <si>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</si>
  <si>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</si>
  <si>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</si>
  <si>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</si>
  <si>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</si>
  <si>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</si>
  <si>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</si>
  <si>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</si>
  <si>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</si>
  <si>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</si>
  <si>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</si>
  <si>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</si>
  <si>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</si>
  <si>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</si>
  <si>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</si>
  <si>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</si>
  <si>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</si>
  <si>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</si>
  <si>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</si>
  <si>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</si>
  <si>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</si>
  <si>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</si>
  <si>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LeasePayments</t>
  </si>
  <si>
    <t xml:space="preserve">OrderBook</t>
  </si>
  <si>
    <t xml:space="preserve">OrderIntake</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</si>
  <si>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</si>
  <si>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</si>
  <si>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</si>
  <si>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</si>
  <si>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</si>
  <si>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</si>
  <si>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</si>
  <si>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</si>
  <si>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</si>
  <si>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</si>
  <si>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</si>
  <si>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</si>
  <si>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</si>
  <si>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</si>
  <si>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</si>
  <si>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</si>
  <si>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</si>
  <si>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</si>
  <si>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</si>
  <si>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</si>
  <si>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EUR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</si>
  <si>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</si>
  <si>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</si>
  <si>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</si>
  <si>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</si>
  <si>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</si>
  <si>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</si>
  <si>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</si>
  <si>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</si>
  <si>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</si>
  <si>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</si>
  <si>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</si>
  <si>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</si>
  <si>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</si>
  <si>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FY2037</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</si>
  <si>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</si>
  <si>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</si>
  <si>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</si>
  <si>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</si>
  <si>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</si>
  <si>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</si>
  <si>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</si>
  <si>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</si>
  <si>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</si>
  <si>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</si>
  <si>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</si>
  <si>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</si>
  <si>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</si>
  <si>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</si>
  <si>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DG.PA owner-FCF component DCF: bear case (millions, EUR)</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</si>
  <si>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</si>
  <si>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</si>
  <si>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</si>
  <si>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</si>
  <si>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</si>
  <si>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</si>
  <si>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</si>
  <si>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</si>
  <si>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</si>
  <si>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</si>
  <si>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</si>
  <si>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</si>
  <si>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</si>
  <si>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</si>
  <si>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</si>
  <si>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</si>
  <si>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</si>
  <si>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</si>
  <si>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</si>
  <si>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</si>
  <si>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</si>
  <si>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</si>
  <si>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</si>
  <si>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</si>
  <si>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</si>
  <si>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</si>
  <si>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</si>
  <si>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</si>
  <si>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</si>
  <si>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</si>
  <si>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DG.PA owner-FCF component DCF: base case (millions, EUR)</t>
  </si>
  <si>
    <t xml:space="preserve">DG.PA owner-FCF component DCF: bull case (millions, EUR)</t>
  </si>
  <si>
    <t xml:space="preserve">DG.PA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</si>
  <si>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</si>
  <si>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</si>
  <si>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</si>
  <si>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</si>
  <si>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</si>
  <si>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</si>
  <si>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</si>
  <si>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</si>
  <si>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</si>
  <si>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</si>
  <si>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</si>
  <si>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</si>
  <si>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</si>
  <si>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</si>
  <si>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7%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</si>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</sst>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106.45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row>
    <row r="2" customFormat="false" ht="15" hidden="false" customHeight="false" outlineLevel="0" collapsed="false">
      <c r="A2" s="0" t="s">
        <v>66</v>
      </c>
      <c r="B2" s="0" t="n">
        <v>38073</v>
      </c>
      <c r="F2" s="0" t="n">
        <v>4118</v>
      </c>
      <c r="G2" s="0" t="n">
        <v>10.8</v>
      </c>
      <c r="H2" s="0" t="n">
        <v>5966</v>
      </c>
      <c r="I2" s="0" t="n">
        <v>2505</v>
      </c>
      <c r="J2" s="0" t="n">
        <v>6.6</v>
      </c>
      <c r="K2" s="0" t="n">
        <v>4.48</v>
      </c>
      <c r="L2" s="0" t="n">
        <v>4346</v>
      </c>
      <c r="M2" s="0" t="n">
        <v>1397</v>
      </c>
      <c r="N2" s="0" t="n">
        <v>2949</v>
      </c>
      <c r="O2" s="0" t="n">
        <v>16465</v>
      </c>
      <c r="P2" s="0" t="n">
        <v>67931</v>
      </c>
      <c r="Q2" s="0" t="n">
        <v>50925</v>
      </c>
      <c r="R2" s="0" t="n">
        <v>21494</v>
      </c>
      <c r="S2" s="0" t="n">
        <v>6832</v>
      </c>
      <c r="T2" s="0" t="n">
        <v>559.2</v>
      </c>
      <c r="U2" s="0" t="n">
        <v>118</v>
      </c>
      <c r="AA2" s="0" t="s">
        <v>17</v>
      </c>
      <c r="AB2" s="0" t="s">
        <v>14</v>
      </c>
    </row>
    <row r="3" customFormat="false" ht="15" hidden="false" customHeight="false" outlineLevel="0" collapsed="false">
      <c r="A3" s="0" t="s">
        <v>67</v>
      </c>
      <c r="B3" s="0" t="n">
        <v>40248</v>
      </c>
      <c r="F3" s="0" t="n">
        <v>4550</v>
      </c>
      <c r="G3" s="0" t="n">
        <v>11.3</v>
      </c>
      <c r="H3" s="0" t="n">
        <v>6500</v>
      </c>
      <c r="I3" s="0" t="n">
        <v>2747</v>
      </c>
      <c r="J3" s="0" t="n">
        <v>6.8</v>
      </c>
      <c r="K3" s="0" t="n">
        <v>4.91</v>
      </c>
      <c r="L3" s="0" t="n">
        <v>4280</v>
      </c>
      <c r="M3" s="0" t="n">
        <v>1755</v>
      </c>
      <c r="N3" s="0" t="n">
        <v>2525</v>
      </c>
      <c r="O3" s="0" t="n">
        <v>17812</v>
      </c>
      <c r="P3" s="0" t="n">
        <v>69803</v>
      </c>
      <c r="Q3" s="0" t="n">
        <v>51420</v>
      </c>
      <c r="R3" s="0" t="n">
        <v>21472</v>
      </c>
      <c r="S3" s="0" t="n">
        <v>6991</v>
      </c>
      <c r="T3" s="0" t="n">
        <v>559.5</v>
      </c>
      <c r="U3" s="0" t="n">
        <v>163</v>
      </c>
      <c r="AA3" s="0" t="s">
        <v>17</v>
      </c>
      <c r="AB3" s="0" t="s">
        <v>14</v>
      </c>
    </row>
    <row r="4" customFormat="false" ht="15" hidden="false" customHeight="false" outlineLevel="0" collapsed="false">
      <c r="A4" s="0" t="s">
        <v>68</v>
      </c>
      <c r="B4" s="0" t="n">
        <v>43519</v>
      </c>
      <c r="F4" s="0" t="n">
        <v>4920</v>
      </c>
      <c r="G4" s="0" t="n">
        <v>11.3</v>
      </c>
      <c r="H4" s="0" t="n">
        <v>6898</v>
      </c>
      <c r="I4" s="0" t="n">
        <v>2983</v>
      </c>
      <c r="J4" s="0" t="n">
        <v>6.9</v>
      </c>
      <c r="K4" s="0" t="n">
        <v>5.32</v>
      </c>
      <c r="L4" s="0" t="n">
        <v>5142</v>
      </c>
      <c r="M4" s="0" t="n">
        <v>1963</v>
      </c>
      <c r="N4" s="0" t="n">
        <v>3179</v>
      </c>
      <c r="O4" s="0" t="n">
        <v>19185</v>
      </c>
      <c r="P4" s="0" t="n">
        <v>75357</v>
      </c>
      <c r="Q4" s="0" t="n">
        <v>55539</v>
      </c>
      <c r="R4" s="0" t="n">
        <v>24246</v>
      </c>
      <c r="S4" s="0" t="n">
        <v>8205</v>
      </c>
      <c r="T4" s="0" t="n">
        <v>560.7</v>
      </c>
      <c r="U4" s="0" t="n">
        <v>206</v>
      </c>
      <c r="AA4" s="0" t="s">
        <v>17</v>
      </c>
      <c r="AB4" s="0" t="s">
        <v>14</v>
      </c>
    </row>
    <row r="5" customFormat="false" ht="15" hidden="false" customHeight="false" outlineLevel="0" collapsed="false">
      <c r="A5" s="0" t="s">
        <v>69</v>
      </c>
      <c r="B5" s="0" t="n">
        <v>48053</v>
      </c>
      <c r="F5" s="0" t="n">
        <v>5664</v>
      </c>
      <c r="G5" s="0" t="n">
        <v>11.8</v>
      </c>
      <c r="H5" s="0" t="n">
        <v>8497</v>
      </c>
      <c r="I5" s="0" t="n">
        <v>3260</v>
      </c>
      <c r="J5" s="0" t="n">
        <v>6.8</v>
      </c>
      <c r="K5" s="0" t="n">
        <v>5.82</v>
      </c>
      <c r="L5" s="0" t="n">
        <v>7090</v>
      </c>
      <c r="M5" s="0" t="n">
        <v>2314</v>
      </c>
      <c r="N5" s="0" t="n">
        <v>4776</v>
      </c>
      <c r="O5" s="0" t="n">
        <v>20438</v>
      </c>
      <c r="P5" s="0" t="n">
        <v>91159</v>
      </c>
      <c r="Q5" s="0" t="n">
        <v>68117</v>
      </c>
      <c r="R5" s="0" t="n">
        <v>30592</v>
      </c>
      <c r="S5" s="0" t="n">
        <v>8544</v>
      </c>
      <c r="T5" s="0" t="n">
        <v>560.1</v>
      </c>
      <c r="U5" s="0" t="n">
        <v>291</v>
      </c>
      <c r="AA5" s="0" t="s">
        <v>17</v>
      </c>
      <c r="AB5" s="0" t="s">
        <v>14</v>
      </c>
      <c r="AC5" s="0" t="n">
        <v>575</v>
      </c>
    </row>
    <row r="6" customFormat="false" ht="15" hidden="false" customHeight="false" outlineLevel="0" collapsed="false">
      <c r="A6" s="0" t="s">
        <v>70</v>
      </c>
      <c r="B6" s="0" t="n">
        <v>43234</v>
      </c>
      <c r="F6" s="0" t="n">
        <v>2459</v>
      </c>
      <c r="G6" s="0" t="n">
        <v>5.7</v>
      </c>
      <c r="H6" s="0" t="n">
        <v>5919</v>
      </c>
      <c r="I6" s="0" t="n">
        <v>1242</v>
      </c>
      <c r="J6" s="0" t="n">
        <v>2.9</v>
      </c>
      <c r="K6" s="0" t="n">
        <v>2.2</v>
      </c>
      <c r="L6" s="0" t="n">
        <v>6675</v>
      </c>
      <c r="M6" s="0" t="n">
        <v>2079</v>
      </c>
      <c r="N6" s="0" t="n">
        <v>4596</v>
      </c>
      <c r="O6" s="0" t="n">
        <v>20863</v>
      </c>
      <c r="P6" s="0" t="n">
        <v>91165</v>
      </c>
      <c r="Q6" s="0" t="n">
        <v>68141</v>
      </c>
      <c r="R6" s="0" t="n">
        <v>30593</v>
      </c>
      <c r="S6" s="0" t="n">
        <v>11902</v>
      </c>
      <c r="T6" s="0" t="n">
        <v>564.5</v>
      </c>
      <c r="U6" s="0" t="n">
        <v>239</v>
      </c>
      <c r="AA6" s="0" t="s">
        <v>17</v>
      </c>
      <c r="AB6" s="0" t="s">
        <v>14</v>
      </c>
      <c r="AC6" s="0" t="n">
        <v>607</v>
      </c>
    </row>
    <row r="7" customFormat="false" ht="15" hidden="false" customHeight="false" outlineLevel="0" collapsed="false">
      <c r="A7" s="0" t="s">
        <v>71</v>
      </c>
      <c r="B7" s="0" t="n">
        <v>49396</v>
      </c>
      <c r="F7" s="0" t="n">
        <v>4438</v>
      </c>
      <c r="G7" s="0" t="n">
        <v>9</v>
      </c>
      <c r="H7" s="0" t="n">
        <v>7884</v>
      </c>
      <c r="I7" s="0" t="n">
        <v>2597</v>
      </c>
      <c r="J7" s="0" t="n">
        <v>5.3</v>
      </c>
      <c r="K7" s="0" t="n">
        <v>4.51</v>
      </c>
      <c r="L7" s="0" t="n">
        <v>7806</v>
      </c>
      <c r="M7" s="0" t="n">
        <v>1892</v>
      </c>
      <c r="N7" s="0" t="n">
        <v>5914</v>
      </c>
      <c r="O7" s="0" t="n">
        <v>22881</v>
      </c>
      <c r="P7" s="0" t="n">
        <v>100816</v>
      </c>
      <c r="Q7" s="0" t="n">
        <v>76045</v>
      </c>
      <c r="R7" s="0" t="n">
        <v>30738</v>
      </c>
      <c r="S7" s="0" t="n">
        <v>11265</v>
      </c>
      <c r="T7" s="0" t="n">
        <v>575.8</v>
      </c>
      <c r="U7" s="0" t="n">
        <v>288</v>
      </c>
      <c r="AA7" s="0" t="s">
        <v>17</v>
      </c>
      <c r="AB7" s="0" t="s">
        <v>14</v>
      </c>
      <c r="AC7" s="0" t="n">
        <v>631</v>
      </c>
    </row>
    <row r="8" customFormat="false" ht="15" hidden="false" customHeight="false" outlineLevel="0" collapsed="false">
      <c r="A8" s="0" t="s">
        <v>72</v>
      </c>
      <c r="B8" s="0" t="n">
        <v>61675</v>
      </c>
      <c r="F8" s="0" t="n">
        <v>6489</v>
      </c>
      <c r="G8" s="0" t="n">
        <v>10.5</v>
      </c>
      <c r="H8" s="0" t="n">
        <v>10215</v>
      </c>
      <c r="I8" s="0" t="n">
        <v>4259</v>
      </c>
      <c r="J8" s="0" t="n">
        <v>6.9</v>
      </c>
      <c r="K8" s="0" t="n">
        <v>7.47</v>
      </c>
      <c r="L8" s="0" t="n">
        <v>9387</v>
      </c>
      <c r="M8" s="0" t="n">
        <v>3292</v>
      </c>
      <c r="N8" s="0" t="n">
        <v>6095</v>
      </c>
      <c r="O8" s="0" t="n">
        <v>25939</v>
      </c>
      <c r="P8" s="0" t="n">
        <v>111991</v>
      </c>
      <c r="Q8" s="0" t="n">
        <v>82582</v>
      </c>
      <c r="R8" s="0" t="n">
        <v>29998</v>
      </c>
      <c r="S8" s="0" t="n">
        <v>13333</v>
      </c>
      <c r="T8" s="0" t="n">
        <v>570.1</v>
      </c>
      <c r="U8" s="0" t="n">
        <v>356</v>
      </c>
      <c r="AA8" s="0" t="s">
        <v>17</v>
      </c>
      <c r="AB8" s="0" t="s">
        <v>14</v>
      </c>
      <c r="AC8" s="0" t="n">
        <v>661</v>
      </c>
    </row>
    <row r="9" customFormat="false" ht="15" hidden="false" customHeight="false" outlineLevel="0" collapsed="false">
      <c r="A9" s="0" t="s">
        <v>73</v>
      </c>
      <c r="B9" s="0" t="n">
        <v>68838</v>
      </c>
      <c r="F9" s="0" t="n">
        <v>8071</v>
      </c>
      <c r="G9" s="0" t="n">
        <v>11.7</v>
      </c>
      <c r="H9" s="0" t="n">
        <v>11964</v>
      </c>
      <c r="I9" s="0" t="n">
        <v>4702</v>
      </c>
      <c r="J9" s="0" t="n">
        <v>6.8</v>
      </c>
      <c r="K9" s="0" t="n">
        <v>8.18</v>
      </c>
      <c r="L9" s="0" t="n">
        <v>10540</v>
      </c>
      <c r="M9" s="0" t="n">
        <v>3233</v>
      </c>
      <c r="N9" s="0" t="n">
        <v>7307</v>
      </c>
      <c r="O9" s="0" t="n">
        <v>28113</v>
      </c>
      <c r="P9" s="0" t="n">
        <v>118558</v>
      </c>
      <c r="Q9" s="0" t="n">
        <v>86518</v>
      </c>
      <c r="R9" s="0" t="n">
        <v>30789</v>
      </c>
      <c r="S9" s="0" t="n">
        <v>16172</v>
      </c>
      <c r="T9" s="0" t="n">
        <v>574.8</v>
      </c>
      <c r="U9" s="0" t="n">
        <v>360</v>
      </c>
      <c r="AA9" s="0" t="s">
        <v>17</v>
      </c>
      <c r="AB9" s="0" t="s">
        <v>14</v>
      </c>
      <c r="AC9" s="0" t="n">
        <v>679</v>
      </c>
      <c r="AD9" s="0" t="n">
        <v>61400</v>
      </c>
      <c r="AE9" s="0" t="n">
        <v>61900</v>
      </c>
    </row>
    <row r="10" customFormat="false" ht="15" hidden="false" customHeight="false" outlineLevel="0" collapsed="false">
      <c r="A10" s="0" t="s">
        <v>74</v>
      </c>
      <c r="B10" s="0" t="n">
        <v>71623</v>
      </c>
      <c r="F10" s="0" t="n">
        <v>8783</v>
      </c>
      <c r="G10" s="0" t="n">
        <v>12.3</v>
      </c>
      <c r="H10" s="0" t="n">
        <v>12689</v>
      </c>
      <c r="I10" s="0" t="n">
        <v>4863</v>
      </c>
      <c r="J10" s="0" t="n">
        <v>6.8</v>
      </c>
      <c r="K10" s="0" t="n">
        <v>8.43</v>
      </c>
      <c r="L10" s="0" t="n">
        <v>11714</v>
      </c>
      <c r="M10" s="0" t="n">
        <v>4161</v>
      </c>
      <c r="N10" s="0" t="n">
        <v>7553</v>
      </c>
      <c r="O10" s="0" t="n">
        <v>29947</v>
      </c>
      <c r="P10" s="0" t="n">
        <v>129491</v>
      </c>
      <c r="Q10" s="0" t="n">
        <v>95459</v>
      </c>
      <c r="R10" s="0" t="n">
        <v>35270</v>
      </c>
      <c r="S10" s="0" t="n">
        <v>16094</v>
      </c>
      <c r="T10" s="0" t="n">
        <v>576.9</v>
      </c>
      <c r="U10" s="0" t="n">
        <v>462</v>
      </c>
      <c r="AA10" s="0" t="s">
        <v>17</v>
      </c>
      <c r="AB10" s="0" t="s">
        <v>14</v>
      </c>
      <c r="AC10" s="0" t="n">
        <v>745</v>
      </c>
      <c r="AD10" s="0" t="n">
        <v>69100</v>
      </c>
      <c r="AE10" s="0" t="n">
        <v>66300</v>
      </c>
    </row>
    <row r="11" customFormat="false" ht="15" hidden="false" customHeight="false" outlineLevel="0" collapsed="false">
      <c r="A11" s="0" t="s">
        <v>75</v>
      </c>
      <c r="B11" s="0" t="n">
        <v>74599</v>
      </c>
      <c r="F11" s="0" t="n">
        <v>9364</v>
      </c>
      <c r="G11" s="0" t="n">
        <v>12.6</v>
      </c>
      <c r="H11" s="0" t="n">
        <v>13507</v>
      </c>
      <c r="I11" s="0" t="n">
        <v>4903</v>
      </c>
      <c r="J11" s="0" t="n">
        <v>6.6</v>
      </c>
      <c r="K11" s="0" t="n">
        <v>8.65</v>
      </c>
      <c r="L11" s="0" t="n">
        <v>11886</v>
      </c>
      <c r="M11" s="0" t="n">
        <v>4005</v>
      </c>
      <c r="N11" s="0" t="n">
        <v>7881</v>
      </c>
      <c r="O11" s="0" t="n">
        <v>30752</v>
      </c>
      <c r="P11" s="0" t="n">
        <v>133065</v>
      </c>
      <c r="Q11" s="0" t="n">
        <v>98737</v>
      </c>
      <c r="R11" s="0" t="n">
        <v>36712</v>
      </c>
      <c r="S11" s="0" t="n">
        <v>18498</v>
      </c>
      <c r="T11" s="0" t="n">
        <v>566.8</v>
      </c>
      <c r="U11" s="0" t="n">
        <v>567</v>
      </c>
      <c r="AA11" s="0" t="s">
        <v>17</v>
      </c>
      <c r="AB11" s="0" t="s">
        <v>14</v>
      </c>
      <c r="AC11" s="0" t="n">
        <v>871</v>
      </c>
      <c r="AD11" s="0" t="n">
        <v>69800</v>
      </c>
      <c r="AE11" s="0" t="n">
        <v>63000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76</v>
      </c>
      <c r="B1" s="2" t="s">
        <v>77</v>
      </c>
    </row>
    <row r="2" customFormat="false" ht="15" hidden="false" customHeight="false" outlineLevel="0" collapsed="false">
      <c r="A2" s="0" t="s">
        <v>78</v>
      </c>
      <c r="B2" s="3" t="n">
        <v>106.45</v>
      </c>
    </row>
    <row r="3" customFormat="false" ht="15" hidden="false" customHeight="false" outlineLevel="0" collapsed="false">
      <c r="A3" s="0" t="s">
        <v>79</v>
      </c>
      <c r="B3" s="3" t="n">
        <v>560.6</v>
      </c>
    </row>
    <row r="4" customFormat="false" ht="15" hidden="false" customHeight="false" outlineLevel="0" collapsed="false">
      <c r="A4" s="0" t="s">
        <v>80</v>
      </c>
      <c r="B4" s="3" t="n">
        <v>22450</v>
      </c>
    </row>
    <row r="5" customFormat="false" ht="15" hidden="false" customHeight="false" outlineLevel="0" collapsed="false">
      <c r="A5" s="0" t="s">
        <v>81</v>
      </c>
      <c r="B5" s="3" t="n">
        <v>-3105</v>
      </c>
    </row>
    <row r="6" customFormat="false" ht="15" hidden="false" customHeight="false" outlineLevel="0" collapsed="false">
      <c r="A6" s="0" t="s">
        <v>82</v>
      </c>
      <c r="B6" s="3" t="n">
        <v>15</v>
      </c>
    </row>
    <row r="7" customFormat="false" ht="15" hidden="false" customHeight="false" outlineLevel="0" collapsed="false">
      <c r="A7" s="0" t="s">
        <v>83</v>
      </c>
      <c r="B7" s="3" t="n">
        <v>74599</v>
      </c>
    </row>
    <row r="8" customFormat="false" ht="15" hidden="false" customHeight="false" outlineLevel="0" collapsed="false">
      <c r="A8" s="0" t="s">
        <v>84</v>
      </c>
      <c r="B8" s="3" t="s">
        <v>75</v>
      </c>
    </row>
    <row r="9" customFormat="false" ht="15" hidden="false" customHeight="false" outlineLevel="0" collapsed="false">
      <c r="A9" s="0" t="s">
        <v>85</v>
      </c>
      <c r="B9" s="3" t="s">
        <v>86</v>
      </c>
    </row>
    <row r="10" customFormat="false" ht="15" hidden="false" customHeight="false" outlineLevel="0" collapsed="false">
      <c r="A10" s="0" t="s">
        <v>87</v>
      </c>
      <c r="B10" s="3" t="n">
        <v>1</v>
      </c>
    </row>
    <row r="12" customFormat="false" ht="15" hidden="false" customHeight="false" outlineLevel="0" collapsed="false">
      <c r="A12" s="2" t="s">
        <v>88</v>
      </c>
      <c r="C12" s="2" t="s">
        <v>89</v>
      </c>
      <c r="D12" s="2" t="s">
        <v>90</v>
      </c>
      <c r="E12" s="2" t="s">
        <v>91</v>
      </c>
      <c r="F12" s="2" t="s">
        <v>92</v>
      </c>
      <c r="G12" s="2" t="s">
        <v>93</v>
      </c>
      <c r="H12" s="2" t="s">
        <v>94</v>
      </c>
      <c r="I12" s="2" t="s">
        <v>95</v>
      </c>
      <c r="J12" s="2" t="s">
        <v>96</v>
      </c>
      <c r="K12" s="2" t="s">
        <v>97</v>
      </c>
      <c r="L12" s="2" t="s">
        <v>98</v>
      </c>
      <c r="M12" s="2" t="s">
        <v>99</v>
      </c>
      <c r="N12" s="2" t="s">
        <v>100</v>
      </c>
    </row>
    <row r="13" customFormat="false" ht="15" hidden="false" customHeight="false" outlineLevel="0" collapsed="false">
      <c r="A13" s="0" t="s">
        <v>101</v>
      </c>
      <c r="C13" s="3" t="n">
        <v>1.36</v>
      </c>
      <c r="D13" s="3" t="n">
        <v>2.87</v>
      </c>
      <c r="E13" s="3" t="n">
        <v>2.87</v>
      </c>
      <c r="F13" s="3" t="n">
        <v>2.69</v>
      </c>
      <c r="G13" s="3" t="n">
        <v>2.41</v>
      </c>
      <c r="H13" s="3" t="n">
        <v>2.42</v>
      </c>
      <c r="I13" s="3" t="n">
        <v>1.24</v>
      </c>
      <c r="J13" s="3" t="n">
        <v>1.83</v>
      </c>
      <c r="K13" s="3" t="n">
        <v>0.9</v>
      </c>
      <c r="L13" s="3" t="n">
        <v>0.89</v>
      </c>
      <c r="M13" s="3" t="n">
        <v>-1.61</v>
      </c>
      <c r="N13" s="3" t="n">
        <v>0.47</v>
      </c>
    </row>
    <row r="14" customFormat="false" ht="15" hidden="false" customHeight="false" outlineLevel="0" collapsed="false">
      <c r="A14" s="0" t="s">
        <v>102</v>
      </c>
      <c r="C14" s="3" t="n">
        <v>17.58</v>
      </c>
      <c r="D14" s="3" t="n">
        <v>17.51</v>
      </c>
      <c r="E14" s="3" t="n">
        <v>17.54</v>
      </c>
      <c r="F14" s="3" t="n">
        <v>17.58</v>
      </c>
      <c r="G14" s="3" t="n">
        <v>17.63</v>
      </c>
      <c r="H14" s="3" t="n">
        <v>17.58</v>
      </c>
      <c r="I14" s="3" t="n">
        <v>17.19</v>
      </c>
      <c r="J14" s="3" t="n">
        <v>17.11</v>
      </c>
      <c r="K14" s="3" t="n">
        <v>16.55</v>
      </c>
      <c r="L14" s="3" t="n">
        <v>15.98</v>
      </c>
      <c r="M14" s="3" t="n">
        <v>14.05</v>
      </c>
      <c r="N14" s="3" t="n">
        <v>13.22</v>
      </c>
    </row>
    <row r="15" customFormat="false" ht="15" hidden="false" customHeight="false" outlineLevel="0" collapsed="false">
      <c r="A15" s="0" t="s">
        <v>103</v>
      </c>
      <c r="C15" s="3" t="n">
        <v>0.85</v>
      </c>
      <c r="D15" s="3" t="n">
        <v>0.85</v>
      </c>
      <c r="E15" s="3" t="n">
        <v>0.85</v>
      </c>
      <c r="F15" s="3" t="n">
        <v>0.85</v>
      </c>
      <c r="G15" s="3" t="n">
        <v>0.85</v>
      </c>
      <c r="H15" s="3" t="n">
        <v>0.85</v>
      </c>
      <c r="I15" s="3" t="n">
        <v>0.85</v>
      </c>
      <c r="J15" s="3" t="n">
        <v>0.85</v>
      </c>
      <c r="K15" s="3" t="n">
        <v>0.85</v>
      </c>
      <c r="L15" s="3" t="n">
        <v>0.85</v>
      </c>
      <c r="M15" s="3" t="n">
        <v>0.85</v>
      </c>
      <c r="N15" s="3" t="n">
        <v>0.85</v>
      </c>
    </row>
    <row r="16" customFormat="false" ht="15" hidden="false" customHeight="false" outlineLevel="0" collapsed="false">
      <c r="A16" s="0" t="s">
        <v>104</v>
      </c>
      <c r="C16" s="3" t="n">
        <v>1.17</v>
      </c>
      <c r="D16" s="3" t="n">
        <v>1.17</v>
      </c>
      <c r="E16" s="3" t="n">
        <v>1.17</v>
      </c>
      <c r="F16" s="3" t="n">
        <v>1.17</v>
      </c>
      <c r="G16" s="3" t="n">
        <v>1.17</v>
      </c>
      <c r="H16" s="3" t="n">
        <v>1.18</v>
      </c>
      <c r="I16" s="3" t="n">
        <v>1.19</v>
      </c>
      <c r="J16" s="3" t="n">
        <v>1.19</v>
      </c>
      <c r="K16" s="3" t="n">
        <v>1.2</v>
      </c>
      <c r="L16" s="3" t="n">
        <v>1.21</v>
      </c>
      <c r="M16" s="3" t="n">
        <v>1.26</v>
      </c>
      <c r="N16" s="3" t="n">
        <v>1.28</v>
      </c>
    </row>
    <row r="17" customFormat="false" ht="15" hidden="false" customHeight="false" outlineLevel="0" collapsed="false">
      <c r="A17" s="0" t="s">
        <v>105</v>
      </c>
      <c r="C17" s="3" t="n">
        <v>4.63</v>
      </c>
      <c r="D17" s="3" t="n">
        <v>4.58</v>
      </c>
      <c r="E17" s="3" t="n">
        <v>4.53</v>
      </c>
      <c r="F17" s="3" t="n">
        <v>4.49</v>
      </c>
      <c r="G17" s="3" t="n">
        <v>4.45</v>
      </c>
      <c r="H17" s="3" t="n">
        <v>4.41</v>
      </c>
      <c r="I17" s="3" t="n">
        <v>4.23</v>
      </c>
      <c r="J17" s="3" t="n">
        <v>4.19</v>
      </c>
      <c r="K17" s="3" t="n">
        <v>4</v>
      </c>
      <c r="L17" s="3" t="n">
        <v>3.82</v>
      </c>
      <c r="M17" s="3" t="n">
        <v>3.25</v>
      </c>
      <c r="N17" s="3" t="n">
        <v>3.01</v>
      </c>
    </row>
    <row r="18" customFormat="false" ht="15" hidden="false" customHeight="false" outlineLevel="0" collapsed="false">
      <c r="A18" s="0" t="s">
        <v>106</v>
      </c>
      <c r="C18" s="3" t="n">
        <v>5.69</v>
      </c>
      <c r="D18" s="3" t="n">
        <v>5.89</v>
      </c>
      <c r="E18" s="3" t="n">
        <v>5.91</v>
      </c>
      <c r="F18" s="3" t="n">
        <v>5.85</v>
      </c>
      <c r="G18" s="3" t="n">
        <v>5.7</v>
      </c>
      <c r="H18" s="3" t="n">
        <v>5.53</v>
      </c>
      <c r="I18" s="3" t="n">
        <v>5.51</v>
      </c>
      <c r="J18" s="3" t="n">
        <v>5.34</v>
      </c>
      <c r="K18" s="3" t="n">
        <v>5.3</v>
      </c>
      <c r="L18" s="3" t="n">
        <v>5.26</v>
      </c>
      <c r="M18" s="3" t="n">
        <v>5.17</v>
      </c>
      <c r="N18" s="3" t="n">
        <v>5.2</v>
      </c>
    </row>
    <row r="19" customFormat="false" ht="15" hidden="false" customHeight="false" outlineLevel="0" collapsed="false">
      <c r="A19" s="0" t="s">
        <v>107</v>
      </c>
      <c r="C19" s="3" t="n">
        <v>34</v>
      </c>
      <c r="D19" s="3" t="n">
        <v>34</v>
      </c>
      <c r="E19" s="3" t="n">
        <v>31</v>
      </c>
      <c r="F19" s="3" t="n">
        <v>31</v>
      </c>
      <c r="G19" s="3" t="n">
        <v>31</v>
      </c>
      <c r="H19" s="3" t="n">
        <v>31</v>
      </c>
      <c r="I19" s="3" t="n">
        <v>31</v>
      </c>
      <c r="J19" s="3" t="n">
        <v>31</v>
      </c>
      <c r="K19" s="3" t="n">
        <v>31</v>
      </c>
      <c r="L19" s="3" t="n">
        <v>31</v>
      </c>
      <c r="M19" s="3" t="n">
        <v>31</v>
      </c>
      <c r="N19" s="3" t="n">
        <v>31</v>
      </c>
    </row>
    <row r="20" customFormat="false" ht="15" hidden="false" customHeight="false" outlineLevel="0" collapsed="false">
      <c r="A20" s="0" t="s">
        <v>108</v>
      </c>
      <c r="B20" s="3" t="n">
        <v>7</v>
      </c>
    </row>
    <row r="21" customFormat="false" ht="15" hidden="false" customHeight="false" outlineLevel="0" collapsed="false">
      <c r="A21" s="0" t="s">
        <v>109</v>
      </c>
      <c r="B21" s="3" t="n">
        <v>1.5</v>
      </c>
    </row>
    <row r="22" customFormat="false" ht="15" hidden="false" customHeight="false" outlineLevel="0" collapsed="false">
      <c r="A22" s="0" t="s">
        <v>110</v>
      </c>
      <c r="B22" s="3" t="n">
        <v>13</v>
      </c>
    </row>
    <row r="23" customFormat="false" ht="15" hidden="false" customHeight="false" outlineLevel="0" collapsed="false">
      <c r="A23" s="0" t="s">
        <v>111</v>
      </c>
      <c r="B23" s="3" t="n">
        <v>10</v>
      </c>
    </row>
    <row r="24" customFormat="false" ht="15" hidden="false" customHeight="false" outlineLevel="0" collapsed="false">
      <c r="A24" s="0" t="s">
        <v>112</v>
      </c>
      <c r="B24" s="3" t="n">
        <v>0.25</v>
      </c>
    </row>
    <row r="26" customFormat="false" ht="15" hidden="false" customHeight="false" outlineLevel="0" collapsed="false">
      <c r="A26" s="2" t="s">
        <v>113</v>
      </c>
      <c r="C26" s="2" t="s">
        <v>89</v>
      </c>
      <c r="D26" s="2" t="s">
        <v>90</v>
      </c>
      <c r="E26" s="2" t="s">
        <v>91</v>
      </c>
      <c r="F26" s="2" t="s">
        <v>92</v>
      </c>
      <c r="G26" s="2" t="s">
        <v>93</v>
      </c>
      <c r="H26" s="2" t="s">
        <v>94</v>
      </c>
      <c r="I26" s="2" t="s">
        <v>95</v>
      </c>
      <c r="J26" s="2" t="s">
        <v>96</v>
      </c>
      <c r="K26" s="2" t="s">
        <v>97</v>
      </c>
      <c r="L26" s="2" t="s">
        <v>98</v>
      </c>
      <c r="M26" s="2" t="s">
        <v>99</v>
      </c>
      <c r="N26" s="2" t="s">
        <v>100</v>
      </c>
    </row>
    <row r="27" customFormat="false" ht="15" hidden="false" customHeight="false" outlineLevel="0" collapsed="false">
      <c r="A27" s="0" t="s">
        <v>101</v>
      </c>
      <c r="C27" s="3" t="n">
        <v>2.55</v>
      </c>
      <c r="D27" s="3" t="n">
        <v>4.32</v>
      </c>
      <c r="E27" s="3" t="n">
        <v>4.33</v>
      </c>
      <c r="F27" s="3" t="n">
        <v>4.05</v>
      </c>
      <c r="G27" s="3" t="n">
        <v>3.87</v>
      </c>
      <c r="H27" s="3" t="n">
        <v>3.69</v>
      </c>
      <c r="I27" s="3" t="n">
        <v>2.53</v>
      </c>
      <c r="J27" s="3" t="n">
        <v>3.02</v>
      </c>
      <c r="K27" s="3" t="n">
        <v>1.91</v>
      </c>
      <c r="L27" s="3" t="n">
        <v>1.72</v>
      </c>
      <c r="M27" s="3" t="n">
        <v>-1.03</v>
      </c>
      <c r="N27" s="3" t="n">
        <v>0.99</v>
      </c>
    </row>
    <row r="28" customFormat="false" ht="15" hidden="false" customHeight="false" outlineLevel="0" collapsed="false">
      <c r="A28" s="0" t="s">
        <v>102</v>
      </c>
      <c r="C28" s="3" t="n">
        <v>18.07</v>
      </c>
      <c r="D28" s="3" t="n">
        <v>18.16</v>
      </c>
      <c r="E28" s="3" t="n">
        <v>18.26</v>
      </c>
      <c r="F28" s="3" t="n">
        <v>18.27</v>
      </c>
      <c r="G28" s="3" t="n">
        <v>18.3</v>
      </c>
      <c r="H28" s="3" t="n">
        <v>18.34</v>
      </c>
      <c r="I28" s="3" t="n">
        <v>17.93</v>
      </c>
      <c r="J28" s="3" t="n">
        <v>17.84</v>
      </c>
      <c r="K28" s="3" t="n">
        <v>17.37</v>
      </c>
      <c r="L28" s="3" t="n">
        <v>16.8</v>
      </c>
      <c r="M28" s="3" t="n">
        <v>14.86</v>
      </c>
      <c r="N28" s="3" t="n">
        <v>14.03</v>
      </c>
    </row>
    <row r="29" customFormat="false" ht="15" hidden="false" customHeight="false" outlineLevel="0" collapsed="false">
      <c r="A29" s="0" t="s">
        <v>103</v>
      </c>
      <c r="C29" s="3" t="n">
        <v>0.75</v>
      </c>
      <c r="D29" s="3" t="n">
        <v>0.75</v>
      </c>
      <c r="E29" s="3" t="n">
        <v>0.75</v>
      </c>
      <c r="F29" s="3" t="n">
        <v>0.75</v>
      </c>
      <c r="G29" s="3" t="n">
        <v>0.75</v>
      </c>
      <c r="H29" s="3" t="n">
        <v>0.75</v>
      </c>
      <c r="I29" s="3" t="n">
        <v>0.75</v>
      </c>
      <c r="J29" s="3" t="n">
        <v>0.75</v>
      </c>
      <c r="K29" s="3" t="n">
        <v>0.75</v>
      </c>
      <c r="L29" s="3" t="n">
        <v>0.75</v>
      </c>
      <c r="M29" s="3" t="n">
        <v>0.75</v>
      </c>
      <c r="N29" s="3" t="n">
        <v>0.75</v>
      </c>
    </row>
    <row r="30" customFormat="false" ht="15" hidden="false" customHeight="false" outlineLevel="0" collapsed="false">
      <c r="A30" s="0" t="s">
        <v>104</v>
      </c>
      <c r="C30" s="3" t="n">
        <v>1.17</v>
      </c>
      <c r="D30" s="3" t="n">
        <v>1.17</v>
      </c>
      <c r="E30" s="3" t="n">
        <v>1.17</v>
      </c>
      <c r="F30" s="3" t="n">
        <v>1.17</v>
      </c>
      <c r="G30" s="3" t="n">
        <v>1.18</v>
      </c>
      <c r="H30" s="3" t="n">
        <v>1.18</v>
      </c>
      <c r="I30" s="3" t="n">
        <v>1.19</v>
      </c>
      <c r="J30" s="3" t="n">
        <v>1.19</v>
      </c>
      <c r="K30" s="3" t="n">
        <v>1.2</v>
      </c>
      <c r="L30" s="3" t="n">
        <v>1.22</v>
      </c>
      <c r="M30" s="3" t="n">
        <v>1.26</v>
      </c>
      <c r="N30" s="3" t="n">
        <v>1.28</v>
      </c>
    </row>
    <row r="31" customFormat="false" ht="15" hidden="false" customHeight="false" outlineLevel="0" collapsed="false">
      <c r="A31" s="0" t="s">
        <v>105</v>
      </c>
      <c r="C31" s="3" t="n">
        <v>4.61</v>
      </c>
      <c r="D31" s="3" t="n">
        <v>4.53</v>
      </c>
      <c r="E31" s="3" t="n">
        <v>4.46</v>
      </c>
      <c r="F31" s="3" t="n">
        <v>4.4</v>
      </c>
      <c r="G31" s="3" t="n">
        <v>4.34</v>
      </c>
      <c r="H31" s="3" t="n">
        <v>4.28</v>
      </c>
      <c r="I31" s="3" t="n">
        <v>4.11</v>
      </c>
      <c r="J31" s="3" t="n">
        <v>4.05</v>
      </c>
      <c r="K31" s="3" t="n">
        <v>3.87</v>
      </c>
      <c r="L31" s="3" t="n">
        <v>3.7</v>
      </c>
      <c r="M31" s="3" t="n">
        <v>3.21</v>
      </c>
      <c r="N31" s="3" t="n">
        <v>3</v>
      </c>
    </row>
    <row r="32" customFormat="false" ht="15" hidden="false" customHeight="false" outlineLevel="0" collapsed="false">
      <c r="A32" s="0" t="s">
        <v>106</v>
      </c>
      <c r="C32" s="3" t="n">
        <v>5.47</v>
      </c>
      <c r="D32" s="3" t="n">
        <v>5.56</v>
      </c>
      <c r="E32" s="3" t="n">
        <v>5.57</v>
      </c>
      <c r="F32" s="3" t="n">
        <v>5.49</v>
      </c>
      <c r="G32" s="3" t="n">
        <v>5.32</v>
      </c>
      <c r="H32" s="3" t="n">
        <v>5.16</v>
      </c>
      <c r="I32" s="3" t="n">
        <v>5.14</v>
      </c>
      <c r="J32" s="3" t="n">
        <v>5.09</v>
      </c>
      <c r="K32" s="3" t="n">
        <v>5.06</v>
      </c>
      <c r="L32" s="3" t="n">
        <v>4.93</v>
      </c>
      <c r="M32" s="3" t="n">
        <v>4.97</v>
      </c>
      <c r="N32" s="3" t="n">
        <v>5</v>
      </c>
    </row>
    <row r="33" customFormat="false" ht="15" hidden="false" customHeight="false" outlineLevel="0" collapsed="false">
      <c r="A33" s="0" t="s">
        <v>107</v>
      </c>
      <c r="C33" s="3" t="n">
        <v>34</v>
      </c>
      <c r="D33" s="3" t="n">
        <v>29.5</v>
      </c>
      <c r="E33" s="3" t="n">
        <v>29.5</v>
      </c>
      <c r="F33" s="3" t="n">
        <v>29.5</v>
      </c>
      <c r="G33" s="3" t="n">
        <v>29.5</v>
      </c>
      <c r="H33" s="3" t="n">
        <v>29.5</v>
      </c>
      <c r="I33" s="3" t="n">
        <v>29.5</v>
      </c>
      <c r="J33" s="3" t="n">
        <v>29.5</v>
      </c>
      <c r="K33" s="3" t="n">
        <v>29.5</v>
      </c>
      <c r="L33" s="3" t="n">
        <v>29.5</v>
      </c>
      <c r="M33" s="3" t="n">
        <v>29.5</v>
      </c>
      <c r="N33" s="3" t="n">
        <v>29.5</v>
      </c>
    </row>
    <row r="34" customFormat="false" ht="15" hidden="false" customHeight="false" outlineLevel="0" collapsed="false">
      <c r="A34" s="0" t="s">
        <v>108</v>
      </c>
      <c r="B34" s="3" t="n">
        <v>7</v>
      </c>
    </row>
    <row r="35" customFormat="false" ht="15" hidden="false" customHeight="false" outlineLevel="0" collapsed="false">
      <c r="A35" s="0" t="s">
        <v>109</v>
      </c>
      <c r="B35" s="3" t="n">
        <v>2</v>
      </c>
    </row>
    <row r="36" customFormat="false" ht="15" hidden="false" customHeight="false" outlineLevel="0" collapsed="false">
      <c r="A36" s="0" t="s">
        <v>110</v>
      </c>
      <c r="B36" s="3" t="n">
        <v>16</v>
      </c>
    </row>
    <row r="37" customFormat="false" ht="15" hidden="false" customHeight="false" outlineLevel="0" collapsed="false">
      <c r="A37" s="0" t="s">
        <v>111</v>
      </c>
      <c r="B37" s="3" t="n">
        <v>25</v>
      </c>
    </row>
    <row r="38" customFormat="false" ht="15" hidden="false" customHeight="false" outlineLevel="0" collapsed="false">
      <c r="A38" s="0" t="s">
        <v>112</v>
      </c>
      <c r="B38" s="3" t="n">
        <v>0.5</v>
      </c>
    </row>
    <row r="40" customFormat="false" ht="15" hidden="false" customHeight="false" outlineLevel="0" collapsed="false">
      <c r="A40" s="2" t="s">
        <v>114</v>
      </c>
      <c r="C40" s="2" t="s">
        <v>89</v>
      </c>
      <c r="D40" s="2" t="s">
        <v>90</v>
      </c>
      <c r="E40" s="2" t="s">
        <v>91</v>
      </c>
      <c r="F40" s="2" t="s">
        <v>92</v>
      </c>
      <c r="G40" s="2" t="s">
        <v>93</v>
      </c>
      <c r="H40" s="2" t="s">
        <v>94</v>
      </c>
      <c r="I40" s="2" t="s">
        <v>95</v>
      </c>
      <c r="J40" s="2" t="s">
        <v>96</v>
      </c>
      <c r="K40" s="2" t="s">
        <v>97</v>
      </c>
      <c r="L40" s="2" t="s">
        <v>98</v>
      </c>
      <c r="M40" s="2" t="s">
        <v>99</v>
      </c>
      <c r="N40" s="2" t="s">
        <v>100</v>
      </c>
    </row>
    <row r="41" customFormat="false" ht="15" hidden="false" customHeight="false" outlineLevel="0" collapsed="false">
      <c r="A41" s="0" t="s">
        <v>101</v>
      </c>
      <c r="C41" s="3" t="n">
        <v>3.36</v>
      </c>
      <c r="D41" s="3" t="n">
        <v>5.73</v>
      </c>
      <c r="E41" s="3" t="n">
        <v>5.74</v>
      </c>
      <c r="F41" s="3" t="n">
        <v>5.29</v>
      </c>
      <c r="G41" s="3" t="n">
        <v>4.83</v>
      </c>
      <c r="H41" s="3" t="n">
        <v>4.38</v>
      </c>
      <c r="I41" s="3" t="n">
        <v>3.05</v>
      </c>
      <c r="J41" s="3" t="n">
        <v>3.34</v>
      </c>
      <c r="K41" s="3" t="n">
        <v>2.16</v>
      </c>
      <c r="L41" s="3" t="n">
        <v>1.96</v>
      </c>
      <c r="M41" s="3" t="n">
        <v>-0.66</v>
      </c>
      <c r="N41" s="3" t="n">
        <v>1.5</v>
      </c>
    </row>
    <row r="42" customFormat="false" ht="15" hidden="false" customHeight="false" outlineLevel="0" collapsed="false">
      <c r="A42" s="0" t="s">
        <v>102</v>
      </c>
      <c r="C42" s="3" t="n">
        <v>18.26</v>
      </c>
      <c r="D42" s="3" t="n">
        <v>18.49</v>
      </c>
      <c r="E42" s="3" t="n">
        <v>18.63</v>
      </c>
      <c r="F42" s="3" t="n">
        <v>18.8</v>
      </c>
      <c r="G42" s="3" t="n">
        <v>18.9</v>
      </c>
      <c r="H42" s="3" t="n">
        <v>19.02</v>
      </c>
      <c r="I42" s="3" t="n">
        <v>18.63</v>
      </c>
      <c r="J42" s="3" t="n">
        <v>18.64</v>
      </c>
      <c r="K42" s="3" t="n">
        <v>18.19</v>
      </c>
      <c r="L42" s="3" t="n">
        <v>17.64</v>
      </c>
      <c r="M42" s="3" t="n">
        <v>15.74</v>
      </c>
      <c r="N42" s="3" t="n">
        <v>15.19</v>
      </c>
    </row>
    <row r="43" customFormat="false" ht="15" hidden="false" customHeight="false" outlineLevel="0" collapsed="false">
      <c r="A43" s="0" t="s">
        <v>103</v>
      </c>
      <c r="C43" s="3" t="n">
        <v>0.7</v>
      </c>
      <c r="D43" s="3" t="n">
        <v>0.7</v>
      </c>
      <c r="E43" s="3" t="n">
        <v>0.7</v>
      </c>
      <c r="F43" s="3" t="n">
        <v>0.7</v>
      </c>
      <c r="G43" s="3" t="n">
        <v>0.7</v>
      </c>
      <c r="H43" s="3" t="n">
        <v>0.7</v>
      </c>
      <c r="I43" s="3" t="n">
        <v>0.7</v>
      </c>
      <c r="J43" s="3" t="n">
        <v>0.7</v>
      </c>
      <c r="K43" s="3" t="n">
        <v>0.7</v>
      </c>
      <c r="L43" s="3" t="n">
        <v>0.7</v>
      </c>
      <c r="M43" s="3" t="n">
        <v>0.7</v>
      </c>
      <c r="N43" s="3" t="n">
        <v>0.7</v>
      </c>
    </row>
    <row r="44" customFormat="false" ht="15" hidden="false" customHeight="false" outlineLevel="0" collapsed="false">
      <c r="A44" s="0" t="s">
        <v>104</v>
      </c>
      <c r="C44" s="3" t="n">
        <v>1.17</v>
      </c>
      <c r="D44" s="3" t="n">
        <v>1.17</v>
      </c>
      <c r="E44" s="3" t="n">
        <v>1.17</v>
      </c>
      <c r="F44" s="3" t="n">
        <v>1.18</v>
      </c>
      <c r="G44" s="3" t="n">
        <v>1.18</v>
      </c>
      <c r="H44" s="3" t="n">
        <v>1.18</v>
      </c>
      <c r="I44" s="3" t="n">
        <v>1.19</v>
      </c>
      <c r="J44" s="3" t="n">
        <v>1.19</v>
      </c>
      <c r="K44" s="3" t="n">
        <v>1.21</v>
      </c>
      <c r="L44" s="3" t="n">
        <v>1.22</v>
      </c>
      <c r="M44" s="3" t="n">
        <v>1.26</v>
      </c>
      <c r="N44" s="3" t="n">
        <v>1.27</v>
      </c>
    </row>
    <row r="45" customFormat="false" ht="15" hidden="false" customHeight="false" outlineLevel="0" collapsed="false">
      <c r="A45" s="0" t="s">
        <v>105</v>
      </c>
      <c r="C45" s="3" t="n">
        <v>4.59</v>
      </c>
      <c r="D45" s="3" t="n">
        <v>4.5</v>
      </c>
      <c r="E45" s="3" t="n">
        <v>4.41</v>
      </c>
      <c r="F45" s="3" t="n">
        <v>4.33</v>
      </c>
      <c r="G45" s="3" t="n">
        <v>4.26</v>
      </c>
      <c r="H45" s="3" t="n">
        <v>4.19</v>
      </c>
      <c r="I45" s="3" t="n">
        <v>4.02</v>
      </c>
      <c r="J45" s="3" t="n">
        <v>3.97</v>
      </c>
      <c r="K45" s="3" t="n">
        <v>3.8</v>
      </c>
      <c r="L45" s="3" t="n">
        <v>3.64</v>
      </c>
      <c r="M45" s="3" t="n">
        <v>3.19</v>
      </c>
      <c r="N45" s="3" t="n">
        <v>3.06</v>
      </c>
    </row>
    <row r="46" customFormat="false" ht="15" hidden="false" customHeight="false" outlineLevel="0" collapsed="false">
      <c r="A46" s="0" t="s">
        <v>106</v>
      </c>
      <c r="C46" s="3" t="n">
        <v>5.46</v>
      </c>
      <c r="D46" s="3" t="n">
        <v>5.45</v>
      </c>
      <c r="E46" s="3" t="n">
        <v>5.46</v>
      </c>
      <c r="F46" s="3" t="n">
        <v>5.38</v>
      </c>
      <c r="G46" s="3" t="n">
        <v>5.21</v>
      </c>
      <c r="H46" s="3" t="n">
        <v>5.05</v>
      </c>
      <c r="I46" s="3" t="n">
        <v>5.03</v>
      </c>
      <c r="J46" s="3" t="n">
        <v>4.98</v>
      </c>
      <c r="K46" s="3" t="n">
        <v>4.86</v>
      </c>
      <c r="L46" s="3" t="n">
        <v>4.83</v>
      </c>
      <c r="M46" s="3" t="n">
        <v>4.9</v>
      </c>
      <c r="N46" s="3" t="n">
        <v>4.91</v>
      </c>
    </row>
    <row r="47" customFormat="false" ht="15" hidden="false" customHeight="false" outlineLevel="0" collapsed="false">
      <c r="A47" s="0" t="s">
        <v>107</v>
      </c>
      <c r="C47" s="3" t="n">
        <v>33</v>
      </c>
      <c r="D47" s="3" t="n">
        <v>28.5</v>
      </c>
      <c r="E47" s="3" t="n">
        <v>28.5</v>
      </c>
      <c r="F47" s="3" t="n">
        <v>28.5</v>
      </c>
      <c r="G47" s="3" t="n">
        <v>28.5</v>
      </c>
      <c r="H47" s="3" t="n">
        <v>28.5</v>
      </c>
      <c r="I47" s="3" t="n">
        <v>28.5</v>
      </c>
      <c r="J47" s="3" t="n">
        <v>28.5</v>
      </c>
      <c r="K47" s="3" t="n">
        <v>28.5</v>
      </c>
      <c r="L47" s="3" t="n">
        <v>28.5</v>
      </c>
      <c r="M47" s="3" t="n">
        <v>28.5</v>
      </c>
      <c r="N47" s="3" t="n">
        <v>28.5</v>
      </c>
    </row>
    <row r="48" customFormat="false" ht="15" hidden="false" customHeight="false" outlineLevel="0" collapsed="false">
      <c r="A48" s="0" t="s">
        <v>108</v>
      </c>
      <c r="B48" s="3" t="n">
        <v>7</v>
      </c>
    </row>
    <row r="49" customFormat="false" ht="15" hidden="false" customHeight="false" outlineLevel="0" collapsed="false">
      <c r="A49" s="0" t="s">
        <v>109</v>
      </c>
      <c r="B49" s="3" t="n">
        <v>2.5</v>
      </c>
    </row>
    <row r="50" customFormat="false" ht="15" hidden="false" customHeight="false" outlineLevel="0" collapsed="false">
      <c r="A50" s="0" t="s">
        <v>110</v>
      </c>
      <c r="B50" s="3" t="n">
        <v>18</v>
      </c>
    </row>
    <row r="51" customFormat="false" ht="15" hidden="false" customHeight="false" outlineLevel="0" collapsed="false">
      <c r="A51" s="0" t="s">
        <v>111</v>
      </c>
      <c r="B51" s="3" t="n">
        <v>35</v>
      </c>
    </row>
    <row r="52" customFormat="false" ht="15" hidden="false" customHeight="false" outlineLevel="0" collapsed="false">
      <c r="A52" s="0" t="s">
        <v>112</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115</v>
      </c>
    </row>
    <row r="3" customFormat="false" ht="15" hidden="false" customHeight="false" outlineLevel="0" collapsed="false">
      <c r="A3" s="0" t="s">
        <v>116</v>
      </c>
      <c r="B3" s="0" t="s">
        <v>75</v>
      </c>
      <c r="C3" s="2" t="s">
        <v>89</v>
      </c>
      <c r="D3" s="2" t="s">
        <v>90</v>
      </c>
      <c r="E3" s="2" t="s">
        <v>91</v>
      </c>
      <c r="F3" s="2" t="s">
        <v>92</v>
      </c>
      <c r="G3" s="2" t="s">
        <v>93</v>
      </c>
      <c r="H3" s="2" t="s">
        <v>94</v>
      </c>
      <c r="I3" s="2" t="s">
        <v>95</v>
      </c>
      <c r="J3" s="2" t="s">
        <v>96</v>
      </c>
      <c r="K3" s="2" t="s">
        <v>97</v>
      </c>
      <c r="L3" s="2" t="s">
        <v>98</v>
      </c>
      <c r="M3" s="2" t="s">
        <v>99</v>
      </c>
      <c r="N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c r="M4" s="0" t="n">
        <f aca="false">L4+1</f>
        <v>11</v>
      </c>
      <c r="N4" s="0" t="n">
        <f aca="false">M4+1</f>
        <v>12</v>
      </c>
    </row>
    <row r="5" customFormat="false" ht="15" hidden="false" customHeight="false" outlineLevel="0" collapsed="false">
      <c r="A5" s="0" t="s">
        <v>101</v>
      </c>
      <c r="C5" s="4" t="n">
        <f aca="false">Assumptions!C13</f>
        <v>1.36</v>
      </c>
      <c r="D5" s="4" t="n">
        <f aca="false">Assumptions!D13</f>
        <v>2.87</v>
      </c>
      <c r="E5" s="4" t="n">
        <f aca="false">Assumptions!E13</f>
        <v>2.87</v>
      </c>
      <c r="F5" s="4" t="n">
        <f aca="false">Assumptions!F13</f>
        <v>2.69</v>
      </c>
      <c r="G5" s="4" t="n">
        <f aca="false">Assumptions!G13</f>
        <v>2.41</v>
      </c>
      <c r="H5" s="4" t="n">
        <f aca="false">Assumptions!H13</f>
        <v>2.42</v>
      </c>
      <c r="I5" s="4" t="n">
        <f aca="false">Assumptions!I13</f>
        <v>1.24</v>
      </c>
      <c r="J5" s="4" t="n">
        <f aca="false">Assumptions!J13</f>
        <v>1.83</v>
      </c>
      <c r="K5" s="4" t="n">
        <f aca="false">Assumptions!K13</f>
        <v>0.9</v>
      </c>
      <c r="L5" s="4" t="n">
        <f aca="false">Assumptions!L13</f>
        <v>0.89</v>
      </c>
      <c r="M5" s="4" t="n">
        <f aca="false">Assumptions!M13</f>
        <v>-1.61</v>
      </c>
      <c r="N5" s="4" t="n">
        <f aca="false">Assumptions!N13</f>
        <v>0.47</v>
      </c>
    </row>
    <row r="6" customFormat="false" ht="15" hidden="false" customHeight="false" outlineLevel="0" collapsed="false">
      <c r="A6" s="0" t="s">
        <v>37</v>
      </c>
      <c r="B6" s="3" t="n">
        <v>74599</v>
      </c>
      <c r="C6" s="0" t="n">
        <f aca="false">B6*(1+C5/100)</f>
        <v>75613.5464</v>
      </c>
      <c r="D6" s="0" t="n">
        <f aca="false">C6*(1+D5/100)</f>
        <v>77783.65518168</v>
      </c>
      <c r="E6" s="0" t="n">
        <f aca="false">D6*(1+E5/100)</f>
        <v>80016.0460853942</v>
      </c>
      <c r="F6" s="0" t="n">
        <f aca="false">E6*(1+F5/100)</f>
        <v>82168.4777250913</v>
      </c>
      <c r="G6" s="0" t="n">
        <f aca="false">F6*(1+G5/100)</f>
        <v>84148.738038266</v>
      </c>
      <c r="H6" s="0" t="n">
        <f aca="false">G6*(1+H5/100)</f>
        <v>86185.1374987921</v>
      </c>
      <c r="I6" s="0" t="n">
        <f aca="false">H6*(1+I5/100)</f>
        <v>87253.8332037771</v>
      </c>
      <c r="J6" s="0" t="n">
        <f aca="false">I6*(1+J5/100)</f>
        <v>88850.5783514062</v>
      </c>
      <c r="K6" s="0" t="n">
        <f aca="false">J6*(1+K5/100)</f>
        <v>89650.2335565688</v>
      </c>
      <c r="L6" s="0" t="n">
        <f aca="false">K6*(1+L5/100)</f>
        <v>90448.1206352223</v>
      </c>
      <c r="M6" s="0" t="n">
        <f aca="false">L6*(1+M5/100)</f>
        <v>88991.9058929952</v>
      </c>
      <c r="N6" s="0" t="n">
        <f aca="false">M6*(1+N5/100)</f>
        <v>89410.1678506923</v>
      </c>
    </row>
    <row r="7" customFormat="false" ht="15" hidden="false" customHeight="false" outlineLevel="0" collapsed="false">
      <c r="A7" s="0" t="s">
        <v>102</v>
      </c>
      <c r="C7" s="4" t="n">
        <f aca="false">Assumptions!C14</f>
        <v>17.58</v>
      </c>
      <c r="D7" s="4" t="n">
        <f aca="false">Assumptions!D14</f>
        <v>17.51</v>
      </c>
      <c r="E7" s="4" t="n">
        <f aca="false">Assumptions!E14</f>
        <v>17.54</v>
      </c>
      <c r="F7" s="4" t="n">
        <f aca="false">Assumptions!F14</f>
        <v>17.58</v>
      </c>
      <c r="G7" s="4" t="n">
        <f aca="false">Assumptions!G14</f>
        <v>17.63</v>
      </c>
      <c r="H7" s="4" t="n">
        <f aca="false">Assumptions!H14</f>
        <v>17.58</v>
      </c>
      <c r="I7" s="4" t="n">
        <f aca="false">Assumptions!I14</f>
        <v>17.19</v>
      </c>
      <c r="J7" s="4" t="n">
        <f aca="false">Assumptions!J14</f>
        <v>17.11</v>
      </c>
      <c r="K7" s="4" t="n">
        <f aca="false">Assumptions!K14</f>
        <v>16.55</v>
      </c>
      <c r="L7" s="4" t="n">
        <f aca="false">Assumptions!L14</f>
        <v>15.98</v>
      </c>
      <c r="M7" s="4" t="n">
        <f aca="false">Assumptions!M14</f>
        <v>14.05</v>
      </c>
      <c r="N7" s="4" t="n">
        <f aca="false">Assumptions!N14</f>
        <v>13.22</v>
      </c>
    </row>
    <row r="8" customFormat="false" ht="15" hidden="false" customHeight="false" outlineLevel="0" collapsed="false">
      <c r="A8" s="0" t="s">
        <v>43</v>
      </c>
      <c r="C8" s="0" t="n">
        <f aca="false">C6*C7/100</f>
        <v>13292.86145712</v>
      </c>
      <c r="D8" s="0" t="n">
        <f aca="false">D6*D7/100</f>
        <v>13619.9180223122</v>
      </c>
      <c r="E8" s="0" t="n">
        <f aca="false">E6*E7/100</f>
        <v>14034.8144833781</v>
      </c>
      <c r="F8" s="0" t="n">
        <f aca="false">F6*F7/100</f>
        <v>14445.2183840711</v>
      </c>
      <c r="G8" s="0" t="n">
        <f aca="false">G6*G7/100</f>
        <v>14835.4225161463</v>
      </c>
      <c r="H8" s="0" t="n">
        <f aca="false">H6*H7/100</f>
        <v>15151.3471722876</v>
      </c>
      <c r="I8" s="0" t="n">
        <f aca="false">I6*I7/100</f>
        <v>14998.9339277293</v>
      </c>
      <c r="J8" s="0" t="n">
        <f aca="false">J6*J7/100</f>
        <v>15202.3339559256</v>
      </c>
      <c r="K8" s="0" t="n">
        <f aca="false">K6*K7/100</f>
        <v>14837.1136536121</v>
      </c>
      <c r="L8" s="0" t="n">
        <f aca="false">L6*L7/100</f>
        <v>14453.6096775085</v>
      </c>
      <c r="M8" s="0" t="n">
        <f aca="false">M6*M7/100</f>
        <v>12503.3627779658</v>
      </c>
      <c r="N8" s="0" t="n">
        <f aca="false">N6*N7/100</f>
        <v>11820.0241898615</v>
      </c>
    </row>
    <row r="9" customFormat="false" ht="15" hidden="false" customHeight="false" outlineLevel="0" collapsed="false">
      <c r="A9" s="0" t="s">
        <v>103</v>
      </c>
      <c r="C9" s="4" t="n">
        <f aca="false">Assumptions!C15</f>
        <v>0.85</v>
      </c>
      <c r="D9" s="4" t="n">
        <f aca="false">Assumptions!D15</f>
        <v>0.85</v>
      </c>
      <c r="E9" s="4" t="n">
        <f aca="false">Assumptions!E15</f>
        <v>0.85</v>
      </c>
      <c r="F9" s="4" t="n">
        <f aca="false">Assumptions!F15</f>
        <v>0.85</v>
      </c>
      <c r="G9" s="4" t="n">
        <f aca="false">Assumptions!G15</f>
        <v>0.85</v>
      </c>
      <c r="H9" s="4" t="n">
        <f aca="false">Assumptions!H15</f>
        <v>0.85</v>
      </c>
      <c r="I9" s="4" t="n">
        <f aca="false">Assumptions!I15</f>
        <v>0.85</v>
      </c>
      <c r="J9" s="4" t="n">
        <f aca="false">Assumptions!J15</f>
        <v>0.85</v>
      </c>
      <c r="K9" s="4" t="n">
        <f aca="false">Assumptions!K15</f>
        <v>0.85</v>
      </c>
      <c r="L9" s="4" t="n">
        <f aca="false">Assumptions!L15</f>
        <v>0.85</v>
      </c>
      <c r="M9" s="4" t="n">
        <f aca="false">Assumptions!M15</f>
        <v>0.85</v>
      </c>
      <c r="N9" s="4" t="n">
        <f aca="false">Assumptions!N15</f>
        <v>0.85</v>
      </c>
    </row>
    <row r="10" customFormat="false" ht="15" hidden="false" customHeight="false" outlineLevel="0" collapsed="false">
      <c r="A10" s="0" t="s">
        <v>118</v>
      </c>
      <c r="C10" s="0" t="n">
        <f aca="false">-C6*C9/100</f>
        <v>-642.7151444</v>
      </c>
      <c r="D10" s="0" t="n">
        <f aca="false">-D6*D9/100</f>
        <v>-661.16106904428</v>
      </c>
      <c r="E10" s="0" t="n">
        <f aca="false">-E6*E9/100</f>
        <v>-680.136391725851</v>
      </c>
      <c r="F10" s="0" t="n">
        <f aca="false">-F6*F9/100</f>
        <v>-698.432060663276</v>
      </c>
      <c r="G10" s="0" t="n">
        <f aca="false">-G6*G9/100</f>
        <v>-715.264273325261</v>
      </c>
      <c r="H10" s="0" t="n">
        <f aca="false">-H6*H9/100</f>
        <v>-732.573668739733</v>
      </c>
      <c r="I10" s="0" t="n">
        <f aca="false">-I6*I9/100</f>
        <v>-741.657582232105</v>
      </c>
      <c r="J10" s="0" t="n">
        <f aca="false">-J6*J9/100</f>
        <v>-755.229915986953</v>
      </c>
      <c r="K10" s="0" t="n">
        <f aca="false">-K6*K9/100</f>
        <v>-762.026985230835</v>
      </c>
      <c r="L10" s="0" t="n">
        <f aca="false">-L6*L9/100</f>
        <v>-768.80902539939</v>
      </c>
      <c r="M10" s="0" t="n">
        <f aca="false">-M6*M9/100</f>
        <v>-756.431200090459</v>
      </c>
      <c r="N10" s="0" t="n">
        <f aca="false">-N6*N9/100</f>
        <v>-759.986426730884</v>
      </c>
    </row>
    <row r="11" customFormat="false" ht="15" hidden="false" customHeight="false" outlineLevel="0" collapsed="false">
      <c r="A11" s="0" t="s">
        <v>119</v>
      </c>
      <c r="C11" s="0" t="n">
        <f aca="false">C8+C10+C24</f>
        <v>11765.46781984</v>
      </c>
      <c r="D11" s="0" t="n">
        <f aca="false">D8+D10+D24</f>
        <v>12048.6881876422</v>
      </c>
      <c r="E11" s="0" t="n">
        <f aca="false">E8+E10+E24</f>
        <v>12418.4903524532</v>
      </c>
      <c r="F11" s="0" t="n">
        <f aca="false">F8+F10+F24</f>
        <v>12785.4151340242</v>
      </c>
      <c r="G11" s="0" t="n">
        <f aca="false">G8+G10+G24</f>
        <v>13135.6180077733</v>
      </c>
      <c r="H11" s="0" t="n">
        <f aca="false">H8+H10+H24</f>
        <v>13401.7888810622</v>
      </c>
      <c r="I11" s="0" t="n">
        <f aca="false">I8+I10+I24</f>
        <v>13218.9557303722</v>
      </c>
      <c r="J11" s="0" t="n">
        <f aca="false">J8+J10+J24</f>
        <v>13389.7821575569</v>
      </c>
      <c r="K11" s="0" t="n">
        <f aca="false">K8+K10+K24</f>
        <v>12999.2838657025</v>
      </c>
      <c r="L11" s="0" t="n">
        <f aca="false">L8+L10+L24</f>
        <v>12590.3783924229</v>
      </c>
      <c r="M11" s="0" t="n">
        <f aca="false">M8+M10+M24</f>
        <v>10625.6335636236</v>
      </c>
      <c r="N11" s="0" t="n">
        <f aca="false">N8+N10+N24</f>
        <v>9915.58761464178</v>
      </c>
    </row>
    <row r="12" customFormat="false" ht="15" hidden="false" customHeight="false" outlineLevel="0" collapsed="false">
      <c r="A12" s="0" t="s">
        <v>120</v>
      </c>
      <c r="C12" s="4" t="n">
        <f aca="false">-C6*Assumptions!C17/100</f>
        <v>-3500.90719832</v>
      </c>
      <c r="D12" s="4" t="n">
        <f aca="false">-D6*Assumptions!D17/100</f>
        <v>-3562.49140732094</v>
      </c>
      <c r="E12" s="4" t="n">
        <f aca="false">-E6*Assumptions!E17/100</f>
        <v>-3624.72688766836</v>
      </c>
      <c r="F12" s="4" t="n">
        <f aca="false">-F6*Assumptions!F17/100</f>
        <v>-3689.3646498566</v>
      </c>
      <c r="G12" s="4" t="n">
        <f aca="false">-G6*Assumptions!G17/100</f>
        <v>-3744.61884270284</v>
      </c>
      <c r="H12" s="4" t="n">
        <f aca="false">-H6*Assumptions!H17/100</f>
        <v>-3800.76456369673</v>
      </c>
      <c r="I12" s="4" t="n">
        <f aca="false">-I6*Assumptions!I17/100</f>
        <v>-3690.83714451977</v>
      </c>
      <c r="J12" s="4" t="n">
        <f aca="false">-J6*Assumptions!J17/100</f>
        <v>-3722.83923292392</v>
      </c>
      <c r="K12" s="4" t="n">
        <f aca="false">-K6*Assumptions!K17/100</f>
        <v>-3586.00934226275</v>
      </c>
      <c r="L12" s="4" t="n">
        <f aca="false">-L6*Assumptions!L17/100</f>
        <v>-3455.11820826549</v>
      </c>
      <c r="M12" s="4" t="n">
        <f aca="false">-M6*Assumptions!M17/100</f>
        <v>-2892.23694152234</v>
      </c>
      <c r="N12" s="4" t="n">
        <f aca="false">-N6*Assumptions!N17/100</f>
        <v>-2691.24605230584</v>
      </c>
    </row>
    <row r="13" customFormat="false" ht="15" hidden="false" customHeight="false" outlineLevel="0" collapsed="false">
      <c r="A13" s="0" t="s">
        <v>121</v>
      </c>
      <c r="C13" s="0" t="n">
        <f aca="false">C11+C12</f>
        <v>8264.56062152</v>
      </c>
      <c r="D13" s="0" t="n">
        <f aca="false">D11+D12</f>
        <v>8486.19678032129</v>
      </c>
      <c r="E13" s="0" t="n">
        <f aca="false">E11+E12</f>
        <v>8793.76346478482</v>
      </c>
      <c r="F13" s="0" t="n">
        <f aca="false">F11+F12</f>
        <v>9096.05048416761</v>
      </c>
      <c r="G13" s="0" t="n">
        <f aca="false">G11+G12</f>
        <v>9390.99916507049</v>
      </c>
      <c r="H13" s="0" t="n">
        <f aca="false">H11+H12</f>
        <v>9601.02431736543</v>
      </c>
      <c r="I13" s="0" t="n">
        <f aca="false">I11+I12</f>
        <v>9528.11858585246</v>
      </c>
      <c r="J13" s="0" t="n">
        <f aca="false">J11+J12</f>
        <v>9666.94292463299</v>
      </c>
      <c r="K13" s="0" t="n">
        <f aca="false">K11+K12</f>
        <v>9413.27452343973</v>
      </c>
      <c r="L13" s="0" t="n">
        <f aca="false">L11+L12</f>
        <v>9135.26018415745</v>
      </c>
      <c r="M13" s="0" t="n">
        <f aca="false">M11+M12</f>
        <v>7733.39662210128</v>
      </c>
      <c r="N13" s="0" t="n">
        <f aca="false">N11+N12</f>
        <v>7224.34156233594</v>
      </c>
    </row>
    <row r="14" customFormat="false" ht="15" hidden="false" customHeight="false" outlineLevel="0" collapsed="false">
      <c r="A14" s="0" t="s">
        <v>107</v>
      </c>
      <c r="C14" s="4" t="n">
        <f aca="false">Assumptions!C19</f>
        <v>34</v>
      </c>
      <c r="D14" s="4" t="n">
        <f aca="false">Assumptions!D19</f>
        <v>34</v>
      </c>
      <c r="E14" s="4" t="n">
        <f aca="false">Assumptions!E19</f>
        <v>31</v>
      </c>
      <c r="F14" s="4" t="n">
        <f aca="false">Assumptions!F19</f>
        <v>31</v>
      </c>
      <c r="G14" s="4" t="n">
        <f aca="false">Assumptions!G19</f>
        <v>31</v>
      </c>
      <c r="H14" s="4" t="n">
        <f aca="false">Assumptions!H19</f>
        <v>31</v>
      </c>
      <c r="I14" s="4" t="n">
        <f aca="false">Assumptions!I19</f>
        <v>31</v>
      </c>
      <c r="J14" s="4" t="n">
        <f aca="false">Assumptions!J19</f>
        <v>31</v>
      </c>
      <c r="K14" s="4" t="n">
        <f aca="false">Assumptions!K19</f>
        <v>31</v>
      </c>
      <c r="L14" s="4" t="n">
        <f aca="false">Assumptions!L19</f>
        <v>31</v>
      </c>
      <c r="M14" s="4" t="n">
        <f aca="false">Assumptions!M19</f>
        <v>31</v>
      </c>
      <c r="N14" s="4" t="n">
        <f aca="false">Assumptions!N19</f>
        <v>31</v>
      </c>
    </row>
    <row r="15" customFormat="false" ht="15" hidden="false" customHeight="false" outlineLevel="0" collapsed="false">
      <c r="A15" s="0" t="s">
        <v>122</v>
      </c>
      <c r="C15" s="0" t="n">
        <f aca="false">C13-MAX(0,C13)*C14/100</f>
        <v>5454.6100102032</v>
      </c>
      <c r="D15" s="0" t="n">
        <f aca="false">D13-MAX(0,D13)*D14/100</f>
        <v>5600.88987501205</v>
      </c>
      <c r="E15" s="0" t="n">
        <f aca="false">E13-MAX(0,E13)*E14/100</f>
        <v>6067.69679070153</v>
      </c>
      <c r="F15" s="0" t="n">
        <f aca="false">F13-MAX(0,F13)*F14/100</f>
        <v>6276.27483407565</v>
      </c>
      <c r="G15" s="0" t="n">
        <f aca="false">G13-MAX(0,G13)*G14/100</f>
        <v>6479.78942389864</v>
      </c>
      <c r="H15" s="0" t="n">
        <f aca="false">H13-MAX(0,H13)*H14/100</f>
        <v>6624.70677898215</v>
      </c>
      <c r="I15" s="0" t="n">
        <f aca="false">I13-MAX(0,I13)*I14/100</f>
        <v>6574.4018242382</v>
      </c>
      <c r="J15" s="0" t="n">
        <f aca="false">J13-MAX(0,J13)*J14/100</f>
        <v>6670.19061799677</v>
      </c>
      <c r="K15" s="0" t="n">
        <f aca="false">K13-MAX(0,K13)*K14/100</f>
        <v>6495.15942117341</v>
      </c>
      <c r="L15" s="0" t="n">
        <f aca="false">L13-MAX(0,L13)*L14/100</f>
        <v>6303.32952706864</v>
      </c>
      <c r="M15" s="0" t="n">
        <f aca="false">M13-MAX(0,M13)*M14/100</f>
        <v>5336.04366924989</v>
      </c>
      <c r="N15" s="0" t="n">
        <f aca="false">N13-MAX(0,N13)*N14/100</f>
        <v>4984.7956780118</v>
      </c>
    </row>
    <row r="16" customFormat="false" ht="15" hidden="false" customHeight="false" outlineLevel="0" collapsed="false">
      <c r="A16" s="0" t="s">
        <v>123</v>
      </c>
      <c r="C16" s="0" t="n">
        <f aca="false">-C12</f>
        <v>3500.90719832</v>
      </c>
      <c r="D16" s="0" t="n">
        <f aca="false">-D12</f>
        <v>3562.49140732094</v>
      </c>
      <c r="E16" s="0" t="n">
        <f aca="false">-E12</f>
        <v>3624.72688766836</v>
      </c>
      <c r="F16" s="0" t="n">
        <f aca="false">-F12</f>
        <v>3689.3646498566</v>
      </c>
      <c r="G16" s="0" t="n">
        <f aca="false">-G12</f>
        <v>3744.61884270284</v>
      </c>
      <c r="H16" s="0" t="n">
        <f aca="false">-H12</f>
        <v>3800.76456369673</v>
      </c>
      <c r="I16" s="0" t="n">
        <f aca="false">-I12</f>
        <v>3690.83714451977</v>
      </c>
      <c r="J16" s="0" t="n">
        <f aca="false">-J12</f>
        <v>3722.83923292392</v>
      </c>
      <c r="K16" s="0" t="n">
        <f aca="false">-K12</f>
        <v>3586.00934226275</v>
      </c>
      <c r="L16" s="0" t="n">
        <f aca="false">-L12</f>
        <v>3455.11820826549</v>
      </c>
      <c r="M16" s="0" t="n">
        <f aca="false">-M12</f>
        <v>2892.23694152234</v>
      </c>
      <c r="N16" s="0" t="n">
        <f aca="false">-N12</f>
        <v>2691.24605230584</v>
      </c>
    </row>
    <row r="17" customFormat="false" ht="15" hidden="false" customHeight="false" outlineLevel="0" collapsed="false">
      <c r="A17" s="0" t="s">
        <v>124</v>
      </c>
      <c r="C17" s="4" t="n">
        <f aca="false">-C6*Assumptions!C18/100</f>
        <v>-4302.41079016</v>
      </c>
      <c r="D17" s="4" t="n">
        <f aca="false">-D6*Assumptions!D18/100</f>
        <v>-4581.45729020095</v>
      </c>
      <c r="E17" s="4" t="n">
        <f aca="false">-E6*Assumptions!E18/100</f>
        <v>-4728.9483236468</v>
      </c>
      <c r="F17" s="4" t="n">
        <f aca="false">-F6*Assumptions!F18/100</f>
        <v>-4806.85594691784</v>
      </c>
      <c r="G17" s="4" t="n">
        <f aca="false">-G6*Assumptions!G18/100</f>
        <v>-4796.47806818116</v>
      </c>
      <c r="H17" s="4" t="n">
        <f aca="false">-H6*Assumptions!H18/100</f>
        <v>-4766.0381036832</v>
      </c>
      <c r="I17" s="4" t="n">
        <f aca="false">-I6*Assumptions!I18/100</f>
        <v>-4807.68620952812</v>
      </c>
      <c r="J17" s="4" t="n">
        <f aca="false">-J6*Assumptions!J18/100</f>
        <v>-4744.62088396509</v>
      </c>
      <c r="K17" s="4" t="n">
        <f aca="false">-K6*Assumptions!K18/100</f>
        <v>-4751.46237849815</v>
      </c>
      <c r="L17" s="4" t="n">
        <f aca="false">-L6*Assumptions!L18/100</f>
        <v>-4757.57114541269</v>
      </c>
      <c r="M17" s="4" t="n">
        <f aca="false">-M6*Assumptions!M18/100</f>
        <v>-4600.88153466785</v>
      </c>
      <c r="N17" s="4" t="n">
        <f aca="false">-N6*Assumptions!N18/100</f>
        <v>-4649.328728236</v>
      </c>
    </row>
    <row r="18" customFormat="false" ht="15" hidden="false" customHeight="false" outlineLevel="0" collapsed="false">
      <c r="A18" s="0" t="s">
        <v>125</v>
      </c>
      <c r="C18" s="4" t="n">
        <f aca="false">(C6-B6)*Assumptions!$B$23/100</f>
        <v>101.454640000001</v>
      </c>
      <c r="D18" s="4" t="n">
        <f aca="false">(D6-C6)*Assumptions!$B$23/100</f>
        <v>217.010878168</v>
      </c>
      <c r="E18" s="4" t="n">
        <f aca="false">(E6-D6)*Assumptions!$B$23/100</f>
        <v>223.239090371421</v>
      </c>
      <c r="F18" s="4" t="n">
        <f aca="false">(F6-E6)*Assumptions!$B$23/100</f>
        <v>215.24316396971</v>
      </c>
      <c r="G18" s="4" t="n">
        <f aca="false">(G6-F6)*Assumptions!$B$23/100</f>
        <v>198.02603131747</v>
      </c>
      <c r="H18" s="4" t="n">
        <f aca="false">(H6-G6)*Assumptions!$B$23/100</f>
        <v>203.639946052604</v>
      </c>
      <c r="I18" s="4" t="n">
        <f aca="false">(I6-H6)*Assumptions!$B$23/100</f>
        <v>106.869570498502</v>
      </c>
      <c r="J18" s="4" t="n">
        <f aca="false">(J6-I6)*Assumptions!$B$23/100</f>
        <v>159.674514762912</v>
      </c>
      <c r="K18" s="4" t="n">
        <f aca="false">(K6-J6)*Assumptions!$B$23/100</f>
        <v>79.965520516265</v>
      </c>
      <c r="L18" s="4" t="n">
        <f aca="false">(L6-K6)*Assumptions!$B$23/100</f>
        <v>79.7887078653453</v>
      </c>
      <c r="M18" s="4" t="n">
        <f aca="false">(M6-L6)*Assumptions!$B$23/100</f>
        <v>-145.621474222708</v>
      </c>
      <c r="N18" s="4" t="n">
        <f aca="false">(N6-M6)*Assumptions!$B$23/100</f>
        <v>41.8261957697076</v>
      </c>
    </row>
    <row r="19" customFormat="false" ht="15" hidden="false" customHeight="false" outlineLevel="0" collapsed="false">
      <c r="A19" s="0" t="s">
        <v>126</v>
      </c>
      <c r="C19" s="0" t="n">
        <f aca="false">C15+C16+C17+C18</f>
        <v>4754.5610583632</v>
      </c>
      <c r="D19" s="0" t="n">
        <f aca="false">D15+D16+D17+D18</f>
        <v>4798.93487030005</v>
      </c>
      <c r="E19" s="0" t="n">
        <f aca="false">E15+E16+E17+E18</f>
        <v>5186.71444509451</v>
      </c>
      <c r="F19" s="0" t="n">
        <f aca="false">F15+F16+F17+F18</f>
        <v>5374.02670098412</v>
      </c>
      <c r="G19" s="0" t="n">
        <f aca="false">G15+G16+G17+G18</f>
        <v>5625.95622973778</v>
      </c>
      <c r="H19" s="0" t="n">
        <f aca="false">H15+H16+H17+H18</f>
        <v>5863.07318504828</v>
      </c>
      <c r="I19" s="0" t="n">
        <f aca="false">I15+I16+I17+I18</f>
        <v>5564.42232972835</v>
      </c>
      <c r="J19" s="0" t="n">
        <f aca="false">J15+J16+J17+J18</f>
        <v>5808.08348171851</v>
      </c>
      <c r="K19" s="0" t="n">
        <f aca="false">K15+K16+K17+K18</f>
        <v>5409.67190545428</v>
      </c>
      <c r="L19" s="0" t="n">
        <f aca="false">L15+L16+L17+L18</f>
        <v>5080.66529778679</v>
      </c>
      <c r="M19" s="0" t="n">
        <f aca="false">M15+M16+M17+M18</f>
        <v>3481.77760188167</v>
      </c>
      <c r="N19" s="0" t="n">
        <f aca="false">N15+N16+N17+N18</f>
        <v>3068.53919785135</v>
      </c>
    </row>
    <row r="20" customFormat="false" ht="15" hidden="false" customHeight="false" outlineLevel="0" collapsed="false">
      <c r="A20" s="0" t="s">
        <v>127</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c r="M20" s="0" t="n">
        <f aca="false">1/(1+$B$27/100)^M4</f>
        <v>0.475092796387586</v>
      </c>
      <c r="N20" s="0" t="n">
        <f aca="false">1/(1+$B$27/100)^N4</f>
        <v>0.444011959240735</v>
      </c>
    </row>
    <row r="21" customFormat="false" ht="15" hidden="false" customHeight="false" outlineLevel="0" collapsed="false">
      <c r="A21" s="0" t="s">
        <v>128</v>
      </c>
      <c r="C21" s="0" t="n">
        <f aca="false">C19*C20</f>
        <v>4443.51500781607</v>
      </c>
      <c r="D21" s="0" t="n">
        <f aca="false">D19*D20</f>
        <v>4191.57557018084</v>
      </c>
      <c r="E21" s="0" t="n">
        <f aca="false">E19*E20</f>
        <v>4233.90398956976</v>
      </c>
      <c r="F21" s="0" t="n">
        <f aca="false">F19*F20</f>
        <v>4099.81923959634</v>
      </c>
      <c r="G21" s="0" t="n">
        <f aca="false">G19*G20</f>
        <v>4011.22903818308</v>
      </c>
      <c r="H21" s="0" t="n">
        <f aca="false">H19*H20</f>
        <v>3906.81322452403</v>
      </c>
      <c r="I21" s="0" t="n">
        <f aca="false">I19*I20</f>
        <v>3465.24256957519</v>
      </c>
      <c r="J21" s="0" t="n">
        <f aca="false">J19*J20</f>
        <v>3380.35746643398</v>
      </c>
      <c r="K21" s="0" t="n">
        <f aca="false">K19*K20</f>
        <v>2942.50308568607</v>
      </c>
      <c r="L21" s="0" t="n">
        <f aca="false">L19*L20</f>
        <v>2582.75260770334</v>
      </c>
      <c r="M21" s="0" t="n">
        <f aca="false">M19*M20</f>
        <v>1654.16745727763</v>
      </c>
      <c r="N21" s="0" t="n">
        <f aca="false">N19*N20</f>
        <v>1362.46810124497</v>
      </c>
    </row>
    <row r="23" customFormat="false" ht="15" hidden="false" customHeight="false" outlineLevel="0" collapsed="false">
      <c r="A23" s="0" t="s">
        <v>104</v>
      </c>
      <c r="C23" s="4" t="n">
        <f aca="false">Assumptions!C16</f>
        <v>1.17</v>
      </c>
      <c r="D23" s="4" t="n">
        <f aca="false">Assumptions!D16</f>
        <v>1.17</v>
      </c>
      <c r="E23" s="4" t="n">
        <f aca="false">Assumptions!E16</f>
        <v>1.17</v>
      </c>
      <c r="F23" s="4" t="n">
        <f aca="false">Assumptions!F16</f>
        <v>1.17</v>
      </c>
      <c r="G23" s="4" t="n">
        <f aca="false">Assumptions!G16</f>
        <v>1.17</v>
      </c>
      <c r="H23" s="4" t="n">
        <f aca="false">Assumptions!H16</f>
        <v>1.18</v>
      </c>
      <c r="I23" s="4" t="n">
        <f aca="false">Assumptions!I16</f>
        <v>1.19</v>
      </c>
      <c r="J23" s="4" t="n">
        <f aca="false">Assumptions!J16</f>
        <v>1.19</v>
      </c>
      <c r="K23" s="4" t="n">
        <f aca="false">Assumptions!K16</f>
        <v>1.2</v>
      </c>
      <c r="L23" s="4" t="n">
        <f aca="false">Assumptions!L16</f>
        <v>1.21</v>
      </c>
      <c r="M23" s="4" t="n">
        <f aca="false">Assumptions!M16</f>
        <v>1.26</v>
      </c>
      <c r="N23" s="4" t="n">
        <f aca="false">Assumptions!N16</f>
        <v>1.28</v>
      </c>
    </row>
    <row r="24" customFormat="false" ht="15" hidden="false" customHeight="false" outlineLevel="0" collapsed="false">
      <c r="A24" s="0" t="s">
        <v>129</v>
      </c>
      <c r="C24" s="0" t="n">
        <f aca="false">-C6*C23/100</f>
        <v>-884.67849288</v>
      </c>
      <c r="D24" s="0" t="n">
        <f aca="false">-D6*D23/100</f>
        <v>-910.068765625656</v>
      </c>
      <c r="E24" s="0" t="n">
        <f aca="false">-E6*E23/100</f>
        <v>-936.187739199112</v>
      </c>
      <c r="F24" s="0" t="n">
        <f aca="false">-F6*F23/100</f>
        <v>-961.371189383568</v>
      </c>
      <c r="G24" s="0" t="n">
        <f aca="false">-G6*G23/100</f>
        <v>-984.540235047712</v>
      </c>
      <c r="H24" s="0" t="n">
        <f aca="false">-H6*H23/100</f>
        <v>-1016.98462248575</v>
      </c>
      <c r="I24" s="0" t="n">
        <f aca="false">-I6*I23/100</f>
        <v>-1038.32061512495</v>
      </c>
      <c r="J24" s="0" t="n">
        <f aca="false">-J6*J23/100</f>
        <v>-1057.32188238173</v>
      </c>
      <c r="K24" s="0" t="n">
        <f aca="false">-K6*K23/100</f>
        <v>-1075.80280267883</v>
      </c>
      <c r="L24" s="0" t="n">
        <f aca="false">-L6*L23/100</f>
        <v>-1094.42225968619</v>
      </c>
      <c r="M24" s="0" t="n">
        <f aca="false">-M6*M23/100</f>
        <v>-1121.29801425174</v>
      </c>
      <c r="N24" s="0" t="n">
        <f aca="false">-N6*N23/100</f>
        <v>-1144.45014848886</v>
      </c>
    </row>
    <row r="26" customFormat="false" ht="15" hidden="false" customHeight="false" outlineLevel="0" collapsed="false">
      <c r="A26" s="2" t="s">
        <v>130</v>
      </c>
    </row>
    <row r="27" customFormat="false" ht="15" hidden="false" customHeight="false" outlineLevel="0" collapsed="false">
      <c r="A27" s="0" t="s">
        <v>108</v>
      </c>
      <c r="B27" s="4" t="n">
        <f aca="false">Assumptions!$B$20</f>
        <v>7</v>
      </c>
    </row>
    <row r="28" customFormat="false" ht="15" hidden="false" customHeight="false" outlineLevel="0" collapsed="false">
      <c r="A28" s="0" t="s">
        <v>109</v>
      </c>
      <c r="B28" s="4" t="n">
        <f aca="false">Assumptions!$B$21</f>
        <v>1.5</v>
      </c>
    </row>
    <row r="29" customFormat="false" ht="15" hidden="false" customHeight="false" outlineLevel="0" collapsed="false">
      <c r="A29" s="0" t="s">
        <v>110</v>
      </c>
      <c r="B29" s="4" t="n">
        <f aca="false">Assumptions!$B$22</f>
        <v>13</v>
      </c>
    </row>
    <row r="30" customFormat="false" ht="15" hidden="false" customHeight="false" outlineLevel="0" collapsed="false">
      <c r="A30" s="0" t="s">
        <v>131</v>
      </c>
      <c r="B30" s="0" t="n">
        <f aca="false">SUM(C21:N21)</f>
        <v>40274.3473577913</v>
      </c>
    </row>
    <row r="31" customFormat="false" ht="15" hidden="false" customHeight="false" outlineLevel="0" collapsed="false">
      <c r="A31" s="0" t="s">
        <v>132</v>
      </c>
      <c r="B31" s="0" t="n">
        <f aca="false">N19</f>
        <v>3068.53919785135</v>
      </c>
    </row>
    <row r="32" customFormat="false" ht="15" hidden="false" customHeight="false" outlineLevel="0" collapsed="false">
      <c r="A32" s="0" t="s">
        <v>133</v>
      </c>
      <c r="B32" s="0" t="n">
        <f aca="false">IF(B27&gt;B28,B31*(1+B28/100)/((B27-B28)/100),B31*B29)</f>
        <v>56628.4961058021</v>
      </c>
    </row>
    <row r="33" customFormat="false" ht="15" hidden="false" customHeight="false" outlineLevel="0" collapsed="false">
      <c r="A33" s="0" t="s">
        <v>134</v>
      </c>
      <c r="B33" s="0" t="n">
        <f aca="false">B31*B29</f>
        <v>39891.0095720675</v>
      </c>
    </row>
    <row r="34" customFormat="false" ht="15" hidden="false" customHeight="false" outlineLevel="0" collapsed="false">
      <c r="A34" s="0" t="s">
        <v>135</v>
      </c>
      <c r="B34" s="0" t="n">
        <f aca="false">MAX(0,MIN(B32,B33))</f>
        <v>39891.0095720675</v>
      </c>
    </row>
    <row r="35" customFormat="false" ht="15" hidden="false" customHeight="false" outlineLevel="0" collapsed="false">
      <c r="A35" s="0" t="s">
        <v>136</v>
      </c>
      <c r="B35" s="0" t="n">
        <f aca="false">B34/(1+B27/100)^N4</f>
        <v>17712.0853161846</v>
      </c>
    </row>
    <row r="36" customFormat="false" ht="15" hidden="false" customHeight="false" outlineLevel="0" collapsed="false">
      <c r="A36" s="0" t="s">
        <v>137</v>
      </c>
      <c r="B36" s="0" t="n">
        <f aca="false">B30+B35</f>
        <v>57986.4326739759</v>
      </c>
    </row>
    <row r="37" customFormat="false" ht="15" hidden="false" customHeight="false" outlineLevel="0" collapsed="false">
      <c r="A37" s="0" t="s">
        <v>138</v>
      </c>
      <c r="B37" s="0" t="n">
        <f aca="false">B36+Assumptions!$B$5-Assumptions!$B$4</f>
        <v>32431.4326739759</v>
      </c>
    </row>
    <row r="38" customFormat="false" ht="15" hidden="false" customHeight="false" outlineLevel="0" collapsed="false">
      <c r="A38" s="0" t="s">
        <v>139</v>
      </c>
      <c r="B38" s="0" t="n">
        <f aca="false">B37/Assumptions!$B$3*Assumptions!$B$10</f>
        <v>57.8512891080555</v>
      </c>
    </row>
    <row r="39" customFormat="false" ht="15" hidden="false" customHeight="false" outlineLevel="0" collapsed="false">
      <c r="A39" s="0" t="s">
        <v>140</v>
      </c>
      <c r="B39" s="4" t="n">
        <f aca="false">B38/Assumptions!$B$2-1</f>
        <v>-0.456540262019207</v>
      </c>
    </row>
    <row r="41" customFormat="false" ht="15" hidden="false" customHeight="false" outlineLevel="0" collapsed="false">
      <c r="A41" s="0" t="s">
        <v>141</v>
      </c>
      <c r="B41" s="0" t="n">
        <f aca="false">SUMPRODUCT(-C10:N10/(1+$B$27/100)^C4:N4)</f>
        <v>5667.84626463775</v>
      </c>
    </row>
    <row r="42" customFormat="false" ht="15" hidden="false" customHeight="false" outlineLevel="0" collapsed="false">
      <c r="A42" s="0" t="s">
        <v>142</v>
      </c>
      <c r="B42" s="0" t="n">
        <f aca="false">IF(B27&gt;B28,-N10*(1+B28/100)/((B27-B28)/100),-N10*20)/(1+B27/100)^N4</f>
        <v>6227.35833207423</v>
      </c>
    </row>
    <row r="43" customFormat="false" ht="15" hidden="false" customHeight="false" outlineLevel="0" collapsed="false">
      <c r="A43" s="0" t="s">
        <v>143</v>
      </c>
      <c r="B43" s="0" t="n">
        <f aca="false">(B37+B41+B42)/Assumptions!$B$3*Assumptions!$B$10</f>
        <v>79.0699915638385</v>
      </c>
    </row>
    <row r="45" customFormat="false" ht="15" hidden="false" customHeight="false" outlineLevel="0" collapsed="false">
      <c r="A45" s="0" t="s">
        <v>82</v>
      </c>
      <c r="B45" s="4" t="n">
        <f aca="false">Assumptions!$B$6</f>
        <v>15</v>
      </c>
    </row>
    <row r="46" customFormat="false" ht="15" hidden="false" customHeight="false" outlineLevel="0" collapsed="false">
      <c r="A46" s="0" t="s">
        <v>144</v>
      </c>
      <c r="B46" s="0" t="n">
        <f aca="false">MAX(0,MIN(IF(B45&gt;B28,B31*(1+B28/100)/((B45-B28)/100),B31*B29),B31*B29))</f>
        <v>23070.8687838453</v>
      </c>
    </row>
    <row r="47" customFormat="false" ht="15" hidden="false" customHeight="false" outlineLevel="0" collapsed="false">
      <c r="A47" s="0" t="s">
        <v>145</v>
      </c>
      <c r="B47" s="0" t="n">
        <f aca="false">(SUMPRODUCT(C19:N19/(1+B45/100)^C4:N4)+B46/(1+B45/100)^N4+Assumptions!$B$5-Assumptions!$B$4)/Assumptions!$B$3*Assumptions!$B$10</f>
        <v>11.4896812595224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146</v>
      </c>
    </row>
    <row r="3" customFormat="false" ht="15" hidden="false" customHeight="false" outlineLevel="0" collapsed="false">
      <c r="A3" s="0" t="s">
        <v>116</v>
      </c>
      <c r="B3" s="0" t="s">
        <v>75</v>
      </c>
      <c r="C3" s="2" t="s">
        <v>89</v>
      </c>
      <c r="D3" s="2" t="s">
        <v>90</v>
      </c>
      <c r="E3" s="2" t="s">
        <v>91</v>
      </c>
      <c r="F3" s="2" t="s">
        <v>92</v>
      </c>
      <c r="G3" s="2" t="s">
        <v>93</v>
      </c>
      <c r="H3" s="2" t="s">
        <v>94</v>
      </c>
      <c r="I3" s="2" t="s">
        <v>95</v>
      </c>
      <c r="J3" s="2" t="s">
        <v>96</v>
      </c>
      <c r="K3" s="2" t="s">
        <v>97</v>
      </c>
      <c r="L3" s="2" t="s">
        <v>98</v>
      </c>
      <c r="M3" s="2" t="s">
        <v>99</v>
      </c>
      <c r="N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c r="M4" s="0" t="n">
        <f aca="false">L4+1</f>
        <v>11</v>
      </c>
      <c r="N4" s="0" t="n">
        <f aca="false">M4+1</f>
        <v>12</v>
      </c>
    </row>
    <row r="5" customFormat="false" ht="15" hidden="false" customHeight="false" outlineLevel="0" collapsed="false">
      <c r="A5" s="0" t="s">
        <v>101</v>
      </c>
      <c r="C5" s="4" t="n">
        <f aca="false">Assumptions!C27</f>
        <v>2.55</v>
      </c>
      <c r="D5" s="4" t="n">
        <f aca="false">Assumptions!D27</f>
        <v>4.32</v>
      </c>
      <c r="E5" s="4" t="n">
        <f aca="false">Assumptions!E27</f>
        <v>4.33</v>
      </c>
      <c r="F5" s="4" t="n">
        <f aca="false">Assumptions!F27</f>
        <v>4.05</v>
      </c>
      <c r="G5" s="4" t="n">
        <f aca="false">Assumptions!G27</f>
        <v>3.87</v>
      </c>
      <c r="H5" s="4" t="n">
        <f aca="false">Assumptions!H27</f>
        <v>3.69</v>
      </c>
      <c r="I5" s="4" t="n">
        <f aca="false">Assumptions!I27</f>
        <v>2.53</v>
      </c>
      <c r="J5" s="4" t="n">
        <f aca="false">Assumptions!J27</f>
        <v>3.02</v>
      </c>
      <c r="K5" s="4" t="n">
        <f aca="false">Assumptions!K27</f>
        <v>1.91</v>
      </c>
      <c r="L5" s="4" t="n">
        <f aca="false">Assumptions!L27</f>
        <v>1.72</v>
      </c>
      <c r="M5" s="4" t="n">
        <f aca="false">Assumptions!M27</f>
        <v>-1.03</v>
      </c>
      <c r="N5" s="4" t="n">
        <f aca="false">Assumptions!N27</f>
        <v>0.99</v>
      </c>
    </row>
    <row r="6" customFormat="false" ht="15" hidden="false" customHeight="false" outlineLevel="0" collapsed="false">
      <c r="A6" s="0" t="s">
        <v>37</v>
      </c>
      <c r="B6" s="3" t="n">
        <v>74599</v>
      </c>
      <c r="C6" s="0" t="n">
        <f aca="false">B6*(1+C5/100)</f>
        <v>76501.2745</v>
      </c>
      <c r="D6" s="0" t="n">
        <f aca="false">C6*(1+D5/100)</f>
        <v>79806.1295584</v>
      </c>
      <c r="E6" s="0" t="n">
        <f aca="false">D6*(1+E5/100)</f>
        <v>83261.7349682787</v>
      </c>
      <c r="F6" s="0" t="n">
        <f aca="false">E6*(1+F5/100)</f>
        <v>86633.835234494</v>
      </c>
      <c r="G6" s="0" t="n">
        <f aca="false">F6*(1+G5/100)</f>
        <v>89986.5646580689</v>
      </c>
      <c r="H6" s="0" t="n">
        <f aca="false">G6*(1+H5/100)</f>
        <v>93307.0688939516</v>
      </c>
      <c r="I6" s="0" t="n">
        <f aca="false">H6*(1+I5/100)</f>
        <v>95667.7377369686</v>
      </c>
      <c r="J6" s="0" t="n">
        <f aca="false">I6*(1+J5/100)</f>
        <v>98556.9034166251</v>
      </c>
      <c r="K6" s="0" t="n">
        <f aca="false">J6*(1+K5/100)</f>
        <v>100439.340271883</v>
      </c>
      <c r="L6" s="0" t="n">
        <f aca="false">K6*(1+L5/100)</f>
        <v>102166.896924559</v>
      </c>
      <c r="M6" s="0" t="n">
        <f aca="false">L6*(1+M5/100)</f>
        <v>101114.577886236</v>
      </c>
      <c r="N6" s="0" t="n">
        <f aca="false">M6*(1+N5/100)</f>
        <v>102115.61220731</v>
      </c>
    </row>
    <row r="7" customFormat="false" ht="15" hidden="false" customHeight="false" outlineLevel="0" collapsed="false">
      <c r="A7" s="0" t="s">
        <v>102</v>
      </c>
      <c r="C7" s="4" t="n">
        <f aca="false">Assumptions!C28</f>
        <v>18.07</v>
      </c>
      <c r="D7" s="4" t="n">
        <f aca="false">Assumptions!D28</f>
        <v>18.16</v>
      </c>
      <c r="E7" s="4" t="n">
        <f aca="false">Assumptions!E28</f>
        <v>18.26</v>
      </c>
      <c r="F7" s="4" t="n">
        <f aca="false">Assumptions!F28</f>
        <v>18.27</v>
      </c>
      <c r="G7" s="4" t="n">
        <f aca="false">Assumptions!G28</f>
        <v>18.3</v>
      </c>
      <c r="H7" s="4" t="n">
        <f aca="false">Assumptions!H28</f>
        <v>18.34</v>
      </c>
      <c r="I7" s="4" t="n">
        <f aca="false">Assumptions!I28</f>
        <v>17.93</v>
      </c>
      <c r="J7" s="4" t="n">
        <f aca="false">Assumptions!J28</f>
        <v>17.84</v>
      </c>
      <c r="K7" s="4" t="n">
        <f aca="false">Assumptions!K28</f>
        <v>17.37</v>
      </c>
      <c r="L7" s="4" t="n">
        <f aca="false">Assumptions!L28</f>
        <v>16.8</v>
      </c>
      <c r="M7" s="4" t="n">
        <f aca="false">Assumptions!M28</f>
        <v>14.86</v>
      </c>
      <c r="N7" s="4" t="n">
        <f aca="false">Assumptions!N28</f>
        <v>14.03</v>
      </c>
    </row>
    <row r="8" customFormat="false" ht="15" hidden="false" customHeight="false" outlineLevel="0" collapsed="false">
      <c r="A8" s="0" t="s">
        <v>43</v>
      </c>
      <c r="C8" s="0" t="n">
        <f aca="false">C6*C7/100</f>
        <v>13823.78030215</v>
      </c>
      <c r="D8" s="0" t="n">
        <f aca="false">D6*D7/100</f>
        <v>14492.7931278054</v>
      </c>
      <c r="E8" s="0" t="n">
        <f aca="false">E6*E7/100</f>
        <v>15203.5928052077</v>
      </c>
      <c r="F8" s="0" t="n">
        <f aca="false">F6*F7/100</f>
        <v>15828.0016973421</v>
      </c>
      <c r="G8" s="0" t="n">
        <f aca="false">G6*G7/100</f>
        <v>16467.5413324266</v>
      </c>
      <c r="H8" s="0" t="n">
        <f aca="false">H6*H7/100</f>
        <v>17112.5164351507</v>
      </c>
      <c r="I8" s="0" t="n">
        <f aca="false">I6*I7/100</f>
        <v>17153.2253762385</v>
      </c>
      <c r="J8" s="0" t="n">
        <f aca="false">J6*J7/100</f>
        <v>17582.5515695259</v>
      </c>
      <c r="K8" s="0" t="n">
        <f aca="false">K6*K7/100</f>
        <v>17446.313405226</v>
      </c>
      <c r="L8" s="0" t="n">
        <f aca="false">L6*L7/100</f>
        <v>17164.0386833259</v>
      </c>
      <c r="M8" s="0" t="n">
        <f aca="false">M6*M7/100</f>
        <v>15025.6262738947</v>
      </c>
      <c r="N8" s="0" t="n">
        <f aca="false">N6*N7/100</f>
        <v>14326.8203926856</v>
      </c>
    </row>
    <row r="9" customFormat="false" ht="15" hidden="false" customHeight="false" outlineLevel="0" collapsed="false">
      <c r="A9" s="0" t="s">
        <v>103</v>
      </c>
      <c r="C9" s="4" t="n">
        <f aca="false">Assumptions!C29</f>
        <v>0.75</v>
      </c>
      <c r="D9" s="4" t="n">
        <f aca="false">Assumptions!D29</f>
        <v>0.75</v>
      </c>
      <c r="E9" s="4" t="n">
        <f aca="false">Assumptions!E29</f>
        <v>0.75</v>
      </c>
      <c r="F9" s="4" t="n">
        <f aca="false">Assumptions!F29</f>
        <v>0.75</v>
      </c>
      <c r="G9" s="4" t="n">
        <f aca="false">Assumptions!G29</f>
        <v>0.75</v>
      </c>
      <c r="H9" s="4" t="n">
        <f aca="false">Assumptions!H29</f>
        <v>0.75</v>
      </c>
      <c r="I9" s="4" t="n">
        <f aca="false">Assumptions!I29</f>
        <v>0.75</v>
      </c>
      <c r="J9" s="4" t="n">
        <f aca="false">Assumptions!J29</f>
        <v>0.75</v>
      </c>
      <c r="K9" s="4" t="n">
        <f aca="false">Assumptions!K29</f>
        <v>0.75</v>
      </c>
      <c r="L9" s="4" t="n">
        <f aca="false">Assumptions!L29</f>
        <v>0.75</v>
      </c>
      <c r="M9" s="4" t="n">
        <f aca="false">Assumptions!M29</f>
        <v>0.75</v>
      </c>
      <c r="N9" s="4" t="n">
        <f aca="false">Assumptions!N29</f>
        <v>0.75</v>
      </c>
    </row>
    <row r="10" customFormat="false" ht="15" hidden="false" customHeight="false" outlineLevel="0" collapsed="false">
      <c r="A10" s="0" t="s">
        <v>118</v>
      </c>
      <c r="C10" s="0" t="n">
        <f aca="false">-C6*C9/100</f>
        <v>-573.75955875</v>
      </c>
      <c r="D10" s="0" t="n">
        <f aca="false">-D6*D9/100</f>
        <v>-598.545971688</v>
      </c>
      <c r="E10" s="0" t="n">
        <f aca="false">-E6*E9/100</f>
        <v>-624.46301226209</v>
      </c>
      <c r="F10" s="0" t="n">
        <f aca="false">-F6*F9/100</f>
        <v>-649.753764258705</v>
      </c>
      <c r="G10" s="0" t="n">
        <f aca="false">-G6*G9/100</f>
        <v>-674.899234935517</v>
      </c>
      <c r="H10" s="0" t="n">
        <f aca="false">-H6*H9/100</f>
        <v>-699.803016704637</v>
      </c>
      <c r="I10" s="0" t="n">
        <f aca="false">-I6*I9/100</f>
        <v>-717.508033027265</v>
      </c>
      <c r="J10" s="0" t="n">
        <f aca="false">-J6*J9/100</f>
        <v>-739.176775624688</v>
      </c>
      <c r="K10" s="0" t="n">
        <f aca="false">-K6*K9/100</f>
        <v>-753.29505203912</v>
      </c>
      <c r="L10" s="0" t="n">
        <f aca="false">-L6*L9/100</f>
        <v>-766.251726934192</v>
      </c>
      <c r="M10" s="0" t="n">
        <f aca="false">-M6*M9/100</f>
        <v>-758.35933414677</v>
      </c>
      <c r="N10" s="0" t="n">
        <f aca="false">-N6*N9/100</f>
        <v>-765.867091554823</v>
      </c>
    </row>
    <row r="11" customFormat="false" ht="15" hidden="false" customHeight="false" outlineLevel="0" collapsed="false">
      <c r="A11" s="0" t="s">
        <v>119</v>
      </c>
      <c r="C11" s="0" t="n">
        <f aca="false">C8+C10+C24</f>
        <v>12354.95583175</v>
      </c>
      <c r="D11" s="0" t="n">
        <f aca="false">D8+D10+D24</f>
        <v>12960.5154402842</v>
      </c>
      <c r="E11" s="0" t="n">
        <f aca="false">E8+E10+E24</f>
        <v>13604.9674938167</v>
      </c>
      <c r="F11" s="0" t="n">
        <f aca="false">F8+F10+F24</f>
        <v>14164.6320608398</v>
      </c>
      <c r="G11" s="0" t="n">
        <f aca="false">G8+G10+G24</f>
        <v>14730.8006345259</v>
      </c>
      <c r="H11" s="0" t="n">
        <f aca="false">H8+H10+H24</f>
        <v>15311.6900054975</v>
      </c>
      <c r="I11" s="0" t="n">
        <f aca="false">I8+I10+I24</f>
        <v>15297.2712641413</v>
      </c>
      <c r="J11" s="0" t="n">
        <f aca="false">J8+J10+J24</f>
        <v>15670.5476432434</v>
      </c>
      <c r="K11" s="0" t="n">
        <f aca="false">K8+K10+K24</f>
        <v>15487.7462699243</v>
      </c>
      <c r="L11" s="0" t="n">
        <f aca="false">L8+L10+L24</f>
        <v>15151.3508139121</v>
      </c>
      <c r="M11" s="0" t="n">
        <f aca="false">M8+M10+M24</f>
        <v>12993.2232583813</v>
      </c>
      <c r="N11" s="0" t="n">
        <f aca="false">N8+N10+N24</f>
        <v>12253.8734648772</v>
      </c>
    </row>
    <row r="12" customFormat="false" ht="15" hidden="false" customHeight="false" outlineLevel="0" collapsed="false">
      <c r="A12" s="0" t="s">
        <v>120</v>
      </c>
      <c r="C12" s="4" t="n">
        <f aca="false">-C6*Assumptions!C31/100</f>
        <v>-3526.70875445</v>
      </c>
      <c r="D12" s="4" t="n">
        <f aca="false">-D6*Assumptions!D31/100</f>
        <v>-3615.21766899552</v>
      </c>
      <c r="E12" s="4" t="n">
        <f aca="false">-E6*Assumptions!E31/100</f>
        <v>-3713.47337958523</v>
      </c>
      <c r="F12" s="4" t="n">
        <f aca="false">-F6*Assumptions!F31/100</f>
        <v>-3811.88875031774</v>
      </c>
      <c r="G12" s="4" t="n">
        <f aca="false">-G6*Assumptions!G31/100</f>
        <v>-3905.41690616019</v>
      </c>
      <c r="H12" s="4" t="n">
        <f aca="false">-H6*Assumptions!H31/100</f>
        <v>-3993.54254866113</v>
      </c>
      <c r="I12" s="4" t="n">
        <f aca="false">-I6*Assumptions!I31/100</f>
        <v>-3931.94402098941</v>
      </c>
      <c r="J12" s="4" t="n">
        <f aca="false">-J6*Assumptions!J31/100</f>
        <v>-3991.55458837332</v>
      </c>
      <c r="K12" s="4" t="n">
        <f aca="false">-K6*Assumptions!K31/100</f>
        <v>-3887.00246852186</v>
      </c>
      <c r="L12" s="4" t="n">
        <f aca="false">-L6*Assumptions!L31/100</f>
        <v>-3780.17518620868</v>
      </c>
      <c r="M12" s="4" t="n">
        <f aca="false">-M6*Assumptions!M31/100</f>
        <v>-3245.77795014818</v>
      </c>
      <c r="N12" s="4" t="n">
        <f aca="false">-N6*Assumptions!N31/100</f>
        <v>-3063.46836621929</v>
      </c>
    </row>
    <row r="13" customFormat="false" ht="15" hidden="false" customHeight="false" outlineLevel="0" collapsed="false">
      <c r="A13" s="0" t="s">
        <v>121</v>
      </c>
      <c r="C13" s="0" t="n">
        <f aca="false">C11+C12</f>
        <v>8828.2470773</v>
      </c>
      <c r="D13" s="0" t="n">
        <f aca="false">D11+D12</f>
        <v>9345.29777128864</v>
      </c>
      <c r="E13" s="0" t="n">
        <f aca="false">E11+E12</f>
        <v>9891.49411423151</v>
      </c>
      <c r="F13" s="0" t="n">
        <f aca="false">F11+F12</f>
        <v>10352.743310522</v>
      </c>
      <c r="G13" s="0" t="n">
        <f aca="false">G11+G12</f>
        <v>10825.3837283657</v>
      </c>
      <c r="H13" s="0" t="n">
        <f aca="false">H11+H12</f>
        <v>11318.1474568363</v>
      </c>
      <c r="I13" s="0" t="n">
        <f aca="false">I11+I12</f>
        <v>11365.3272431519</v>
      </c>
      <c r="J13" s="0" t="n">
        <f aca="false">J11+J12</f>
        <v>11678.9930548701</v>
      </c>
      <c r="K13" s="0" t="n">
        <f aca="false">K11+K12</f>
        <v>11600.7438014024</v>
      </c>
      <c r="L13" s="0" t="n">
        <f aca="false">L11+L12</f>
        <v>11371.1756277034</v>
      </c>
      <c r="M13" s="0" t="n">
        <f aca="false">M11+M12</f>
        <v>9747.44530823315</v>
      </c>
      <c r="N13" s="0" t="n">
        <f aca="false">N11+N12</f>
        <v>9190.40509865788</v>
      </c>
    </row>
    <row r="14" customFormat="false" ht="15" hidden="false" customHeight="false" outlineLevel="0" collapsed="false">
      <c r="A14" s="0" t="s">
        <v>107</v>
      </c>
      <c r="C14" s="4" t="n">
        <f aca="false">Assumptions!C33</f>
        <v>34</v>
      </c>
      <c r="D14" s="4" t="n">
        <f aca="false">Assumptions!D33</f>
        <v>29.5</v>
      </c>
      <c r="E14" s="4" t="n">
        <f aca="false">Assumptions!E33</f>
        <v>29.5</v>
      </c>
      <c r="F14" s="4" t="n">
        <f aca="false">Assumptions!F33</f>
        <v>29.5</v>
      </c>
      <c r="G14" s="4" t="n">
        <f aca="false">Assumptions!G33</f>
        <v>29.5</v>
      </c>
      <c r="H14" s="4" t="n">
        <f aca="false">Assumptions!H33</f>
        <v>29.5</v>
      </c>
      <c r="I14" s="4" t="n">
        <f aca="false">Assumptions!I33</f>
        <v>29.5</v>
      </c>
      <c r="J14" s="4" t="n">
        <f aca="false">Assumptions!J33</f>
        <v>29.5</v>
      </c>
      <c r="K14" s="4" t="n">
        <f aca="false">Assumptions!K33</f>
        <v>29.5</v>
      </c>
      <c r="L14" s="4" t="n">
        <f aca="false">Assumptions!L33</f>
        <v>29.5</v>
      </c>
      <c r="M14" s="4" t="n">
        <f aca="false">Assumptions!M33</f>
        <v>29.5</v>
      </c>
      <c r="N14" s="4" t="n">
        <f aca="false">Assumptions!N33</f>
        <v>29.5</v>
      </c>
    </row>
    <row r="15" customFormat="false" ht="15" hidden="false" customHeight="false" outlineLevel="0" collapsed="false">
      <c r="A15" s="0" t="s">
        <v>122</v>
      </c>
      <c r="C15" s="0" t="n">
        <f aca="false">C13-MAX(0,C13)*C14/100</f>
        <v>5826.643071018</v>
      </c>
      <c r="D15" s="0" t="n">
        <f aca="false">D13-MAX(0,D13)*D14/100</f>
        <v>6588.43492875849</v>
      </c>
      <c r="E15" s="0" t="n">
        <f aca="false">E13-MAX(0,E13)*E14/100</f>
        <v>6973.50335053322</v>
      </c>
      <c r="F15" s="0" t="n">
        <f aca="false">F13-MAX(0,F13)*F14/100</f>
        <v>7298.68403391803</v>
      </c>
      <c r="G15" s="0" t="n">
        <f aca="false">G13-MAX(0,G13)*G14/100</f>
        <v>7631.89552849781</v>
      </c>
      <c r="H15" s="0" t="n">
        <f aca="false">H13-MAX(0,H13)*H14/100</f>
        <v>7979.29395706961</v>
      </c>
      <c r="I15" s="0" t="n">
        <f aca="false">I13-MAX(0,I13)*I14/100</f>
        <v>8012.55570642207</v>
      </c>
      <c r="J15" s="0" t="n">
        <f aca="false">J13-MAX(0,J13)*J14/100</f>
        <v>8233.6901036834</v>
      </c>
      <c r="K15" s="0" t="n">
        <f aca="false">K13-MAX(0,K13)*K14/100</f>
        <v>8178.52437998872</v>
      </c>
      <c r="L15" s="0" t="n">
        <f aca="false">L13-MAX(0,L13)*L14/100</f>
        <v>8016.67881753091</v>
      </c>
      <c r="M15" s="0" t="n">
        <f aca="false">M13-MAX(0,M13)*M14/100</f>
        <v>6871.94894230437</v>
      </c>
      <c r="N15" s="0" t="n">
        <f aca="false">N13-MAX(0,N13)*N14/100</f>
        <v>6479.2355945538</v>
      </c>
    </row>
    <row r="16" customFormat="false" ht="15" hidden="false" customHeight="false" outlineLevel="0" collapsed="false">
      <c r="A16" s="0" t="s">
        <v>123</v>
      </c>
      <c r="C16" s="0" t="n">
        <f aca="false">-C12</f>
        <v>3526.70875445</v>
      </c>
      <c r="D16" s="0" t="n">
        <f aca="false">-D12</f>
        <v>3615.21766899552</v>
      </c>
      <c r="E16" s="0" t="n">
        <f aca="false">-E12</f>
        <v>3713.47337958523</v>
      </c>
      <c r="F16" s="0" t="n">
        <f aca="false">-F12</f>
        <v>3811.88875031774</v>
      </c>
      <c r="G16" s="0" t="n">
        <f aca="false">-G12</f>
        <v>3905.41690616019</v>
      </c>
      <c r="H16" s="0" t="n">
        <f aca="false">-H12</f>
        <v>3993.54254866113</v>
      </c>
      <c r="I16" s="0" t="n">
        <f aca="false">-I12</f>
        <v>3931.94402098941</v>
      </c>
      <c r="J16" s="0" t="n">
        <f aca="false">-J12</f>
        <v>3991.55458837332</v>
      </c>
      <c r="K16" s="0" t="n">
        <f aca="false">-K12</f>
        <v>3887.00246852186</v>
      </c>
      <c r="L16" s="0" t="n">
        <f aca="false">-L12</f>
        <v>3780.17518620868</v>
      </c>
      <c r="M16" s="0" t="n">
        <f aca="false">-M12</f>
        <v>3245.77795014818</v>
      </c>
      <c r="N16" s="0" t="n">
        <f aca="false">-N12</f>
        <v>3063.46836621929</v>
      </c>
    </row>
    <row r="17" customFormat="false" ht="15" hidden="false" customHeight="false" outlineLevel="0" collapsed="false">
      <c r="A17" s="0" t="s">
        <v>124</v>
      </c>
      <c r="C17" s="4" t="n">
        <f aca="false">-C6*Assumptions!C32/100</f>
        <v>-4184.61971515</v>
      </c>
      <c r="D17" s="4" t="n">
        <f aca="false">-D6*Assumptions!D32/100</f>
        <v>-4437.22080344704</v>
      </c>
      <c r="E17" s="4" t="n">
        <f aca="false">-E6*Assumptions!E32/100</f>
        <v>-4637.67863773313</v>
      </c>
      <c r="F17" s="4" t="n">
        <f aca="false">-F6*Assumptions!F32/100</f>
        <v>-4756.19755437372</v>
      </c>
      <c r="G17" s="4" t="n">
        <f aca="false">-G6*Assumptions!G32/100</f>
        <v>-4787.28523980927</v>
      </c>
      <c r="H17" s="4" t="n">
        <f aca="false">-H6*Assumptions!H32/100</f>
        <v>-4814.64475492791</v>
      </c>
      <c r="I17" s="4" t="n">
        <f aca="false">-I6*Assumptions!I32/100</f>
        <v>-4917.32171968019</v>
      </c>
      <c r="J17" s="4" t="n">
        <f aca="false">-J6*Assumptions!J32/100</f>
        <v>-5016.54638390622</v>
      </c>
      <c r="K17" s="4" t="n">
        <f aca="false">-K6*Assumptions!K32/100</f>
        <v>-5082.23061775726</v>
      </c>
      <c r="L17" s="4" t="n">
        <f aca="false">-L6*Assumptions!L32/100</f>
        <v>-5036.82801838076</v>
      </c>
      <c r="M17" s="4" t="n">
        <f aca="false">-M6*Assumptions!M32/100</f>
        <v>-5025.39452094593</v>
      </c>
      <c r="N17" s="4" t="n">
        <f aca="false">-N6*Assumptions!N32/100</f>
        <v>-5105.78061036549</v>
      </c>
    </row>
    <row r="18" customFormat="false" ht="15" hidden="false" customHeight="false" outlineLevel="0" collapsed="false">
      <c r="A18" s="0" t="s">
        <v>125</v>
      </c>
      <c r="C18" s="4" t="n">
        <f aca="false">(C6-B6)*Assumptions!$B$37/100</f>
        <v>475.568625</v>
      </c>
      <c r="D18" s="4" t="n">
        <f aca="false">(D6-C6)*Assumptions!$B$37/100</f>
        <v>826.213764599997</v>
      </c>
      <c r="E18" s="4" t="n">
        <f aca="false">(E6-D6)*Assumptions!$B$37/100</f>
        <v>863.901352469678</v>
      </c>
      <c r="F18" s="4" t="n">
        <f aca="false">(F6-E6)*Assumptions!$B$37/100</f>
        <v>843.025066553822</v>
      </c>
      <c r="G18" s="4" t="n">
        <f aca="false">(G6-F6)*Assumptions!$B$37/100</f>
        <v>838.182355893729</v>
      </c>
      <c r="H18" s="4" t="n">
        <f aca="false">(H6-G6)*Assumptions!$B$37/100</f>
        <v>830.126058970684</v>
      </c>
      <c r="I18" s="4" t="n">
        <f aca="false">(I6-H6)*Assumptions!$B$37/100</f>
        <v>590.167210754247</v>
      </c>
      <c r="J18" s="4" t="n">
        <f aca="false">(J6-I6)*Assumptions!$B$37/100</f>
        <v>722.291419914112</v>
      </c>
      <c r="K18" s="4" t="n">
        <f aca="false">(K6-J6)*Assumptions!$B$37/100</f>
        <v>470.609213814383</v>
      </c>
      <c r="L18" s="4" t="n">
        <f aca="false">(L6-K6)*Assumptions!$B$37/100</f>
        <v>431.889163169097</v>
      </c>
      <c r="M18" s="4" t="n">
        <f aca="false">(M6-L6)*Assumptions!$B$37/100</f>
        <v>-263.079759580738</v>
      </c>
      <c r="N18" s="4" t="n">
        <f aca="false">(N6-M6)*Assumptions!$B$37/100</f>
        <v>250.258580268433</v>
      </c>
    </row>
    <row r="19" customFormat="false" ht="15" hidden="false" customHeight="false" outlineLevel="0" collapsed="false">
      <c r="A19" s="0" t="s">
        <v>126</v>
      </c>
      <c r="C19" s="0" t="n">
        <f aca="false">C15+C16+C17+C18</f>
        <v>5644.300735318</v>
      </c>
      <c r="D19" s="0" t="n">
        <f aca="false">D15+D16+D17+D18</f>
        <v>6592.64555890697</v>
      </c>
      <c r="E19" s="0" t="n">
        <f aca="false">E15+E16+E17+E18</f>
        <v>6913.199444855</v>
      </c>
      <c r="F19" s="0" t="n">
        <f aca="false">F15+F16+F17+F18</f>
        <v>7197.40029641587</v>
      </c>
      <c r="G19" s="0" t="n">
        <f aca="false">G15+G16+G17+G18</f>
        <v>7588.20955074247</v>
      </c>
      <c r="H19" s="0" t="n">
        <f aca="false">H15+H16+H17+H18</f>
        <v>7988.31780977352</v>
      </c>
      <c r="I19" s="0" t="n">
        <f aca="false">I15+I16+I17+I18</f>
        <v>7617.34521848554</v>
      </c>
      <c r="J19" s="0" t="n">
        <f aca="false">J15+J16+J17+J18</f>
        <v>7930.98972806461</v>
      </c>
      <c r="K19" s="0" t="n">
        <f aca="false">K15+K16+K17+K18</f>
        <v>7453.9054445677</v>
      </c>
      <c r="L19" s="0" t="n">
        <f aca="false">L15+L16+L17+L18</f>
        <v>7191.91514852793</v>
      </c>
      <c r="M19" s="0" t="n">
        <f aca="false">M15+M16+M17+M18</f>
        <v>4829.25261192588</v>
      </c>
      <c r="N19" s="0" t="n">
        <f aca="false">N15+N16+N17+N18</f>
        <v>4687.18193067604</v>
      </c>
    </row>
    <row r="20" customFormat="false" ht="15" hidden="false" customHeight="false" outlineLevel="0" collapsed="false">
      <c r="A20" s="0" t="s">
        <v>127</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c r="M20" s="0" t="n">
        <f aca="false">1/(1+$B$27/100)^M4</f>
        <v>0.475092796387586</v>
      </c>
      <c r="N20" s="0" t="n">
        <f aca="false">1/(1+$B$27/100)^N4</f>
        <v>0.444011959240735</v>
      </c>
    </row>
    <row r="21" customFormat="false" ht="15" hidden="false" customHeight="false" outlineLevel="0" collapsed="false">
      <c r="A21" s="0" t="s">
        <v>128</v>
      </c>
      <c r="C21" s="0" t="n">
        <f aca="false">C19*C20</f>
        <v>5275.04741618505</v>
      </c>
      <c r="D21" s="0" t="n">
        <f aca="false">D19*D20</f>
        <v>5758.27195292774</v>
      </c>
      <c r="E21" s="0" t="n">
        <f aca="false">E19*E20</f>
        <v>5643.23002935815</v>
      </c>
      <c r="F21" s="0" t="n">
        <f aca="false">F19*F20</f>
        <v>5490.86222532511</v>
      </c>
      <c r="G21" s="0" t="n">
        <f aca="false">G19*G20</f>
        <v>5410.28853670535</v>
      </c>
      <c r="H21" s="0" t="n">
        <f aca="false">H19*H20</f>
        <v>5322.95345391754</v>
      </c>
      <c r="I21" s="0" t="n">
        <f aca="false">I19*I20</f>
        <v>4743.69976865769</v>
      </c>
      <c r="J21" s="0" t="n">
        <f aca="false">J19*J20</f>
        <v>4615.9082299454</v>
      </c>
      <c r="K21" s="0" t="n">
        <f aca="false">K19*K20</f>
        <v>4054.43068533207</v>
      </c>
      <c r="L21" s="0" t="n">
        <f aca="false">L19*L20</f>
        <v>3656.00497484713</v>
      </c>
      <c r="M21" s="0" t="n">
        <f aca="false">M19*M20</f>
        <v>2294.34312786192</v>
      </c>
      <c r="N21" s="0" t="n">
        <f aca="false">N19*N20</f>
        <v>2081.16483235724</v>
      </c>
    </row>
    <row r="23" customFormat="false" ht="15" hidden="false" customHeight="false" outlineLevel="0" collapsed="false">
      <c r="A23" s="0" t="s">
        <v>104</v>
      </c>
      <c r="C23" s="4" t="n">
        <f aca="false">Assumptions!C30</f>
        <v>1.17</v>
      </c>
      <c r="D23" s="4" t="n">
        <f aca="false">Assumptions!D30</f>
        <v>1.17</v>
      </c>
      <c r="E23" s="4" t="n">
        <f aca="false">Assumptions!E30</f>
        <v>1.17</v>
      </c>
      <c r="F23" s="4" t="n">
        <f aca="false">Assumptions!F30</f>
        <v>1.17</v>
      </c>
      <c r="G23" s="4" t="n">
        <f aca="false">Assumptions!G30</f>
        <v>1.18</v>
      </c>
      <c r="H23" s="4" t="n">
        <f aca="false">Assumptions!H30</f>
        <v>1.18</v>
      </c>
      <c r="I23" s="4" t="n">
        <f aca="false">Assumptions!I30</f>
        <v>1.19</v>
      </c>
      <c r="J23" s="4" t="n">
        <f aca="false">Assumptions!J30</f>
        <v>1.19</v>
      </c>
      <c r="K23" s="4" t="n">
        <f aca="false">Assumptions!K30</f>
        <v>1.2</v>
      </c>
      <c r="L23" s="4" t="n">
        <f aca="false">Assumptions!L30</f>
        <v>1.22</v>
      </c>
      <c r="M23" s="4" t="n">
        <f aca="false">Assumptions!M30</f>
        <v>1.26</v>
      </c>
      <c r="N23" s="4" t="n">
        <f aca="false">Assumptions!N30</f>
        <v>1.28</v>
      </c>
    </row>
    <row r="24" customFormat="false" ht="15" hidden="false" customHeight="false" outlineLevel="0" collapsed="false">
      <c r="A24" s="0" t="s">
        <v>129</v>
      </c>
      <c r="C24" s="0" t="n">
        <f aca="false">-C6*C23/100</f>
        <v>-895.06491165</v>
      </c>
      <c r="D24" s="0" t="n">
        <f aca="false">-D6*D23/100</f>
        <v>-933.73171583328</v>
      </c>
      <c r="E24" s="0" t="n">
        <f aca="false">-E6*E23/100</f>
        <v>-974.162299128861</v>
      </c>
      <c r="F24" s="0" t="n">
        <f aca="false">-F6*F23/100</f>
        <v>-1013.61587224358</v>
      </c>
      <c r="G24" s="0" t="n">
        <f aca="false">-G6*G23/100</f>
        <v>-1061.84146296521</v>
      </c>
      <c r="H24" s="0" t="n">
        <f aca="false">-H6*H23/100</f>
        <v>-1101.02341294863</v>
      </c>
      <c r="I24" s="0" t="n">
        <f aca="false">-I6*I23/100</f>
        <v>-1138.44607906993</v>
      </c>
      <c r="J24" s="0" t="n">
        <f aca="false">-J6*J23/100</f>
        <v>-1172.82715065784</v>
      </c>
      <c r="K24" s="0" t="n">
        <f aca="false">-K6*K23/100</f>
        <v>-1205.27208326259</v>
      </c>
      <c r="L24" s="0" t="n">
        <f aca="false">-L6*L23/100</f>
        <v>-1246.43614247962</v>
      </c>
      <c r="M24" s="0" t="n">
        <f aca="false">-M6*M23/100</f>
        <v>-1274.04368136657</v>
      </c>
      <c r="N24" s="0" t="n">
        <f aca="false">-N6*N23/100</f>
        <v>-1307.07983625357</v>
      </c>
    </row>
    <row r="26" customFormat="false" ht="15" hidden="false" customHeight="false" outlineLevel="0" collapsed="false">
      <c r="A26" s="2" t="s">
        <v>130</v>
      </c>
    </row>
    <row r="27" customFormat="false" ht="15" hidden="false" customHeight="false" outlineLevel="0" collapsed="false">
      <c r="A27" s="0" t="s">
        <v>108</v>
      </c>
      <c r="B27" s="4" t="n">
        <f aca="false">Assumptions!$B$34</f>
        <v>7</v>
      </c>
    </row>
    <row r="28" customFormat="false" ht="15" hidden="false" customHeight="false" outlineLevel="0" collapsed="false">
      <c r="A28" s="0" t="s">
        <v>109</v>
      </c>
      <c r="B28" s="4" t="n">
        <f aca="false">Assumptions!$B$35</f>
        <v>2</v>
      </c>
    </row>
    <row r="29" customFormat="false" ht="15" hidden="false" customHeight="false" outlineLevel="0" collapsed="false">
      <c r="A29" s="0" t="s">
        <v>110</v>
      </c>
      <c r="B29" s="4" t="n">
        <f aca="false">Assumptions!$B$36</f>
        <v>16</v>
      </c>
    </row>
    <row r="30" customFormat="false" ht="15" hidden="false" customHeight="false" outlineLevel="0" collapsed="false">
      <c r="A30" s="0" t="s">
        <v>131</v>
      </c>
      <c r="B30" s="0" t="n">
        <f aca="false">SUM(C21:N21)</f>
        <v>54346.2052334204</v>
      </c>
    </row>
    <row r="31" customFormat="false" ht="15" hidden="false" customHeight="false" outlineLevel="0" collapsed="false">
      <c r="A31" s="0" t="s">
        <v>132</v>
      </c>
      <c r="B31" s="0" t="n">
        <f aca="false">N19</f>
        <v>4687.18193067604</v>
      </c>
    </row>
    <row r="32" customFormat="false" ht="15" hidden="false" customHeight="false" outlineLevel="0" collapsed="false">
      <c r="A32" s="0" t="s">
        <v>133</v>
      </c>
      <c r="B32" s="0" t="n">
        <f aca="false">IF(B27&gt;B28,B31*(1+B28/100)/((B27-B28)/100),B31*B29)</f>
        <v>95618.5113857912</v>
      </c>
    </row>
    <row r="33" customFormat="false" ht="15" hidden="false" customHeight="false" outlineLevel="0" collapsed="false">
      <c r="A33" s="0" t="s">
        <v>134</v>
      </c>
      <c r="B33" s="0" t="n">
        <f aca="false">B31*B29</f>
        <v>74994.9108908167</v>
      </c>
    </row>
    <row r="34" customFormat="false" ht="15" hidden="false" customHeight="false" outlineLevel="0" collapsed="false">
      <c r="A34" s="0" t="s">
        <v>135</v>
      </c>
      <c r="B34" s="0" t="n">
        <f aca="false">MAX(0,MIN(B32,B33))</f>
        <v>74994.9108908167</v>
      </c>
    </row>
    <row r="35" customFormat="false" ht="15" hidden="false" customHeight="false" outlineLevel="0" collapsed="false">
      <c r="A35" s="0" t="s">
        <v>136</v>
      </c>
      <c r="B35" s="0" t="n">
        <f aca="false">B34/(1+B27/100)^N4</f>
        <v>33298.6373177158</v>
      </c>
    </row>
    <row r="36" customFormat="false" ht="15" hidden="false" customHeight="false" outlineLevel="0" collapsed="false">
      <c r="A36" s="0" t="s">
        <v>137</v>
      </c>
      <c r="B36" s="0" t="n">
        <f aca="false">B30+B35</f>
        <v>87644.8425511362</v>
      </c>
    </row>
    <row r="37" customFormat="false" ht="15" hidden="false" customHeight="false" outlineLevel="0" collapsed="false">
      <c r="A37" s="0" t="s">
        <v>138</v>
      </c>
      <c r="B37" s="0" t="n">
        <f aca="false">B36+Assumptions!$B$5-Assumptions!$B$4</f>
        <v>62089.8425511362</v>
      </c>
    </row>
    <row r="38" customFormat="false" ht="15" hidden="false" customHeight="false" outlineLevel="0" collapsed="false">
      <c r="A38" s="0" t="s">
        <v>139</v>
      </c>
      <c r="B38" s="0" t="n">
        <f aca="false">B37/Assumptions!$B$3*Assumptions!$B$10</f>
        <v>110.756051643126</v>
      </c>
    </row>
    <row r="39" customFormat="false" ht="15" hidden="false" customHeight="false" outlineLevel="0" collapsed="false">
      <c r="A39" s="0" t="s">
        <v>140</v>
      </c>
      <c r="B39" s="4" t="n">
        <f aca="false">B38/Assumptions!$B$2-1</f>
        <v>0.0404514010627111</v>
      </c>
    </row>
    <row r="41" customFormat="false" ht="15" hidden="false" customHeight="false" outlineLevel="0" collapsed="false">
      <c r="A41" s="0" t="s">
        <v>141</v>
      </c>
      <c r="B41" s="0" t="n">
        <f aca="false">SUMPRODUCT(-C10:N10/(1+$B$27/100)^C4:N4)</f>
        <v>5388.60799145318</v>
      </c>
    </row>
    <row r="42" customFormat="false" ht="15" hidden="false" customHeight="false" outlineLevel="0" collapsed="false">
      <c r="A42" s="0" t="s">
        <v>142</v>
      </c>
      <c r="B42" s="0" t="n">
        <f aca="false">IF(B27&gt;B28,-N10*(1+B28/100)/((B27-B28)/100),-N10*20)/(1+B27/100)^N4</f>
        <v>6937.10461592091</v>
      </c>
    </row>
    <row r="43" customFormat="false" ht="15" hidden="false" customHeight="false" outlineLevel="0" collapsed="false">
      <c r="A43" s="0" t="s">
        <v>143</v>
      </c>
      <c r="B43" s="0" t="n">
        <f aca="false">(B37+B41+B42)/Assumptions!$B$3*Assumptions!$B$10</f>
        <v>132.742695609187</v>
      </c>
    </row>
    <row r="45" customFormat="false" ht="15" hidden="false" customHeight="false" outlineLevel="0" collapsed="false">
      <c r="A45" s="0" t="s">
        <v>82</v>
      </c>
      <c r="B45" s="4" t="n">
        <f aca="false">Assumptions!$B$6</f>
        <v>15</v>
      </c>
    </row>
    <row r="46" customFormat="false" ht="15" hidden="false" customHeight="false" outlineLevel="0" collapsed="false">
      <c r="A46" s="0" t="s">
        <v>144</v>
      </c>
      <c r="B46" s="0" t="n">
        <f aca="false">MAX(0,MIN(IF(B45&gt;B28,B31*(1+B28/100)/((B45-B28)/100),B31*B29),B31*B29))</f>
        <v>36776.3505329966</v>
      </c>
    </row>
    <row r="47" customFormat="false" ht="15" hidden="false" customHeight="false" outlineLevel="0" collapsed="false">
      <c r="A47" s="0" t="s">
        <v>145</v>
      </c>
      <c r="B47" s="0" t="n">
        <f aca="false">(SUMPRODUCT(C19:N19/(1+B45/100)^C4:N4)+B46/(1+B45/100)^N4+Assumptions!$B$5-Assumptions!$B$4)/Assumptions!$B$3*Assumptions!$B$10</f>
        <v>32.7608692650996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147</v>
      </c>
    </row>
    <row r="3" customFormat="false" ht="15" hidden="false" customHeight="false" outlineLevel="0" collapsed="false">
      <c r="A3" s="0" t="s">
        <v>116</v>
      </c>
      <c r="B3" s="0" t="s">
        <v>75</v>
      </c>
      <c r="C3" s="2" t="s">
        <v>89</v>
      </c>
      <c r="D3" s="2" t="s">
        <v>90</v>
      </c>
      <c r="E3" s="2" t="s">
        <v>91</v>
      </c>
      <c r="F3" s="2" t="s">
        <v>92</v>
      </c>
      <c r="G3" s="2" t="s">
        <v>93</v>
      </c>
      <c r="H3" s="2" t="s">
        <v>94</v>
      </c>
      <c r="I3" s="2" t="s">
        <v>95</v>
      </c>
      <c r="J3" s="2" t="s">
        <v>96</v>
      </c>
      <c r="K3" s="2" t="s">
        <v>97</v>
      </c>
      <c r="L3" s="2" t="s">
        <v>98</v>
      </c>
      <c r="M3" s="2" t="s">
        <v>99</v>
      </c>
      <c r="N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c r="M4" s="0" t="n">
        <f aca="false">L4+1</f>
        <v>11</v>
      </c>
      <c r="N4" s="0" t="n">
        <f aca="false">M4+1</f>
        <v>12</v>
      </c>
    </row>
    <row r="5" customFormat="false" ht="15" hidden="false" customHeight="false" outlineLevel="0" collapsed="false">
      <c r="A5" s="0" t="s">
        <v>101</v>
      </c>
      <c r="C5" s="4" t="n">
        <f aca="false">Assumptions!C41</f>
        <v>3.36</v>
      </c>
      <c r="D5" s="4" t="n">
        <f aca="false">Assumptions!D41</f>
        <v>5.73</v>
      </c>
      <c r="E5" s="4" t="n">
        <f aca="false">Assumptions!E41</f>
        <v>5.74</v>
      </c>
      <c r="F5" s="4" t="n">
        <f aca="false">Assumptions!F41</f>
        <v>5.29</v>
      </c>
      <c r="G5" s="4" t="n">
        <f aca="false">Assumptions!G41</f>
        <v>4.83</v>
      </c>
      <c r="H5" s="4" t="n">
        <f aca="false">Assumptions!H41</f>
        <v>4.38</v>
      </c>
      <c r="I5" s="4" t="n">
        <f aca="false">Assumptions!I41</f>
        <v>3.05</v>
      </c>
      <c r="J5" s="4" t="n">
        <f aca="false">Assumptions!J41</f>
        <v>3.34</v>
      </c>
      <c r="K5" s="4" t="n">
        <f aca="false">Assumptions!K41</f>
        <v>2.16</v>
      </c>
      <c r="L5" s="4" t="n">
        <f aca="false">Assumptions!L41</f>
        <v>1.96</v>
      </c>
      <c r="M5" s="4" t="n">
        <f aca="false">Assumptions!M41</f>
        <v>-0.66</v>
      </c>
      <c r="N5" s="4" t="n">
        <f aca="false">Assumptions!N41</f>
        <v>1.5</v>
      </c>
    </row>
    <row r="6" customFormat="false" ht="15" hidden="false" customHeight="false" outlineLevel="0" collapsed="false">
      <c r="A6" s="0" t="s">
        <v>37</v>
      </c>
      <c r="B6" s="3" t="n">
        <v>74599</v>
      </c>
      <c r="C6" s="0" t="n">
        <f aca="false">B6*(1+C5/100)</f>
        <v>77105.5264</v>
      </c>
      <c r="D6" s="0" t="n">
        <f aca="false">C6*(1+D5/100)</f>
        <v>81523.67306272</v>
      </c>
      <c r="E6" s="0" t="n">
        <f aca="false">D6*(1+E5/100)</f>
        <v>86203.1318965201</v>
      </c>
      <c r="F6" s="0" t="n">
        <f aca="false">E6*(1+F5/100)</f>
        <v>90763.277573846</v>
      </c>
      <c r="G6" s="0" t="n">
        <f aca="false">F6*(1+G5/100)</f>
        <v>95147.1438806628</v>
      </c>
      <c r="H6" s="0" t="n">
        <f aca="false">G6*(1+H5/100)</f>
        <v>99314.5887826358</v>
      </c>
      <c r="I6" s="0" t="n">
        <f aca="false">H6*(1+I5/100)</f>
        <v>102343.683740506</v>
      </c>
      <c r="J6" s="0" t="n">
        <f aca="false">I6*(1+J5/100)</f>
        <v>105761.962777439</v>
      </c>
      <c r="K6" s="0" t="n">
        <f aca="false">J6*(1+K5/100)</f>
        <v>108046.421173432</v>
      </c>
      <c r="L6" s="0" t="n">
        <f aca="false">K6*(1+L5/100)</f>
        <v>110164.131028431</v>
      </c>
      <c r="M6" s="0" t="n">
        <f aca="false">L6*(1+M5/100)</f>
        <v>109437.047763643</v>
      </c>
      <c r="N6" s="0" t="n">
        <f aca="false">M6*(1+N5/100)</f>
        <v>111078.603480098</v>
      </c>
    </row>
    <row r="7" customFormat="false" ht="15" hidden="false" customHeight="false" outlineLevel="0" collapsed="false">
      <c r="A7" s="0" t="s">
        <v>102</v>
      </c>
      <c r="C7" s="4" t="n">
        <f aca="false">Assumptions!C42</f>
        <v>18.26</v>
      </c>
      <c r="D7" s="4" t="n">
        <f aca="false">Assumptions!D42</f>
        <v>18.49</v>
      </c>
      <c r="E7" s="4" t="n">
        <f aca="false">Assumptions!E42</f>
        <v>18.63</v>
      </c>
      <c r="F7" s="4" t="n">
        <f aca="false">Assumptions!F42</f>
        <v>18.8</v>
      </c>
      <c r="G7" s="4" t="n">
        <f aca="false">Assumptions!G42</f>
        <v>18.9</v>
      </c>
      <c r="H7" s="4" t="n">
        <f aca="false">Assumptions!H42</f>
        <v>19.02</v>
      </c>
      <c r="I7" s="4" t="n">
        <f aca="false">Assumptions!I42</f>
        <v>18.63</v>
      </c>
      <c r="J7" s="4" t="n">
        <f aca="false">Assumptions!J42</f>
        <v>18.64</v>
      </c>
      <c r="K7" s="4" t="n">
        <f aca="false">Assumptions!K42</f>
        <v>18.19</v>
      </c>
      <c r="L7" s="4" t="n">
        <f aca="false">Assumptions!L42</f>
        <v>17.64</v>
      </c>
      <c r="M7" s="4" t="n">
        <f aca="false">Assumptions!M42</f>
        <v>15.74</v>
      </c>
      <c r="N7" s="4" t="n">
        <f aca="false">Assumptions!N42</f>
        <v>15.19</v>
      </c>
    </row>
    <row r="8" customFormat="false" ht="15" hidden="false" customHeight="false" outlineLevel="0" collapsed="false">
      <c r="A8" s="0" t="s">
        <v>43</v>
      </c>
      <c r="C8" s="0" t="n">
        <f aca="false">C6*C7/100</f>
        <v>14079.46912064</v>
      </c>
      <c r="D8" s="0" t="n">
        <f aca="false">D6*D7/100</f>
        <v>15073.7271492969</v>
      </c>
      <c r="E8" s="0" t="n">
        <f aca="false">E6*E7/100</f>
        <v>16059.6434723217</v>
      </c>
      <c r="F8" s="0" t="n">
        <f aca="false">F6*F7/100</f>
        <v>17063.4961838831</v>
      </c>
      <c r="G8" s="0" t="n">
        <f aca="false">G6*G7/100</f>
        <v>17982.8101934453</v>
      </c>
      <c r="H8" s="0" t="n">
        <f aca="false">H6*H7/100</f>
        <v>18889.6347864573</v>
      </c>
      <c r="I8" s="0" t="n">
        <f aca="false">I6*I7/100</f>
        <v>19066.6282808563</v>
      </c>
      <c r="J8" s="0" t="n">
        <f aca="false">J6*J7/100</f>
        <v>19714.0298617147</v>
      </c>
      <c r="K8" s="0" t="n">
        <f aca="false">K6*K7/100</f>
        <v>19653.6440114473</v>
      </c>
      <c r="L8" s="0" t="n">
        <f aca="false">L6*L7/100</f>
        <v>19432.9527134153</v>
      </c>
      <c r="M8" s="0" t="n">
        <f aca="false">M6*M7/100</f>
        <v>17225.3913179975</v>
      </c>
      <c r="N8" s="0" t="n">
        <f aca="false">N6*N7/100</f>
        <v>16872.8398686269</v>
      </c>
    </row>
    <row r="9" customFormat="false" ht="15" hidden="false" customHeight="false" outlineLevel="0" collapsed="false">
      <c r="A9" s="0" t="s">
        <v>103</v>
      </c>
      <c r="C9" s="4" t="n">
        <f aca="false">Assumptions!C43</f>
        <v>0.7</v>
      </c>
      <c r="D9" s="4" t="n">
        <f aca="false">Assumptions!D43</f>
        <v>0.7</v>
      </c>
      <c r="E9" s="4" t="n">
        <f aca="false">Assumptions!E43</f>
        <v>0.7</v>
      </c>
      <c r="F9" s="4" t="n">
        <f aca="false">Assumptions!F43</f>
        <v>0.7</v>
      </c>
      <c r="G9" s="4" t="n">
        <f aca="false">Assumptions!G43</f>
        <v>0.7</v>
      </c>
      <c r="H9" s="4" t="n">
        <f aca="false">Assumptions!H43</f>
        <v>0.7</v>
      </c>
      <c r="I9" s="4" t="n">
        <f aca="false">Assumptions!I43</f>
        <v>0.7</v>
      </c>
      <c r="J9" s="4" t="n">
        <f aca="false">Assumptions!J43</f>
        <v>0.7</v>
      </c>
      <c r="K9" s="4" t="n">
        <f aca="false">Assumptions!K43</f>
        <v>0.7</v>
      </c>
      <c r="L9" s="4" t="n">
        <f aca="false">Assumptions!L43</f>
        <v>0.7</v>
      </c>
      <c r="M9" s="4" t="n">
        <f aca="false">Assumptions!M43</f>
        <v>0.7</v>
      </c>
      <c r="N9" s="4" t="n">
        <f aca="false">Assumptions!N43</f>
        <v>0.7</v>
      </c>
    </row>
    <row r="10" customFormat="false" ht="15" hidden="false" customHeight="false" outlineLevel="0" collapsed="false">
      <c r="A10" s="0" t="s">
        <v>118</v>
      </c>
      <c r="C10" s="0" t="n">
        <f aca="false">-C6*C9/100</f>
        <v>-539.7386848</v>
      </c>
      <c r="D10" s="0" t="n">
        <f aca="false">-D6*D9/100</f>
        <v>-570.66571143904</v>
      </c>
      <c r="E10" s="0" t="n">
        <f aca="false">-E6*E9/100</f>
        <v>-603.421923275641</v>
      </c>
      <c r="F10" s="0" t="n">
        <f aca="false">-F6*F9/100</f>
        <v>-635.342943016922</v>
      </c>
      <c r="G10" s="0" t="n">
        <f aca="false">-G6*G9/100</f>
        <v>-666.03000716464</v>
      </c>
      <c r="H10" s="0" t="n">
        <f aca="false">-H6*H9/100</f>
        <v>-695.202121478451</v>
      </c>
      <c r="I10" s="0" t="n">
        <f aca="false">-I6*I9/100</f>
        <v>-716.405786183544</v>
      </c>
      <c r="J10" s="0" t="n">
        <f aca="false">-J6*J9/100</f>
        <v>-740.333739442074</v>
      </c>
      <c r="K10" s="0" t="n">
        <f aca="false">-K6*K9/100</f>
        <v>-756.324948214023</v>
      </c>
      <c r="L10" s="0" t="n">
        <f aca="false">-L6*L9/100</f>
        <v>-771.148917199018</v>
      </c>
      <c r="M10" s="0" t="n">
        <f aca="false">-M6*M9/100</f>
        <v>-766.059334345504</v>
      </c>
      <c r="N10" s="0" t="n">
        <f aca="false">-N6*N9/100</f>
        <v>-777.550224360687</v>
      </c>
    </row>
    <row r="11" customFormat="false" ht="15" hidden="false" customHeight="false" outlineLevel="0" collapsed="false">
      <c r="A11" s="0" t="s">
        <v>119</v>
      </c>
      <c r="C11" s="0" t="n">
        <f aca="false">C8+C10+C24</f>
        <v>12637.59577696</v>
      </c>
      <c r="D11" s="0" t="n">
        <f aca="false">D8+D10+D24</f>
        <v>13549.2344630241</v>
      </c>
      <c r="E11" s="0" t="n">
        <f aca="false">E8+E10+E24</f>
        <v>14447.6449058568</v>
      </c>
      <c r="F11" s="0" t="n">
        <f aca="false">F8+F10+F24</f>
        <v>15357.1465654947</v>
      </c>
      <c r="G11" s="0" t="n">
        <f aca="false">G8+G10+G24</f>
        <v>16194.0438884888</v>
      </c>
      <c r="H11" s="0" t="n">
        <f aca="false">H8+H10+H24</f>
        <v>17022.5205173438</v>
      </c>
      <c r="I11" s="0" t="n">
        <f aca="false">I8+I10+I24</f>
        <v>17132.3326581607</v>
      </c>
      <c r="J11" s="0" t="n">
        <f aca="false">J8+J10+J24</f>
        <v>17715.1287652211</v>
      </c>
      <c r="K11" s="0" t="n">
        <f aca="false">K8+K10+K24</f>
        <v>17589.9573670347</v>
      </c>
      <c r="L11" s="0" t="n">
        <f aca="false">L8+L10+L24</f>
        <v>17317.8013976694</v>
      </c>
      <c r="M11" s="0" t="n">
        <f aca="false">M8+M10+M24</f>
        <v>15080.4251818301</v>
      </c>
      <c r="N11" s="0" t="n">
        <f aca="false">N8+N10+N24</f>
        <v>14684.591380069</v>
      </c>
    </row>
    <row r="12" customFormat="false" ht="15" hidden="false" customHeight="false" outlineLevel="0" collapsed="false">
      <c r="A12" s="0" t="s">
        <v>120</v>
      </c>
      <c r="C12" s="4" t="n">
        <f aca="false">-C6*Assumptions!C45/100</f>
        <v>-3539.14366176</v>
      </c>
      <c r="D12" s="4" t="n">
        <f aca="false">-D6*Assumptions!D45/100</f>
        <v>-3668.5652878224</v>
      </c>
      <c r="E12" s="4" t="n">
        <f aca="false">-E6*Assumptions!E45/100</f>
        <v>-3801.55811663654</v>
      </c>
      <c r="F12" s="4" t="n">
        <f aca="false">-F6*Assumptions!F45/100</f>
        <v>-3930.04991894753</v>
      </c>
      <c r="G12" s="4" t="n">
        <f aca="false">-G6*Assumptions!G45/100</f>
        <v>-4053.26832931624</v>
      </c>
      <c r="H12" s="4" t="n">
        <f aca="false">-H6*Assumptions!H45/100</f>
        <v>-4161.28126999244</v>
      </c>
      <c r="I12" s="4" t="n">
        <f aca="false">-I6*Assumptions!I45/100</f>
        <v>-4114.21608636835</v>
      </c>
      <c r="J12" s="4" t="n">
        <f aca="false">-J6*Assumptions!J45/100</f>
        <v>-4198.74992226434</v>
      </c>
      <c r="K12" s="4" t="n">
        <f aca="false">-K6*Assumptions!K45/100</f>
        <v>-4105.76400459041</v>
      </c>
      <c r="L12" s="4" t="n">
        <f aca="false">-L6*Assumptions!L45/100</f>
        <v>-4009.97436943489</v>
      </c>
      <c r="M12" s="4" t="n">
        <f aca="false">-M6*Assumptions!M45/100</f>
        <v>-3491.04182366023</v>
      </c>
      <c r="N12" s="4" t="n">
        <f aca="false">-N6*Assumptions!N45/100</f>
        <v>-3399.005266491</v>
      </c>
    </row>
    <row r="13" customFormat="false" ht="15" hidden="false" customHeight="false" outlineLevel="0" collapsed="false">
      <c r="A13" s="0" t="s">
        <v>121</v>
      </c>
      <c r="C13" s="0" t="n">
        <f aca="false">C11+C12</f>
        <v>9098.4521152</v>
      </c>
      <c r="D13" s="0" t="n">
        <f aca="false">D11+D12</f>
        <v>9880.66917520166</v>
      </c>
      <c r="E13" s="0" t="n">
        <f aca="false">E11+E12</f>
        <v>10646.0867892202</v>
      </c>
      <c r="F13" s="0" t="n">
        <f aca="false">F11+F12</f>
        <v>11427.0966465472</v>
      </c>
      <c r="G13" s="0" t="n">
        <f aca="false">G11+G12</f>
        <v>12140.7755591726</v>
      </c>
      <c r="H13" s="0" t="n">
        <f aca="false">H11+H12</f>
        <v>12861.2392473513</v>
      </c>
      <c r="I13" s="0" t="n">
        <f aca="false">I11+I12</f>
        <v>13018.1165717924</v>
      </c>
      <c r="J13" s="0" t="n">
        <f aca="false">J11+J12</f>
        <v>13516.3788429567</v>
      </c>
      <c r="K13" s="0" t="n">
        <f aca="false">K11+K12</f>
        <v>13484.1933624443</v>
      </c>
      <c r="L13" s="0" t="n">
        <f aca="false">L11+L12</f>
        <v>13307.8270282345</v>
      </c>
      <c r="M13" s="0" t="n">
        <f aca="false">M11+M12</f>
        <v>11589.3833581698</v>
      </c>
      <c r="N13" s="0" t="n">
        <f aca="false">N11+N12</f>
        <v>11285.586113578</v>
      </c>
    </row>
    <row r="14" customFormat="false" ht="15" hidden="false" customHeight="false" outlineLevel="0" collapsed="false">
      <c r="A14" s="0" t="s">
        <v>107</v>
      </c>
      <c r="C14" s="4" t="n">
        <f aca="false">Assumptions!C47</f>
        <v>33</v>
      </c>
      <c r="D14" s="4" t="n">
        <f aca="false">Assumptions!D47</f>
        <v>28.5</v>
      </c>
      <c r="E14" s="4" t="n">
        <f aca="false">Assumptions!E47</f>
        <v>28.5</v>
      </c>
      <c r="F14" s="4" t="n">
        <f aca="false">Assumptions!F47</f>
        <v>28.5</v>
      </c>
      <c r="G14" s="4" t="n">
        <f aca="false">Assumptions!G47</f>
        <v>28.5</v>
      </c>
      <c r="H14" s="4" t="n">
        <f aca="false">Assumptions!H47</f>
        <v>28.5</v>
      </c>
      <c r="I14" s="4" t="n">
        <f aca="false">Assumptions!I47</f>
        <v>28.5</v>
      </c>
      <c r="J14" s="4" t="n">
        <f aca="false">Assumptions!J47</f>
        <v>28.5</v>
      </c>
      <c r="K14" s="4" t="n">
        <f aca="false">Assumptions!K47</f>
        <v>28.5</v>
      </c>
      <c r="L14" s="4" t="n">
        <f aca="false">Assumptions!L47</f>
        <v>28.5</v>
      </c>
      <c r="M14" s="4" t="n">
        <f aca="false">Assumptions!M47</f>
        <v>28.5</v>
      </c>
      <c r="N14" s="4" t="n">
        <f aca="false">Assumptions!N47</f>
        <v>28.5</v>
      </c>
    </row>
    <row r="15" customFormat="false" ht="15" hidden="false" customHeight="false" outlineLevel="0" collapsed="false">
      <c r="A15" s="0" t="s">
        <v>122</v>
      </c>
      <c r="C15" s="0" t="n">
        <f aca="false">C13-MAX(0,C13)*C14/100</f>
        <v>6095.962917184</v>
      </c>
      <c r="D15" s="0" t="n">
        <f aca="false">D13-MAX(0,D13)*D14/100</f>
        <v>7064.67846026919</v>
      </c>
      <c r="E15" s="0" t="n">
        <f aca="false">E13-MAX(0,E13)*E14/100</f>
        <v>7611.95205429247</v>
      </c>
      <c r="F15" s="0" t="n">
        <f aca="false">F13-MAX(0,F13)*F14/100</f>
        <v>8170.37410228126</v>
      </c>
      <c r="G15" s="0" t="n">
        <f aca="false">G13-MAX(0,G13)*G14/100</f>
        <v>8680.65452480839</v>
      </c>
      <c r="H15" s="0" t="n">
        <f aca="false">H13-MAX(0,H13)*H14/100</f>
        <v>9195.78606185621</v>
      </c>
      <c r="I15" s="0" t="n">
        <f aca="false">I13-MAX(0,I13)*I14/100</f>
        <v>9307.95334883156</v>
      </c>
      <c r="J15" s="0" t="n">
        <f aca="false">J13-MAX(0,J13)*J14/100</f>
        <v>9664.21087271406</v>
      </c>
      <c r="K15" s="0" t="n">
        <f aca="false">K13-MAX(0,K13)*K14/100</f>
        <v>9641.19825414767</v>
      </c>
      <c r="L15" s="0" t="n">
        <f aca="false">L13-MAX(0,L13)*L14/100</f>
        <v>9515.09632518765</v>
      </c>
      <c r="M15" s="0" t="n">
        <f aca="false">M13-MAX(0,M13)*M14/100</f>
        <v>8286.40910109144</v>
      </c>
      <c r="N15" s="0" t="n">
        <f aca="false">N13-MAX(0,N13)*N14/100</f>
        <v>8069.19407120825</v>
      </c>
    </row>
    <row r="16" customFormat="false" ht="15" hidden="false" customHeight="false" outlineLevel="0" collapsed="false">
      <c r="A16" s="0" t="s">
        <v>123</v>
      </c>
      <c r="C16" s="0" t="n">
        <f aca="false">-C12</f>
        <v>3539.14366176</v>
      </c>
      <c r="D16" s="0" t="n">
        <f aca="false">-D12</f>
        <v>3668.5652878224</v>
      </c>
      <c r="E16" s="0" t="n">
        <f aca="false">-E12</f>
        <v>3801.55811663654</v>
      </c>
      <c r="F16" s="0" t="n">
        <f aca="false">-F12</f>
        <v>3930.04991894753</v>
      </c>
      <c r="G16" s="0" t="n">
        <f aca="false">-G12</f>
        <v>4053.26832931624</v>
      </c>
      <c r="H16" s="0" t="n">
        <f aca="false">-H12</f>
        <v>4161.28126999244</v>
      </c>
      <c r="I16" s="0" t="n">
        <f aca="false">-I12</f>
        <v>4114.21608636835</v>
      </c>
      <c r="J16" s="0" t="n">
        <f aca="false">-J12</f>
        <v>4198.74992226434</v>
      </c>
      <c r="K16" s="0" t="n">
        <f aca="false">-K12</f>
        <v>4105.76400459041</v>
      </c>
      <c r="L16" s="0" t="n">
        <f aca="false">-L12</f>
        <v>4009.97436943489</v>
      </c>
      <c r="M16" s="0" t="n">
        <f aca="false">-M12</f>
        <v>3491.04182366023</v>
      </c>
      <c r="N16" s="0" t="n">
        <f aca="false">-N12</f>
        <v>3399.005266491</v>
      </c>
    </row>
    <row r="17" customFormat="false" ht="15" hidden="false" customHeight="false" outlineLevel="0" collapsed="false">
      <c r="A17" s="0" t="s">
        <v>124</v>
      </c>
      <c r="C17" s="4" t="n">
        <f aca="false">-C6*Assumptions!C46/100</f>
        <v>-4209.96174144</v>
      </c>
      <c r="D17" s="4" t="n">
        <f aca="false">-D6*Assumptions!D46/100</f>
        <v>-4443.04018191824</v>
      </c>
      <c r="E17" s="4" t="n">
        <f aca="false">-E6*Assumptions!E46/100</f>
        <v>-4706.69100155</v>
      </c>
      <c r="F17" s="4" t="n">
        <f aca="false">-F6*Assumptions!F46/100</f>
        <v>-4883.06433347292</v>
      </c>
      <c r="G17" s="4" t="n">
        <f aca="false">-G6*Assumptions!G46/100</f>
        <v>-4957.16619618253</v>
      </c>
      <c r="H17" s="4" t="n">
        <f aca="false">-H6*Assumptions!H46/100</f>
        <v>-5015.38673352311</v>
      </c>
      <c r="I17" s="4" t="n">
        <f aca="false">-I6*Assumptions!I46/100</f>
        <v>-5147.88729214746</v>
      </c>
      <c r="J17" s="4" t="n">
        <f aca="false">-J6*Assumptions!J46/100</f>
        <v>-5266.94574631647</v>
      </c>
      <c r="K17" s="4" t="n">
        <f aca="false">-K6*Assumptions!K46/100</f>
        <v>-5251.05606902879</v>
      </c>
      <c r="L17" s="4" t="n">
        <f aca="false">-L6*Assumptions!L46/100</f>
        <v>-5320.92752867322</v>
      </c>
      <c r="M17" s="4" t="n">
        <f aca="false">-M6*Assumptions!M46/100</f>
        <v>-5362.41534041853</v>
      </c>
      <c r="N17" s="4" t="n">
        <f aca="false">-N6*Assumptions!N46/100</f>
        <v>-5453.95943087282</v>
      </c>
    </row>
    <row r="18" customFormat="false" ht="15" hidden="false" customHeight="false" outlineLevel="0" collapsed="false">
      <c r="A18" s="0" t="s">
        <v>125</v>
      </c>
      <c r="C18" s="4" t="n">
        <f aca="false">(C6-B6)*Assumptions!$B$51/100</f>
        <v>877.284240000001</v>
      </c>
      <c r="D18" s="4" t="n">
        <f aca="false">(D6-C6)*Assumptions!$B$51/100</f>
        <v>1546.351331952</v>
      </c>
      <c r="E18" s="4" t="n">
        <f aca="false">(E6-D6)*Assumptions!$B$51/100</f>
        <v>1637.81059183004</v>
      </c>
      <c r="F18" s="4" t="n">
        <f aca="false">(F6-E6)*Assumptions!$B$51/100</f>
        <v>1596.05098706407</v>
      </c>
      <c r="G18" s="4" t="n">
        <f aca="false">(G6-F6)*Assumptions!$B$51/100</f>
        <v>1534.35320738587</v>
      </c>
      <c r="H18" s="4" t="n">
        <f aca="false">(H6-G6)*Assumptions!$B$51/100</f>
        <v>1458.60571569056</v>
      </c>
      <c r="I18" s="4" t="n">
        <f aca="false">(I6-H6)*Assumptions!$B$51/100</f>
        <v>1060.18323525464</v>
      </c>
      <c r="J18" s="4" t="n">
        <f aca="false">(J6-I6)*Assumptions!$B$51/100</f>
        <v>1196.39766292652</v>
      </c>
      <c r="K18" s="4" t="n">
        <f aca="false">(K6-J6)*Assumptions!$B$51/100</f>
        <v>799.560438597444</v>
      </c>
      <c r="L18" s="4" t="n">
        <f aca="false">(L6-K6)*Assumptions!$B$51/100</f>
        <v>741.198449249743</v>
      </c>
      <c r="M18" s="4" t="n">
        <f aca="false">(M6-L6)*Assumptions!$B$51/100</f>
        <v>-254.479142675678</v>
      </c>
      <c r="N18" s="4" t="n">
        <f aca="false">(N6-M6)*Assumptions!$B$51/100</f>
        <v>574.544500759127</v>
      </c>
    </row>
    <row r="19" customFormat="false" ht="15" hidden="false" customHeight="false" outlineLevel="0" collapsed="false">
      <c r="A19" s="0" t="s">
        <v>126</v>
      </c>
      <c r="C19" s="0" t="n">
        <f aca="false">C15+C16+C17+C18</f>
        <v>6302.429077504</v>
      </c>
      <c r="D19" s="0" t="n">
        <f aca="false">D15+D16+D17+D18</f>
        <v>7836.55489812535</v>
      </c>
      <c r="E19" s="0" t="n">
        <f aca="false">E15+E16+E17+E18</f>
        <v>8344.62976120905</v>
      </c>
      <c r="F19" s="0" t="n">
        <f aca="false">F15+F16+F17+F18</f>
        <v>8813.41067481995</v>
      </c>
      <c r="G19" s="0" t="n">
        <f aca="false">G15+G16+G17+G18</f>
        <v>9311.10986532796</v>
      </c>
      <c r="H19" s="0" t="n">
        <f aca="false">H15+H16+H17+H18</f>
        <v>9800.2863140161</v>
      </c>
      <c r="I19" s="0" t="n">
        <f aca="false">I15+I16+I17+I18</f>
        <v>9334.46537830708</v>
      </c>
      <c r="J19" s="0" t="n">
        <f aca="false">J15+J16+J17+J18</f>
        <v>9792.41271158844</v>
      </c>
      <c r="K19" s="0" t="n">
        <f aca="false">K15+K16+K17+K18</f>
        <v>9295.46662830674</v>
      </c>
      <c r="L19" s="0" t="n">
        <f aca="false">L15+L16+L17+L18</f>
        <v>8945.34161519907</v>
      </c>
      <c r="M19" s="0" t="n">
        <f aca="false">M15+M16+M17+M18</f>
        <v>6160.55644165746</v>
      </c>
      <c r="N19" s="0" t="n">
        <f aca="false">N15+N16+N17+N18</f>
        <v>6588.78440758556</v>
      </c>
    </row>
    <row r="20" customFormat="false" ht="15" hidden="false" customHeight="false" outlineLevel="0" collapsed="false">
      <c r="A20" s="0" t="s">
        <v>127</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c r="M20" s="0" t="n">
        <f aca="false">1/(1+$B$27/100)^M4</f>
        <v>0.475092796387586</v>
      </c>
      <c r="N20" s="0" t="n">
        <f aca="false">1/(1+$B$27/100)^N4</f>
        <v>0.444011959240735</v>
      </c>
    </row>
    <row r="21" customFormat="false" ht="15" hidden="false" customHeight="false" outlineLevel="0" collapsed="false">
      <c r="A21" s="0" t="s">
        <v>128</v>
      </c>
      <c r="C21" s="0" t="n">
        <f aca="false">C19*C20</f>
        <v>5890.12063318131</v>
      </c>
      <c r="D21" s="0" t="n">
        <f aca="false">D19*D20</f>
        <v>6844.75054426181</v>
      </c>
      <c r="E21" s="0" t="n">
        <f aca="false">E19*E20</f>
        <v>6811.70355751516</v>
      </c>
      <c r="F21" s="0" t="n">
        <f aca="false">F19*F20</f>
        <v>6723.70880562868</v>
      </c>
      <c r="G21" s="0" t="n">
        <f aca="false">G19*G20</f>
        <v>6638.69264963288</v>
      </c>
      <c r="H21" s="0" t="n">
        <f aca="false">H19*H20</f>
        <v>6530.34457652002</v>
      </c>
      <c r="I21" s="0" t="n">
        <f aca="false">I19*I20</f>
        <v>5813.03590497139</v>
      </c>
      <c r="J21" s="0" t="n">
        <f aca="false">J19*J20</f>
        <v>5699.27335380289</v>
      </c>
      <c r="K21" s="0" t="n">
        <f aca="false">K19*K20</f>
        <v>5056.11795220093</v>
      </c>
      <c r="L21" s="0" t="n">
        <f aca="false">L19*L20</f>
        <v>4547.35807798968</v>
      </c>
      <c r="M21" s="0" t="n">
        <f aca="false">M19*M20</f>
        <v>2926.8359871706</v>
      </c>
      <c r="N21" s="0" t="n">
        <f aca="false">N19*N20</f>
        <v>2925.49907382687</v>
      </c>
    </row>
    <row r="23" customFormat="false" ht="15" hidden="false" customHeight="false" outlineLevel="0" collapsed="false">
      <c r="A23" s="0" t="s">
        <v>104</v>
      </c>
      <c r="C23" s="4" t="n">
        <f aca="false">Assumptions!C44</f>
        <v>1.17</v>
      </c>
      <c r="D23" s="4" t="n">
        <f aca="false">Assumptions!D44</f>
        <v>1.17</v>
      </c>
      <c r="E23" s="4" t="n">
        <f aca="false">Assumptions!E44</f>
        <v>1.17</v>
      </c>
      <c r="F23" s="4" t="n">
        <f aca="false">Assumptions!F44</f>
        <v>1.18</v>
      </c>
      <c r="G23" s="4" t="n">
        <f aca="false">Assumptions!G44</f>
        <v>1.18</v>
      </c>
      <c r="H23" s="4" t="n">
        <f aca="false">Assumptions!H44</f>
        <v>1.18</v>
      </c>
      <c r="I23" s="4" t="n">
        <f aca="false">Assumptions!I44</f>
        <v>1.19</v>
      </c>
      <c r="J23" s="4" t="n">
        <f aca="false">Assumptions!J44</f>
        <v>1.19</v>
      </c>
      <c r="K23" s="4" t="n">
        <f aca="false">Assumptions!K44</f>
        <v>1.21</v>
      </c>
      <c r="L23" s="4" t="n">
        <f aca="false">Assumptions!L44</f>
        <v>1.22</v>
      </c>
      <c r="M23" s="4" t="n">
        <f aca="false">Assumptions!M44</f>
        <v>1.26</v>
      </c>
      <c r="N23" s="4" t="n">
        <f aca="false">Assumptions!N44</f>
        <v>1.27</v>
      </c>
    </row>
    <row r="24" customFormat="false" ht="15" hidden="false" customHeight="false" outlineLevel="0" collapsed="false">
      <c r="A24" s="0" t="s">
        <v>129</v>
      </c>
      <c r="C24" s="0" t="n">
        <f aca="false">-C6*C23/100</f>
        <v>-902.13465888</v>
      </c>
      <c r="D24" s="0" t="n">
        <f aca="false">-D6*D23/100</f>
        <v>-953.826974833824</v>
      </c>
      <c r="E24" s="0" t="n">
        <f aca="false">-E6*E23/100</f>
        <v>-1008.57664318929</v>
      </c>
      <c r="F24" s="0" t="n">
        <f aca="false">-F6*F23/100</f>
        <v>-1071.00667537138</v>
      </c>
      <c r="G24" s="0" t="n">
        <f aca="false">-G6*G23/100</f>
        <v>-1122.73629779182</v>
      </c>
      <c r="H24" s="0" t="n">
        <f aca="false">-H6*H23/100</f>
        <v>-1171.9121476351</v>
      </c>
      <c r="I24" s="0" t="n">
        <f aca="false">-I6*I23/100</f>
        <v>-1217.88983651202</v>
      </c>
      <c r="J24" s="0" t="n">
        <f aca="false">-J6*J23/100</f>
        <v>-1258.56735705153</v>
      </c>
      <c r="K24" s="0" t="n">
        <f aca="false">-K6*K23/100</f>
        <v>-1307.36169619853</v>
      </c>
      <c r="L24" s="0" t="n">
        <f aca="false">-L6*L23/100</f>
        <v>-1344.00239854686</v>
      </c>
      <c r="M24" s="0" t="n">
        <f aca="false">-M6*M23/100</f>
        <v>-1378.90680182191</v>
      </c>
      <c r="N24" s="0" t="n">
        <f aca="false">-N6*N23/100</f>
        <v>-1410.69826419725</v>
      </c>
    </row>
    <row r="26" customFormat="false" ht="15" hidden="false" customHeight="false" outlineLevel="0" collapsed="false">
      <c r="A26" s="2" t="s">
        <v>130</v>
      </c>
    </row>
    <row r="27" customFormat="false" ht="15" hidden="false" customHeight="false" outlineLevel="0" collapsed="false">
      <c r="A27" s="0" t="s">
        <v>108</v>
      </c>
      <c r="B27" s="4" t="n">
        <f aca="false">Assumptions!$B$48</f>
        <v>7</v>
      </c>
    </row>
    <row r="28" customFormat="false" ht="15" hidden="false" customHeight="false" outlineLevel="0" collapsed="false">
      <c r="A28" s="0" t="s">
        <v>109</v>
      </c>
      <c r="B28" s="4" t="n">
        <f aca="false">Assumptions!$B$49</f>
        <v>2.5</v>
      </c>
    </row>
    <row r="29" customFormat="false" ht="15" hidden="false" customHeight="false" outlineLevel="0" collapsed="false">
      <c r="A29" s="0" t="s">
        <v>110</v>
      </c>
      <c r="B29" s="4" t="n">
        <f aca="false">Assumptions!$B$50</f>
        <v>18</v>
      </c>
    </row>
    <row r="30" customFormat="false" ht="15" hidden="false" customHeight="false" outlineLevel="0" collapsed="false">
      <c r="A30" s="0" t="s">
        <v>131</v>
      </c>
      <c r="B30" s="0" t="n">
        <f aca="false">SUM(C21:N21)</f>
        <v>66407.4411167022</v>
      </c>
    </row>
    <row r="31" customFormat="false" ht="15" hidden="false" customHeight="false" outlineLevel="0" collapsed="false">
      <c r="A31" s="0" t="s">
        <v>132</v>
      </c>
      <c r="B31" s="0" t="n">
        <f aca="false">N19</f>
        <v>6588.78440758556</v>
      </c>
    </row>
    <row r="32" customFormat="false" ht="15" hidden="false" customHeight="false" outlineLevel="0" collapsed="false">
      <c r="A32" s="0" t="s">
        <v>133</v>
      </c>
      <c r="B32" s="0" t="n">
        <f aca="false">IF(B27&gt;B28,B31*(1+B28/100)/((B27-B28)/100),B31*B29)</f>
        <v>150077.867061671</v>
      </c>
    </row>
    <row r="33" customFormat="false" ht="15" hidden="false" customHeight="false" outlineLevel="0" collapsed="false">
      <c r="A33" s="0" t="s">
        <v>134</v>
      </c>
      <c r="B33" s="0" t="n">
        <f aca="false">B31*B29</f>
        <v>118598.11933654</v>
      </c>
    </row>
    <row r="34" customFormat="false" ht="15" hidden="false" customHeight="false" outlineLevel="0" collapsed="false">
      <c r="A34" s="0" t="s">
        <v>135</v>
      </c>
      <c r="B34" s="0" t="n">
        <f aca="false">MAX(0,MIN(B32,B33))</f>
        <v>118598.11933654</v>
      </c>
    </row>
    <row r="35" customFormat="false" ht="15" hidden="false" customHeight="false" outlineLevel="0" collapsed="false">
      <c r="A35" s="0" t="s">
        <v>136</v>
      </c>
      <c r="B35" s="0" t="n">
        <f aca="false">B34/(1+B27/100)^N4</f>
        <v>52658.9833288837</v>
      </c>
    </row>
    <row r="36" customFormat="false" ht="15" hidden="false" customHeight="false" outlineLevel="0" collapsed="false">
      <c r="A36" s="0" t="s">
        <v>137</v>
      </c>
      <c r="B36" s="0" t="n">
        <f aca="false">B30+B35</f>
        <v>119066.424445586</v>
      </c>
    </row>
    <row r="37" customFormat="false" ht="15" hidden="false" customHeight="false" outlineLevel="0" collapsed="false">
      <c r="A37" s="0" t="s">
        <v>138</v>
      </c>
      <c r="B37" s="0" t="n">
        <f aca="false">B36+Assumptions!$B$5-Assumptions!$B$4</f>
        <v>93511.4244455859</v>
      </c>
    </row>
    <row r="38" customFormat="false" ht="15" hidden="false" customHeight="false" outlineLevel="0" collapsed="false">
      <c r="A38" s="0" t="s">
        <v>139</v>
      </c>
      <c r="B38" s="0" t="n">
        <f aca="false">B37/Assumptions!$B$3*Assumptions!$B$10</f>
        <v>166.805965832297</v>
      </c>
    </row>
    <row r="39" customFormat="false" ht="15" hidden="false" customHeight="false" outlineLevel="0" collapsed="false">
      <c r="A39" s="0" t="s">
        <v>140</v>
      </c>
      <c r="B39" s="4" t="n">
        <f aca="false">B38/Assumptions!$B$2-1</f>
        <v>0.566988875831821</v>
      </c>
    </row>
    <row r="41" customFormat="false" ht="15" hidden="false" customHeight="false" outlineLevel="0" collapsed="false">
      <c r="A41" s="0" t="s">
        <v>141</v>
      </c>
      <c r="B41" s="0" t="n">
        <f aca="false">SUMPRODUCT(-C10:N10/(1+$B$27/100)^C4:N4)</f>
        <v>5307.87208354669</v>
      </c>
    </row>
    <row r="42" customFormat="false" ht="15" hidden="false" customHeight="false" outlineLevel="0" collapsed="false">
      <c r="A42" s="0" t="s">
        <v>142</v>
      </c>
      <c r="B42" s="0" t="n">
        <f aca="false">IF(B27&gt;B28,-N10*(1+B28/100)/((B27-B28)/100),-N10*20)/(1+B27/100)^N4</f>
        <v>7863.83641088051</v>
      </c>
    </row>
    <row r="43" customFormat="false" ht="15" hidden="false" customHeight="false" outlineLevel="0" collapsed="false">
      <c r="A43" s="0" t="s">
        <v>143</v>
      </c>
      <c r="B43" s="0" t="n">
        <f aca="false">(B37+B41+B42)/Assumptions!$B$3*Assumptions!$B$10</f>
        <v>190.301699857319</v>
      </c>
    </row>
    <row r="45" customFormat="false" ht="15" hidden="false" customHeight="false" outlineLevel="0" collapsed="false">
      <c r="A45" s="0" t="s">
        <v>82</v>
      </c>
      <c r="B45" s="4" t="n">
        <f aca="false">Assumptions!$B$6</f>
        <v>15</v>
      </c>
    </row>
    <row r="46" customFormat="false" ht="15" hidden="false" customHeight="false" outlineLevel="0" collapsed="false">
      <c r="A46" s="0" t="s">
        <v>144</v>
      </c>
      <c r="B46" s="0" t="n">
        <f aca="false">MAX(0,MIN(IF(B45&gt;B28,B31*(1+B28/100)/((B45-B28)/100),B31*B29),B31*B29))</f>
        <v>54028.0321422016</v>
      </c>
    </row>
    <row r="47" customFormat="false" ht="15" hidden="false" customHeight="false" outlineLevel="0" collapsed="false">
      <c r="A47" s="0" t="s">
        <v>145</v>
      </c>
      <c r="B47" s="0" t="n">
        <f aca="false">(SUMPRODUCT(C19:N19/(1+B45/100)^C4:N4)+B46/(1+B45/100)^N4+Assumptions!$B$5-Assumptions!$B$4)/Assumptions!$B$3*Assumptions!$B$10</f>
        <v>52.5520507292062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148</v>
      </c>
    </row>
    <row r="3" customFormat="false" ht="15" hidden="false" customHeight="false" outlineLevel="0" collapsed="false">
      <c r="A3" s="2" t="s">
        <v>149</v>
      </c>
      <c r="B3" s="2" t="s">
        <v>150</v>
      </c>
      <c r="C3" s="2" t="s">
        <v>140</v>
      </c>
      <c r="D3" s="2" t="s">
        <v>151</v>
      </c>
      <c r="E3" s="2" t="s">
        <v>143</v>
      </c>
      <c r="F3" s="2" t="s">
        <v>152</v>
      </c>
    </row>
    <row r="4" customFormat="false" ht="15" hidden="false" customHeight="false" outlineLevel="0" collapsed="false">
      <c r="A4" s="0" t="s">
        <v>153</v>
      </c>
      <c r="B4" s="4" t="n">
        <f aca="false">DCF_Bear!$B$38</f>
        <v>57.8512891080555</v>
      </c>
      <c r="C4" s="0" t="n">
        <f aca="false">B4/Assumptions!$B$2-1</f>
        <v>-0.456540262019207</v>
      </c>
      <c r="D4" s="4" t="n">
        <f aca="false">Assumptions!$B$24</f>
        <v>0.25</v>
      </c>
      <c r="E4" s="4" t="n">
        <f aca="false">DCF_Bear!$B$43</f>
        <v>79.0699915638385</v>
      </c>
      <c r="F4" s="4" t="n">
        <f aca="false">DCF_Bear!$B$47</f>
        <v>11.4896812595224</v>
      </c>
    </row>
    <row r="5" customFormat="false" ht="15" hidden="false" customHeight="false" outlineLevel="0" collapsed="false">
      <c r="A5" s="0" t="s">
        <v>154</v>
      </c>
      <c r="B5" s="4" t="n">
        <f aca="false">DCF_Base!$B$38</f>
        <v>110.756051643126</v>
      </c>
      <c r="C5" s="0" t="n">
        <f aca="false">B5/Assumptions!$B$2-1</f>
        <v>0.0404514010627111</v>
      </c>
      <c r="D5" s="4" t="n">
        <f aca="false">Assumptions!$B$38</f>
        <v>0.5</v>
      </c>
      <c r="E5" s="4" t="n">
        <f aca="false">DCF_Base!$B$43</f>
        <v>132.742695609187</v>
      </c>
      <c r="F5" s="4" t="n">
        <f aca="false">DCF_Base!$B$47</f>
        <v>32.7608692650996</v>
      </c>
    </row>
    <row r="6" customFormat="false" ht="15" hidden="false" customHeight="false" outlineLevel="0" collapsed="false">
      <c r="A6" s="0" t="s">
        <v>155</v>
      </c>
      <c r="B6" s="4" t="n">
        <f aca="false">DCF_Bull!$B$38</f>
        <v>166.805965832297</v>
      </c>
      <c r="C6" s="0" t="n">
        <f aca="false">B6/Assumptions!$B$2-1</f>
        <v>0.566988875831821</v>
      </c>
      <c r="D6" s="4" t="n">
        <f aca="false">Assumptions!$B$52</f>
        <v>0.25</v>
      </c>
      <c r="E6" s="4" t="n">
        <f aca="false">DCF_Bull!$B$43</f>
        <v>190.301699857319</v>
      </c>
      <c r="F6" s="4" t="n">
        <f aca="false">DCF_Bull!$B$47</f>
        <v>52.5520507292062</v>
      </c>
    </row>
    <row r="8" customFormat="false" ht="15" hidden="false" customHeight="false" outlineLevel="0" collapsed="false">
      <c r="A8" s="0" t="s">
        <v>156</v>
      </c>
      <c r="B8" s="0" t="n">
        <f aca="false">SUMPRODUCT(B4:B6,D4:D6)</f>
        <v>111.542339556651</v>
      </c>
    </row>
    <row r="9" customFormat="false" ht="15" hidden="false" customHeight="false" outlineLevel="0" collapsed="false">
      <c r="A9" s="0" t="s">
        <v>157</v>
      </c>
      <c r="B9" s="0" t="n">
        <f aca="false">SUMPRODUCT(E4:E6,D4:D6)</f>
        <v>133.714270659883</v>
      </c>
    </row>
    <row r="10" customFormat="false" ht="15" hidden="false" customHeight="false" outlineLevel="0" collapsed="false">
      <c r="A10" s="0" t="s">
        <v>158</v>
      </c>
      <c r="B10" s="0" t="n">
        <f aca="false">1-Assumptions!$B$2/B8</f>
        <v>0.0456538707802938</v>
      </c>
    </row>
    <row r="11" customFormat="false" ht="15" hidden="false" customHeight="false" outlineLevel="0" collapsed="false">
      <c r="A11" s="0" t="s">
        <v>159</v>
      </c>
      <c r="B11" s="0" t="n">
        <f aca="false">IF(ABS(B9-B8)&gt;0.01*ABS(B8),(Assumptions!$B$2-B8)/(B9-B8)*100,"n/a")</f>
        <v>-22.9675057753932</v>
      </c>
    </row>
    <row r="12" customFormat="false" ht="15" hidden="false" customHeight="false" outlineLevel="0" collapsed="false">
      <c r="A12" s="0" t="s">
        <v>160</v>
      </c>
      <c r="B12" s="0" t="n">
        <f aca="false">SUMPRODUCT(F4:F6,D4:D6)</f>
        <v>32.3908676297319</v>
      </c>
    </row>
    <row r="14" customFormat="false" ht="15" hidden="false" customHeight="false" outlineLevel="0" collapsed="false">
      <c r="A14" s="2" t="s">
        <v>161</v>
      </c>
      <c r="C14" s="0" t="s">
        <v>162</v>
      </c>
    </row>
    <row r="15" customFormat="false" ht="15" hidden="false" customHeight="false" outlineLevel="0" collapsed="false">
      <c r="A15" s="0" t="s">
        <v>163</v>
      </c>
      <c r="B15" s="0" t="n">
        <f aca="false">(SUMPRODUCT(DCF_Base!$C$19:$N$19/(1+$C$15/100)^DCF_Base!$C$4:$N$4)+MAX(0,MIN(IF($C$15&gt;DCF_Base!$B$28,DCF_Base!$N$19*(1+DCF_Base!$B$28/100)/(($C$15-DCF_Base!$B$28)/100),DCF_Base!$N$19*DCF_Base!$B$29),DCF_Base!$N$19*DCF_Base!$B$29))/(1+$C$15/100)^DCF_Base!$N$4+Assumptions!$B$5-Assumptions!$B$4)/Assumptions!$B$3*Assumptions!$B$10</f>
        <v>110.756051643126</v>
      </c>
      <c r="C15" s="3" t="n">
        <v>7</v>
      </c>
    </row>
    <row r="16" customFormat="false" ht="15" hidden="false" customHeight="false" outlineLevel="0" collapsed="false">
      <c r="A16" s="0" t="s">
        <v>164</v>
      </c>
      <c r="B16" s="0" t="n">
        <f aca="false">(SUMPRODUCT(DCF_Base!$C$19:$N$19/(1+$C$16/100)^DCF_Base!$C$4:$N$4)+MAX(0,MIN(IF($C$16&gt;DCF_Base!$B$28,DCF_Base!$N$19*(1+DCF_Base!$B$28/100)/(($C$16-DCF_Base!$B$28)/100),DCF_Base!$N$19*DCF_Base!$B$29),DCF_Base!$N$19*DCF_Base!$B$29))/(1+$C$16/100)^DCF_Base!$N$4+Assumptions!$B$5-Assumptions!$B$4)/Assumptions!$B$3*Assumptions!$B$10</f>
        <v>85.1623057102422</v>
      </c>
      <c r="C16" s="3" t="n">
        <v>9</v>
      </c>
    </row>
    <row r="17" customFormat="false" ht="15" hidden="false" customHeight="false" outlineLevel="0" collapsed="false">
      <c r="A17" s="0" t="s">
        <v>165</v>
      </c>
      <c r="B17" s="0" t="n">
        <f aca="false">(SUMPRODUCT(DCF_Base!$C$19:$N$19/(1+$C$17/100)^DCF_Base!$C$4:$N$4)+MAX(0,MIN(IF($C$17&gt;DCF_Base!$B$28,DCF_Base!$N$19*(1+DCF_Base!$B$28/100)/(($C$17-DCF_Base!$B$28)/100),DCF_Base!$N$19*DCF_Base!$B$29),DCF_Base!$N$19*DCF_Base!$B$29))/(1+$C$17/100)^DCF_Base!$N$4+Assumptions!$B$5-Assumptions!$B$4)/Assumptions!$B$3*Assumptions!$B$10</f>
        <v>71.5771787337332</v>
      </c>
      <c r="C17" s="3" t="n">
        <v>10</v>
      </c>
    </row>
    <row r="18" customFormat="false" ht="15" hidden="false" customHeight="false" outlineLevel="0" collapsed="false">
      <c r="A18" s="0" t="s">
        <v>166</v>
      </c>
      <c r="B18" s="0" t="n">
        <f aca="false">(SUMPRODUCT(DCF_Base!$C$19:$N$19/(1+$C$18/100)^DCF_Base!$C$4:$N$4)+MAX(0,MIN(IF($C$18&gt;DCF_Base!$B$28,DCF_Base!$N$19*(1+DCF_Base!$B$28/100)/(($C$18-DCF_Base!$B$28)/100),DCF_Base!$N$19*DCF_Base!$B$29),DCF_Base!$N$19*DCF_Base!$B$29))/(1+$C$18/100)^DCF_Base!$N$4+Assumptions!$B$5-Assumptions!$B$4)/Assumptions!$B$3*Assumptions!$B$10</f>
        <v>60.7640843394915</v>
      </c>
      <c r="C18" s="3" t="n">
        <v>11</v>
      </c>
    </row>
    <row r="19" customFormat="false" ht="15" hidden="false" customHeight="false" outlineLevel="0" collapsed="false">
      <c r="A19" s="0" t="s">
        <v>167</v>
      </c>
      <c r="B19" s="0" t="n">
        <f aca="false">(SUMPRODUCT(DCF_Base!$C$19:$N$19/(1+$C$19/100)^DCF_Base!$C$4:$N$4)+MAX(0,MIN(IF($C$19&gt;DCF_Base!$B$28,DCF_Base!$N$19*(1+DCF_Base!$B$28/100)/(($C$19-DCF_Base!$B$28)/100),DCF_Base!$N$19*DCF_Base!$B$29),DCF_Base!$N$19*DCF_Base!$B$29))/(1+$C$19/100)^DCF_Base!$N$4+Assumptions!$B$5-Assumptions!$B$4)/Assumptions!$B$3*Assumptions!$B$10</f>
        <v>51.9141738184817</v>
      </c>
      <c r="C19" s="3" t="n">
        <v>12</v>
      </c>
    </row>
    <row r="20" customFormat="false" ht="15" hidden="false" customHeight="false" outlineLevel="0" collapsed="false">
      <c r="A20" s="0" t="s">
        <v>168</v>
      </c>
      <c r="B20" s="0" t="n">
        <f aca="false">(SUMPRODUCT(DCF_Base!$C$19:$N$19/(1+$C$20/100)^DCF_Base!$C$4:$N$4)+MAX(0,MIN(IF($C$20&gt;DCF_Base!$B$28,DCF_Base!$N$19*(1+DCF_Base!$B$28/100)/(($C$20-DCF_Base!$B$28)/100),DCF_Base!$N$19*DCF_Base!$B$29),DCF_Base!$N$19*DCF_Base!$B$29))/(1+$C$20/100)^DCF_Base!$N$4+Assumptions!$B$5-Assumptions!$B$4)/Assumptions!$B$3*Assumptions!$B$10</f>
        <v>32.7608692650996</v>
      </c>
      <c r="C20" s="3" t="n">
        <v>15</v>
      </c>
    </row>
    <row r="22" customFormat="false" ht="15" hidden="false" customHeight="false" outlineLevel="0" collapsed="false">
      <c r="A22" s="2" t="s">
        <v>169</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5</v>
      </c>
      <c r="B24" s="0" t="n">
        <f aca="false">(SUMPRODUCT(DCF_Base!$C$19:$N$19/(1+$A$24/100)^DCF_Base!$C$4:$N$4)+MAX(0,MIN(IF($A$24&gt;$B$23,DCF_Base!$N$19*(1+$B$23/100)/(($A$24-$B$23)/100),DCF_Base!$N$19*DCF_Base!$B$29),DCF_Base!$N$19*DCF_Base!$B$29))/(1+$A$24/100)^DCF_Base!$N$4+Assumptions!$B$5-Assumptions!$B$4)/Assumptions!$B$3*Assumptions!$B$10</f>
        <v>136.987383734368</v>
      </c>
      <c r="C24" s="0" t="n">
        <f aca="false">(SUMPRODUCT(DCF_Base!$C$19:$N$19/(1+$A$24/100)^DCF_Base!$C$4:$N$4)+MAX(0,MIN(IF($A$24&gt;$C$23,DCF_Base!$N$19*(1+$C$23/100)/(($A$24-$C$23)/100),DCF_Base!$N$19*DCF_Base!$B$29),DCF_Base!$N$19*DCF_Base!$B$29))/(1+$A$24/100)^DCF_Base!$N$4+Assumptions!$B$5-Assumptions!$B$4)/Assumptions!$B$3*Assumptions!$B$10</f>
        <v>136.987383734368</v>
      </c>
      <c r="D24" s="0" t="n">
        <f aca="false">(SUMPRODUCT(DCF_Base!$C$19:$N$19/(1+$A$24/100)^DCF_Base!$C$4:$N$4)+MAX(0,MIN(IF($A$24&gt;$D$23,DCF_Base!$N$19*(1+$D$23/100)/(($A$24-$D$23)/100),DCF_Base!$N$19*DCF_Base!$B$29),DCF_Base!$N$19*DCF_Base!$B$29))/(1+$A$24/100)^DCF_Base!$N$4+Assumptions!$B$5-Assumptions!$B$4)/Assumptions!$B$3*Assumptions!$B$10</f>
        <v>136.987383734368</v>
      </c>
      <c r="E24" s="0" t="n">
        <f aca="false">(SUMPRODUCT(DCF_Base!$C$19:$N$19/(1+$A$24/100)^DCF_Base!$C$4:$N$4)+MAX(0,MIN(IF($A$24&gt;$E$23,DCF_Base!$N$19*(1+$E$23/100)/(($A$24-$E$23)/100),DCF_Base!$N$19*DCF_Base!$B$29),DCF_Base!$N$19*DCF_Base!$B$29))/(1+$A$24/100)^DCF_Base!$N$4+Assumptions!$B$5-Assumptions!$B$4)/Assumptions!$B$3*Assumptions!$B$10</f>
        <v>136.987383734368</v>
      </c>
      <c r="F24" s="0" t="n">
        <f aca="false">(SUMPRODUCT(DCF_Base!$C$19:$N$19/(1+$A$24/100)^DCF_Base!$C$4:$N$4)+MAX(0,MIN(IF($A$24&gt;$F$23,DCF_Base!$N$19*(1+$F$23/100)/(($A$24-$F$23)/100),DCF_Base!$N$19*DCF_Base!$B$29),DCF_Base!$N$19*DCF_Base!$B$29))/(1+$A$24/100)^DCF_Base!$N$4+Assumptions!$B$5-Assumptions!$B$4)/Assumptions!$B$3*Assumptions!$B$10</f>
        <v>136.987383734368</v>
      </c>
    </row>
    <row r="25" customFormat="false" ht="15" hidden="false" customHeight="false" outlineLevel="0" collapsed="false">
      <c r="A25" s="3" t="n">
        <v>6</v>
      </c>
      <c r="B25" s="0" t="n">
        <f aca="false">(SUMPRODUCT(DCF_Base!$C$19:$N$19/(1+$A$25/100)^DCF_Base!$C$4:$N$4)+MAX(0,MIN(IF($A$25&gt;$B$23,DCF_Base!$N$19*(1+$B$23/100)/(($A$25-$B$23)/100),DCF_Base!$N$19*DCF_Base!$B$29),DCF_Base!$N$19*DCF_Base!$B$29))/(1+$A$25/100)^DCF_Base!$N$4+Assumptions!$B$5-Assumptions!$B$4)/Assumptions!$B$3*Assumptions!$B$10</f>
        <v>123.185724201426</v>
      </c>
      <c r="C25" s="0" t="n">
        <f aca="false">(SUMPRODUCT(DCF_Base!$C$19:$N$19/(1+$A$25/100)^DCF_Base!$C$4:$N$4)+MAX(0,MIN(IF($A$25&gt;$C$23,DCF_Base!$N$19*(1+$C$23/100)/(($A$25-$C$23)/100),DCF_Base!$N$19*DCF_Base!$B$29),DCF_Base!$N$19*DCF_Base!$B$29))/(1+$A$25/100)^DCF_Base!$N$4+Assumptions!$B$5-Assumptions!$B$4)/Assumptions!$B$3*Assumptions!$B$10</f>
        <v>123.185724201426</v>
      </c>
      <c r="D25" s="0" t="n">
        <f aca="false">(SUMPRODUCT(DCF_Base!$C$19:$N$19/(1+$A$25/100)^DCF_Base!$C$4:$N$4)+MAX(0,MIN(IF($A$25&gt;$D$23,DCF_Base!$N$19*(1+$D$23/100)/(($A$25-$D$23)/100),DCF_Base!$N$19*DCF_Base!$B$29),DCF_Base!$N$19*DCF_Base!$B$29))/(1+$A$25/100)^DCF_Base!$N$4+Assumptions!$B$5-Assumptions!$B$4)/Assumptions!$B$3*Assumptions!$B$10</f>
        <v>123.185724201426</v>
      </c>
      <c r="E25" s="0" t="n">
        <f aca="false">(SUMPRODUCT(DCF_Base!$C$19:$N$19/(1+$A$25/100)^DCF_Base!$C$4:$N$4)+MAX(0,MIN(IF($A$25&gt;$E$23,DCF_Base!$N$19*(1+$E$23/100)/(($A$25-$E$23)/100),DCF_Base!$N$19*DCF_Base!$B$29),DCF_Base!$N$19*DCF_Base!$B$29))/(1+$A$25/100)^DCF_Base!$N$4+Assumptions!$B$5-Assumptions!$B$4)/Assumptions!$B$3*Assumptions!$B$10</f>
        <v>123.185724201426</v>
      </c>
      <c r="F25" s="0" t="n">
        <f aca="false">(SUMPRODUCT(DCF_Base!$C$19:$N$19/(1+$A$25/100)^DCF_Base!$C$4:$N$4)+MAX(0,MIN(IF($A$25&gt;$F$23,DCF_Base!$N$19*(1+$F$23/100)/(($A$25-$F$23)/100),DCF_Base!$N$19*DCF_Base!$B$29),DCF_Base!$N$19*DCF_Base!$B$29))/(1+$A$25/100)^DCF_Base!$N$4+Assumptions!$B$5-Assumptions!$B$4)/Assumptions!$B$3*Assumptions!$B$10</f>
        <v>123.185724201426</v>
      </c>
    </row>
    <row r="26" customFormat="false" ht="15" hidden="false" customHeight="false" outlineLevel="0" collapsed="false">
      <c r="A26" s="3" t="n">
        <v>7</v>
      </c>
      <c r="B26" s="0" t="n">
        <f aca="false">(SUMPRODUCT(DCF_Base!$C$19:$N$19/(1+$A$26/100)^DCF_Base!$C$4:$N$4)+MAX(0,MIN(IF($A$26&gt;$B$23,DCF_Base!$N$19*(1+$B$23/100)/(($A$26-$B$23)/100),DCF_Base!$N$19*DCF_Base!$B$29),DCF_Base!$N$19*DCF_Base!$B$29))/(1+$A$26/100)^DCF_Base!$N$4+Assumptions!$B$5-Assumptions!$B$4)/Assumptions!$B$3*Assumptions!$B$10</f>
        <v>110.756051643126</v>
      </c>
      <c r="C26" s="0" t="n">
        <f aca="false">(SUMPRODUCT(DCF_Base!$C$19:$N$19/(1+$A$26/100)^DCF_Base!$C$4:$N$4)+MAX(0,MIN(IF($A$26&gt;$C$23,DCF_Base!$N$19*(1+$C$23/100)/(($A$26-$C$23)/100),DCF_Base!$N$19*DCF_Base!$B$29),DCF_Base!$N$19*DCF_Base!$B$29))/(1+$A$26/100)^DCF_Base!$N$4+Assumptions!$B$5-Assumptions!$B$4)/Assumptions!$B$3*Assumptions!$B$10</f>
        <v>110.756051643126</v>
      </c>
      <c r="D26" s="0" t="n">
        <f aca="false">(SUMPRODUCT(DCF_Base!$C$19:$N$19/(1+$A$26/100)^DCF_Base!$C$4:$N$4)+MAX(0,MIN(IF($A$26&gt;$D$23,DCF_Base!$N$19*(1+$D$23/100)/(($A$26-$D$23)/100),DCF_Base!$N$19*DCF_Base!$B$29),DCF_Base!$N$19*DCF_Base!$B$29))/(1+$A$26/100)^DCF_Base!$N$4+Assumptions!$B$5-Assumptions!$B$4)/Assumptions!$B$3*Assumptions!$B$10</f>
        <v>110.756051643126</v>
      </c>
      <c r="E26" s="0" t="n">
        <f aca="false">(SUMPRODUCT(DCF_Base!$C$19:$N$19/(1+$A$26/100)^DCF_Base!$C$4:$N$4)+MAX(0,MIN(IF($A$26&gt;$E$23,DCF_Base!$N$19*(1+$E$23/100)/(($A$26-$E$23)/100),DCF_Base!$N$19*DCF_Base!$B$29),DCF_Base!$N$19*DCF_Base!$B$29))/(1+$A$26/100)^DCF_Base!$N$4+Assumptions!$B$5-Assumptions!$B$4)/Assumptions!$B$3*Assumptions!$B$10</f>
        <v>110.756051643126</v>
      </c>
      <c r="F26" s="0" t="n">
        <f aca="false">(SUMPRODUCT(DCF_Base!$C$19:$N$19/(1+$A$26/100)^DCF_Base!$C$4:$N$4)+MAX(0,MIN(IF($A$26&gt;$F$23,DCF_Base!$N$19*(1+$F$23/100)/(($A$26-$F$23)/100),DCF_Base!$N$19*DCF_Base!$B$29),DCF_Base!$N$19*DCF_Base!$B$29))/(1+$A$26/100)^DCF_Base!$N$4+Assumptions!$B$5-Assumptions!$B$4)/Assumptions!$B$3*Assumptions!$B$10</f>
        <v>110.756051643126</v>
      </c>
    </row>
    <row r="27" customFormat="false" ht="15" hidden="false" customHeight="false" outlineLevel="0" collapsed="false">
      <c r="A27" s="3" t="n">
        <v>8</v>
      </c>
      <c r="B27" s="0" t="n">
        <f aca="false">(SUMPRODUCT(DCF_Base!$C$19:$N$19/(1+$A$27/100)^DCF_Base!$C$4:$N$4)+MAX(0,MIN(IF($A$27&gt;$B$23,DCF_Base!$N$19*(1+$B$23/100)/(($A$27-$B$23)/100),DCF_Base!$N$19*DCF_Base!$B$29),DCF_Base!$N$19*DCF_Base!$B$29))/(1+$A$27/100)^DCF_Base!$N$4+Assumptions!$B$5-Assumptions!$B$4)/Assumptions!$B$3*Assumptions!$B$10</f>
        <v>94.3250159447007</v>
      </c>
      <c r="C27" s="0" t="n">
        <f aca="false">(SUMPRODUCT(DCF_Base!$C$19:$N$19/(1+$A$27/100)^DCF_Base!$C$4:$N$4)+MAX(0,MIN(IF($A$27&gt;$C$23,DCF_Base!$N$19*(1+$C$23/100)/(($A$27-$C$23)/100),DCF_Base!$N$19*DCF_Base!$B$29),DCF_Base!$N$19*DCF_Base!$B$29))/(1+$A$27/100)^DCF_Base!$N$4+Assumptions!$B$5-Assumptions!$B$4)/Assumptions!$B$3*Assumptions!$B$10</f>
        <v>98.2655584338395</v>
      </c>
      <c r="D27" s="0" t="n">
        <f aca="false">(SUMPRODUCT(DCF_Base!$C$19:$N$19/(1+$A$27/100)^DCF_Base!$C$4:$N$4)+MAX(0,MIN(IF($A$27&gt;$D$23,DCF_Base!$N$19*(1+$D$23/100)/(($A$27-$D$23)/100),DCF_Base!$N$19*DCF_Base!$B$29),DCF_Base!$N$19*DCF_Base!$B$29))/(1+$A$27/100)^DCF_Base!$N$4+Assumptions!$B$5-Assumptions!$B$4)/Assumptions!$B$3*Assumptions!$B$10</f>
        <v>99.5425860923567</v>
      </c>
      <c r="E27" s="0" t="n">
        <f aca="false">(SUMPRODUCT(DCF_Base!$C$19:$N$19/(1+$A$27/100)^DCF_Base!$C$4:$N$4)+MAX(0,MIN(IF($A$27&gt;$E$23,DCF_Base!$N$19*(1+$E$23/100)/(($A$27-$E$23)/100),DCF_Base!$N$19*DCF_Base!$B$29),DCF_Base!$N$19*DCF_Base!$B$29))/(1+$A$27/100)^DCF_Base!$N$4+Assumptions!$B$5-Assumptions!$B$4)/Assumptions!$B$3*Assumptions!$B$10</f>
        <v>99.5425860923567</v>
      </c>
      <c r="F27" s="0" t="n">
        <f aca="false">(SUMPRODUCT(DCF_Base!$C$19:$N$19/(1+$A$27/100)^DCF_Base!$C$4:$N$4)+MAX(0,MIN(IF($A$27&gt;$F$23,DCF_Base!$N$19*(1+$F$23/100)/(($A$27-$F$23)/100),DCF_Base!$N$19*DCF_Base!$B$29),DCF_Base!$N$19*DCF_Base!$B$29))/(1+$A$27/100)^DCF_Base!$N$4+Assumptions!$B$5-Assumptions!$B$4)/Assumptions!$B$3*Assumptions!$B$10</f>
        <v>99.5425860923567</v>
      </c>
    </row>
    <row r="28" customFormat="false" ht="15" hidden="false" customHeight="false" outlineLevel="0" collapsed="false">
      <c r="A28" s="3" t="n">
        <v>9</v>
      </c>
      <c r="B28" s="0" t="n">
        <f aca="false">(SUMPRODUCT(DCF_Base!$C$19:$N$19/(1+$A$28/100)^DCF_Base!$C$4:$N$4)+MAX(0,MIN(IF($A$28&gt;$B$23,DCF_Base!$N$19*(1+$B$23/100)/(($A$28-$B$23)/100),DCF_Base!$N$19*DCF_Base!$B$29),DCF_Base!$N$19*DCF_Base!$B$29))/(1+$A$28/100)^DCF_Base!$N$4+Assumptions!$B$5-Assumptions!$B$4)/Assumptions!$B$3*Assumptions!$B$10</f>
        <v>79.3762952693724</v>
      </c>
      <c r="C28" s="0" t="n">
        <f aca="false">(SUMPRODUCT(DCF_Base!$C$19:$N$19/(1+$A$28/100)^DCF_Base!$C$4:$N$4)+MAX(0,MIN(IF($A$28&gt;$C$23,DCF_Base!$N$19*(1+$C$23/100)/(($A$28-$C$23)/100),DCF_Base!$N$19*DCF_Base!$B$29),DCF_Base!$N$19*DCF_Base!$B$29))/(1+$A$28/100)^DCF_Base!$N$4+Assumptions!$B$5-Assumptions!$B$4)/Assumptions!$B$3*Assumptions!$B$10</f>
        <v>82.0764334751116</v>
      </c>
      <c r="D28" s="0" t="n">
        <f aca="false">(SUMPRODUCT(DCF_Base!$C$19:$N$19/(1+$A$28/100)^DCF_Base!$C$4:$N$4)+MAX(0,MIN(IF($A$28&gt;$D$23,DCF_Base!$N$19*(1+$D$23/100)/(($A$28-$D$23)/100),DCF_Base!$N$19*DCF_Base!$B$29),DCF_Base!$N$19*DCF_Base!$B$29))/(1+$A$28/100)^DCF_Base!$N$4+Assumptions!$B$5-Assumptions!$B$4)/Assumptions!$B$3*Assumptions!$B$10</f>
        <v>85.1623057102422</v>
      </c>
      <c r="E28" s="0" t="n">
        <f aca="false">(SUMPRODUCT(DCF_Base!$C$19:$N$19/(1+$A$28/100)^DCF_Base!$C$4:$N$4)+MAX(0,MIN(IF($A$28&gt;$E$23,DCF_Base!$N$19*(1+$E$23/100)/(($A$28-$E$23)/100),DCF_Base!$N$19*DCF_Base!$B$29),DCF_Base!$N$19*DCF_Base!$B$29))/(1+$A$28/100)^DCF_Base!$N$4+Assumptions!$B$5-Assumptions!$B$4)/Assumptions!$B$3*Assumptions!$B$10</f>
        <v>88.7229275200082</v>
      </c>
      <c r="F28" s="0" t="n">
        <f aca="false">(SUMPRODUCT(DCF_Base!$C$19:$N$19/(1+$A$28/100)^DCF_Base!$C$4:$N$4)+MAX(0,MIN(IF($A$28&gt;$F$23,DCF_Base!$N$19*(1+$F$23/100)/(($A$28-$F$23)/100),DCF_Base!$N$19*DCF_Base!$B$29),DCF_Base!$N$19*DCF_Base!$B$29))/(1+$A$28/100)^DCF_Base!$N$4+Assumptions!$B$5-Assumptions!$B$4)/Assumptions!$B$3*Assumptions!$B$10</f>
        <v>89.4089188778531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2026-10-25T11:37:35Z</dcterms:created>
  <dc:creator>openpyxl</dc:creator>
  <dc:description/>
  <dc:language>en-NZ</dc:language>
  <cp:lastModifiedBy/>
  <dcterms:modified xsi:type="dcterms:W3CDTF">2026-10-25T11:37:35Z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