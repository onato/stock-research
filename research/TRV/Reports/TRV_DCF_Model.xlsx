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<sst xmlns="http://schemas.openxmlformats.org/spreadsheetml/2006/main" count="390" uniqueCount="176">
  <si>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</si>
  <si>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TRV</t>
  </si>
  <si>
    <t xml:space="preserve">Company</t>
  </si>
  <si>
    <t xml:space="preserve">The Travelers Companies,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</si>
  <si>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</si>
  <si>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</si>
  <si>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</si>
  <si>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</si>
  <si>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chart API regularMarketTime)</t>
  </si>
  <si>
    <t xml:space="preserve">Balance sheet date</t>
  </si>
  <si>
    <t xml:space="preserve">2026-06-30</t>
  </si>
  <si>
    <t xml:space="preserve">Model</t>
  </si>
  <si>
    <t xml:space="preserve">P&amp;C insurer FCFE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</si>
  <si>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</si>
  <si>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</si>
  <si>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</si>
  <si>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</si>
  <si>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</si>
  <si>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</si>
  <si>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</si>
  <si>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</si>
  <si>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2026-10-02T09:48:54Z</t>
  </si>
  <si>
    <t xml:space="preserve">Drivers file</t>
  </si>
  <si>
    <t xml:space="preserve">TRV_Drivers.json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</si>
  <si>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</si>
  <si>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</si>
  <si>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</si>
  <si>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Travelers is valued as a distributor of free cash flow to equity: normalised after-tax underwriting plus investment income, less the capital that must be retained to support premium growth, discounted at the cost of equity with no net-debt deduction. The central judgment is margin normalisation -- the TTM 21% pre-tax margin is a cycle peak and is faded to TRV's through-cycle level; the valuation is far more sensitive to that fade than to growth.
key_risks_to_valuation: Underwriting-cycle turn: national property pricing is already softening; each 1pp of steady-state pre-tax margin is worth roughly $25-30/share.; Casualty reserve adequacy / social inflation (GL, commercial auto, umbrella): adverse development would hit book and earnings simultaneously.; Catastrophe volatility and climate trend: a 2025-wildfire-scale event ($1.7bn pre-tax) is ~4% of a year's revenue.; Rate cuts would stall the NII tailwind that underpins the base-case margin floor.; Terminal multiple: 15x FCFE base (~12.5x earnings) vs a 10-14x historical P/E range; terminal value is the majority of value.</t>
  </si>
  <si>
    <t xml:space="preserve">Data sources</t>
  </si>
  <si>
    <t xml:space="preserve">price: Yahoo Finance chart API at inputs.price_as_of; 52-week range 252.26-398.70
financials: SEC XBRL companyfacts (CIK 86312): TRV_Metrics.csv plus 10-Q Q2-2026 PremiumsEarnedNet, NetInvestmentIncome, pre-tax income, IncomeTaxExpenseBenefit, InterestExpense, DebtLongtermAndShorttermCombinedAmount ($9,068M at 2026-06-30), AOCI (-$2,668M), goodwill/intangibles ($4,385M), diluted/basic weighted shares, dei cover share count.
qualitative: TRV_Analysis.json (2026-10-02): Q2-2026 earnings, guidance (expense ratio ~28.5%, after-tax NII ~$840M Q3 / ~$870M Q4), Canada divestiture to Definity (closed 2026-01-02).</t>
  </si>
  <si>
    <t xml:space="preserve">Scenario narrative: bear</t>
  </si>
  <si>
    <t xml:space="preserve">Mean reversion overshoots: commercial casualty pricing softens behind national property, social inflation forces reserve strengthening as it has at several peers, and a large cat year (2025 CA wildfire-scale, $1.7bn) recurs. Combined ratio ~97-98% at trough, NII stalls on rate cuts, PI keeps ceding share to Progressive/GEICO. Margin troughs ~10% pre-tax, recovers to ~12.5%; terminal 12x FCFE (~10x earnings), the 2011-2019 trading range.</t>
  </si>
  <si>
    <t xml:space="preserve">Scenario narrative: base</t>
  </si>
  <si>
    <t xml:space="preserve">Cycle normalises from a peak: TTM 21% pre-tax margin (Q2-26 combined ratio 83.6%, benign cats, favourable PYD) fades to a ~14.5% through-cycle level (~93% combined ratio plus a still-rising ~$4.3bn+ NII line) by year 4. Revenue grows 3-4.5% as Business Insurance (+3-5% ex-Canada) and Bond &amp; Specialty (+14-16%) offset a deliberately shrinking Personal Insurance book. ~16% ROE on ex-AOCI book with the excess distributed via the $1.25/qtr dividend and buybacks.</t>
  </si>
  <si>
    <t xml:space="preserve">Scenario narrative: bull</t>
  </si>
  <si>
    <t xml:space="preserve">Travelers' underwriting discipline and data/AI edge hold the combined ratio near 90% through the softening phase, reserve releases persist, and higher-for-longer rates keep NII compounding; B&amp;S remains a double-digit grower. Pre-tax margin ~16.5% steady state, growth 5-6.5%, terminal 17x FCFE (~14x earnings), the multiple a premium underwriter has held in 2024-26.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</si>
  <si>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</si>
  <si>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</si>
  <si>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</si>
  <si>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</si>
  <si>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</si>
  <si>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</si>
  <si>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</si>
  <si>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</si>
  <si>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</si>
  <si>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</si>
  <si>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</si>
  <si>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</si>
  <si>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</si>
  <si>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</si>
  <si>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</si>
  <si>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</si>
  <si>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</si>
  <si>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</si>
  <si>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</si>
  <si>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</si>
  <si>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</si>
  <si>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</si>
  <si>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</si>
  <si>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</si>
  <si>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</si>
  <si>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</si>
  <si>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</si>
  <si>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</si>
  <si>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</si>
  <si>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</si>
  <si>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</si>
  <si>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</si>
  <si>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</si>
  <si>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</si>
  <si>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</si>
  <si>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</si>
  <si>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</si>
  <si>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</si>
  <si>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</si>
  <si>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</si>
  <si>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</si>
  <si>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</si>
  <si>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</si>
  <si>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</si>
  <si>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</si>
  <si>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</si>
  <si>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</si>
  <si>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</si>
  <si>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</si>
  <si>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</si>
  <si>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</si>
  <si>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</si>
  <si>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</si>
  <si>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</si>
  <si>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</si>
  <si>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</si>
  <si>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30-Jun-2026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</si>
  <si>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</si>
  <si>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</si>
  <si>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</si>
  <si>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</si>
  <si>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to 30-Jun-2027</t>
  </si>
  <si>
    <t xml:space="preserve">TTM to 30-Jun-2028</t>
  </si>
  <si>
    <t xml:space="preserve">TTM to 30-Jun-2029</t>
  </si>
  <si>
    <t xml:space="preserve">TTM to 30-Jun-2030</t>
  </si>
  <si>
    <t xml:space="preserve">TTM to 30-Jun-2031</t>
  </si>
  <si>
    <t xml:space="preserve">TTM to 30-Jun-2032</t>
  </si>
  <si>
    <t xml:space="preserve">TTM to 30-Jun-2033</t>
  </si>
  <si>
    <t xml:space="preserve">TTM to 30-Jun-2034</t>
  </si>
  <si>
    <t xml:space="preserve">TTM to 30-Jun-2035</t>
  </si>
  <si>
    <t xml:space="preserve">TTM to 30-Jun-2036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</si>
  <si>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</si>
  <si>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</si>
  <si>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</si>
  <si>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</si>
  <si>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</si>
  <si>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</si>
  <si>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</si>
  <si>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</si>
  <si>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</si>
  <si>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</si>
  <si>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</si>
  <si>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</si>
  <si>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</si>
  <si>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</si>
  <si>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TRV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</si>
  <si>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</si>
  <si>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</si>
  <si>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</si>
  <si>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</si>
  <si>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</si>
  <si>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</si>
  <si>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</si>
  <si>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</si>
  <si>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</si>
  <si>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</si>
  <si>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</si>
  <si>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</si>
  <si>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</si>
  <si>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</si>
  <si>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</si>
  <si>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</si>
  <si>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</si>
  <si>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</si>
  <si>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</si>
  <si>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</si>
  <si>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</si>
  <si>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</si>
  <si>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</si>
  <si>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</si>
  <si>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</si>
  <si>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</si>
  <si>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</si>
  <si>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</si>
  <si>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</si>
  <si>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</si>
  <si>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TRV owner-FCF component DCF: base case (millions, USD)</t>
  </si>
  <si>
    <t xml:space="preserve">TRV owner-FCF component DCF: bull case (millions, USD)</t>
  </si>
  <si>
    <t xml:space="preserve">TRV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</si>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</sst>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361.64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T2" s="0" t="n">
        <v>678.3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26017</v>
      </c>
      <c r="K3" s="0" t="n">
        <v>7</v>
      </c>
      <c r="L3" s="0" t="n">
        <v>5286</v>
      </c>
      <c r="O3" s="0" t="n">
        <v>26616</v>
      </c>
      <c r="T3" s="0" t="n">
        <v>627.8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24477</v>
      </c>
      <c r="I4" s="0" t="n">
        <v>2924</v>
      </c>
      <c r="J4" s="0" t="n">
        <v>11.9459084038077</v>
      </c>
      <c r="K4" s="0" t="n">
        <v>4.87</v>
      </c>
      <c r="L4" s="0" t="n">
        <v>3138</v>
      </c>
      <c r="O4" s="0" t="n">
        <v>25319</v>
      </c>
      <c r="P4" s="0" t="n">
        <v>109632</v>
      </c>
      <c r="Q4" s="0" t="n">
        <v>84313</v>
      </c>
      <c r="T4" s="0" t="n">
        <v>585.1</v>
      </c>
      <c r="U4" s="0" t="n">
        <v>123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24680</v>
      </c>
      <c r="F5" s="0" t="n">
        <v>3600</v>
      </c>
      <c r="G5" s="0" t="n">
        <v>14.5867098865478</v>
      </c>
      <c r="I5" s="0" t="n">
        <v>3622</v>
      </c>
      <c r="J5" s="0" t="n">
        <v>14.6758508914101</v>
      </c>
      <c r="K5" s="0" t="n">
        <v>6.38</v>
      </c>
      <c r="L5" s="0" t="n">
        <v>4231</v>
      </c>
      <c r="O5" s="0" t="n">
        <v>27415</v>
      </c>
      <c r="P5" s="0" t="n">
        <v>109560</v>
      </c>
      <c r="Q5" s="0" t="n">
        <v>82145</v>
      </c>
      <c r="R5" s="0" t="n">
        <v>6538</v>
      </c>
      <c r="T5" s="0" t="n">
        <v>520.3</v>
      </c>
      <c r="U5" s="0" t="n">
        <v>127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25112</v>
      </c>
      <c r="F6" s="0" t="n">
        <v>3043</v>
      </c>
      <c r="G6" s="0" t="n">
        <v>12.1177126473399</v>
      </c>
      <c r="I6" s="0" t="n">
        <v>3216</v>
      </c>
      <c r="J6" s="0" t="n">
        <v>12.8066263141128</v>
      </c>
      <c r="K6" s="0" t="n">
        <v>6.69</v>
      </c>
      <c r="L6" s="0" t="n">
        <v>3054</v>
      </c>
      <c r="O6" s="0" t="n">
        <v>25475</v>
      </c>
      <c r="P6" s="0" t="n">
        <v>105656</v>
      </c>
      <c r="Q6" s="0" t="n">
        <v>80181</v>
      </c>
      <c r="R6" s="0" t="n">
        <v>6628</v>
      </c>
      <c r="T6" s="0" t="n">
        <v>434.6</v>
      </c>
      <c r="U6" s="0" t="n">
        <v>128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25446</v>
      </c>
      <c r="F7" s="0" t="n">
        <v>1390</v>
      </c>
      <c r="G7" s="0" t="n">
        <v>5.46254814116168</v>
      </c>
      <c r="I7" s="0" t="n">
        <v>1426</v>
      </c>
      <c r="J7" s="0" t="n">
        <v>5.60402420812701</v>
      </c>
      <c r="K7" s="0" t="n">
        <v>3.4</v>
      </c>
      <c r="O7" s="0" t="n">
        <v>24477</v>
      </c>
      <c r="P7" s="0" t="n">
        <v>104575</v>
      </c>
      <c r="Q7" s="0" t="n">
        <v>80098</v>
      </c>
      <c r="R7" s="0" t="n">
        <v>6619</v>
      </c>
      <c r="T7" s="0" t="n">
        <v>392.8</v>
      </c>
      <c r="U7" s="0" t="n">
        <v>121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25740</v>
      </c>
      <c r="F8" s="0" t="n">
        <v>2441</v>
      </c>
      <c r="G8" s="0" t="n">
        <v>9.48329448329448</v>
      </c>
      <c r="I8" s="0" t="n">
        <v>2473</v>
      </c>
      <c r="J8" s="0" t="n">
        <v>9.60761460761461</v>
      </c>
      <c r="K8" s="0" t="n">
        <v>6.35</v>
      </c>
      <c r="O8" s="0" t="n">
        <v>25405</v>
      </c>
      <c r="P8" s="0" t="n">
        <v>104938</v>
      </c>
      <c r="Q8" s="0" t="n">
        <v>79533</v>
      </c>
      <c r="R8" s="0" t="n">
        <v>6361</v>
      </c>
      <c r="T8" s="0" t="n">
        <v>389.8</v>
      </c>
      <c r="U8" s="0" t="n">
        <v>120</v>
      </c>
      <c r="V8" s="0" t="n">
        <v>1.79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26191</v>
      </c>
      <c r="F9" s="0" t="n">
        <v>3567</v>
      </c>
      <c r="G9" s="0" t="n">
        <v>13.6191821618113</v>
      </c>
      <c r="I9" s="0" t="n">
        <v>3673</v>
      </c>
      <c r="J9" s="0" t="n">
        <v>14.023901340155</v>
      </c>
      <c r="K9" s="0" t="n">
        <v>9.84</v>
      </c>
      <c r="O9" s="0" t="n">
        <v>24796</v>
      </c>
      <c r="P9" s="0" t="n">
        <v>103812</v>
      </c>
      <c r="Q9" s="0" t="n">
        <v>79016</v>
      </c>
      <c r="R9" s="0" t="n">
        <v>6361</v>
      </c>
      <c r="T9" s="0" t="n">
        <v>374.3</v>
      </c>
      <c r="U9" s="0" t="n">
        <v>129</v>
      </c>
      <c r="V9" s="0" t="n">
        <v>1.96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27174</v>
      </c>
      <c r="F10" s="0" t="n">
        <v>3641</v>
      </c>
      <c r="G10" s="0" t="n">
        <v>13.3988371237212</v>
      </c>
      <c r="I10" s="0" t="n">
        <v>3692</v>
      </c>
      <c r="J10" s="0" t="n">
        <v>13.5865165231471</v>
      </c>
      <c r="K10" s="0" t="n">
        <v>10.82</v>
      </c>
      <c r="O10" s="0" t="n">
        <v>24836</v>
      </c>
      <c r="P10" s="0" t="n">
        <v>103078</v>
      </c>
      <c r="Q10" s="0" t="n">
        <v>78242</v>
      </c>
      <c r="R10" s="0" t="n">
        <v>6361</v>
      </c>
      <c r="T10" s="0" t="n">
        <v>342.5</v>
      </c>
      <c r="U10" s="0" t="n">
        <v>138</v>
      </c>
      <c r="V10" s="0" t="n">
        <v>2.15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26815</v>
      </c>
      <c r="I11" s="0" t="n">
        <v>3439</v>
      </c>
      <c r="J11" s="0" t="n">
        <v>12.8249114301697</v>
      </c>
      <c r="K11" s="0" t="n">
        <v>10.99</v>
      </c>
      <c r="L11" s="0" t="n">
        <v>3434</v>
      </c>
      <c r="O11" s="0" t="n">
        <v>23598</v>
      </c>
      <c r="P11" s="0" t="n">
        <v>100184</v>
      </c>
      <c r="Q11" s="0" t="n">
        <v>76586</v>
      </c>
      <c r="R11" s="0" t="n">
        <v>500</v>
      </c>
      <c r="T11" s="0" t="n">
        <v>313.9</v>
      </c>
      <c r="U11" s="0" t="n">
        <v>141</v>
      </c>
      <c r="V11" s="0" t="n">
        <v>2.38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27625</v>
      </c>
      <c r="I12" s="0" t="n">
        <v>3014</v>
      </c>
      <c r="J12" s="0" t="n">
        <v>10.910407239819</v>
      </c>
      <c r="K12" s="0" t="n">
        <v>10.39</v>
      </c>
      <c r="L12" s="0" t="n">
        <v>4469</v>
      </c>
      <c r="O12" s="0" t="n">
        <v>23221</v>
      </c>
      <c r="P12" s="0" t="n">
        <v>100245</v>
      </c>
      <c r="Q12" s="0" t="n">
        <v>77024</v>
      </c>
      <c r="R12" s="0" t="n">
        <v>550</v>
      </c>
      <c r="T12" s="0" t="n">
        <v>291</v>
      </c>
      <c r="U12" s="0" t="n">
        <v>155</v>
      </c>
      <c r="V12" s="0" t="n">
        <v>2.62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28902</v>
      </c>
      <c r="I13" s="0" t="n">
        <v>2056</v>
      </c>
      <c r="J13" s="0" t="n">
        <v>7.1136945540101</v>
      </c>
      <c r="K13" s="0" t="n">
        <v>7.39</v>
      </c>
      <c r="L13" s="0" t="n">
        <v>4148</v>
      </c>
      <c r="O13" s="0" t="n">
        <v>23731</v>
      </c>
      <c r="P13" s="0" t="n">
        <v>103483</v>
      </c>
      <c r="Q13" s="0" t="n">
        <v>79752</v>
      </c>
      <c r="R13" s="0" t="n">
        <v>600</v>
      </c>
      <c r="T13" s="0" t="n">
        <v>278.6</v>
      </c>
      <c r="U13" s="0" t="n">
        <v>136</v>
      </c>
      <c r="V13" s="0" t="n">
        <v>2.83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30282</v>
      </c>
      <c r="I14" s="0" t="n">
        <v>2523</v>
      </c>
      <c r="J14" s="0" t="n">
        <v>8.33168218743808</v>
      </c>
      <c r="K14" s="0" t="n">
        <v>9.37</v>
      </c>
      <c r="L14" s="0" t="n">
        <v>4380</v>
      </c>
      <c r="O14" s="0" t="n">
        <v>22894</v>
      </c>
      <c r="P14" s="0" t="n">
        <v>104233</v>
      </c>
      <c r="Q14" s="0" t="n">
        <v>81339</v>
      </c>
      <c r="R14" s="0" t="n">
        <v>600</v>
      </c>
      <c r="T14" s="0" t="n">
        <v>269.8</v>
      </c>
      <c r="U14" s="0" t="n">
        <v>140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31581</v>
      </c>
      <c r="I15" s="0" t="n">
        <v>2622</v>
      </c>
      <c r="J15" s="0" t="n">
        <v>8.3024603400779</v>
      </c>
      <c r="K15" s="0" t="n">
        <v>10.01</v>
      </c>
      <c r="L15" s="0" t="n">
        <v>5205</v>
      </c>
      <c r="O15" s="0" t="n">
        <v>25943</v>
      </c>
      <c r="P15" s="0" t="n">
        <v>110122</v>
      </c>
      <c r="Q15" s="0" t="n">
        <v>84179</v>
      </c>
      <c r="R15" s="0" t="n">
        <v>600</v>
      </c>
      <c r="T15" s="0" t="n">
        <v>262.3</v>
      </c>
      <c r="U15" s="0" t="n">
        <v>142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31981</v>
      </c>
      <c r="I16" s="0" t="n">
        <v>2697</v>
      </c>
      <c r="J16" s="0" t="n">
        <v>8.43313217222726</v>
      </c>
      <c r="K16" s="0" t="n">
        <v>10.56</v>
      </c>
      <c r="L16" s="0" t="n">
        <v>6519</v>
      </c>
      <c r="O16" s="0" t="n">
        <v>29201</v>
      </c>
      <c r="P16" s="0" t="n">
        <v>116764</v>
      </c>
      <c r="Q16" s="0" t="n">
        <v>87563</v>
      </c>
      <c r="R16" s="0" t="n">
        <v>100</v>
      </c>
      <c r="T16" s="0" t="n">
        <v>254.6</v>
      </c>
      <c r="U16" s="0" t="n">
        <v>148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34816</v>
      </c>
      <c r="I17" s="0" t="n">
        <v>3662</v>
      </c>
      <c r="J17" s="0" t="n">
        <v>10.5181525735294</v>
      </c>
      <c r="K17" s="0" t="n">
        <v>14.63</v>
      </c>
      <c r="L17" s="0" t="n">
        <v>7274</v>
      </c>
      <c r="O17" s="0" t="n">
        <v>28887</v>
      </c>
      <c r="P17" s="0" t="n">
        <v>120466</v>
      </c>
      <c r="Q17" s="0" t="n">
        <v>91579</v>
      </c>
      <c r="R17" s="0" t="n">
        <v>100</v>
      </c>
      <c r="T17" s="0" t="n">
        <v>250.8</v>
      </c>
      <c r="U17" s="0" t="n">
        <v>162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36884</v>
      </c>
      <c r="I18" s="0" t="n">
        <v>2842</v>
      </c>
      <c r="J18" s="0" t="n">
        <v>7.70523804359614</v>
      </c>
      <c r="K18" s="0" t="n">
        <v>11.91</v>
      </c>
      <c r="L18" s="0" t="n">
        <v>6465</v>
      </c>
      <c r="O18" s="0" t="n">
        <v>21560</v>
      </c>
      <c r="P18" s="0" t="n">
        <v>115717</v>
      </c>
      <c r="Q18" s="0" t="n">
        <v>94157</v>
      </c>
      <c r="R18" s="0" t="n">
        <v>100</v>
      </c>
      <c r="T18" s="0" t="n">
        <v>239.7</v>
      </c>
      <c r="U18" s="0" t="n">
        <v>183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41364</v>
      </c>
      <c r="I19" s="0" t="n">
        <v>2991</v>
      </c>
      <c r="J19" s="0" t="n">
        <v>7.23092544241369</v>
      </c>
      <c r="K19" s="0" t="n">
        <v>12.93</v>
      </c>
      <c r="L19" s="0" t="n">
        <v>7711</v>
      </c>
      <c r="O19" s="0" t="n">
        <v>24921</v>
      </c>
      <c r="P19" s="0" t="n">
        <v>125978</v>
      </c>
      <c r="Q19" s="0" t="n">
        <v>101057</v>
      </c>
      <c r="R19" s="0" t="n">
        <v>100</v>
      </c>
      <c r="T19" s="0" t="n">
        <v>232.2</v>
      </c>
      <c r="U19" s="0" t="n">
        <v>214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46423</v>
      </c>
      <c r="I20" s="0" t="n">
        <v>4999</v>
      </c>
      <c r="J20" s="0" t="n">
        <v>10.7683691273722</v>
      </c>
      <c r="K20" s="0" t="n">
        <v>21.76</v>
      </c>
      <c r="L20" s="0" t="n">
        <v>9074</v>
      </c>
      <c r="O20" s="0" t="n">
        <v>27864</v>
      </c>
      <c r="P20" s="0" t="n">
        <v>133189</v>
      </c>
      <c r="Q20" s="0" t="n">
        <v>105325</v>
      </c>
      <c r="R20" s="0" t="n">
        <v>100</v>
      </c>
      <c r="T20" s="0" t="n">
        <v>231.1</v>
      </c>
      <c r="U20" s="0" t="n">
        <v>260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48828</v>
      </c>
      <c r="I21" s="0" t="n">
        <v>6288</v>
      </c>
      <c r="J21" s="0" t="n">
        <v>12.8778569673138</v>
      </c>
      <c r="K21" s="0" t="n">
        <v>27.83</v>
      </c>
      <c r="L21" s="0" t="n">
        <v>10606</v>
      </c>
      <c r="O21" s="0" t="n">
        <v>32894</v>
      </c>
      <c r="P21" s="0" t="n">
        <v>143708</v>
      </c>
      <c r="Q21" s="0" t="n">
        <v>110814</v>
      </c>
      <c r="R21" s="0" t="n">
        <v>300</v>
      </c>
      <c r="T21" s="0" t="n">
        <v>227.6</v>
      </c>
      <c r="U21" s="0" t="n">
        <v>256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361.64</v>
      </c>
    </row>
    <row r="3" customFormat="false" ht="15" hidden="false" customHeight="false" outlineLevel="0" collapsed="false">
      <c r="A3" s="0" t="s">
        <v>86</v>
      </c>
      <c r="B3" s="3" t="n">
        <v>211.7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48979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0.5</v>
      </c>
      <c r="D13" s="3" t="n">
        <v>1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15</v>
      </c>
      <c r="D14" s="3" t="n">
        <v>11.5</v>
      </c>
      <c r="E14" s="3" t="n">
        <v>10.5</v>
      </c>
      <c r="F14" s="3" t="n">
        <v>11.5</v>
      </c>
      <c r="G14" s="3" t="n">
        <v>12.5</v>
      </c>
      <c r="H14" s="3" t="n">
        <v>13</v>
      </c>
      <c r="I14" s="3" t="n">
        <v>13</v>
      </c>
      <c r="J14" s="3" t="n">
        <v>13</v>
      </c>
      <c r="K14" s="3" t="n">
        <v>13</v>
      </c>
      <c r="L14" s="3" t="n">
        <v>13</v>
      </c>
    </row>
    <row r="15" customFormat="false" ht="15" hidden="false" customHeight="false" outlineLevel="0" collapsed="false">
      <c r="A15" s="0" t="s">
        <v>109</v>
      </c>
      <c r="C15" s="3" t="n">
        <v>0.86</v>
      </c>
      <c r="D15" s="3" t="n">
        <v>0.86</v>
      </c>
      <c r="E15" s="3" t="n">
        <v>0.86</v>
      </c>
      <c r="F15" s="3" t="n">
        <v>0.86</v>
      </c>
      <c r="G15" s="3" t="n">
        <v>0.86</v>
      </c>
      <c r="H15" s="3" t="n">
        <v>0.86</v>
      </c>
      <c r="I15" s="3" t="n">
        <v>0.86</v>
      </c>
      <c r="J15" s="3" t="n">
        <v>0.86</v>
      </c>
      <c r="K15" s="3" t="n">
        <v>0.86</v>
      </c>
      <c r="L15" s="3" t="n">
        <v>0.86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113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114</v>
      </c>
      <c r="B20" s="3" t="n">
        <v>8.5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12</v>
      </c>
    </row>
    <row r="23" customFormat="false" ht="15" hidden="false" customHeight="false" outlineLevel="0" collapsed="false">
      <c r="A23" s="0" t="s">
        <v>117</v>
      </c>
      <c r="B23" s="3" t="n">
        <v>-70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2.5</v>
      </c>
      <c r="D27" s="3" t="n">
        <v>4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18</v>
      </c>
      <c r="D28" s="3" t="n">
        <v>16</v>
      </c>
      <c r="E28" s="3" t="n">
        <v>15.3</v>
      </c>
      <c r="F28" s="3" t="n">
        <v>15</v>
      </c>
      <c r="G28" s="3" t="n">
        <v>15</v>
      </c>
      <c r="H28" s="3" t="n">
        <v>15</v>
      </c>
      <c r="I28" s="3" t="n">
        <v>15</v>
      </c>
      <c r="J28" s="3" t="n">
        <v>15</v>
      </c>
      <c r="K28" s="3" t="n">
        <v>15</v>
      </c>
      <c r="L28" s="3" t="n">
        <v>15</v>
      </c>
    </row>
    <row r="29" customFormat="false" ht="15" hidden="false" customHeight="false" outlineLevel="0" collapsed="false">
      <c r="A29" s="0" t="s">
        <v>109</v>
      </c>
      <c r="C29" s="3" t="n">
        <v>0.86</v>
      </c>
      <c r="D29" s="3" t="n">
        <v>0.86</v>
      </c>
      <c r="E29" s="3" t="n">
        <v>0.86</v>
      </c>
      <c r="F29" s="3" t="n">
        <v>0.86</v>
      </c>
      <c r="G29" s="3" t="n">
        <v>0.86</v>
      </c>
      <c r="H29" s="3" t="n">
        <v>0.86</v>
      </c>
      <c r="I29" s="3" t="n">
        <v>0.86</v>
      </c>
      <c r="J29" s="3" t="n">
        <v>0.86</v>
      </c>
      <c r="K29" s="3" t="n">
        <v>0.86</v>
      </c>
      <c r="L29" s="3" t="n">
        <v>0.86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113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114</v>
      </c>
      <c r="B34" s="3" t="n">
        <v>8.5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-65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4</v>
      </c>
      <c r="D41" s="3" t="n">
        <v>6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108</v>
      </c>
      <c r="C42" s="3" t="n">
        <v>20</v>
      </c>
      <c r="D42" s="3" t="n">
        <v>18.5</v>
      </c>
      <c r="E42" s="3" t="n">
        <v>17.5</v>
      </c>
      <c r="F42" s="3" t="n">
        <v>17</v>
      </c>
      <c r="G42" s="3" t="n">
        <v>17</v>
      </c>
      <c r="H42" s="3" t="n">
        <v>17</v>
      </c>
      <c r="I42" s="3" t="n">
        <v>17</v>
      </c>
      <c r="J42" s="3" t="n">
        <v>17</v>
      </c>
      <c r="K42" s="3" t="n">
        <v>17</v>
      </c>
      <c r="L42" s="3" t="n">
        <v>17</v>
      </c>
    </row>
    <row r="43" customFormat="false" ht="15" hidden="false" customHeight="false" outlineLevel="0" collapsed="false">
      <c r="A43" s="0" t="s">
        <v>109</v>
      </c>
      <c r="C43" s="3" t="n">
        <v>0.86</v>
      </c>
      <c r="D43" s="3" t="n">
        <v>0.86</v>
      </c>
      <c r="E43" s="3" t="n">
        <v>0.86</v>
      </c>
      <c r="F43" s="3" t="n">
        <v>0.86</v>
      </c>
      <c r="G43" s="3" t="n">
        <v>0.86</v>
      </c>
      <c r="H43" s="3" t="n">
        <v>0.86</v>
      </c>
      <c r="I43" s="3" t="n">
        <v>0.86</v>
      </c>
      <c r="J43" s="3" t="n">
        <v>0.86</v>
      </c>
      <c r="K43" s="3" t="n">
        <v>0.86</v>
      </c>
      <c r="L43" s="3" t="n">
        <v>0.86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113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114</v>
      </c>
      <c r="B48" s="3" t="n">
        <v>8.5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17</v>
      </c>
    </row>
    <row r="51" customFormat="false" ht="15" hidden="false" customHeight="false" outlineLevel="0" collapsed="false">
      <c r="A51" s="0" t="s">
        <v>117</v>
      </c>
      <c r="B51" s="3" t="n">
        <v>-60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0.5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48979</v>
      </c>
      <c r="C6" s="0" t="n">
        <f aca="false">B6*(1+C5/100)</f>
        <v>49223.895</v>
      </c>
      <c r="D6" s="0" t="n">
        <f aca="false">C6*(1+D5/100)</f>
        <v>49716.13395</v>
      </c>
      <c r="E6" s="0" t="n">
        <f aca="false">D6*(1+E5/100)</f>
        <v>50710.456629</v>
      </c>
      <c r="F6" s="0" t="n">
        <f aca="false">E6*(1+F5/100)</f>
        <v>52231.77032787</v>
      </c>
      <c r="G6" s="0" t="n">
        <f aca="false">F6*(1+G5/100)</f>
        <v>53798.7234377061</v>
      </c>
      <c r="H6" s="0" t="n">
        <f aca="false">G6*(1+H5/100)</f>
        <v>55412.6851408373</v>
      </c>
      <c r="I6" s="0" t="n">
        <f aca="false">H6*(1+I5/100)</f>
        <v>57075.0656950624</v>
      </c>
      <c r="J6" s="0" t="n">
        <f aca="false">I6*(1+J5/100)</f>
        <v>58501.942337439</v>
      </c>
      <c r="K6" s="0" t="n">
        <f aca="false">J6*(1+K5/100)</f>
        <v>59964.4908958749</v>
      </c>
      <c r="L6" s="0" t="n">
        <f aca="false">K6*(1+L5/100)</f>
        <v>61463.6031682718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15</v>
      </c>
      <c r="D7" s="4" t="n">
        <f aca="false">Assumptions!D14</f>
        <v>11.5</v>
      </c>
      <c r="E7" s="4" t="n">
        <f aca="false">Assumptions!E14</f>
        <v>10.5</v>
      </c>
      <c r="F7" s="4" t="n">
        <f aca="false">Assumptions!F14</f>
        <v>11.5</v>
      </c>
      <c r="G7" s="4" t="n">
        <f aca="false">Assumptions!G14</f>
        <v>12.5</v>
      </c>
      <c r="H7" s="4" t="n">
        <f aca="false">Assumptions!H14</f>
        <v>13</v>
      </c>
      <c r="I7" s="4" t="n">
        <f aca="false">Assumptions!I14</f>
        <v>13</v>
      </c>
      <c r="J7" s="4" t="n">
        <f aca="false">Assumptions!J14</f>
        <v>13</v>
      </c>
      <c r="K7" s="4" t="n">
        <f aca="false">Assumptions!K14</f>
        <v>13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7383.58425</v>
      </c>
      <c r="D8" s="0" t="n">
        <f aca="false">D6*D7/100</f>
        <v>5717.35540425</v>
      </c>
      <c r="E8" s="0" t="n">
        <f aca="false">E6*E7/100</f>
        <v>5324.597946045</v>
      </c>
      <c r="F8" s="0" t="n">
        <f aca="false">F6*F7/100</f>
        <v>6006.65358770505</v>
      </c>
      <c r="G8" s="0" t="n">
        <f aca="false">G6*G7/100</f>
        <v>6724.84042971326</v>
      </c>
      <c r="H8" s="0" t="n">
        <f aca="false">H6*H7/100</f>
        <v>7203.64906830885</v>
      </c>
      <c r="I8" s="0" t="n">
        <f aca="false">I6*I7/100</f>
        <v>7419.75854035811</v>
      </c>
      <c r="J8" s="0" t="n">
        <f aca="false">J6*J7/100</f>
        <v>7605.25250386707</v>
      </c>
      <c r="K8" s="0" t="n">
        <f aca="false">K6*K7/100</f>
        <v>7795.38381646374</v>
      </c>
      <c r="L8" s="0" t="n">
        <f aca="false">L6*L7/100</f>
        <v>7990.26841187534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0.86</v>
      </c>
      <c r="D9" s="4" t="n">
        <f aca="false">Assumptions!D15</f>
        <v>0.86</v>
      </c>
      <c r="E9" s="4" t="n">
        <f aca="false">Assumptions!E15</f>
        <v>0.86</v>
      </c>
      <c r="F9" s="4" t="n">
        <f aca="false">Assumptions!F15</f>
        <v>0.86</v>
      </c>
      <c r="G9" s="4" t="n">
        <f aca="false">Assumptions!G15</f>
        <v>0.86</v>
      </c>
      <c r="H9" s="4" t="n">
        <f aca="false">Assumptions!H15</f>
        <v>0.86</v>
      </c>
      <c r="I9" s="4" t="n">
        <f aca="false">Assumptions!I15</f>
        <v>0.86</v>
      </c>
      <c r="J9" s="4" t="n">
        <f aca="false">Assumptions!J15</f>
        <v>0.86</v>
      </c>
      <c r="K9" s="4" t="n">
        <f aca="false">Assumptions!K15</f>
        <v>0.86</v>
      </c>
      <c r="L9" s="4" t="n">
        <f aca="false">Assumptions!L15</f>
        <v>0.86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-423.325497</v>
      </c>
      <c r="D10" s="0" t="n">
        <f aca="false">-D6*D9/100</f>
        <v>-427.55875197</v>
      </c>
      <c r="E10" s="0" t="n">
        <f aca="false">-E6*E9/100</f>
        <v>-436.1099270094</v>
      </c>
      <c r="F10" s="0" t="n">
        <f aca="false">-F6*F9/100</f>
        <v>-449.193224819682</v>
      </c>
      <c r="G10" s="0" t="n">
        <f aca="false">-G6*G9/100</f>
        <v>-462.669021564273</v>
      </c>
      <c r="H10" s="0" t="n">
        <f aca="false">-H6*H9/100</f>
        <v>-476.549092211201</v>
      </c>
      <c r="I10" s="0" t="n">
        <f aca="false">-I6*I9/100</f>
        <v>-490.845564977537</v>
      </c>
      <c r="J10" s="0" t="n">
        <f aca="false">-J6*J9/100</f>
        <v>-503.116704101975</v>
      </c>
      <c r="K10" s="0" t="n">
        <f aca="false">-K6*K9/100</f>
        <v>-515.694621704525</v>
      </c>
      <c r="L10" s="0" t="n">
        <f aca="false">-L6*L9/100</f>
        <v>-528.586987247138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6960.258753</v>
      </c>
      <c r="D11" s="0" t="n">
        <f aca="false">D8+D10+D24</f>
        <v>5289.79665228</v>
      </c>
      <c r="E11" s="0" t="n">
        <f aca="false">E8+E10+E24</f>
        <v>4888.4880190356</v>
      </c>
      <c r="F11" s="0" t="n">
        <f aca="false">F8+F10+F24</f>
        <v>5557.46036288537</v>
      </c>
      <c r="G11" s="0" t="n">
        <f aca="false">G8+G10+G24</f>
        <v>6262.17140814899</v>
      </c>
      <c r="H11" s="0" t="n">
        <f aca="false">H8+H10+H24</f>
        <v>6727.09997609765</v>
      </c>
      <c r="I11" s="0" t="n">
        <f aca="false">I8+I10+I24</f>
        <v>6928.91297538058</v>
      </c>
      <c r="J11" s="0" t="n">
        <f aca="false">J8+J10+J24</f>
        <v>7102.13579976509</v>
      </c>
      <c r="K11" s="0" t="n">
        <f aca="false">K8+K10+K24</f>
        <v>7279.68919475922</v>
      </c>
      <c r="L11" s="0" t="n">
        <f aca="false">L8+L10+L24</f>
        <v>7461.6814246282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6960.258753</v>
      </c>
      <c r="D13" s="0" t="n">
        <f aca="false">D11+D12</f>
        <v>5289.79665228</v>
      </c>
      <c r="E13" s="0" t="n">
        <f aca="false">E11+E12</f>
        <v>4888.4880190356</v>
      </c>
      <c r="F13" s="0" t="n">
        <f aca="false">F11+F12</f>
        <v>5557.46036288537</v>
      </c>
      <c r="G13" s="0" t="n">
        <f aca="false">G11+G12</f>
        <v>6262.17140814899</v>
      </c>
      <c r="H13" s="0" t="n">
        <f aca="false">H11+H12</f>
        <v>6727.09997609765</v>
      </c>
      <c r="I13" s="0" t="n">
        <f aca="false">I11+I12</f>
        <v>6928.91297538058</v>
      </c>
      <c r="J13" s="0" t="n">
        <f aca="false">J11+J12</f>
        <v>7102.13579976509</v>
      </c>
      <c r="K13" s="0" t="n">
        <f aca="false">K11+K12</f>
        <v>7279.68919475922</v>
      </c>
      <c r="L13" s="0" t="n">
        <f aca="false">L11+L12</f>
        <v>7461.6814246282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5568.2070024</v>
      </c>
      <c r="D15" s="0" t="n">
        <f aca="false">D13-MAX(0,D13)*D14/100</f>
        <v>4231.837321824</v>
      </c>
      <c r="E15" s="0" t="n">
        <f aca="false">E13-MAX(0,E13)*E14/100</f>
        <v>3910.79041522848</v>
      </c>
      <c r="F15" s="0" t="n">
        <f aca="false">F13-MAX(0,F13)*F14/100</f>
        <v>4445.96829030829</v>
      </c>
      <c r="G15" s="0" t="n">
        <f aca="false">G13-MAX(0,G13)*G14/100</f>
        <v>5009.73712651919</v>
      </c>
      <c r="H15" s="0" t="n">
        <f aca="false">H13-MAX(0,H13)*H14/100</f>
        <v>5381.67998087812</v>
      </c>
      <c r="I15" s="0" t="n">
        <f aca="false">I13-MAX(0,I13)*I14/100</f>
        <v>5543.13038030446</v>
      </c>
      <c r="J15" s="0" t="n">
        <f aca="false">J13-MAX(0,J13)*J14/100</f>
        <v>5681.70863981207</v>
      </c>
      <c r="K15" s="0" t="n">
        <f aca="false">K13-MAX(0,K13)*K14/100</f>
        <v>5823.75135580737</v>
      </c>
      <c r="L15" s="0" t="n">
        <f aca="false">L13-MAX(0,L13)*L14/100</f>
        <v>5969.34513970256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-171.426499999998</v>
      </c>
      <c r="D18" s="4" t="n">
        <f aca="false">(D6-C6)*Assumptions!$B$23/100</f>
        <v>-344.567264999999</v>
      </c>
      <c r="E18" s="4" t="n">
        <f aca="false">(E6-D6)*Assumptions!$B$23/100</f>
        <v>-696.025875300003</v>
      </c>
      <c r="F18" s="4" t="n">
        <f aca="false">(F6-E6)*Assumptions!$B$23/100</f>
        <v>-1064.919589209</v>
      </c>
      <c r="G18" s="4" t="n">
        <f aca="false">(G6-F6)*Assumptions!$B$23/100</f>
        <v>-1096.86717688527</v>
      </c>
      <c r="H18" s="4" t="n">
        <f aca="false">(H6-G6)*Assumptions!$B$23/100</f>
        <v>-1129.77319219183</v>
      </c>
      <c r="I18" s="4" t="n">
        <f aca="false">(I6-H6)*Assumptions!$B$23/100</f>
        <v>-1163.66638795759</v>
      </c>
      <c r="J18" s="4" t="n">
        <f aca="false">(J6-I6)*Assumptions!$B$23/100</f>
        <v>-998.813649663589</v>
      </c>
      <c r="K18" s="4" t="n">
        <f aca="false">(K6-J6)*Assumptions!$B$23/100</f>
        <v>-1023.78399090518</v>
      </c>
      <c r="L18" s="4" t="n">
        <f aca="false">(L6-K6)*Assumptions!$B$23/100</f>
        <v>-1049.37859067781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5396.7805024</v>
      </c>
      <c r="D19" s="0" t="n">
        <f aca="false">D15+D16+D17+D18</f>
        <v>3887.270056824</v>
      </c>
      <c r="E19" s="0" t="n">
        <f aca="false">E15+E16+E17+E18</f>
        <v>3214.76453992848</v>
      </c>
      <c r="F19" s="0" t="n">
        <f aca="false">F15+F16+F17+F18</f>
        <v>3381.04870109929</v>
      </c>
      <c r="G19" s="0" t="n">
        <f aca="false">G15+G16+G17+G18</f>
        <v>3912.86994963392</v>
      </c>
      <c r="H19" s="0" t="n">
        <f aca="false">H15+H16+H17+H18</f>
        <v>4251.90678868629</v>
      </c>
      <c r="I19" s="0" t="n">
        <f aca="false">I15+I16+I17+I18</f>
        <v>4379.46399234688</v>
      </c>
      <c r="J19" s="0" t="n">
        <f aca="false">J15+J16+J17+J18</f>
        <v>4682.89499014848</v>
      </c>
      <c r="K19" s="0" t="n">
        <f aca="false">K15+K16+K17+K18</f>
        <v>4799.96736490219</v>
      </c>
      <c r="L19" s="0" t="n">
        <f aca="false">L15+L16+L17+L18</f>
        <v>4919.96654902475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4973.99124645162</v>
      </c>
      <c r="D21" s="0" t="n">
        <f aca="false">D19*D20</f>
        <v>3302.06210097815</v>
      </c>
      <c r="E21" s="0" t="n">
        <f aca="false">E19*E20</f>
        <v>2516.86519285794</v>
      </c>
      <c r="F21" s="0" t="n">
        <f aca="false">F19*F20</f>
        <v>2439.67779657082</v>
      </c>
      <c r="G21" s="0" t="n">
        <f aca="false">G19*G20</f>
        <v>2602.23625192689</v>
      </c>
      <c r="H21" s="0" t="n">
        <f aca="false">H19*H20</f>
        <v>2606.18539176484</v>
      </c>
      <c r="I21" s="0" t="n">
        <f aca="false">I19*I20</f>
        <v>2474.07461153713</v>
      </c>
      <c r="J21" s="0" t="n">
        <f aca="false">J19*J20</f>
        <v>2438.24034823642</v>
      </c>
      <c r="K21" s="0" t="n">
        <f aca="false">K19*K20</f>
        <v>2303.40678059201</v>
      </c>
      <c r="L21" s="0" t="n">
        <f aca="false">L19*L20</f>
        <v>2176.02944710305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27832.7691680189</v>
      </c>
    </row>
    <row r="31" customFormat="false" ht="15" hidden="false" customHeight="false" outlineLevel="0" collapsed="false">
      <c r="A31" s="0" t="s">
        <v>138</v>
      </c>
      <c r="B31" s="0" t="n">
        <f aca="false">L19</f>
        <v>4919.96654902475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84049.4285458395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59039.598588297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59039.598588297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26112.3533652367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53945.1225332555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53945.1225332555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254.818717681887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-0.295380163472273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3039.21517874793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3993.84954856075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288.04056334702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40343.725702003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147.344683079839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2.5</v>
      </c>
      <c r="D5" s="4" t="n">
        <f aca="false">Assumptions!D27</f>
        <v>4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48979</v>
      </c>
      <c r="C6" s="0" t="n">
        <f aca="false">B6*(1+C5/100)</f>
        <v>50203.475</v>
      </c>
      <c r="D6" s="0" t="n">
        <f aca="false">C6*(1+D5/100)</f>
        <v>52211.614</v>
      </c>
      <c r="E6" s="0" t="n">
        <f aca="false">D6*(1+E5/100)</f>
        <v>54561.13663</v>
      </c>
      <c r="F6" s="0" t="n">
        <f aca="false">E6*(1+F5/100)</f>
        <v>57016.38777835</v>
      </c>
      <c r="G6" s="0" t="n">
        <f aca="false">F6*(1+G5/100)</f>
        <v>59297.043289484</v>
      </c>
      <c r="H6" s="0" t="n">
        <f aca="false">G6*(1+H5/100)</f>
        <v>61668.9250210634</v>
      </c>
      <c r="I6" s="0" t="n">
        <f aca="false">H6*(1+I5/100)</f>
        <v>63827.3373968006</v>
      </c>
      <c r="J6" s="0" t="n">
        <f aca="false">I6*(1+J5/100)</f>
        <v>66061.2942056886</v>
      </c>
      <c r="K6" s="0" t="n">
        <f aca="false">J6*(1+K5/100)</f>
        <v>68043.1330318593</v>
      </c>
      <c r="L6" s="0" t="n">
        <f aca="false">K6*(1+L5/100)</f>
        <v>70084.427022815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18</v>
      </c>
      <c r="D7" s="4" t="n">
        <f aca="false">Assumptions!D28</f>
        <v>16</v>
      </c>
      <c r="E7" s="4" t="n">
        <f aca="false">Assumptions!E28</f>
        <v>15.3</v>
      </c>
      <c r="F7" s="4" t="n">
        <f aca="false">Assumptions!F28</f>
        <v>15</v>
      </c>
      <c r="G7" s="4" t="n">
        <f aca="false">Assumptions!G28</f>
        <v>15</v>
      </c>
      <c r="H7" s="4" t="n">
        <f aca="false">Assumptions!H28</f>
        <v>15</v>
      </c>
      <c r="I7" s="4" t="n">
        <f aca="false">Assumptions!I28</f>
        <v>15</v>
      </c>
      <c r="J7" s="4" t="n">
        <f aca="false">Assumptions!J28</f>
        <v>15</v>
      </c>
      <c r="K7" s="4" t="n">
        <f aca="false">Assumptions!K28</f>
        <v>15</v>
      </c>
      <c r="L7" s="4" t="n">
        <f aca="false">Assumptions!L28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9036.6255</v>
      </c>
      <c r="D8" s="0" t="n">
        <f aca="false">D6*D7/100</f>
        <v>8353.85824</v>
      </c>
      <c r="E8" s="0" t="n">
        <f aca="false">E6*E7/100</f>
        <v>8347.85390439</v>
      </c>
      <c r="F8" s="0" t="n">
        <f aca="false">F6*F7/100</f>
        <v>8552.4581667525</v>
      </c>
      <c r="G8" s="0" t="n">
        <f aca="false">G6*G7/100</f>
        <v>8894.5564934226</v>
      </c>
      <c r="H8" s="0" t="n">
        <f aca="false">H6*H7/100</f>
        <v>9250.33875315951</v>
      </c>
      <c r="I8" s="0" t="n">
        <f aca="false">I6*I7/100</f>
        <v>9574.10060952009</v>
      </c>
      <c r="J8" s="0" t="n">
        <f aca="false">J6*J7/100</f>
        <v>9909.19413085329</v>
      </c>
      <c r="K8" s="0" t="n">
        <f aca="false">K6*K7/100</f>
        <v>10206.4699547789</v>
      </c>
      <c r="L8" s="0" t="n">
        <f aca="false">L6*L7/100</f>
        <v>10512.6640534223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0.86</v>
      </c>
      <c r="D9" s="4" t="n">
        <f aca="false">Assumptions!D29</f>
        <v>0.86</v>
      </c>
      <c r="E9" s="4" t="n">
        <f aca="false">Assumptions!E29</f>
        <v>0.86</v>
      </c>
      <c r="F9" s="4" t="n">
        <f aca="false">Assumptions!F29</f>
        <v>0.86</v>
      </c>
      <c r="G9" s="4" t="n">
        <f aca="false">Assumptions!G29</f>
        <v>0.86</v>
      </c>
      <c r="H9" s="4" t="n">
        <f aca="false">Assumptions!H29</f>
        <v>0.86</v>
      </c>
      <c r="I9" s="4" t="n">
        <f aca="false">Assumptions!I29</f>
        <v>0.86</v>
      </c>
      <c r="J9" s="4" t="n">
        <f aca="false">Assumptions!J29</f>
        <v>0.86</v>
      </c>
      <c r="K9" s="4" t="n">
        <f aca="false">Assumptions!K29</f>
        <v>0.86</v>
      </c>
      <c r="L9" s="4" t="n">
        <f aca="false">Assumptions!L29</f>
        <v>0.86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-431.749885</v>
      </c>
      <c r="D10" s="0" t="n">
        <f aca="false">-D6*D9/100</f>
        <v>-449.0198804</v>
      </c>
      <c r="E10" s="0" t="n">
        <f aca="false">-E6*E9/100</f>
        <v>-469.225775018</v>
      </c>
      <c r="F10" s="0" t="n">
        <f aca="false">-F6*F9/100</f>
        <v>-490.34093489381</v>
      </c>
      <c r="G10" s="0" t="n">
        <f aca="false">-G6*G9/100</f>
        <v>-509.954572289562</v>
      </c>
      <c r="H10" s="0" t="n">
        <f aca="false">-H6*H9/100</f>
        <v>-530.352755181145</v>
      </c>
      <c r="I10" s="0" t="n">
        <f aca="false">-I6*I9/100</f>
        <v>-548.915101612485</v>
      </c>
      <c r="J10" s="0" t="n">
        <f aca="false">-J6*J9/100</f>
        <v>-568.127130168922</v>
      </c>
      <c r="K10" s="0" t="n">
        <f aca="false">-K6*K9/100</f>
        <v>-585.17094407399</v>
      </c>
      <c r="L10" s="0" t="n">
        <f aca="false">-L6*L9/100</f>
        <v>-602.726072396209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8604.875615</v>
      </c>
      <c r="D11" s="0" t="n">
        <f aca="false">D8+D10+D24</f>
        <v>7904.8383596</v>
      </c>
      <c r="E11" s="0" t="n">
        <f aca="false">E8+E10+E24</f>
        <v>7878.628129372</v>
      </c>
      <c r="F11" s="0" t="n">
        <f aca="false">F8+F10+F24</f>
        <v>8062.11723185869</v>
      </c>
      <c r="G11" s="0" t="n">
        <f aca="false">G8+G10+G24</f>
        <v>8384.60192113304</v>
      </c>
      <c r="H11" s="0" t="n">
        <f aca="false">H8+H10+H24</f>
        <v>8719.98599797836</v>
      </c>
      <c r="I11" s="0" t="n">
        <f aca="false">I8+I10+I24</f>
        <v>9025.1855079076</v>
      </c>
      <c r="J11" s="0" t="n">
        <f aca="false">J8+J10+J24</f>
        <v>9341.06700068437</v>
      </c>
      <c r="K11" s="0" t="n">
        <f aca="false">K8+K10+K24</f>
        <v>9621.2990107049</v>
      </c>
      <c r="L11" s="0" t="n">
        <f aca="false">L8+L10+L24</f>
        <v>9909.93798102605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8604.875615</v>
      </c>
      <c r="D13" s="0" t="n">
        <f aca="false">D11+D12</f>
        <v>7904.8383596</v>
      </c>
      <c r="E13" s="0" t="n">
        <f aca="false">E11+E12</f>
        <v>7878.628129372</v>
      </c>
      <c r="F13" s="0" t="n">
        <f aca="false">F11+F12</f>
        <v>8062.11723185869</v>
      </c>
      <c r="G13" s="0" t="n">
        <f aca="false">G11+G12</f>
        <v>8384.60192113304</v>
      </c>
      <c r="H13" s="0" t="n">
        <f aca="false">H11+H12</f>
        <v>8719.98599797836</v>
      </c>
      <c r="I13" s="0" t="n">
        <f aca="false">I11+I12</f>
        <v>9025.1855079076</v>
      </c>
      <c r="J13" s="0" t="n">
        <f aca="false">J11+J12</f>
        <v>9341.06700068437</v>
      </c>
      <c r="K13" s="0" t="n">
        <f aca="false">K11+K12</f>
        <v>9621.2990107049</v>
      </c>
      <c r="L13" s="0" t="n">
        <f aca="false">L11+L12</f>
        <v>9909.93798102605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6883.900492</v>
      </c>
      <c r="D15" s="0" t="n">
        <f aca="false">D13-MAX(0,D13)*D14/100</f>
        <v>6323.87068768</v>
      </c>
      <c r="E15" s="0" t="n">
        <f aca="false">E13-MAX(0,E13)*E14/100</f>
        <v>6302.9025034976</v>
      </c>
      <c r="F15" s="0" t="n">
        <f aca="false">F13-MAX(0,F13)*F14/100</f>
        <v>6449.69378548695</v>
      </c>
      <c r="G15" s="0" t="n">
        <f aca="false">G13-MAX(0,G13)*G14/100</f>
        <v>6707.68153690643</v>
      </c>
      <c r="H15" s="0" t="n">
        <f aca="false">H13-MAX(0,H13)*H14/100</f>
        <v>6975.98879838269</v>
      </c>
      <c r="I15" s="0" t="n">
        <f aca="false">I13-MAX(0,I13)*I14/100</f>
        <v>7220.14840632608</v>
      </c>
      <c r="J15" s="0" t="n">
        <f aca="false">J13-MAX(0,J13)*J14/100</f>
        <v>7472.85360054749</v>
      </c>
      <c r="K15" s="0" t="n">
        <f aca="false">K13-MAX(0,K13)*K14/100</f>
        <v>7697.03920856392</v>
      </c>
      <c r="L15" s="0" t="n">
        <f aca="false">L13-MAX(0,L13)*L14/100</f>
        <v>7927.95038482084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-795.908749999999</v>
      </c>
      <c r="D18" s="4" t="n">
        <f aca="false">(D6-C6)*Assumptions!$B$37/100</f>
        <v>-1305.29035</v>
      </c>
      <c r="E18" s="4" t="n">
        <f aca="false">(E6-D6)*Assumptions!$B$37/100</f>
        <v>-1527.1897095</v>
      </c>
      <c r="F18" s="4" t="n">
        <f aca="false">(F6-E6)*Assumptions!$B$37/100</f>
        <v>-1595.9132464275</v>
      </c>
      <c r="G18" s="4" t="n">
        <f aca="false">(G6-F6)*Assumptions!$B$37/100</f>
        <v>-1482.4260822371</v>
      </c>
      <c r="H18" s="4" t="n">
        <f aca="false">(H6-G6)*Assumptions!$B$37/100</f>
        <v>-1541.72312552659</v>
      </c>
      <c r="I18" s="4" t="n">
        <f aca="false">(I6-H6)*Assumptions!$B$37/100</f>
        <v>-1402.96804422919</v>
      </c>
      <c r="J18" s="4" t="n">
        <f aca="false">(J6-I6)*Assumptions!$B$37/100</f>
        <v>-1452.07192577721</v>
      </c>
      <c r="K18" s="4" t="n">
        <f aca="false">(K6-J6)*Assumptions!$B$37/100</f>
        <v>-1288.19523701093</v>
      </c>
      <c r="L18" s="4" t="n">
        <f aca="false">(L6-K6)*Assumptions!$B$37/100</f>
        <v>-1326.84109412125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6087.991742</v>
      </c>
      <c r="D19" s="0" t="n">
        <f aca="false">D15+D16+D17+D18</f>
        <v>5018.58033768</v>
      </c>
      <c r="E19" s="0" t="n">
        <f aca="false">E15+E16+E17+E18</f>
        <v>4775.7127939976</v>
      </c>
      <c r="F19" s="0" t="n">
        <f aca="false">F15+F16+F17+F18</f>
        <v>4853.78053905945</v>
      </c>
      <c r="G19" s="0" t="n">
        <f aca="false">G15+G16+G17+G18</f>
        <v>5225.25545466933</v>
      </c>
      <c r="H19" s="0" t="n">
        <f aca="false">H15+H16+H17+H18</f>
        <v>5434.2656728561</v>
      </c>
      <c r="I19" s="0" t="n">
        <f aca="false">I15+I16+I17+I18</f>
        <v>5817.18036209689</v>
      </c>
      <c r="J19" s="0" t="n">
        <f aca="false">J15+J16+J17+J18</f>
        <v>6020.78167477028</v>
      </c>
      <c r="K19" s="0" t="n">
        <f aca="false">K15+K16+K17+K18</f>
        <v>6408.84397155299</v>
      </c>
      <c r="L19" s="0" t="n">
        <f aca="false">L15+L16+L17+L18</f>
        <v>6601.10929069958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5611.0522967742</v>
      </c>
      <c r="D21" s="0" t="n">
        <f aca="false">D19*D20</f>
        <v>4263.05960005946</v>
      </c>
      <c r="E21" s="0" t="n">
        <f aca="false">E19*E20</f>
        <v>3738.94422219997</v>
      </c>
      <c r="F21" s="0" t="n">
        <f aca="false">F19*F20</f>
        <v>3502.36321846555</v>
      </c>
      <c r="G21" s="0" t="n">
        <f aca="false">G19*G20</f>
        <v>3475.03222564078</v>
      </c>
      <c r="H21" s="0" t="n">
        <f aca="false">H19*H20</f>
        <v>3330.90646513033</v>
      </c>
      <c r="I21" s="0" t="n">
        <f aca="false">I19*I20</f>
        <v>3286.27847374623</v>
      </c>
      <c r="J21" s="0" t="n">
        <f aca="false">J19*J20</f>
        <v>3134.83706942613</v>
      </c>
      <c r="K21" s="0" t="n">
        <f aca="false">K19*K20</f>
        <v>3075.47396421355</v>
      </c>
      <c r="L21" s="0" t="n">
        <f aca="false">L19*L20</f>
        <v>2919.57436234097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36337.5218979972</v>
      </c>
    </row>
    <row r="31" customFormat="false" ht="15" hidden="false" customHeight="false" outlineLevel="0" collapsed="false">
      <c r="A31" s="0" t="s">
        <v>138</v>
      </c>
      <c r="B31" s="0" t="n">
        <f aca="false">L19</f>
        <v>6601.10929069958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123620.773989465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99016.6393604937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99016.6393604937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43793.6154351146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80131.1373331117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80131.1373331117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378.51269406288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0.046656050389559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3318.03825099034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4992.25926574209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417.767760273236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56659.5214118381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196.339901541237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4</v>
      </c>
      <c r="D5" s="4" t="n">
        <f aca="false">Assumptions!D41</f>
        <v>6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48979</v>
      </c>
      <c r="C6" s="0" t="n">
        <f aca="false">B6*(1+C5/100)</f>
        <v>50938.16</v>
      </c>
      <c r="D6" s="0" t="n">
        <f aca="false">C6*(1+D5/100)</f>
        <v>53994.4496</v>
      </c>
      <c r="E6" s="0" t="n">
        <f aca="false">D6*(1+E5/100)</f>
        <v>57504.088824</v>
      </c>
      <c r="F6" s="0" t="n">
        <f aca="false">E6*(1+F5/100)</f>
        <v>60954.33415344</v>
      </c>
      <c r="G6" s="0" t="n">
        <f aca="false">F6*(1+G5/100)</f>
        <v>64306.8225318792</v>
      </c>
      <c r="H6" s="0" t="n">
        <f aca="false">G6*(1+H5/100)</f>
        <v>67522.1636584732</v>
      </c>
      <c r="I6" s="0" t="n">
        <f aca="false">H6*(1+I5/100)</f>
        <v>70560.6610231045</v>
      </c>
      <c r="J6" s="0" t="n">
        <f aca="false">I6*(1+J5/100)</f>
        <v>73383.0874640286</v>
      </c>
      <c r="K6" s="0" t="n">
        <f aca="false">J6*(1+K5/100)</f>
        <v>75951.4955252696</v>
      </c>
      <c r="L6" s="0" t="n">
        <f aca="false">K6*(1+L5/100)</f>
        <v>78609.797868654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20</v>
      </c>
      <c r="D7" s="4" t="n">
        <f aca="false">Assumptions!D42</f>
        <v>18.5</v>
      </c>
      <c r="E7" s="4" t="n">
        <f aca="false">Assumptions!E42</f>
        <v>17.5</v>
      </c>
      <c r="F7" s="4" t="n">
        <f aca="false">Assumptions!F42</f>
        <v>17</v>
      </c>
      <c r="G7" s="4" t="n">
        <f aca="false">Assumptions!G42</f>
        <v>17</v>
      </c>
      <c r="H7" s="4" t="n">
        <f aca="false">Assumptions!H42</f>
        <v>17</v>
      </c>
      <c r="I7" s="4" t="n">
        <f aca="false">Assumptions!I42</f>
        <v>17</v>
      </c>
      <c r="J7" s="4" t="n">
        <f aca="false">Assumptions!J42</f>
        <v>17</v>
      </c>
      <c r="K7" s="4" t="n">
        <f aca="false">Assumptions!K42</f>
        <v>17</v>
      </c>
      <c r="L7" s="4" t="n">
        <f aca="false">Assumptions!L42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10187.632</v>
      </c>
      <c r="D8" s="0" t="n">
        <f aca="false">D6*D7/100</f>
        <v>9988.973176</v>
      </c>
      <c r="E8" s="0" t="n">
        <f aca="false">E6*E7/100</f>
        <v>10063.2155442</v>
      </c>
      <c r="F8" s="0" t="n">
        <f aca="false">F6*F7/100</f>
        <v>10362.2368060848</v>
      </c>
      <c r="G8" s="0" t="n">
        <f aca="false">G6*G7/100</f>
        <v>10932.1598304195</v>
      </c>
      <c r="H8" s="0" t="n">
        <f aca="false">H6*H7/100</f>
        <v>11478.7678219404</v>
      </c>
      <c r="I8" s="0" t="n">
        <f aca="false">I6*I7/100</f>
        <v>11995.3123739278</v>
      </c>
      <c r="J8" s="0" t="n">
        <f aca="false">J6*J7/100</f>
        <v>12475.1248688849</v>
      </c>
      <c r="K8" s="0" t="n">
        <f aca="false">K6*K7/100</f>
        <v>12911.7542392958</v>
      </c>
      <c r="L8" s="0" t="n">
        <f aca="false">L6*L7/100</f>
        <v>13363.6656376712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0.86</v>
      </c>
      <c r="D9" s="4" t="n">
        <f aca="false">Assumptions!D43</f>
        <v>0.86</v>
      </c>
      <c r="E9" s="4" t="n">
        <f aca="false">Assumptions!E43</f>
        <v>0.86</v>
      </c>
      <c r="F9" s="4" t="n">
        <f aca="false">Assumptions!F43</f>
        <v>0.86</v>
      </c>
      <c r="G9" s="4" t="n">
        <f aca="false">Assumptions!G43</f>
        <v>0.86</v>
      </c>
      <c r="H9" s="4" t="n">
        <f aca="false">Assumptions!H43</f>
        <v>0.86</v>
      </c>
      <c r="I9" s="4" t="n">
        <f aca="false">Assumptions!I43</f>
        <v>0.86</v>
      </c>
      <c r="J9" s="4" t="n">
        <f aca="false">Assumptions!J43</f>
        <v>0.86</v>
      </c>
      <c r="K9" s="4" t="n">
        <f aca="false">Assumptions!K43</f>
        <v>0.86</v>
      </c>
      <c r="L9" s="4" t="n">
        <f aca="false">Assumptions!L43</f>
        <v>0.86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-438.068176</v>
      </c>
      <c r="D10" s="0" t="n">
        <f aca="false">-D6*D9/100</f>
        <v>-464.35226656</v>
      </c>
      <c r="E10" s="0" t="n">
        <f aca="false">-E6*E9/100</f>
        <v>-494.5351638864</v>
      </c>
      <c r="F10" s="0" t="n">
        <f aca="false">-F6*F9/100</f>
        <v>-524.207273719584</v>
      </c>
      <c r="G10" s="0" t="n">
        <f aca="false">-G6*G9/100</f>
        <v>-553.038673774161</v>
      </c>
      <c r="H10" s="0" t="n">
        <f aca="false">-H6*H9/100</f>
        <v>-580.690607462869</v>
      </c>
      <c r="I10" s="0" t="n">
        <f aca="false">-I6*I9/100</f>
        <v>-606.821684798698</v>
      </c>
      <c r="J10" s="0" t="n">
        <f aca="false">-J6*J9/100</f>
        <v>-631.094552190646</v>
      </c>
      <c r="K10" s="0" t="n">
        <f aca="false">-K6*K9/100</f>
        <v>-653.182861517319</v>
      </c>
      <c r="L10" s="0" t="n">
        <f aca="false">-L6*L9/100</f>
        <v>-676.044261670425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9749.563824</v>
      </c>
      <c r="D11" s="0" t="n">
        <f aca="false">D8+D10+D24</f>
        <v>9524.62090944</v>
      </c>
      <c r="E11" s="0" t="n">
        <f aca="false">E8+E10+E24</f>
        <v>9568.6803803136</v>
      </c>
      <c r="F11" s="0" t="n">
        <f aca="false">F8+F10+F24</f>
        <v>9838.02953236522</v>
      </c>
      <c r="G11" s="0" t="n">
        <f aca="false">G8+G10+G24</f>
        <v>10379.1211566453</v>
      </c>
      <c r="H11" s="0" t="n">
        <f aca="false">H8+H10+H24</f>
        <v>10898.0772144776</v>
      </c>
      <c r="I11" s="0" t="n">
        <f aca="false">I8+I10+I24</f>
        <v>11388.4906891291</v>
      </c>
      <c r="J11" s="0" t="n">
        <f aca="false">J8+J10+J24</f>
        <v>11844.0303166942</v>
      </c>
      <c r="K11" s="0" t="n">
        <f aca="false">K8+K10+K24</f>
        <v>12258.5713777785</v>
      </c>
      <c r="L11" s="0" t="n">
        <f aca="false">L8+L10+L24</f>
        <v>12687.6213760008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9749.563824</v>
      </c>
      <c r="D13" s="0" t="n">
        <f aca="false">D11+D12</f>
        <v>9524.62090944</v>
      </c>
      <c r="E13" s="0" t="n">
        <f aca="false">E11+E12</f>
        <v>9568.6803803136</v>
      </c>
      <c r="F13" s="0" t="n">
        <f aca="false">F11+F12</f>
        <v>9838.02953236522</v>
      </c>
      <c r="G13" s="0" t="n">
        <f aca="false">G11+G12</f>
        <v>10379.1211566453</v>
      </c>
      <c r="H13" s="0" t="n">
        <f aca="false">H11+H12</f>
        <v>10898.0772144776</v>
      </c>
      <c r="I13" s="0" t="n">
        <f aca="false">I11+I12</f>
        <v>11388.4906891291</v>
      </c>
      <c r="J13" s="0" t="n">
        <f aca="false">J11+J12</f>
        <v>11844.0303166942</v>
      </c>
      <c r="K13" s="0" t="n">
        <f aca="false">K11+K12</f>
        <v>12258.5713777785</v>
      </c>
      <c r="L13" s="0" t="n">
        <f aca="false">L11+L12</f>
        <v>12687.6213760008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7799.6510592</v>
      </c>
      <c r="D15" s="0" t="n">
        <f aca="false">D13-MAX(0,D13)*D14/100</f>
        <v>7619.696727552</v>
      </c>
      <c r="E15" s="0" t="n">
        <f aca="false">E13-MAX(0,E13)*E14/100</f>
        <v>7654.94430425088</v>
      </c>
      <c r="F15" s="0" t="n">
        <f aca="false">F13-MAX(0,F13)*F14/100</f>
        <v>7870.42362589217</v>
      </c>
      <c r="G15" s="0" t="n">
        <f aca="false">G13-MAX(0,G13)*G14/100</f>
        <v>8303.29692531624</v>
      </c>
      <c r="H15" s="0" t="n">
        <f aca="false">H13-MAX(0,H13)*H14/100</f>
        <v>8718.46177158205</v>
      </c>
      <c r="I15" s="0" t="n">
        <f aca="false">I13-MAX(0,I13)*I14/100</f>
        <v>9110.79255130325</v>
      </c>
      <c r="J15" s="0" t="n">
        <f aca="false">J13-MAX(0,J13)*J14/100</f>
        <v>9475.22425335537</v>
      </c>
      <c r="K15" s="0" t="n">
        <f aca="false">K13-MAX(0,K13)*K14/100</f>
        <v>9806.85710222281</v>
      </c>
      <c r="L15" s="0" t="n">
        <f aca="false">L13-MAX(0,L13)*L14/100</f>
        <v>10150.0971008006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-1175.496</v>
      </c>
      <c r="D18" s="4" t="n">
        <f aca="false">(D6-C6)*Assumptions!$B$51/100</f>
        <v>-1833.77376</v>
      </c>
      <c r="E18" s="4" t="n">
        <f aca="false">(E6-D6)*Assumptions!$B$51/100</f>
        <v>-2105.7835344</v>
      </c>
      <c r="F18" s="4" t="n">
        <f aca="false">(F6-E6)*Assumptions!$B$51/100</f>
        <v>-2070.147197664</v>
      </c>
      <c r="G18" s="4" t="n">
        <f aca="false">(G6-F6)*Assumptions!$B$51/100</f>
        <v>-2011.49302706352</v>
      </c>
      <c r="H18" s="4" t="n">
        <f aca="false">(H6-G6)*Assumptions!$B$51/100</f>
        <v>-1929.20467595637</v>
      </c>
      <c r="I18" s="4" t="n">
        <f aca="false">(I6-H6)*Assumptions!$B$51/100</f>
        <v>-1823.09841877877</v>
      </c>
      <c r="J18" s="4" t="n">
        <f aca="false">(J6-I6)*Assumptions!$B$51/100</f>
        <v>-1693.4558645545</v>
      </c>
      <c r="K18" s="4" t="n">
        <f aca="false">(K6-J6)*Assumptions!$B$51/100</f>
        <v>-1541.04483674459</v>
      </c>
      <c r="L18" s="4" t="n">
        <f aca="false">(L6-K6)*Assumptions!$B$51/100</f>
        <v>-1594.98140603066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6624.1550592</v>
      </c>
      <c r="D19" s="0" t="n">
        <f aca="false">D15+D16+D17+D18</f>
        <v>5785.922967552</v>
      </c>
      <c r="E19" s="0" t="n">
        <f aca="false">E15+E16+E17+E18</f>
        <v>5549.16076985088</v>
      </c>
      <c r="F19" s="0" t="n">
        <f aca="false">F15+F16+F17+F18</f>
        <v>5800.27642822817</v>
      </c>
      <c r="G19" s="0" t="n">
        <f aca="false">G15+G16+G17+G18</f>
        <v>6291.80389825273</v>
      </c>
      <c r="H19" s="0" t="n">
        <f aca="false">H15+H16+H17+H18</f>
        <v>6789.25709562568</v>
      </c>
      <c r="I19" s="0" t="n">
        <f aca="false">I15+I16+I17+I18</f>
        <v>7287.69413252448</v>
      </c>
      <c r="J19" s="0" t="n">
        <f aca="false">J15+J16+J17+J18</f>
        <v>7781.76838880087</v>
      </c>
      <c r="K19" s="0" t="n">
        <f aca="false">K15+K16+K17+K18</f>
        <v>8265.81226547822</v>
      </c>
      <c r="L19" s="0" t="n">
        <f aca="false">L15+L16+L17+L18</f>
        <v>8555.11569476995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6105.21203612903</v>
      </c>
      <c r="D21" s="0" t="n">
        <f aca="false">D19*D20</f>
        <v>4914.88285378921</v>
      </c>
      <c r="E21" s="0" t="n">
        <f aca="false">E19*E20</f>
        <v>4344.48290621036</v>
      </c>
      <c r="F21" s="0" t="n">
        <f aca="false">F19*F20</f>
        <v>4185.33031225502</v>
      </c>
      <c r="G21" s="0" t="n">
        <f aca="false">G19*G20</f>
        <v>4184.33538676132</v>
      </c>
      <c r="H21" s="0" t="n">
        <f aca="false">H19*H20</f>
        <v>4161.44180550636</v>
      </c>
      <c r="I21" s="0" t="n">
        <f aca="false">I19*I20</f>
        <v>4117.01045183495</v>
      </c>
      <c r="J21" s="0" t="n">
        <f aca="false">J19*J20</f>
        <v>4051.72904925707</v>
      </c>
      <c r="K21" s="0" t="n">
        <f aca="false">K19*K20</f>
        <v>3966.59530617269</v>
      </c>
      <c r="L21" s="0" t="n">
        <f aca="false">L19*L20</f>
        <v>3783.80289574999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43814.823003666</v>
      </c>
    </row>
    <row r="31" customFormat="false" ht="15" hidden="false" customHeight="false" outlineLevel="0" collapsed="false">
      <c r="A31" s="0" t="s">
        <v>138</v>
      </c>
      <c r="B31" s="0" t="n">
        <f aca="false">L19</f>
        <v>8555.11569476995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160213.984829328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145436.966811089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145436.966811089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64324.6492277497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108139.472231416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108139.472231416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510.814701140367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0.412495025827805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3571.20823600312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5599.53913385276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554.134244691883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73431.4097134421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241.202166706126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254.818717681887</v>
      </c>
      <c r="C4" s="0" t="n">
        <f aca="false">B4/Assumptions!$B$2-1</f>
        <v>-0.295380163472273</v>
      </c>
      <c r="D4" s="4" t="n">
        <f aca="false">Assumptions!$B$24</f>
        <v>0.25</v>
      </c>
      <c r="E4" s="4" t="n">
        <f aca="false">DCF_Bear!$B$43</f>
        <v>288.04056334702</v>
      </c>
      <c r="F4" s="4" t="n">
        <f aca="false">DCF_Bear!$B$47</f>
        <v>147.344683079839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378.51269406288</v>
      </c>
      <c r="C5" s="0" t="n">
        <f aca="false">B5/Assumptions!$B$2-1</f>
        <v>0.046656050389559</v>
      </c>
      <c r="D5" s="4" t="n">
        <f aca="false">Assumptions!$B$38</f>
        <v>0.5</v>
      </c>
      <c r="E5" s="4" t="n">
        <f aca="false">DCF_Base!$B$43</f>
        <v>417.767760273236</v>
      </c>
      <c r="F5" s="4" t="n">
        <f aca="false">DCF_Base!$B$47</f>
        <v>196.339901541237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510.814701140367</v>
      </c>
      <c r="C6" s="0" t="n">
        <f aca="false">B6/Assumptions!$B$2-1</f>
        <v>0.412495025827805</v>
      </c>
      <c r="D6" s="4" t="n">
        <f aca="false">Assumptions!$B$52</f>
        <v>0.25</v>
      </c>
      <c r="E6" s="4" t="n">
        <f aca="false">DCF_Bull!$B$43</f>
        <v>554.134244691883</v>
      </c>
      <c r="F6" s="4" t="n">
        <f aca="false">DCF_Bull!$B$47</f>
        <v>241.202166706126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380.664701737004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419.427582146344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0.0499775830282988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-49.0796905082923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195.30666321711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378.51269406288</v>
      </c>
      <c r="C15" s="3" t="n">
        <v>8.5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365.331432219595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337.280469496528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294.898635093231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261.983434455008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196.339901541237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437.829321738176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437.829321738176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437.829321738176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437.829321738176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437.829321738176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406.781730241922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406.781730241922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406.781730241922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406.781730241922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406.781730241922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378.51269406288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378.51269406288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378.51269406288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378.51269406288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378.51269406288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335.12734776882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348.248733222095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352.742358377326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352.742358377326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352.742358377326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294.755355587113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304.08997583425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314.669212114338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326.75976786301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329.221645730387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2026-10-02T09:48:54Z</dcterms:created>
  <dc:creator>openpyxl</dc:creator>
  <dc:description/>
  <dc:language>en-NZ</dc:language>
  <cp:lastModifiedBy/>
  <dcterms:modified xsi:type="dcterms:W3CDTF">2026-10-02T09:48:54Z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