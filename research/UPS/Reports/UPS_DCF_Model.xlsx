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<sst xmlns="http://schemas.openxmlformats.org/spreadsheetml/2006/main" count="390" uniqueCount="175">
  <si>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</si>
  <si>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UPS</t>
  </si>
  <si>
    <t xml:space="preserve">Company</t>
  </si>
  <si>
    <t xml:space="preserve">United Parcel Service,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</si>
  <si>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</si>
  <si>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</si>
  <si>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</si>
  <si>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</si>
  <si>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2026-10-02T20:02:04Z (regular-session close, 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</si>
  <si>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</si>
  <si>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</si>
  <si>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</si>
  <si>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</si>
  <si>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</si>
  <si>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</si>
  <si>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</si>
  <si>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</si>
  <si>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</si>
  <si>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</si>
  <si>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</si>
  <si>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</si>
  <si>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2026-10-02T21:22:51Z</t>
  </si>
  <si>
    <t xml:space="preserve">Drivers file</t>
  </si>
  <si>
    <t xml:space="preserve">UPS_Drivers.json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</si>
  <si>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</si>
  <si>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</si>
  <si>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</si>
  <si>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Mid-cycle, transition-adjusted owner-FCF DCF. The base case does not extrapolate the FY2021-22 peak (16% EBITDA margin, $9-10B FCF) or the trough H1-2026 GAAP print. Margins recover only to the ten-year average plus a partial automation credit, and every scenario's terminal value is capped at 12-14x FCF. The pension deficit and NCI are deducted as debt-like claims after net debt.
key_risks_to_valuation: Margin recovery is the whole case. Each 1pp of mature EBITDA margin is worth roughly $0.9B a year of FCF, about $13/share at a 13x exit.; The 2028 Teamsters contract could absorb the Network of the Future savings.; Volume loss to Amazon Logistics is secular, not cyclical.; Dividend above FCF in FY2025 raises leverage and could force a cut, which is a sentiment risk not captured in IV.; Pension deficit is sensitive to discount rates; it is deducted at the 2026-06-30 book value.; FY2026 guidance figures (revenue ~$91.2B, operating profit ~$8.65B, FCF ~$5.5B) are taken from the qualitative analysis and were not re-verified against the Q2-2026 8-K.</t>
  </si>
  <si>
    <t xml:space="preserve">Data sources</t>
  </si>
  <si>
    <t xml:space="preserve">price: Yahoo Finance chart API at inputs.price_as_of; 52-week range 82.00-122.41
financials: SEC XBRL companyfacts (CIK 1090727) via UPS_Metrics.csv; SBC, buybacks, dividends, pension, NCI, interest, lease and tax lines pulled directly from companyfacts on 2026-10-03
qualitative: UPS_Analysis.json (Q2-2026 earnings, raised FY2026 guidance)</t>
  </si>
  <si>
    <t xml:space="preserve">Scenario narrative: bear</t>
  </si>
  <si>
    <t xml:space="preserve">Volume lost to Amazon's own network and tariffs is not replaced, labour costs absorb the savings, and margin stays at ~12.5%. Dividend coverage breaks.</t>
  </si>
  <si>
    <t xml:space="preserve">Scenario narrative: base</t>
  </si>
  <si>
    <t xml:space="preserve">Amazon exit completes, SMB/healthcare refills the network, and margins recover to the 14.5% mid-cycle level (not the 16% pandemic peak) as automation savings net of wage inflation land by FY2029.</t>
  </si>
  <si>
    <t xml:space="preserve">Scenario narrative: bull</t>
  </si>
  <si>
    <t xml:space="preserve">Healthcare, cold-chain and SMB mix compound, and most of the $3B Network of the Future saving survives the 2028 labour contract. Margin returns to ~16% by FY2030.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</si>
  <si>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</si>
  <si>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</si>
  <si>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</si>
  <si>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</si>
  <si>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</si>
  <si>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</si>
  <si>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</si>
  <si>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</si>
  <si>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</si>
  <si>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</si>
  <si>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</si>
  <si>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</si>
  <si>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</si>
  <si>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</si>
  <si>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</si>
  <si>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</si>
  <si>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</si>
  <si>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</si>
  <si>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</si>
  <si>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</si>
  <si>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</si>
  <si>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</si>
  <si>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</si>
  <si>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</si>
  <si>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</si>
  <si>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</si>
  <si>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</si>
  <si>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</si>
  <si>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</si>
  <si>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</si>
  <si>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</si>
  <si>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</si>
  <si>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</si>
  <si>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</si>
  <si>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</si>
  <si>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</si>
  <si>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</si>
  <si>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</si>
  <si>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</si>
  <si>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</si>
  <si>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</si>
  <si>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</si>
  <si>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</si>
  <si>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</si>
  <si>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</si>
  <si>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</si>
  <si>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</si>
  <si>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</si>
  <si>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</si>
  <si>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</si>
  <si>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</si>
  <si>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</si>
  <si>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</si>
  <si>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</si>
  <si>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</si>
  <si>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</si>
  <si>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</si>
  <si>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</si>
  <si>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</si>
  <si>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</si>
  <si>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</si>
  <si>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</si>
  <si>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</si>
  <si>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</si>
  <si>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</si>
  <si>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</si>
  <si>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</si>
  <si>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</si>
  <si>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</si>
  <si>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</si>
  <si>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</si>
  <si>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</si>
  <si>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</si>
  <si>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</si>
  <si>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</si>
  <si>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</si>
  <si>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</si>
  <si>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</si>
  <si>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</si>
  <si>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</si>
  <si>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</si>
  <si>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</si>
  <si>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</si>
  <si>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</si>
  <si>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UPS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</si>
  <si>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</si>
  <si>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</si>
  <si>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</si>
  <si>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</si>
  <si>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</si>
  <si>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</si>
  <si>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</si>
  <si>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</si>
  <si>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</si>
  <si>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</si>
  <si>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</si>
  <si>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</si>
  <si>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</si>
  <si>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</si>
  <si>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</si>
  <si>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</si>
  <si>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</si>
  <si>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</si>
  <si>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</si>
  <si>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</si>
  <si>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</si>
  <si>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</si>
  <si>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</si>
  <si>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</si>
  <si>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</si>
  <si>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</si>
  <si>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</si>
  <si>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</si>
  <si>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</si>
  <si>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</si>
  <si>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UPS owner-FCF component DCF: base case (millions, USD)</t>
  </si>
  <si>
    <t xml:space="preserve">UPS owner-FCF component DCF: bull case (millions, USD)</t>
  </si>
  <si>
    <t xml:space="preserve">UPS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</si>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</sst>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93.02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794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49692</v>
      </c>
      <c r="F3" s="0" t="n">
        <v>578</v>
      </c>
      <c r="G3" s="0" t="n">
        <v>1.16316509699751</v>
      </c>
      <c r="H3" s="0" t="n">
        <v>2323</v>
      </c>
      <c r="I3" s="0" t="n">
        <v>382</v>
      </c>
      <c r="J3" s="0" t="n">
        <v>0.768735410126379</v>
      </c>
      <c r="K3" s="0" t="n">
        <v>0.36</v>
      </c>
      <c r="L3" s="0" t="n">
        <v>1123</v>
      </c>
      <c r="M3" s="0" t="n">
        <v>2820</v>
      </c>
      <c r="N3" s="0" t="n">
        <v>-1697</v>
      </c>
      <c r="S3" s="0" t="n">
        <v>2027</v>
      </c>
      <c r="U3" s="0" t="n">
        <v>447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51486</v>
      </c>
      <c r="F4" s="0" t="n">
        <v>5382</v>
      </c>
      <c r="G4" s="0" t="n">
        <v>10.4533271180515</v>
      </c>
      <c r="H4" s="0" t="n">
        <v>7196</v>
      </c>
      <c r="I4" s="0" t="n">
        <v>3003</v>
      </c>
      <c r="J4" s="0" t="n">
        <v>5.83265353688381</v>
      </c>
      <c r="K4" s="0" t="n">
        <v>2.96</v>
      </c>
      <c r="L4" s="0" t="n">
        <v>8426</v>
      </c>
      <c r="M4" s="0" t="n">
        <v>2636</v>
      </c>
      <c r="N4" s="0" t="n">
        <v>5790</v>
      </c>
      <c r="O4" s="0" t="n">
        <v>6780</v>
      </c>
      <c r="P4" s="0" t="n">
        <v>31879</v>
      </c>
      <c r="R4" s="0" t="n">
        <v>9871</v>
      </c>
      <c r="S4" s="0" t="n">
        <v>507</v>
      </c>
      <c r="T4" s="0" t="n">
        <v>1022</v>
      </c>
      <c r="U4" s="0" t="n">
        <v>516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45297</v>
      </c>
      <c r="F5" s="0" t="n">
        <v>3508</v>
      </c>
      <c r="G5" s="0" t="n">
        <v>7.74444223679272</v>
      </c>
      <c r="H5" s="0" t="n">
        <v>5255</v>
      </c>
      <c r="I5" s="0" t="n">
        <v>1968</v>
      </c>
      <c r="J5" s="0" t="n">
        <v>4.34465858666137</v>
      </c>
      <c r="K5" s="0" t="n">
        <v>1.97</v>
      </c>
      <c r="L5" s="0" t="n">
        <v>5285</v>
      </c>
      <c r="M5" s="0" t="n">
        <v>1602</v>
      </c>
      <c r="N5" s="0" t="n">
        <v>3683</v>
      </c>
      <c r="O5" s="0" t="n">
        <v>7696</v>
      </c>
      <c r="P5" s="0" t="n">
        <v>31883</v>
      </c>
      <c r="R5" s="0" t="n">
        <v>10374</v>
      </c>
      <c r="S5" s="0" t="n">
        <v>1542</v>
      </c>
      <c r="T5" s="0" t="n">
        <v>1004</v>
      </c>
      <c r="U5" s="0" t="n">
        <v>430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49545</v>
      </c>
      <c r="F6" s="0" t="n">
        <v>5641</v>
      </c>
      <c r="G6" s="0" t="n">
        <v>11.3856090422848</v>
      </c>
      <c r="H6" s="0" t="n">
        <v>7433</v>
      </c>
      <c r="I6" s="0" t="n">
        <v>3338</v>
      </c>
      <c r="J6" s="0" t="n">
        <v>6.73730951660107</v>
      </c>
      <c r="K6" s="0" t="n">
        <v>3.36</v>
      </c>
      <c r="L6" s="0" t="n">
        <v>3835</v>
      </c>
      <c r="M6" s="0" t="n">
        <v>1389</v>
      </c>
      <c r="N6" s="0" t="n">
        <v>2446</v>
      </c>
      <c r="O6" s="0" t="n">
        <v>8047</v>
      </c>
      <c r="P6" s="0" t="n">
        <v>33597</v>
      </c>
      <c r="R6" s="0" t="n">
        <v>11201</v>
      </c>
      <c r="S6" s="0" t="n">
        <v>3034</v>
      </c>
      <c r="T6" s="0" t="n">
        <v>1003</v>
      </c>
      <c r="U6" s="0" t="n">
        <v>519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53105</v>
      </c>
      <c r="F7" s="0" t="n">
        <v>6080</v>
      </c>
      <c r="G7" s="0" t="n">
        <v>11.4490161001789</v>
      </c>
      <c r="H7" s="0" t="n">
        <v>7862</v>
      </c>
      <c r="I7" s="0" t="n">
        <v>3804</v>
      </c>
      <c r="J7" s="0" t="n">
        <v>7.16316731004614</v>
      </c>
      <c r="K7" s="0" t="n">
        <v>3.88</v>
      </c>
      <c r="L7" s="0" t="n">
        <v>7073</v>
      </c>
      <c r="M7" s="0" t="n">
        <v>2005</v>
      </c>
      <c r="N7" s="0" t="n">
        <v>5068</v>
      </c>
      <c r="O7" s="0" t="n">
        <v>7108</v>
      </c>
      <c r="P7" s="0" t="n">
        <v>34701</v>
      </c>
      <c r="R7" s="0" t="n">
        <v>11161</v>
      </c>
      <c r="S7" s="0" t="n">
        <v>3034</v>
      </c>
      <c r="T7" s="0" t="n">
        <v>991</v>
      </c>
      <c r="U7" s="0" t="n">
        <v>524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54127</v>
      </c>
      <c r="F8" s="0" t="n">
        <v>1343</v>
      </c>
      <c r="G8" s="0" t="n">
        <v>2.48120161841595</v>
      </c>
      <c r="H8" s="0" t="n">
        <v>3201</v>
      </c>
      <c r="I8" s="0" t="n">
        <v>807</v>
      </c>
      <c r="J8" s="0" t="n">
        <v>1.49093797919707</v>
      </c>
      <c r="K8" s="0" t="n">
        <v>0.84</v>
      </c>
      <c r="L8" s="0" t="n">
        <v>7216</v>
      </c>
      <c r="M8" s="0" t="n">
        <v>2153</v>
      </c>
      <c r="N8" s="0" t="n">
        <v>5063</v>
      </c>
      <c r="O8" s="0" t="n">
        <v>4733</v>
      </c>
      <c r="P8" s="0" t="n">
        <v>38863</v>
      </c>
      <c r="R8" s="0" t="n">
        <v>14651</v>
      </c>
      <c r="S8" s="0" t="n">
        <v>7327</v>
      </c>
      <c r="T8" s="0" t="n">
        <v>969</v>
      </c>
      <c r="U8" s="0" t="n">
        <v>547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55438</v>
      </c>
      <c r="F9" s="0" t="n">
        <v>7034</v>
      </c>
      <c r="G9" s="0" t="n">
        <v>12.6880479093762</v>
      </c>
      <c r="H9" s="0" t="n">
        <v>8901</v>
      </c>
      <c r="I9" s="0" t="n">
        <v>4372</v>
      </c>
      <c r="J9" s="0" t="n">
        <v>7.88628738410477</v>
      </c>
      <c r="K9" s="0" t="n">
        <v>4.65</v>
      </c>
      <c r="L9" s="0" t="n">
        <v>7304</v>
      </c>
      <c r="M9" s="0" t="n">
        <v>2065</v>
      </c>
      <c r="N9" s="0" t="n">
        <v>5239</v>
      </c>
      <c r="O9" s="0" t="n">
        <v>6488</v>
      </c>
      <c r="P9" s="0" t="n">
        <v>35553</v>
      </c>
      <c r="R9" s="0" t="n">
        <v>10920</v>
      </c>
      <c r="S9" s="0" t="n">
        <v>4665</v>
      </c>
      <c r="T9" s="0" t="n">
        <v>948</v>
      </c>
      <c r="U9" s="0" t="n">
        <v>513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58232</v>
      </c>
      <c r="F10" s="0" t="n">
        <v>4968</v>
      </c>
      <c r="G10" s="0" t="n">
        <v>8.53139167468059</v>
      </c>
      <c r="H10" s="0" t="n">
        <v>6891</v>
      </c>
      <c r="I10" s="0" t="n">
        <v>3032</v>
      </c>
      <c r="J10" s="0" t="n">
        <v>5.20675917021569</v>
      </c>
      <c r="K10" s="0" t="n">
        <v>3.31</v>
      </c>
      <c r="L10" s="0" t="n">
        <v>5726</v>
      </c>
      <c r="M10" s="0" t="n">
        <v>2328</v>
      </c>
      <c r="N10" s="0" t="n">
        <v>3398</v>
      </c>
      <c r="O10" s="0" t="n">
        <v>2158</v>
      </c>
      <c r="P10" s="0" t="n">
        <v>35440</v>
      </c>
      <c r="R10" s="0" t="n">
        <v>11702</v>
      </c>
      <c r="S10" s="0" t="n">
        <v>2291</v>
      </c>
      <c r="T10" s="0" t="n">
        <v>924</v>
      </c>
      <c r="U10" s="0" t="n">
        <v>536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58363</v>
      </c>
      <c r="F11" s="0" t="n">
        <v>7668</v>
      </c>
      <c r="G11" s="0" t="n">
        <v>13.1384610112571</v>
      </c>
      <c r="H11" s="0" t="n">
        <v>9752</v>
      </c>
      <c r="I11" s="0" t="n">
        <v>4844</v>
      </c>
      <c r="J11" s="0" t="n">
        <v>8.29977896955263</v>
      </c>
      <c r="K11" s="0" t="n">
        <v>5.38</v>
      </c>
      <c r="L11" s="0" t="n">
        <v>7430</v>
      </c>
      <c r="M11" s="0" t="n">
        <v>2379</v>
      </c>
      <c r="N11" s="0" t="n">
        <v>5051</v>
      </c>
      <c r="O11" s="0" t="n">
        <v>2491</v>
      </c>
      <c r="P11" s="0" t="n">
        <v>38311</v>
      </c>
      <c r="R11" s="0" t="n">
        <v>17352</v>
      </c>
      <c r="S11" s="0" t="n">
        <v>2730</v>
      </c>
      <c r="T11" s="0" t="n">
        <v>906</v>
      </c>
      <c r="U11" s="0" t="n">
        <v>574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61610</v>
      </c>
      <c r="F12" s="0" t="n">
        <v>7688</v>
      </c>
      <c r="G12" s="0" t="n">
        <v>12.4784937510145</v>
      </c>
      <c r="H12" s="0" t="n">
        <v>9912</v>
      </c>
      <c r="I12" s="0" t="n">
        <v>3422</v>
      </c>
      <c r="J12" s="0" t="n">
        <v>5.55429313423146</v>
      </c>
      <c r="K12" s="0" t="n">
        <v>3.88</v>
      </c>
      <c r="L12" s="0" t="n">
        <v>6473</v>
      </c>
      <c r="M12" s="0" t="n">
        <v>2965</v>
      </c>
      <c r="N12" s="0" t="n">
        <v>3508</v>
      </c>
      <c r="O12" s="0" t="n">
        <v>429</v>
      </c>
      <c r="P12" s="0" t="n">
        <v>40545</v>
      </c>
      <c r="R12" s="0" t="n">
        <v>19756</v>
      </c>
      <c r="S12" s="0" t="n">
        <v>3476</v>
      </c>
      <c r="T12" s="0" t="n">
        <v>887</v>
      </c>
      <c r="U12" s="0" t="n">
        <v>591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66585</v>
      </c>
      <c r="F13" s="0" t="n">
        <v>7529</v>
      </c>
      <c r="G13" s="0" t="n">
        <v>11.3073515055944</v>
      </c>
      <c r="H13" s="0" t="n">
        <v>9811</v>
      </c>
      <c r="I13" s="0" t="n">
        <v>4905</v>
      </c>
      <c r="J13" s="0" t="n">
        <v>7.36652399189007</v>
      </c>
      <c r="K13" s="0" t="n">
        <v>5.63</v>
      </c>
      <c r="L13" s="0" t="n">
        <v>1479</v>
      </c>
      <c r="M13" s="0" t="n">
        <v>5227</v>
      </c>
      <c r="N13" s="0" t="n">
        <v>-3748</v>
      </c>
      <c r="O13" s="0" t="n">
        <v>1024</v>
      </c>
      <c r="P13" s="0" t="n">
        <v>45574</v>
      </c>
      <c r="R13" s="0" t="n">
        <v>28300</v>
      </c>
      <c r="S13" s="0" t="n">
        <v>3320</v>
      </c>
      <c r="T13" s="0" t="n">
        <v>875</v>
      </c>
      <c r="U13" s="0" t="n">
        <v>584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71861</v>
      </c>
      <c r="F14" s="0" t="n">
        <v>7024</v>
      </c>
      <c r="G14" s="0" t="n">
        <v>9.77442562725261</v>
      </c>
      <c r="H14" s="0" t="n">
        <v>9231</v>
      </c>
      <c r="I14" s="0" t="n">
        <v>4791</v>
      </c>
      <c r="J14" s="0" t="n">
        <v>6.66703775344067</v>
      </c>
      <c r="K14" s="0" t="n">
        <v>5.53</v>
      </c>
      <c r="L14" s="0" t="n">
        <v>12711</v>
      </c>
      <c r="M14" s="0" t="n">
        <v>6283</v>
      </c>
      <c r="N14" s="0" t="n">
        <v>6428</v>
      </c>
      <c r="O14" s="0" t="n">
        <v>3037</v>
      </c>
      <c r="P14" s="0" t="n">
        <v>50016</v>
      </c>
      <c r="R14" s="0" t="n">
        <v>25541</v>
      </c>
      <c r="S14" s="0" t="n">
        <v>4225</v>
      </c>
      <c r="T14" s="0" t="n">
        <v>870</v>
      </c>
      <c r="U14" s="0" t="n">
        <v>634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74094</v>
      </c>
      <c r="F15" s="0" t="n">
        <v>7798</v>
      </c>
      <c r="G15" s="0" t="n">
        <v>10.5244689178611</v>
      </c>
      <c r="H15" s="0" t="n">
        <v>10158</v>
      </c>
      <c r="I15" s="0" t="n">
        <v>4440</v>
      </c>
      <c r="J15" s="0" t="n">
        <v>5.99238804761519</v>
      </c>
      <c r="K15" s="0" t="n">
        <v>5.14</v>
      </c>
      <c r="L15" s="0" t="n">
        <v>8639</v>
      </c>
      <c r="M15" s="0" t="n">
        <v>6380</v>
      </c>
      <c r="N15" s="0" t="n">
        <v>2259</v>
      </c>
      <c r="O15" s="0" t="n">
        <v>3283</v>
      </c>
      <c r="P15" s="0" t="n">
        <v>57857</v>
      </c>
      <c r="R15" s="0" t="n">
        <v>28658</v>
      </c>
      <c r="S15" s="0" t="n">
        <v>5238</v>
      </c>
      <c r="T15" s="0" t="n">
        <v>869</v>
      </c>
      <c r="U15" s="0" t="n">
        <v>915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84628</v>
      </c>
      <c r="F16" s="0" t="n">
        <v>7684</v>
      </c>
      <c r="G16" s="0" t="n">
        <v>9.07973720281703</v>
      </c>
      <c r="H16" s="0" t="n">
        <v>10382</v>
      </c>
      <c r="I16" s="0" t="n">
        <v>1343</v>
      </c>
      <c r="J16" s="0" t="n">
        <v>1.58694521907643</v>
      </c>
      <c r="K16" s="0" t="n">
        <v>1.55</v>
      </c>
      <c r="L16" s="0" t="n">
        <v>10459</v>
      </c>
      <c r="M16" s="0" t="n">
        <v>5412</v>
      </c>
      <c r="N16" s="0" t="n">
        <v>5047</v>
      </c>
      <c r="O16" s="0" t="n">
        <v>669</v>
      </c>
      <c r="P16" s="0" t="n">
        <v>62408</v>
      </c>
      <c r="R16" s="0" t="n">
        <v>27277</v>
      </c>
      <c r="S16" s="0" t="n">
        <v>5910</v>
      </c>
      <c r="T16" s="0" t="n">
        <v>871</v>
      </c>
      <c r="U16" s="0" t="n">
        <v>796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97287</v>
      </c>
      <c r="F17" s="0" t="n">
        <v>12810</v>
      </c>
      <c r="G17" s="0" t="n">
        <v>13.1672268648432</v>
      </c>
      <c r="H17" s="0" t="n">
        <v>15763</v>
      </c>
      <c r="I17" s="0" t="n">
        <v>12890</v>
      </c>
      <c r="J17" s="0" t="n">
        <v>13.2494577898383</v>
      </c>
      <c r="K17" s="0" t="n">
        <v>14.75</v>
      </c>
      <c r="L17" s="0" t="n">
        <v>15007</v>
      </c>
      <c r="M17" s="0" t="n">
        <v>4194</v>
      </c>
      <c r="N17" s="0" t="n">
        <v>10813</v>
      </c>
      <c r="O17" s="0" t="n">
        <v>14269</v>
      </c>
      <c r="P17" s="0" t="n">
        <v>69405</v>
      </c>
      <c r="R17" s="0" t="n">
        <v>24046</v>
      </c>
      <c r="S17" s="0" t="n">
        <v>10255</v>
      </c>
      <c r="T17" s="0" t="n">
        <v>878</v>
      </c>
      <c r="U17" s="0" t="n">
        <v>878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100338</v>
      </c>
      <c r="F18" s="0" t="n">
        <v>13094</v>
      </c>
      <c r="G18" s="0" t="n">
        <v>13.0498913671789</v>
      </c>
      <c r="H18" s="0" t="n">
        <v>16282</v>
      </c>
      <c r="I18" s="0" t="n">
        <v>11548</v>
      </c>
      <c r="J18" s="0" t="n">
        <v>11.5090992445534</v>
      </c>
      <c r="K18" s="0" t="n">
        <v>13.26</v>
      </c>
      <c r="L18" s="0" t="n">
        <v>14104</v>
      </c>
      <c r="M18" s="0" t="n">
        <v>4769</v>
      </c>
      <c r="N18" s="0" t="n">
        <v>9335</v>
      </c>
      <c r="O18" s="0" t="n">
        <v>19803</v>
      </c>
      <c r="P18" s="0" t="n">
        <v>71124</v>
      </c>
      <c r="R18" s="0" t="n">
        <v>19662</v>
      </c>
      <c r="S18" s="0" t="n">
        <v>5602</v>
      </c>
      <c r="T18" s="0" t="n">
        <v>875</v>
      </c>
      <c r="U18" s="0" t="n">
        <v>1568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90958</v>
      </c>
      <c r="F19" s="0" t="n">
        <v>9141</v>
      </c>
      <c r="G19" s="0" t="n">
        <v>10.0496932650234</v>
      </c>
      <c r="H19" s="0" t="n">
        <v>12507</v>
      </c>
      <c r="I19" s="0" t="n">
        <v>6708</v>
      </c>
      <c r="J19" s="0" t="n">
        <v>7.37483234020097</v>
      </c>
      <c r="K19" s="0" t="n">
        <v>7.81</v>
      </c>
      <c r="L19" s="0" t="n">
        <v>10238</v>
      </c>
      <c r="M19" s="0" t="n">
        <v>5158</v>
      </c>
      <c r="N19" s="0" t="n">
        <v>5080</v>
      </c>
      <c r="O19" s="0" t="n">
        <v>17314</v>
      </c>
      <c r="P19" s="0" t="n">
        <v>70857</v>
      </c>
      <c r="R19" s="0" t="n">
        <v>22264</v>
      </c>
      <c r="S19" s="0" t="n">
        <v>3206</v>
      </c>
      <c r="T19" s="0" t="n">
        <v>860</v>
      </c>
      <c r="U19" s="0" t="n">
        <v>220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91070</v>
      </c>
      <c r="F20" s="0" t="n">
        <v>8468</v>
      </c>
      <c r="G20" s="0" t="n">
        <v>9.29834193477545</v>
      </c>
      <c r="H20" s="0" t="n">
        <v>12077</v>
      </c>
      <c r="I20" s="0" t="n">
        <v>5782</v>
      </c>
      <c r="J20" s="0" t="n">
        <v>6.34896233666411</v>
      </c>
      <c r="K20" s="0" t="n">
        <v>6.76</v>
      </c>
      <c r="L20" s="0" t="n">
        <v>10122</v>
      </c>
      <c r="M20" s="0" t="n">
        <v>3909</v>
      </c>
      <c r="N20" s="0" t="n">
        <v>6213</v>
      </c>
      <c r="O20" s="0" t="n">
        <v>16743</v>
      </c>
      <c r="P20" s="0" t="n">
        <v>70070</v>
      </c>
      <c r="R20" s="0" t="n">
        <v>21284</v>
      </c>
      <c r="S20" s="0" t="n">
        <v>6112</v>
      </c>
      <c r="T20" s="0" t="n">
        <v>856</v>
      </c>
      <c r="U20" s="0" t="n">
        <v>24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88661</v>
      </c>
      <c r="F21" s="0" t="n">
        <v>7867</v>
      </c>
      <c r="G21" s="0" t="n">
        <v>8.87312347029697</v>
      </c>
      <c r="H21" s="0" t="n">
        <v>11613</v>
      </c>
      <c r="I21" s="0" t="n">
        <v>5572</v>
      </c>
      <c r="J21" s="0" t="n">
        <v>6.28461217446228</v>
      </c>
      <c r="K21" s="0" t="n">
        <v>6.56</v>
      </c>
      <c r="L21" s="0" t="n">
        <v>8450</v>
      </c>
      <c r="M21" s="0" t="n">
        <v>3685</v>
      </c>
      <c r="N21" s="0" t="n">
        <v>4765</v>
      </c>
      <c r="O21" s="0" t="n">
        <v>16255</v>
      </c>
      <c r="P21" s="0" t="n">
        <v>73090</v>
      </c>
      <c r="R21" s="0" t="n">
        <v>24193</v>
      </c>
      <c r="S21" s="0" t="n">
        <v>5887</v>
      </c>
      <c r="T21" s="0" t="n">
        <v>850</v>
      </c>
      <c r="U21" s="0" t="n">
        <v>73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93.02</v>
      </c>
    </row>
    <row r="3" customFormat="false" ht="15" hidden="false" customHeight="false" outlineLevel="0" collapsed="false">
      <c r="A3" s="0" t="s">
        <v>86</v>
      </c>
      <c r="B3" s="3" t="n">
        <v>851</v>
      </c>
    </row>
    <row r="4" customFormat="false" ht="15" hidden="false" customHeight="false" outlineLevel="0" collapsed="false">
      <c r="A4" s="0" t="s">
        <v>87</v>
      </c>
      <c r="B4" s="3" t="n">
        <v>19831</v>
      </c>
    </row>
    <row r="5" customFormat="false" ht="15" hidden="false" customHeight="false" outlineLevel="0" collapsed="false">
      <c r="A5" s="0" t="s">
        <v>88</v>
      </c>
      <c r="B5" s="3" t="n">
        <v>-4851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88661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2</v>
      </c>
      <c r="D13" s="3" t="n">
        <v>-1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11.8</v>
      </c>
      <c r="D14" s="3" t="n">
        <v>12.2</v>
      </c>
      <c r="E14" s="3" t="n">
        <v>12.5</v>
      </c>
      <c r="F14" s="3" t="n">
        <v>12.5</v>
      </c>
      <c r="G14" s="3" t="n">
        <v>12.5</v>
      </c>
      <c r="H14" s="3" t="n">
        <v>12.5</v>
      </c>
      <c r="I14" s="3" t="n">
        <v>12.5</v>
      </c>
      <c r="J14" s="3" t="n">
        <v>12.5</v>
      </c>
      <c r="K14" s="3" t="n">
        <v>12.5</v>
      </c>
      <c r="L14" s="3" t="n">
        <v>12.5</v>
      </c>
    </row>
    <row r="15" customFormat="false" ht="15" hidden="false" customHeight="false" outlineLevel="0" collapsed="false">
      <c r="A15" s="0" t="s">
        <v>108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4.3</v>
      </c>
      <c r="D17" s="3" t="n">
        <v>4.4</v>
      </c>
      <c r="E17" s="3" t="n">
        <v>4.4</v>
      </c>
      <c r="F17" s="3" t="n">
        <v>4.4</v>
      </c>
      <c r="G17" s="3" t="n">
        <v>4.4</v>
      </c>
      <c r="H17" s="3" t="n">
        <v>4.4</v>
      </c>
      <c r="I17" s="3" t="n">
        <v>4.4</v>
      </c>
      <c r="J17" s="3" t="n">
        <v>4.4</v>
      </c>
      <c r="K17" s="3" t="n">
        <v>4.4</v>
      </c>
      <c r="L17" s="3" t="n">
        <v>4.4</v>
      </c>
    </row>
    <row r="18" customFormat="false" ht="15" hidden="false" customHeight="false" outlineLevel="0" collapsed="false">
      <c r="A18" s="0" t="s">
        <v>111</v>
      </c>
      <c r="C18" s="3" t="n">
        <v>4</v>
      </c>
      <c r="D18" s="3" t="n">
        <v>4.5</v>
      </c>
      <c r="E18" s="3" t="n">
        <v>4.6</v>
      </c>
      <c r="F18" s="3" t="n">
        <v>4.6</v>
      </c>
      <c r="G18" s="3" t="n">
        <v>4.6</v>
      </c>
      <c r="H18" s="3" t="n">
        <v>4.6</v>
      </c>
      <c r="I18" s="3" t="n">
        <v>4.6</v>
      </c>
      <c r="J18" s="3" t="n">
        <v>4.6</v>
      </c>
      <c r="K18" s="3" t="n">
        <v>4.6</v>
      </c>
      <c r="L18" s="3" t="n">
        <v>4.6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8.5</v>
      </c>
    </row>
    <row r="21" customFormat="false" ht="15" hidden="false" customHeight="false" outlineLevel="0" collapsed="false">
      <c r="A21" s="0" t="s">
        <v>114</v>
      </c>
      <c r="B21" s="3" t="n">
        <v>1.5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0.3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2.9</v>
      </c>
      <c r="D27" s="3" t="n">
        <v>2</v>
      </c>
      <c r="E27" s="3" t="n">
        <v>3</v>
      </c>
      <c r="F27" s="3" t="n">
        <v>3</v>
      </c>
      <c r="G27" s="3" t="n">
        <v>3</v>
      </c>
      <c r="H27" s="3" t="n">
        <v>2.8</v>
      </c>
      <c r="I27" s="3" t="n">
        <v>2.6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12.5</v>
      </c>
      <c r="D28" s="3" t="n">
        <v>13.6</v>
      </c>
      <c r="E28" s="3" t="n">
        <v>14.2</v>
      </c>
      <c r="F28" s="3" t="n">
        <v>14.5</v>
      </c>
      <c r="G28" s="3" t="n">
        <v>14.5</v>
      </c>
      <c r="H28" s="3" t="n">
        <v>14.5</v>
      </c>
      <c r="I28" s="3" t="n">
        <v>14.5</v>
      </c>
      <c r="J28" s="3" t="n">
        <v>14.5</v>
      </c>
      <c r="K28" s="3" t="n">
        <v>14.5</v>
      </c>
      <c r="L28" s="3" t="n">
        <v>14.5</v>
      </c>
    </row>
    <row r="29" customFormat="false" ht="15" hidden="false" customHeight="false" outlineLevel="0" collapsed="false">
      <c r="A29" s="0" t="s">
        <v>108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4.3</v>
      </c>
      <c r="D31" s="3" t="n">
        <v>4.3</v>
      </c>
      <c r="E31" s="3" t="n">
        <v>4.3</v>
      </c>
      <c r="F31" s="3" t="n">
        <v>4.3</v>
      </c>
      <c r="G31" s="3" t="n">
        <v>4.3</v>
      </c>
      <c r="H31" s="3" t="n">
        <v>4.3</v>
      </c>
      <c r="I31" s="3" t="n">
        <v>4.3</v>
      </c>
      <c r="J31" s="3" t="n">
        <v>4.3</v>
      </c>
      <c r="K31" s="3" t="n">
        <v>4.3</v>
      </c>
      <c r="L31" s="3" t="n">
        <v>4.3</v>
      </c>
    </row>
    <row r="32" customFormat="false" ht="15" hidden="false" customHeight="false" outlineLevel="0" collapsed="false">
      <c r="A32" s="0" t="s">
        <v>111</v>
      </c>
      <c r="C32" s="3" t="n">
        <v>4</v>
      </c>
      <c r="D32" s="3" t="n">
        <v>4.4</v>
      </c>
      <c r="E32" s="3" t="n">
        <v>4.6</v>
      </c>
      <c r="F32" s="3" t="n">
        <v>4.6</v>
      </c>
      <c r="G32" s="3" t="n">
        <v>4.6</v>
      </c>
      <c r="H32" s="3" t="n">
        <v>4.6</v>
      </c>
      <c r="I32" s="3" t="n">
        <v>4.6</v>
      </c>
      <c r="J32" s="3" t="n">
        <v>4.6</v>
      </c>
      <c r="K32" s="3" t="n">
        <v>4.6</v>
      </c>
      <c r="L32" s="3" t="n">
        <v>4.6</v>
      </c>
    </row>
    <row r="33" customFormat="false" ht="15" hidden="false" customHeight="false" outlineLevel="0" collapsed="false">
      <c r="A33" s="0" t="s">
        <v>112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2</v>
      </c>
    </row>
    <row r="36" customFormat="false" ht="15" hidden="false" customHeight="false" outlineLevel="0" collapsed="false">
      <c r="A36" s="0" t="s">
        <v>115</v>
      </c>
      <c r="B36" s="3" t="n">
        <v>13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3.5</v>
      </c>
      <c r="D41" s="3" t="n">
        <v>4</v>
      </c>
      <c r="E41" s="3" t="n">
        <v>4.5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107</v>
      </c>
      <c r="C42" s="3" t="n">
        <v>12.8</v>
      </c>
      <c r="D42" s="3" t="n">
        <v>14.3</v>
      </c>
      <c r="E42" s="3" t="n">
        <v>15.3</v>
      </c>
      <c r="F42" s="3" t="n">
        <v>15.8</v>
      </c>
      <c r="G42" s="3" t="n">
        <v>16</v>
      </c>
      <c r="H42" s="3" t="n">
        <v>16</v>
      </c>
      <c r="I42" s="3" t="n">
        <v>16</v>
      </c>
      <c r="J42" s="3" t="n">
        <v>16</v>
      </c>
      <c r="K42" s="3" t="n">
        <v>16</v>
      </c>
      <c r="L42" s="3" t="n">
        <v>16</v>
      </c>
    </row>
    <row r="43" customFormat="false" ht="15" hidden="false" customHeight="false" outlineLevel="0" collapsed="false">
      <c r="A43" s="0" t="s">
        <v>108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4.3</v>
      </c>
      <c r="D45" s="3" t="n">
        <v>4.3</v>
      </c>
      <c r="E45" s="3" t="n">
        <v>4.3</v>
      </c>
      <c r="F45" s="3" t="n">
        <v>4.3</v>
      </c>
      <c r="G45" s="3" t="n">
        <v>4.3</v>
      </c>
      <c r="H45" s="3" t="n">
        <v>4.3</v>
      </c>
      <c r="I45" s="3" t="n">
        <v>4.3</v>
      </c>
      <c r="J45" s="3" t="n">
        <v>4.3</v>
      </c>
      <c r="K45" s="3" t="n">
        <v>4.3</v>
      </c>
      <c r="L45" s="3" t="n">
        <v>4.3</v>
      </c>
    </row>
    <row r="46" customFormat="false" ht="15" hidden="false" customHeight="false" outlineLevel="0" collapsed="false">
      <c r="A46" s="0" t="s">
        <v>111</v>
      </c>
      <c r="C46" s="3" t="n">
        <v>4</v>
      </c>
      <c r="D46" s="3" t="n">
        <v>4.6</v>
      </c>
      <c r="E46" s="3" t="n">
        <v>4.8</v>
      </c>
      <c r="F46" s="3" t="n">
        <v>4.8</v>
      </c>
      <c r="G46" s="3" t="n">
        <v>4.7</v>
      </c>
      <c r="H46" s="3" t="n">
        <v>4.6</v>
      </c>
      <c r="I46" s="3" t="n">
        <v>4.6</v>
      </c>
      <c r="J46" s="3" t="n">
        <v>4.6</v>
      </c>
      <c r="K46" s="3" t="n">
        <v>4.6</v>
      </c>
      <c r="L46" s="3" t="n">
        <v>4.6</v>
      </c>
    </row>
    <row r="47" customFormat="false" ht="15" hidden="false" customHeight="false" outlineLevel="0" collapsed="false">
      <c r="A47" s="0" t="s">
        <v>112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8.5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14</v>
      </c>
    </row>
    <row r="51" customFormat="false" ht="15" hidden="false" customHeight="false" outlineLevel="0" collapsed="false">
      <c r="A51" s="0" t="s">
        <v>116</v>
      </c>
      <c r="B51" s="3" t="n">
        <v>-5</v>
      </c>
    </row>
    <row r="52" customFormat="false" ht="15" hidden="false" customHeight="false" outlineLevel="0" collapsed="false">
      <c r="A52" s="0" t="s">
        <v>117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2</v>
      </c>
      <c r="D5" s="4" t="n">
        <f aca="false">Assumptions!D13</f>
        <v>-1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88661</v>
      </c>
      <c r="C6" s="0" t="n">
        <f aca="false">B6*(1+C5/100)</f>
        <v>90434.22</v>
      </c>
      <c r="D6" s="0" t="n">
        <f aca="false">C6*(1+D5/100)</f>
        <v>89529.8778</v>
      </c>
      <c r="E6" s="0" t="n">
        <f aca="false">D6*(1+E5/100)</f>
        <v>90425.176578</v>
      </c>
      <c r="F6" s="0" t="n">
        <f aca="false">E6*(1+F5/100)</f>
        <v>91781.55422667</v>
      </c>
      <c r="G6" s="0" t="n">
        <f aca="false">F6*(1+G5/100)</f>
        <v>93158.27754007</v>
      </c>
      <c r="H6" s="0" t="n">
        <f aca="false">G6*(1+H5/100)</f>
        <v>94555.6517031711</v>
      </c>
      <c r="I6" s="0" t="n">
        <f aca="false">H6*(1+I5/100)</f>
        <v>95973.9864787186</v>
      </c>
      <c r="J6" s="0" t="n">
        <f aca="false">I6*(1+J5/100)</f>
        <v>97413.5962758994</v>
      </c>
      <c r="K6" s="0" t="n">
        <f aca="false">J6*(1+K5/100)</f>
        <v>98874.8002200379</v>
      </c>
      <c r="L6" s="0" t="n">
        <f aca="false">K6*(1+L5/100)</f>
        <v>100357.922223338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11.8</v>
      </c>
      <c r="D7" s="4" t="n">
        <f aca="false">Assumptions!D14</f>
        <v>12.2</v>
      </c>
      <c r="E7" s="4" t="n">
        <f aca="false">Assumptions!E14</f>
        <v>12.5</v>
      </c>
      <c r="F7" s="4" t="n">
        <f aca="false">Assumptions!F14</f>
        <v>12.5</v>
      </c>
      <c r="G7" s="4" t="n">
        <f aca="false">Assumptions!G14</f>
        <v>12.5</v>
      </c>
      <c r="H7" s="4" t="n">
        <f aca="false">Assumptions!H14</f>
        <v>12.5</v>
      </c>
      <c r="I7" s="4" t="n">
        <f aca="false">Assumptions!I14</f>
        <v>12.5</v>
      </c>
      <c r="J7" s="4" t="n">
        <f aca="false">Assumptions!J14</f>
        <v>12.5</v>
      </c>
      <c r="K7" s="4" t="n">
        <f aca="false">Assumptions!K14</f>
        <v>12.5</v>
      </c>
      <c r="L7" s="4" t="n">
        <f aca="false">Assumptions!L14</f>
        <v>12.5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10671.23796</v>
      </c>
      <c r="D8" s="0" t="n">
        <f aca="false">D6*D7/100</f>
        <v>10922.6450916</v>
      </c>
      <c r="E8" s="0" t="n">
        <f aca="false">E6*E7/100</f>
        <v>11303.14707225</v>
      </c>
      <c r="F8" s="0" t="n">
        <f aca="false">F6*F7/100</f>
        <v>11472.6942783337</v>
      </c>
      <c r="G8" s="0" t="n">
        <f aca="false">G6*G7/100</f>
        <v>11644.7846925088</v>
      </c>
      <c r="H8" s="0" t="n">
        <f aca="false">H6*H7/100</f>
        <v>11819.4564628964</v>
      </c>
      <c r="I8" s="0" t="n">
        <f aca="false">I6*I7/100</f>
        <v>11996.7483098398</v>
      </c>
      <c r="J8" s="0" t="n">
        <f aca="false">J6*J7/100</f>
        <v>12176.6995344874</v>
      </c>
      <c r="K8" s="0" t="n">
        <f aca="false">K6*K7/100</f>
        <v>12359.3500275047</v>
      </c>
      <c r="L8" s="0" t="n">
        <f aca="false">L6*L7/100</f>
        <v>12544.7402779173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-90.43422</v>
      </c>
      <c r="D10" s="0" t="n">
        <f aca="false">-D6*D9/100</f>
        <v>-89.5298778</v>
      </c>
      <c r="E10" s="0" t="n">
        <f aca="false">-E6*E9/100</f>
        <v>-90.425176578</v>
      </c>
      <c r="F10" s="0" t="n">
        <f aca="false">-F6*F9/100</f>
        <v>-91.78155422667</v>
      </c>
      <c r="G10" s="0" t="n">
        <f aca="false">-G6*G9/100</f>
        <v>-93.15827754007</v>
      </c>
      <c r="H10" s="0" t="n">
        <f aca="false">-H6*H9/100</f>
        <v>-94.5556517031711</v>
      </c>
      <c r="I10" s="0" t="n">
        <f aca="false">-I6*I9/100</f>
        <v>-95.9739864787186</v>
      </c>
      <c r="J10" s="0" t="n">
        <f aca="false">-J6*J9/100</f>
        <v>-97.4135962758994</v>
      </c>
      <c r="K10" s="0" t="n">
        <f aca="false">-K6*K9/100</f>
        <v>-98.8748002200379</v>
      </c>
      <c r="L10" s="0" t="n">
        <f aca="false">-L6*L9/100</f>
        <v>-100.357922223338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10580.80374</v>
      </c>
      <c r="D11" s="0" t="n">
        <f aca="false">D8+D10+D24</f>
        <v>10833.1152138</v>
      </c>
      <c r="E11" s="0" t="n">
        <f aca="false">E8+E10+E24</f>
        <v>11212.721895672</v>
      </c>
      <c r="F11" s="0" t="n">
        <f aca="false">F8+F10+F24</f>
        <v>11380.9127241071</v>
      </c>
      <c r="G11" s="0" t="n">
        <f aca="false">G8+G10+G24</f>
        <v>11551.6264149687</v>
      </c>
      <c r="H11" s="0" t="n">
        <f aca="false">H8+H10+H24</f>
        <v>11724.9008111932</v>
      </c>
      <c r="I11" s="0" t="n">
        <f aca="false">I8+I10+I24</f>
        <v>11900.7743233611</v>
      </c>
      <c r="J11" s="0" t="n">
        <f aca="false">J8+J10+J24</f>
        <v>12079.2859382115</v>
      </c>
      <c r="K11" s="0" t="n">
        <f aca="false">K8+K10+K24</f>
        <v>12260.4752272847</v>
      </c>
      <c r="L11" s="0" t="n">
        <f aca="false">L8+L10+L24</f>
        <v>12444.382355694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-3888.67146</v>
      </c>
      <c r="D12" s="4" t="n">
        <f aca="false">-D6*Assumptions!D17/100</f>
        <v>-3939.3146232</v>
      </c>
      <c r="E12" s="4" t="n">
        <f aca="false">-E6*Assumptions!E17/100</f>
        <v>-3978.707769432</v>
      </c>
      <c r="F12" s="4" t="n">
        <f aca="false">-F6*Assumptions!F17/100</f>
        <v>-4038.38838597348</v>
      </c>
      <c r="G12" s="4" t="n">
        <f aca="false">-G6*Assumptions!G17/100</f>
        <v>-4098.96421176308</v>
      </c>
      <c r="H12" s="4" t="n">
        <f aca="false">-H6*Assumptions!H17/100</f>
        <v>-4160.44867493953</v>
      </c>
      <c r="I12" s="4" t="n">
        <f aca="false">-I6*Assumptions!I17/100</f>
        <v>-4222.85540506362</v>
      </c>
      <c r="J12" s="4" t="n">
        <f aca="false">-J6*Assumptions!J17/100</f>
        <v>-4286.19823613957</v>
      </c>
      <c r="K12" s="4" t="n">
        <f aca="false">-K6*Assumptions!K17/100</f>
        <v>-4350.49120968167</v>
      </c>
      <c r="L12" s="4" t="n">
        <f aca="false">-L6*Assumptions!L17/100</f>
        <v>-4415.74857782689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6692.13228</v>
      </c>
      <c r="D13" s="0" t="n">
        <f aca="false">D11+D12</f>
        <v>6893.8005906</v>
      </c>
      <c r="E13" s="0" t="n">
        <f aca="false">E11+E12</f>
        <v>7234.01412624</v>
      </c>
      <c r="F13" s="0" t="n">
        <f aca="false">F11+F12</f>
        <v>7342.5243381336</v>
      </c>
      <c r="G13" s="0" t="n">
        <f aca="false">G11+G12</f>
        <v>7452.66220320561</v>
      </c>
      <c r="H13" s="0" t="n">
        <f aca="false">H11+H12</f>
        <v>7564.45213625368</v>
      </c>
      <c r="I13" s="0" t="n">
        <f aca="false">I11+I12</f>
        <v>7677.91891829749</v>
      </c>
      <c r="J13" s="0" t="n">
        <f aca="false">J11+J12</f>
        <v>7793.08770207195</v>
      </c>
      <c r="K13" s="0" t="n">
        <f aca="false">K11+K12</f>
        <v>7909.98401760303</v>
      </c>
      <c r="L13" s="0" t="n">
        <f aca="false">L11+L12</f>
        <v>8028.63377786707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5086.0205328</v>
      </c>
      <c r="D15" s="0" t="n">
        <f aca="false">D13-MAX(0,D13)*D14/100</f>
        <v>5239.288448856</v>
      </c>
      <c r="E15" s="0" t="n">
        <f aca="false">E13-MAX(0,E13)*E14/100</f>
        <v>5497.8507359424</v>
      </c>
      <c r="F15" s="0" t="n">
        <f aca="false">F13-MAX(0,F13)*F14/100</f>
        <v>5580.31849698154</v>
      </c>
      <c r="G15" s="0" t="n">
        <f aca="false">G13-MAX(0,G13)*G14/100</f>
        <v>5664.02327443626</v>
      </c>
      <c r="H15" s="0" t="n">
        <f aca="false">H13-MAX(0,H13)*H14/100</f>
        <v>5748.9836235528</v>
      </c>
      <c r="I15" s="0" t="n">
        <f aca="false">I13-MAX(0,I13)*I14/100</f>
        <v>5835.21837790609</v>
      </c>
      <c r="J15" s="0" t="n">
        <f aca="false">J13-MAX(0,J13)*J14/100</f>
        <v>5922.74665357468</v>
      </c>
      <c r="K15" s="0" t="n">
        <f aca="false">K13-MAX(0,K13)*K14/100</f>
        <v>6011.5878533783</v>
      </c>
      <c r="L15" s="0" t="n">
        <f aca="false">L13-MAX(0,L13)*L14/100</f>
        <v>6101.76167117898</v>
      </c>
    </row>
    <row r="16" customFormat="false" ht="15" hidden="false" customHeight="false" outlineLevel="0" collapsed="false">
      <c r="A16" s="0" t="s">
        <v>128</v>
      </c>
      <c r="C16" s="0" t="n">
        <f aca="false">-C12</f>
        <v>3888.67146</v>
      </c>
      <c r="D16" s="0" t="n">
        <f aca="false">-D12</f>
        <v>3939.3146232</v>
      </c>
      <c r="E16" s="0" t="n">
        <f aca="false">-E12</f>
        <v>3978.707769432</v>
      </c>
      <c r="F16" s="0" t="n">
        <f aca="false">-F12</f>
        <v>4038.38838597348</v>
      </c>
      <c r="G16" s="0" t="n">
        <f aca="false">-G12</f>
        <v>4098.96421176308</v>
      </c>
      <c r="H16" s="0" t="n">
        <f aca="false">-H12</f>
        <v>4160.44867493953</v>
      </c>
      <c r="I16" s="0" t="n">
        <f aca="false">-I12</f>
        <v>4222.85540506362</v>
      </c>
      <c r="J16" s="0" t="n">
        <f aca="false">-J12</f>
        <v>4286.19823613957</v>
      </c>
      <c r="K16" s="0" t="n">
        <f aca="false">-K12</f>
        <v>4350.49120968167</v>
      </c>
      <c r="L16" s="0" t="n">
        <f aca="false">-L12</f>
        <v>4415.74857782689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-3617.3688</v>
      </c>
      <c r="D17" s="4" t="n">
        <f aca="false">-D6*Assumptions!D18/100</f>
        <v>-4028.844501</v>
      </c>
      <c r="E17" s="4" t="n">
        <f aca="false">-E6*Assumptions!E18/100</f>
        <v>-4159.558122588</v>
      </c>
      <c r="F17" s="4" t="n">
        <f aca="false">-F6*Assumptions!F18/100</f>
        <v>-4221.95149442682</v>
      </c>
      <c r="G17" s="4" t="n">
        <f aca="false">-G6*Assumptions!G18/100</f>
        <v>-4285.28076684322</v>
      </c>
      <c r="H17" s="4" t="n">
        <f aca="false">-H6*Assumptions!H18/100</f>
        <v>-4349.55997834587</v>
      </c>
      <c r="I17" s="4" t="n">
        <f aca="false">-I6*Assumptions!I18/100</f>
        <v>-4414.80337802106</v>
      </c>
      <c r="J17" s="4" t="n">
        <f aca="false">-J6*Assumptions!J18/100</f>
        <v>-4481.02542869137</v>
      </c>
      <c r="K17" s="4" t="n">
        <f aca="false">-K6*Assumptions!K18/100</f>
        <v>-4548.24081012174</v>
      </c>
      <c r="L17" s="4" t="n">
        <f aca="false">-L6*Assumptions!L18/100</f>
        <v>-4616.46442227357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-88.6610000000001</v>
      </c>
      <c r="D18" s="4" t="n">
        <f aca="false">(D6-C6)*Assumptions!$B$23/100</f>
        <v>45.21711</v>
      </c>
      <c r="E18" s="4" t="n">
        <f aca="false">(E6-D6)*Assumptions!$B$23/100</f>
        <v>-44.7649388999998</v>
      </c>
      <c r="F18" s="4" t="n">
        <f aca="false">(F6-E6)*Assumptions!$B$23/100</f>
        <v>-67.8188824334997</v>
      </c>
      <c r="G18" s="4" t="n">
        <f aca="false">(G6-F6)*Assumptions!$B$23/100</f>
        <v>-68.8361656700021</v>
      </c>
      <c r="H18" s="4" t="n">
        <f aca="false">(H6-G6)*Assumptions!$B$23/100</f>
        <v>-69.8687081550517</v>
      </c>
      <c r="I18" s="4" t="n">
        <f aca="false">(I6-H6)*Assumptions!$B$23/100</f>
        <v>-70.9167387773778</v>
      </c>
      <c r="J18" s="4" t="n">
        <f aca="false">(J6-I6)*Assumptions!$B$23/100</f>
        <v>-71.9804898590388</v>
      </c>
      <c r="K18" s="4" t="n">
        <f aca="false">(K6-J6)*Assumptions!$B$23/100</f>
        <v>-73.0601972069242</v>
      </c>
      <c r="L18" s="4" t="n">
        <f aca="false">(L6-K6)*Assumptions!$B$23/100</f>
        <v>-74.1561001650276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5268.6621928</v>
      </c>
      <c r="D19" s="0" t="n">
        <f aca="false">D15+D16+D17+D18</f>
        <v>5194.975681056</v>
      </c>
      <c r="E19" s="0" t="n">
        <f aca="false">E15+E16+E17+E18</f>
        <v>5272.2354438864</v>
      </c>
      <c r="F19" s="0" t="n">
        <f aca="false">F15+F16+F17+F18</f>
        <v>5328.9365060947</v>
      </c>
      <c r="G19" s="0" t="n">
        <f aca="false">G15+G16+G17+G18</f>
        <v>5408.87055368612</v>
      </c>
      <c r="H19" s="0" t="n">
        <f aca="false">H15+H16+H17+H18</f>
        <v>5490.00361199141</v>
      </c>
      <c r="I19" s="0" t="n">
        <f aca="false">I15+I16+I17+I18</f>
        <v>5572.35366617128</v>
      </c>
      <c r="J19" s="0" t="n">
        <f aca="false">J15+J16+J17+J18</f>
        <v>5655.93897116384</v>
      </c>
      <c r="K19" s="0" t="n">
        <f aca="false">K15+K16+K17+K18</f>
        <v>5740.7780557313</v>
      </c>
      <c r="L19" s="0" t="n">
        <f aca="false">L15+L16+L17+L18</f>
        <v>5826.88972656727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4855.90985511521</v>
      </c>
      <c r="D21" s="0" t="n">
        <f aca="false">D19*D20</f>
        <v>4412.89955705664</v>
      </c>
      <c r="E21" s="0" t="n">
        <f aca="false">E19*E20</f>
        <v>4127.67582585219</v>
      </c>
      <c r="F21" s="0" t="n">
        <f aca="false">F19*F20</f>
        <v>3845.22354529465</v>
      </c>
      <c r="G21" s="0" t="n">
        <f aca="false">G19*G20</f>
        <v>3597.14460688854</v>
      </c>
      <c r="H21" s="0" t="n">
        <f aca="false">H19*H20</f>
        <v>3365.07076128283</v>
      </c>
      <c r="I21" s="0" t="n">
        <f aca="false">I19*I20</f>
        <v>3147.96942184523</v>
      </c>
      <c r="J21" s="0" t="n">
        <f aca="false">J19*J20</f>
        <v>2944.87462043586</v>
      </c>
      <c r="K21" s="0" t="n">
        <f aca="false">K19*K20</f>
        <v>2754.88270944</v>
      </c>
      <c r="L21" s="0" t="n">
        <f aca="false">L19*L20</f>
        <v>2577.14834108903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35628.7992443002</v>
      </c>
    </row>
    <row r="31" customFormat="false" ht="15" hidden="false" customHeight="false" outlineLevel="0" collapsed="false">
      <c r="A31" s="0" t="s">
        <v>137</v>
      </c>
      <c r="B31" s="0" t="n">
        <f aca="false">L19</f>
        <v>5826.88972656727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84489.9010352254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69922.6767188073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69922.6767188073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30925.7800930683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66554.5793373685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41872.5793373685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49.2039710192344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-0.471038797901157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613.108230140462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643.609256600451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50.6807248226902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43809.5783145613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15.5684006475325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2.9</v>
      </c>
      <c r="D5" s="4" t="n">
        <f aca="false">Assumptions!D27</f>
        <v>2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2.8</v>
      </c>
      <c r="I5" s="4" t="n">
        <f aca="false">Assumptions!I27</f>
        <v>2.6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88661</v>
      </c>
      <c r="C6" s="0" t="n">
        <f aca="false">B6*(1+C5/100)</f>
        <v>91232.169</v>
      </c>
      <c r="D6" s="0" t="n">
        <f aca="false">C6*(1+D5/100)</f>
        <v>93056.81238</v>
      </c>
      <c r="E6" s="0" t="n">
        <f aca="false">D6*(1+E5/100)</f>
        <v>95848.5167514</v>
      </c>
      <c r="F6" s="0" t="n">
        <f aca="false">E6*(1+F5/100)</f>
        <v>98723.972253942</v>
      </c>
      <c r="G6" s="0" t="n">
        <f aca="false">F6*(1+G5/100)</f>
        <v>101685.69142156</v>
      </c>
      <c r="H6" s="0" t="n">
        <f aca="false">G6*(1+H5/100)</f>
        <v>104532.890781364</v>
      </c>
      <c r="I6" s="0" t="n">
        <f aca="false">H6*(1+I5/100)</f>
        <v>107250.745941679</v>
      </c>
      <c r="J6" s="0" t="n">
        <f aca="false">I6*(1+J5/100)</f>
        <v>109932.014590221</v>
      </c>
      <c r="K6" s="0" t="n">
        <f aca="false">J6*(1+K5/100)</f>
        <v>112680.314954977</v>
      </c>
      <c r="L6" s="0" t="n">
        <f aca="false">K6*(1+L5/100)</f>
        <v>115497.322828851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12.5</v>
      </c>
      <c r="D7" s="4" t="n">
        <f aca="false">Assumptions!D28</f>
        <v>13.6</v>
      </c>
      <c r="E7" s="4" t="n">
        <f aca="false">Assumptions!E28</f>
        <v>14.2</v>
      </c>
      <c r="F7" s="4" t="n">
        <f aca="false">Assumptions!F28</f>
        <v>14.5</v>
      </c>
      <c r="G7" s="4" t="n">
        <f aca="false">Assumptions!G28</f>
        <v>14.5</v>
      </c>
      <c r="H7" s="4" t="n">
        <f aca="false">Assumptions!H28</f>
        <v>14.5</v>
      </c>
      <c r="I7" s="4" t="n">
        <f aca="false">Assumptions!I28</f>
        <v>14.5</v>
      </c>
      <c r="J7" s="4" t="n">
        <f aca="false">Assumptions!J28</f>
        <v>14.5</v>
      </c>
      <c r="K7" s="4" t="n">
        <f aca="false">Assumptions!K28</f>
        <v>14.5</v>
      </c>
      <c r="L7" s="4" t="n">
        <f aca="false">Assumptions!L28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11404.021125</v>
      </c>
      <c r="D8" s="0" t="n">
        <f aca="false">D6*D7/100</f>
        <v>12655.72648368</v>
      </c>
      <c r="E8" s="0" t="n">
        <f aca="false">E6*E7/100</f>
        <v>13610.4893786988</v>
      </c>
      <c r="F8" s="0" t="n">
        <f aca="false">F6*F7/100</f>
        <v>14314.9759768216</v>
      </c>
      <c r="G8" s="0" t="n">
        <f aca="false">G6*G7/100</f>
        <v>14744.4252561262</v>
      </c>
      <c r="H8" s="0" t="n">
        <f aca="false">H6*H7/100</f>
        <v>15157.2691632978</v>
      </c>
      <c r="I8" s="0" t="n">
        <f aca="false">I6*I7/100</f>
        <v>15551.3581615435</v>
      </c>
      <c r="J8" s="0" t="n">
        <f aca="false">J6*J7/100</f>
        <v>15940.1421155821</v>
      </c>
      <c r="K8" s="0" t="n">
        <f aca="false">K6*K7/100</f>
        <v>16338.6456684717</v>
      </c>
      <c r="L8" s="0" t="n">
        <f aca="false">L6*L7/100</f>
        <v>16747.1118101834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-91.232169</v>
      </c>
      <c r="D10" s="0" t="n">
        <f aca="false">-D6*D9/100</f>
        <v>-93.05681238</v>
      </c>
      <c r="E10" s="0" t="n">
        <f aca="false">-E6*E9/100</f>
        <v>-95.8485167514</v>
      </c>
      <c r="F10" s="0" t="n">
        <f aca="false">-F6*F9/100</f>
        <v>-98.723972253942</v>
      </c>
      <c r="G10" s="0" t="n">
        <f aca="false">-G6*G9/100</f>
        <v>-101.68569142156</v>
      </c>
      <c r="H10" s="0" t="n">
        <f aca="false">-H6*H9/100</f>
        <v>-104.532890781364</v>
      </c>
      <c r="I10" s="0" t="n">
        <f aca="false">-I6*I9/100</f>
        <v>-107.250745941679</v>
      </c>
      <c r="J10" s="0" t="n">
        <f aca="false">-J6*J9/100</f>
        <v>-109.932014590221</v>
      </c>
      <c r="K10" s="0" t="n">
        <f aca="false">-K6*K9/100</f>
        <v>-112.680314954977</v>
      </c>
      <c r="L10" s="0" t="n">
        <f aca="false">-L6*L9/100</f>
        <v>-115.497322828851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11312.788956</v>
      </c>
      <c r="D11" s="0" t="n">
        <f aca="false">D8+D10+D24</f>
        <v>12562.6696713</v>
      </c>
      <c r="E11" s="0" t="n">
        <f aca="false">E8+E10+E24</f>
        <v>13514.6408619474</v>
      </c>
      <c r="F11" s="0" t="n">
        <f aca="false">F8+F10+F24</f>
        <v>14216.2520045677</v>
      </c>
      <c r="G11" s="0" t="n">
        <f aca="false">G8+G10+G24</f>
        <v>14642.7395647047</v>
      </c>
      <c r="H11" s="0" t="n">
        <f aca="false">H8+H10+H24</f>
        <v>15052.7362725164</v>
      </c>
      <c r="I11" s="0" t="n">
        <f aca="false">I8+I10+I24</f>
        <v>15444.1074156018</v>
      </c>
      <c r="J11" s="0" t="n">
        <f aca="false">J8+J10+J24</f>
        <v>15830.2101009919</v>
      </c>
      <c r="K11" s="0" t="n">
        <f aca="false">K8+K10+K24</f>
        <v>16225.9653535167</v>
      </c>
      <c r="L11" s="0" t="n">
        <f aca="false">L8+L10+L24</f>
        <v>16631.6144873546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-3922.983267</v>
      </c>
      <c r="D12" s="4" t="n">
        <f aca="false">-D6*Assumptions!D31/100</f>
        <v>-4001.44293234</v>
      </c>
      <c r="E12" s="4" t="n">
        <f aca="false">-E6*Assumptions!E31/100</f>
        <v>-4121.4862203102</v>
      </c>
      <c r="F12" s="4" t="n">
        <f aca="false">-F6*Assumptions!F31/100</f>
        <v>-4245.13080691951</v>
      </c>
      <c r="G12" s="4" t="n">
        <f aca="false">-G6*Assumptions!G31/100</f>
        <v>-4372.48473112709</v>
      </c>
      <c r="H12" s="4" t="n">
        <f aca="false">-H6*Assumptions!H31/100</f>
        <v>-4494.91430359865</v>
      </c>
      <c r="I12" s="4" t="n">
        <f aca="false">-I6*Assumptions!I31/100</f>
        <v>-4611.78207549222</v>
      </c>
      <c r="J12" s="4" t="n">
        <f aca="false">-J6*Assumptions!J31/100</f>
        <v>-4727.07662737952</v>
      </c>
      <c r="K12" s="4" t="n">
        <f aca="false">-K6*Assumptions!K31/100</f>
        <v>-4845.25354306401</v>
      </c>
      <c r="L12" s="4" t="n">
        <f aca="false">-L6*Assumptions!L31/100</f>
        <v>-4966.38488164061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7389.805689</v>
      </c>
      <c r="D13" s="0" t="n">
        <f aca="false">D11+D12</f>
        <v>8561.22673896</v>
      </c>
      <c r="E13" s="0" t="n">
        <f aca="false">E11+E12</f>
        <v>9393.1546416372</v>
      </c>
      <c r="F13" s="0" t="n">
        <f aca="false">F11+F12</f>
        <v>9971.12119764815</v>
      </c>
      <c r="G13" s="0" t="n">
        <f aca="false">G11+G12</f>
        <v>10270.2548335776</v>
      </c>
      <c r="H13" s="0" t="n">
        <f aca="false">H11+H12</f>
        <v>10557.8219689178</v>
      </c>
      <c r="I13" s="0" t="n">
        <f aca="false">I11+I12</f>
        <v>10832.3253401096</v>
      </c>
      <c r="J13" s="0" t="n">
        <f aca="false">J11+J12</f>
        <v>11103.1334736124</v>
      </c>
      <c r="K13" s="0" t="n">
        <f aca="false">K11+K12</f>
        <v>11380.7118104527</v>
      </c>
      <c r="L13" s="0" t="n">
        <f aca="false">L11+L12</f>
        <v>11665.229605714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5616.25232364</v>
      </c>
      <c r="D15" s="0" t="n">
        <f aca="false">D13-MAX(0,D13)*D14/100</f>
        <v>6506.5323216096</v>
      </c>
      <c r="E15" s="0" t="n">
        <f aca="false">E13-MAX(0,E13)*E14/100</f>
        <v>7138.79752764427</v>
      </c>
      <c r="F15" s="0" t="n">
        <f aca="false">F13-MAX(0,F13)*F14/100</f>
        <v>7578.05211021259</v>
      </c>
      <c r="G15" s="0" t="n">
        <f aca="false">G13-MAX(0,G13)*G14/100</f>
        <v>7805.39367351896</v>
      </c>
      <c r="H15" s="0" t="n">
        <f aca="false">H13-MAX(0,H13)*H14/100</f>
        <v>8023.9446963775</v>
      </c>
      <c r="I15" s="0" t="n">
        <f aca="false">I13-MAX(0,I13)*I14/100</f>
        <v>8232.56725848331</v>
      </c>
      <c r="J15" s="0" t="n">
        <f aca="false">J13-MAX(0,J13)*J14/100</f>
        <v>8438.38143994539</v>
      </c>
      <c r="K15" s="0" t="n">
        <f aca="false">K13-MAX(0,K13)*K14/100</f>
        <v>8649.34097594403</v>
      </c>
      <c r="L15" s="0" t="n">
        <f aca="false">L13-MAX(0,L13)*L14/100</f>
        <v>8865.57450034263</v>
      </c>
    </row>
    <row r="16" customFormat="false" ht="15" hidden="false" customHeight="false" outlineLevel="0" collapsed="false">
      <c r="A16" s="0" t="s">
        <v>128</v>
      </c>
      <c r="C16" s="0" t="n">
        <f aca="false">-C12</f>
        <v>3922.983267</v>
      </c>
      <c r="D16" s="0" t="n">
        <f aca="false">-D12</f>
        <v>4001.44293234</v>
      </c>
      <c r="E16" s="0" t="n">
        <f aca="false">-E12</f>
        <v>4121.4862203102</v>
      </c>
      <c r="F16" s="0" t="n">
        <f aca="false">-F12</f>
        <v>4245.13080691951</v>
      </c>
      <c r="G16" s="0" t="n">
        <f aca="false">-G12</f>
        <v>4372.48473112709</v>
      </c>
      <c r="H16" s="0" t="n">
        <f aca="false">-H12</f>
        <v>4494.91430359865</v>
      </c>
      <c r="I16" s="0" t="n">
        <f aca="false">-I12</f>
        <v>4611.78207549222</v>
      </c>
      <c r="J16" s="0" t="n">
        <f aca="false">-J12</f>
        <v>4727.07662737952</v>
      </c>
      <c r="K16" s="0" t="n">
        <f aca="false">-K12</f>
        <v>4845.25354306401</v>
      </c>
      <c r="L16" s="0" t="n">
        <f aca="false">-L12</f>
        <v>4966.38488164061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-3649.28676</v>
      </c>
      <c r="D17" s="4" t="n">
        <f aca="false">-D6*Assumptions!D32/100</f>
        <v>-4094.49974472</v>
      </c>
      <c r="E17" s="4" t="n">
        <f aca="false">-E6*Assumptions!E32/100</f>
        <v>-4409.0317705644</v>
      </c>
      <c r="F17" s="4" t="n">
        <f aca="false">-F6*Assumptions!F32/100</f>
        <v>-4541.30272368133</v>
      </c>
      <c r="G17" s="4" t="n">
        <f aca="false">-G6*Assumptions!G32/100</f>
        <v>-4677.54180539177</v>
      </c>
      <c r="H17" s="4" t="n">
        <f aca="false">-H6*Assumptions!H32/100</f>
        <v>-4808.51297594274</v>
      </c>
      <c r="I17" s="4" t="n">
        <f aca="false">-I6*Assumptions!I32/100</f>
        <v>-4933.53431331725</v>
      </c>
      <c r="J17" s="4" t="n">
        <f aca="false">-J6*Assumptions!J32/100</f>
        <v>-5056.87267115018</v>
      </c>
      <c r="K17" s="4" t="n">
        <f aca="false">-K6*Assumptions!K32/100</f>
        <v>-5183.29448792894</v>
      </c>
      <c r="L17" s="4" t="n">
        <f aca="false">-L6*Assumptions!L32/100</f>
        <v>-5312.87685012716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-128.55845</v>
      </c>
      <c r="D18" s="4" t="n">
        <f aca="false">(D6-C6)*Assumptions!$B$37/100</f>
        <v>-91.2321690000004</v>
      </c>
      <c r="E18" s="4" t="n">
        <f aca="false">(E6-D6)*Assumptions!$B$37/100</f>
        <v>-139.58521857</v>
      </c>
      <c r="F18" s="4" t="n">
        <f aca="false">(F6-E6)*Assumptions!$B$37/100</f>
        <v>-143.7727751271</v>
      </c>
      <c r="G18" s="4" t="n">
        <f aca="false">(G6-F6)*Assumptions!$B$37/100</f>
        <v>-148.085958380913</v>
      </c>
      <c r="H18" s="4" t="n">
        <f aca="false">(H6-G6)*Assumptions!$B$37/100</f>
        <v>-142.359967990185</v>
      </c>
      <c r="I18" s="4" t="n">
        <f aca="false">(I6-H6)*Assumptions!$B$37/100</f>
        <v>-135.892758015773</v>
      </c>
      <c r="J18" s="4" t="n">
        <f aca="false">(J6-I6)*Assumptions!$B$37/100</f>
        <v>-134.063432427098</v>
      </c>
      <c r="K18" s="4" t="n">
        <f aca="false">(K6-J6)*Assumptions!$B$37/100</f>
        <v>-137.415018237777</v>
      </c>
      <c r="L18" s="4" t="n">
        <f aca="false">(L6-K6)*Assumptions!$B$37/100</f>
        <v>-140.850393693721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5761.39038064</v>
      </c>
      <c r="D19" s="0" t="n">
        <f aca="false">D15+D16+D17+D18</f>
        <v>6322.2433402296</v>
      </c>
      <c r="E19" s="0" t="n">
        <f aca="false">E15+E16+E17+E18</f>
        <v>6711.66675882007</v>
      </c>
      <c r="F19" s="0" t="n">
        <f aca="false">F15+F16+F17+F18</f>
        <v>7138.10741832366</v>
      </c>
      <c r="G19" s="0" t="n">
        <f aca="false">G15+G16+G17+G18</f>
        <v>7352.25064087337</v>
      </c>
      <c r="H19" s="0" t="n">
        <f aca="false">H15+H16+H17+H18</f>
        <v>7567.98605604322</v>
      </c>
      <c r="I19" s="0" t="n">
        <f aca="false">I15+I16+I17+I18</f>
        <v>7774.9222626425</v>
      </c>
      <c r="J19" s="0" t="n">
        <f aca="false">J15+J16+J17+J18</f>
        <v>7974.52196374763</v>
      </c>
      <c r="K19" s="0" t="n">
        <f aca="false">K15+K16+K17+K18</f>
        <v>8173.88501284132</v>
      </c>
      <c r="L19" s="0" t="n">
        <f aca="false">L15+L16+L17+L18</f>
        <v>8378.23213816236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5310.03721717972</v>
      </c>
      <c r="D21" s="0" t="n">
        <f aca="false">D19*D20</f>
        <v>5370.46302977732</v>
      </c>
      <c r="E21" s="0" t="n">
        <f aca="false">E19*E20</f>
        <v>5254.61825944856</v>
      </c>
      <c r="F21" s="0" t="n">
        <f aca="false">F19*F20</f>
        <v>5150.67475140467</v>
      </c>
      <c r="G21" s="0" t="n">
        <f aca="false">G19*G20</f>
        <v>4889.58063958231</v>
      </c>
      <c r="H21" s="0" t="n">
        <f aca="false">H19*H20</f>
        <v>4638.75989869332</v>
      </c>
      <c r="I21" s="0" t="n">
        <f aca="false">I19*I20</f>
        <v>4392.25846137635</v>
      </c>
      <c r="J21" s="0" t="n">
        <f aca="false">J19*J20</f>
        <v>4152.08994667004</v>
      </c>
      <c r="K21" s="0" t="n">
        <f aca="false">K19*K20</f>
        <v>3922.4812860247</v>
      </c>
      <c r="L21" s="0" t="n">
        <f aca="false">L19*L20</f>
        <v>3705.56987850259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46786.5333686596</v>
      </c>
    </row>
    <row r="31" customFormat="false" ht="15" hidden="false" customHeight="false" outlineLevel="0" collapsed="false">
      <c r="A31" s="0" t="s">
        <v>137</v>
      </c>
      <c r="B31" s="0" t="n">
        <f aca="false">L19</f>
        <v>8378.23213816236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131473.796629625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108917.017796111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108917.017796111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48172.4084205337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94958.9417891933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70276.9417891933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82.5816002223188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-0.112216725195455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664.091123309122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801.606722927215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84.3039243659572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65736.8983148123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31.3787705082834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3.5</v>
      </c>
      <c r="D5" s="4" t="n">
        <f aca="false">Assumptions!D41</f>
        <v>4</v>
      </c>
      <c r="E5" s="4" t="n">
        <f aca="false">Assumptions!E41</f>
        <v>4.5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88661</v>
      </c>
      <c r="C6" s="0" t="n">
        <f aca="false">B6*(1+C5/100)</f>
        <v>91764.135</v>
      </c>
      <c r="D6" s="0" t="n">
        <f aca="false">C6*(1+D5/100)</f>
        <v>95434.7004</v>
      </c>
      <c r="E6" s="0" t="n">
        <f aca="false">D6*(1+E5/100)</f>
        <v>99729.261918</v>
      </c>
      <c r="F6" s="0" t="n">
        <f aca="false">E6*(1+F5/100)</f>
        <v>104217.07870431</v>
      </c>
      <c r="G6" s="0" t="n">
        <f aca="false">F6*(1+G5/100)</f>
        <v>108385.761852482</v>
      </c>
      <c r="H6" s="0" t="n">
        <f aca="false">G6*(1+H5/100)</f>
        <v>112179.263517319</v>
      </c>
      <c r="I6" s="0" t="n">
        <f aca="false">H6*(1+I5/100)</f>
        <v>115544.641422839</v>
      </c>
      <c r="J6" s="0" t="n">
        <f aca="false">I6*(1+J5/100)</f>
        <v>119010.980665524</v>
      </c>
      <c r="K6" s="0" t="n">
        <f aca="false">J6*(1+K5/100)</f>
        <v>121986.255182162</v>
      </c>
      <c r="L6" s="0" t="n">
        <f aca="false">K6*(1+L5/100)</f>
        <v>125035.911561716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12.8</v>
      </c>
      <c r="D7" s="4" t="n">
        <f aca="false">Assumptions!D42</f>
        <v>14.3</v>
      </c>
      <c r="E7" s="4" t="n">
        <f aca="false">Assumptions!E42</f>
        <v>15.3</v>
      </c>
      <c r="F7" s="4" t="n">
        <f aca="false">Assumptions!F42</f>
        <v>15.8</v>
      </c>
      <c r="G7" s="4" t="n">
        <f aca="false">Assumptions!G42</f>
        <v>16</v>
      </c>
      <c r="H7" s="4" t="n">
        <f aca="false">Assumptions!H42</f>
        <v>16</v>
      </c>
      <c r="I7" s="4" t="n">
        <f aca="false">Assumptions!I42</f>
        <v>16</v>
      </c>
      <c r="J7" s="4" t="n">
        <f aca="false">Assumptions!J42</f>
        <v>16</v>
      </c>
      <c r="K7" s="4" t="n">
        <f aca="false">Assumptions!K42</f>
        <v>16</v>
      </c>
      <c r="L7" s="4" t="n">
        <f aca="false">Assumptions!L42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11745.80928</v>
      </c>
      <c r="D8" s="0" t="n">
        <f aca="false">D6*D7/100</f>
        <v>13647.1621572</v>
      </c>
      <c r="E8" s="0" t="n">
        <f aca="false">E6*E7/100</f>
        <v>15258.577073454</v>
      </c>
      <c r="F8" s="0" t="n">
        <f aca="false">F6*F7/100</f>
        <v>16466.298435281</v>
      </c>
      <c r="G8" s="0" t="n">
        <f aca="false">G6*G7/100</f>
        <v>17341.7218963972</v>
      </c>
      <c r="H8" s="0" t="n">
        <f aca="false">H6*H7/100</f>
        <v>17948.6821627711</v>
      </c>
      <c r="I8" s="0" t="n">
        <f aca="false">I6*I7/100</f>
        <v>18487.1426276542</v>
      </c>
      <c r="J8" s="0" t="n">
        <f aca="false">J6*J7/100</f>
        <v>19041.7569064838</v>
      </c>
      <c r="K8" s="0" t="n">
        <f aca="false">K6*K7/100</f>
        <v>19517.8008291459</v>
      </c>
      <c r="L8" s="0" t="n">
        <f aca="false">L6*L7/100</f>
        <v>20005.7458498746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-91.764135</v>
      </c>
      <c r="D10" s="0" t="n">
        <f aca="false">-D6*D9/100</f>
        <v>-95.4347004</v>
      </c>
      <c r="E10" s="0" t="n">
        <f aca="false">-E6*E9/100</f>
        <v>-99.729261918</v>
      </c>
      <c r="F10" s="0" t="n">
        <f aca="false">-F6*F9/100</f>
        <v>-104.21707870431</v>
      </c>
      <c r="G10" s="0" t="n">
        <f aca="false">-G6*G9/100</f>
        <v>-108.385761852482</v>
      </c>
      <c r="H10" s="0" t="n">
        <f aca="false">-H6*H9/100</f>
        <v>-112.179263517319</v>
      </c>
      <c r="I10" s="0" t="n">
        <f aca="false">-I6*I9/100</f>
        <v>-115.544641422839</v>
      </c>
      <c r="J10" s="0" t="n">
        <f aca="false">-J6*J9/100</f>
        <v>-119.010980665524</v>
      </c>
      <c r="K10" s="0" t="n">
        <f aca="false">-K6*K9/100</f>
        <v>-121.986255182162</v>
      </c>
      <c r="L10" s="0" t="n">
        <f aca="false">-L6*L9/100</f>
        <v>-125.035911561716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11654.045145</v>
      </c>
      <c r="D11" s="0" t="n">
        <f aca="false">D8+D10+D24</f>
        <v>13551.7274568</v>
      </c>
      <c r="E11" s="0" t="n">
        <f aca="false">E8+E10+E24</f>
        <v>15158.847811536</v>
      </c>
      <c r="F11" s="0" t="n">
        <f aca="false">F8+F10+F24</f>
        <v>16362.0813565767</v>
      </c>
      <c r="G11" s="0" t="n">
        <f aca="false">G8+G10+G24</f>
        <v>17233.3361345447</v>
      </c>
      <c r="H11" s="0" t="n">
        <f aca="false">H8+H10+H24</f>
        <v>17836.5028992538</v>
      </c>
      <c r="I11" s="0" t="n">
        <f aca="false">I8+I10+I24</f>
        <v>18371.5979862314</v>
      </c>
      <c r="J11" s="0" t="n">
        <f aca="false">J8+J10+J24</f>
        <v>18922.7459258183</v>
      </c>
      <c r="K11" s="0" t="n">
        <f aca="false">K8+K10+K24</f>
        <v>19395.8145739638</v>
      </c>
      <c r="L11" s="0" t="n">
        <f aca="false">L8+L10+L24</f>
        <v>19880.7099383129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-3945.857805</v>
      </c>
      <c r="D12" s="4" t="n">
        <f aca="false">-D6*Assumptions!D45/100</f>
        <v>-4103.6921172</v>
      </c>
      <c r="E12" s="4" t="n">
        <f aca="false">-E6*Assumptions!E45/100</f>
        <v>-4288.358262474</v>
      </c>
      <c r="F12" s="4" t="n">
        <f aca="false">-F6*Assumptions!F45/100</f>
        <v>-4481.33438428533</v>
      </c>
      <c r="G12" s="4" t="n">
        <f aca="false">-G6*Assumptions!G45/100</f>
        <v>-4660.58775965674</v>
      </c>
      <c r="H12" s="4" t="n">
        <f aca="false">-H6*Assumptions!H45/100</f>
        <v>-4823.70833124473</v>
      </c>
      <c r="I12" s="4" t="n">
        <f aca="false">-I6*Assumptions!I45/100</f>
        <v>-4968.41958118207</v>
      </c>
      <c r="J12" s="4" t="n">
        <f aca="false">-J6*Assumptions!J45/100</f>
        <v>-5117.47216861753</v>
      </c>
      <c r="K12" s="4" t="n">
        <f aca="false">-K6*Assumptions!K45/100</f>
        <v>-5245.40897283297</v>
      </c>
      <c r="L12" s="4" t="n">
        <f aca="false">-L6*Assumptions!L45/100</f>
        <v>-5376.54419715379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7708.18734</v>
      </c>
      <c r="D13" s="0" t="n">
        <f aca="false">D11+D12</f>
        <v>9448.0353396</v>
      </c>
      <c r="E13" s="0" t="n">
        <f aca="false">E11+E12</f>
        <v>10870.489549062</v>
      </c>
      <c r="F13" s="0" t="n">
        <f aca="false">F11+F12</f>
        <v>11880.7469722913</v>
      </c>
      <c r="G13" s="0" t="n">
        <f aca="false">G11+G12</f>
        <v>12572.748374888</v>
      </c>
      <c r="H13" s="0" t="n">
        <f aca="false">H11+H12</f>
        <v>13012.794568009</v>
      </c>
      <c r="I13" s="0" t="n">
        <f aca="false">I11+I12</f>
        <v>13403.1784050493</v>
      </c>
      <c r="J13" s="0" t="n">
        <f aca="false">J11+J12</f>
        <v>13805.2737572008</v>
      </c>
      <c r="K13" s="0" t="n">
        <f aca="false">K11+K12</f>
        <v>14150.4056011308</v>
      </c>
      <c r="L13" s="0" t="n">
        <f aca="false">L11+L12</f>
        <v>14504.1657411591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5858.2223784</v>
      </c>
      <c r="D15" s="0" t="n">
        <f aca="false">D13-MAX(0,D13)*D14/100</f>
        <v>7180.506858096</v>
      </c>
      <c r="E15" s="0" t="n">
        <f aca="false">E13-MAX(0,E13)*E14/100</f>
        <v>8261.57205728712</v>
      </c>
      <c r="F15" s="0" t="n">
        <f aca="false">F13-MAX(0,F13)*F14/100</f>
        <v>9029.36769894142</v>
      </c>
      <c r="G15" s="0" t="n">
        <f aca="false">G13-MAX(0,G13)*G14/100</f>
        <v>9555.28876491485</v>
      </c>
      <c r="H15" s="0" t="n">
        <f aca="false">H13-MAX(0,H13)*H14/100</f>
        <v>9889.72387168687</v>
      </c>
      <c r="I15" s="0" t="n">
        <f aca="false">I13-MAX(0,I13)*I14/100</f>
        <v>10186.4155878375</v>
      </c>
      <c r="J15" s="0" t="n">
        <f aca="false">J13-MAX(0,J13)*J14/100</f>
        <v>10492.0080554726</v>
      </c>
      <c r="K15" s="0" t="n">
        <f aca="false">K13-MAX(0,K13)*K14/100</f>
        <v>10754.3082568594</v>
      </c>
      <c r="L15" s="0" t="n">
        <f aca="false">L13-MAX(0,L13)*L14/100</f>
        <v>11023.1659632809</v>
      </c>
    </row>
    <row r="16" customFormat="false" ht="15" hidden="false" customHeight="false" outlineLevel="0" collapsed="false">
      <c r="A16" s="0" t="s">
        <v>128</v>
      </c>
      <c r="C16" s="0" t="n">
        <f aca="false">-C12</f>
        <v>3945.857805</v>
      </c>
      <c r="D16" s="0" t="n">
        <f aca="false">-D12</f>
        <v>4103.6921172</v>
      </c>
      <c r="E16" s="0" t="n">
        <f aca="false">-E12</f>
        <v>4288.358262474</v>
      </c>
      <c r="F16" s="0" t="n">
        <f aca="false">-F12</f>
        <v>4481.33438428533</v>
      </c>
      <c r="G16" s="0" t="n">
        <f aca="false">-G12</f>
        <v>4660.58775965674</v>
      </c>
      <c r="H16" s="0" t="n">
        <f aca="false">-H12</f>
        <v>4823.70833124473</v>
      </c>
      <c r="I16" s="0" t="n">
        <f aca="false">-I12</f>
        <v>4968.41958118207</v>
      </c>
      <c r="J16" s="0" t="n">
        <f aca="false">-J12</f>
        <v>5117.47216861753</v>
      </c>
      <c r="K16" s="0" t="n">
        <f aca="false">-K12</f>
        <v>5245.40897283297</v>
      </c>
      <c r="L16" s="0" t="n">
        <f aca="false">-L12</f>
        <v>5376.54419715379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-3670.5654</v>
      </c>
      <c r="D17" s="4" t="n">
        <f aca="false">-D6*Assumptions!D46/100</f>
        <v>-4389.9962184</v>
      </c>
      <c r="E17" s="4" t="n">
        <f aca="false">-E6*Assumptions!E46/100</f>
        <v>-4787.004572064</v>
      </c>
      <c r="F17" s="4" t="n">
        <f aca="false">-F6*Assumptions!F46/100</f>
        <v>-5002.41977780688</v>
      </c>
      <c r="G17" s="4" t="n">
        <f aca="false">-G6*Assumptions!G46/100</f>
        <v>-5094.13080706667</v>
      </c>
      <c r="H17" s="4" t="n">
        <f aca="false">-H6*Assumptions!H46/100</f>
        <v>-5160.24612179669</v>
      </c>
      <c r="I17" s="4" t="n">
        <f aca="false">-I6*Assumptions!I46/100</f>
        <v>-5315.05350545059</v>
      </c>
      <c r="J17" s="4" t="n">
        <f aca="false">-J6*Assumptions!J46/100</f>
        <v>-5474.5051106141</v>
      </c>
      <c r="K17" s="4" t="n">
        <f aca="false">-K6*Assumptions!K46/100</f>
        <v>-5611.36773837946</v>
      </c>
      <c r="L17" s="4" t="n">
        <f aca="false">-L6*Assumptions!L46/100</f>
        <v>-5751.65193183894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-155.15675</v>
      </c>
      <c r="D18" s="4" t="n">
        <f aca="false">(D6-C6)*Assumptions!$B$51/100</f>
        <v>-183.52827</v>
      </c>
      <c r="E18" s="4" t="n">
        <f aca="false">(E6-D6)*Assumptions!$B$51/100</f>
        <v>-214.728075899999</v>
      </c>
      <c r="F18" s="4" t="n">
        <f aca="false">(F6-E6)*Assumptions!$B$51/100</f>
        <v>-224.3908393155</v>
      </c>
      <c r="G18" s="4" t="n">
        <f aca="false">(G6-F6)*Assumptions!$B$51/100</f>
        <v>-208.43415740862</v>
      </c>
      <c r="H18" s="4" t="n">
        <f aca="false">(H6-G6)*Assumptions!$B$51/100</f>
        <v>-189.675083241844</v>
      </c>
      <c r="I18" s="4" t="n">
        <f aca="false">(I6-H6)*Assumptions!$B$51/100</f>
        <v>-168.268895275979</v>
      </c>
      <c r="J18" s="4" t="n">
        <f aca="false">(J6-I6)*Assumptions!$B$51/100</f>
        <v>-173.316962134258</v>
      </c>
      <c r="K18" s="4" t="n">
        <f aca="false">(K6-J6)*Assumptions!$B$51/100</f>
        <v>-148.763725831905</v>
      </c>
      <c r="L18" s="4" t="n">
        <f aca="false">(L6-K6)*Assumptions!$B$51/100</f>
        <v>-152.482818977702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5978.3580334</v>
      </c>
      <c r="D19" s="0" t="n">
        <f aca="false">D15+D16+D17+D18</f>
        <v>6710.674486896</v>
      </c>
      <c r="E19" s="0" t="n">
        <f aca="false">E15+E16+E17+E18</f>
        <v>7548.19767179712</v>
      </c>
      <c r="F19" s="0" t="n">
        <f aca="false">F15+F16+F17+F18</f>
        <v>8283.89146610437</v>
      </c>
      <c r="G19" s="0" t="n">
        <f aca="false">G15+G16+G17+G18</f>
        <v>8913.3115600963</v>
      </c>
      <c r="H19" s="0" t="n">
        <f aca="false">H15+H16+H17+H18</f>
        <v>9363.51099789307</v>
      </c>
      <c r="I19" s="0" t="n">
        <f aca="false">I15+I16+I17+I18</f>
        <v>9671.51276829298</v>
      </c>
      <c r="J19" s="0" t="n">
        <f aca="false">J15+J16+J17+J18</f>
        <v>9961.65815134177</v>
      </c>
      <c r="K19" s="0" t="n">
        <f aca="false">K15+K16+K17+K18</f>
        <v>10239.585765481</v>
      </c>
      <c r="L19" s="0" t="n">
        <f aca="false">L15+L16+L17+L18</f>
        <v>10495.575409618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5510.0074040553</v>
      </c>
      <c r="D21" s="0" t="n">
        <f aca="false">D19*D20</f>
        <v>5700.41792086984</v>
      </c>
      <c r="E21" s="0" t="n">
        <f aca="false">E19*E20</f>
        <v>5909.54508580594</v>
      </c>
      <c r="F21" s="0" t="n">
        <f aca="false">F19*F20</f>
        <v>5977.44305560766</v>
      </c>
      <c r="G21" s="0" t="n">
        <f aca="false">G19*G20</f>
        <v>5927.75705938595</v>
      </c>
      <c r="H21" s="0" t="n">
        <f aca="false">H19*H20</f>
        <v>5739.31809682924</v>
      </c>
      <c r="I21" s="0" t="n">
        <f aca="false">I19*I20</f>
        <v>5463.69241464369</v>
      </c>
      <c r="J21" s="0" t="n">
        <f aca="false">J19*J20</f>
        <v>5186.73104800277</v>
      </c>
      <c r="K21" s="0" t="n">
        <f aca="false">K19*K20</f>
        <v>4913.76909249945</v>
      </c>
      <c r="L21" s="0" t="n">
        <f aca="false">L19*L20</f>
        <v>4642.03992609395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54970.7211037938</v>
      </c>
    </row>
    <row r="31" customFormat="false" ht="15" hidden="false" customHeight="false" outlineLevel="0" collapsed="false">
      <c r="A31" s="0" t="s">
        <v>137</v>
      </c>
      <c r="B31" s="0" t="n">
        <f aca="false">L19</f>
        <v>10495.575409618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179299.413247642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146938.055734653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146938.055734653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64988.5589653153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119959.280069109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95277.2800691091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111.95920102128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0.203603537102556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700.843023694113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944.734984009665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113.892900207771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86063.718358868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43.9963331265161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49.2039710192344</v>
      </c>
      <c r="C4" s="0" t="n">
        <f aca="false">B4/Assumptions!$B$2-1</f>
        <v>-0.471038797901157</v>
      </c>
      <c r="D4" s="4" t="n">
        <f aca="false">Assumptions!$B$24</f>
        <v>0.3</v>
      </c>
      <c r="E4" s="4" t="n">
        <f aca="false">DCF_Bear!$B$43</f>
        <v>50.6807248226902</v>
      </c>
      <c r="F4" s="4" t="n">
        <f aca="false">DCF_Bear!$B$47</f>
        <v>15.5684006475325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82.5816002223188</v>
      </c>
      <c r="C5" s="0" t="n">
        <f aca="false">B5/Assumptions!$B$2-1</f>
        <v>-0.112216725195455</v>
      </c>
      <c r="D5" s="4" t="n">
        <f aca="false">Assumptions!$B$38</f>
        <v>0.5</v>
      </c>
      <c r="E5" s="4" t="n">
        <f aca="false">DCF_Base!$B$43</f>
        <v>84.3039243659572</v>
      </c>
      <c r="F5" s="4" t="n">
        <f aca="false">DCF_Base!$B$47</f>
        <v>31.3787705082834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111.95920102128</v>
      </c>
      <c r="C6" s="0" t="n">
        <f aca="false">B6/Assumptions!$B$2-1</f>
        <v>0.203603537102556</v>
      </c>
      <c r="D6" s="4" t="n">
        <f aca="false">Assumptions!$B$52</f>
        <v>0.2</v>
      </c>
      <c r="E6" s="4" t="n">
        <f aca="false">DCF_Bull!$B$43</f>
        <v>113.892900207771</v>
      </c>
      <c r="F6" s="4" t="n">
        <f aca="false">DCF_Bull!$B$47</f>
        <v>43.9963331265161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78.4438316211857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80.1347596713398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-0.185816629269263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862.021797881072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29.1591720737047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82.5816002223188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78.7555781334359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70.6545673593848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59.2844031564146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50.1996564543019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31.3787705082834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99.7707741617898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99.7707741617898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99.7707741617898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99.7707741617898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99.7707741617898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90.7790488247113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90.7790488247113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90.7790488247113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90.7790488247113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90.7790488247113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82.5816002223188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82.5816002223188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82.5816002223188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82.5816002223188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82.5816002223188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70.6590350549172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73.8576123365423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75.0990692723329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75.0990692723329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75.0990692723329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59.6694780229185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62.0135244900316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64.6333411297462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67.5806348494252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68.2607795539665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2026-10-02T21:22:51Z</dcterms:created>
  <dc:creator>openpyxl</dc:creator>
  <dc:description/>
  <dc:language>en-NZ</dc:language>
  <cp:lastModifiedBy/>
  <dcterms:modified xsi:type="dcterms:W3CDTF">2026-10-02T21:22:51Z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