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<sst xmlns="http://schemas.openxmlformats.org/spreadsheetml/2006/main" count="387" uniqueCount="175">
  <si>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</si>
  <si>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COST</t>
  </si>
  <si>
    <t xml:space="preserve">Company</t>
  </si>
  <si>
    <t xml:space="preserve">Costco Wholesale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</si>
  <si>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</si>
  <si>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</si>
  <si>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</si>
  <si>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</si>
  <si>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Finance chart API)</t>
  </si>
  <si>
    <t xml:space="preserve">Balance sheet date</t>
  </si>
  <si>
    <t xml:space="preserve">2026-05-10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</si>
  <si>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</si>
  <si>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</si>
  <si>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</si>
  <si>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</si>
  <si>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</si>
  <si>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</si>
  <si>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</si>
  <si>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</si>
  <si>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</si>
  <si>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</si>
  <si>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2026-09-26T00:59:18Z</t>
  </si>
  <si>
    <t xml:space="preserve">Drivers file</t>
  </si>
  <si>
    <t xml:space="preserve">COST_Drivers.json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</si>
  <si>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</si>
  <si>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</si>
  <si>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</si>
  <si>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Costco is valued as an owner would: SBC and the tax cash spent net-settling equity awards are real costs, interest earned on the $20bn cash pile is excluded from the flows because the cash itself is added back, and warehouse-growth capex is charged in full. On that basis even a generous base case of ~7% growth, rising margins and a 20x exit capitalises the business far below today's price, which embeds ~45x earnings and ~50x owner FCF. The finding is that the quality is not in question but the price assumes a perpetual premium exit multiple that the model will not grant.
key_risks_to_valuation: Exit multiple: the model caps terminal value at 20x owner FCF (22x bull); Costco has traded at 40-55x FCF for years, and if that premium persists the model understates value materially.; Membership renewal and fee income are ~half of operating income; a decline in US/Canada renewal from ~90% would hit margins far harder than a sales miss.; Capex intensity: if opening cadence and fulfilment investment keep capex near 2.2% of revenue indefinitely, terminal owner FCF is lower than modelled.; FY0 is an estimate: FY2026 revenue (298.6bn) and the Q4 FY2026 cash flow are not yet in the folder; the FY2026 10-K (due ~Oct 2026) should replace them.; Tariff exposure on imported general merchandise, and e-commerce competition from Amazon and Walmart/Sam's Club.</t>
  </si>
  <si>
    <t xml:space="preserve">Data sources</t>
  </si>
  <si>
    <t xml:space="preserve">price: Yahoo Finance chart API at inputs.price_as_of (regular close); 52-week range 844.06-1096.50.
financials: research/COST/Reports/COST_Metrics.csv (annual FY2008-FY2025) cross-checked against SEC XBRL companyfacts CIK 0000909832 for the FY2025 10-K (filed 2025-10-08) and the Q3 FY2026 10-Q (filed 2026-06-03): balance sheet, diluted shares, SBC, equity-award taxes, interest income, finance leases, taxes paid.
qualitative: Company profile in research/COST/info.json; no Analysis JSON exists for COST yet, so scenario axes are drawn from the filings and the business model (membership fees, warehouse openings, e-commerce, international).</t>
  </si>
  <si>
    <t xml:space="preserve">Scenario narrative: bear</t>
  </si>
  <si>
    <t xml:space="preserve">Growth normalises to low-to-mid single digits as US warehouse density saturates, gasoline and inflation tailwinds reverse, and e-commerce convenience (Amazon same-day grocery, Walmart+/Sam's Club at a ~$50 fee) erodes the trip frequency the membership model depends on. Tariffs and wage pressure are absorbed in price to protect the value proposition, so EBITDA margin drifts down to 4.7%; renewal rates slip as younger digital-first members churn. Costco remains highly profitable and cash-generative (no solvency axis at all); the bear is a de-rating of a normal-growth retailer to a normal multiple.</t>
  </si>
  <si>
    <t xml:space="preserve">Scenario narrative: base</t>
  </si>
  <si>
    <t xml:space="preserve">Costco keeps compounding the way it has since FY2022: ~25-30 net new warehouses a year (roughly a third outside the US), mid-single-digit comparable sales ex-gasoline, and e-commerce growing in the high teens, so revenue grows 7-7.5% for two years and fades to 4% by FY2036. Membership fee income (the Sep-2024 US/Canada increase fully annualised, renewal rates ~90% in US/Canada, executive-member mix rising) lifts pre-SBC EBITDA margin from ~5.0% to 5.4%, while merchandise gross margin is deliberately reinvested in price. Capex stays elevated near 2.2% of revenue while the opening cadence holds, then fades to 1.5%. This is a superb business priced as one: the base case still lands well below the market because the market capitalises Costco at ~45x earnings.</t>
  </si>
  <si>
    <t xml:space="preserve">Scenario narrative: bull</t>
  </si>
  <si>
    <t xml:space="preserve">International and digital accelerate: China, Japan, Korea, Sweden/Spain/France openings and new-country entries push unit growth toward 35-40 a year, retail media and Costco Next/ancillary services scale, and a further membership fee increase around FY2029-30 lands without denting renewal. Revenue grows 9% for two years and still 5.5% in FY2036; EBITDA margin reaches 5.9% as fee income and high-margin ancillaries outgrow merchandise. Negative working capital releases more cash as growth stays high. The market's 45x P/E needs roughly this path plus a perpetual premium exit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</si>
  <si>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</si>
  <si>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</si>
  <si>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</si>
  <si>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</si>
  <si>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</si>
  <si>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</si>
  <si>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</si>
  <si>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</si>
  <si>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</si>
  <si>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</si>
  <si>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</si>
  <si>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</si>
  <si>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</si>
  <si>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</si>
  <si>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</si>
  <si>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</si>
  <si>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</si>
  <si>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</si>
  <si>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</si>
  <si>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</si>
  <si>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</si>
  <si>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</si>
  <si>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</si>
  <si>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</si>
  <si>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</si>
  <si>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</si>
  <si>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</si>
  <si>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</si>
  <si>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</si>
  <si>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</si>
  <si>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</si>
  <si>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</si>
  <si>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</si>
  <si>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</si>
  <si>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</si>
  <si>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</si>
  <si>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</si>
  <si>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</si>
  <si>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</si>
  <si>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</si>
  <si>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</si>
  <si>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</si>
  <si>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</si>
  <si>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</si>
  <si>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</si>
  <si>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</si>
  <si>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</si>
  <si>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</si>
  <si>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</si>
  <si>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</si>
  <si>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</si>
  <si>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</si>
  <si>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</si>
  <si>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</si>
  <si>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</si>
  <si>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</si>
  <si>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</si>
  <si>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</si>
  <si>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</si>
  <si>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</si>
  <si>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</si>
  <si>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</si>
  <si>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</si>
  <si>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</si>
  <si>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</si>
  <si>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</si>
  <si>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</si>
  <si>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</si>
  <si>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</si>
  <si>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</si>
  <si>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</si>
  <si>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</si>
  <si>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</si>
  <si>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</si>
  <si>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</si>
  <si>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</si>
  <si>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</si>
  <si>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</si>
  <si>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</si>
  <si>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</si>
  <si>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</si>
  <si>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</si>
  <si>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</si>
  <si>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</si>
  <si>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COST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</si>
  <si>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</si>
  <si>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</si>
  <si>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</si>
  <si>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</si>
  <si>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</si>
  <si>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</si>
  <si>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</si>
  <si>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</si>
  <si>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</si>
  <si>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</si>
  <si>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</si>
  <si>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</si>
  <si>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</si>
  <si>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</si>
  <si>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</si>
  <si>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</si>
  <si>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</si>
  <si>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</si>
  <si>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</si>
  <si>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</si>
  <si>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</si>
  <si>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</si>
  <si>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</si>
  <si>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</si>
  <si>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</si>
  <si>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</si>
  <si>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</si>
  <si>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</si>
  <si>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</si>
  <si>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</si>
  <si>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COST owner-FCF component DCF: base case (millions, USD)</t>
  </si>
  <si>
    <t xml:space="preserve">COST owner-FCF component DCF: bull case (millions, USD)</t>
  </si>
  <si>
    <t xml:space="preserve">COST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</si>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</sst>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922.765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8687</v>
      </c>
      <c r="S2" s="0" t="n">
        <v>2780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72483</v>
      </c>
      <c r="F3" s="0" t="n">
        <v>1969</v>
      </c>
      <c r="G3" s="0" t="n">
        <v>2.71649904115448</v>
      </c>
      <c r="H3" s="0" t="n">
        <v>2622</v>
      </c>
      <c r="I3" s="0" t="n">
        <v>1295</v>
      </c>
      <c r="J3" s="0" t="n">
        <v>1.78662582950485</v>
      </c>
      <c r="K3" s="0" t="n">
        <v>2.95</v>
      </c>
      <c r="L3" s="0" t="n">
        <v>2206</v>
      </c>
      <c r="M3" s="0" t="n">
        <v>1599</v>
      </c>
      <c r="N3" s="0" t="n">
        <v>607</v>
      </c>
      <c r="O3" s="0" t="n">
        <v>9274</v>
      </c>
      <c r="P3" s="0" t="n">
        <v>20682</v>
      </c>
      <c r="S3" s="0" t="n">
        <v>2619</v>
      </c>
      <c r="T3" s="0" t="n">
        <v>444.24</v>
      </c>
      <c r="U3" s="0" t="n">
        <v>166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71422</v>
      </c>
      <c r="F4" s="0" t="n">
        <v>1777</v>
      </c>
      <c r="G4" s="0" t="n">
        <v>2.48802889865868</v>
      </c>
      <c r="H4" s="0" t="n">
        <v>2505</v>
      </c>
      <c r="I4" s="0" t="n">
        <v>1099</v>
      </c>
      <c r="J4" s="0" t="n">
        <v>1.53874156422391</v>
      </c>
      <c r="K4" s="0" t="n">
        <v>2.5</v>
      </c>
      <c r="L4" s="0" t="n">
        <v>2092</v>
      </c>
      <c r="M4" s="0" t="n">
        <v>1250</v>
      </c>
      <c r="N4" s="0" t="n">
        <v>842</v>
      </c>
      <c r="O4" s="0" t="n">
        <v>10104</v>
      </c>
      <c r="P4" s="0" t="n">
        <v>21979</v>
      </c>
      <c r="Q4" s="0" t="n">
        <v>11875</v>
      </c>
      <c r="R4" s="0" t="n">
        <v>2290</v>
      </c>
      <c r="S4" s="0" t="n">
        <v>3157</v>
      </c>
      <c r="T4" s="0" t="n">
        <v>440.454</v>
      </c>
      <c r="U4" s="0" t="n">
        <v>181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77946</v>
      </c>
      <c r="F5" s="0" t="n">
        <v>2077</v>
      </c>
      <c r="G5" s="0" t="n">
        <v>2.66466528109204</v>
      </c>
      <c r="H5" s="0" t="n">
        <v>2872</v>
      </c>
      <c r="I5" s="0" t="n">
        <v>1323</v>
      </c>
      <c r="J5" s="0" t="n">
        <v>1.69732892002155</v>
      </c>
      <c r="K5" s="0" t="n">
        <v>2.97</v>
      </c>
      <c r="L5" s="0" t="n">
        <v>2780</v>
      </c>
      <c r="M5" s="0" t="n">
        <v>1055</v>
      </c>
      <c r="N5" s="0" t="n">
        <v>1725</v>
      </c>
      <c r="O5" s="0" t="n">
        <v>10930</v>
      </c>
      <c r="P5" s="0" t="n">
        <v>23815</v>
      </c>
      <c r="Q5" s="0" t="n">
        <v>12885</v>
      </c>
      <c r="R5" s="0" t="n">
        <v>2141</v>
      </c>
      <c r="S5" s="0" t="n">
        <v>3214</v>
      </c>
      <c r="T5" s="0" t="n">
        <v>445.97</v>
      </c>
      <c r="U5" s="0" t="n">
        <v>190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88915</v>
      </c>
      <c r="F6" s="0" t="n">
        <v>2439</v>
      </c>
      <c r="G6" s="0" t="n">
        <v>2.74306922341562</v>
      </c>
      <c r="H6" s="0" t="n">
        <v>3294</v>
      </c>
      <c r="I6" s="0" t="n">
        <v>1542</v>
      </c>
      <c r="J6" s="0" t="n">
        <v>1.73424056683349</v>
      </c>
      <c r="K6" s="0" t="n">
        <v>3.35</v>
      </c>
      <c r="L6" s="0" t="n">
        <v>3198</v>
      </c>
      <c r="M6" s="0" t="n">
        <v>1290</v>
      </c>
      <c r="N6" s="0" t="n">
        <v>1908</v>
      </c>
      <c r="O6" s="0" t="n">
        <v>12573</v>
      </c>
      <c r="P6" s="0" t="n">
        <v>26761</v>
      </c>
      <c r="Q6" s="0" t="n">
        <v>14188</v>
      </c>
      <c r="R6" s="0" t="n">
        <v>3053</v>
      </c>
      <c r="S6" s="0" t="n">
        <v>4009</v>
      </c>
      <c r="T6" s="0" t="n">
        <v>443.094</v>
      </c>
      <c r="U6" s="0" t="n">
        <v>207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99137</v>
      </c>
      <c r="F7" s="0" t="n">
        <v>2759</v>
      </c>
      <c r="G7" s="0" t="n">
        <v>2.78301744051162</v>
      </c>
      <c r="H7" s="0" t="n">
        <v>3667</v>
      </c>
      <c r="I7" s="0" t="n">
        <v>1767</v>
      </c>
      <c r="J7" s="0" t="n">
        <v>1.78238195628272</v>
      </c>
      <c r="K7" s="0" t="n">
        <v>3.94</v>
      </c>
      <c r="L7" s="0" t="n">
        <v>3057</v>
      </c>
      <c r="M7" s="0" t="n">
        <v>1480</v>
      </c>
      <c r="N7" s="0" t="n">
        <v>1577</v>
      </c>
      <c r="O7" s="0" t="n">
        <v>12518</v>
      </c>
      <c r="P7" s="0" t="n">
        <v>27140</v>
      </c>
      <c r="Q7" s="0" t="n">
        <v>14622</v>
      </c>
      <c r="R7" s="0" t="n">
        <v>1383</v>
      </c>
      <c r="S7" s="0" t="n">
        <v>3528</v>
      </c>
      <c r="T7" s="0" t="n">
        <v>439.373</v>
      </c>
      <c r="U7" s="0" t="n">
        <v>241</v>
      </c>
      <c r="V7" s="0" t="n">
        <v>1.03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105156</v>
      </c>
      <c r="F8" s="0" t="n">
        <v>3053</v>
      </c>
      <c r="G8" s="0" t="n">
        <v>2.90330556506524</v>
      </c>
      <c r="H8" s="0" t="n">
        <v>3999</v>
      </c>
      <c r="I8" s="0" t="n">
        <v>2061</v>
      </c>
      <c r="J8" s="0" t="n">
        <v>1.95994522423828</v>
      </c>
      <c r="K8" s="0" t="n">
        <v>4.68</v>
      </c>
      <c r="L8" s="0" t="n">
        <v>3437</v>
      </c>
      <c r="M8" s="0" t="n">
        <v>2083</v>
      </c>
      <c r="N8" s="0" t="n">
        <v>1354</v>
      </c>
      <c r="O8" s="0" t="n">
        <v>11012</v>
      </c>
      <c r="P8" s="0" t="n">
        <v>30283</v>
      </c>
      <c r="Q8" s="0" t="n">
        <v>19271</v>
      </c>
      <c r="R8" s="0" t="n">
        <v>4998</v>
      </c>
      <c r="S8" s="0" t="n">
        <v>4644</v>
      </c>
      <c r="T8" s="0" t="n">
        <v>440.512</v>
      </c>
      <c r="U8" s="0" t="n">
        <v>285</v>
      </c>
      <c r="V8" s="0" t="n">
        <v>8.17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112640</v>
      </c>
      <c r="F9" s="0" t="n">
        <v>3220</v>
      </c>
      <c r="G9" s="0" t="n">
        <v>2.85866477272727</v>
      </c>
      <c r="H9" s="0" t="n">
        <v>4249</v>
      </c>
      <c r="I9" s="0" t="n">
        <v>2088</v>
      </c>
      <c r="J9" s="0" t="n">
        <v>1.85369318181818</v>
      </c>
      <c r="K9" s="0" t="n">
        <v>4.69</v>
      </c>
      <c r="L9" s="0" t="n">
        <v>3984</v>
      </c>
      <c r="M9" s="0" t="n">
        <v>1993</v>
      </c>
      <c r="N9" s="0" t="n">
        <v>1991</v>
      </c>
      <c r="O9" s="0" t="n">
        <v>12515</v>
      </c>
      <c r="P9" s="0" t="n">
        <v>32662</v>
      </c>
      <c r="Q9" s="0" t="n">
        <v>20509</v>
      </c>
      <c r="R9" s="0" t="n">
        <v>5093</v>
      </c>
      <c r="S9" s="0" t="n">
        <v>5738</v>
      </c>
      <c r="T9" s="0" t="n">
        <v>442.485</v>
      </c>
      <c r="U9" s="0" t="n">
        <v>327</v>
      </c>
      <c r="V9" s="0" t="n">
        <v>1.33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116199</v>
      </c>
      <c r="F10" s="0" t="n">
        <v>3624</v>
      </c>
      <c r="G10" s="0" t="n">
        <v>3.11878759713939</v>
      </c>
      <c r="H10" s="0" t="n">
        <v>4751</v>
      </c>
      <c r="I10" s="0" t="n">
        <v>2409</v>
      </c>
      <c r="J10" s="0" t="n">
        <v>2.07316758319779</v>
      </c>
      <c r="K10" s="0" t="n">
        <v>5.41</v>
      </c>
      <c r="M10" s="0" t="n">
        <v>2393</v>
      </c>
      <c r="O10" s="0" t="n">
        <v>10843</v>
      </c>
      <c r="P10" s="0" t="n">
        <v>33017</v>
      </c>
      <c r="Q10" s="0" t="n">
        <v>22174</v>
      </c>
      <c r="R10" s="0" t="n">
        <v>7418</v>
      </c>
      <c r="S10" s="0" t="n">
        <v>4801</v>
      </c>
      <c r="T10" s="0" t="n">
        <v>442.716</v>
      </c>
      <c r="U10" s="0" t="n">
        <v>394</v>
      </c>
      <c r="V10" s="0" t="n">
        <v>6.51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118719</v>
      </c>
      <c r="C11" s="0" t="n">
        <v>102901</v>
      </c>
      <c r="F11" s="0" t="n">
        <v>3672</v>
      </c>
      <c r="G11" s="0" t="n">
        <v>3.09301796679554</v>
      </c>
      <c r="H11" s="0" t="n">
        <v>4927</v>
      </c>
      <c r="I11" s="0" t="n">
        <v>2376</v>
      </c>
      <c r="J11" s="0" t="n">
        <v>2.00136456675006</v>
      </c>
      <c r="K11" s="0" t="n">
        <v>5.36</v>
      </c>
      <c r="M11" s="0" t="n">
        <v>2649</v>
      </c>
      <c r="O11" s="0" t="n">
        <v>12332</v>
      </c>
      <c r="P11" s="0" t="n">
        <v>33163</v>
      </c>
      <c r="Q11" s="0" t="n">
        <v>20831</v>
      </c>
      <c r="R11" s="0" t="n">
        <v>6261</v>
      </c>
      <c r="S11" s="0" t="n">
        <v>3379</v>
      </c>
      <c r="T11" s="0" t="n">
        <v>441.263</v>
      </c>
      <c r="U11" s="0" t="n">
        <v>459</v>
      </c>
      <c r="V11" s="0" t="n">
        <v>1.7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129025</v>
      </c>
      <c r="C12" s="0" t="n">
        <v>111882</v>
      </c>
      <c r="F12" s="0" t="n">
        <v>4111</v>
      </c>
      <c r="G12" s="0" t="n">
        <v>3.1862042239876</v>
      </c>
      <c r="H12" s="0" t="n">
        <v>5481</v>
      </c>
      <c r="I12" s="0" t="n">
        <v>2714</v>
      </c>
      <c r="J12" s="0" t="n">
        <v>2.10346832009301</v>
      </c>
      <c r="K12" s="0" t="n">
        <v>6.11</v>
      </c>
      <c r="L12" s="0" t="n">
        <v>6726</v>
      </c>
      <c r="M12" s="0" t="n">
        <v>2502</v>
      </c>
      <c r="N12" s="0" t="n">
        <v>4224</v>
      </c>
      <c r="O12" s="0" t="n">
        <v>11079</v>
      </c>
      <c r="P12" s="0" t="n">
        <v>36347</v>
      </c>
      <c r="Q12" s="0" t="n">
        <v>25268</v>
      </c>
      <c r="R12" s="0" t="n">
        <v>6745</v>
      </c>
      <c r="S12" s="0" t="n">
        <v>4546</v>
      </c>
      <c r="T12" s="0" t="n">
        <v>440.937</v>
      </c>
      <c r="U12" s="0" t="n">
        <v>514</v>
      </c>
      <c r="V12" s="0" t="n">
        <v>8.9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141576</v>
      </c>
      <c r="C13" s="0" t="n">
        <v>123152</v>
      </c>
      <c r="F13" s="0" t="n">
        <v>4480</v>
      </c>
      <c r="G13" s="0" t="n">
        <v>3.16437814318811</v>
      </c>
      <c r="H13" s="0" t="n">
        <v>5917</v>
      </c>
      <c r="I13" s="0" t="n">
        <v>3179</v>
      </c>
      <c r="J13" s="0" t="n">
        <v>2.24543707973103</v>
      </c>
      <c r="K13" s="0" t="n">
        <v>7.15</v>
      </c>
      <c r="L13" s="0" t="n">
        <v>5774</v>
      </c>
      <c r="M13" s="0" t="n">
        <v>2969</v>
      </c>
      <c r="N13" s="0" t="n">
        <v>2805</v>
      </c>
      <c r="O13" s="0" t="n">
        <v>13103</v>
      </c>
      <c r="P13" s="0" t="n">
        <v>40830</v>
      </c>
      <c r="Q13" s="0" t="n">
        <v>27727</v>
      </c>
      <c r="R13" s="0" t="n">
        <v>6703</v>
      </c>
      <c r="S13" s="0" t="n">
        <v>6055</v>
      </c>
      <c r="T13" s="0" t="n">
        <v>441.834</v>
      </c>
      <c r="U13" s="0" t="n">
        <v>544</v>
      </c>
      <c r="V13" s="0" t="n">
        <v>2.14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152703</v>
      </c>
      <c r="C14" s="0" t="n">
        <v>132886</v>
      </c>
      <c r="D14" s="0" t="n">
        <v>16465</v>
      </c>
      <c r="E14" s="0" t="n">
        <v>10.7823683883093</v>
      </c>
      <c r="F14" s="0" t="n">
        <v>4737</v>
      </c>
      <c r="G14" s="0" t="n">
        <v>3.10210015520324</v>
      </c>
      <c r="H14" s="0" t="n">
        <v>6229</v>
      </c>
      <c r="I14" s="0" t="n">
        <v>3704</v>
      </c>
      <c r="J14" s="0" t="n">
        <v>2.42562359613105</v>
      </c>
      <c r="K14" s="0" t="n">
        <v>8.32</v>
      </c>
      <c r="L14" s="0" t="n">
        <v>6356</v>
      </c>
      <c r="M14" s="0" t="n">
        <v>2998</v>
      </c>
      <c r="N14" s="0" t="n">
        <v>3358</v>
      </c>
      <c r="O14" s="0" t="n">
        <v>15584</v>
      </c>
      <c r="P14" s="0" t="n">
        <v>45400</v>
      </c>
      <c r="Q14" s="0" t="n">
        <v>29816</v>
      </c>
      <c r="R14" s="0" t="n">
        <v>8551</v>
      </c>
      <c r="S14" s="0" t="n">
        <v>8384</v>
      </c>
      <c r="T14" s="0" t="n">
        <v>442.923</v>
      </c>
      <c r="U14" s="0" t="n">
        <v>595</v>
      </c>
      <c r="V14" s="0" t="n">
        <v>2.44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166761</v>
      </c>
      <c r="C15" s="0" t="n">
        <v>144939</v>
      </c>
      <c r="F15" s="0" t="n">
        <v>5435</v>
      </c>
      <c r="G15" s="0" t="n">
        <v>3.25915531808996</v>
      </c>
      <c r="H15" s="0" t="n">
        <v>7080</v>
      </c>
      <c r="I15" s="0" t="n">
        <v>4059</v>
      </c>
      <c r="J15" s="0" t="n">
        <v>2.43402234335366</v>
      </c>
      <c r="K15" s="0" t="n">
        <v>9.05</v>
      </c>
      <c r="L15" s="0" t="n">
        <v>8861</v>
      </c>
      <c r="M15" s="0" t="n">
        <v>2810</v>
      </c>
      <c r="N15" s="0" t="n">
        <v>6051</v>
      </c>
      <c r="O15" s="0" t="n">
        <v>18705</v>
      </c>
      <c r="P15" s="0" t="n">
        <v>55556</v>
      </c>
      <c r="Q15" s="0" t="n">
        <v>36851</v>
      </c>
      <c r="R15" s="0" t="n">
        <v>7752</v>
      </c>
      <c r="S15" s="0" t="n">
        <v>12277</v>
      </c>
      <c r="T15" s="0" t="n">
        <v>443.901</v>
      </c>
      <c r="U15" s="0" t="n">
        <v>619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195929</v>
      </c>
      <c r="C16" s="0" t="n">
        <v>170684</v>
      </c>
      <c r="F16" s="0" t="n">
        <v>6708</v>
      </c>
      <c r="G16" s="0" t="n">
        <v>3.42368919353439</v>
      </c>
      <c r="H16" s="0" t="n">
        <v>8489</v>
      </c>
      <c r="I16" s="0" t="n">
        <v>5079</v>
      </c>
      <c r="J16" s="0" t="n">
        <v>2.59226556558753</v>
      </c>
      <c r="K16" s="0" t="n">
        <v>11.3</v>
      </c>
      <c r="L16" s="0" t="n">
        <v>8958</v>
      </c>
      <c r="M16" s="0" t="n">
        <v>3588</v>
      </c>
      <c r="N16" s="0" t="n">
        <v>5370</v>
      </c>
      <c r="O16" s="0" t="n">
        <v>18078</v>
      </c>
      <c r="P16" s="0" t="n">
        <v>59268</v>
      </c>
      <c r="Q16" s="0" t="n">
        <v>41190</v>
      </c>
      <c r="R16" s="0" t="n">
        <v>7491</v>
      </c>
      <c r="S16" s="0" t="n">
        <v>11258</v>
      </c>
      <c r="T16" s="0" t="n">
        <v>444.346</v>
      </c>
      <c r="U16" s="0" t="n">
        <v>665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226954</v>
      </c>
      <c r="C17" s="0" t="n">
        <v>199382</v>
      </c>
      <c r="F17" s="0" t="n">
        <v>7793</v>
      </c>
      <c r="G17" s="0" t="n">
        <v>3.433735470624</v>
      </c>
      <c r="H17" s="0" t="n">
        <v>9693</v>
      </c>
      <c r="I17" s="0" t="n">
        <v>5915</v>
      </c>
      <c r="J17" s="0" t="n">
        <v>2.60625501202887</v>
      </c>
      <c r="K17" s="0" t="n">
        <v>13.17</v>
      </c>
      <c r="L17" s="0" t="n">
        <v>7392</v>
      </c>
      <c r="M17" s="0" t="n">
        <v>3891</v>
      </c>
      <c r="N17" s="0" t="n">
        <v>3501</v>
      </c>
      <c r="O17" s="0" t="n">
        <v>20647</v>
      </c>
      <c r="P17" s="0" t="n">
        <v>64166</v>
      </c>
      <c r="Q17" s="0" t="n">
        <v>43519</v>
      </c>
      <c r="R17" s="0" t="n">
        <v>6557</v>
      </c>
      <c r="S17" s="0" t="n">
        <v>10203</v>
      </c>
      <c r="T17" s="0" t="n">
        <v>444.757</v>
      </c>
      <c r="U17" s="0" t="n">
        <v>724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242290</v>
      </c>
      <c r="C18" s="0" t="n">
        <v>212586</v>
      </c>
      <c r="F18" s="0" t="n">
        <v>8114</v>
      </c>
      <c r="G18" s="0" t="n">
        <v>3.348879441991</v>
      </c>
      <c r="H18" s="0" t="n">
        <v>10191</v>
      </c>
      <c r="I18" s="0" t="n">
        <v>6292</v>
      </c>
      <c r="J18" s="0" t="n">
        <v>2.59688802674481</v>
      </c>
      <c r="K18" s="0" t="n">
        <v>14.18</v>
      </c>
      <c r="L18" s="0" t="n">
        <v>11068</v>
      </c>
      <c r="M18" s="0" t="n">
        <v>4323</v>
      </c>
      <c r="N18" s="0" t="n">
        <v>6745</v>
      </c>
      <c r="O18" s="0" t="n">
        <v>25058</v>
      </c>
      <c r="P18" s="0" t="n">
        <v>68994</v>
      </c>
      <c r="Q18" s="0" t="n">
        <v>43936</v>
      </c>
      <c r="R18" s="0" t="n">
        <v>6458</v>
      </c>
      <c r="S18" s="0" t="n">
        <v>13700</v>
      </c>
      <c r="T18" s="0" t="n">
        <v>444.452</v>
      </c>
      <c r="U18" s="0" t="n">
        <v>774</v>
      </c>
      <c r="V18" s="0" t="n">
        <v>3.84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254453</v>
      </c>
      <c r="C19" s="0" t="n">
        <v>222358</v>
      </c>
      <c r="F19" s="0" t="n">
        <v>9285</v>
      </c>
      <c r="G19" s="0" t="n">
        <v>3.64900394178886</v>
      </c>
      <c r="H19" s="0" t="n">
        <v>11522</v>
      </c>
      <c r="I19" s="0" t="n">
        <v>7367</v>
      </c>
      <c r="J19" s="0" t="n">
        <v>2.89523016038325</v>
      </c>
      <c r="K19" s="0" t="n">
        <v>16.59</v>
      </c>
      <c r="L19" s="0" t="n">
        <v>11339</v>
      </c>
      <c r="M19" s="0" t="n">
        <v>4710</v>
      </c>
      <c r="N19" s="0" t="n">
        <v>6629</v>
      </c>
      <c r="O19" s="0" t="n">
        <v>23622</v>
      </c>
      <c r="P19" s="0" t="n">
        <v>69831</v>
      </c>
      <c r="Q19" s="0" t="n">
        <v>46209</v>
      </c>
      <c r="R19" s="0" t="n">
        <v>5897</v>
      </c>
      <c r="S19" s="0" t="n">
        <v>9906</v>
      </c>
      <c r="T19" s="0" t="n">
        <v>444.759</v>
      </c>
      <c r="U19" s="0" t="n">
        <v>818</v>
      </c>
      <c r="V19" s="0" t="n">
        <v>19.36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275235</v>
      </c>
      <c r="C20" s="0" t="n">
        <v>239886</v>
      </c>
      <c r="F20" s="0" t="n">
        <v>10383</v>
      </c>
      <c r="G20" s="0" t="n">
        <v>3.77241266554036</v>
      </c>
      <c r="H20" s="0" t="n">
        <v>12809</v>
      </c>
      <c r="I20" s="0" t="n">
        <v>8099</v>
      </c>
      <c r="J20" s="0" t="n">
        <v>2.94257634385162</v>
      </c>
      <c r="K20" s="0" t="n">
        <v>18.24</v>
      </c>
      <c r="L20" s="0" t="n">
        <v>13335</v>
      </c>
      <c r="M20" s="0" t="n">
        <v>5498</v>
      </c>
      <c r="N20" s="0" t="n">
        <v>7837</v>
      </c>
      <c r="O20" s="0" t="n">
        <v>29164</v>
      </c>
      <c r="P20" s="0" t="n">
        <v>77099</v>
      </c>
      <c r="Q20" s="0" t="n">
        <v>47935</v>
      </c>
      <c r="R20" s="0" t="n">
        <v>5788</v>
      </c>
      <c r="S20" s="0" t="n">
        <v>14161</v>
      </c>
      <c r="T20" s="0" t="n">
        <v>444.803</v>
      </c>
      <c r="U20" s="0" t="n">
        <v>860</v>
      </c>
      <c r="V20" s="0" t="n">
        <v>4.92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922.765</v>
      </c>
    </row>
    <row r="3" customFormat="false" ht="15" hidden="false" customHeight="false" outlineLevel="0" collapsed="false">
      <c r="A3" s="0" t="s">
        <v>85</v>
      </c>
      <c r="B3" s="3" t="n">
        <v>444.43</v>
      </c>
    </row>
    <row r="4" customFormat="false" ht="15" hidden="false" customHeight="false" outlineLevel="0" collapsed="false">
      <c r="A4" s="0" t="s">
        <v>86</v>
      </c>
      <c r="B4" s="3" t="n">
        <v>-12847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298600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5.5</v>
      </c>
      <c r="D13" s="3" t="n">
        <v>5</v>
      </c>
      <c r="E13" s="3" t="n">
        <v>5</v>
      </c>
      <c r="F13" s="3" t="n">
        <v>4.5</v>
      </c>
      <c r="G13" s="3" t="n">
        <v>4.5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4.95</v>
      </c>
      <c r="D14" s="3" t="n">
        <v>4.9</v>
      </c>
      <c r="E14" s="3" t="n">
        <v>4.85</v>
      </c>
      <c r="F14" s="3" t="n">
        <v>4.8</v>
      </c>
      <c r="G14" s="3" t="n">
        <v>4.78</v>
      </c>
      <c r="H14" s="3" t="n">
        <v>4.75</v>
      </c>
      <c r="I14" s="3" t="n">
        <v>4.72</v>
      </c>
      <c r="J14" s="3" t="n">
        <v>4.7</v>
      </c>
      <c r="K14" s="3" t="n">
        <v>4.7</v>
      </c>
      <c r="L14" s="3" t="n">
        <v>4.7</v>
      </c>
    </row>
    <row r="15" customFormat="false" ht="15" hidden="false" customHeight="false" outlineLevel="0" collapsed="false">
      <c r="A15" s="0" t="s">
        <v>108</v>
      </c>
      <c r="C15" s="3" t="n">
        <v>0.44</v>
      </c>
      <c r="D15" s="3" t="n">
        <v>0.44</v>
      </c>
      <c r="E15" s="3" t="n">
        <v>0.43</v>
      </c>
      <c r="F15" s="3" t="n">
        <v>0.43</v>
      </c>
      <c r="G15" s="3" t="n">
        <v>0.42</v>
      </c>
      <c r="H15" s="3" t="n">
        <v>0.42</v>
      </c>
      <c r="I15" s="3" t="n">
        <v>0.41</v>
      </c>
      <c r="J15" s="3" t="n">
        <v>0.41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0.88</v>
      </c>
      <c r="D17" s="3" t="n">
        <v>0.89</v>
      </c>
      <c r="E17" s="3" t="n">
        <v>0.9</v>
      </c>
      <c r="F17" s="3" t="n">
        <v>0.91</v>
      </c>
      <c r="G17" s="3" t="n">
        <v>0.92</v>
      </c>
      <c r="H17" s="3" t="n">
        <v>0.93</v>
      </c>
      <c r="I17" s="3" t="n">
        <v>0.94</v>
      </c>
      <c r="J17" s="3" t="n">
        <v>0.95</v>
      </c>
      <c r="K17" s="3" t="n">
        <v>0.96</v>
      </c>
      <c r="L17" s="3" t="n">
        <v>0.97</v>
      </c>
    </row>
    <row r="18" customFormat="false" ht="15" hidden="false" customHeight="false" outlineLevel="0" collapsed="false">
      <c r="A18" s="0" t="s">
        <v>111</v>
      </c>
      <c r="C18" s="3" t="n">
        <v>2.1</v>
      </c>
      <c r="D18" s="3" t="n">
        <v>2</v>
      </c>
      <c r="E18" s="3" t="n">
        <v>1.9</v>
      </c>
      <c r="F18" s="3" t="n">
        <v>1.8</v>
      </c>
      <c r="G18" s="3" t="n">
        <v>1.7</v>
      </c>
      <c r="H18" s="3" t="n">
        <v>1.6</v>
      </c>
      <c r="I18" s="3" t="n">
        <v>1.5</v>
      </c>
      <c r="J18" s="3" t="n">
        <v>1.45</v>
      </c>
      <c r="K18" s="3" t="n">
        <v>1.4</v>
      </c>
      <c r="L18" s="3" t="n">
        <v>1.4</v>
      </c>
    </row>
    <row r="19" customFormat="false" ht="15" hidden="false" customHeight="false" outlineLevel="0" collapsed="false">
      <c r="A19" s="0" t="s">
        <v>112</v>
      </c>
      <c r="C19" s="3" t="n">
        <v>25.5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4</v>
      </c>
    </row>
    <row r="24" customFormat="false" ht="15" hidden="false" customHeight="false" outlineLevel="0" collapsed="false">
      <c r="A24" s="0" t="s">
        <v>117</v>
      </c>
      <c r="B24" s="3" t="n">
        <v>0.15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7.5</v>
      </c>
      <c r="D27" s="3" t="n">
        <v>7.5</v>
      </c>
      <c r="E27" s="3" t="n">
        <v>7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107</v>
      </c>
      <c r="C28" s="3" t="n">
        <v>5.05</v>
      </c>
      <c r="D28" s="3" t="n">
        <v>5.1</v>
      </c>
      <c r="E28" s="3" t="n">
        <v>5.15</v>
      </c>
      <c r="F28" s="3" t="n">
        <v>5.2</v>
      </c>
      <c r="G28" s="3" t="n">
        <v>5.25</v>
      </c>
      <c r="H28" s="3" t="n">
        <v>5.3</v>
      </c>
      <c r="I28" s="3" t="n">
        <v>5.33</v>
      </c>
      <c r="J28" s="3" t="n">
        <v>5.36</v>
      </c>
      <c r="K28" s="3" t="n">
        <v>5.38</v>
      </c>
      <c r="L28" s="3" t="n">
        <v>5.4</v>
      </c>
    </row>
    <row r="29" customFormat="false" ht="15" hidden="false" customHeight="false" outlineLevel="0" collapsed="false">
      <c r="A29" s="0" t="s">
        <v>108</v>
      </c>
      <c r="C29" s="3" t="n">
        <v>0.44</v>
      </c>
      <c r="D29" s="3" t="n">
        <v>0.44</v>
      </c>
      <c r="E29" s="3" t="n">
        <v>0.43</v>
      </c>
      <c r="F29" s="3" t="n">
        <v>0.43</v>
      </c>
      <c r="G29" s="3" t="n">
        <v>0.42</v>
      </c>
      <c r="H29" s="3" t="n">
        <v>0.42</v>
      </c>
      <c r="I29" s="3" t="n">
        <v>0.41</v>
      </c>
      <c r="J29" s="3" t="n">
        <v>0.41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0.88</v>
      </c>
      <c r="D31" s="3" t="n">
        <v>0.89</v>
      </c>
      <c r="E31" s="3" t="n">
        <v>0.9</v>
      </c>
      <c r="F31" s="3" t="n">
        <v>0.91</v>
      </c>
      <c r="G31" s="3" t="n">
        <v>0.92</v>
      </c>
      <c r="H31" s="3" t="n">
        <v>0.93</v>
      </c>
      <c r="I31" s="3" t="n">
        <v>0.94</v>
      </c>
      <c r="J31" s="3" t="n">
        <v>0.95</v>
      </c>
      <c r="K31" s="3" t="n">
        <v>0.96</v>
      </c>
      <c r="L31" s="3" t="n">
        <v>0.97</v>
      </c>
    </row>
    <row r="32" customFormat="false" ht="15" hidden="false" customHeight="false" outlineLevel="0" collapsed="false">
      <c r="A32" s="0" t="s">
        <v>111</v>
      </c>
      <c r="C32" s="3" t="n">
        <v>2.2</v>
      </c>
      <c r="D32" s="3" t="n">
        <v>2.15</v>
      </c>
      <c r="E32" s="3" t="n">
        <v>2.1</v>
      </c>
      <c r="F32" s="3" t="n">
        <v>2.05</v>
      </c>
      <c r="G32" s="3" t="n">
        <v>2</v>
      </c>
      <c r="H32" s="3" t="n">
        <v>1.9</v>
      </c>
      <c r="I32" s="3" t="n">
        <v>1.8</v>
      </c>
      <c r="J32" s="3" t="n">
        <v>1.7</v>
      </c>
      <c r="K32" s="3" t="n">
        <v>1.6</v>
      </c>
      <c r="L32" s="3" t="n">
        <v>1.5</v>
      </c>
    </row>
    <row r="33" customFormat="false" ht="15" hidden="false" customHeight="false" outlineLevel="0" collapsed="false">
      <c r="A33" s="0" t="s">
        <v>112</v>
      </c>
      <c r="C33" s="3" t="n">
        <v>25.5</v>
      </c>
      <c r="D33" s="3" t="n">
        <v>25.5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6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9</v>
      </c>
      <c r="E41" s="3" t="n">
        <v>8.5</v>
      </c>
      <c r="F41" s="3" t="n">
        <v>8.5</v>
      </c>
      <c r="G41" s="3" t="n">
        <v>8</v>
      </c>
      <c r="H41" s="3" t="n">
        <v>7.5</v>
      </c>
      <c r="I41" s="3" t="n">
        <v>7</v>
      </c>
      <c r="J41" s="3" t="n">
        <v>6.5</v>
      </c>
      <c r="K41" s="3" t="n">
        <v>6</v>
      </c>
      <c r="L41" s="3" t="n">
        <v>5.5</v>
      </c>
    </row>
    <row r="42" customFormat="false" ht="15" hidden="false" customHeight="false" outlineLevel="0" collapsed="false">
      <c r="A42" s="0" t="s">
        <v>107</v>
      </c>
      <c r="C42" s="3" t="n">
        <v>5.1</v>
      </c>
      <c r="D42" s="3" t="n">
        <v>5.2</v>
      </c>
      <c r="E42" s="3" t="n">
        <v>5.3</v>
      </c>
      <c r="F42" s="3" t="n">
        <v>5.4</v>
      </c>
      <c r="G42" s="3" t="n">
        <v>5.5</v>
      </c>
      <c r="H42" s="3" t="n">
        <v>5.6</v>
      </c>
      <c r="I42" s="3" t="n">
        <v>5.7</v>
      </c>
      <c r="J42" s="3" t="n">
        <v>5.78</v>
      </c>
      <c r="K42" s="3" t="n">
        <v>5.85</v>
      </c>
      <c r="L42" s="3" t="n">
        <v>5.9</v>
      </c>
    </row>
    <row r="43" customFormat="false" ht="15" hidden="false" customHeight="false" outlineLevel="0" collapsed="false">
      <c r="A43" s="0" t="s">
        <v>108</v>
      </c>
      <c r="C43" s="3" t="n">
        <v>0.44</v>
      </c>
      <c r="D43" s="3" t="n">
        <v>0.44</v>
      </c>
      <c r="E43" s="3" t="n">
        <v>0.43</v>
      </c>
      <c r="F43" s="3" t="n">
        <v>0.43</v>
      </c>
      <c r="G43" s="3" t="n">
        <v>0.42</v>
      </c>
      <c r="H43" s="3" t="n">
        <v>0.42</v>
      </c>
      <c r="I43" s="3" t="n">
        <v>0.41</v>
      </c>
      <c r="J43" s="3" t="n">
        <v>0.41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0.88</v>
      </c>
      <c r="D45" s="3" t="n">
        <v>0.89</v>
      </c>
      <c r="E45" s="3" t="n">
        <v>0.9</v>
      </c>
      <c r="F45" s="3" t="n">
        <v>0.91</v>
      </c>
      <c r="G45" s="3" t="n">
        <v>0.92</v>
      </c>
      <c r="H45" s="3" t="n">
        <v>0.93</v>
      </c>
      <c r="I45" s="3" t="n">
        <v>0.94</v>
      </c>
      <c r="J45" s="3" t="n">
        <v>0.95</v>
      </c>
      <c r="K45" s="3" t="n">
        <v>0.96</v>
      </c>
      <c r="L45" s="3" t="n">
        <v>0.97</v>
      </c>
    </row>
    <row r="46" customFormat="false" ht="15" hidden="false" customHeight="false" outlineLevel="0" collapsed="false">
      <c r="A46" s="0" t="s">
        <v>111</v>
      </c>
      <c r="C46" s="3" t="n">
        <v>2.3</v>
      </c>
      <c r="D46" s="3" t="n">
        <v>2.3</v>
      </c>
      <c r="E46" s="3" t="n">
        <v>2.25</v>
      </c>
      <c r="F46" s="3" t="n">
        <v>2.2</v>
      </c>
      <c r="G46" s="3" t="n">
        <v>2.1</v>
      </c>
      <c r="H46" s="3" t="n">
        <v>2</v>
      </c>
      <c r="I46" s="3" t="n">
        <v>1.9</v>
      </c>
      <c r="J46" s="3" t="n">
        <v>1.8</v>
      </c>
      <c r="K46" s="3" t="n">
        <v>1.7</v>
      </c>
      <c r="L46" s="3" t="n">
        <v>1.6</v>
      </c>
    </row>
    <row r="47" customFormat="false" ht="15" hidden="false" customHeight="false" outlineLevel="0" collapsed="false">
      <c r="A47" s="0" t="s">
        <v>112</v>
      </c>
      <c r="C47" s="3" t="n">
        <v>25.5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8</v>
      </c>
    </row>
    <row r="52" customFormat="false" ht="15" hidden="false" customHeight="false" outlineLevel="0" collapsed="false">
      <c r="A52" s="0" t="s">
        <v>117</v>
      </c>
      <c r="B52" s="3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5.5</v>
      </c>
      <c r="D5" s="4" t="n">
        <f aca="false">Assumptions!D13</f>
        <v>5</v>
      </c>
      <c r="E5" s="4" t="n">
        <f aca="false">Assumptions!E13</f>
        <v>5</v>
      </c>
      <c r="F5" s="4" t="n">
        <f aca="false">Assumptions!F13</f>
        <v>4.5</v>
      </c>
      <c r="G5" s="4" t="n">
        <f aca="false">Assumptions!G13</f>
        <v>4.5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298600</v>
      </c>
      <c r="C6" s="0" t="n">
        <f aca="false">B6*(1+C5/100)</f>
        <v>315023</v>
      </c>
      <c r="D6" s="0" t="n">
        <f aca="false">C6*(1+D5/100)</f>
        <v>330774.15</v>
      </c>
      <c r="E6" s="0" t="n">
        <f aca="false">D6*(1+E5/100)</f>
        <v>347312.8575</v>
      </c>
      <c r="F6" s="0" t="n">
        <f aca="false">E6*(1+F5/100)</f>
        <v>362941.9360875</v>
      </c>
      <c r="G6" s="0" t="n">
        <f aca="false">F6*(1+G5/100)</f>
        <v>379274.323211438</v>
      </c>
      <c r="H6" s="0" t="n">
        <f aca="false">G6*(1+H5/100)</f>
        <v>394445.296139895</v>
      </c>
      <c r="I6" s="0" t="n">
        <f aca="false">H6*(1+I5/100)</f>
        <v>410223.107985491</v>
      </c>
      <c r="J6" s="0" t="n">
        <f aca="false">I6*(1+J5/100)</f>
        <v>424580.916764983</v>
      </c>
      <c r="K6" s="0" t="n">
        <f aca="false">J6*(1+K5/100)</f>
        <v>437318.344267932</v>
      </c>
      <c r="L6" s="0" t="n">
        <f aca="false">K6*(1+L5/100)</f>
        <v>450437.89459597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4.95</v>
      </c>
      <c r="D7" s="4" t="n">
        <f aca="false">Assumptions!D14</f>
        <v>4.9</v>
      </c>
      <c r="E7" s="4" t="n">
        <f aca="false">Assumptions!E14</f>
        <v>4.85</v>
      </c>
      <c r="F7" s="4" t="n">
        <f aca="false">Assumptions!F14</f>
        <v>4.8</v>
      </c>
      <c r="G7" s="4" t="n">
        <f aca="false">Assumptions!G14</f>
        <v>4.78</v>
      </c>
      <c r="H7" s="4" t="n">
        <f aca="false">Assumptions!H14</f>
        <v>4.75</v>
      </c>
      <c r="I7" s="4" t="n">
        <f aca="false">Assumptions!I14</f>
        <v>4.72</v>
      </c>
      <c r="J7" s="4" t="n">
        <f aca="false">Assumptions!J14</f>
        <v>4.7</v>
      </c>
      <c r="K7" s="4" t="n">
        <f aca="false">Assumptions!K14</f>
        <v>4.7</v>
      </c>
      <c r="L7" s="4" t="n">
        <f aca="false">Assumptions!L14</f>
        <v>4.7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15593.6385</v>
      </c>
      <c r="D8" s="0" t="n">
        <f aca="false">D6*D7/100</f>
        <v>16207.93335</v>
      </c>
      <c r="E8" s="0" t="n">
        <f aca="false">E6*E7/100</f>
        <v>16844.67358875</v>
      </c>
      <c r="F8" s="0" t="n">
        <f aca="false">F6*F7/100</f>
        <v>17421.2129322</v>
      </c>
      <c r="G8" s="0" t="n">
        <f aca="false">G6*G7/100</f>
        <v>18129.3126495067</v>
      </c>
      <c r="H8" s="0" t="n">
        <f aca="false">H6*H7/100</f>
        <v>18736.151566645</v>
      </c>
      <c r="I8" s="0" t="n">
        <f aca="false">I6*I7/100</f>
        <v>19362.5306969152</v>
      </c>
      <c r="J8" s="0" t="n">
        <f aca="false">J6*J7/100</f>
        <v>19955.3030879542</v>
      </c>
      <c r="K8" s="0" t="n">
        <f aca="false">K6*K7/100</f>
        <v>20553.9621805928</v>
      </c>
      <c r="L8" s="0" t="n">
        <f aca="false">L6*L7/100</f>
        <v>21170.5810460106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0.44</v>
      </c>
      <c r="D9" s="4" t="n">
        <f aca="false">Assumptions!D15</f>
        <v>0.44</v>
      </c>
      <c r="E9" s="4" t="n">
        <f aca="false">Assumptions!E15</f>
        <v>0.43</v>
      </c>
      <c r="F9" s="4" t="n">
        <f aca="false">Assumptions!F15</f>
        <v>0.43</v>
      </c>
      <c r="G9" s="4" t="n">
        <f aca="false">Assumptions!G15</f>
        <v>0.42</v>
      </c>
      <c r="H9" s="4" t="n">
        <f aca="false">Assumptions!H15</f>
        <v>0.42</v>
      </c>
      <c r="I9" s="4" t="n">
        <f aca="false">Assumptions!I15</f>
        <v>0.41</v>
      </c>
      <c r="J9" s="4" t="n">
        <f aca="false">Assumptions!J15</f>
        <v>0.41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-1386.1012</v>
      </c>
      <c r="D10" s="0" t="n">
        <f aca="false">-D6*D9/100</f>
        <v>-1455.40626</v>
      </c>
      <c r="E10" s="0" t="n">
        <f aca="false">-E6*E9/100</f>
        <v>-1493.44528725</v>
      </c>
      <c r="F10" s="0" t="n">
        <f aca="false">-F6*F9/100</f>
        <v>-1560.65032517625</v>
      </c>
      <c r="G10" s="0" t="n">
        <f aca="false">-G6*G9/100</f>
        <v>-1592.95215748804</v>
      </c>
      <c r="H10" s="0" t="n">
        <f aca="false">-H6*H9/100</f>
        <v>-1656.67024378756</v>
      </c>
      <c r="I10" s="0" t="n">
        <f aca="false">-I6*I9/100</f>
        <v>-1681.91474274051</v>
      </c>
      <c r="J10" s="0" t="n">
        <f aca="false">-J6*J9/100</f>
        <v>-1740.78175873643</v>
      </c>
      <c r="K10" s="0" t="n">
        <f aca="false">-K6*K9/100</f>
        <v>-1749.27337707173</v>
      </c>
      <c r="L10" s="0" t="n">
        <f aca="false">-L6*L9/100</f>
        <v>-1801.75157838388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14207.5373</v>
      </c>
      <c r="D11" s="0" t="n">
        <f aca="false">D8+D10+D24</f>
        <v>14752.52709</v>
      </c>
      <c r="E11" s="0" t="n">
        <f aca="false">E8+E10+E24</f>
        <v>15351.2283015</v>
      </c>
      <c r="F11" s="0" t="n">
        <f aca="false">F8+F10+F24</f>
        <v>15860.5626070238</v>
      </c>
      <c r="G11" s="0" t="n">
        <f aca="false">G8+G10+G24</f>
        <v>16536.3604920187</v>
      </c>
      <c r="H11" s="0" t="n">
        <f aca="false">H8+H10+H24</f>
        <v>17079.4813228575</v>
      </c>
      <c r="I11" s="0" t="n">
        <f aca="false">I8+I10+I24</f>
        <v>17680.6159541747</v>
      </c>
      <c r="J11" s="0" t="n">
        <f aca="false">J8+J10+J24</f>
        <v>18214.5213292178</v>
      </c>
      <c r="K11" s="0" t="n">
        <f aca="false">K8+K10+K24</f>
        <v>18804.6888035211</v>
      </c>
      <c r="L11" s="0" t="n">
        <f aca="false">L8+L10+L24</f>
        <v>19368.8294676267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-2772.2024</v>
      </c>
      <c r="D12" s="4" t="n">
        <f aca="false">-D6*Assumptions!D17/100</f>
        <v>-2943.889935</v>
      </c>
      <c r="E12" s="4" t="n">
        <f aca="false">-E6*Assumptions!E17/100</f>
        <v>-3125.8157175</v>
      </c>
      <c r="F12" s="4" t="n">
        <f aca="false">-F6*Assumptions!F17/100</f>
        <v>-3302.77161839625</v>
      </c>
      <c r="G12" s="4" t="n">
        <f aca="false">-G6*Assumptions!G17/100</f>
        <v>-3489.32377354523</v>
      </c>
      <c r="H12" s="4" t="n">
        <f aca="false">-H6*Assumptions!H17/100</f>
        <v>-3668.34125410102</v>
      </c>
      <c r="I12" s="4" t="n">
        <f aca="false">-I6*Assumptions!I17/100</f>
        <v>-3856.09721506361</v>
      </c>
      <c r="J12" s="4" t="n">
        <f aca="false">-J6*Assumptions!J17/100</f>
        <v>-4033.51870926734</v>
      </c>
      <c r="K12" s="4" t="n">
        <f aca="false">-K6*Assumptions!K17/100</f>
        <v>-4198.25610497215</v>
      </c>
      <c r="L12" s="4" t="n">
        <f aca="false">-L6*Assumptions!L17/100</f>
        <v>-4369.24757758091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11435.3349</v>
      </c>
      <c r="D13" s="0" t="n">
        <f aca="false">D11+D12</f>
        <v>11808.637155</v>
      </c>
      <c r="E13" s="0" t="n">
        <f aca="false">E11+E12</f>
        <v>12225.412584</v>
      </c>
      <c r="F13" s="0" t="n">
        <f aca="false">F11+F12</f>
        <v>12557.7909886275</v>
      </c>
      <c r="G13" s="0" t="n">
        <f aca="false">G11+G12</f>
        <v>13047.0367184734</v>
      </c>
      <c r="H13" s="0" t="n">
        <f aca="false">H11+H12</f>
        <v>13411.1400687564</v>
      </c>
      <c r="I13" s="0" t="n">
        <f aca="false">I11+I12</f>
        <v>13824.518739111</v>
      </c>
      <c r="J13" s="0" t="n">
        <f aca="false">J11+J12</f>
        <v>14181.0026199504</v>
      </c>
      <c r="K13" s="0" t="n">
        <f aca="false">K11+K12</f>
        <v>14606.4326985489</v>
      </c>
      <c r="L13" s="0" t="n">
        <f aca="false">L11+L12</f>
        <v>14999.5818900458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25.5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8519.3245005</v>
      </c>
      <c r="D15" s="0" t="n">
        <f aca="false">D13-MAX(0,D13)*D14/100</f>
        <v>8797.434680475</v>
      </c>
      <c r="E15" s="0" t="n">
        <f aca="false">E13-MAX(0,E13)*E14/100</f>
        <v>9107.93237508</v>
      </c>
      <c r="F15" s="0" t="n">
        <f aca="false">F13-MAX(0,F13)*F14/100</f>
        <v>9355.55428652749</v>
      </c>
      <c r="G15" s="0" t="n">
        <f aca="false">G13-MAX(0,G13)*G14/100</f>
        <v>9720.04235526272</v>
      </c>
      <c r="H15" s="0" t="n">
        <f aca="false">H13-MAX(0,H13)*H14/100</f>
        <v>9991.29935122354</v>
      </c>
      <c r="I15" s="0" t="n">
        <f aca="false">I13-MAX(0,I13)*I14/100</f>
        <v>10299.2664606377</v>
      </c>
      <c r="J15" s="0" t="n">
        <f aca="false">J13-MAX(0,J13)*J14/100</f>
        <v>10564.8469518631</v>
      </c>
      <c r="K15" s="0" t="n">
        <f aca="false">K13-MAX(0,K13)*K14/100</f>
        <v>10881.792360419</v>
      </c>
      <c r="L15" s="0" t="n">
        <f aca="false">L13-MAX(0,L13)*L14/100</f>
        <v>11174.6885080841</v>
      </c>
    </row>
    <row r="16" customFormat="false" ht="15" hidden="false" customHeight="false" outlineLevel="0" collapsed="false">
      <c r="A16" s="0" t="s">
        <v>128</v>
      </c>
      <c r="C16" s="0" t="n">
        <f aca="false">-C12</f>
        <v>2772.2024</v>
      </c>
      <c r="D16" s="0" t="n">
        <f aca="false">-D12</f>
        <v>2943.889935</v>
      </c>
      <c r="E16" s="0" t="n">
        <f aca="false">-E12</f>
        <v>3125.8157175</v>
      </c>
      <c r="F16" s="0" t="n">
        <f aca="false">-F12</f>
        <v>3302.77161839625</v>
      </c>
      <c r="G16" s="0" t="n">
        <f aca="false">-G12</f>
        <v>3489.32377354523</v>
      </c>
      <c r="H16" s="0" t="n">
        <f aca="false">-H12</f>
        <v>3668.34125410102</v>
      </c>
      <c r="I16" s="0" t="n">
        <f aca="false">-I12</f>
        <v>3856.09721506361</v>
      </c>
      <c r="J16" s="0" t="n">
        <f aca="false">-J12</f>
        <v>4033.51870926734</v>
      </c>
      <c r="K16" s="0" t="n">
        <f aca="false">-K12</f>
        <v>4198.25610497215</v>
      </c>
      <c r="L16" s="0" t="n">
        <f aca="false">-L12</f>
        <v>4369.24757758091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-6615.483</v>
      </c>
      <c r="D17" s="4" t="n">
        <f aca="false">-D6*Assumptions!D18/100</f>
        <v>-6615.483</v>
      </c>
      <c r="E17" s="4" t="n">
        <f aca="false">-E6*Assumptions!E18/100</f>
        <v>-6598.9442925</v>
      </c>
      <c r="F17" s="4" t="n">
        <f aca="false">-F6*Assumptions!F18/100</f>
        <v>-6532.954849575</v>
      </c>
      <c r="G17" s="4" t="n">
        <f aca="false">-G6*Assumptions!G18/100</f>
        <v>-6447.66349459444</v>
      </c>
      <c r="H17" s="4" t="n">
        <f aca="false">-H6*Assumptions!H18/100</f>
        <v>-6311.12473823832</v>
      </c>
      <c r="I17" s="4" t="n">
        <f aca="false">-I6*Assumptions!I18/100</f>
        <v>-6153.34661978236</v>
      </c>
      <c r="J17" s="4" t="n">
        <f aca="false">-J6*Assumptions!J18/100</f>
        <v>-6156.42329309225</v>
      </c>
      <c r="K17" s="4" t="n">
        <f aca="false">-K6*Assumptions!K18/100</f>
        <v>-6122.45681975105</v>
      </c>
      <c r="L17" s="4" t="n">
        <f aca="false">-L6*Assumptions!L18/100</f>
        <v>-6306.13052434359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656.92</v>
      </c>
      <c r="D18" s="4" t="n">
        <f aca="false">(D6-C6)*Assumptions!$B$23/100</f>
        <v>630.046000000001</v>
      </c>
      <c r="E18" s="4" t="n">
        <f aca="false">(E6-D6)*Assumptions!$B$23/100</f>
        <v>661.548300000001</v>
      </c>
      <c r="F18" s="4" t="n">
        <f aca="false">(F6-E6)*Assumptions!$B$23/100</f>
        <v>625.163143499999</v>
      </c>
      <c r="G18" s="4" t="n">
        <f aca="false">(G6-F6)*Assumptions!$B$23/100</f>
        <v>653.295484957499</v>
      </c>
      <c r="H18" s="4" t="n">
        <f aca="false">(H6-G6)*Assumptions!$B$23/100</f>
        <v>606.838917138299</v>
      </c>
      <c r="I18" s="4" t="n">
        <f aca="false">(I6-H6)*Assumptions!$B$23/100</f>
        <v>631.112473823833</v>
      </c>
      <c r="J18" s="4" t="n">
        <f aca="false">(J6-I6)*Assumptions!$B$23/100</f>
        <v>574.312351179686</v>
      </c>
      <c r="K18" s="4" t="n">
        <f aca="false">(K6-J6)*Assumptions!$B$23/100</f>
        <v>509.49710011798</v>
      </c>
      <c r="L18" s="4" t="n">
        <f aca="false">(L6-K6)*Assumptions!$B$23/100</f>
        <v>524.78201312152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5332.9639005</v>
      </c>
      <c r="D19" s="0" t="n">
        <f aca="false">D15+D16+D17+D18</f>
        <v>5755.887615475</v>
      </c>
      <c r="E19" s="0" t="n">
        <f aca="false">E15+E16+E17+E18</f>
        <v>6296.35210008</v>
      </c>
      <c r="F19" s="0" t="n">
        <f aca="false">F15+F16+F17+F18</f>
        <v>6750.53419884874</v>
      </c>
      <c r="G19" s="0" t="n">
        <f aca="false">G15+G16+G17+G18</f>
        <v>7414.99811917101</v>
      </c>
      <c r="H19" s="0" t="n">
        <f aca="false">H15+H16+H17+H18</f>
        <v>7955.35478422454</v>
      </c>
      <c r="I19" s="0" t="n">
        <f aca="false">I15+I16+I17+I18</f>
        <v>8633.12952974281</v>
      </c>
      <c r="J19" s="0" t="n">
        <f aca="false">J15+J16+J17+J18</f>
        <v>9016.25471921784</v>
      </c>
      <c r="K19" s="0" t="n">
        <f aca="false">K15+K16+K17+K18</f>
        <v>9467.08874575804</v>
      </c>
      <c r="L19" s="0" t="n">
        <f aca="false">L15+L16+L17+L18</f>
        <v>9762.58757444298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4937.9295375</v>
      </c>
      <c r="D21" s="0" t="n">
        <f aca="false">D19*D20</f>
        <v>4934.74589804098</v>
      </c>
      <c r="E21" s="0" t="n">
        <f aca="false">E19*E20</f>
        <v>4998.24729785856</v>
      </c>
      <c r="F21" s="0" t="n">
        <f aca="false">F19*F20</f>
        <v>4961.84415847721</v>
      </c>
      <c r="G21" s="0" t="n">
        <f aca="false">G19*G20</f>
        <v>5046.52312594467</v>
      </c>
      <c r="H21" s="0" t="n">
        <f aca="false">H19*H20</f>
        <v>5013.2229560975</v>
      </c>
      <c r="I21" s="0" t="n">
        <f aca="false">I19*I20</f>
        <v>5037.34816165883</v>
      </c>
      <c r="J21" s="0" t="n">
        <f aca="false">J19*J20</f>
        <v>4871.2018795375</v>
      </c>
      <c r="K21" s="0" t="n">
        <f aca="false">K19*K20</f>
        <v>4735.90136680732</v>
      </c>
      <c r="L21" s="0" t="n">
        <f aca="false">L19*L20</f>
        <v>4521.96699133844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49058.931373261</v>
      </c>
    </row>
    <row r="31" customFormat="false" ht="15" hidden="false" customHeight="false" outlineLevel="0" collapsed="false">
      <c r="A31" s="0" t="s">
        <v>137</v>
      </c>
      <c r="B31" s="0" t="n">
        <f aca="false">L19</f>
        <v>9762.58757444298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181939.132069165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156201.401191088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156201.401191088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72351.4718614151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121410.403234676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134257.403234676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302.088975169714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-0.672626318542951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10623.4957778632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15553.1561492738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360.988356235657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80053.2181104325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153.11137689811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7.5</v>
      </c>
      <c r="D5" s="4" t="n">
        <f aca="false">Assumptions!D27</f>
        <v>7.5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298600</v>
      </c>
      <c r="C6" s="0" t="n">
        <f aca="false">B6*(1+C5/100)</f>
        <v>320995</v>
      </c>
      <c r="D6" s="0" t="n">
        <f aca="false">C6*(1+D5/100)</f>
        <v>345069.625</v>
      </c>
      <c r="E6" s="0" t="n">
        <f aca="false">D6*(1+E5/100)</f>
        <v>369224.49875</v>
      </c>
      <c r="F6" s="0" t="n">
        <f aca="false">E6*(1+F5/100)</f>
        <v>395070.2136625</v>
      </c>
      <c r="G6" s="0" t="n">
        <f aca="false">F6*(1+G5/100)</f>
        <v>420749.777550563</v>
      </c>
      <c r="H6" s="0" t="n">
        <f aca="false">G6*(1+H5/100)</f>
        <v>445994.764203596</v>
      </c>
      <c r="I6" s="0" t="n">
        <f aca="false">H6*(1+I5/100)</f>
        <v>470524.476234794</v>
      </c>
      <c r="J6" s="0" t="n">
        <f aca="false">I6*(1+J5/100)</f>
        <v>494050.700046534</v>
      </c>
      <c r="K6" s="0" t="n">
        <f aca="false">J6*(1+K5/100)</f>
        <v>516282.981548628</v>
      </c>
      <c r="L6" s="0" t="n">
        <f aca="false">K6*(1+L5/100)</f>
        <v>536934.300810573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5.05</v>
      </c>
      <c r="D7" s="4" t="n">
        <f aca="false">Assumptions!D28</f>
        <v>5.1</v>
      </c>
      <c r="E7" s="4" t="n">
        <f aca="false">Assumptions!E28</f>
        <v>5.15</v>
      </c>
      <c r="F7" s="4" t="n">
        <f aca="false">Assumptions!F28</f>
        <v>5.2</v>
      </c>
      <c r="G7" s="4" t="n">
        <f aca="false">Assumptions!G28</f>
        <v>5.25</v>
      </c>
      <c r="H7" s="4" t="n">
        <f aca="false">Assumptions!H28</f>
        <v>5.3</v>
      </c>
      <c r="I7" s="4" t="n">
        <f aca="false">Assumptions!I28</f>
        <v>5.33</v>
      </c>
      <c r="J7" s="4" t="n">
        <f aca="false">Assumptions!J28</f>
        <v>5.36</v>
      </c>
      <c r="K7" s="4" t="n">
        <f aca="false">Assumptions!K28</f>
        <v>5.38</v>
      </c>
      <c r="L7" s="4" t="n">
        <f aca="false">Assumptions!L28</f>
        <v>5.4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16210.2475</v>
      </c>
      <c r="D8" s="0" t="n">
        <f aca="false">D6*D7/100</f>
        <v>17598.550875</v>
      </c>
      <c r="E8" s="0" t="n">
        <f aca="false">E6*E7/100</f>
        <v>19015.061685625</v>
      </c>
      <c r="F8" s="0" t="n">
        <f aca="false">F6*F7/100</f>
        <v>20543.65111045</v>
      </c>
      <c r="G8" s="0" t="n">
        <f aca="false">G6*G7/100</f>
        <v>22089.3633214045</v>
      </c>
      <c r="H8" s="0" t="n">
        <f aca="false">H6*H7/100</f>
        <v>23637.7225027906</v>
      </c>
      <c r="I8" s="0" t="n">
        <f aca="false">I6*I7/100</f>
        <v>25078.9545833145</v>
      </c>
      <c r="J8" s="0" t="n">
        <f aca="false">J6*J7/100</f>
        <v>26481.1175224942</v>
      </c>
      <c r="K8" s="0" t="n">
        <f aca="false">K6*K7/100</f>
        <v>27776.0244073162</v>
      </c>
      <c r="L8" s="0" t="n">
        <f aca="false">L6*L7/100</f>
        <v>28994.4522437709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0.44</v>
      </c>
      <c r="D9" s="4" t="n">
        <f aca="false">Assumptions!D29</f>
        <v>0.44</v>
      </c>
      <c r="E9" s="4" t="n">
        <f aca="false">Assumptions!E29</f>
        <v>0.43</v>
      </c>
      <c r="F9" s="4" t="n">
        <f aca="false">Assumptions!F29</f>
        <v>0.43</v>
      </c>
      <c r="G9" s="4" t="n">
        <f aca="false">Assumptions!G29</f>
        <v>0.42</v>
      </c>
      <c r="H9" s="4" t="n">
        <f aca="false">Assumptions!H29</f>
        <v>0.42</v>
      </c>
      <c r="I9" s="4" t="n">
        <f aca="false">Assumptions!I29</f>
        <v>0.41</v>
      </c>
      <c r="J9" s="4" t="n">
        <f aca="false">Assumptions!J29</f>
        <v>0.41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-1412.378</v>
      </c>
      <c r="D10" s="0" t="n">
        <f aca="false">-D6*D9/100</f>
        <v>-1518.30635</v>
      </c>
      <c r="E10" s="0" t="n">
        <f aca="false">-E6*E9/100</f>
        <v>-1587.665344625</v>
      </c>
      <c r="F10" s="0" t="n">
        <f aca="false">-F6*F9/100</f>
        <v>-1698.80191874875</v>
      </c>
      <c r="G10" s="0" t="n">
        <f aca="false">-G6*G9/100</f>
        <v>-1767.14906571236</v>
      </c>
      <c r="H10" s="0" t="n">
        <f aca="false">-H6*H9/100</f>
        <v>-1873.1780096551</v>
      </c>
      <c r="I10" s="0" t="n">
        <f aca="false">-I6*I9/100</f>
        <v>-1929.15035256266</v>
      </c>
      <c r="J10" s="0" t="n">
        <f aca="false">-J6*J9/100</f>
        <v>-2025.60787019079</v>
      </c>
      <c r="K10" s="0" t="n">
        <f aca="false">-K6*K9/100</f>
        <v>-2065.13192619451</v>
      </c>
      <c r="L10" s="0" t="n">
        <f aca="false">-L6*L9/100</f>
        <v>-2147.73720324229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14797.8695</v>
      </c>
      <c r="D11" s="0" t="n">
        <f aca="false">D8+D10+D24</f>
        <v>16080.244525</v>
      </c>
      <c r="E11" s="0" t="n">
        <f aca="false">E8+E10+E24</f>
        <v>17427.396341</v>
      </c>
      <c r="F11" s="0" t="n">
        <f aca="false">F8+F10+F24</f>
        <v>18844.8491917013</v>
      </c>
      <c r="G11" s="0" t="n">
        <f aca="false">G8+G10+G24</f>
        <v>20322.2142556922</v>
      </c>
      <c r="H11" s="0" t="n">
        <f aca="false">H8+H10+H24</f>
        <v>21764.5444931355</v>
      </c>
      <c r="I11" s="0" t="n">
        <f aca="false">I8+I10+I24</f>
        <v>23149.8042307519</v>
      </c>
      <c r="J11" s="0" t="n">
        <f aca="false">J8+J10+J24</f>
        <v>24455.5096523034</v>
      </c>
      <c r="K11" s="0" t="n">
        <f aca="false">K8+K10+K24</f>
        <v>25710.8924811217</v>
      </c>
      <c r="L11" s="0" t="n">
        <f aca="false">L8+L10+L24</f>
        <v>26846.7150405286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-2824.756</v>
      </c>
      <c r="D12" s="4" t="n">
        <f aca="false">-D6*Assumptions!D31/100</f>
        <v>-3071.1196625</v>
      </c>
      <c r="E12" s="4" t="n">
        <f aca="false">-E6*Assumptions!E31/100</f>
        <v>-3323.02048875</v>
      </c>
      <c r="F12" s="4" t="n">
        <f aca="false">-F6*Assumptions!F31/100</f>
        <v>-3595.13894432875</v>
      </c>
      <c r="G12" s="4" t="n">
        <f aca="false">-G6*Assumptions!G31/100</f>
        <v>-3870.89795346518</v>
      </c>
      <c r="H12" s="4" t="n">
        <f aca="false">-H6*Assumptions!H31/100</f>
        <v>-4147.75130709345</v>
      </c>
      <c r="I12" s="4" t="n">
        <f aca="false">-I6*Assumptions!I31/100</f>
        <v>-4422.93007660706</v>
      </c>
      <c r="J12" s="4" t="n">
        <f aca="false">-J6*Assumptions!J31/100</f>
        <v>-4693.48165044207</v>
      </c>
      <c r="K12" s="4" t="n">
        <f aca="false">-K6*Assumptions!K31/100</f>
        <v>-4956.31662286683</v>
      </c>
      <c r="L12" s="4" t="n">
        <f aca="false">-L6*Assumptions!L31/100</f>
        <v>-5208.26271786256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11973.1135</v>
      </c>
      <c r="D13" s="0" t="n">
        <f aca="false">D11+D12</f>
        <v>13009.1248625</v>
      </c>
      <c r="E13" s="0" t="n">
        <f aca="false">E11+E12</f>
        <v>14104.37585225</v>
      </c>
      <c r="F13" s="0" t="n">
        <f aca="false">F11+F12</f>
        <v>15249.7102473725</v>
      </c>
      <c r="G13" s="0" t="n">
        <f aca="false">G11+G12</f>
        <v>16451.316302227</v>
      </c>
      <c r="H13" s="0" t="n">
        <f aca="false">H11+H12</f>
        <v>17616.7931860421</v>
      </c>
      <c r="I13" s="0" t="n">
        <f aca="false">I11+I12</f>
        <v>18726.8741541448</v>
      </c>
      <c r="J13" s="0" t="n">
        <f aca="false">J11+J12</f>
        <v>19762.0280018614</v>
      </c>
      <c r="K13" s="0" t="n">
        <f aca="false">K11+K12</f>
        <v>20754.5758582548</v>
      </c>
      <c r="L13" s="0" t="n">
        <f aca="false">L11+L12</f>
        <v>21638.4523226661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25.5</v>
      </c>
      <c r="D14" s="4" t="n">
        <f aca="false">Assumptions!D33</f>
        <v>25.5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8919.9695575</v>
      </c>
      <c r="D15" s="0" t="n">
        <f aca="false">D13-MAX(0,D13)*D14/100</f>
        <v>9691.7980225625</v>
      </c>
      <c r="E15" s="0" t="n">
        <f aca="false">E13-MAX(0,E13)*E14/100</f>
        <v>10507.7600099262</v>
      </c>
      <c r="F15" s="0" t="n">
        <f aca="false">F13-MAX(0,F13)*F14/100</f>
        <v>11361.0341342925</v>
      </c>
      <c r="G15" s="0" t="n">
        <f aca="false">G13-MAX(0,G13)*G14/100</f>
        <v>12256.2306451591</v>
      </c>
      <c r="H15" s="0" t="n">
        <f aca="false">H13-MAX(0,H13)*H14/100</f>
        <v>13124.5109236013</v>
      </c>
      <c r="I15" s="0" t="n">
        <f aca="false">I13-MAX(0,I13)*I14/100</f>
        <v>13951.5212448379</v>
      </c>
      <c r="J15" s="0" t="n">
        <f aca="false">J13-MAX(0,J13)*J14/100</f>
        <v>14722.7108613867</v>
      </c>
      <c r="K15" s="0" t="n">
        <f aca="false">K13-MAX(0,K13)*K14/100</f>
        <v>15462.1590143999</v>
      </c>
      <c r="L15" s="0" t="n">
        <f aca="false">L13-MAX(0,L13)*L14/100</f>
        <v>16120.6469803862</v>
      </c>
    </row>
    <row r="16" customFormat="false" ht="15" hidden="false" customHeight="false" outlineLevel="0" collapsed="false">
      <c r="A16" s="0" t="s">
        <v>128</v>
      </c>
      <c r="C16" s="0" t="n">
        <f aca="false">-C12</f>
        <v>2824.756</v>
      </c>
      <c r="D16" s="0" t="n">
        <f aca="false">-D12</f>
        <v>3071.1196625</v>
      </c>
      <c r="E16" s="0" t="n">
        <f aca="false">-E12</f>
        <v>3323.02048875</v>
      </c>
      <c r="F16" s="0" t="n">
        <f aca="false">-F12</f>
        <v>3595.13894432875</v>
      </c>
      <c r="G16" s="0" t="n">
        <f aca="false">-G12</f>
        <v>3870.89795346518</v>
      </c>
      <c r="H16" s="0" t="n">
        <f aca="false">-H12</f>
        <v>4147.75130709345</v>
      </c>
      <c r="I16" s="0" t="n">
        <f aca="false">-I12</f>
        <v>4422.93007660706</v>
      </c>
      <c r="J16" s="0" t="n">
        <f aca="false">-J12</f>
        <v>4693.48165044207</v>
      </c>
      <c r="K16" s="0" t="n">
        <f aca="false">-K12</f>
        <v>4956.31662286683</v>
      </c>
      <c r="L16" s="0" t="n">
        <f aca="false">-L12</f>
        <v>5208.26271786256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-7061.89</v>
      </c>
      <c r="D17" s="4" t="n">
        <f aca="false">-D6*Assumptions!D32/100</f>
        <v>-7418.9969375</v>
      </c>
      <c r="E17" s="4" t="n">
        <f aca="false">-E6*Assumptions!E32/100</f>
        <v>-7753.71447375</v>
      </c>
      <c r="F17" s="4" t="n">
        <f aca="false">-F6*Assumptions!F32/100</f>
        <v>-8098.93938008125</v>
      </c>
      <c r="G17" s="4" t="n">
        <f aca="false">-G6*Assumptions!G32/100</f>
        <v>-8414.99555101125</v>
      </c>
      <c r="H17" s="4" t="n">
        <f aca="false">-H6*Assumptions!H32/100</f>
        <v>-8473.90051986833</v>
      </c>
      <c r="I17" s="4" t="n">
        <f aca="false">-I6*Assumptions!I32/100</f>
        <v>-8469.44057222629</v>
      </c>
      <c r="J17" s="4" t="n">
        <f aca="false">-J6*Assumptions!J32/100</f>
        <v>-8398.86190079108</v>
      </c>
      <c r="K17" s="4" t="n">
        <f aca="false">-K6*Assumptions!K32/100</f>
        <v>-8260.52770477805</v>
      </c>
      <c r="L17" s="4" t="n">
        <f aca="false">-L6*Assumptions!L32/100</f>
        <v>-8054.01451215859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1343.7</v>
      </c>
      <c r="D18" s="4" t="n">
        <f aca="false">(D6-C6)*Assumptions!$B$37/100</f>
        <v>1444.4775</v>
      </c>
      <c r="E18" s="4" t="n">
        <f aca="false">(E6-D6)*Assumptions!$B$37/100</f>
        <v>1449.292425</v>
      </c>
      <c r="F18" s="4" t="n">
        <f aca="false">(F6-E6)*Assumptions!$B$37/100</f>
        <v>1550.74289475</v>
      </c>
      <c r="G18" s="4" t="n">
        <f aca="false">(G6-F6)*Assumptions!$B$37/100</f>
        <v>1540.77383328375</v>
      </c>
      <c r="H18" s="4" t="n">
        <f aca="false">(H6-G6)*Assumptions!$B$37/100</f>
        <v>1514.69919918203</v>
      </c>
      <c r="I18" s="4" t="n">
        <f aca="false">(I6-H6)*Assumptions!$B$37/100</f>
        <v>1471.78272187187</v>
      </c>
      <c r="J18" s="4" t="n">
        <f aca="false">(J6-I6)*Assumptions!$B$37/100</f>
        <v>1411.57342870438</v>
      </c>
      <c r="K18" s="4" t="n">
        <f aca="false">(K6-J6)*Assumptions!$B$37/100</f>
        <v>1333.93689012564</v>
      </c>
      <c r="L18" s="4" t="n">
        <f aca="false">(L6-K6)*Assumptions!$B$37/100</f>
        <v>1239.07915571671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6026.5355575</v>
      </c>
      <c r="D19" s="0" t="n">
        <f aca="false">D15+D16+D17+D18</f>
        <v>6788.3982475625</v>
      </c>
      <c r="E19" s="0" t="n">
        <f aca="false">E15+E16+E17+E18</f>
        <v>7526.35844992625</v>
      </c>
      <c r="F19" s="0" t="n">
        <f aca="false">F15+F16+F17+F18</f>
        <v>8407.97659329001</v>
      </c>
      <c r="G19" s="0" t="n">
        <f aca="false">G15+G16+G17+G18</f>
        <v>9252.90688089678</v>
      </c>
      <c r="H19" s="0" t="n">
        <f aca="false">H15+H16+H17+H18</f>
        <v>10313.0609100085</v>
      </c>
      <c r="I19" s="0" t="n">
        <f aca="false">I15+I16+I17+I18</f>
        <v>11376.7934710905</v>
      </c>
      <c r="J19" s="0" t="n">
        <f aca="false">J15+J16+J17+J18</f>
        <v>12428.9040397421</v>
      </c>
      <c r="K19" s="0" t="n">
        <f aca="false">K15+K16+K17+K18</f>
        <v>13491.8848226143</v>
      </c>
      <c r="L19" s="0" t="n">
        <f aca="false">L15+L16+L17+L18</f>
        <v>14513.9743418069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5580.1255162037</v>
      </c>
      <c r="D21" s="0" t="n">
        <f aca="false">D19*D20</f>
        <v>5819.95734530393</v>
      </c>
      <c r="E21" s="0" t="n">
        <f aca="false">E19*E20</f>
        <v>5974.66599502605</v>
      </c>
      <c r="F21" s="0" t="n">
        <f aca="false">F19*F20</f>
        <v>6180.11379768198</v>
      </c>
      <c r="G21" s="0" t="n">
        <f aca="false">G19*G20</f>
        <v>6297.37294685634</v>
      </c>
      <c r="H21" s="0" t="n">
        <f aca="false">H19*H20</f>
        <v>6498.97774568277</v>
      </c>
      <c r="I21" s="0" t="n">
        <f aca="false">I19*I20</f>
        <v>6638.24971926227</v>
      </c>
      <c r="J21" s="0" t="n">
        <f aca="false">J19*J20</f>
        <v>6714.95012113356</v>
      </c>
      <c r="K21" s="0" t="n">
        <f aca="false">K19*K20</f>
        <v>6749.3014471694</v>
      </c>
      <c r="L21" s="0" t="n">
        <f aca="false">L19*L20</f>
        <v>6722.77840135315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63176.4930356731</v>
      </c>
    </row>
    <row r="31" customFormat="false" ht="15" hidden="false" customHeight="false" outlineLevel="0" collapsed="false">
      <c r="A31" s="0" t="s">
        <v>137</v>
      </c>
      <c r="B31" s="0" t="n">
        <f aca="false">L19</f>
        <v>14513.9743418069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298987.871441222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290279.486836138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290279.486836138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134455.568027063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197632.061062736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210479.061062736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473.593279172729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-0.48676718430724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11749.4938992941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20493.2484651763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546.141807319953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124578.279767176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199.338735432442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9</v>
      </c>
      <c r="E5" s="4" t="n">
        <f aca="false">Assumptions!E41</f>
        <v>8.5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6.5</v>
      </c>
      <c r="K5" s="4" t="n">
        <f aca="false">Assumptions!K41</f>
        <v>6</v>
      </c>
      <c r="L5" s="4" t="n">
        <f aca="false">Assumptions!L41</f>
        <v>5.5</v>
      </c>
    </row>
    <row r="6" customFormat="false" ht="15" hidden="false" customHeight="false" outlineLevel="0" collapsed="false">
      <c r="A6" s="0" t="s">
        <v>37</v>
      </c>
      <c r="B6" s="3" t="n">
        <v>298600</v>
      </c>
      <c r="C6" s="0" t="n">
        <f aca="false">B6*(1+C5/100)</f>
        <v>325474</v>
      </c>
      <c r="D6" s="0" t="n">
        <f aca="false">C6*(1+D5/100)</f>
        <v>354766.66</v>
      </c>
      <c r="E6" s="0" t="n">
        <f aca="false">D6*(1+E5/100)</f>
        <v>384921.8261</v>
      </c>
      <c r="F6" s="0" t="n">
        <f aca="false">E6*(1+F5/100)</f>
        <v>417640.1813185</v>
      </c>
      <c r="G6" s="0" t="n">
        <f aca="false">F6*(1+G5/100)</f>
        <v>451051.39582398</v>
      </c>
      <c r="H6" s="0" t="n">
        <f aca="false">G6*(1+H5/100)</f>
        <v>484880.250510779</v>
      </c>
      <c r="I6" s="0" t="n">
        <f aca="false">H6*(1+I5/100)</f>
        <v>518821.868046533</v>
      </c>
      <c r="J6" s="0" t="n">
        <f aca="false">I6*(1+J5/100)</f>
        <v>552545.289469558</v>
      </c>
      <c r="K6" s="0" t="n">
        <f aca="false">J6*(1+K5/100)</f>
        <v>585698.006837731</v>
      </c>
      <c r="L6" s="0" t="n">
        <f aca="false">K6*(1+L5/100)</f>
        <v>617911.397213806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5.1</v>
      </c>
      <c r="D7" s="4" t="n">
        <f aca="false">Assumptions!D42</f>
        <v>5.2</v>
      </c>
      <c r="E7" s="4" t="n">
        <f aca="false">Assumptions!E42</f>
        <v>5.3</v>
      </c>
      <c r="F7" s="4" t="n">
        <f aca="false">Assumptions!F42</f>
        <v>5.4</v>
      </c>
      <c r="G7" s="4" t="n">
        <f aca="false">Assumptions!G42</f>
        <v>5.5</v>
      </c>
      <c r="H7" s="4" t="n">
        <f aca="false">Assumptions!H42</f>
        <v>5.6</v>
      </c>
      <c r="I7" s="4" t="n">
        <f aca="false">Assumptions!I42</f>
        <v>5.7</v>
      </c>
      <c r="J7" s="4" t="n">
        <f aca="false">Assumptions!J42</f>
        <v>5.78</v>
      </c>
      <c r="K7" s="4" t="n">
        <f aca="false">Assumptions!K42</f>
        <v>5.85</v>
      </c>
      <c r="L7" s="4" t="n">
        <f aca="false">Assumptions!L42</f>
        <v>5.9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16599.174</v>
      </c>
      <c r="D8" s="0" t="n">
        <f aca="false">D6*D7/100</f>
        <v>18447.86632</v>
      </c>
      <c r="E8" s="0" t="n">
        <f aca="false">E6*E7/100</f>
        <v>20400.8567833</v>
      </c>
      <c r="F8" s="0" t="n">
        <f aca="false">F6*F7/100</f>
        <v>22552.569791199</v>
      </c>
      <c r="G8" s="0" t="n">
        <f aca="false">G6*G7/100</f>
        <v>24807.8267703189</v>
      </c>
      <c r="H8" s="0" t="n">
        <f aca="false">H6*H7/100</f>
        <v>27153.2940286036</v>
      </c>
      <c r="I8" s="0" t="n">
        <f aca="false">I6*I7/100</f>
        <v>29572.8464786524</v>
      </c>
      <c r="J8" s="0" t="n">
        <f aca="false">J6*J7/100</f>
        <v>31937.1177313404</v>
      </c>
      <c r="K8" s="0" t="n">
        <f aca="false">K6*K7/100</f>
        <v>34263.3334000073</v>
      </c>
      <c r="L8" s="0" t="n">
        <f aca="false">L6*L7/100</f>
        <v>36456.7724356146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0.44</v>
      </c>
      <c r="D9" s="4" t="n">
        <f aca="false">Assumptions!D43</f>
        <v>0.44</v>
      </c>
      <c r="E9" s="4" t="n">
        <f aca="false">Assumptions!E43</f>
        <v>0.43</v>
      </c>
      <c r="F9" s="4" t="n">
        <f aca="false">Assumptions!F43</f>
        <v>0.43</v>
      </c>
      <c r="G9" s="4" t="n">
        <f aca="false">Assumptions!G43</f>
        <v>0.42</v>
      </c>
      <c r="H9" s="4" t="n">
        <f aca="false">Assumptions!H43</f>
        <v>0.42</v>
      </c>
      <c r="I9" s="4" t="n">
        <f aca="false">Assumptions!I43</f>
        <v>0.41</v>
      </c>
      <c r="J9" s="4" t="n">
        <f aca="false">Assumptions!J43</f>
        <v>0.41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-1432.0856</v>
      </c>
      <c r="D10" s="0" t="n">
        <f aca="false">-D6*D9/100</f>
        <v>-1560.973304</v>
      </c>
      <c r="E10" s="0" t="n">
        <f aca="false">-E6*E9/100</f>
        <v>-1655.16385223</v>
      </c>
      <c r="F10" s="0" t="n">
        <f aca="false">-F6*F9/100</f>
        <v>-1795.85277966955</v>
      </c>
      <c r="G10" s="0" t="n">
        <f aca="false">-G6*G9/100</f>
        <v>-1894.41586246072</v>
      </c>
      <c r="H10" s="0" t="n">
        <f aca="false">-H6*H9/100</f>
        <v>-2036.49705214527</v>
      </c>
      <c r="I10" s="0" t="n">
        <f aca="false">-I6*I9/100</f>
        <v>-2127.16965899079</v>
      </c>
      <c r="J10" s="0" t="n">
        <f aca="false">-J6*J9/100</f>
        <v>-2265.43568682519</v>
      </c>
      <c r="K10" s="0" t="n">
        <f aca="false">-K6*K9/100</f>
        <v>-2342.79202735093</v>
      </c>
      <c r="L10" s="0" t="n">
        <f aca="false">-L6*L9/100</f>
        <v>-2471.64558885523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15167.0884</v>
      </c>
      <c r="D11" s="0" t="n">
        <f aca="false">D8+D10+D24</f>
        <v>16886.893016</v>
      </c>
      <c r="E11" s="0" t="n">
        <f aca="false">E8+E10+E24</f>
        <v>18745.69293107</v>
      </c>
      <c r="F11" s="0" t="n">
        <f aca="false">F8+F10+F24</f>
        <v>20756.7170115295</v>
      </c>
      <c r="G11" s="0" t="n">
        <f aca="false">G8+G10+G24</f>
        <v>22913.4109078582</v>
      </c>
      <c r="H11" s="0" t="n">
        <f aca="false">H8+H10+H24</f>
        <v>25116.7969764583</v>
      </c>
      <c r="I11" s="0" t="n">
        <f aca="false">I8+I10+I24</f>
        <v>27445.6768196616</v>
      </c>
      <c r="J11" s="0" t="n">
        <f aca="false">J8+J10+J24</f>
        <v>29671.6820445152</v>
      </c>
      <c r="K11" s="0" t="n">
        <f aca="false">K8+K10+K24</f>
        <v>31920.5413726564</v>
      </c>
      <c r="L11" s="0" t="n">
        <f aca="false">L8+L10+L24</f>
        <v>33985.1268467594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-2864.1712</v>
      </c>
      <c r="D12" s="4" t="n">
        <f aca="false">-D6*Assumptions!D45/100</f>
        <v>-3157.423274</v>
      </c>
      <c r="E12" s="4" t="n">
        <f aca="false">-E6*Assumptions!E45/100</f>
        <v>-3464.2964349</v>
      </c>
      <c r="F12" s="4" t="n">
        <f aca="false">-F6*Assumptions!F45/100</f>
        <v>-3800.52564999835</v>
      </c>
      <c r="G12" s="4" t="n">
        <f aca="false">-G6*Assumptions!G45/100</f>
        <v>-4149.67284158062</v>
      </c>
      <c r="H12" s="4" t="n">
        <f aca="false">-H6*Assumptions!H45/100</f>
        <v>-4509.38632975024</v>
      </c>
      <c r="I12" s="4" t="n">
        <f aca="false">-I6*Assumptions!I45/100</f>
        <v>-4876.92555963741</v>
      </c>
      <c r="J12" s="4" t="n">
        <f aca="false">-J6*Assumptions!J45/100</f>
        <v>-5249.1802499608</v>
      </c>
      <c r="K12" s="4" t="n">
        <f aca="false">-K6*Assumptions!K45/100</f>
        <v>-5622.70086564222</v>
      </c>
      <c r="L12" s="4" t="n">
        <f aca="false">-L6*Assumptions!L45/100</f>
        <v>-5993.74055297392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12302.9172</v>
      </c>
      <c r="D13" s="0" t="n">
        <f aca="false">D11+D12</f>
        <v>13729.469742</v>
      </c>
      <c r="E13" s="0" t="n">
        <f aca="false">E11+E12</f>
        <v>15281.39649617</v>
      </c>
      <c r="F13" s="0" t="n">
        <f aca="false">F11+F12</f>
        <v>16956.1913615311</v>
      </c>
      <c r="G13" s="0" t="n">
        <f aca="false">G11+G12</f>
        <v>18763.7380662776</v>
      </c>
      <c r="H13" s="0" t="n">
        <f aca="false">H11+H12</f>
        <v>20607.4106467081</v>
      </c>
      <c r="I13" s="0" t="n">
        <f aca="false">I11+I12</f>
        <v>22568.7512600242</v>
      </c>
      <c r="J13" s="0" t="n">
        <f aca="false">J11+J12</f>
        <v>24422.5017945545</v>
      </c>
      <c r="K13" s="0" t="n">
        <f aca="false">K11+K12</f>
        <v>26297.8405070141</v>
      </c>
      <c r="L13" s="0" t="n">
        <f aca="false">L11+L12</f>
        <v>27991.3862937854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25.5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9165.673314</v>
      </c>
      <c r="D15" s="0" t="n">
        <f aca="false">D13-MAX(0,D13)*D14/100</f>
        <v>10228.45495779</v>
      </c>
      <c r="E15" s="0" t="n">
        <f aca="false">E13-MAX(0,E13)*E14/100</f>
        <v>11384.6403896467</v>
      </c>
      <c r="F15" s="0" t="n">
        <f aca="false">F13-MAX(0,F13)*F14/100</f>
        <v>12632.3625643407</v>
      </c>
      <c r="G15" s="0" t="n">
        <f aca="false">G13-MAX(0,G13)*G14/100</f>
        <v>13978.9848593768</v>
      </c>
      <c r="H15" s="0" t="n">
        <f aca="false">H13-MAX(0,H13)*H14/100</f>
        <v>15352.5209317975</v>
      </c>
      <c r="I15" s="0" t="n">
        <f aca="false">I13-MAX(0,I13)*I14/100</f>
        <v>16813.719688718</v>
      </c>
      <c r="J15" s="0" t="n">
        <f aca="false">J13-MAX(0,J13)*J14/100</f>
        <v>18194.7638369431</v>
      </c>
      <c r="K15" s="0" t="n">
        <f aca="false">K13-MAX(0,K13)*K14/100</f>
        <v>19591.8911777255</v>
      </c>
      <c r="L15" s="0" t="n">
        <f aca="false">L13-MAX(0,L13)*L14/100</f>
        <v>20853.5827888701</v>
      </c>
    </row>
    <row r="16" customFormat="false" ht="15" hidden="false" customHeight="false" outlineLevel="0" collapsed="false">
      <c r="A16" s="0" t="s">
        <v>128</v>
      </c>
      <c r="C16" s="0" t="n">
        <f aca="false">-C12</f>
        <v>2864.1712</v>
      </c>
      <c r="D16" s="0" t="n">
        <f aca="false">-D12</f>
        <v>3157.423274</v>
      </c>
      <c r="E16" s="0" t="n">
        <f aca="false">-E12</f>
        <v>3464.2964349</v>
      </c>
      <c r="F16" s="0" t="n">
        <f aca="false">-F12</f>
        <v>3800.52564999835</v>
      </c>
      <c r="G16" s="0" t="n">
        <f aca="false">-G12</f>
        <v>4149.67284158062</v>
      </c>
      <c r="H16" s="0" t="n">
        <f aca="false">-H12</f>
        <v>4509.38632975024</v>
      </c>
      <c r="I16" s="0" t="n">
        <f aca="false">-I12</f>
        <v>4876.92555963741</v>
      </c>
      <c r="J16" s="0" t="n">
        <f aca="false">-J12</f>
        <v>5249.1802499608</v>
      </c>
      <c r="K16" s="0" t="n">
        <f aca="false">-K12</f>
        <v>5622.70086564222</v>
      </c>
      <c r="L16" s="0" t="n">
        <f aca="false">-L12</f>
        <v>5993.74055297392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-7485.902</v>
      </c>
      <c r="D17" s="4" t="n">
        <f aca="false">-D6*Assumptions!D46/100</f>
        <v>-8159.63318</v>
      </c>
      <c r="E17" s="4" t="n">
        <f aca="false">-E6*Assumptions!E46/100</f>
        <v>-8660.74108725</v>
      </c>
      <c r="F17" s="4" t="n">
        <f aca="false">-F6*Assumptions!F46/100</f>
        <v>-9188.083989007</v>
      </c>
      <c r="G17" s="4" t="n">
        <f aca="false">-G6*Assumptions!G46/100</f>
        <v>-9472.07931230358</v>
      </c>
      <c r="H17" s="4" t="n">
        <f aca="false">-H6*Assumptions!H46/100</f>
        <v>-9697.60501021557</v>
      </c>
      <c r="I17" s="4" t="n">
        <f aca="false">-I6*Assumptions!I46/100</f>
        <v>-9857.61549288413</v>
      </c>
      <c r="J17" s="4" t="n">
        <f aca="false">-J6*Assumptions!J46/100</f>
        <v>-9945.81521045204</v>
      </c>
      <c r="K17" s="4" t="n">
        <f aca="false">-K6*Assumptions!K46/100</f>
        <v>-9956.86611624143</v>
      </c>
      <c r="L17" s="4" t="n">
        <f aca="false">-L6*Assumptions!L46/100</f>
        <v>-9886.5823554209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2149.92</v>
      </c>
      <c r="D18" s="4" t="n">
        <f aca="false">(D6-C6)*Assumptions!$B$51/100</f>
        <v>2343.4128</v>
      </c>
      <c r="E18" s="4" t="n">
        <f aca="false">(E6-D6)*Assumptions!$B$51/100</f>
        <v>2412.413288</v>
      </c>
      <c r="F18" s="4" t="n">
        <f aca="false">(F6-E6)*Assumptions!$B$51/100</f>
        <v>2617.46841748</v>
      </c>
      <c r="G18" s="4" t="n">
        <f aca="false">(G6-F6)*Assumptions!$B$51/100</f>
        <v>2672.8971604384</v>
      </c>
      <c r="H18" s="4" t="n">
        <f aca="false">(H6-G6)*Assumptions!$B$51/100</f>
        <v>2706.30837494388</v>
      </c>
      <c r="I18" s="4" t="n">
        <f aca="false">(I6-H6)*Assumptions!$B$51/100</f>
        <v>2715.32940286036</v>
      </c>
      <c r="J18" s="4" t="n">
        <f aca="false">(J6-I6)*Assumptions!$B$51/100</f>
        <v>2697.87371384197</v>
      </c>
      <c r="K18" s="4" t="n">
        <f aca="false">(K6-J6)*Assumptions!$B$51/100</f>
        <v>2652.21738945388</v>
      </c>
      <c r="L18" s="4" t="n">
        <f aca="false">(L6-K6)*Assumptions!$B$51/100</f>
        <v>2577.07123008601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6693.862514</v>
      </c>
      <c r="D19" s="0" t="n">
        <f aca="false">D15+D16+D17+D18</f>
        <v>7569.65785179001</v>
      </c>
      <c r="E19" s="0" t="n">
        <f aca="false">E15+E16+E17+E18</f>
        <v>8600.60902529665</v>
      </c>
      <c r="F19" s="0" t="n">
        <f aca="false">F15+F16+F17+F18</f>
        <v>9862.27264281202</v>
      </c>
      <c r="G19" s="0" t="n">
        <f aca="false">G15+G16+G17+G18</f>
        <v>11329.4755490922</v>
      </c>
      <c r="H19" s="0" t="n">
        <f aca="false">H15+H16+H17+H18</f>
        <v>12870.6106262761</v>
      </c>
      <c r="I19" s="0" t="n">
        <f aca="false">I15+I16+I17+I18</f>
        <v>14548.3591583317</v>
      </c>
      <c r="J19" s="0" t="n">
        <f aca="false">J15+J16+J17+J18</f>
        <v>16196.0025902938</v>
      </c>
      <c r="K19" s="0" t="n">
        <f aca="false">K15+K16+K17+K18</f>
        <v>17909.9433165802</v>
      </c>
      <c r="L19" s="0" t="n">
        <f aca="false">L15+L16+L17+L18</f>
        <v>19537.8122165092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6198.0208462963</v>
      </c>
      <c r="D21" s="0" t="n">
        <f aca="false">D19*D20</f>
        <v>6489.76153274177</v>
      </c>
      <c r="E21" s="0" t="n">
        <f aca="false">E19*E20</f>
        <v>6827.44073668953</v>
      </c>
      <c r="F21" s="0" t="n">
        <f aca="false">F19*F20</f>
        <v>7249.06480888461</v>
      </c>
      <c r="G21" s="0" t="n">
        <f aca="false">G19*G20</f>
        <v>7710.65068991692</v>
      </c>
      <c r="H21" s="0" t="n">
        <f aca="false">H19*H20</f>
        <v>8110.66789611811</v>
      </c>
      <c r="I21" s="0" t="n">
        <f aca="false">I19*I20</f>
        <v>8488.82783571043</v>
      </c>
      <c r="J21" s="0" t="n">
        <f aca="false">J19*J20</f>
        <v>8750.19625284914</v>
      </c>
      <c r="K21" s="0" t="n">
        <f aca="false">K19*K20</f>
        <v>8959.43064550222</v>
      </c>
      <c r="L21" s="0" t="n">
        <f aca="false">L19*L20</f>
        <v>9049.78739010844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77833.8486348175</v>
      </c>
    </row>
    <row r="31" customFormat="false" ht="15" hidden="false" customHeight="false" outlineLevel="0" collapsed="false">
      <c r="A31" s="0" t="s">
        <v>137</v>
      </c>
      <c r="B31" s="0" t="n">
        <f aca="false">L19</f>
        <v>19537.8122165092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402478.931660089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429831.868763202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402478.931660089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186425.620236234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264259.468871051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277106.468871051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623.509819028984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-0.324302700005978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12652.8191322422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23583.9129171861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705.045116037351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167699.55485837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245.301854977655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302.088975169714</v>
      </c>
      <c r="C4" s="0" t="n">
        <f aca="false">B4/Assumptions!$B$2-1</f>
        <v>-0.672626318542951</v>
      </c>
      <c r="D4" s="4" t="n">
        <f aca="false">Assumptions!$B$24</f>
        <v>0.15</v>
      </c>
      <c r="E4" s="4" t="n">
        <f aca="false">DCF_Bear!$B$43</f>
        <v>360.988356235657</v>
      </c>
      <c r="F4" s="4" t="n">
        <f aca="false">DCF_Bear!$B$47</f>
        <v>153.11137689811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473.593279172729</v>
      </c>
      <c r="C5" s="0" t="n">
        <f aca="false">B5/Assumptions!$B$2-1</f>
        <v>-0.48676718430724</v>
      </c>
      <c r="D5" s="4" t="n">
        <f aca="false">Assumptions!$B$38</f>
        <v>0.5</v>
      </c>
      <c r="E5" s="4" t="n">
        <f aca="false">DCF_Base!$B$43</f>
        <v>546.141807319953</v>
      </c>
      <c r="F5" s="4" t="n">
        <f aca="false">DCF_Base!$B$47</f>
        <v>199.338735432442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623.509819028984</v>
      </c>
      <c r="C6" s="0" t="n">
        <f aca="false">B6/Assumptions!$B$2-1</f>
        <v>-0.324302700005978</v>
      </c>
      <c r="D6" s="4" t="n">
        <f aca="false">Assumptions!$B$52</f>
        <v>0.35</v>
      </c>
      <c r="E6" s="4" t="n">
        <f aca="false">DCF_Bull!$B$43</f>
        <v>705.045116037351</v>
      </c>
      <c r="F6" s="4" t="n">
        <f aca="false">DCF_Bull!$B$47</f>
        <v>245.301854977655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500.338422521966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573.984947708397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-0.844281707066956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573.586569642885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208.491723493117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473.593279172729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400.673455439548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342.442508578317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299.042225682094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265.510872388022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199.338735432442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551.904734977875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551.904734977875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551.904734977875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551.904734977875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551.904734977875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510.844827042901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510.844827042901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510.844827042901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510.844827042901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510.844827042901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428.213050106151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452.965902324285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473.593279172729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473.593279172729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473.593279172729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364.872450952502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381.395991484984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400.673455439548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423.455912840395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439.758955751094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317.710420158963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329.252061421328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342.442508578317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357.66225529792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375.41862647079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2026-09-26T00:59:18Z</dcterms:created>
  <dc:creator>openpyxl</dc:creator>
  <dc:description/>
  <dc:language>en-NZ</dc:language>
  <cp:lastModifiedBy/>
  <dcterms:modified xsi:type="dcterms:W3CDTF">2026-09-26T00:59:18Z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