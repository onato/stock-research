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<sst xmlns="http://schemas.openxmlformats.org/spreadsheetml/2006/main" count="390" uniqueCount="176">
  <si>
    <t xml:space="preserve">Ticker</t>
  </si>
  <si>
    <t xml:space="preserve">TFC</t>
  </si>
  <si>
    <t xml:space="preserve">Company</t>
  </si>
  <si>
    <t xml:space="preserve">Truist Financial Corporation</t>
  </si>
  <si>
    <t xml:space="preserve">Valuation date</t>
  </si>
  <si>
    <t xml:space="preserve">2026-10-02</t>
  </si>
  <si>
    <t xml:space="preserve">Current price</t>
  </si>
  <si>
    <t xml:space="preserve">Price as of</t>
  </si>
  <si>
    <t xml:space="preserve">2026-10-01T20:00:03Z regular close (Yahoo Finance chart API)</t>
  </si>
  <si>
    <t xml:space="preserve">Balance sheet date</t>
  </si>
  <si>
    <t xml:space="preserve">2026-06-30</t>
  </si>
  <si>
    <t xml:space="preserve">Model</t>
  </si>
  <si>
    <t xml:space="preserve">FCFE at cost of equity for a bank (engine route, net debt zero, preferred deducted)</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</si>
  <si>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</si>
  <si>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</si>
  <si>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</si>
  <si>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</si>
  <si>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</si>
  <si>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</si>
  <si>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</si>
  <si>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</si>
  <si>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2026-10-02T09:41:05Z</t>
  </si>
  <si>
    <t xml:space="preserve">Drivers file</t>
  </si>
  <si>
    <t xml:space="preserve">TFC_Drivers.json</t>
  </si>
  <si>
    <t xml:space="preserve">Convention</t>
  </si>
  <si>
    <t xml:space="preserve">Percents stored as percents; formulas divide by 100. Blue = input, green = link, black = formula.</t>
  </si>
  <si>
    <t xml:space="preserve">Methodology</t>
  </si>
  <si>
    <t xml:space="preserve">summary: Truist is valued as a bank: free cash flow to equity is earnings after the capital retention needed to keep CET1 flat as the balance sheet grows, discounted at the cost of equity, with preferred deducted and deposits treated as operating funding (net debt zero). The question is whether a ~15% ROTCE franchise at ~1.4x tangible book is cheap; at a 10.5% cost of equity a 15% ROTCE growing 3-4% justifies roughly 1.6-1.7x tangible book.
key_risks_to_valuation: Credit cycle: CRE ($28.9B, 14% office) and consumer losses; each +10bps of NCO on ~$320B loans is ~$320M pre-tax (~$0.22/share of annual earnings); Rate path / NIM: NII guided only +1-1.5% for FY2026 as the auto/marine run-off trades yield for quality; Capital rules: Basel III endgame or AOCI recognition could remove the excess-capital credit and slow buybacks; Execution under new CEO Michael Lyons (from Sept 2026); the 16-18% ROTCE target is not assumed in base; Tax: the ~14.5% effective rate relies on tax-credit investments; base ramps to 17%</t>
  </si>
  <si>
    <t xml:space="preserve">Data sources</t>
  </si>
  <si>
    <t xml:space="preserve">price: Yahoo Finance chart API at inputs.price_as_of; 52-week range 40.78-56.20
financials: SEC XBRL companyfacts (CIK 92230): FY2023-FY2025 10-K and Q1/Q2-2026 10-Q -- InterestIncomeExpenseNet, NoninterestIncome, pre-tax income, ProvisionForLoanLeaseAndOtherLosses, NoninterestExpense, IncomeTaxExpenseBenefit, ShareBasedCompensation, PreferredStockIncludingAdditionalPaidInCapitalNetOfDiscount, Goodwill, FiniteLivedIntangibleAssetsNet, CommonStockSharesOutstanding, buybacks; TFC_Metrics.csv for EPS and equity history
qualitative: TFC_Analysis.json (Q2-2026 earnings guidance: revenue +3.5-4%, NII +1-1.5%, nonII ~+10%, expense ~+1.75%, NCO ~55bps, ETR ~14.5%, ~$5B buybacks, CET1 10.9% -&gt; ~10% by end-2027, ROTCE &gt;=15% FY26 / 16-18% long-term)</t>
  </si>
  <si>
    <t xml:space="preserve">Scenario narrative: bear</t>
  </si>
  <si>
    <t xml:space="preserve">A regional downturn hits in year 2: CRE (14% office) and consumer credit push charge-offs to ~110bps, revenue shrinks 1% as rate cuts and the auto run-off compress NII, and buybacks pause to rebuild capital. Recovery is to a structurally lower ~13% ROTCE.</t>
  </si>
  <si>
    <t xml:space="preserve">Scenario narrative: base</t>
  </si>
  <si>
    <t xml:space="preserve">Truist grows revenue ~4% (guide 3.5-4% for FY2026) as fee income compounds and NII grows slowly through the deliberate exit from auto/marine/RV lending. Expense discipline adds ~1.6pp of pre-tax margin over five years; ROTCE settles around 15%, below the 16-18% long-term target. Credit stays near the guided ~55bps NCO. Excess CET1 above the 10% target is returned, half of it credited.</t>
  </si>
  <si>
    <t xml:space="preserve">Scenario narrative: bull</t>
  </si>
  <si>
    <t xml:space="preserve">The new CEO's commercial/payments strategy works: fee businesses keep growing ~10%, commercial loan growth accelerates in the Southeast, and the efficiency ratio improves ~4pp, delivering ROTCE in the 17-18% range and ~5% revenue growth for three years.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</si>
  <si>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</si>
  <si>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</si>
  <si>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</si>
  <si>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</si>
  <si>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</si>
  <si>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</si>
  <si>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</si>
  <si>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</si>
  <si>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</si>
  <si>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</si>
  <si>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</si>
  <si>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</si>
  <si>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</si>
  <si>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</si>
  <si>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</si>
  <si>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</si>
  <si>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</si>
  <si>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</si>
  <si>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</si>
  <si>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</si>
  <si>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</si>
  <si>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</si>
  <si>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</si>
  <si>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</si>
  <si>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</si>
  <si>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</si>
  <si>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</si>
  <si>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</si>
  <si>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</si>
  <si>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</si>
  <si>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</si>
  <si>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</si>
  <si>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</si>
  <si>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</si>
  <si>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</si>
  <si>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</si>
  <si>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</si>
  <si>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</si>
  <si>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</si>
  <si>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</si>
  <si>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</si>
  <si>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</si>
  <si>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</si>
  <si>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</si>
  <si>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</si>
  <si>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</si>
  <si>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</si>
  <si>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</si>
  <si>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</si>
  <si>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</si>
  <si>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</si>
  <si>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</si>
  <si>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</si>
  <si>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</si>
  <si>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</si>
  <si>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</si>
  <si>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to 2026-06-30</t>
  </si>
  <si>
    <t xml:space="preserve">Currency / units</t>
  </si>
  <si>
    <t xml:space="preserve">USD millions</t>
  </si>
  <si>
    <t xml:space="preserve">FX rate (model -&gt; quote)</t>
  </si>
  <si>
    <t xml:space="preserve">BEAR</t>
  </si>
  <si>
    <t xml:space="preserve">TTM to 2027</t>
  </si>
  <si>
    <t xml:space="preserve">TTM to 2028</t>
  </si>
  <si>
    <t xml:space="preserve">TTM to 2029</t>
  </si>
  <si>
    <t xml:space="preserve">TTM to 2030</t>
  </si>
  <si>
    <t xml:space="preserve">TTM to 2031</t>
  </si>
  <si>
    <t xml:space="preserve">TTM to 2032</t>
  </si>
  <si>
    <t xml:space="preserve">TTM to 2033</t>
  </si>
  <si>
    <t xml:space="preserve">TTM to 2034</t>
  </si>
  <si>
    <t xml:space="preserve">TTM to 2035</t>
  </si>
  <si>
    <t xml:space="preserve">TTM to 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</si>
  <si>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</si>
  <si>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</si>
  <si>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</si>
  <si>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</si>
  <si>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</si>
  <si>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</si>
  <si>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</si>
  <si>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</si>
  <si>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</si>
  <si>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</si>
  <si>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</si>
  <si>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</si>
  <si>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</si>
  <si>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</si>
  <si>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TFC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</si>
  <si>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</si>
  <si>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</si>
  <si>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</si>
  <si>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</si>
  <si>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</si>
  <si>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</si>
  <si>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</si>
  <si>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</si>
  <si>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</si>
  <si>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</si>
  <si>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</si>
  <si>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</si>
  <si>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</si>
  <si>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</si>
  <si>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</si>
  <si>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</si>
  <si>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</si>
  <si>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</si>
  <si>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</si>
  <si>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</si>
  <si>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</si>
  <si>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</si>
  <si>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</si>
  <si>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</si>
  <si>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</si>
  <si>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</si>
  <si>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</si>
  <si>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</si>
  <si>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</si>
  <si>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</si>
  <si>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TFC owner-FCF component DCF: base case (millions, USD)</t>
  </si>
  <si>
    <t xml:space="preserve">TFC owner-FCF component DCF: bull case (millions, USD)</t>
  </si>
  <si>
    <t xml:space="preserve">TFC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</si>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</sst>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46.28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11826</v>
      </c>
      <c r="S2" s="0" t="n">
        <v>2712</v>
      </c>
      <c r="AA2" s="0" t="s">
        <v>17</v>
      </c>
      <c r="AB2" s="0" t="s">
        <v>14</v>
      </c>
    </row>
    <row r="3" customFormat="false" ht="15" hidden="false" customHeight="false" outlineLevel="0" collapsed="false">
      <c r="A3" s="0" t="s">
        <v>64</v>
      </c>
      <c r="I3" s="0" t="n">
        <v>1746</v>
      </c>
      <c r="K3" s="0" t="n">
        <v>3.17</v>
      </c>
      <c r="L3" s="0" t="n">
        <v>1112</v>
      </c>
      <c r="M3" s="0" t="n">
        <v>256</v>
      </c>
      <c r="N3" s="0" t="n">
        <v>856</v>
      </c>
      <c r="O3" s="0" t="n">
        <v>12664</v>
      </c>
      <c r="S3" s="0" t="n">
        <v>3117</v>
      </c>
      <c r="T3" s="0" t="n">
        <v>551.755</v>
      </c>
      <c r="U3" s="0" t="n">
        <v>70</v>
      </c>
      <c r="V3" s="0" t="n">
        <v>1.8</v>
      </c>
      <c r="AA3" s="0" t="s">
        <v>17</v>
      </c>
      <c r="AB3" s="0" t="s">
        <v>14</v>
      </c>
    </row>
    <row r="4" customFormat="false" ht="15" hidden="false" customHeight="false" outlineLevel="0" collapsed="false">
      <c r="A4" s="0" t="s">
        <v>65</v>
      </c>
      <c r="I4" s="0" t="n">
        <v>1529</v>
      </c>
      <c r="K4" s="0" t="n">
        <v>2.73</v>
      </c>
      <c r="L4" s="0" t="n">
        <v>5353</v>
      </c>
      <c r="M4" s="0" t="n">
        <v>219</v>
      </c>
      <c r="N4" s="0" t="n">
        <v>5134</v>
      </c>
      <c r="O4" s="0" t="n">
        <v>16081</v>
      </c>
      <c r="P4" s="0" t="n">
        <v>152015</v>
      </c>
      <c r="Q4" s="0" t="n">
        <v>135934</v>
      </c>
      <c r="R4" s="0" t="n">
        <v>18032</v>
      </c>
      <c r="S4" s="0" t="n">
        <v>2740</v>
      </c>
      <c r="T4" s="0" t="n">
        <v>559.248</v>
      </c>
      <c r="U4" s="0" t="n">
        <v>75</v>
      </c>
      <c r="V4" s="0" t="n">
        <v>1.87</v>
      </c>
      <c r="AA4" s="0" t="s">
        <v>17</v>
      </c>
      <c r="AB4" s="0" t="s">
        <v>14</v>
      </c>
    </row>
    <row r="5" customFormat="false" ht="15" hidden="false" customHeight="false" outlineLevel="0" collapsed="false">
      <c r="A5" s="0" t="s">
        <v>66</v>
      </c>
      <c r="I5" s="0" t="n">
        <v>877</v>
      </c>
      <c r="K5" s="0" t="n">
        <v>1.16</v>
      </c>
      <c r="L5" s="0" t="n">
        <v>-493</v>
      </c>
      <c r="M5" s="0" t="n">
        <v>174</v>
      </c>
      <c r="N5" s="0" t="n">
        <v>-667</v>
      </c>
      <c r="O5" s="0" t="n">
        <v>16241</v>
      </c>
      <c r="P5" s="0" t="n">
        <v>165764</v>
      </c>
      <c r="Q5" s="0" t="n">
        <v>149523</v>
      </c>
      <c r="R5" s="0" t="n">
        <v>21376</v>
      </c>
      <c r="S5" s="0" t="n">
        <v>2649</v>
      </c>
      <c r="T5" s="0" t="n">
        <v>689.75</v>
      </c>
      <c r="U5" s="0" t="n">
        <v>62</v>
      </c>
      <c r="V5" s="0" t="n">
        <v>0.92</v>
      </c>
      <c r="AA5" s="0" t="s">
        <v>17</v>
      </c>
      <c r="AB5" s="0" t="s">
        <v>14</v>
      </c>
    </row>
    <row r="6" customFormat="false" ht="15" hidden="false" customHeight="false" outlineLevel="0" collapsed="false">
      <c r="A6" s="0" t="s">
        <v>67</v>
      </c>
      <c r="I6" s="0" t="n">
        <v>854</v>
      </c>
      <c r="K6" s="0" t="n">
        <v>1.18</v>
      </c>
      <c r="L6" s="0" t="n">
        <v>2898</v>
      </c>
      <c r="M6" s="0" t="n">
        <v>428</v>
      </c>
      <c r="N6" s="0" t="n">
        <v>2470</v>
      </c>
      <c r="O6" s="0" t="n">
        <v>16498</v>
      </c>
      <c r="P6" s="0" t="n">
        <v>157081</v>
      </c>
      <c r="Q6" s="0" t="n">
        <v>140583</v>
      </c>
      <c r="R6" s="0" t="n">
        <v>21730</v>
      </c>
      <c r="S6" s="0" t="n">
        <v>2087</v>
      </c>
      <c r="T6" s="0" t="n">
        <v>701.039</v>
      </c>
      <c r="U6" s="0" t="n">
        <v>79</v>
      </c>
      <c r="V6" s="0" t="n">
        <v>0.6</v>
      </c>
      <c r="AA6" s="0" t="s">
        <v>17</v>
      </c>
      <c r="AB6" s="0" t="s">
        <v>14</v>
      </c>
    </row>
    <row r="7" customFormat="false" ht="15" hidden="false" customHeight="false" outlineLevel="0" collapsed="false">
      <c r="A7" s="0" t="s">
        <v>68</v>
      </c>
      <c r="I7" s="0" t="n">
        <v>1332</v>
      </c>
      <c r="K7" s="0" t="n">
        <v>1.85</v>
      </c>
      <c r="L7" s="0" t="n">
        <v>4276</v>
      </c>
      <c r="M7" s="0" t="n">
        <v>224</v>
      </c>
      <c r="N7" s="0" t="n">
        <v>4052</v>
      </c>
      <c r="O7" s="0" t="n">
        <v>17480</v>
      </c>
      <c r="P7" s="0" t="n">
        <v>174579</v>
      </c>
      <c r="Q7" s="0" t="n">
        <v>157099</v>
      </c>
      <c r="R7" s="0" t="n">
        <v>21803</v>
      </c>
      <c r="S7" s="0" t="n">
        <v>3576</v>
      </c>
      <c r="T7" s="0" t="n">
        <v>705.168</v>
      </c>
      <c r="U7" s="0" t="n">
        <v>98</v>
      </c>
      <c r="V7" s="0" t="n">
        <v>0.65</v>
      </c>
      <c r="AA7" s="0" t="s">
        <v>17</v>
      </c>
      <c r="AB7" s="0" t="s">
        <v>14</v>
      </c>
    </row>
    <row r="8" customFormat="false" ht="15" hidden="false" customHeight="false" outlineLevel="0" collapsed="false">
      <c r="A8" s="0" t="s">
        <v>69</v>
      </c>
      <c r="I8" s="0" t="n">
        <v>2028</v>
      </c>
      <c r="K8" s="0" t="n">
        <v>2.74</v>
      </c>
      <c r="L8" s="0" t="n">
        <v>3714</v>
      </c>
      <c r="M8" s="0" t="n">
        <v>145</v>
      </c>
      <c r="N8" s="0" t="n">
        <v>3569</v>
      </c>
      <c r="O8" s="0" t="n">
        <v>21193</v>
      </c>
      <c r="P8" s="0" t="n">
        <v>184499</v>
      </c>
      <c r="Q8" s="0" t="n">
        <v>163276</v>
      </c>
      <c r="R8" s="0" t="n">
        <v>19114</v>
      </c>
      <c r="S8" s="0" t="n">
        <v>3039</v>
      </c>
      <c r="T8" s="0" t="n">
        <v>708.877</v>
      </c>
      <c r="U8" s="0" t="n">
        <v>97</v>
      </c>
      <c r="V8" s="0" t="n">
        <v>0.8</v>
      </c>
      <c r="AA8" s="0" t="s">
        <v>17</v>
      </c>
      <c r="AB8" s="0" t="s">
        <v>14</v>
      </c>
    </row>
    <row r="9" customFormat="false" ht="15" hidden="false" customHeight="false" outlineLevel="0" collapsed="false">
      <c r="A9" s="0" t="s">
        <v>70</v>
      </c>
      <c r="I9" s="0" t="n">
        <v>1730</v>
      </c>
      <c r="K9" s="0" t="n">
        <v>2.22</v>
      </c>
      <c r="L9" s="0" t="n">
        <v>5308</v>
      </c>
      <c r="O9" s="0" t="n">
        <v>22780</v>
      </c>
      <c r="P9" s="0" t="n">
        <v>183010</v>
      </c>
      <c r="Q9" s="0" t="n">
        <v>160201</v>
      </c>
      <c r="R9" s="0" t="n">
        <v>21493</v>
      </c>
      <c r="S9" s="0" t="n">
        <v>2165</v>
      </c>
      <c r="T9" s="0" t="n">
        <v>714.363</v>
      </c>
      <c r="U9" s="0" t="n">
        <v>96</v>
      </c>
      <c r="V9" s="0" t="n">
        <v>0.92</v>
      </c>
      <c r="AA9" s="0" t="s">
        <v>17</v>
      </c>
      <c r="AB9" s="0" t="s">
        <v>14</v>
      </c>
    </row>
    <row r="10" customFormat="false" ht="15" hidden="false" customHeight="false" outlineLevel="0" collapsed="false">
      <c r="A10" s="0" t="s">
        <v>71</v>
      </c>
      <c r="I10" s="0" t="n">
        <v>2206</v>
      </c>
      <c r="K10" s="0" t="n">
        <v>2.76</v>
      </c>
      <c r="L10" s="0" t="n">
        <v>3210</v>
      </c>
      <c r="O10" s="0" t="n">
        <v>24377</v>
      </c>
      <c r="P10" s="0" t="n">
        <v>186834</v>
      </c>
      <c r="Q10" s="0" t="n">
        <v>162457</v>
      </c>
      <c r="R10" s="0" t="n">
        <v>23312</v>
      </c>
      <c r="S10" s="0" t="n">
        <v>2325</v>
      </c>
      <c r="T10" s="0" t="n">
        <v>728.372</v>
      </c>
      <c r="U10" s="0" t="n">
        <v>102</v>
      </c>
      <c r="V10" s="0" t="n">
        <v>0.95</v>
      </c>
      <c r="AA10" s="0" t="s">
        <v>17</v>
      </c>
      <c r="AB10" s="0" t="s">
        <v>14</v>
      </c>
    </row>
    <row r="11" customFormat="false" ht="15" hidden="false" customHeight="false" outlineLevel="0" collapsed="false">
      <c r="A11" s="0" t="s">
        <v>72</v>
      </c>
      <c r="I11" s="0" t="n">
        <v>2123</v>
      </c>
      <c r="K11" s="0" t="n">
        <v>2.59</v>
      </c>
      <c r="L11" s="0" t="n">
        <v>3131</v>
      </c>
      <c r="O11" s="0" t="n">
        <v>27340</v>
      </c>
      <c r="P11" s="0" t="n">
        <v>209947</v>
      </c>
      <c r="Q11" s="0" t="n">
        <v>182607</v>
      </c>
      <c r="R11" s="0" t="n">
        <v>23769</v>
      </c>
      <c r="S11" s="0" t="n">
        <v>4167</v>
      </c>
      <c r="T11" s="0" t="n">
        <v>780.337</v>
      </c>
      <c r="U11" s="0" t="n">
        <v>106</v>
      </c>
      <c r="V11" s="0" t="n">
        <v>1.05</v>
      </c>
      <c r="AA11" s="0" t="s">
        <v>17</v>
      </c>
      <c r="AB11" s="0" t="s">
        <v>14</v>
      </c>
    </row>
    <row r="12" customFormat="false" ht="15" hidden="false" customHeight="false" outlineLevel="0" collapsed="false">
      <c r="A12" s="0" t="s">
        <v>73</v>
      </c>
      <c r="I12" s="0" t="n">
        <v>2442</v>
      </c>
      <c r="K12" s="0" t="n">
        <v>2.81</v>
      </c>
      <c r="L12" s="0" t="n">
        <v>3115</v>
      </c>
      <c r="O12" s="0" t="n">
        <v>29926</v>
      </c>
      <c r="P12" s="0" t="n">
        <v>219276</v>
      </c>
      <c r="Q12" s="0" t="n">
        <v>189350</v>
      </c>
      <c r="R12" s="0" t="n">
        <v>21965</v>
      </c>
      <c r="S12" s="0" t="n">
        <v>4280</v>
      </c>
      <c r="T12" s="0" t="n">
        <v>814.916</v>
      </c>
      <c r="U12" s="0" t="n">
        <v>115</v>
      </c>
      <c r="V12" s="0" t="n">
        <v>1.15</v>
      </c>
      <c r="AA12" s="0" t="s">
        <v>17</v>
      </c>
      <c r="AB12" s="0" t="s">
        <v>14</v>
      </c>
    </row>
    <row r="13" customFormat="false" ht="15" hidden="false" customHeight="false" outlineLevel="0" collapsed="false">
      <c r="A13" s="0" t="s">
        <v>74</v>
      </c>
      <c r="I13" s="0" t="n">
        <v>2415</v>
      </c>
      <c r="K13" s="0" t="n">
        <v>2.78</v>
      </c>
      <c r="L13" s="0" t="n">
        <v>4635</v>
      </c>
      <c r="O13" s="0" t="n">
        <v>29695</v>
      </c>
      <c r="P13" s="0" t="n">
        <v>221642</v>
      </c>
      <c r="Q13" s="0" t="n">
        <v>191947</v>
      </c>
      <c r="R13" s="0" t="n">
        <v>23648</v>
      </c>
      <c r="S13" s="0" t="n">
        <v>2956</v>
      </c>
      <c r="T13" s="0" t="n">
        <v>810.977</v>
      </c>
      <c r="U13" s="0" t="n">
        <v>132</v>
      </c>
      <c r="V13" s="0" t="n">
        <v>1.26</v>
      </c>
      <c r="AA13" s="0" t="s">
        <v>17</v>
      </c>
      <c r="AB13" s="0" t="s">
        <v>14</v>
      </c>
    </row>
    <row r="14" customFormat="false" ht="15" hidden="false" customHeight="false" outlineLevel="0" collapsed="false">
      <c r="A14" s="0" t="s">
        <v>75</v>
      </c>
      <c r="I14" s="0" t="n">
        <v>3257</v>
      </c>
      <c r="K14" s="0" t="n">
        <v>3.96</v>
      </c>
      <c r="L14" s="0" t="n">
        <v>4349</v>
      </c>
      <c r="M14" s="0" t="n">
        <v>363</v>
      </c>
      <c r="N14" s="0" t="n">
        <v>3986</v>
      </c>
      <c r="O14" s="0" t="n">
        <v>30178</v>
      </c>
      <c r="P14" s="0" t="n">
        <v>225697</v>
      </c>
      <c r="Q14" s="0" t="n">
        <v>195519</v>
      </c>
      <c r="R14" s="0" t="n">
        <v>23709</v>
      </c>
      <c r="S14" s="0" t="n">
        <v>3844</v>
      </c>
      <c r="T14" s="0" t="n">
        <v>783.484</v>
      </c>
      <c r="U14" s="0" t="n">
        <v>141</v>
      </c>
      <c r="V14" s="0" t="n">
        <v>1.56</v>
      </c>
      <c r="AA14" s="0" t="s">
        <v>17</v>
      </c>
      <c r="AB14" s="0" t="s">
        <v>14</v>
      </c>
    </row>
    <row r="15" customFormat="false" ht="15" hidden="false" customHeight="false" outlineLevel="0" collapsed="false">
      <c r="A15" s="0" t="s">
        <v>76</v>
      </c>
      <c r="I15" s="0" t="n">
        <v>3237</v>
      </c>
      <c r="K15" s="0" t="n">
        <v>3.76</v>
      </c>
      <c r="L15" s="0" t="n">
        <v>1520</v>
      </c>
      <c r="M15" s="0" t="n">
        <v>224</v>
      </c>
      <c r="N15" s="0" t="n">
        <v>1296</v>
      </c>
      <c r="O15" s="0" t="n">
        <v>66558</v>
      </c>
      <c r="P15" s="0" t="n">
        <v>473078</v>
      </c>
      <c r="Q15" s="0" t="n">
        <v>406520</v>
      </c>
      <c r="R15" s="0" t="n">
        <v>41339</v>
      </c>
      <c r="S15" s="0" t="n">
        <v>19065</v>
      </c>
      <c r="T15" s="0" t="n">
        <v>1342.166</v>
      </c>
      <c r="U15" s="0" t="n">
        <v>165</v>
      </c>
      <c r="V15" s="0" t="n">
        <v>1.71</v>
      </c>
      <c r="AA15" s="0" t="s">
        <v>17</v>
      </c>
      <c r="AB15" s="0" t="s">
        <v>14</v>
      </c>
    </row>
    <row r="16" customFormat="false" ht="15" hidden="false" customHeight="false" outlineLevel="0" collapsed="false">
      <c r="A16" s="0" t="s">
        <v>77</v>
      </c>
      <c r="I16" s="0" t="n">
        <v>4492</v>
      </c>
      <c r="K16" s="0" t="n">
        <v>3.11</v>
      </c>
      <c r="L16" s="0" t="n">
        <v>7437</v>
      </c>
      <c r="M16" s="0" t="n">
        <v>815</v>
      </c>
      <c r="N16" s="0" t="n">
        <v>6622</v>
      </c>
      <c r="O16" s="0" t="n">
        <v>70912</v>
      </c>
      <c r="P16" s="0" t="n">
        <v>509228</v>
      </c>
      <c r="Q16" s="0" t="n">
        <v>438316</v>
      </c>
      <c r="R16" s="0" t="n">
        <v>39597</v>
      </c>
      <c r="S16" s="0" t="n">
        <v>18868</v>
      </c>
      <c r="T16" s="0" t="n">
        <v>1358.289</v>
      </c>
      <c r="U16" s="0" t="n">
        <v>353</v>
      </c>
      <c r="V16" s="0" t="n">
        <v>1.8</v>
      </c>
      <c r="AA16" s="0" t="s">
        <v>17</v>
      </c>
      <c r="AB16" s="0" t="s">
        <v>14</v>
      </c>
    </row>
    <row r="17" customFormat="false" ht="15" hidden="false" customHeight="false" outlineLevel="0" collapsed="false">
      <c r="A17" s="0" t="s">
        <v>78</v>
      </c>
      <c r="I17" s="0" t="n">
        <v>6437</v>
      </c>
      <c r="K17" s="0" t="n">
        <v>4.51</v>
      </c>
      <c r="L17" s="0" t="n">
        <v>7892</v>
      </c>
      <c r="M17" s="0" t="n">
        <v>442</v>
      </c>
      <c r="N17" s="0" t="n">
        <v>7450</v>
      </c>
      <c r="O17" s="0" t="n">
        <v>69271</v>
      </c>
      <c r="P17" s="0" t="n">
        <v>541241</v>
      </c>
      <c r="Q17" s="0" t="n">
        <v>471970</v>
      </c>
      <c r="R17" s="0" t="n">
        <v>35913</v>
      </c>
      <c r="S17" s="0" t="n">
        <v>20295</v>
      </c>
      <c r="T17" s="0" t="n">
        <v>1349.378</v>
      </c>
      <c r="U17" s="0" t="n">
        <v>320</v>
      </c>
      <c r="V17" s="0" t="n">
        <v>1.86</v>
      </c>
      <c r="AA17" s="0" t="s">
        <v>17</v>
      </c>
      <c r="AB17" s="0" t="s">
        <v>14</v>
      </c>
    </row>
    <row r="18" customFormat="false" ht="15" hidden="false" customHeight="false" outlineLevel="0" collapsed="false">
      <c r="A18" s="0" t="s">
        <v>79</v>
      </c>
      <c r="I18" s="0" t="n">
        <v>6267</v>
      </c>
      <c r="K18" s="0" t="n">
        <v>4.46</v>
      </c>
      <c r="L18" s="0" t="n">
        <v>11081</v>
      </c>
      <c r="M18" s="0" t="n">
        <v>564</v>
      </c>
      <c r="N18" s="0" t="n">
        <v>10517</v>
      </c>
      <c r="O18" s="0" t="n">
        <v>60537</v>
      </c>
      <c r="P18" s="0" t="n">
        <v>555255</v>
      </c>
      <c r="Q18" s="0" t="n">
        <v>494718</v>
      </c>
      <c r="R18" s="0" t="n">
        <v>43203</v>
      </c>
      <c r="T18" s="0" t="n">
        <v>1338.462</v>
      </c>
      <c r="U18" s="0" t="n">
        <v>261</v>
      </c>
      <c r="V18" s="0" t="n">
        <v>2</v>
      </c>
      <c r="AA18" s="0" t="s">
        <v>17</v>
      </c>
      <c r="AB18" s="0" t="s">
        <v>14</v>
      </c>
    </row>
    <row r="19" customFormat="false" ht="15" hidden="false" customHeight="false" outlineLevel="0" collapsed="false">
      <c r="A19" s="0" t="s">
        <v>80</v>
      </c>
      <c r="I19" s="0" t="n">
        <v>-1047</v>
      </c>
      <c r="K19" s="0" t="n">
        <v>-1.09</v>
      </c>
      <c r="L19" s="0" t="n">
        <v>8631</v>
      </c>
      <c r="O19" s="0" t="n">
        <v>59253</v>
      </c>
      <c r="P19" s="0" t="n">
        <v>535349</v>
      </c>
      <c r="Q19" s="0" t="n">
        <v>476096</v>
      </c>
      <c r="R19" s="0" t="n">
        <v>38918</v>
      </c>
      <c r="T19" s="0" t="n">
        <v>1333.743</v>
      </c>
      <c r="U19" s="0" t="n">
        <v>298</v>
      </c>
      <c r="V19" s="0" t="n">
        <v>2.08</v>
      </c>
      <c r="AA19" s="0" t="s">
        <v>17</v>
      </c>
      <c r="AB19" s="0" t="s">
        <v>14</v>
      </c>
    </row>
    <row r="20" customFormat="false" ht="15" hidden="false" customHeight="false" outlineLevel="0" collapsed="false">
      <c r="A20" s="0" t="s">
        <v>81</v>
      </c>
      <c r="I20" s="0" t="n">
        <v>4840</v>
      </c>
      <c r="K20" s="0" t="n">
        <v>3.36</v>
      </c>
      <c r="L20" s="0" t="n">
        <v>2164</v>
      </c>
      <c r="O20" s="0" t="n">
        <v>63679</v>
      </c>
      <c r="P20" s="0" t="n">
        <v>531176</v>
      </c>
      <c r="Q20" s="0" t="n">
        <v>467497</v>
      </c>
      <c r="R20" s="0" t="n">
        <v>34956</v>
      </c>
      <c r="T20" s="0" t="n">
        <v>1331.087</v>
      </c>
      <c r="U20" s="0" t="n">
        <v>292</v>
      </c>
      <c r="V20" s="0" t="n">
        <v>2.08</v>
      </c>
      <c r="AA20" s="0" t="s">
        <v>17</v>
      </c>
      <c r="AB20" s="0" t="s">
        <v>14</v>
      </c>
    </row>
    <row r="21" customFormat="false" ht="15" hidden="false" customHeight="false" outlineLevel="0" collapsed="false">
      <c r="A21" s="0" t="s">
        <v>82</v>
      </c>
      <c r="I21" s="0" t="n">
        <v>5307</v>
      </c>
      <c r="K21" s="0" t="n">
        <v>3.87</v>
      </c>
      <c r="L21" s="0" t="n">
        <v>5739</v>
      </c>
      <c r="O21" s="0" t="n">
        <v>65189</v>
      </c>
      <c r="P21" s="0" t="n">
        <v>547538</v>
      </c>
      <c r="Q21" s="0" t="n">
        <v>482349</v>
      </c>
      <c r="R21" s="0" t="n">
        <v>41963</v>
      </c>
      <c r="T21" s="0" t="n">
        <v>1302.7</v>
      </c>
      <c r="U21" s="0" t="n">
        <v>317</v>
      </c>
      <c r="V21" s="0" t="n">
        <v>2.08</v>
      </c>
      <c r="AA21" s="0" t="s">
        <v>17</v>
      </c>
      <c r="AB2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46.28</v>
      </c>
    </row>
    <row r="3" customFormat="false" ht="15" hidden="false" customHeight="false" outlineLevel="0" collapsed="false">
      <c r="A3" s="0" t="s">
        <v>86</v>
      </c>
      <c r="B3" s="3" t="n">
        <v>1227</v>
      </c>
    </row>
    <row r="4" customFormat="false" ht="15" hidden="false" customHeight="false" outlineLevel="0" collapsed="false">
      <c r="A4" s="0" t="s">
        <v>87</v>
      </c>
      <c r="B4" s="3" t="n">
        <v>0</v>
      </c>
    </row>
    <row r="5" customFormat="false" ht="15" hidden="false" customHeight="false" outlineLevel="0" collapsed="false">
      <c r="A5" s="0" t="s">
        <v>88</v>
      </c>
      <c r="B5" s="3" t="n">
        <v>-3511</v>
      </c>
    </row>
    <row r="6" customFormat="false" ht="15" hidden="false" customHeight="false" outlineLevel="0" collapsed="false">
      <c r="A6" s="0" t="s">
        <v>89</v>
      </c>
      <c r="B6" s="3" t="n">
        <v>15</v>
      </c>
    </row>
    <row r="7" customFormat="false" ht="15" hidden="false" customHeight="false" outlineLevel="0" collapsed="false">
      <c r="A7" s="0" t="s">
        <v>90</v>
      </c>
      <c r="B7" s="3" t="n">
        <v>20850</v>
      </c>
    </row>
    <row r="8" customFormat="false" ht="15" hidden="false" customHeight="false" outlineLevel="0" collapsed="false">
      <c r="A8" s="0" t="s">
        <v>91</v>
      </c>
      <c r="B8" s="3" t="s">
        <v>92</v>
      </c>
    </row>
    <row r="9" customFormat="false" ht="15" hidden="false" customHeight="false" outlineLevel="0" collapsed="false">
      <c r="A9" s="0" t="s">
        <v>93</v>
      </c>
      <c r="B9" s="3" t="s">
        <v>94</v>
      </c>
    </row>
    <row r="10" customFormat="false" ht="15" hidden="false" customHeight="false" outlineLevel="0" collapsed="false">
      <c r="A10" s="0" t="s">
        <v>95</v>
      </c>
      <c r="B10" s="3" t="n">
        <v>1</v>
      </c>
    </row>
    <row r="12" customFormat="false" ht="15" hidden="false" customHeight="false" outlineLevel="0" collapsed="false">
      <c r="A12" s="2" t="s">
        <v>96</v>
      </c>
      <c r="C12" s="2" t="s">
        <v>97</v>
      </c>
      <c r="D12" s="2" t="s">
        <v>98</v>
      </c>
      <c r="E12" s="2" t="s">
        <v>99</v>
      </c>
      <c r="F12" s="2" t="s">
        <v>100</v>
      </c>
      <c r="G12" s="2" t="s">
        <v>101</v>
      </c>
      <c r="H12" s="2" t="s">
        <v>102</v>
      </c>
      <c r="I12" s="2" t="s">
        <v>103</v>
      </c>
      <c r="J12" s="2" t="s">
        <v>104</v>
      </c>
      <c r="K12" s="2" t="s">
        <v>105</v>
      </c>
      <c r="L12" s="2" t="s">
        <v>106</v>
      </c>
    </row>
    <row r="13" customFormat="false" ht="15" hidden="false" customHeight="false" outlineLevel="0" collapsed="false">
      <c r="A13" s="0" t="s">
        <v>107</v>
      </c>
      <c r="C13" s="3" t="n">
        <v>3</v>
      </c>
      <c r="D13" s="3" t="n">
        <v>-1</v>
      </c>
      <c r="E13" s="3" t="n">
        <v>1.5</v>
      </c>
      <c r="F13" s="3" t="n">
        <v>2.5</v>
      </c>
      <c r="G13" s="3" t="n">
        <v>3</v>
      </c>
      <c r="H13" s="3" t="n">
        <v>3</v>
      </c>
      <c r="I13" s="3" t="n">
        <v>2.5</v>
      </c>
      <c r="J13" s="3" t="n">
        <v>2.5</v>
      </c>
      <c r="K13" s="3" t="n">
        <v>2.5</v>
      </c>
      <c r="L13" s="3" t="n">
        <v>2.5</v>
      </c>
    </row>
    <row r="14" customFormat="false" ht="15" hidden="false" customHeight="false" outlineLevel="0" collapsed="false">
      <c r="A14" s="0" t="s">
        <v>108</v>
      </c>
      <c r="C14" s="3" t="n">
        <v>34.5</v>
      </c>
      <c r="D14" s="3" t="n">
        <v>27</v>
      </c>
      <c r="E14" s="3" t="n">
        <v>30.5</v>
      </c>
      <c r="F14" s="3" t="n">
        <v>32.5</v>
      </c>
      <c r="G14" s="3" t="n">
        <v>33.5</v>
      </c>
      <c r="H14" s="3" t="n">
        <v>34</v>
      </c>
      <c r="I14" s="3" t="n">
        <v>34</v>
      </c>
      <c r="J14" s="3" t="n">
        <v>34</v>
      </c>
      <c r="K14" s="3" t="n">
        <v>34</v>
      </c>
      <c r="L14" s="3" t="n">
        <v>34</v>
      </c>
    </row>
    <row r="15" customFormat="false" ht="15" hidden="false" customHeight="false" outlineLevel="0" collapsed="false">
      <c r="A15" s="0" t="s">
        <v>109</v>
      </c>
      <c r="C15" s="3" t="n">
        <v>1.55</v>
      </c>
      <c r="D15" s="3" t="n">
        <v>1.55</v>
      </c>
      <c r="E15" s="3" t="n">
        <v>1.55</v>
      </c>
      <c r="F15" s="3" t="n">
        <v>1.55</v>
      </c>
      <c r="G15" s="3" t="n">
        <v>1.55</v>
      </c>
      <c r="H15" s="3" t="n">
        <v>1.55</v>
      </c>
      <c r="I15" s="3" t="n">
        <v>1.55</v>
      </c>
      <c r="J15" s="3" t="n">
        <v>1.55</v>
      </c>
      <c r="K15" s="3" t="n">
        <v>1.55</v>
      </c>
      <c r="L15" s="3" t="n">
        <v>1.55</v>
      </c>
    </row>
    <row r="16" customFormat="false" ht="15" hidden="false" customHeight="false" outlineLevel="0" collapsed="false">
      <c r="A16" s="0" t="s">
        <v>110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111</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112</v>
      </c>
      <c r="C18" s="3" t="n">
        <v>5.8</v>
      </c>
      <c r="D18" s="3" t="n">
        <v>4</v>
      </c>
      <c r="E18" s="3" t="n">
        <v>2.9</v>
      </c>
      <c r="F18" s="3" t="n">
        <v>4.9</v>
      </c>
      <c r="G18" s="3" t="n">
        <v>5.8</v>
      </c>
      <c r="H18" s="3" t="n">
        <v>5.8</v>
      </c>
      <c r="I18" s="3" t="n">
        <v>4.9</v>
      </c>
      <c r="J18" s="3" t="n">
        <v>4.9</v>
      </c>
      <c r="K18" s="3" t="n">
        <v>4.9</v>
      </c>
      <c r="L18" s="3" t="n">
        <v>4.9</v>
      </c>
    </row>
    <row r="19" customFormat="false" ht="15" hidden="false" customHeight="false" outlineLevel="0" collapsed="false">
      <c r="A19" s="0" t="s">
        <v>113</v>
      </c>
      <c r="C19" s="3" t="n">
        <v>14.5</v>
      </c>
      <c r="D19" s="3" t="n">
        <v>15.5</v>
      </c>
      <c r="E19" s="3" t="n">
        <v>16.5</v>
      </c>
      <c r="F19" s="3" t="n">
        <v>17</v>
      </c>
      <c r="G19" s="3" t="n">
        <v>17</v>
      </c>
      <c r="H19" s="3" t="n">
        <v>17</v>
      </c>
      <c r="I19" s="3" t="n">
        <v>17</v>
      </c>
      <c r="J19" s="3" t="n">
        <v>17</v>
      </c>
      <c r="K19" s="3" t="n">
        <v>17</v>
      </c>
      <c r="L19" s="3" t="n">
        <v>17</v>
      </c>
    </row>
    <row r="20" customFormat="false" ht="15" hidden="false" customHeight="false" outlineLevel="0" collapsed="false">
      <c r="A20" s="0" t="s">
        <v>114</v>
      </c>
      <c r="B20" s="3" t="n">
        <v>10.5</v>
      </c>
    </row>
    <row r="21" customFormat="false" ht="15" hidden="false" customHeight="false" outlineLevel="0" collapsed="false">
      <c r="A21" s="0" t="s">
        <v>115</v>
      </c>
      <c r="B21" s="3" t="n">
        <v>2.5</v>
      </c>
    </row>
    <row r="22" customFormat="false" ht="15" hidden="false" customHeight="false" outlineLevel="0" collapsed="false">
      <c r="A22" s="0" t="s">
        <v>116</v>
      </c>
      <c r="B22" s="3" t="n">
        <v>12</v>
      </c>
    </row>
    <row r="23" customFormat="false" ht="15" hidden="false" customHeight="false" outlineLevel="0" collapsed="false">
      <c r="A23" s="0" t="s">
        <v>117</v>
      </c>
      <c r="B23" s="3" t="n">
        <v>0</v>
      </c>
    </row>
    <row r="24" customFormat="false" ht="15" hidden="false" customHeight="false" outlineLevel="0" collapsed="false">
      <c r="A24" s="0" t="s">
        <v>118</v>
      </c>
      <c r="B24" s="3" t="n">
        <v>0.25</v>
      </c>
    </row>
    <row r="26" customFormat="false" ht="15" hidden="false" customHeight="false" outlineLevel="0" collapsed="false">
      <c r="A26" s="2" t="s">
        <v>119</v>
      </c>
      <c r="C26" s="2" t="s">
        <v>97</v>
      </c>
      <c r="D26" s="2" t="s">
        <v>98</v>
      </c>
      <c r="E26" s="2" t="s">
        <v>99</v>
      </c>
      <c r="F26" s="2" t="s">
        <v>100</v>
      </c>
      <c r="G26" s="2" t="s">
        <v>101</v>
      </c>
      <c r="H26" s="2" t="s">
        <v>102</v>
      </c>
      <c r="I26" s="2" t="s">
        <v>103</v>
      </c>
      <c r="J26" s="2" t="s">
        <v>104</v>
      </c>
      <c r="K26" s="2" t="s">
        <v>105</v>
      </c>
      <c r="L26" s="2" t="s">
        <v>106</v>
      </c>
    </row>
    <row r="27" customFormat="false" ht="15" hidden="false" customHeight="false" outlineLevel="0" collapsed="false">
      <c r="A27" s="0" t="s">
        <v>107</v>
      </c>
      <c r="C27" s="3" t="n">
        <v>4</v>
      </c>
      <c r="D27" s="3" t="n">
        <v>4</v>
      </c>
      <c r="E27" s="3" t="n">
        <v>4</v>
      </c>
      <c r="F27" s="3" t="n">
        <v>4</v>
      </c>
      <c r="G27" s="3" t="n">
        <v>3.5</v>
      </c>
      <c r="H27" s="3" t="n">
        <v>3.5</v>
      </c>
      <c r="I27" s="3" t="n">
        <v>3</v>
      </c>
      <c r="J27" s="3" t="n">
        <v>3</v>
      </c>
      <c r="K27" s="3" t="n">
        <v>3</v>
      </c>
      <c r="L27" s="3" t="n">
        <v>3</v>
      </c>
    </row>
    <row r="28" customFormat="false" ht="15" hidden="false" customHeight="false" outlineLevel="0" collapsed="false">
      <c r="A28" s="0" t="s">
        <v>108</v>
      </c>
      <c r="C28" s="3" t="n">
        <v>35.4</v>
      </c>
      <c r="D28" s="3" t="n">
        <v>35.9</v>
      </c>
      <c r="E28" s="3" t="n">
        <v>36.3</v>
      </c>
      <c r="F28" s="3" t="n">
        <v>36.6</v>
      </c>
      <c r="G28" s="3" t="n">
        <v>36.8</v>
      </c>
      <c r="H28" s="3" t="n">
        <v>37</v>
      </c>
      <c r="I28" s="3" t="n">
        <v>37</v>
      </c>
      <c r="J28" s="3" t="n">
        <v>37</v>
      </c>
      <c r="K28" s="3" t="n">
        <v>37</v>
      </c>
      <c r="L28" s="3" t="n">
        <v>37</v>
      </c>
    </row>
    <row r="29" customFormat="false" ht="15" hidden="false" customHeight="false" outlineLevel="0" collapsed="false">
      <c r="A29" s="0" t="s">
        <v>109</v>
      </c>
      <c r="C29" s="3" t="n">
        <v>1.55</v>
      </c>
      <c r="D29" s="3" t="n">
        <v>1.55</v>
      </c>
      <c r="E29" s="3" t="n">
        <v>1.55</v>
      </c>
      <c r="F29" s="3" t="n">
        <v>1.55</v>
      </c>
      <c r="G29" s="3" t="n">
        <v>1.55</v>
      </c>
      <c r="H29" s="3" t="n">
        <v>1.55</v>
      </c>
      <c r="I29" s="3" t="n">
        <v>1.55</v>
      </c>
      <c r="J29" s="3" t="n">
        <v>1.55</v>
      </c>
      <c r="K29" s="3" t="n">
        <v>1.55</v>
      </c>
      <c r="L29" s="3" t="n">
        <v>1.55</v>
      </c>
    </row>
    <row r="30" customFormat="false" ht="15" hidden="false" customHeight="false" outlineLevel="0" collapsed="false">
      <c r="A30" s="0" t="s">
        <v>110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111</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112</v>
      </c>
      <c r="C32" s="3" t="n">
        <v>7.8</v>
      </c>
      <c r="D32" s="3" t="n">
        <v>7.8</v>
      </c>
      <c r="E32" s="3" t="n">
        <v>7.8</v>
      </c>
      <c r="F32" s="3" t="n">
        <v>7.8</v>
      </c>
      <c r="G32" s="3" t="n">
        <v>6.8</v>
      </c>
      <c r="H32" s="3" t="n">
        <v>6.8</v>
      </c>
      <c r="I32" s="3" t="n">
        <v>5.8</v>
      </c>
      <c r="J32" s="3" t="n">
        <v>5.8</v>
      </c>
      <c r="K32" s="3" t="n">
        <v>5.8</v>
      </c>
      <c r="L32" s="3" t="n">
        <v>5.8</v>
      </c>
    </row>
    <row r="33" customFormat="false" ht="15" hidden="false" customHeight="false" outlineLevel="0" collapsed="false">
      <c r="A33" s="0" t="s">
        <v>113</v>
      </c>
      <c r="C33" s="3" t="n">
        <v>14.5</v>
      </c>
      <c r="D33" s="3" t="n">
        <v>15.5</v>
      </c>
      <c r="E33" s="3" t="n">
        <v>16.5</v>
      </c>
      <c r="F33" s="3" t="n">
        <v>17</v>
      </c>
      <c r="G33" s="3" t="n">
        <v>17</v>
      </c>
      <c r="H33" s="3" t="n">
        <v>17</v>
      </c>
      <c r="I33" s="3" t="n">
        <v>17</v>
      </c>
      <c r="J33" s="3" t="n">
        <v>17</v>
      </c>
      <c r="K33" s="3" t="n">
        <v>17</v>
      </c>
      <c r="L33" s="3" t="n">
        <v>17</v>
      </c>
    </row>
    <row r="34" customFormat="false" ht="15" hidden="false" customHeight="false" outlineLevel="0" collapsed="false">
      <c r="A34" s="0" t="s">
        <v>114</v>
      </c>
      <c r="B34" s="3" t="n">
        <v>10.5</v>
      </c>
    </row>
    <row r="35" customFormat="false" ht="15" hidden="false" customHeight="false" outlineLevel="0" collapsed="false">
      <c r="A35" s="0" t="s">
        <v>115</v>
      </c>
      <c r="B35" s="3" t="n">
        <v>3</v>
      </c>
    </row>
    <row r="36" customFormat="false" ht="15" hidden="false" customHeight="false" outlineLevel="0" collapsed="false">
      <c r="A36" s="0" t="s">
        <v>116</v>
      </c>
      <c r="B36" s="3" t="n">
        <v>14</v>
      </c>
    </row>
    <row r="37" customFormat="false" ht="15" hidden="false" customHeight="false" outlineLevel="0" collapsed="false">
      <c r="A37" s="0" t="s">
        <v>117</v>
      </c>
      <c r="B37" s="3" t="n">
        <v>0</v>
      </c>
    </row>
    <row r="38" customFormat="false" ht="15" hidden="false" customHeight="false" outlineLevel="0" collapsed="false">
      <c r="A38" s="0" t="s">
        <v>118</v>
      </c>
      <c r="B38" s="3" t="n">
        <v>0.5</v>
      </c>
    </row>
    <row r="40" customFormat="false" ht="15" hidden="false" customHeight="false" outlineLevel="0" collapsed="false">
      <c r="A40" s="2" t="s">
        <v>120</v>
      </c>
      <c r="C40" s="2" t="s">
        <v>97</v>
      </c>
      <c r="D40" s="2" t="s">
        <v>98</v>
      </c>
      <c r="E40" s="2" t="s">
        <v>99</v>
      </c>
      <c r="F40" s="2" t="s">
        <v>100</v>
      </c>
      <c r="G40" s="2" t="s">
        <v>101</v>
      </c>
      <c r="H40" s="2" t="s">
        <v>102</v>
      </c>
      <c r="I40" s="2" t="s">
        <v>103</v>
      </c>
      <c r="J40" s="2" t="s">
        <v>104</v>
      </c>
      <c r="K40" s="2" t="s">
        <v>105</v>
      </c>
      <c r="L40" s="2" t="s">
        <v>106</v>
      </c>
    </row>
    <row r="41" customFormat="false" ht="15" hidden="false" customHeight="false" outlineLevel="0" collapsed="false">
      <c r="A41" s="0" t="s">
        <v>107</v>
      </c>
      <c r="C41" s="3" t="n">
        <v>4.5</v>
      </c>
      <c r="D41" s="3" t="n">
        <v>5</v>
      </c>
      <c r="E41" s="3" t="n">
        <v>5</v>
      </c>
      <c r="F41" s="3" t="n">
        <v>5</v>
      </c>
      <c r="G41" s="3" t="n">
        <v>4.5</v>
      </c>
      <c r="H41" s="3" t="n">
        <v>4</v>
      </c>
      <c r="I41" s="3" t="n">
        <v>3.5</v>
      </c>
      <c r="J41" s="3" t="n">
        <v>3.5</v>
      </c>
      <c r="K41" s="3" t="n">
        <v>3</v>
      </c>
      <c r="L41" s="3" t="n">
        <v>3</v>
      </c>
    </row>
    <row r="42" customFormat="false" ht="15" hidden="false" customHeight="false" outlineLevel="0" collapsed="false">
      <c r="A42" s="0" t="s">
        <v>108</v>
      </c>
      <c r="C42" s="3" t="n">
        <v>35.8</v>
      </c>
      <c r="D42" s="3" t="n">
        <v>36.8</v>
      </c>
      <c r="E42" s="3" t="n">
        <v>37.6</v>
      </c>
      <c r="F42" s="3" t="n">
        <v>38.3</v>
      </c>
      <c r="G42" s="3" t="n">
        <v>38.8</v>
      </c>
      <c r="H42" s="3" t="n">
        <v>39.2</v>
      </c>
      <c r="I42" s="3" t="n">
        <v>39.5</v>
      </c>
      <c r="J42" s="3" t="n">
        <v>39.5</v>
      </c>
      <c r="K42" s="3" t="n">
        <v>39.5</v>
      </c>
      <c r="L42" s="3" t="n">
        <v>39.5</v>
      </c>
    </row>
    <row r="43" customFormat="false" ht="15" hidden="false" customHeight="false" outlineLevel="0" collapsed="false">
      <c r="A43" s="0" t="s">
        <v>109</v>
      </c>
      <c r="C43" s="3" t="n">
        <v>1.55</v>
      </c>
      <c r="D43" s="3" t="n">
        <v>1.55</v>
      </c>
      <c r="E43" s="3" t="n">
        <v>1.55</v>
      </c>
      <c r="F43" s="3" t="n">
        <v>1.55</v>
      </c>
      <c r="G43" s="3" t="n">
        <v>1.55</v>
      </c>
      <c r="H43" s="3" t="n">
        <v>1.55</v>
      </c>
      <c r="I43" s="3" t="n">
        <v>1.55</v>
      </c>
      <c r="J43" s="3" t="n">
        <v>1.55</v>
      </c>
      <c r="K43" s="3" t="n">
        <v>1.55</v>
      </c>
      <c r="L43" s="3" t="n">
        <v>1.55</v>
      </c>
    </row>
    <row r="44" customFormat="false" ht="15" hidden="false" customHeight="false" outlineLevel="0" collapsed="false">
      <c r="A44" s="0" t="s">
        <v>110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111</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112</v>
      </c>
      <c r="C46" s="3" t="n">
        <v>8.7</v>
      </c>
      <c r="D46" s="3" t="n">
        <v>9.7</v>
      </c>
      <c r="E46" s="3" t="n">
        <v>9.7</v>
      </c>
      <c r="F46" s="3" t="n">
        <v>9.7</v>
      </c>
      <c r="G46" s="3" t="n">
        <v>8.7</v>
      </c>
      <c r="H46" s="3" t="n">
        <v>7.8</v>
      </c>
      <c r="I46" s="3" t="n">
        <v>6.8</v>
      </c>
      <c r="J46" s="3" t="n">
        <v>6.8</v>
      </c>
      <c r="K46" s="3" t="n">
        <v>5.8</v>
      </c>
      <c r="L46" s="3" t="n">
        <v>5.8</v>
      </c>
    </row>
    <row r="47" customFormat="false" ht="15" hidden="false" customHeight="false" outlineLevel="0" collapsed="false">
      <c r="A47" s="0" t="s">
        <v>113</v>
      </c>
      <c r="C47" s="3" t="n">
        <v>14.5</v>
      </c>
      <c r="D47" s="3" t="n">
        <v>15.5</v>
      </c>
      <c r="E47" s="3" t="n">
        <v>16.5</v>
      </c>
      <c r="F47" s="3" t="n">
        <v>17</v>
      </c>
      <c r="G47" s="3" t="n">
        <v>17</v>
      </c>
      <c r="H47" s="3" t="n">
        <v>17</v>
      </c>
      <c r="I47" s="3" t="n">
        <v>17</v>
      </c>
      <c r="J47" s="3" t="n">
        <v>17</v>
      </c>
      <c r="K47" s="3" t="n">
        <v>17</v>
      </c>
      <c r="L47" s="3" t="n">
        <v>17</v>
      </c>
    </row>
    <row r="48" customFormat="false" ht="15" hidden="false" customHeight="false" outlineLevel="0" collapsed="false">
      <c r="A48" s="0" t="s">
        <v>114</v>
      </c>
      <c r="B48" s="3" t="n">
        <v>10.5</v>
      </c>
    </row>
    <row r="49" customFormat="false" ht="15" hidden="false" customHeight="false" outlineLevel="0" collapsed="false">
      <c r="A49" s="0" t="s">
        <v>115</v>
      </c>
      <c r="B49" s="3" t="n">
        <v>3</v>
      </c>
    </row>
    <row r="50" customFormat="false" ht="15" hidden="false" customHeight="false" outlineLevel="0" collapsed="false">
      <c r="A50" s="0" t="s">
        <v>116</v>
      </c>
      <c r="B50" s="3" t="n">
        <v>15</v>
      </c>
    </row>
    <row r="51" customFormat="false" ht="15" hidden="false" customHeight="false" outlineLevel="0" collapsed="false">
      <c r="A51" s="0" t="s">
        <v>117</v>
      </c>
      <c r="B51" s="3" t="n">
        <v>0</v>
      </c>
    </row>
    <row r="52" customFormat="false" ht="15" hidden="false" customHeight="false" outlineLevel="0" collapsed="false">
      <c r="A52" s="0" t="s">
        <v>118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121</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Assumptions!C13</f>
        <v>3</v>
      </c>
      <c r="D5" s="4" t="n">
        <f aca="false">Assumptions!D13</f>
        <v>-1</v>
      </c>
      <c r="E5" s="4" t="n">
        <f aca="false">Assumptions!E13</f>
        <v>1.5</v>
      </c>
      <c r="F5" s="4" t="n">
        <f aca="false">Assumptions!F13</f>
        <v>2.5</v>
      </c>
      <c r="G5" s="4" t="n">
        <f aca="false">Assumptions!G13</f>
        <v>3</v>
      </c>
      <c r="H5" s="4" t="n">
        <f aca="false">Assumptions!H13</f>
        <v>3</v>
      </c>
      <c r="I5" s="4" t="n">
        <f aca="false">Assumptions!I13</f>
        <v>2.5</v>
      </c>
      <c r="J5" s="4" t="n">
        <f aca="false">Assumptions!J13</f>
        <v>2.5</v>
      </c>
      <c r="K5" s="4" t="n">
        <f aca="false">Assumptions!K13</f>
        <v>2.5</v>
      </c>
      <c r="L5" s="4" t="n">
        <f aca="false">Assumptions!L13</f>
        <v>2.5</v>
      </c>
    </row>
    <row r="6" customFormat="false" ht="15" hidden="false" customHeight="false" outlineLevel="0" collapsed="false">
      <c r="A6" s="0" t="s">
        <v>37</v>
      </c>
      <c r="B6" s="3" t="n">
        <v>20850</v>
      </c>
      <c r="C6" s="0" t="n">
        <f aca="false">B6*(1+C5/100)</f>
        <v>21475.5</v>
      </c>
      <c r="D6" s="0" t="n">
        <f aca="false">C6*(1+D5/100)</f>
        <v>21260.745</v>
      </c>
      <c r="E6" s="0" t="n">
        <f aca="false">D6*(1+E5/100)</f>
        <v>21579.656175</v>
      </c>
      <c r="F6" s="0" t="n">
        <f aca="false">E6*(1+F5/100)</f>
        <v>22119.147579375</v>
      </c>
      <c r="G6" s="0" t="n">
        <f aca="false">F6*(1+G5/100)</f>
        <v>22782.7220067562</v>
      </c>
      <c r="H6" s="0" t="n">
        <f aca="false">G6*(1+H5/100)</f>
        <v>23466.2036669589</v>
      </c>
      <c r="I6" s="0" t="n">
        <f aca="false">H6*(1+I5/100)</f>
        <v>24052.8587586329</v>
      </c>
      <c r="J6" s="0" t="n">
        <f aca="false">I6*(1+J5/100)</f>
        <v>24654.1802275987</v>
      </c>
      <c r="K6" s="0" t="n">
        <f aca="false">J6*(1+K5/100)</f>
        <v>25270.5347332887</v>
      </c>
      <c r="L6" s="0" t="n">
        <f aca="false">K6*(1+L5/100)</f>
        <v>25902.2981016209</v>
      </c>
    </row>
    <row r="7" customFormat="false" ht="15" hidden="false" customHeight="false" outlineLevel="0" collapsed="false">
      <c r="A7" s="0" t="s">
        <v>108</v>
      </c>
      <c r="C7" s="4" t="n">
        <f aca="false">Assumptions!C14</f>
        <v>34.5</v>
      </c>
      <c r="D7" s="4" t="n">
        <f aca="false">Assumptions!D14</f>
        <v>27</v>
      </c>
      <c r="E7" s="4" t="n">
        <f aca="false">Assumptions!E14</f>
        <v>30.5</v>
      </c>
      <c r="F7" s="4" t="n">
        <f aca="false">Assumptions!F14</f>
        <v>32.5</v>
      </c>
      <c r="G7" s="4" t="n">
        <f aca="false">Assumptions!G14</f>
        <v>33.5</v>
      </c>
      <c r="H7" s="4" t="n">
        <f aca="false">Assumptions!H14</f>
        <v>34</v>
      </c>
      <c r="I7" s="4" t="n">
        <f aca="false">Assumptions!I14</f>
        <v>34</v>
      </c>
      <c r="J7" s="4" t="n">
        <f aca="false">Assumptions!J14</f>
        <v>34</v>
      </c>
      <c r="K7" s="4" t="n">
        <f aca="false">Assumptions!K14</f>
        <v>34</v>
      </c>
      <c r="L7" s="4" t="n">
        <f aca="false">Assumptions!L14</f>
        <v>34</v>
      </c>
    </row>
    <row r="8" customFormat="false" ht="15" hidden="false" customHeight="false" outlineLevel="0" collapsed="false">
      <c r="A8" s="0" t="s">
        <v>43</v>
      </c>
      <c r="C8" s="0" t="n">
        <f aca="false">C6*C7/100</f>
        <v>7409.0475</v>
      </c>
      <c r="D8" s="0" t="n">
        <f aca="false">D6*D7/100</f>
        <v>5740.40115</v>
      </c>
      <c r="E8" s="0" t="n">
        <f aca="false">E6*E7/100</f>
        <v>6581.795133375</v>
      </c>
      <c r="F8" s="0" t="n">
        <f aca="false">F6*F7/100</f>
        <v>7188.72296329687</v>
      </c>
      <c r="G8" s="0" t="n">
        <f aca="false">G6*G7/100</f>
        <v>7632.21187226334</v>
      </c>
      <c r="H8" s="0" t="n">
        <f aca="false">H6*H7/100</f>
        <v>7978.50924676604</v>
      </c>
      <c r="I8" s="0" t="n">
        <f aca="false">I6*I7/100</f>
        <v>8177.97197793519</v>
      </c>
      <c r="J8" s="0" t="n">
        <f aca="false">J6*J7/100</f>
        <v>8382.42127738357</v>
      </c>
      <c r="K8" s="0" t="n">
        <f aca="false">K6*K7/100</f>
        <v>8591.98180931816</v>
      </c>
      <c r="L8" s="0" t="n">
        <f aca="false">L6*L7/100</f>
        <v>8806.78135455111</v>
      </c>
    </row>
    <row r="9" customFormat="false" ht="15" hidden="false" customHeight="false" outlineLevel="0" collapsed="false">
      <c r="A9" s="0" t="s">
        <v>109</v>
      </c>
      <c r="C9" s="4" t="n">
        <f aca="false">Assumptions!C15</f>
        <v>1.55</v>
      </c>
      <c r="D9" s="4" t="n">
        <f aca="false">Assumptions!D15</f>
        <v>1.55</v>
      </c>
      <c r="E9" s="4" t="n">
        <f aca="false">Assumptions!E15</f>
        <v>1.55</v>
      </c>
      <c r="F9" s="4" t="n">
        <f aca="false">Assumptions!F15</f>
        <v>1.55</v>
      </c>
      <c r="G9" s="4" t="n">
        <f aca="false">Assumptions!G15</f>
        <v>1.55</v>
      </c>
      <c r="H9" s="4" t="n">
        <f aca="false">Assumptions!H15</f>
        <v>1.55</v>
      </c>
      <c r="I9" s="4" t="n">
        <f aca="false">Assumptions!I15</f>
        <v>1.55</v>
      </c>
      <c r="J9" s="4" t="n">
        <f aca="false">Assumptions!J15</f>
        <v>1.55</v>
      </c>
      <c r="K9" s="4" t="n">
        <f aca="false">Assumptions!K15</f>
        <v>1.55</v>
      </c>
      <c r="L9" s="4" t="n">
        <f aca="false">Assumptions!L15</f>
        <v>1.55</v>
      </c>
    </row>
    <row r="10" customFormat="false" ht="15" hidden="false" customHeight="false" outlineLevel="0" collapsed="false">
      <c r="A10" s="0" t="s">
        <v>124</v>
      </c>
      <c r="C10" s="0" t="n">
        <f aca="false">-C6*C9/100</f>
        <v>-332.87025</v>
      </c>
      <c r="D10" s="0" t="n">
        <f aca="false">-D6*D9/100</f>
        <v>-329.5415475</v>
      </c>
      <c r="E10" s="0" t="n">
        <f aca="false">-E6*E9/100</f>
        <v>-334.4846707125</v>
      </c>
      <c r="F10" s="0" t="n">
        <f aca="false">-F6*F9/100</f>
        <v>-342.846787480312</v>
      </c>
      <c r="G10" s="0" t="n">
        <f aca="false">-G6*G9/100</f>
        <v>-353.132191104722</v>
      </c>
      <c r="H10" s="0" t="n">
        <f aca="false">-H6*H9/100</f>
        <v>-363.726156837863</v>
      </c>
      <c r="I10" s="0" t="n">
        <f aca="false">-I6*I9/100</f>
        <v>-372.81931075881</v>
      </c>
      <c r="J10" s="0" t="n">
        <f aca="false">-J6*J9/100</f>
        <v>-382.13979352778</v>
      </c>
      <c r="K10" s="0" t="n">
        <f aca="false">-K6*K9/100</f>
        <v>-391.693288365975</v>
      </c>
      <c r="L10" s="0" t="n">
        <f aca="false">-L6*L9/100</f>
        <v>-401.485620575124</v>
      </c>
    </row>
    <row r="11" customFormat="false" ht="15" hidden="false" customHeight="false" outlineLevel="0" collapsed="false">
      <c r="A11" s="0" t="s">
        <v>125</v>
      </c>
      <c r="C11" s="0" t="n">
        <f aca="false">C8+C10+C24</f>
        <v>7076.17725</v>
      </c>
      <c r="D11" s="0" t="n">
        <f aca="false">D8+D10+D24</f>
        <v>5410.8596025</v>
      </c>
      <c r="E11" s="0" t="n">
        <f aca="false">E8+E10+E24</f>
        <v>6247.3104626625</v>
      </c>
      <c r="F11" s="0" t="n">
        <f aca="false">F8+F10+F24</f>
        <v>6845.87617581656</v>
      </c>
      <c r="G11" s="0" t="n">
        <f aca="false">G8+G10+G24</f>
        <v>7279.07968115862</v>
      </c>
      <c r="H11" s="0" t="n">
        <f aca="false">H8+H10+H24</f>
        <v>7614.78308992817</v>
      </c>
      <c r="I11" s="0" t="n">
        <f aca="false">I8+I10+I24</f>
        <v>7805.15266717638</v>
      </c>
      <c r="J11" s="0" t="n">
        <f aca="false">J8+J10+J24</f>
        <v>8000.28148385579</v>
      </c>
      <c r="K11" s="0" t="n">
        <f aca="false">K8+K10+K24</f>
        <v>8200.28852095218</v>
      </c>
      <c r="L11" s="0" t="n">
        <f aca="false">L8+L10+L24</f>
        <v>8405.29573397599</v>
      </c>
    </row>
    <row r="12" customFormat="false" ht="15" hidden="false" customHeight="false" outlineLevel="0" collapsed="false">
      <c r="A12" s="0" t="s">
        <v>126</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127</v>
      </c>
      <c r="C13" s="0" t="n">
        <f aca="false">C11+C12</f>
        <v>7076.17725</v>
      </c>
      <c r="D13" s="0" t="n">
        <f aca="false">D11+D12</f>
        <v>5410.8596025</v>
      </c>
      <c r="E13" s="0" t="n">
        <f aca="false">E11+E12</f>
        <v>6247.3104626625</v>
      </c>
      <c r="F13" s="0" t="n">
        <f aca="false">F11+F12</f>
        <v>6845.87617581656</v>
      </c>
      <c r="G13" s="0" t="n">
        <f aca="false">G11+G12</f>
        <v>7279.07968115862</v>
      </c>
      <c r="H13" s="0" t="n">
        <f aca="false">H11+H12</f>
        <v>7614.78308992817</v>
      </c>
      <c r="I13" s="0" t="n">
        <f aca="false">I11+I12</f>
        <v>7805.15266717638</v>
      </c>
      <c r="J13" s="0" t="n">
        <f aca="false">J11+J12</f>
        <v>8000.28148385579</v>
      </c>
      <c r="K13" s="0" t="n">
        <f aca="false">K11+K12</f>
        <v>8200.28852095218</v>
      </c>
      <c r="L13" s="0" t="n">
        <f aca="false">L11+L12</f>
        <v>8405.29573397599</v>
      </c>
    </row>
    <row r="14" customFormat="false" ht="15" hidden="false" customHeight="false" outlineLevel="0" collapsed="false">
      <c r="A14" s="0" t="s">
        <v>113</v>
      </c>
      <c r="C14" s="4" t="n">
        <f aca="false">Assumptions!C19</f>
        <v>14.5</v>
      </c>
      <c r="D14" s="4" t="n">
        <f aca="false">Assumptions!D19</f>
        <v>15.5</v>
      </c>
      <c r="E14" s="4" t="n">
        <f aca="false">Assumptions!E19</f>
        <v>16.5</v>
      </c>
      <c r="F14" s="4" t="n">
        <f aca="false">Assumptions!F19</f>
        <v>17</v>
      </c>
      <c r="G14" s="4" t="n">
        <f aca="false">Assumptions!G19</f>
        <v>17</v>
      </c>
      <c r="H14" s="4" t="n">
        <f aca="false">Assumptions!H19</f>
        <v>17</v>
      </c>
      <c r="I14" s="4" t="n">
        <f aca="false">Assumptions!I19</f>
        <v>17</v>
      </c>
      <c r="J14" s="4" t="n">
        <f aca="false">Assumptions!J19</f>
        <v>17</v>
      </c>
      <c r="K14" s="4" t="n">
        <f aca="false">Assumptions!K19</f>
        <v>17</v>
      </c>
      <c r="L14" s="4" t="n">
        <f aca="false">Assumptions!L19</f>
        <v>17</v>
      </c>
    </row>
    <row r="15" customFormat="false" ht="15" hidden="false" customHeight="false" outlineLevel="0" collapsed="false">
      <c r="A15" s="0" t="s">
        <v>128</v>
      </c>
      <c r="C15" s="0" t="n">
        <f aca="false">C13-MAX(0,C13)*C14/100</f>
        <v>6050.13154875</v>
      </c>
      <c r="D15" s="0" t="n">
        <f aca="false">D13-MAX(0,D13)*D14/100</f>
        <v>4572.1763641125</v>
      </c>
      <c r="E15" s="0" t="n">
        <f aca="false">E13-MAX(0,E13)*E14/100</f>
        <v>5216.50423632319</v>
      </c>
      <c r="F15" s="0" t="n">
        <f aca="false">F13-MAX(0,F13)*F14/100</f>
        <v>5682.07722592775</v>
      </c>
      <c r="G15" s="0" t="n">
        <f aca="false">G13-MAX(0,G13)*G14/100</f>
        <v>6041.63613536166</v>
      </c>
      <c r="H15" s="0" t="n">
        <f aca="false">H13-MAX(0,H13)*H14/100</f>
        <v>6320.26996464039</v>
      </c>
      <c r="I15" s="0" t="n">
        <f aca="false">I13-MAX(0,I13)*I14/100</f>
        <v>6478.27671375639</v>
      </c>
      <c r="J15" s="0" t="n">
        <f aca="false">J13-MAX(0,J13)*J14/100</f>
        <v>6640.2336316003</v>
      </c>
      <c r="K15" s="0" t="n">
        <f aca="false">K13-MAX(0,K13)*K14/100</f>
        <v>6806.23947239031</v>
      </c>
      <c r="L15" s="0" t="n">
        <f aca="false">L13-MAX(0,L13)*L14/100</f>
        <v>6976.39545920007</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-C6*Assumptions!C18/100</f>
        <v>-1245.579</v>
      </c>
      <c r="D17" s="4" t="n">
        <f aca="false">-D6*Assumptions!D18/100</f>
        <v>-850.4298</v>
      </c>
      <c r="E17" s="4" t="n">
        <f aca="false">-E6*Assumptions!E18/100</f>
        <v>-625.810029075</v>
      </c>
      <c r="F17" s="4" t="n">
        <f aca="false">-F6*Assumptions!F18/100</f>
        <v>-1083.83823138937</v>
      </c>
      <c r="G17" s="4" t="n">
        <f aca="false">-G6*Assumptions!G18/100</f>
        <v>-1321.39787639186</v>
      </c>
      <c r="H17" s="4" t="n">
        <f aca="false">-H6*Assumptions!H18/100</f>
        <v>-1361.03981268362</v>
      </c>
      <c r="I17" s="4" t="n">
        <f aca="false">-I6*Assumptions!I18/100</f>
        <v>-1178.59007917301</v>
      </c>
      <c r="J17" s="4" t="n">
        <f aca="false">-J6*Assumptions!J18/100</f>
        <v>-1208.05483115234</v>
      </c>
      <c r="K17" s="4" t="n">
        <f aca="false">-K6*Assumptions!K18/100</f>
        <v>-1238.25620193115</v>
      </c>
      <c r="L17" s="4" t="n">
        <f aca="false">-L6*Assumptions!L18/100</f>
        <v>-1269.21260697942</v>
      </c>
    </row>
    <row r="18" customFormat="false" ht="15" hidden="false" customHeight="false" outlineLevel="0" collapsed="false">
      <c r="A18" s="0" t="s">
        <v>131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132</v>
      </c>
      <c r="C19" s="0" t="n">
        <f aca="false">C15+C16+C17+C18</f>
        <v>4804.55254875</v>
      </c>
      <c r="D19" s="0" t="n">
        <f aca="false">D15+D16+D17+D18</f>
        <v>3721.7465641125</v>
      </c>
      <c r="E19" s="0" t="n">
        <f aca="false">E15+E16+E17+E18</f>
        <v>4590.69420724819</v>
      </c>
      <c r="F19" s="0" t="n">
        <f aca="false">F15+F16+F17+F18</f>
        <v>4598.23899453837</v>
      </c>
      <c r="G19" s="0" t="n">
        <f aca="false">G15+G16+G17+G18</f>
        <v>4720.23825896979</v>
      </c>
      <c r="H19" s="0" t="n">
        <f aca="false">H15+H16+H17+H18</f>
        <v>4959.23015195677</v>
      </c>
      <c r="I19" s="0" t="n">
        <f aca="false">I15+I16+I17+I18</f>
        <v>5299.68663458338</v>
      </c>
      <c r="J19" s="0" t="n">
        <f aca="false">J15+J16+J17+J18</f>
        <v>5432.17880044796</v>
      </c>
      <c r="K19" s="0" t="n">
        <f aca="false">K15+K16+K17+K18</f>
        <v>5567.98327045916</v>
      </c>
      <c r="L19" s="0" t="n">
        <f aca="false">L15+L16+L17+L18</f>
        <v>5707.18285222064</v>
      </c>
    </row>
    <row r="20" customFormat="false" ht="15" hidden="false" customHeight="false" outlineLevel="0" collapsed="false">
      <c r="A20" s="0" t="s">
        <v>133</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134</v>
      </c>
      <c r="C21" s="0" t="n">
        <f aca="false">C19*C20</f>
        <v>4348.01135633484</v>
      </c>
      <c r="D21" s="0" t="n">
        <f aca="false">D19*D20</f>
        <v>3048.05107521345</v>
      </c>
      <c r="E21" s="0" t="n">
        <f aca="false">E19*E20</f>
        <v>3402.44826739806</v>
      </c>
      <c r="F21" s="0" t="n">
        <f aca="false">F19*F20</f>
        <v>3084.19925548479</v>
      </c>
      <c r="G21" s="0" t="n">
        <f aca="false">G19*G20</f>
        <v>2865.18408761738</v>
      </c>
      <c r="H21" s="0" t="n">
        <f aca="false">H19*H20</f>
        <v>2724.21008103483</v>
      </c>
      <c r="I21" s="0" t="n">
        <f aca="false">I19*I20</f>
        <v>2634.59731444342</v>
      </c>
      <c r="J21" s="0" t="n">
        <f aca="false">J19*J20</f>
        <v>2443.85723737964</v>
      </c>
      <c r="K21" s="0" t="n">
        <f aca="false">K19*K20</f>
        <v>2266.92639666437</v>
      </c>
      <c r="L21" s="0" t="n">
        <f aca="false">L19*L20</f>
        <v>2102.80502858008</v>
      </c>
    </row>
    <row r="23" customFormat="false" ht="15" hidden="false" customHeight="false" outlineLevel="0" collapsed="false">
      <c r="A23" s="0" t="s">
        <v>110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Assumptions!$B$20</f>
        <v>10.5</v>
      </c>
    </row>
    <row r="28" customFormat="false" ht="15" hidden="false" customHeight="false" outlineLevel="0" collapsed="false">
      <c r="A28" s="0" t="s">
        <v>115</v>
      </c>
      <c r="B28" s="4" t="n">
        <f aca="false">Assumptions!$B$21</f>
        <v>2.5</v>
      </c>
    </row>
    <row r="29" customFormat="false" ht="15" hidden="false" customHeight="false" outlineLevel="0" collapsed="false">
      <c r="A29" s="0" t="s">
        <v>116</v>
      </c>
      <c r="B29" s="4" t="n">
        <f aca="false">Assumptions!$B$22</f>
        <v>12</v>
      </c>
    </row>
    <row r="30" customFormat="false" ht="15" hidden="false" customHeight="false" outlineLevel="0" collapsed="false">
      <c r="A30" s="0" t="s">
        <v>137</v>
      </c>
      <c r="B30" s="0" t="n">
        <f aca="false">SUM(C21:L21)</f>
        <v>28920.2901001509</v>
      </c>
    </row>
    <row r="31" customFormat="false" ht="15" hidden="false" customHeight="false" outlineLevel="0" collapsed="false">
      <c r="A31" s="0" t="s">
        <v>138</v>
      </c>
      <c r="B31" s="0" t="n">
        <f aca="false">L19</f>
        <v>5707.18285222064</v>
      </c>
    </row>
    <row r="32" customFormat="false" ht="15" hidden="false" customHeight="false" outlineLevel="0" collapsed="false">
      <c r="A32" s="0" t="s">
        <v>139</v>
      </c>
      <c r="B32" s="0" t="n">
        <f aca="false">IF(B27&gt;B28,B31*(1+B28/100)/((B27-B28)/100),B31*B29)</f>
        <v>73123.280294077</v>
      </c>
    </row>
    <row r="33" customFormat="false" ht="15" hidden="false" customHeight="false" outlineLevel="0" collapsed="false">
      <c r="A33" s="0" t="s">
        <v>140</v>
      </c>
      <c r="B33" s="0" t="n">
        <f aca="false">B31*B29</f>
        <v>68486.1942266477</v>
      </c>
    </row>
    <row r="34" customFormat="false" ht="15" hidden="false" customHeight="false" outlineLevel="0" collapsed="false">
      <c r="A34" s="0" t="s">
        <v>141</v>
      </c>
      <c r="B34" s="0" t="n">
        <f aca="false">MAX(0,MIN(B32,B33))</f>
        <v>68486.1942266477</v>
      </c>
    </row>
    <row r="35" customFormat="false" ht="15" hidden="false" customHeight="false" outlineLevel="0" collapsed="false">
      <c r="A35" s="0" t="s">
        <v>142</v>
      </c>
      <c r="B35" s="0" t="n">
        <f aca="false">B34/(1+B27/100)^L4</f>
        <v>25233.6603429609</v>
      </c>
    </row>
    <row r="36" customFormat="false" ht="15" hidden="false" customHeight="false" outlineLevel="0" collapsed="false">
      <c r="A36" s="0" t="s">
        <v>143</v>
      </c>
      <c r="B36" s="0" t="n">
        <f aca="false">B30+B35</f>
        <v>54153.9504431118</v>
      </c>
    </row>
    <row r="37" customFormat="false" ht="15" hidden="false" customHeight="false" outlineLevel="0" collapsed="false">
      <c r="A37" s="0" t="s">
        <v>144</v>
      </c>
      <c r="B37" s="0" t="n">
        <f aca="false">B36+Assumptions!$B$5-Assumptions!$B$4</f>
        <v>50642.9504431118</v>
      </c>
    </row>
    <row r="38" customFormat="false" ht="15" hidden="false" customHeight="false" outlineLevel="0" collapsed="false">
      <c r="A38" s="0" t="s">
        <v>145</v>
      </c>
      <c r="B38" s="0" t="n">
        <f aca="false">B37/Assumptions!$B$3*Assumptions!$B$10</f>
        <v>41.2737982421449</v>
      </c>
    </row>
    <row r="39" customFormat="false" ht="15" hidden="false" customHeight="false" outlineLevel="0" collapsed="false">
      <c r="A39" s="0" t="s">
        <v>146</v>
      </c>
      <c r="B39" s="4" t="n">
        <f aca="false">B38/Assumptions!$B$2-1</f>
        <v>-0.108172034525824</v>
      </c>
    </row>
    <row r="41" customFormat="false" ht="15" hidden="false" customHeight="false" outlineLevel="0" collapsed="false">
      <c r="A41" s="0" t="s">
        <v>147</v>
      </c>
      <c r="B41" s="0" t="n">
        <f aca="false">SUMPRODUCT(-C10:L10/(1+$B$27/100)^C4:L4)</f>
        <v>2127.80518840764</v>
      </c>
    </row>
    <row r="42" customFormat="false" ht="15" hidden="false" customHeight="false" outlineLevel="0" collapsed="false">
      <c r="A42" s="0" t="s">
        <v>148</v>
      </c>
      <c r="B42" s="0" t="n">
        <f aca="false">IF(B27&gt;B28,-L10*(1+B28/100)/((B27-B28)/100),-L10*20)/(1+B27/100)^L4</f>
        <v>1895.31366394161</v>
      </c>
    </row>
    <row r="43" customFormat="false" ht="15" hidden="false" customHeight="false" outlineLevel="0" collapsed="false">
      <c r="A43" s="0" t="s">
        <v>149</v>
      </c>
      <c r="B43" s="0" t="n">
        <f aca="false">(B37+B41+B42)/Assumptions!$B$3*Assumptions!$B$10</f>
        <v>44.5526237126822</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46798.8993882093</v>
      </c>
    </row>
    <row r="47" customFormat="false" ht="15" hidden="false" customHeight="false" outlineLevel="0" collapsed="false">
      <c r="A47" s="0" t="s">
        <v>151</v>
      </c>
      <c r="B47" s="0" t="n">
        <f aca="false">(SUMPRODUCT(C19:L19/(1+B45/100)^C4:L4)+B46/(1+B45/100)^L4+Assumptions!$B$5-Assumptions!$B$4)/Assumptions!$B$3*Assumptions!$B$10</f>
        <v>26.0382818719646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Assumptions!C27</f>
        <v>4</v>
      </c>
      <c r="D5" s="4" t="n">
        <f aca="false">Assumptions!D27</f>
        <v>4</v>
      </c>
      <c r="E5" s="4" t="n">
        <f aca="false">Assumptions!E27</f>
        <v>4</v>
      </c>
      <c r="F5" s="4" t="n">
        <f aca="false">Assumptions!F27</f>
        <v>4</v>
      </c>
      <c r="G5" s="4" t="n">
        <f aca="false">Assumptions!G27</f>
        <v>3.5</v>
      </c>
      <c r="H5" s="4" t="n">
        <f aca="false">Assumptions!H27</f>
        <v>3.5</v>
      </c>
      <c r="I5" s="4" t="n">
        <f aca="false">Assumptions!I27</f>
        <v>3</v>
      </c>
      <c r="J5" s="4" t="n">
        <f aca="false">Assumptions!J27</f>
        <v>3</v>
      </c>
      <c r="K5" s="4" t="n">
        <f aca="false">Assumptions!K27</f>
        <v>3</v>
      </c>
      <c r="L5" s="4" t="n">
        <f aca="false">Assumptions!L27</f>
        <v>3</v>
      </c>
    </row>
    <row r="6" customFormat="false" ht="15" hidden="false" customHeight="false" outlineLevel="0" collapsed="false">
      <c r="A6" s="0" t="s">
        <v>37</v>
      </c>
      <c r="B6" s="3" t="n">
        <v>20850</v>
      </c>
      <c r="C6" s="0" t="n">
        <f aca="false">B6*(1+C5/100)</f>
        <v>21684</v>
      </c>
      <c r="D6" s="0" t="n">
        <f aca="false">C6*(1+D5/100)</f>
        <v>22551.36</v>
      </c>
      <c r="E6" s="0" t="n">
        <f aca="false">D6*(1+E5/100)</f>
        <v>23453.4144</v>
      </c>
      <c r="F6" s="0" t="n">
        <f aca="false">E6*(1+F5/100)</f>
        <v>24391.550976</v>
      </c>
      <c r="G6" s="0" t="n">
        <f aca="false">F6*(1+G5/100)</f>
        <v>25245.25526016</v>
      </c>
      <c r="H6" s="0" t="n">
        <f aca="false">G6*(1+H5/100)</f>
        <v>26128.8391942656</v>
      </c>
      <c r="I6" s="0" t="n">
        <f aca="false">H6*(1+I5/100)</f>
        <v>26912.7043700936</v>
      </c>
      <c r="J6" s="0" t="n">
        <f aca="false">I6*(1+J5/100)</f>
        <v>27720.0855011964</v>
      </c>
      <c r="K6" s="0" t="n">
        <f aca="false">J6*(1+K5/100)</f>
        <v>28551.6880662323</v>
      </c>
      <c r="L6" s="0" t="n">
        <f aca="false">K6*(1+L5/100)</f>
        <v>29408.2387082192</v>
      </c>
    </row>
    <row r="7" customFormat="false" ht="15" hidden="false" customHeight="false" outlineLevel="0" collapsed="false">
      <c r="A7" s="0" t="s">
        <v>108</v>
      </c>
      <c r="C7" s="4" t="n">
        <f aca="false">Assumptions!C28</f>
        <v>35.4</v>
      </c>
      <c r="D7" s="4" t="n">
        <f aca="false">Assumptions!D28</f>
        <v>35.9</v>
      </c>
      <c r="E7" s="4" t="n">
        <f aca="false">Assumptions!E28</f>
        <v>36.3</v>
      </c>
      <c r="F7" s="4" t="n">
        <f aca="false">Assumptions!F28</f>
        <v>36.6</v>
      </c>
      <c r="G7" s="4" t="n">
        <f aca="false">Assumptions!G28</f>
        <v>36.8</v>
      </c>
      <c r="H7" s="4" t="n">
        <f aca="false">Assumptions!H28</f>
        <v>37</v>
      </c>
      <c r="I7" s="4" t="n">
        <f aca="false">Assumptions!I28</f>
        <v>37</v>
      </c>
      <c r="J7" s="4" t="n">
        <f aca="false">Assumptions!J28</f>
        <v>37</v>
      </c>
      <c r="K7" s="4" t="n">
        <f aca="false">Assumptions!K28</f>
        <v>37</v>
      </c>
      <c r="L7" s="4" t="n">
        <f aca="false">Assumptions!L28</f>
        <v>37</v>
      </c>
    </row>
    <row r="8" customFormat="false" ht="15" hidden="false" customHeight="false" outlineLevel="0" collapsed="false">
      <c r="A8" s="0" t="s">
        <v>43</v>
      </c>
      <c r="C8" s="0" t="n">
        <f aca="false">C6*C7/100</f>
        <v>7676.136</v>
      </c>
      <c r="D8" s="0" t="n">
        <f aca="false">D6*D7/100</f>
        <v>8095.93824</v>
      </c>
      <c r="E8" s="0" t="n">
        <f aca="false">E6*E7/100</f>
        <v>8513.5894272</v>
      </c>
      <c r="F8" s="0" t="n">
        <f aca="false">F6*F7/100</f>
        <v>8927.307657216</v>
      </c>
      <c r="G8" s="0" t="n">
        <f aca="false">G6*G7/100</f>
        <v>9290.25393573888</v>
      </c>
      <c r="H8" s="0" t="n">
        <f aca="false">H6*H7/100</f>
        <v>9667.67050187827</v>
      </c>
      <c r="I8" s="0" t="n">
        <f aca="false">I6*I7/100</f>
        <v>9957.70061693462</v>
      </c>
      <c r="J8" s="0" t="n">
        <f aca="false">J6*J7/100</f>
        <v>10256.4316354427</v>
      </c>
      <c r="K8" s="0" t="n">
        <f aca="false">K6*K7/100</f>
        <v>10564.1245845059</v>
      </c>
      <c r="L8" s="0" t="n">
        <f aca="false">L6*L7/100</f>
        <v>10881.0483220411</v>
      </c>
    </row>
    <row r="9" customFormat="false" ht="15" hidden="false" customHeight="false" outlineLevel="0" collapsed="false">
      <c r="A9" s="0" t="s">
        <v>109</v>
      </c>
      <c r="C9" s="4" t="n">
        <f aca="false">Assumptions!C29</f>
        <v>1.55</v>
      </c>
      <c r="D9" s="4" t="n">
        <f aca="false">Assumptions!D29</f>
        <v>1.55</v>
      </c>
      <c r="E9" s="4" t="n">
        <f aca="false">Assumptions!E29</f>
        <v>1.55</v>
      </c>
      <c r="F9" s="4" t="n">
        <f aca="false">Assumptions!F29</f>
        <v>1.55</v>
      </c>
      <c r="G9" s="4" t="n">
        <f aca="false">Assumptions!G29</f>
        <v>1.55</v>
      </c>
      <c r="H9" s="4" t="n">
        <f aca="false">Assumptions!H29</f>
        <v>1.55</v>
      </c>
      <c r="I9" s="4" t="n">
        <f aca="false">Assumptions!I29</f>
        <v>1.55</v>
      </c>
      <c r="J9" s="4" t="n">
        <f aca="false">Assumptions!J29</f>
        <v>1.55</v>
      </c>
      <c r="K9" s="4" t="n">
        <f aca="false">Assumptions!K29</f>
        <v>1.55</v>
      </c>
      <c r="L9" s="4" t="n">
        <f aca="false">Assumptions!L29</f>
        <v>1.55</v>
      </c>
    </row>
    <row r="10" customFormat="false" ht="15" hidden="false" customHeight="false" outlineLevel="0" collapsed="false">
      <c r="A10" s="0" t="s">
        <v>124</v>
      </c>
      <c r="C10" s="0" t="n">
        <f aca="false">-C6*C9/100</f>
        <v>-336.102</v>
      </c>
      <c r="D10" s="0" t="n">
        <f aca="false">-D6*D9/100</f>
        <v>-349.54608</v>
      </c>
      <c r="E10" s="0" t="n">
        <f aca="false">-E6*E9/100</f>
        <v>-363.5279232</v>
      </c>
      <c r="F10" s="0" t="n">
        <f aca="false">-F6*F9/100</f>
        <v>-378.069040128</v>
      </c>
      <c r="G10" s="0" t="n">
        <f aca="false">-G6*G9/100</f>
        <v>-391.30145653248</v>
      </c>
      <c r="H10" s="0" t="n">
        <f aca="false">-H6*H9/100</f>
        <v>-404.997007511117</v>
      </c>
      <c r="I10" s="0" t="n">
        <f aca="false">-I6*I9/100</f>
        <v>-417.14691773645</v>
      </c>
      <c r="J10" s="0" t="n">
        <f aca="false">-J6*J9/100</f>
        <v>-429.661325268544</v>
      </c>
      <c r="K10" s="0" t="n">
        <f aca="false">-K6*K9/100</f>
        <v>-442.5511650266</v>
      </c>
      <c r="L10" s="0" t="n">
        <f aca="false">-L6*L9/100</f>
        <v>-455.827699977398</v>
      </c>
    </row>
    <row r="11" customFormat="false" ht="15" hidden="false" customHeight="false" outlineLevel="0" collapsed="false">
      <c r="A11" s="0" t="s">
        <v>125</v>
      </c>
      <c r="C11" s="0" t="n">
        <f aca="false">C8+C10+C24</f>
        <v>7340.034</v>
      </c>
      <c r="D11" s="0" t="n">
        <f aca="false">D8+D10+D24</f>
        <v>7746.39216</v>
      </c>
      <c r="E11" s="0" t="n">
        <f aca="false">E8+E10+E24</f>
        <v>8150.061504</v>
      </c>
      <c r="F11" s="0" t="n">
        <f aca="false">F8+F10+F24</f>
        <v>8549.238617088</v>
      </c>
      <c r="G11" s="0" t="n">
        <f aca="false">G8+G10+G24</f>
        <v>8898.9524792064</v>
      </c>
      <c r="H11" s="0" t="n">
        <f aca="false">H8+H10+H24</f>
        <v>9262.67349436715</v>
      </c>
      <c r="I11" s="0" t="n">
        <f aca="false">I8+I10+I24</f>
        <v>9540.55369919817</v>
      </c>
      <c r="J11" s="0" t="n">
        <f aca="false">J8+J10+J24</f>
        <v>9826.77031017412</v>
      </c>
      <c r="K11" s="0" t="n">
        <f aca="false">K8+K10+K24</f>
        <v>10121.5734194793</v>
      </c>
      <c r="L11" s="0" t="n">
        <f aca="false">L8+L10+L24</f>
        <v>10425.2206220637</v>
      </c>
    </row>
    <row r="12" customFormat="false" ht="15" hidden="false" customHeight="false" outlineLevel="0" collapsed="false">
      <c r="A12" s="0" t="s">
        <v>126</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127</v>
      </c>
      <c r="C13" s="0" t="n">
        <f aca="false">C11+C12</f>
        <v>7340.034</v>
      </c>
      <c r="D13" s="0" t="n">
        <f aca="false">D11+D12</f>
        <v>7746.39216</v>
      </c>
      <c r="E13" s="0" t="n">
        <f aca="false">E11+E12</f>
        <v>8150.061504</v>
      </c>
      <c r="F13" s="0" t="n">
        <f aca="false">F11+F12</f>
        <v>8549.238617088</v>
      </c>
      <c r="G13" s="0" t="n">
        <f aca="false">G11+G12</f>
        <v>8898.9524792064</v>
      </c>
      <c r="H13" s="0" t="n">
        <f aca="false">H11+H12</f>
        <v>9262.67349436715</v>
      </c>
      <c r="I13" s="0" t="n">
        <f aca="false">I11+I12</f>
        <v>9540.55369919817</v>
      </c>
      <c r="J13" s="0" t="n">
        <f aca="false">J11+J12</f>
        <v>9826.77031017412</v>
      </c>
      <c r="K13" s="0" t="n">
        <f aca="false">K11+K12</f>
        <v>10121.5734194793</v>
      </c>
      <c r="L13" s="0" t="n">
        <f aca="false">L11+L12</f>
        <v>10425.2206220637</v>
      </c>
    </row>
    <row r="14" customFormat="false" ht="15" hidden="false" customHeight="false" outlineLevel="0" collapsed="false">
      <c r="A14" s="0" t="s">
        <v>113</v>
      </c>
      <c r="C14" s="4" t="n">
        <f aca="false">Assumptions!C33</f>
        <v>14.5</v>
      </c>
      <c r="D14" s="4" t="n">
        <f aca="false">Assumptions!D33</f>
        <v>15.5</v>
      </c>
      <c r="E14" s="4" t="n">
        <f aca="false">Assumptions!E33</f>
        <v>16.5</v>
      </c>
      <c r="F14" s="4" t="n">
        <f aca="false">Assumptions!F33</f>
        <v>17</v>
      </c>
      <c r="G14" s="4" t="n">
        <f aca="false">Assumptions!G33</f>
        <v>17</v>
      </c>
      <c r="H14" s="4" t="n">
        <f aca="false">Assumptions!H33</f>
        <v>17</v>
      </c>
      <c r="I14" s="4" t="n">
        <f aca="false">Assumptions!I33</f>
        <v>17</v>
      </c>
      <c r="J14" s="4" t="n">
        <f aca="false">Assumptions!J33</f>
        <v>17</v>
      </c>
      <c r="K14" s="4" t="n">
        <f aca="false">Assumptions!K33</f>
        <v>17</v>
      </c>
      <c r="L14" s="4" t="n">
        <f aca="false">Assumptions!L33</f>
        <v>17</v>
      </c>
    </row>
    <row r="15" customFormat="false" ht="15" hidden="false" customHeight="false" outlineLevel="0" collapsed="false">
      <c r="A15" s="0" t="s">
        <v>128</v>
      </c>
      <c r="C15" s="0" t="n">
        <f aca="false">C13-MAX(0,C13)*C14/100</f>
        <v>6275.72907</v>
      </c>
      <c r="D15" s="0" t="n">
        <f aca="false">D13-MAX(0,D13)*D14/100</f>
        <v>6545.7013752</v>
      </c>
      <c r="E15" s="0" t="n">
        <f aca="false">E13-MAX(0,E13)*E14/100</f>
        <v>6805.30135584</v>
      </c>
      <c r="F15" s="0" t="n">
        <f aca="false">F13-MAX(0,F13)*F14/100</f>
        <v>7095.86805218304</v>
      </c>
      <c r="G15" s="0" t="n">
        <f aca="false">G13-MAX(0,G13)*G14/100</f>
        <v>7386.13055774131</v>
      </c>
      <c r="H15" s="0" t="n">
        <f aca="false">H13-MAX(0,H13)*H14/100</f>
        <v>7688.01900032474</v>
      </c>
      <c r="I15" s="0" t="n">
        <f aca="false">I13-MAX(0,I13)*I14/100</f>
        <v>7918.65957033448</v>
      </c>
      <c r="J15" s="0" t="n">
        <f aca="false">J13-MAX(0,J13)*J14/100</f>
        <v>8156.21935744452</v>
      </c>
      <c r="K15" s="0" t="n">
        <f aca="false">K13-MAX(0,K13)*K14/100</f>
        <v>8400.90593816785</v>
      </c>
      <c r="L15" s="0" t="n">
        <f aca="false">L13-MAX(0,L13)*L14/100</f>
        <v>8652.93311631289</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-C6*Assumptions!C32/100</f>
        <v>-1691.352</v>
      </c>
      <c r="D17" s="4" t="n">
        <f aca="false">-D6*Assumptions!D32/100</f>
        <v>-1759.00608</v>
      </c>
      <c r="E17" s="4" t="n">
        <f aca="false">-E6*Assumptions!E32/100</f>
        <v>-1829.3663232</v>
      </c>
      <c r="F17" s="4" t="n">
        <f aca="false">-F6*Assumptions!F32/100</f>
        <v>-1902.540976128</v>
      </c>
      <c r="G17" s="4" t="n">
        <f aca="false">-G6*Assumptions!G32/100</f>
        <v>-1716.67735769088</v>
      </c>
      <c r="H17" s="4" t="n">
        <f aca="false">-H6*Assumptions!H32/100</f>
        <v>-1776.76106521006</v>
      </c>
      <c r="I17" s="4" t="n">
        <f aca="false">-I6*Assumptions!I32/100</f>
        <v>-1560.93685346543</v>
      </c>
      <c r="J17" s="4" t="n">
        <f aca="false">-J6*Assumptions!J32/100</f>
        <v>-1607.76495906939</v>
      </c>
      <c r="K17" s="4" t="n">
        <f aca="false">-K6*Assumptions!K32/100</f>
        <v>-1655.99790784147</v>
      </c>
      <c r="L17" s="4" t="n">
        <f aca="false">-L6*Assumptions!L32/100</f>
        <v>-1705.67784507672</v>
      </c>
    </row>
    <row r="18" customFormat="false" ht="15" hidden="false" customHeight="false" outlineLevel="0" collapsed="false">
      <c r="A18" s="0" t="s">
        <v>131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132</v>
      </c>
      <c r="C19" s="0" t="n">
        <f aca="false">C15+C16+C17+C18</f>
        <v>4584.37707</v>
      </c>
      <c r="D19" s="0" t="n">
        <f aca="false">D15+D16+D17+D18</f>
        <v>4786.6952952</v>
      </c>
      <c r="E19" s="0" t="n">
        <f aca="false">E15+E16+E17+E18</f>
        <v>4975.93503264</v>
      </c>
      <c r="F19" s="0" t="n">
        <f aca="false">F15+F16+F17+F18</f>
        <v>5193.32707605504</v>
      </c>
      <c r="G19" s="0" t="n">
        <f aca="false">G15+G16+G17+G18</f>
        <v>5669.45320005043</v>
      </c>
      <c r="H19" s="0" t="n">
        <f aca="false">H15+H16+H17+H18</f>
        <v>5911.25793511468</v>
      </c>
      <c r="I19" s="0" t="n">
        <f aca="false">I15+I16+I17+I18</f>
        <v>6357.72271686905</v>
      </c>
      <c r="J19" s="0" t="n">
        <f aca="false">J15+J16+J17+J18</f>
        <v>6548.45439837513</v>
      </c>
      <c r="K19" s="0" t="n">
        <f aca="false">K15+K16+K17+K18</f>
        <v>6744.90803032638</v>
      </c>
      <c r="L19" s="0" t="n">
        <f aca="false">L15+L16+L17+L18</f>
        <v>6947.25527123617</v>
      </c>
    </row>
    <row r="20" customFormat="false" ht="15" hidden="false" customHeight="false" outlineLevel="0" collapsed="false">
      <c r="A20" s="0" t="s">
        <v>133</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134</v>
      </c>
      <c r="C21" s="0" t="n">
        <f aca="false">C19*C20</f>
        <v>4148.75752941176</v>
      </c>
      <c r="D21" s="0" t="n">
        <f aca="false">D19*D20</f>
        <v>3920.22710034602</v>
      </c>
      <c r="E21" s="0" t="n">
        <f aca="false">E19*E20</f>
        <v>3687.97414207205</v>
      </c>
      <c r="F21" s="0" t="n">
        <f aca="false">F19*F20</f>
        <v>3483.34558523006</v>
      </c>
      <c r="G21" s="0" t="n">
        <f aca="false">G19*G20</f>
        <v>3441.35744915157</v>
      </c>
      <c r="H21" s="0" t="n">
        <f aca="false">H19*H20</f>
        <v>3247.1790913117</v>
      </c>
      <c r="I21" s="0" t="n">
        <f aca="false">I19*I20</f>
        <v>3160.57162446849</v>
      </c>
      <c r="J21" s="0" t="n">
        <f aca="false">J19*J20</f>
        <v>2946.05318841859</v>
      </c>
      <c r="K21" s="0" t="n">
        <f aca="false">K19*K20</f>
        <v>2746.09482721371</v>
      </c>
      <c r="L21" s="0" t="n">
        <f aca="false">L19*L20</f>
        <v>2559.70830047975</v>
      </c>
    </row>
    <row r="23" customFormat="false" ht="15" hidden="false" customHeight="false" outlineLevel="0" collapsed="false">
      <c r="A23" s="0" t="s">
        <v>110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Assumptions!$B$34</f>
        <v>10.5</v>
      </c>
    </row>
    <row r="28" customFormat="false" ht="15" hidden="false" customHeight="false" outlineLevel="0" collapsed="false">
      <c r="A28" s="0" t="s">
        <v>115</v>
      </c>
      <c r="B28" s="4" t="n">
        <f aca="false">Assumptions!$B$35</f>
        <v>3</v>
      </c>
    </row>
    <row r="29" customFormat="false" ht="15" hidden="false" customHeight="false" outlineLevel="0" collapsed="false">
      <c r="A29" s="0" t="s">
        <v>116</v>
      </c>
      <c r="B29" s="4" t="n">
        <f aca="false">Assumptions!$B$36</f>
        <v>14</v>
      </c>
    </row>
    <row r="30" customFormat="false" ht="15" hidden="false" customHeight="false" outlineLevel="0" collapsed="false">
      <c r="A30" s="0" t="s">
        <v>137</v>
      </c>
      <c r="B30" s="0" t="n">
        <f aca="false">SUM(C21:L21)</f>
        <v>33341.2688381037</v>
      </c>
    </row>
    <row r="31" customFormat="false" ht="15" hidden="false" customHeight="false" outlineLevel="0" collapsed="false">
      <c r="A31" s="0" t="s">
        <v>138</v>
      </c>
      <c r="B31" s="0" t="n">
        <f aca="false">L19</f>
        <v>6947.25527123617</v>
      </c>
    </row>
    <row r="32" customFormat="false" ht="15" hidden="false" customHeight="false" outlineLevel="0" collapsed="false">
      <c r="A32" s="0" t="s">
        <v>139</v>
      </c>
      <c r="B32" s="0" t="n">
        <f aca="false">IF(B27&gt;B28,B31*(1+B28/100)/((B27-B28)/100),B31*B29)</f>
        <v>95408.9723916435</v>
      </c>
    </row>
    <row r="33" customFormat="false" ht="15" hidden="false" customHeight="false" outlineLevel="0" collapsed="false">
      <c r="A33" s="0" t="s">
        <v>140</v>
      </c>
      <c r="B33" s="0" t="n">
        <f aca="false">B31*B29</f>
        <v>97261.5737973064</v>
      </c>
    </row>
    <row r="34" customFormat="false" ht="15" hidden="false" customHeight="false" outlineLevel="0" collapsed="false">
      <c r="A34" s="0" t="s">
        <v>141</v>
      </c>
      <c r="B34" s="0" t="n">
        <f aca="false">MAX(0,MIN(B32,B33))</f>
        <v>95408.9723916435</v>
      </c>
    </row>
    <row r="35" customFormat="false" ht="15" hidden="false" customHeight="false" outlineLevel="0" collapsed="false">
      <c r="A35" s="0" t="s">
        <v>142</v>
      </c>
      <c r="B35" s="0" t="n">
        <f aca="false">B34/(1+B27/100)^L4</f>
        <v>35153.3273265885</v>
      </c>
    </row>
    <row r="36" customFormat="false" ht="15" hidden="false" customHeight="false" outlineLevel="0" collapsed="false">
      <c r="A36" s="0" t="s">
        <v>143</v>
      </c>
      <c r="B36" s="0" t="n">
        <f aca="false">B30+B35</f>
        <v>68494.5961646923</v>
      </c>
    </row>
    <row r="37" customFormat="false" ht="15" hidden="false" customHeight="false" outlineLevel="0" collapsed="false">
      <c r="A37" s="0" t="s">
        <v>144</v>
      </c>
      <c r="B37" s="0" t="n">
        <f aca="false">B36+Assumptions!$B$5-Assumptions!$B$4</f>
        <v>64983.5961646923</v>
      </c>
    </row>
    <row r="38" customFormat="false" ht="15" hidden="false" customHeight="false" outlineLevel="0" collapsed="false">
      <c r="A38" s="0" t="s">
        <v>145</v>
      </c>
      <c r="B38" s="0" t="n">
        <f aca="false">B37/Assumptions!$B$3*Assumptions!$B$10</f>
        <v>52.9613660673939</v>
      </c>
    </row>
    <row r="39" customFormat="false" ht="15" hidden="false" customHeight="false" outlineLevel="0" collapsed="false">
      <c r="A39" s="0" t="s">
        <v>146</v>
      </c>
      <c r="B39" s="4" t="n">
        <f aca="false">B38/Assumptions!$B$2-1</f>
        <v>0.144368324706003</v>
      </c>
    </row>
    <row r="41" customFormat="false" ht="15" hidden="false" customHeight="false" outlineLevel="0" collapsed="false">
      <c r="A41" s="0" t="s">
        <v>147</v>
      </c>
      <c r="B41" s="0" t="n">
        <f aca="false">SUMPRODUCT(-C10:L10/(1+$B$27/100)^C4:L4)</f>
        <v>2322.24735262358</v>
      </c>
    </row>
    <row r="42" customFormat="false" ht="15" hidden="false" customHeight="false" outlineLevel="0" collapsed="false">
      <c r="A42" s="0" t="s">
        <v>148</v>
      </c>
      <c r="B42" s="0" t="n">
        <f aca="false">IF(B27&gt;B28,-L10*(1+B28/100)/((B27-B28)/100),-L10*20)/(1+B27/100)^L4</f>
        <v>2306.50231152083</v>
      </c>
    </row>
    <row r="43" customFormat="false" ht="15" hidden="false" customHeight="false" outlineLevel="0" collapsed="false">
      <c r="A43" s="0" t="s">
        <v>149</v>
      </c>
      <c r="B43" s="0" t="n">
        <f aca="false">(B37+B41+B42)/Assumptions!$B$3*Assumptions!$B$10</f>
        <v>56.733778181611</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59630.6077447772</v>
      </c>
    </row>
    <row r="47" customFormat="false" ht="15" hidden="false" customHeight="false" outlineLevel="0" collapsed="false">
      <c r="A47" s="0" t="s">
        <v>151</v>
      </c>
      <c r="B47" s="0" t="n">
        <f aca="false">(SUMPRODUCT(C19:L19/(1+B45/100)^C4:L4)+B46/(1+B45/100)^L4+Assumptions!$B$5-Assumptions!$B$4)/Assumptions!$B$3*Assumptions!$B$10</f>
        <v>31.4713791009258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Assumptions!C41</f>
        <v>4.5</v>
      </c>
      <c r="D5" s="4" t="n">
        <f aca="false">Assumptions!D41</f>
        <v>5</v>
      </c>
      <c r="E5" s="4" t="n">
        <f aca="false">Assumptions!E41</f>
        <v>5</v>
      </c>
      <c r="F5" s="4" t="n">
        <f aca="false">Assumptions!F41</f>
        <v>5</v>
      </c>
      <c r="G5" s="4" t="n">
        <f aca="false">Assumptions!G41</f>
        <v>4.5</v>
      </c>
      <c r="H5" s="4" t="n">
        <f aca="false">Assumptions!H41</f>
        <v>4</v>
      </c>
      <c r="I5" s="4" t="n">
        <f aca="false">Assumptions!I41</f>
        <v>3.5</v>
      </c>
      <c r="J5" s="4" t="n">
        <f aca="false">Assumptions!J41</f>
        <v>3.5</v>
      </c>
      <c r="K5" s="4" t="n">
        <f aca="false">Assumptions!K41</f>
        <v>3</v>
      </c>
      <c r="L5" s="4" t="n">
        <f aca="false">Assumptions!L41</f>
        <v>3</v>
      </c>
    </row>
    <row r="6" customFormat="false" ht="15" hidden="false" customHeight="false" outlineLevel="0" collapsed="false">
      <c r="A6" s="0" t="s">
        <v>37</v>
      </c>
      <c r="B6" s="3" t="n">
        <v>20850</v>
      </c>
      <c r="C6" s="0" t="n">
        <f aca="false">B6*(1+C5/100)</f>
        <v>21788.25</v>
      </c>
      <c r="D6" s="0" t="n">
        <f aca="false">C6*(1+D5/100)</f>
        <v>22877.6625</v>
      </c>
      <c r="E6" s="0" t="n">
        <f aca="false">D6*(1+E5/100)</f>
        <v>24021.545625</v>
      </c>
      <c r="F6" s="0" t="n">
        <f aca="false">E6*(1+F5/100)</f>
        <v>25222.62290625</v>
      </c>
      <c r="G6" s="0" t="n">
        <f aca="false">F6*(1+G5/100)</f>
        <v>26357.6409370313</v>
      </c>
      <c r="H6" s="0" t="n">
        <f aca="false">G6*(1+H5/100)</f>
        <v>27411.9465745125</v>
      </c>
      <c r="I6" s="0" t="n">
        <f aca="false">H6*(1+I5/100)</f>
        <v>28371.3647046204</v>
      </c>
      <c r="J6" s="0" t="n">
        <f aca="false">I6*(1+J5/100)</f>
        <v>29364.3624692822</v>
      </c>
      <c r="K6" s="0" t="n">
        <f aca="false">J6*(1+K5/100)</f>
        <v>30245.2933433606</v>
      </c>
      <c r="L6" s="0" t="n">
        <f aca="false">K6*(1+L5/100)</f>
        <v>31152.6521436614</v>
      </c>
    </row>
    <row r="7" customFormat="false" ht="15" hidden="false" customHeight="false" outlineLevel="0" collapsed="false">
      <c r="A7" s="0" t="s">
        <v>108</v>
      </c>
      <c r="C7" s="4" t="n">
        <f aca="false">Assumptions!C42</f>
        <v>35.8</v>
      </c>
      <c r="D7" s="4" t="n">
        <f aca="false">Assumptions!D42</f>
        <v>36.8</v>
      </c>
      <c r="E7" s="4" t="n">
        <f aca="false">Assumptions!E42</f>
        <v>37.6</v>
      </c>
      <c r="F7" s="4" t="n">
        <f aca="false">Assumptions!F42</f>
        <v>38.3</v>
      </c>
      <c r="G7" s="4" t="n">
        <f aca="false">Assumptions!G42</f>
        <v>38.8</v>
      </c>
      <c r="H7" s="4" t="n">
        <f aca="false">Assumptions!H42</f>
        <v>39.2</v>
      </c>
      <c r="I7" s="4" t="n">
        <f aca="false">Assumptions!I42</f>
        <v>39.5</v>
      </c>
      <c r="J7" s="4" t="n">
        <f aca="false">Assumptions!J42</f>
        <v>39.5</v>
      </c>
      <c r="K7" s="4" t="n">
        <f aca="false">Assumptions!K42</f>
        <v>39.5</v>
      </c>
      <c r="L7" s="4" t="n">
        <f aca="false">Assumptions!L42</f>
        <v>39.5</v>
      </c>
    </row>
    <row r="8" customFormat="false" ht="15" hidden="false" customHeight="false" outlineLevel="0" collapsed="false">
      <c r="A8" s="0" t="s">
        <v>43</v>
      </c>
      <c r="C8" s="0" t="n">
        <f aca="false">C6*C7/100</f>
        <v>7800.1935</v>
      </c>
      <c r="D8" s="0" t="n">
        <f aca="false">D6*D7/100</f>
        <v>8418.9798</v>
      </c>
      <c r="E8" s="0" t="n">
        <f aca="false">E6*E7/100</f>
        <v>9032.101155</v>
      </c>
      <c r="F8" s="0" t="n">
        <f aca="false">F6*F7/100</f>
        <v>9660.26457309375</v>
      </c>
      <c r="G8" s="0" t="n">
        <f aca="false">G6*G7/100</f>
        <v>10226.7646835681</v>
      </c>
      <c r="H8" s="0" t="n">
        <f aca="false">H6*H7/100</f>
        <v>10745.4830572089</v>
      </c>
      <c r="I8" s="0" t="n">
        <f aca="false">I6*I7/100</f>
        <v>11206.6890583251</v>
      </c>
      <c r="J8" s="0" t="n">
        <f aca="false">J6*J7/100</f>
        <v>11598.9231753664</v>
      </c>
      <c r="K8" s="0" t="n">
        <f aca="false">K6*K7/100</f>
        <v>11946.8908706274</v>
      </c>
      <c r="L8" s="0" t="n">
        <f aca="false">L6*L7/100</f>
        <v>12305.2975967463</v>
      </c>
    </row>
    <row r="9" customFormat="false" ht="15" hidden="false" customHeight="false" outlineLevel="0" collapsed="false">
      <c r="A9" s="0" t="s">
        <v>109</v>
      </c>
      <c r="C9" s="4" t="n">
        <f aca="false">Assumptions!C43</f>
        <v>1.55</v>
      </c>
      <c r="D9" s="4" t="n">
        <f aca="false">Assumptions!D43</f>
        <v>1.55</v>
      </c>
      <c r="E9" s="4" t="n">
        <f aca="false">Assumptions!E43</f>
        <v>1.55</v>
      </c>
      <c r="F9" s="4" t="n">
        <f aca="false">Assumptions!F43</f>
        <v>1.55</v>
      </c>
      <c r="G9" s="4" t="n">
        <f aca="false">Assumptions!G43</f>
        <v>1.55</v>
      </c>
      <c r="H9" s="4" t="n">
        <f aca="false">Assumptions!H43</f>
        <v>1.55</v>
      </c>
      <c r="I9" s="4" t="n">
        <f aca="false">Assumptions!I43</f>
        <v>1.55</v>
      </c>
      <c r="J9" s="4" t="n">
        <f aca="false">Assumptions!J43</f>
        <v>1.55</v>
      </c>
      <c r="K9" s="4" t="n">
        <f aca="false">Assumptions!K43</f>
        <v>1.55</v>
      </c>
      <c r="L9" s="4" t="n">
        <f aca="false">Assumptions!L43</f>
        <v>1.55</v>
      </c>
    </row>
    <row r="10" customFormat="false" ht="15" hidden="false" customHeight="false" outlineLevel="0" collapsed="false">
      <c r="A10" s="0" t="s">
        <v>124</v>
      </c>
      <c r="C10" s="0" t="n">
        <f aca="false">-C6*C9/100</f>
        <v>-337.717875</v>
      </c>
      <c r="D10" s="0" t="n">
        <f aca="false">-D6*D9/100</f>
        <v>-354.60376875</v>
      </c>
      <c r="E10" s="0" t="n">
        <f aca="false">-E6*E9/100</f>
        <v>-372.3339571875</v>
      </c>
      <c r="F10" s="0" t="n">
        <f aca="false">-F6*F9/100</f>
        <v>-390.950655046875</v>
      </c>
      <c r="G10" s="0" t="n">
        <f aca="false">-G6*G9/100</f>
        <v>-408.543434523984</v>
      </c>
      <c r="H10" s="0" t="n">
        <f aca="false">-H6*H9/100</f>
        <v>-424.885171904944</v>
      </c>
      <c r="I10" s="0" t="n">
        <f aca="false">-I6*I9/100</f>
        <v>-439.756152921617</v>
      </c>
      <c r="J10" s="0" t="n">
        <f aca="false">-J6*J9/100</f>
        <v>-455.147618273873</v>
      </c>
      <c r="K10" s="0" t="n">
        <f aca="false">-K6*K9/100</f>
        <v>-468.80204682209</v>
      </c>
      <c r="L10" s="0" t="n">
        <f aca="false">-L6*L9/100</f>
        <v>-482.866108226752</v>
      </c>
    </row>
    <row r="11" customFormat="false" ht="15" hidden="false" customHeight="false" outlineLevel="0" collapsed="false">
      <c r="A11" s="0" t="s">
        <v>125</v>
      </c>
      <c r="C11" s="0" t="n">
        <f aca="false">C8+C10+C24</f>
        <v>7462.475625</v>
      </c>
      <c r="D11" s="0" t="n">
        <f aca="false">D8+D10+D24</f>
        <v>8064.37603125</v>
      </c>
      <c r="E11" s="0" t="n">
        <f aca="false">E8+E10+E24</f>
        <v>8659.7671978125</v>
      </c>
      <c r="F11" s="0" t="n">
        <f aca="false">F8+F10+F24</f>
        <v>9269.31391804688</v>
      </c>
      <c r="G11" s="0" t="n">
        <f aca="false">G8+G10+G24</f>
        <v>9818.22124904414</v>
      </c>
      <c r="H11" s="0" t="n">
        <f aca="false">H8+H10+H24</f>
        <v>10320.597885304</v>
      </c>
      <c r="I11" s="0" t="n">
        <f aca="false">I8+I10+I24</f>
        <v>10766.9329054035</v>
      </c>
      <c r="J11" s="0" t="n">
        <f aca="false">J8+J10+J24</f>
        <v>11143.7755570926</v>
      </c>
      <c r="K11" s="0" t="n">
        <f aca="false">K8+K10+K24</f>
        <v>11478.0888238054</v>
      </c>
      <c r="L11" s="0" t="n">
        <f aca="false">L8+L10+L24</f>
        <v>11822.4314885195</v>
      </c>
    </row>
    <row r="12" customFormat="false" ht="15" hidden="false" customHeight="false" outlineLevel="0" collapsed="false">
      <c r="A12" s="0" t="s">
        <v>126</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127</v>
      </c>
      <c r="C13" s="0" t="n">
        <f aca="false">C11+C12</f>
        <v>7462.475625</v>
      </c>
      <c r="D13" s="0" t="n">
        <f aca="false">D11+D12</f>
        <v>8064.37603125</v>
      </c>
      <c r="E13" s="0" t="n">
        <f aca="false">E11+E12</f>
        <v>8659.7671978125</v>
      </c>
      <c r="F13" s="0" t="n">
        <f aca="false">F11+F12</f>
        <v>9269.31391804688</v>
      </c>
      <c r="G13" s="0" t="n">
        <f aca="false">G11+G12</f>
        <v>9818.22124904414</v>
      </c>
      <c r="H13" s="0" t="n">
        <f aca="false">H11+H12</f>
        <v>10320.597885304</v>
      </c>
      <c r="I13" s="0" t="n">
        <f aca="false">I11+I12</f>
        <v>10766.9329054035</v>
      </c>
      <c r="J13" s="0" t="n">
        <f aca="false">J11+J12</f>
        <v>11143.7755570926</v>
      </c>
      <c r="K13" s="0" t="n">
        <f aca="false">K11+K12</f>
        <v>11478.0888238054</v>
      </c>
      <c r="L13" s="0" t="n">
        <f aca="false">L11+L12</f>
        <v>11822.4314885195</v>
      </c>
    </row>
    <row r="14" customFormat="false" ht="15" hidden="false" customHeight="false" outlineLevel="0" collapsed="false">
      <c r="A14" s="0" t="s">
        <v>113</v>
      </c>
      <c r="C14" s="4" t="n">
        <f aca="false">Assumptions!C47</f>
        <v>14.5</v>
      </c>
      <c r="D14" s="4" t="n">
        <f aca="false">Assumptions!D47</f>
        <v>15.5</v>
      </c>
      <c r="E14" s="4" t="n">
        <f aca="false">Assumptions!E47</f>
        <v>16.5</v>
      </c>
      <c r="F14" s="4" t="n">
        <f aca="false">Assumptions!F47</f>
        <v>17</v>
      </c>
      <c r="G14" s="4" t="n">
        <f aca="false">Assumptions!G47</f>
        <v>17</v>
      </c>
      <c r="H14" s="4" t="n">
        <f aca="false">Assumptions!H47</f>
        <v>17</v>
      </c>
      <c r="I14" s="4" t="n">
        <f aca="false">Assumptions!I47</f>
        <v>17</v>
      </c>
      <c r="J14" s="4" t="n">
        <f aca="false">Assumptions!J47</f>
        <v>17</v>
      </c>
      <c r="K14" s="4" t="n">
        <f aca="false">Assumptions!K47</f>
        <v>17</v>
      </c>
      <c r="L14" s="4" t="n">
        <f aca="false">Assumptions!L47</f>
        <v>17</v>
      </c>
    </row>
    <row r="15" customFormat="false" ht="15" hidden="false" customHeight="false" outlineLevel="0" collapsed="false">
      <c r="A15" s="0" t="s">
        <v>128</v>
      </c>
      <c r="C15" s="0" t="n">
        <f aca="false">C13-MAX(0,C13)*C14/100</f>
        <v>6380.416659375</v>
      </c>
      <c r="D15" s="0" t="n">
        <f aca="false">D13-MAX(0,D13)*D14/100</f>
        <v>6814.39774640625</v>
      </c>
      <c r="E15" s="0" t="n">
        <f aca="false">E13-MAX(0,E13)*E14/100</f>
        <v>7230.90561017344</v>
      </c>
      <c r="F15" s="0" t="n">
        <f aca="false">F13-MAX(0,F13)*F14/100</f>
        <v>7693.53055197891</v>
      </c>
      <c r="G15" s="0" t="n">
        <f aca="false">G13-MAX(0,G13)*G14/100</f>
        <v>8149.12363670664</v>
      </c>
      <c r="H15" s="0" t="n">
        <f aca="false">H13-MAX(0,H13)*H14/100</f>
        <v>8566.09624480229</v>
      </c>
      <c r="I15" s="0" t="n">
        <f aca="false">I13-MAX(0,I13)*I14/100</f>
        <v>8936.55431148487</v>
      </c>
      <c r="J15" s="0" t="n">
        <f aca="false">J13-MAX(0,J13)*J14/100</f>
        <v>9249.33371238684</v>
      </c>
      <c r="K15" s="0" t="n">
        <f aca="false">K13-MAX(0,K13)*K14/100</f>
        <v>9526.81372375845</v>
      </c>
      <c r="L15" s="0" t="n">
        <f aca="false">L13-MAX(0,L13)*L14/100</f>
        <v>9812.6181354712</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-C6*Assumptions!C46/100</f>
        <v>-1895.57775</v>
      </c>
      <c r="D17" s="4" t="n">
        <f aca="false">-D6*Assumptions!D46/100</f>
        <v>-2219.1332625</v>
      </c>
      <c r="E17" s="4" t="n">
        <f aca="false">-E6*Assumptions!E46/100</f>
        <v>-2330.089925625</v>
      </c>
      <c r="F17" s="4" t="n">
        <f aca="false">-F6*Assumptions!F46/100</f>
        <v>-2446.59442190625</v>
      </c>
      <c r="G17" s="4" t="n">
        <f aca="false">-G6*Assumptions!G46/100</f>
        <v>-2293.11476152172</v>
      </c>
      <c r="H17" s="4" t="n">
        <f aca="false">-H6*Assumptions!H46/100</f>
        <v>-2138.13183281198</v>
      </c>
      <c r="I17" s="4" t="n">
        <f aca="false">-I6*Assumptions!I46/100</f>
        <v>-1929.25279991419</v>
      </c>
      <c r="J17" s="4" t="n">
        <f aca="false">-J6*Assumptions!J46/100</f>
        <v>-1996.77664791119</v>
      </c>
      <c r="K17" s="4" t="n">
        <f aca="false">-K6*Assumptions!K46/100</f>
        <v>-1754.22701391492</v>
      </c>
      <c r="L17" s="4" t="n">
        <f aca="false">-L6*Assumptions!L46/100</f>
        <v>-1806.85382433236</v>
      </c>
    </row>
    <row r="18" customFormat="false" ht="15" hidden="false" customHeight="false" outlineLevel="0" collapsed="false">
      <c r="A18" s="0" t="s">
        <v>131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132</v>
      </c>
      <c r="C19" s="0" t="n">
        <f aca="false">C15+C16+C17+C18</f>
        <v>4484.838909375</v>
      </c>
      <c r="D19" s="0" t="n">
        <f aca="false">D15+D16+D17+D18</f>
        <v>4595.26448390625</v>
      </c>
      <c r="E19" s="0" t="n">
        <f aca="false">E15+E16+E17+E18</f>
        <v>4900.81568454844</v>
      </c>
      <c r="F19" s="0" t="n">
        <f aca="false">F15+F16+F17+F18</f>
        <v>5246.93613007266</v>
      </c>
      <c r="G19" s="0" t="n">
        <f aca="false">G15+G16+G17+G18</f>
        <v>5856.00887518492</v>
      </c>
      <c r="H19" s="0" t="n">
        <f aca="false">H15+H16+H17+H18</f>
        <v>6427.96441199031</v>
      </c>
      <c r="I19" s="0" t="n">
        <f aca="false">I15+I16+I17+I18</f>
        <v>7007.30151157068</v>
      </c>
      <c r="J19" s="0" t="n">
        <f aca="false">J15+J16+J17+J18</f>
        <v>7252.55706447565</v>
      </c>
      <c r="K19" s="0" t="n">
        <f aca="false">K15+K16+K17+K18</f>
        <v>7772.58670984353</v>
      </c>
      <c r="L19" s="0" t="n">
        <f aca="false">L15+L16+L17+L18</f>
        <v>8005.76431113883</v>
      </c>
    </row>
    <row r="20" customFormat="false" ht="15" hidden="false" customHeight="false" outlineLevel="0" collapsed="false">
      <c r="A20" s="0" t="s">
        <v>133</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134</v>
      </c>
      <c r="C21" s="0" t="n">
        <f aca="false">C19*C20</f>
        <v>4058.67774604072</v>
      </c>
      <c r="D21" s="0" t="n">
        <f aca="false">D19*D20</f>
        <v>3763.4483191632</v>
      </c>
      <c r="E21" s="0" t="n">
        <f aca="false">E19*E20</f>
        <v>3632.29853306315</v>
      </c>
      <c r="F21" s="0" t="n">
        <f aca="false">F19*F20</f>
        <v>3519.30304735519</v>
      </c>
      <c r="G21" s="0" t="n">
        <f aca="false">G19*G20</f>
        <v>3554.59672279084</v>
      </c>
      <c r="H21" s="0" t="n">
        <f aca="false">H19*H20</f>
        <v>3531.01689478311</v>
      </c>
      <c r="I21" s="0" t="n">
        <f aca="false">I19*I20</f>
        <v>3483.49233017071</v>
      </c>
      <c r="J21" s="0" t="n">
        <f aca="false">J19*J20</f>
        <v>3262.81860789745</v>
      </c>
      <c r="K21" s="0" t="n">
        <f aca="false">K19*K20</f>
        <v>3164.49980666949</v>
      </c>
      <c r="L21" s="0" t="n">
        <f aca="false">L19*L20</f>
        <v>2949.71475191817</v>
      </c>
    </row>
    <row r="23" customFormat="false" ht="15" hidden="false" customHeight="false" outlineLevel="0" collapsed="false">
      <c r="A23" s="0" t="s">
        <v>110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Assumptions!$B$48</f>
        <v>10.5</v>
      </c>
    </row>
    <row r="28" customFormat="false" ht="15" hidden="false" customHeight="false" outlineLevel="0" collapsed="false">
      <c r="A28" s="0" t="s">
        <v>115</v>
      </c>
      <c r="B28" s="4" t="n">
        <f aca="false">Assumptions!$B$49</f>
        <v>3</v>
      </c>
    </row>
    <row r="29" customFormat="false" ht="15" hidden="false" customHeight="false" outlineLevel="0" collapsed="false">
      <c r="A29" s="0" t="s">
        <v>116</v>
      </c>
      <c r="B29" s="4" t="n">
        <f aca="false">Assumptions!$B$50</f>
        <v>15</v>
      </c>
    </row>
    <row r="30" customFormat="false" ht="15" hidden="false" customHeight="false" outlineLevel="0" collapsed="false">
      <c r="A30" s="0" t="s">
        <v>137</v>
      </c>
      <c r="B30" s="0" t="n">
        <f aca="false">SUM(C21:L21)</f>
        <v>34919.866759852</v>
      </c>
    </row>
    <row r="31" customFormat="false" ht="15" hidden="false" customHeight="false" outlineLevel="0" collapsed="false">
      <c r="A31" s="0" t="s">
        <v>138</v>
      </c>
      <c r="B31" s="0" t="n">
        <f aca="false">L19</f>
        <v>8005.76431113883</v>
      </c>
    </row>
    <row r="32" customFormat="false" ht="15" hidden="false" customHeight="false" outlineLevel="0" collapsed="false">
      <c r="A32" s="0" t="s">
        <v>139</v>
      </c>
      <c r="B32" s="0" t="n">
        <f aca="false">IF(B27&gt;B28,B31*(1+B28/100)/((B27-B28)/100),B31*B29)</f>
        <v>109945.829872973</v>
      </c>
    </row>
    <row r="33" customFormat="false" ht="15" hidden="false" customHeight="false" outlineLevel="0" collapsed="false">
      <c r="A33" s="0" t="s">
        <v>140</v>
      </c>
      <c r="B33" s="0" t="n">
        <f aca="false">B31*B29</f>
        <v>120086.464667083</v>
      </c>
    </row>
    <row r="34" customFormat="false" ht="15" hidden="false" customHeight="false" outlineLevel="0" collapsed="false">
      <c r="A34" s="0" t="s">
        <v>141</v>
      </c>
      <c r="B34" s="0" t="n">
        <f aca="false">MAX(0,MIN(B32,B33))</f>
        <v>109945.829872973</v>
      </c>
    </row>
    <row r="35" customFormat="false" ht="15" hidden="false" customHeight="false" outlineLevel="0" collapsed="false">
      <c r="A35" s="0" t="s">
        <v>142</v>
      </c>
      <c r="B35" s="0" t="n">
        <f aca="false">B34/(1+B27/100)^L4</f>
        <v>40509.4159263429</v>
      </c>
    </row>
    <row r="36" customFormat="false" ht="15" hidden="false" customHeight="false" outlineLevel="0" collapsed="false">
      <c r="A36" s="0" t="s">
        <v>143</v>
      </c>
      <c r="B36" s="0" t="n">
        <f aca="false">B30+B35</f>
        <v>75429.2826861949</v>
      </c>
    </row>
    <row r="37" customFormat="false" ht="15" hidden="false" customHeight="false" outlineLevel="0" collapsed="false">
      <c r="A37" s="0" t="s">
        <v>144</v>
      </c>
      <c r="B37" s="0" t="n">
        <f aca="false">B36+Assumptions!$B$5-Assumptions!$B$4</f>
        <v>71918.2826861949</v>
      </c>
    </row>
    <row r="38" customFormat="false" ht="15" hidden="false" customHeight="false" outlineLevel="0" collapsed="false">
      <c r="A38" s="0" t="s">
        <v>145</v>
      </c>
      <c r="B38" s="0" t="n">
        <f aca="false">B37/Assumptions!$B$3*Assumptions!$B$10</f>
        <v>58.6131073237122</v>
      </c>
    </row>
    <row r="39" customFormat="false" ht="15" hidden="false" customHeight="false" outlineLevel="0" collapsed="false">
      <c r="A39" s="0" t="s">
        <v>146</v>
      </c>
      <c r="B39" s="4" t="n">
        <f aca="false">B38/Assumptions!$B$2-1</f>
        <v>0.266488922292831</v>
      </c>
    </row>
    <row r="41" customFormat="false" ht="15" hidden="false" customHeight="false" outlineLevel="0" collapsed="false">
      <c r="A41" s="0" t="s">
        <v>147</v>
      </c>
      <c r="B41" s="0" t="n">
        <f aca="false">SUMPRODUCT(-C10:L10/(1+$B$27/100)^C4:L4)</f>
        <v>2407.76499747706</v>
      </c>
    </row>
    <row r="42" customFormat="false" ht="15" hidden="false" customHeight="false" outlineLevel="0" collapsed="false">
      <c r="A42" s="0" t="s">
        <v>148</v>
      </c>
      <c r="B42" s="0" t="n">
        <f aca="false">IF(B27&gt;B28,-L10*(1+B28/100)/((B27-B28)/100),-L10*20)/(1+B27/100)^L4</f>
        <v>2443.31749657885</v>
      </c>
    </row>
    <row r="43" customFormat="false" ht="15" hidden="false" customHeight="false" outlineLevel="0" collapsed="false">
      <c r="A43" s="0" t="s">
        <v>149</v>
      </c>
      <c r="B43" s="0" t="n">
        <f aca="false">(B37+B41+B42)/Assumptions!$B$3*Assumptions!$B$10</f>
        <v>62.5667197883055</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68716.1436706083</v>
      </c>
    </row>
    <row r="47" customFormat="false" ht="15" hidden="false" customHeight="false" outlineLevel="0" collapsed="false">
      <c r="A47" s="0" t="s">
        <v>151</v>
      </c>
      <c r="B47" s="0" t="n">
        <f aca="false">(SUMPRODUCT(C19:L19/(1+B45/100)^C4:L4)+B46/(1+B45/100)^L4+Assumptions!$B$5-Assumptions!$B$4)/Assumptions!$B$3*Assumptions!$B$10</f>
        <v>34.1935052510098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154</v>
      </c>
    </row>
    <row r="3" customFormat="false" ht="15" hidden="false" customHeight="false" outlineLevel="0" collapsed="false">
      <c r="A3" s="2" t="s">
        <v>155</v>
      </c>
      <c r="B3" s="2" t="s">
        <v>156</v>
      </c>
      <c r="C3" s="2" t="s">
        <v>146</v>
      </c>
      <c r="D3" s="2" t="s">
        <v>157</v>
      </c>
      <c r="E3" s="2" t="s">
        <v>149</v>
      </c>
      <c r="F3" s="2" t="s">
        <v>158</v>
      </c>
    </row>
    <row r="4" customFormat="false" ht="15" hidden="false" customHeight="false" outlineLevel="0" collapsed="false">
      <c r="A4" s="0" t="s">
        <v>159</v>
      </c>
      <c r="B4" s="4" t="n">
        <f aca="false">DCF_Bear!$B$38</f>
        <v>41.2737982421449</v>
      </c>
      <c r="C4" s="0" t="n">
        <f aca="false">B4/Assumptions!$B$2-1</f>
        <v>-0.108172034525824</v>
      </c>
      <c r="D4" s="4" t="n">
        <f aca="false">Assumptions!$B$24</f>
        <v>0.25</v>
      </c>
      <c r="E4" s="4" t="n">
        <f aca="false">DCF_Bear!$B$43</f>
        <v>44.5526237126822</v>
      </c>
      <c r="F4" s="4" t="n">
        <f aca="false">DCF_Bear!$B$47</f>
        <v>26.0382818719646</v>
      </c>
    </row>
    <row r="5" customFormat="false" ht="15" hidden="false" customHeight="false" outlineLevel="0" collapsed="false">
      <c r="A5" s="0" t="s">
        <v>160</v>
      </c>
      <c r="B5" s="4" t="n">
        <f aca="false">DCF_Base!$B$38</f>
        <v>52.9613660673939</v>
      </c>
      <c r="C5" s="0" t="n">
        <f aca="false">B5/Assumptions!$B$2-1</f>
        <v>0.144368324706003</v>
      </c>
      <c r="D5" s="4" t="n">
        <f aca="false">Assumptions!$B$38</f>
        <v>0.5</v>
      </c>
      <c r="E5" s="4" t="n">
        <f aca="false">DCF_Base!$B$43</f>
        <v>56.733778181611</v>
      </c>
      <c r="F5" s="4" t="n">
        <f aca="false">DCF_Base!$B$47</f>
        <v>31.4713791009258</v>
      </c>
    </row>
    <row r="6" customFormat="false" ht="15" hidden="false" customHeight="false" outlineLevel="0" collapsed="false">
      <c r="A6" s="0" t="s">
        <v>161</v>
      </c>
      <c r="B6" s="4" t="n">
        <f aca="false">DCF_Bull!$B$38</f>
        <v>58.6131073237122</v>
      </c>
      <c r="C6" s="0" t="n">
        <f aca="false">B6/Assumptions!$B$2-1</f>
        <v>0.266488922292831</v>
      </c>
      <c r="D6" s="4" t="n">
        <f aca="false">Assumptions!$B$52</f>
        <v>0.25</v>
      </c>
      <c r="E6" s="4" t="n">
        <f aca="false">DCF_Bull!$B$43</f>
        <v>62.5667197883055</v>
      </c>
      <c r="F6" s="4" t="n">
        <f aca="false">DCF_Bull!$B$47</f>
        <v>34.1935052510098</v>
      </c>
    </row>
    <row r="8" customFormat="false" ht="15" hidden="false" customHeight="false" outlineLevel="0" collapsed="false">
      <c r="A8" s="0" t="s">
        <v>162</v>
      </c>
      <c r="B8" s="0" t="n">
        <f aca="false">SUMPRODUCT(B4:B6,D4:D6)</f>
        <v>51.4524094251612</v>
      </c>
    </row>
    <row r="9" customFormat="false" ht="15" hidden="false" customHeight="false" outlineLevel="0" collapsed="false">
      <c r="A9" s="0" t="s">
        <v>163</v>
      </c>
      <c r="B9" s="0" t="n">
        <f aca="false">SUMPRODUCT(E4:E6,D4:D6)</f>
        <v>55.1467249660524</v>
      </c>
    </row>
    <row r="10" customFormat="false" ht="15" hidden="false" customHeight="false" outlineLevel="0" collapsed="false">
      <c r="A10" s="0" t="s">
        <v>164</v>
      </c>
      <c r="B10" s="0" t="n">
        <f aca="false">1-Assumptions!$B$2/B8</f>
        <v>0.100528031300159</v>
      </c>
    </row>
    <row r="11" customFormat="false" ht="15" hidden="false" customHeight="false" outlineLevel="0" collapsed="false">
      <c r="A11" s="0" t="s">
        <v>165</v>
      </c>
      <c r="B11" s="0" t="n">
        <f aca="false">IF(ABS(B9-B8)&gt;0.01*ABS(B8),(Assumptions!$B$2-B8)/(B9-B8)*100,"n/a")</f>
        <v>-140.009952260695</v>
      </c>
    </row>
    <row r="12" customFormat="false" ht="15" hidden="false" customHeight="false" outlineLevel="0" collapsed="false">
      <c r="A12" s="0" t="s">
        <v>166</v>
      </c>
      <c r="B12" s="0" t="n">
        <f aca="false">SUMPRODUCT(F4:F6,D4:D6)</f>
        <v>30.7936363312065</v>
      </c>
    </row>
    <row r="14" customFormat="false" ht="15" hidden="false" customHeight="false" outlineLevel="0" collapsed="false">
      <c r="A14" s="2" t="s">
        <v>167</v>
      </c>
      <c r="C14" s="0" t="s">
        <v>168</v>
      </c>
    </row>
    <row r="15" customFormat="false" ht="15" hidden="false" customHeight="false" outlineLevel="0" collapsed="false">
      <c r="A15" s="0" t="s">
        <v>169</v>
      </c>
      <c r="B15" s="0" t="n">
        <f aca="false">(SUMPRODUCT(DCF_Base!$C$19:$L$19/(1+$C$15/100)^DCF_Base!$C$4:$L$4)+MAX(0,MIN(IF($C$15&gt;DCF_Base!$B$28,DCF_Base!$L$19*(1+DCF_Base!$B$28/100)/(($C$15-DCF_Base!$B$28)/100),DCF_Base!$L$19*DCF_Base!$B$29),DCF_Base!$L$19*DCF_Base!$B$29))/(1+$C$15/100)^DCF_Base!$L$4+Assumptions!$B$5-Assumptions!$B$4)/Assumptions!$B$3*Assumptions!$B$10</f>
        <v>59.7745717065607</v>
      </c>
      <c r="C15" s="3" t="n">
        <v>9</v>
      </c>
    </row>
    <row r="16" customFormat="false" ht="15" hidden="false" customHeight="false" outlineLevel="0" collapsed="false">
      <c r="A16" s="0" t="s">
        <v>170</v>
      </c>
      <c r="B16" s="0" t="n">
        <f aca="false">(SUMPRODUCT(DCF_Base!$C$19:$L$19/(1+$C$16/100)^DCF_Base!$C$4:$L$4)+MAX(0,MIN(IF($C$16&gt;DCF_Base!$B$28,DCF_Base!$L$19*(1+DCF_Base!$B$28/100)/(($C$16-DCF_Base!$B$28)/100),DCF_Base!$L$19*DCF_Base!$B$29),DCF_Base!$L$19*DCF_Base!$B$29))/(1+$C$16/100)^DCF_Base!$L$4+Assumptions!$B$5-Assumptions!$B$4)/Assumptions!$B$3*Assumptions!$B$10</f>
        <v>55.5094839793452</v>
      </c>
      <c r="C16" s="3" t="n">
        <v>10</v>
      </c>
    </row>
    <row r="17" customFormat="false" ht="15" hidden="false" customHeight="false" outlineLevel="0" collapsed="false">
      <c r="A17" s="0" t="s">
        <v>171</v>
      </c>
      <c r="B17" s="0" t="n">
        <f aca="false">(SUMPRODUCT(DCF_Base!$C$19:$L$19/(1+$C$17/100)^DCF_Base!$C$4:$L$4)+MAX(0,MIN(IF($C$17&gt;DCF_Base!$B$28,DCF_Base!$L$19*(1+DCF_Base!$B$28/100)/(($C$17-DCF_Base!$B$28)/100),DCF_Base!$L$19*DCF_Base!$B$29),DCF_Base!$L$19*DCF_Base!$B$29))/(1+$C$17/100)^DCF_Base!$L$4+Assumptions!$B$5-Assumptions!$B$4)/Assumptions!$B$3*Assumptions!$B$10</f>
        <v>52.9613660673939</v>
      </c>
      <c r="C17" s="3" t="n">
        <v>10.5</v>
      </c>
    </row>
    <row r="18" customFormat="false" ht="15" hidden="false" customHeight="false" outlineLevel="0" collapsed="false">
      <c r="A18" s="0" t="s">
        <v>172</v>
      </c>
      <c r="B18" s="0" t="n">
        <f aca="false">(SUMPRODUCT(DCF_Base!$C$19:$L$19/(1+$C$18/100)^DCF_Base!$C$4:$L$4)+MAX(0,MIN(IF($C$18&gt;DCF_Base!$B$28,DCF_Base!$L$19*(1+DCF_Base!$B$28/100)/(($C$18-DCF_Base!$B$28)/100),DCF_Base!$L$19*DCF_Base!$B$29),DCF_Base!$L$19*DCF_Base!$B$29))/(1+$C$18/100)^DCF_Base!$L$4+Assumptions!$B$5-Assumptions!$B$4)/Assumptions!$B$3*Assumptions!$B$10</f>
        <v>49.3700869654119</v>
      </c>
      <c r="C18" s="3" t="n">
        <v>11</v>
      </c>
    </row>
    <row r="19" customFormat="false" ht="15" hidden="false" customHeight="false" outlineLevel="0" collapsed="false">
      <c r="A19" s="0" t="s">
        <v>173</v>
      </c>
      <c r="B19" s="0" t="n">
        <f aca="false">(SUMPRODUCT(DCF_Base!$C$19:$L$19/(1+$C$19/100)^DCF_Base!$C$4:$L$4)+MAX(0,MIN(IF($C$19&gt;DCF_Base!$B$28,DCF_Base!$L$19*(1+DCF_Base!$B$28/100)/(($C$19-DCF_Base!$B$28)/100),DCF_Base!$L$19*DCF_Base!$B$29),DCF_Base!$L$19*DCF_Base!$B$29))/(1+$C$19/100)^DCF_Base!$L$4+Assumptions!$B$5-Assumptions!$B$4)/Assumptions!$B$3*Assumptions!$B$10</f>
        <v>43.3914294623299</v>
      </c>
      <c r="C19" s="3" t="n">
        <v>12</v>
      </c>
    </row>
    <row r="20" customFormat="false" ht="15" hidden="false" customHeight="false" outlineLevel="0" collapsed="false">
      <c r="A20" s="0" t="s">
        <v>174</v>
      </c>
      <c r="B20" s="0" t="n">
        <f aca="false">(SUMPRODUCT(DCF_Base!$C$19:$L$19/(1+$C$20/100)^DCF_Base!$C$4:$L$4)+MAX(0,MIN(IF($C$20&gt;DCF_Base!$B$28,DCF_Base!$L$19*(1+DCF_Base!$B$28/100)/(($C$20-DCF_Base!$B$28)/100),DCF_Base!$L$19*DCF_Base!$B$29),DCF_Base!$L$19*DCF_Base!$B$29))/(1+$C$20/100)^DCF_Base!$L$4+Assumptions!$B$5-Assumptions!$B$4)/Assumptions!$B$3*Assumptions!$B$10</f>
        <v>31.4713791009258</v>
      </c>
      <c r="C20" s="3" t="n">
        <v>15</v>
      </c>
    </row>
    <row r="22" customFormat="false" ht="15" hidden="false" customHeight="false" outlineLevel="0" collapsed="false">
      <c r="A22" s="2" t="s">
        <v>175</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62.0579643053948</v>
      </c>
      <c r="C24" s="0" t="n">
        <f aca="false">(SUMPRODUCT(DCF_Base!$C$19:$L$19/(1+$A$24/100)^DCF_Base!$C$4:$L$4)+MAX(0,MIN(IF($A$24&gt;$C$23,DCF_Base!$L$19*(1+$C$23/100)/(($A$24-$C$23)/100),DCF_Base!$L$19*DCF_Base!$B$29),DCF_Base!$L$19*DCF_Base!$B$29))/(1+$A$24/100)^DCF_Base!$L$4+Assumptions!$B$5-Assumptions!$B$4)/Assumptions!$B$3*Assumptions!$B$10</f>
        <v>62.0579643053948</v>
      </c>
      <c r="D24" s="0" t="n">
        <f aca="false">(SUMPRODUCT(DCF_Base!$C$19:$L$19/(1+$A$24/100)^DCF_Base!$C$4:$L$4)+MAX(0,MIN(IF($A$24&gt;$D$23,DCF_Base!$L$19*(1+$D$23/100)/(($A$24-$D$23)/100),DCF_Base!$L$19*DCF_Base!$B$29),DCF_Base!$L$19*DCF_Base!$B$29))/(1+$A$24/100)^DCF_Base!$L$4+Assumptions!$B$5-Assumptions!$B$4)/Assumptions!$B$3*Assumptions!$B$10</f>
        <v>62.0579643053948</v>
      </c>
      <c r="E24" s="0" t="n">
        <f aca="false">(SUMPRODUCT(DCF_Base!$C$19:$L$19/(1+$A$24/100)^DCF_Base!$C$4:$L$4)+MAX(0,MIN(IF($A$24&gt;$E$23,DCF_Base!$L$19*(1+$E$23/100)/(($A$24-$E$23)/100),DCF_Base!$L$19*DCF_Base!$B$29),DCF_Base!$L$19*DCF_Base!$B$29))/(1+$A$24/100)^DCF_Base!$L$4+Assumptions!$B$5-Assumptions!$B$4)/Assumptions!$B$3*Assumptions!$B$10</f>
        <v>62.0579643053948</v>
      </c>
      <c r="F24" s="0" t="n">
        <f aca="false">(SUMPRODUCT(DCF_Base!$C$19:$L$19/(1+$A$24/100)^DCF_Base!$C$4:$L$4)+MAX(0,MIN(IF($A$24&gt;$F$23,DCF_Base!$L$19*(1+$F$23/100)/(($A$24-$F$23)/100),DCF_Base!$L$19*DCF_Base!$B$29),DCF_Base!$L$19*DCF_Base!$B$29))/(1+$A$24/100)^DCF_Base!$L$4+Assumptions!$B$5-Assumptions!$B$4)/Assumptions!$B$3*Assumptions!$B$10</f>
        <v>62.0579643053948</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56.6796028850417</v>
      </c>
      <c r="C25" s="0" t="n">
        <f aca="false">(SUMPRODUCT(DCF_Base!$C$19:$L$19/(1+$A$25/100)^DCF_Base!$C$4:$L$4)+MAX(0,MIN(IF($A$25&gt;$C$23,DCF_Base!$L$19*(1+$C$23/100)/(($A$25-$C$23)/100),DCF_Base!$L$19*DCF_Base!$B$29),DCF_Base!$L$19*DCF_Base!$B$29))/(1+$A$25/100)^DCF_Base!$L$4+Assumptions!$B$5-Assumptions!$B$4)/Assumptions!$B$3*Assumptions!$B$10</f>
        <v>57.5934793514945</v>
      </c>
      <c r="D25" s="0" t="n">
        <f aca="false">(SUMPRODUCT(DCF_Base!$C$19:$L$19/(1+$A$25/100)^DCF_Base!$C$4:$L$4)+MAX(0,MIN(IF($A$25&gt;$D$23,DCF_Base!$L$19*(1+$D$23/100)/(($A$25-$D$23)/100),DCF_Base!$L$19*DCF_Base!$B$29),DCF_Base!$L$19*DCF_Base!$B$29))/(1+$A$25/100)^DCF_Base!$L$4+Assumptions!$B$5-Assumptions!$B$4)/Assumptions!$B$3*Assumptions!$B$10</f>
        <v>57.5934793514945</v>
      </c>
      <c r="E25" s="0" t="n">
        <f aca="false">(SUMPRODUCT(DCF_Base!$C$19:$L$19/(1+$A$25/100)^DCF_Base!$C$4:$L$4)+MAX(0,MIN(IF($A$25&gt;$E$23,DCF_Base!$L$19*(1+$E$23/100)/(($A$25-$E$23)/100),DCF_Base!$L$19*DCF_Base!$B$29),DCF_Base!$L$19*DCF_Base!$B$29))/(1+$A$25/100)^DCF_Base!$L$4+Assumptions!$B$5-Assumptions!$B$4)/Assumptions!$B$3*Assumptions!$B$10</f>
        <v>57.5934793514945</v>
      </c>
      <c r="F25" s="0" t="n">
        <f aca="false">(SUMPRODUCT(DCF_Base!$C$19:$L$19/(1+$A$25/100)^DCF_Base!$C$4:$L$4)+MAX(0,MIN(IF($A$25&gt;$F$23,DCF_Base!$L$19*(1+$F$23/100)/(($A$25-$F$23)/100),DCF_Base!$L$19*DCF_Base!$B$29),DCF_Base!$L$19*DCF_Base!$B$29))/(1+$A$25/100)^DCF_Base!$L$4+Assumptions!$B$5-Assumptions!$B$4)/Assumptions!$B$3*Assumptions!$B$10</f>
        <v>57.5934793514945</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49.3453695548987</v>
      </c>
      <c r="C26" s="0" t="n">
        <f aca="false">(SUMPRODUCT(DCF_Base!$C$19:$L$19/(1+$A$26/100)^DCF_Base!$C$4:$L$4)+MAX(0,MIN(IF($A$26&gt;$C$23,DCF_Base!$L$19*(1+$C$23/100)/(($A$26-$C$23)/100),DCF_Base!$L$19*DCF_Base!$B$29),DCF_Base!$L$19*DCF_Base!$B$29))/(1+$A$26/100)^DCF_Base!$L$4+Assumptions!$B$5-Assumptions!$B$4)/Assumptions!$B$3*Assumptions!$B$10</f>
        <v>51.0403679201308</v>
      </c>
      <c r="D26" s="0" t="n">
        <f aca="false">(SUMPRODUCT(DCF_Base!$C$19:$L$19/(1+$A$26/100)^DCF_Base!$C$4:$L$4)+MAX(0,MIN(IF($A$26&gt;$D$23,DCF_Base!$L$19*(1+$D$23/100)/(($A$26-$D$23)/100),DCF_Base!$L$19*DCF_Base!$B$29),DCF_Base!$L$19*DCF_Base!$B$29))/(1+$A$26/100)^DCF_Base!$L$4+Assumptions!$B$5-Assumptions!$B$4)/Assumptions!$B$3*Assumptions!$B$10</f>
        <v>52.9613660673939</v>
      </c>
      <c r="E26" s="0" t="n">
        <f aca="false">(SUMPRODUCT(DCF_Base!$C$19:$L$19/(1+$A$26/100)^DCF_Base!$C$4:$L$4)+MAX(0,MIN(IF($A$26&gt;$E$23,DCF_Base!$L$19*(1+$E$23/100)/(($A$26-$E$23)/100),DCF_Base!$L$19*DCF_Base!$B$29),DCF_Base!$L$19*DCF_Base!$B$29))/(1+$A$26/100)^DCF_Base!$L$4+Assumptions!$B$5-Assumptions!$B$4)/Assumptions!$B$3*Assumptions!$B$10</f>
        <v>53.5176732231623</v>
      </c>
      <c r="F26" s="0" t="n">
        <f aca="false">(SUMPRODUCT(DCF_Base!$C$19:$L$19/(1+$A$26/100)^DCF_Base!$C$4:$L$4)+MAX(0,MIN(IF($A$26&gt;$F$23,DCF_Base!$L$19*(1+$F$23/100)/(($A$26-$F$23)/100),DCF_Base!$L$19*DCF_Base!$B$29),DCF_Base!$L$19*DCF_Base!$B$29))/(1+$A$26/100)^DCF_Base!$L$4+Assumptions!$B$5-Assumptions!$B$4)/Assumptions!$B$3*Assumptions!$B$10</f>
        <v>53.5176732231623</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43.5713360254035</v>
      </c>
      <c r="C27" s="0" t="n">
        <f aca="false">(SUMPRODUCT(DCF_Base!$C$19:$L$19/(1+$A$27/100)^DCF_Base!$C$4:$L$4)+MAX(0,MIN(IF($A$27&gt;$C$23,DCF_Base!$L$19*(1+$C$23/100)/(($A$27-$C$23)/100),DCF_Base!$L$19*DCF_Base!$B$29),DCF_Base!$L$19*DCF_Base!$B$29))/(1+$A$27/100)^DCF_Base!$L$4+Assumptions!$B$5-Assumptions!$B$4)/Assumptions!$B$3*Assumptions!$B$10</f>
        <v>44.8144151617657</v>
      </c>
      <c r="D27" s="0" t="n">
        <f aca="false">(SUMPRODUCT(DCF_Base!$C$19:$L$19/(1+$A$27/100)^DCF_Base!$C$4:$L$4)+MAX(0,MIN(IF($A$27&gt;$D$23,DCF_Base!$L$19*(1+$D$23/100)/(($A$27-$D$23)/100),DCF_Base!$L$19*DCF_Base!$B$29),DCF_Base!$L$19*DCF_Base!$B$29))/(1+$A$27/100)^DCF_Base!$L$4+Assumptions!$B$5-Assumptions!$B$4)/Assumptions!$B$3*Assumptions!$B$10</f>
        <v>46.2037389024058</v>
      </c>
      <c r="E27" s="0" t="n">
        <f aca="false">(SUMPRODUCT(DCF_Base!$C$19:$L$19/(1+$A$27/100)^DCF_Base!$C$4:$L$4)+MAX(0,MIN(IF($A$27&gt;$E$23,DCF_Base!$L$19*(1+$E$23/100)/(($A$27-$E$23)/100),DCF_Base!$L$19*DCF_Base!$B$29),DCF_Base!$L$19*DCF_Base!$B$29))/(1+$A$27/100)^DCF_Base!$L$4+Assumptions!$B$5-Assumptions!$B$4)/Assumptions!$B$3*Assumptions!$B$10</f>
        <v>47.7667281106259</v>
      </c>
      <c r="F27" s="0" t="n">
        <f aca="false">(SUMPRODUCT(DCF_Base!$C$19:$L$19/(1+$A$27/100)^DCF_Base!$C$4:$L$4)+MAX(0,MIN(IF($A$27&gt;$F$23,DCF_Base!$L$19*(1+$F$23/100)/(($A$27-$F$23)/100),DCF_Base!$L$19*DCF_Base!$B$29),DCF_Base!$L$19*DCF_Base!$B$29))/(1+$A$27/100)^DCF_Base!$L$4+Assumptions!$B$5-Assumptions!$B$4)/Assumptions!$B$3*Assumptions!$B$10</f>
        <v>49.538115879942</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38.910742533244</v>
      </c>
      <c r="C28" s="0" t="n">
        <f aca="false">(SUMPRODUCT(DCF_Base!$C$19:$L$19/(1+$A$28/100)^DCF_Base!$C$4:$L$4)+MAX(0,MIN(IF($A$28&gt;$C$23,DCF_Base!$L$19*(1+$C$23/100)/(($A$28-$C$23)/100),DCF_Base!$L$19*DCF_Base!$B$29),DCF_Base!$L$19*DCF_Base!$B$29))/(1+$A$28/100)^DCF_Base!$L$4+Assumptions!$B$5-Assumptions!$B$4)/Assumptions!$B$3*Assumptions!$B$10</f>
        <v>39.8448066694517</v>
      </c>
      <c r="D28" s="0" t="n">
        <f aca="false">(SUMPRODUCT(DCF_Base!$C$19:$L$19/(1+$A$28/100)^DCF_Base!$C$4:$L$4)+MAX(0,MIN(IF($A$28&gt;$D$23,DCF_Base!$L$19*(1+$D$23/100)/(($A$28-$D$23)/100),DCF_Base!$L$19*DCF_Base!$B$29),DCF_Base!$L$19*DCF_Base!$B$29))/(1+$A$28/100)^DCF_Base!$L$4+Assumptions!$B$5-Assumptions!$B$4)/Assumptions!$B$3*Assumptions!$B$10</f>
        <v>40.8771933463128</v>
      </c>
      <c r="E28" s="0" t="n">
        <f aca="false">(SUMPRODUCT(DCF_Base!$C$19:$L$19/(1+$A$28/100)^DCF_Base!$C$4:$L$4)+MAX(0,MIN(IF($A$28&gt;$E$23,DCF_Base!$L$19*(1+$E$23/100)/(($A$28-$E$23)/100),DCF_Base!$L$19*DCF_Base!$B$29),DCF_Base!$L$19*DCF_Base!$B$29))/(1+$A$28/100)^DCF_Base!$L$4+Assumptions!$B$5-Assumptions!$B$4)/Assumptions!$B$3*Assumptions!$B$10</f>
        <v>42.0242896539362</v>
      </c>
      <c r="F28" s="0" t="n">
        <f aca="false">(SUMPRODUCT(DCF_Base!$C$19:$L$19/(1+$A$28/100)^DCF_Base!$C$4:$L$4)+MAX(0,MIN(IF($A$28&gt;$F$23,DCF_Base!$L$19*(1+$F$23/100)/(($A$28-$F$23)/100),DCF_Base!$L$19*DCF_Base!$B$29),DCF_Base!$L$19*DCF_Base!$B$29))/(1+$A$28/100)^DCF_Base!$L$4+Assumptions!$B$5-Assumptions!$B$4)/Assumptions!$B$3*Assumptions!$B$10</f>
        <v>43.3063384683389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2026-10-02T09:41:05Z</dcterms:created>
  <dc:creator>openpyxl</dc:creator>
  <dc:description/>
  <dc:language>en-NZ</dc:language>
  <cp:lastModifiedBy/>
  <dcterms:modified xsi:type="dcterms:W3CDTF">2026-10-02T09:41:05Z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