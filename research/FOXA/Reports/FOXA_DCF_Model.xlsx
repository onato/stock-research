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<sst xmlns="http://schemas.openxmlformats.org/spreadsheetml/2006/main" count="363" uniqueCount="166">
  <si>
    <t xml:space="preserve">Ticker</t>
  </si>
  <si>
    <t xml:space="preserve">FOXA</t>
  </si>
  <si>
    <t xml:space="preserve">Company</t>
  </si>
  <si>
    <t xml:space="preserve">Fox Corporation (Class A)</t>
  </si>
  <si>
    <t xml:space="preserve">Valuation date</t>
  </si>
  <si>
    <t xml:space="preserve">2026-09-28</t>
  </si>
  <si>
    <t xml:space="preserve">Current price</t>
  </si>
  <si>
    <t xml:space="preserve">Price as of</t>
  </si>
  <si>
    <t xml:space="preserve">2026-09-25T20:00:01Z regular close (Friday); valuation written Monday 2026-09-28 before the open</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</si>
  <si>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</si>
  <si>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</si>
  <si>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</si>
  <si>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</si>
  <si>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</si>
  <si>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</si>
  <si>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</si>
  <si>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</si>
  <si>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</si>
  <si>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</si>
  <si>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</si>
  <si>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</si>
  <si>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2026-09-28T08:27:11Z</t>
  </si>
  <si>
    <t xml:space="preserve">Drivers file</t>
  </si>
  <si>
    <t xml:space="preserve">FOXA_Drivers.json</t>
  </si>
  <si>
    <t xml:space="preserve">Convention</t>
  </si>
  <si>
    <t xml:space="preserve">Percents stored as percents; formulas divide by 100. Blue = input, green = link, black = formula.</t>
  </si>
  <si>
    <t xml:space="preserve">Methodology</t>
  </si>
  <si>
    <t xml:space="preserve">summary: Fox is valued as a standalone, slowly shrinking but highly cash-generative live-news-and-sports business on a fully SBC-expensed, unlevered owner-FCF basis, discounted at 8% with a 12x terminal cap (bull 14x, bear 10x) instead of Gordon growth, because a buyer of a linear-media cash stream does not pay a compounder's multiple. The FY2026 trough (World Cup cash absorption, capex step-up) and FY2025 peak reported FCFs are both ignored in favour of a component build off a 20.5% Adjusted EBITDA margin. The pending ~$22B Roku acquisition is the dominant swing factor: on a house basis Roku's owner FCF is roughly zero before synergies, so closing at $160/share is value-dilutive to Fox holders by roughly $9B, and failing costs a ~$1.2B fee. Both are carried at 50% probability in the equity bridge (-$5.1B, ~-$12/share in total). Standalone ex-Roku values are the engine values plus ~$12/share; a reader who believes the deal is blocked with no fee, or that Roku's platform is worth its price, should adjust the bridge, not the operating drivers.
key_risks_to_valuation: DOJ blocks, delays or restructures the Roku deal: a clean block (no fee) is +$1.4/share vs the bridge; a close at full terms is roughly -$10/share vs the bridge on this model's basis; NFL and other sports-rights renewals lift programming cost faster than affiliate and ad revenue, pushing margin below the 19.5% base terminal level; Pay-TV subscriber losses accelerate beyond mid-single digits or vMVPDs drop Fox News/FS1, eroding the ~40% affiliate-fee base faster than Tubi/FOX One replace it; Advertising cyclicality: ~45% of revenue is ad-driven and FY2026 carried a non-recurring World Cup boost; a recession would push FY2027-28 below the base path; Cash tax shelter from the Disney-separation step-up expires sooner than the eight-year ramp assumes, or the statutory rate rises; Fox News litigation (Dominion-type defamation exposure) and the dual-class control structure, which lets the controlling family pursue transformative M&amp;A over minority objection; Upside not modelled: FanDuel option, a Roku deal renegotiated to better terms, and any re-rating if FOX One scales to a material subscription business</t>
  </si>
  <si>
    <t xml:space="preserve">Data sources</t>
  </si>
  <si>
    <t xml:space="preserve">price: Yahoo Finance chart API regularMarketPrice at inputs.price_as_of (Friday close; run Monday pre-open); 52-week range 48.34-76.39
financials: research/FOXA/Reports/FOXA_Metrics.csv (SEC XBRL, FY2016-FY2026 10-K/10-Q) for revenue, net income, OCF, capex, SBC, equity, debt, diluted shares; SEC XBRL companyfacts (CIK 1754301, FY2026 10-K filed 2026-08-06) for cash and restricted cash $4,205M, D&amp;A $410M, interest expense $401M, interest income $127M, cash taxes paid $335M, pretax income $2,278M, long-term investments $965M, operating lease liability $962M, buybacks $2,000M, dividends $287M; kpis table for buybacks, cash taxes, interest income and D&amp;A history; company-reported Adjusted EBITDA $3.91B FY2026 via Analysis.json
qualitative: research/FOXA/Reports/FOXA_Analysis.json (2026-09-28): business model, Roku deal terms and DOJ second request, FOX One / Tubi trajectory, FY2027 guidance items, bull and bear cases</t>
  </si>
  <si>
    <t xml:space="preserve">Scenario narrative: bear</t>
  </si>
  <si>
    <t xml:space="preserve">The pay-TV bundle unwinds faster than digital can replace it, the NFL renewal is dilutive, an ad recession compounds the World Cup comp, and Tubi's economics are competed away by Roku Channel and Pluto. Fox becomes a cash-return story with declining cash: revenue -2%/yr, margin to 15.5%, terminal growth zero, 10x cap.</t>
  </si>
  <si>
    <t xml:space="preserve">Scenario narrative: base</t>
  </si>
  <si>
    <t xml:space="preserve">Fox remains a slowly shrinking linear business (affiliate fees ~40% of revenue in structural decline) whose live-sports and Fox News scarcity holds pricing, while Tubi and FOX One grow fast enough to keep total revenue roughly flat to +1.5% and Adjusted EBITDA near $3.4-3.7B. Capital return continues at $1-2B/yr. The Roku deal is a coin-flip on DOJ clearance and is carried as an expected-value charge in the bridge rather than as a fourth scenario.</t>
  </si>
  <si>
    <t xml:space="preserve">Scenario narrative: bull</t>
  </si>
  <si>
    <t xml:space="preserve">Live news and sports are the last must-have linear content; affiliate rate cards keep rising, FOX One and Tubi become material profit centres, ad dollars follow engagement to owned CTV inventory, and the combined business re-rates toward a 14x cash-flow multiple. If the Roku deal closes and the platform thesis works, distribution ownership and first-party data add optionality beyond this scenario's numbers.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</si>
  <si>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</si>
  <si>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</si>
  <si>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</si>
  <si>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</si>
  <si>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</si>
  <si>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</si>
  <si>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</si>
  <si>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</si>
  <si>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</si>
  <si>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</si>
  <si>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</si>
  <si>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</si>
  <si>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</si>
  <si>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</si>
  <si>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</si>
  <si>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</si>
  <si>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</si>
  <si>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</si>
  <si>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</si>
  <si>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</si>
  <si>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</si>
  <si>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</si>
  <si>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</si>
  <si>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</si>
  <si>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</si>
  <si>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</si>
  <si>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</si>
  <si>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</si>
  <si>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</si>
  <si>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</si>
  <si>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</si>
  <si>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</si>
  <si>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</si>
  <si>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</si>
  <si>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</si>
  <si>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</si>
  <si>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</si>
  <si>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</si>
  <si>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</si>
  <si>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</si>
  <si>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</si>
  <si>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</si>
  <si>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</si>
  <si>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</si>
  <si>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</si>
  <si>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</si>
  <si>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</si>
  <si>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</si>
  <si>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</si>
  <si>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</si>
  <si>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</si>
  <si>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</si>
  <si>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</si>
  <si>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</si>
  <si>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</si>
  <si>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</si>
  <si>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</si>
  <si>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</si>
  <si>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</si>
  <si>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</si>
  <si>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</si>
  <si>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</si>
  <si>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</si>
  <si>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</si>
  <si>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</si>
  <si>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</si>
  <si>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</si>
  <si>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</si>
  <si>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</si>
  <si>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</si>
  <si>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</si>
  <si>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</si>
  <si>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</si>
  <si>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</si>
  <si>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</si>
  <si>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FOXA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</si>
  <si>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</si>
  <si>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</si>
  <si>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</si>
  <si>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</si>
  <si>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</si>
  <si>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</si>
  <si>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</si>
  <si>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</si>
  <si>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</si>
  <si>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</si>
  <si>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</si>
  <si>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</si>
  <si>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</si>
  <si>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</si>
  <si>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</si>
  <si>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</si>
  <si>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</si>
  <si>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</si>
  <si>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</si>
  <si>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</si>
  <si>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</si>
  <si>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</si>
  <si>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</si>
  <si>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</si>
  <si>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</si>
  <si>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</si>
  <si>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</si>
  <si>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</si>
  <si>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</si>
  <si>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</si>
  <si>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FOXA owner-FCF component DCF: base case (millions, USD)</t>
  </si>
  <si>
    <t xml:space="preserve">FOXA owner-FCF component DCF: bull case (millions, USD)</t>
  </si>
  <si>
    <t xml:space="preserve">FOXA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</si>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</sst>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63.07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6403</v>
      </c>
      <c r="AA2" s="0" t="s">
        <v>17</v>
      </c>
      <c r="AB2" s="0" t="s">
        <v>14</v>
      </c>
    </row>
    <row r="3" customFormat="false" ht="15" hidden="false" customHeight="false" outlineLevel="0" collapsed="false">
      <c r="A3" s="0" t="s">
        <v>64</v>
      </c>
      <c r="B3" s="0" t="n">
        <v>9921</v>
      </c>
      <c r="I3" s="0" t="n">
        <v>1409</v>
      </c>
      <c r="J3" s="0" t="n">
        <v>14.2021973591372</v>
      </c>
      <c r="L3" s="0" t="n">
        <v>1655</v>
      </c>
      <c r="M3" s="0" t="n">
        <v>191</v>
      </c>
      <c r="N3" s="0" t="n">
        <v>1464</v>
      </c>
      <c r="O3" s="0" t="n">
        <v>6093</v>
      </c>
      <c r="S3" s="0" t="n">
        <v>19</v>
      </c>
      <c r="U3" s="0" t="n">
        <v>57</v>
      </c>
      <c r="AA3" s="0" t="s">
        <v>17</v>
      </c>
      <c r="AB3" s="0" t="s">
        <v>14</v>
      </c>
    </row>
    <row r="4" customFormat="false" ht="15" hidden="false" customHeight="false" outlineLevel="0" collapsed="false">
      <c r="A4" s="0" t="s">
        <v>65</v>
      </c>
      <c r="B4" s="0" t="n">
        <v>10153</v>
      </c>
      <c r="I4" s="0" t="n">
        <v>2228</v>
      </c>
      <c r="J4" s="0" t="n">
        <v>21.9442529301684</v>
      </c>
      <c r="K4" s="0" t="n">
        <v>3.52</v>
      </c>
      <c r="L4" s="0" t="n">
        <v>1317</v>
      </c>
      <c r="M4" s="0" t="n">
        <v>215</v>
      </c>
      <c r="N4" s="0" t="n">
        <v>1102</v>
      </c>
      <c r="O4" s="0" t="n">
        <v>9594</v>
      </c>
      <c r="P4" s="0" t="n">
        <v>13121</v>
      </c>
      <c r="R4" s="0" t="n">
        <v>0</v>
      </c>
      <c r="S4" s="0" t="n">
        <v>2500</v>
      </c>
      <c r="T4" s="0" t="n">
        <v>621</v>
      </c>
      <c r="U4" s="0" t="n">
        <v>100</v>
      </c>
      <c r="AA4" s="0" t="s">
        <v>17</v>
      </c>
      <c r="AB4" s="0" t="s">
        <v>14</v>
      </c>
    </row>
    <row r="5" customFormat="false" ht="15" hidden="false" customHeight="false" outlineLevel="0" collapsed="false">
      <c r="A5" s="0" t="s">
        <v>66</v>
      </c>
      <c r="B5" s="0" t="n">
        <v>11389</v>
      </c>
      <c r="I5" s="0" t="n">
        <v>1643</v>
      </c>
      <c r="J5" s="0" t="n">
        <v>14.426200719993</v>
      </c>
      <c r="K5" s="0" t="n">
        <v>2.57</v>
      </c>
      <c r="L5" s="0" t="n">
        <v>2524</v>
      </c>
      <c r="M5" s="0" t="n">
        <v>235</v>
      </c>
      <c r="N5" s="0" t="n">
        <v>2289</v>
      </c>
      <c r="O5" s="0" t="n">
        <v>9958</v>
      </c>
      <c r="P5" s="0" t="n">
        <v>19509</v>
      </c>
      <c r="R5" s="0" t="n">
        <v>6751</v>
      </c>
      <c r="T5" s="0" t="n">
        <v>621</v>
      </c>
      <c r="U5" s="0" t="n">
        <v>103</v>
      </c>
      <c r="AA5" s="0" t="s">
        <v>17</v>
      </c>
      <c r="AB5" s="0" t="s">
        <v>14</v>
      </c>
    </row>
    <row r="6" customFormat="false" ht="15" hidden="false" customHeight="false" outlineLevel="0" collapsed="false">
      <c r="A6" s="0" t="s">
        <v>67</v>
      </c>
      <c r="B6" s="0" t="n">
        <v>12303</v>
      </c>
      <c r="I6" s="0" t="n">
        <v>1062</v>
      </c>
      <c r="J6" s="0" t="n">
        <v>8.63204096561814</v>
      </c>
      <c r="K6" s="0" t="n">
        <v>1.63</v>
      </c>
      <c r="L6" s="0" t="n">
        <v>2365</v>
      </c>
      <c r="M6" s="0" t="n">
        <v>359</v>
      </c>
      <c r="N6" s="0" t="n">
        <v>2006</v>
      </c>
      <c r="O6" s="0" t="n">
        <v>10111</v>
      </c>
      <c r="P6" s="0" t="n">
        <v>21750</v>
      </c>
      <c r="R6" s="0" t="n">
        <v>7946</v>
      </c>
      <c r="T6" s="0" t="n">
        <v>616</v>
      </c>
      <c r="U6" s="0" t="n">
        <v>156</v>
      </c>
      <c r="AA6" s="0" t="s">
        <v>17</v>
      </c>
      <c r="AB6" s="0" t="s">
        <v>14</v>
      </c>
    </row>
    <row r="7" customFormat="false" ht="15" hidden="false" customHeight="false" outlineLevel="0" collapsed="false">
      <c r="A7" s="0" t="s">
        <v>68</v>
      </c>
      <c r="B7" s="0" t="n">
        <v>12909</v>
      </c>
      <c r="I7" s="0" t="n">
        <v>2201</v>
      </c>
      <c r="J7" s="0" t="n">
        <v>17.0501200712681</v>
      </c>
      <c r="K7" s="0" t="n">
        <v>3.64</v>
      </c>
      <c r="L7" s="0" t="n">
        <v>2639</v>
      </c>
      <c r="M7" s="0" t="n">
        <v>484</v>
      </c>
      <c r="N7" s="0" t="n">
        <v>2155</v>
      </c>
      <c r="O7" s="0" t="n">
        <v>11125</v>
      </c>
      <c r="P7" s="0" t="n">
        <v>22926</v>
      </c>
      <c r="R7" s="0" t="n">
        <v>8700</v>
      </c>
      <c r="T7" s="0" t="n">
        <v>595</v>
      </c>
      <c r="U7" s="0" t="n">
        <v>147</v>
      </c>
      <c r="AA7" s="0" t="s">
        <v>17</v>
      </c>
      <c r="AB7" s="0" t="s">
        <v>14</v>
      </c>
    </row>
    <row r="8" customFormat="false" ht="15" hidden="false" customHeight="false" outlineLevel="0" collapsed="false">
      <c r="A8" s="0" t="s">
        <v>69</v>
      </c>
      <c r="B8" s="0" t="n">
        <v>13974</v>
      </c>
      <c r="I8" s="0" t="n">
        <v>1233</v>
      </c>
      <c r="J8" s="0" t="n">
        <v>8.82352941176471</v>
      </c>
      <c r="K8" s="0" t="n">
        <v>2.13</v>
      </c>
      <c r="L8" s="0" t="n">
        <v>1884</v>
      </c>
      <c r="M8" s="0" t="n">
        <v>307</v>
      </c>
      <c r="N8" s="0" t="n">
        <v>1577</v>
      </c>
      <c r="O8" s="0" t="n">
        <v>11375</v>
      </c>
      <c r="P8" s="0" t="n">
        <v>22185</v>
      </c>
      <c r="R8" s="0" t="n">
        <v>7206</v>
      </c>
      <c r="T8" s="0" t="n">
        <v>570</v>
      </c>
      <c r="U8" s="0" t="n">
        <v>102</v>
      </c>
      <c r="AA8" s="0" t="s">
        <v>17</v>
      </c>
      <c r="AB8" s="0" t="s">
        <v>14</v>
      </c>
    </row>
    <row r="9" customFormat="false" ht="15" hidden="false" customHeight="false" outlineLevel="0" collapsed="false">
      <c r="A9" s="0" t="s">
        <v>70</v>
      </c>
      <c r="B9" s="0" t="n">
        <v>14913</v>
      </c>
      <c r="I9" s="0" t="n">
        <v>1253</v>
      </c>
      <c r="J9" s="0" t="n">
        <v>8.40206531214377</v>
      </c>
      <c r="K9" s="0" t="n">
        <v>2.34</v>
      </c>
      <c r="L9" s="0" t="n">
        <v>1800</v>
      </c>
      <c r="M9" s="0" t="n">
        <v>357</v>
      </c>
      <c r="N9" s="0" t="n">
        <v>1443</v>
      </c>
      <c r="O9" s="0" t="n">
        <v>10445</v>
      </c>
      <c r="P9" s="0" t="n">
        <v>21866</v>
      </c>
      <c r="R9" s="0" t="n">
        <v>8459</v>
      </c>
      <c r="T9" s="0" t="n">
        <v>531</v>
      </c>
      <c r="U9" s="0" t="n">
        <v>74</v>
      </c>
      <c r="AA9" s="0" t="s">
        <v>17</v>
      </c>
      <c r="AB9" s="0" t="s">
        <v>14</v>
      </c>
    </row>
    <row r="10" customFormat="false" ht="15" hidden="false" customHeight="false" outlineLevel="0" collapsed="false">
      <c r="A10" s="0" t="s">
        <v>71</v>
      </c>
      <c r="B10" s="0" t="n">
        <v>13980</v>
      </c>
      <c r="I10" s="0" t="n">
        <v>1554</v>
      </c>
      <c r="J10" s="0" t="n">
        <v>11.1158798283262</v>
      </c>
      <c r="K10" s="0" t="n">
        <v>3.14</v>
      </c>
      <c r="L10" s="0" t="n">
        <v>1840</v>
      </c>
      <c r="M10" s="0" t="n">
        <v>345</v>
      </c>
      <c r="N10" s="0" t="n">
        <v>1495</v>
      </c>
      <c r="O10" s="0" t="n">
        <v>10814</v>
      </c>
      <c r="P10" s="0" t="n">
        <v>21972</v>
      </c>
      <c r="R10" s="0" t="n">
        <v>7796</v>
      </c>
      <c r="T10" s="0" t="n">
        <v>480</v>
      </c>
      <c r="U10" s="0" t="n">
        <v>90</v>
      </c>
      <c r="AA10" s="0" t="s">
        <v>17</v>
      </c>
      <c r="AB10" s="0" t="s">
        <v>14</v>
      </c>
    </row>
    <row r="11" customFormat="false" ht="15" hidden="false" customHeight="false" outlineLevel="0" collapsed="false">
      <c r="A11" s="0" t="s">
        <v>72</v>
      </c>
      <c r="B11" s="0" t="n">
        <v>16300</v>
      </c>
      <c r="I11" s="0" t="n">
        <v>2293</v>
      </c>
      <c r="J11" s="0" t="n">
        <v>14.0674846625767</v>
      </c>
      <c r="K11" s="0" t="n">
        <v>4.97</v>
      </c>
      <c r="L11" s="0" t="n">
        <v>3324</v>
      </c>
      <c r="M11" s="0" t="n">
        <v>331</v>
      </c>
      <c r="N11" s="0" t="n">
        <v>2993</v>
      </c>
      <c r="O11" s="0" t="n">
        <v>12067</v>
      </c>
      <c r="P11" s="0" t="n">
        <v>23195</v>
      </c>
      <c r="R11" s="0" t="n">
        <v>6602</v>
      </c>
      <c r="T11" s="0" t="n">
        <v>461</v>
      </c>
      <c r="U11" s="0" t="n">
        <v>135</v>
      </c>
      <c r="AA11" s="0" t="s">
        <v>17</v>
      </c>
      <c r="AB11" s="0" t="s">
        <v>14</v>
      </c>
    </row>
    <row r="12" customFormat="false" ht="15" hidden="false" customHeight="false" outlineLevel="0" collapsed="false">
      <c r="A12" s="0" t="s">
        <v>73</v>
      </c>
      <c r="B12" s="0" t="n">
        <v>17126</v>
      </c>
      <c r="I12" s="0" t="n">
        <v>1727</v>
      </c>
      <c r="J12" s="0" t="n">
        <v>10.0840826813033</v>
      </c>
      <c r="K12" s="0" t="n">
        <v>3.91</v>
      </c>
      <c r="L12" s="0" t="n">
        <v>1970</v>
      </c>
      <c r="M12" s="0" t="n">
        <v>502</v>
      </c>
      <c r="N12" s="0" t="n">
        <v>1468</v>
      </c>
      <c r="O12" s="0" t="n">
        <v>11728</v>
      </c>
      <c r="P12" s="0" t="n">
        <v>22482</v>
      </c>
      <c r="R12" s="0" t="n">
        <v>6606</v>
      </c>
      <c r="T12" s="0" t="n">
        <v>439</v>
      </c>
      <c r="U12" s="0" t="n">
        <v>132</v>
      </c>
      <c r="AA12" s="0" t="s">
        <v>17</v>
      </c>
      <c r="AB12"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63.07</v>
      </c>
    </row>
    <row r="3" customFormat="false" ht="15" hidden="false" customHeight="false" outlineLevel="0" collapsed="false">
      <c r="A3" s="0" t="s">
        <v>77</v>
      </c>
      <c r="B3" s="3" t="n">
        <v>427</v>
      </c>
    </row>
    <row r="4" customFormat="false" ht="15" hidden="false" customHeight="false" outlineLevel="0" collapsed="false">
      <c r="A4" s="0" t="s">
        <v>78</v>
      </c>
      <c r="B4" s="3" t="n">
        <v>2401</v>
      </c>
    </row>
    <row r="5" customFormat="false" ht="15" hidden="false" customHeight="false" outlineLevel="0" collapsed="false">
      <c r="A5" s="0" t="s">
        <v>79</v>
      </c>
      <c r="B5" s="3" t="n">
        <v>-4135</v>
      </c>
    </row>
    <row r="6" customFormat="false" ht="15" hidden="false" customHeight="false" outlineLevel="0" collapsed="false">
      <c r="A6" s="0" t="s">
        <v>80</v>
      </c>
      <c r="B6" s="3" t="n">
        <v>15</v>
      </c>
    </row>
    <row r="7" customFormat="false" ht="15" hidden="false" customHeight="false" outlineLevel="0" collapsed="false">
      <c r="A7" s="0" t="s">
        <v>81</v>
      </c>
      <c r="B7" s="3" t="n">
        <v>17126</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1</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-4</v>
      </c>
      <c r="D13" s="3" t="n">
        <v>-4</v>
      </c>
      <c r="E13" s="3" t="n">
        <v>-1</v>
      </c>
      <c r="F13" s="3" t="n">
        <v>-2</v>
      </c>
      <c r="G13" s="3" t="n">
        <v>-1</v>
      </c>
      <c r="H13" s="3" t="n">
        <v>-2</v>
      </c>
      <c r="I13" s="3" t="n">
        <v>-2</v>
      </c>
      <c r="J13" s="3" t="n">
        <v>-2</v>
      </c>
      <c r="K13" s="3" t="n">
        <v>-2</v>
      </c>
      <c r="L13" s="3" t="n">
        <v>-2</v>
      </c>
    </row>
    <row r="14" customFormat="false" ht="15" hidden="false" customHeight="false" outlineLevel="0" collapsed="false">
      <c r="A14" s="0" t="s">
        <v>98</v>
      </c>
      <c r="C14" s="3" t="n">
        <v>20</v>
      </c>
      <c r="D14" s="3" t="n">
        <v>19</v>
      </c>
      <c r="E14" s="3" t="n">
        <v>18</v>
      </c>
      <c r="F14" s="3" t="n">
        <v>17.5</v>
      </c>
      <c r="G14" s="3" t="n">
        <v>17</v>
      </c>
      <c r="H14" s="3" t="n">
        <v>16.5</v>
      </c>
      <c r="I14" s="3" t="n">
        <v>16</v>
      </c>
      <c r="J14" s="3" t="n">
        <v>16</v>
      </c>
      <c r="K14" s="3" t="n">
        <v>15.5</v>
      </c>
      <c r="L14" s="3" t="n">
        <v>15.5</v>
      </c>
    </row>
    <row r="15" customFormat="false" ht="15" hidden="false" customHeight="false" outlineLevel="0" collapsed="false">
      <c r="A15" s="0" t="s">
        <v>99</v>
      </c>
      <c r="C15" s="3" t="n">
        <v>0.8</v>
      </c>
      <c r="D15" s="3" t="n">
        <v>0.8</v>
      </c>
      <c r="E15" s="3" t="n">
        <v>0.8</v>
      </c>
      <c r="F15" s="3" t="n">
        <v>0.8</v>
      </c>
      <c r="G15" s="3" t="n">
        <v>0.8</v>
      </c>
      <c r="H15" s="3" t="n">
        <v>0.8</v>
      </c>
      <c r="I15" s="3" t="n">
        <v>0.8</v>
      </c>
      <c r="J15" s="3" t="n">
        <v>0.8</v>
      </c>
      <c r="K15" s="3" t="n">
        <v>0.8</v>
      </c>
      <c r="L15" s="3" t="n">
        <v>0.8</v>
      </c>
    </row>
    <row r="16" customFormat="false" ht="15" hidden="false" customHeight="false" outlineLevel="0" collapsed="false">
      <c r="A16" s="0" t="s">
        <v>100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101</v>
      </c>
      <c r="C17" s="3" t="n">
        <v>2.4</v>
      </c>
      <c r="D17" s="3" t="n">
        <v>2.4</v>
      </c>
      <c r="E17" s="3" t="n">
        <v>2.4</v>
      </c>
      <c r="F17" s="3" t="n">
        <v>2.4</v>
      </c>
      <c r="G17" s="3" t="n">
        <v>2.4</v>
      </c>
      <c r="H17" s="3" t="n">
        <v>2.4</v>
      </c>
      <c r="I17" s="3" t="n">
        <v>2.4</v>
      </c>
      <c r="J17" s="3" t="n">
        <v>2.4</v>
      </c>
      <c r="K17" s="3" t="n">
        <v>2.4</v>
      </c>
      <c r="L17" s="3" t="n">
        <v>2.4</v>
      </c>
    </row>
    <row r="18" customFormat="false" ht="15" hidden="false" customHeight="false" outlineLevel="0" collapsed="false">
      <c r="A18" s="0" t="s">
        <v>102</v>
      </c>
      <c r="C18" s="3" t="n">
        <v>2.8</v>
      </c>
      <c r="D18" s="3" t="n">
        <v>2.6</v>
      </c>
      <c r="E18" s="3" t="n">
        <v>2.4</v>
      </c>
      <c r="F18" s="3" t="n">
        <v>2.4</v>
      </c>
      <c r="G18" s="3" t="n">
        <v>2.3</v>
      </c>
      <c r="H18" s="3" t="n">
        <v>2.3</v>
      </c>
      <c r="I18" s="3" t="n">
        <v>2.3</v>
      </c>
      <c r="J18" s="3" t="n">
        <v>2.3</v>
      </c>
      <c r="K18" s="3" t="n">
        <v>2.3</v>
      </c>
      <c r="L18" s="3" t="n">
        <v>2.3</v>
      </c>
    </row>
    <row r="19" customFormat="false" ht="15" hidden="false" customHeight="false" outlineLevel="0" collapsed="false">
      <c r="A19" s="0" t="s">
        <v>103</v>
      </c>
      <c r="C19" s="3" t="n">
        <v>17</v>
      </c>
      <c r="D19" s="3" t="n">
        <v>18</v>
      </c>
      <c r="E19" s="3" t="n">
        <v>19</v>
      </c>
      <c r="F19" s="3" t="n">
        <v>20</v>
      </c>
      <c r="G19" s="3" t="n">
        <v>21</v>
      </c>
      <c r="H19" s="3" t="n">
        <v>22</v>
      </c>
      <c r="I19" s="3" t="n">
        <v>23</v>
      </c>
      <c r="J19" s="3" t="n">
        <v>24</v>
      </c>
      <c r="K19" s="3" t="n">
        <v>24</v>
      </c>
      <c r="L19" s="3" t="n">
        <v>24</v>
      </c>
    </row>
    <row r="20" customFormat="false" ht="15" hidden="false" customHeight="false" outlineLevel="0" collapsed="false">
      <c r="A20" s="0" t="s">
        <v>104</v>
      </c>
      <c r="B20" s="3" t="n">
        <v>8</v>
      </c>
    </row>
    <row r="21" customFormat="false" ht="15" hidden="false" customHeight="false" outlineLevel="0" collapsed="false">
      <c r="A21" s="0" t="s">
        <v>105</v>
      </c>
      <c r="B21" s="3" t="n">
        <v>0</v>
      </c>
    </row>
    <row r="22" customFormat="false" ht="15" hidden="false" customHeight="false" outlineLevel="0" collapsed="false">
      <c r="A22" s="0" t="s">
        <v>106</v>
      </c>
      <c r="B22" s="3" t="n">
        <v>10</v>
      </c>
    </row>
    <row r="23" customFormat="false" ht="15" hidden="false" customHeight="false" outlineLevel="0" collapsed="false">
      <c r="A23" s="0" t="s">
        <v>107</v>
      </c>
      <c r="B23" s="3" t="n">
        <v>0</v>
      </c>
    </row>
    <row r="24" customFormat="false" ht="15" hidden="false" customHeight="false" outlineLevel="0" collapsed="false">
      <c r="A24" s="0" t="s">
        <v>108</v>
      </c>
      <c r="B24" s="3" t="n">
        <v>0.25</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-2</v>
      </c>
      <c r="D27" s="3" t="n">
        <v>0</v>
      </c>
      <c r="E27" s="3" t="n">
        <v>2</v>
      </c>
      <c r="F27" s="3" t="n">
        <v>1.5</v>
      </c>
      <c r="G27" s="3" t="n">
        <v>2</v>
      </c>
      <c r="H27" s="3" t="n">
        <v>1.5</v>
      </c>
      <c r="I27" s="3" t="n">
        <v>1.5</v>
      </c>
      <c r="J27" s="3" t="n">
        <v>1.5</v>
      </c>
      <c r="K27" s="3" t="n">
        <v>1.5</v>
      </c>
      <c r="L27" s="3" t="n">
        <v>1.5</v>
      </c>
    </row>
    <row r="28" customFormat="false" ht="15" hidden="false" customHeight="false" outlineLevel="0" collapsed="false">
      <c r="A28" s="0" t="s">
        <v>98</v>
      </c>
      <c r="C28" s="3" t="n">
        <v>20.5</v>
      </c>
      <c r="D28" s="3" t="n">
        <v>20.5</v>
      </c>
      <c r="E28" s="3" t="n">
        <v>20.5</v>
      </c>
      <c r="F28" s="3" t="n">
        <v>20.5</v>
      </c>
      <c r="G28" s="3" t="n">
        <v>20.5</v>
      </c>
      <c r="H28" s="3" t="n">
        <v>20</v>
      </c>
      <c r="I28" s="3" t="n">
        <v>20</v>
      </c>
      <c r="J28" s="3" t="n">
        <v>20</v>
      </c>
      <c r="K28" s="3" t="n">
        <v>19.5</v>
      </c>
      <c r="L28" s="3" t="n">
        <v>19.5</v>
      </c>
    </row>
    <row r="29" customFormat="false" ht="15" hidden="false" customHeight="false" outlineLevel="0" collapsed="false">
      <c r="A29" s="0" t="s">
        <v>99</v>
      </c>
      <c r="C29" s="3" t="n">
        <v>0.8</v>
      </c>
      <c r="D29" s="3" t="n">
        <v>0.8</v>
      </c>
      <c r="E29" s="3" t="n">
        <v>0.8</v>
      </c>
      <c r="F29" s="3" t="n">
        <v>0.8</v>
      </c>
      <c r="G29" s="3" t="n">
        <v>0.8</v>
      </c>
      <c r="H29" s="3" t="n">
        <v>0.8</v>
      </c>
      <c r="I29" s="3" t="n">
        <v>0.8</v>
      </c>
      <c r="J29" s="3" t="n">
        <v>0.8</v>
      </c>
      <c r="K29" s="3" t="n">
        <v>0.8</v>
      </c>
      <c r="L29" s="3" t="n">
        <v>0.8</v>
      </c>
    </row>
    <row r="30" customFormat="false" ht="15" hidden="false" customHeight="false" outlineLevel="0" collapsed="false">
      <c r="A30" s="0" t="s">
        <v>100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101</v>
      </c>
      <c r="C31" s="3" t="n">
        <v>2.4</v>
      </c>
      <c r="D31" s="3" t="n">
        <v>2.4</v>
      </c>
      <c r="E31" s="3" t="n">
        <v>2.4</v>
      </c>
      <c r="F31" s="3" t="n">
        <v>2.4</v>
      </c>
      <c r="G31" s="3" t="n">
        <v>2.4</v>
      </c>
      <c r="H31" s="3" t="n">
        <v>2.4</v>
      </c>
      <c r="I31" s="3" t="n">
        <v>2.4</v>
      </c>
      <c r="J31" s="3" t="n">
        <v>2.4</v>
      </c>
      <c r="K31" s="3" t="n">
        <v>2.4</v>
      </c>
      <c r="L31" s="3" t="n">
        <v>2.4</v>
      </c>
    </row>
    <row r="32" customFormat="false" ht="15" hidden="false" customHeight="false" outlineLevel="0" collapsed="false">
      <c r="A32" s="0" t="s">
        <v>102</v>
      </c>
      <c r="C32" s="3" t="n">
        <v>2.8</v>
      </c>
      <c r="D32" s="3" t="n">
        <v>2.6</v>
      </c>
      <c r="E32" s="3" t="n">
        <v>2.4</v>
      </c>
      <c r="F32" s="3" t="n">
        <v>2.4</v>
      </c>
      <c r="G32" s="3" t="n">
        <v>2.3</v>
      </c>
      <c r="H32" s="3" t="n">
        <v>2.3</v>
      </c>
      <c r="I32" s="3" t="n">
        <v>2.3</v>
      </c>
      <c r="J32" s="3" t="n">
        <v>2.3</v>
      </c>
      <c r="K32" s="3" t="n">
        <v>2.3</v>
      </c>
      <c r="L32" s="3" t="n">
        <v>2.3</v>
      </c>
    </row>
    <row r="33" customFormat="false" ht="15" hidden="false" customHeight="false" outlineLevel="0" collapsed="false">
      <c r="A33" s="0" t="s">
        <v>103</v>
      </c>
      <c r="C33" s="3" t="n">
        <v>17</v>
      </c>
      <c r="D33" s="3" t="n">
        <v>18</v>
      </c>
      <c r="E33" s="3" t="n">
        <v>19</v>
      </c>
      <c r="F33" s="3" t="n">
        <v>20</v>
      </c>
      <c r="G33" s="3" t="n">
        <v>21</v>
      </c>
      <c r="H33" s="3" t="n">
        <v>22</v>
      </c>
      <c r="I33" s="3" t="n">
        <v>23</v>
      </c>
      <c r="J33" s="3" t="n">
        <v>24</v>
      </c>
      <c r="K33" s="3" t="n">
        <v>24</v>
      </c>
      <c r="L33" s="3" t="n">
        <v>24</v>
      </c>
    </row>
    <row r="34" customFormat="false" ht="15" hidden="false" customHeight="false" outlineLevel="0" collapsed="false">
      <c r="A34" s="0" t="s">
        <v>104</v>
      </c>
      <c r="B34" s="3" t="n">
        <v>8</v>
      </c>
    </row>
    <row r="35" customFormat="false" ht="15" hidden="false" customHeight="false" outlineLevel="0" collapsed="false">
      <c r="A35" s="0" t="s">
        <v>105</v>
      </c>
      <c r="B35" s="3" t="n">
        <v>1.5</v>
      </c>
    </row>
    <row r="36" customFormat="false" ht="15" hidden="false" customHeight="false" outlineLevel="0" collapsed="false">
      <c r="A36" s="0" t="s">
        <v>106</v>
      </c>
      <c r="B36" s="3" t="n">
        <v>12</v>
      </c>
    </row>
    <row r="37" customFormat="false" ht="15" hidden="false" customHeight="false" outlineLevel="0" collapsed="false">
      <c r="A37" s="0" t="s">
        <v>107</v>
      </c>
      <c r="B37" s="3" t="n">
        <v>0</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0</v>
      </c>
      <c r="D41" s="3" t="n">
        <v>2</v>
      </c>
      <c r="E41" s="3" t="n">
        <v>4</v>
      </c>
      <c r="F41" s="3" t="n">
        <v>3</v>
      </c>
      <c r="G41" s="3" t="n">
        <v>3.5</v>
      </c>
      <c r="H41" s="3" t="n">
        <v>3</v>
      </c>
      <c r="I41" s="3" t="n">
        <v>3</v>
      </c>
      <c r="J41" s="3" t="n">
        <v>2.5</v>
      </c>
      <c r="K41" s="3" t="n">
        <v>2.5</v>
      </c>
      <c r="L41" s="3" t="n">
        <v>2.5</v>
      </c>
    </row>
    <row r="42" customFormat="false" ht="15" hidden="false" customHeight="false" outlineLevel="0" collapsed="false">
      <c r="A42" s="0" t="s">
        <v>98</v>
      </c>
      <c r="C42" s="3" t="n">
        <v>21.5</v>
      </c>
      <c r="D42" s="3" t="n">
        <v>21.5</v>
      </c>
      <c r="E42" s="3" t="n">
        <v>22</v>
      </c>
      <c r="F42" s="3" t="n">
        <v>22</v>
      </c>
      <c r="G42" s="3" t="n">
        <v>22.5</v>
      </c>
      <c r="H42" s="3" t="n">
        <v>22.5</v>
      </c>
      <c r="I42" s="3" t="n">
        <v>22.5</v>
      </c>
      <c r="J42" s="3" t="n">
        <v>22.5</v>
      </c>
      <c r="K42" s="3" t="n">
        <v>22.5</v>
      </c>
      <c r="L42" s="3" t="n">
        <v>22.5</v>
      </c>
    </row>
    <row r="43" customFormat="false" ht="15" hidden="false" customHeight="false" outlineLevel="0" collapsed="false">
      <c r="A43" s="0" t="s">
        <v>99</v>
      </c>
      <c r="C43" s="3" t="n">
        <v>0.8</v>
      </c>
      <c r="D43" s="3" t="n">
        <v>0.8</v>
      </c>
      <c r="E43" s="3" t="n">
        <v>0.8</v>
      </c>
      <c r="F43" s="3" t="n">
        <v>0.8</v>
      </c>
      <c r="G43" s="3" t="n">
        <v>0.8</v>
      </c>
      <c r="H43" s="3" t="n">
        <v>0.8</v>
      </c>
      <c r="I43" s="3" t="n">
        <v>0.8</v>
      </c>
      <c r="J43" s="3" t="n">
        <v>0.8</v>
      </c>
      <c r="K43" s="3" t="n">
        <v>0.8</v>
      </c>
      <c r="L43" s="3" t="n">
        <v>0.8</v>
      </c>
    </row>
    <row r="44" customFormat="false" ht="15" hidden="false" customHeight="false" outlineLevel="0" collapsed="false">
      <c r="A44" s="0" t="s">
        <v>100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101</v>
      </c>
      <c r="C45" s="3" t="n">
        <v>2.4</v>
      </c>
      <c r="D45" s="3" t="n">
        <v>2.4</v>
      </c>
      <c r="E45" s="3" t="n">
        <v>2.4</v>
      </c>
      <c r="F45" s="3" t="n">
        <v>2.4</v>
      </c>
      <c r="G45" s="3" t="n">
        <v>2.4</v>
      </c>
      <c r="H45" s="3" t="n">
        <v>2.4</v>
      </c>
      <c r="I45" s="3" t="n">
        <v>2.4</v>
      </c>
      <c r="J45" s="3" t="n">
        <v>2.4</v>
      </c>
      <c r="K45" s="3" t="n">
        <v>2.4</v>
      </c>
      <c r="L45" s="3" t="n">
        <v>2.4</v>
      </c>
    </row>
    <row r="46" customFormat="false" ht="15" hidden="false" customHeight="false" outlineLevel="0" collapsed="false">
      <c r="A46" s="0" t="s">
        <v>102</v>
      </c>
      <c r="C46" s="3" t="n">
        <v>2.8</v>
      </c>
      <c r="D46" s="3" t="n">
        <v>2.6</v>
      </c>
      <c r="E46" s="3" t="n">
        <v>2.4</v>
      </c>
      <c r="F46" s="3" t="n">
        <v>2.4</v>
      </c>
      <c r="G46" s="3" t="n">
        <v>2.3</v>
      </c>
      <c r="H46" s="3" t="n">
        <v>2.3</v>
      </c>
      <c r="I46" s="3" t="n">
        <v>2.3</v>
      </c>
      <c r="J46" s="3" t="n">
        <v>2.3</v>
      </c>
      <c r="K46" s="3" t="n">
        <v>2.3</v>
      </c>
      <c r="L46" s="3" t="n">
        <v>2.3</v>
      </c>
    </row>
    <row r="47" customFormat="false" ht="15" hidden="false" customHeight="false" outlineLevel="0" collapsed="false">
      <c r="A47" s="0" t="s">
        <v>103</v>
      </c>
      <c r="C47" s="3" t="n">
        <v>17</v>
      </c>
      <c r="D47" s="3" t="n">
        <v>18</v>
      </c>
      <c r="E47" s="3" t="n">
        <v>19</v>
      </c>
      <c r="F47" s="3" t="n">
        <v>20</v>
      </c>
      <c r="G47" s="3" t="n">
        <v>21</v>
      </c>
      <c r="H47" s="3" t="n">
        <v>22</v>
      </c>
      <c r="I47" s="3" t="n">
        <v>23</v>
      </c>
      <c r="J47" s="3" t="n">
        <v>24</v>
      </c>
      <c r="K47" s="3" t="n">
        <v>24</v>
      </c>
      <c r="L47" s="3" t="n">
        <v>24</v>
      </c>
    </row>
    <row r="48" customFormat="false" ht="15" hidden="false" customHeight="false" outlineLevel="0" collapsed="false">
      <c r="A48" s="0" t="s">
        <v>104</v>
      </c>
      <c r="B48" s="3" t="n">
        <v>8</v>
      </c>
    </row>
    <row r="49" customFormat="false" ht="15" hidden="false" customHeight="false" outlineLevel="0" collapsed="false">
      <c r="A49" s="0" t="s">
        <v>105</v>
      </c>
      <c r="B49" s="3" t="n">
        <v>2</v>
      </c>
    </row>
    <row r="50" customFormat="false" ht="15" hidden="false" customHeight="false" outlineLevel="0" collapsed="false">
      <c r="A50" s="0" t="s">
        <v>106</v>
      </c>
      <c r="B50" s="3" t="n">
        <v>14</v>
      </c>
    </row>
    <row r="51" customFormat="false" ht="15" hidden="false" customHeight="false" outlineLevel="0" collapsed="false">
      <c r="A51" s="0" t="s">
        <v>107</v>
      </c>
      <c r="B51" s="3" t="n">
        <v>0</v>
      </c>
    </row>
    <row r="52" customFormat="false" ht="15" hidden="false" customHeight="false" outlineLevel="0" collapsed="false">
      <c r="A52" s="0" t="s">
        <v>108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-4</v>
      </c>
      <c r="D5" s="4" t="n">
        <f aca="false">Assumptions!D13</f>
        <v>-4</v>
      </c>
      <c r="E5" s="4" t="n">
        <f aca="false">Assumptions!E13</f>
        <v>-1</v>
      </c>
      <c r="F5" s="4" t="n">
        <f aca="false">Assumptions!F13</f>
        <v>-2</v>
      </c>
      <c r="G5" s="4" t="n">
        <f aca="false">Assumptions!G13</f>
        <v>-1</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17126</v>
      </c>
      <c r="C6" s="0" t="n">
        <f aca="false">B6*(1+C5/100)</f>
        <v>16440.96</v>
      </c>
      <c r="D6" s="0" t="n">
        <f aca="false">C6*(1+D5/100)</f>
        <v>15783.3216</v>
      </c>
      <c r="E6" s="0" t="n">
        <f aca="false">D6*(1+E5/100)</f>
        <v>15625.488384</v>
      </c>
      <c r="F6" s="0" t="n">
        <f aca="false">E6*(1+F5/100)</f>
        <v>15312.97861632</v>
      </c>
      <c r="G6" s="0" t="n">
        <f aca="false">F6*(1+G5/100)</f>
        <v>15159.8488301568</v>
      </c>
      <c r="H6" s="0" t="n">
        <f aca="false">G6*(1+H5/100)</f>
        <v>14856.6518535537</v>
      </c>
      <c r="I6" s="0" t="n">
        <f aca="false">H6*(1+I5/100)</f>
        <v>14559.5188164826</v>
      </c>
      <c r="J6" s="0" t="n">
        <f aca="false">I6*(1+J5/100)</f>
        <v>14268.3284401529</v>
      </c>
      <c r="K6" s="0" t="n">
        <f aca="false">J6*(1+K5/100)</f>
        <v>13982.9618713499</v>
      </c>
      <c r="L6" s="0" t="n">
        <f aca="false">K6*(1+L5/100)</f>
        <v>13703.3026339229</v>
      </c>
    </row>
    <row r="7" customFormat="false" ht="15" hidden="false" customHeight="false" outlineLevel="0" collapsed="false">
      <c r="A7" s="0" t="s">
        <v>98</v>
      </c>
      <c r="C7" s="4" t="n">
        <f aca="false">Assumptions!C14</f>
        <v>20</v>
      </c>
      <c r="D7" s="4" t="n">
        <f aca="false">Assumptions!D14</f>
        <v>19</v>
      </c>
      <c r="E7" s="4" t="n">
        <f aca="false">Assumptions!E14</f>
        <v>18</v>
      </c>
      <c r="F7" s="4" t="n">
        <f aca="false">Assumptions!F14</f>
        <v>17.5</v>
      </c>
      <c r="G7" s="4" t="n">
        <f aca="false">Assumptions!G14</f>
        <v>17</v>
      </c>
      <c r="H7" s="4" t="n">
        <f aca="false">Assumptions!H14</f>
        <v>16.5</v>
      </c>
      <c r="I7" s="4" t="n">
        <f aca="false">Assumptions!I14</f>
        <v>16</v>
      </c>
      <c r="J7" s="4" t="n">
        <f aca="false">Assumptions!J14</f>
        <v>16</v>
      </c>
      <c r="K7" s="4" t="n">
        <f aca="false">Assumptions!K14</f>
        <v>15.5</v>
      </c>
      <c r="L7" s="4" t="n">
        <f aca="false">Assumptions!L14</f>
        <v>15.5</v>
      </c>
    </row>
    <row r="8" customFormat="false" ht="15" hidden="false" customHeight="false" outlineLevel="0" collapsed="false">
      <c r="A8" s="0" t="s">
        <v>43</v>
      </c>
      <c r="C8" s="0" t="n">
        <f aca="false">C6*C7/100</f>
        <v>3288.192</v>
      </c>
      <c r="D8" s="0" t="n">
        <f aca="false">D6*D7/100</f>
        <v>2998.831104</v>
      </c>
      <c r="E8" s="0" t="n">
        <f aca="false">E6*E7/100</f>
        <v>2812.58790912</v>
      </c>
      <c r="F8" s="0" t="n">
        <f aca="false">F6*F7/100</f>
        <v>2679.771257856</v>
      </c>
      <c r="G8" s="0" t="n">
        <f aca="false">G6*G7/100</f>
        <v>2577.17430112666</v>
      </c>
      <c r="H8" s="0" t="n">
        <f aca="false">H6*H7/100</f>
        <v>2451.34755583635</v>
      </c>
      <c r="I8" s="0" t="n">
        <f aca="false">I6*I7/100</f>
        <v>2329.52301063721</v>
      </c>
      <c r="J8" s="0" t="n">
        <f aca="false">J6*J7/100</f>
        <v>2282.93255042447</v>
      </c>
      <c r="K8" s="0" t="n">
        <f aca="false">K6*K7/100</f>
        <v>2167.35909005923</v>
      </c>
      <c r="L8" s="0" t="n">
        <f aca="false">L6*L7/100</f>
        <v>2124.01190825805</v>
      </c>
    </row>
    <row r="9" customFormat="false" ht="15" hidden="false" customHeight="false" outlineLevel="0" collapsed="false">
      <c r="A9" s="0" t="s">
        <v>99</v>
      </c>
      <c r="C9" s="4" t="n">
        <f aca="false">Assumptions!C15</f>
        <v>0.8</v>
      </c>
      <c r="D9" s="4" t="n">
        <f aca="false">Assumptions!D15</f>
        <v>0.8</v>
      </c>
      <c r="E9" s="4" t="n">
        <f aca="false">Assumptions!E15</f>
        <v>0.8</v>
      </c>
      <c r="F9" s="4" t="n">
        <f aca="false">Assumptions!F15</f>
        <v>0.8</v>
      </c>
      <c r="G9" s="4" t="n">
        <f aca="false">Assumptions!G15</f>
        <v>0.8</v>
      </c>
      <c r="H9" s="4" t="n">
        <f aca="false">Assumptions!H15</f>
        <v>0.8</v>
      </c>
      <c r="I9" s="4" t="n">
        <f aca="false">Assumptions!I15</f>
        <v>0.8</v>
      </c>
      <c r="J9" s="4" t="n">
        <f aca="false">Assumptions!J15</f>
        <v>0.8</v>
      </c>
      <c r="K9" s="4" t="n">
        <f aca="false">Assumptions!K15</f>
        <v>0.8</v>
      </c>
      <c r="L9" s="4" t="n">
        <f aca="false">Assumptions!L15</f>
        <v>0.8</v>
      </c>
    </row>
    <row r="10" customFormat="false" ht="15" hidden="false" customHeight="false" outlineLevel="0" collapsed="false">
      <c r="A10" s="0" t="s">
        <v>114</v>
      </c>
      <c r="C10" s="0" t="n">
        <f aca="false">-C6*C9/100</f>
        <v>-131.52768</v>
      </c>
      <c r="D10" s="0" t="n">
        <f aca="false">-D6*D9/100</f>
        <v>-126.2665728</v>
      </c>
      <c r="E10" s="0" t="n">
        <f aca="false">-E6*E9/100</f>
        <v>-125.003907072</v>
      </c>
      <c r="F10" s="0" t="n">
        <f aca="false">-F6*F9/100</f>
        <v>-122.50382893056</v>
      </c>
      <c r="G10" s="0" t="n">
        <f aca="false">-G6*G9/100</f>
        <v>-121.278790641254</v>
      </c>
      <c r="H10" s="0" t="n">
        <f aca="false">-H6*H9/100</f>
        <v>-118.853214828429</v>
      </c>
      <c r="I10" s="0" t="n">
        <f aca="false">-I6*I9/100</f>
        <v>-116.476150531861</v>
      </c>
      <c r="J10" s="0" t="n">
        <f aca="false">-J6*J9/100</f>
        <v>-114.146627521224</v>
      </c>
      <c r="K10" s="0" t="n">
        <f aca="false">-K6*K9/100</f>
        <v>-111.863694970799</v>
      </c>
      <c r="L10" s="0" t="n">
        <f aca="false">-L6*L9/100</f>
        <v>-109.626421071383</v>
      </c>
    </row>
    <row r="11" customFormat="false" ht="15" hidden="false" customHeight="false" outlineLevel="0" collapsed="false">
      <c r="A11" s="0" t="s">
        <v>115</v>
      </c>
      <c r="C11" s="0" t="n">
        <f aca="false">C8+C10+C24</f>
        <v>3156.66432</v>
      </c>
      <c r="D11" s="0" t="n">
        <f aca="false">D8+D10+D24</f>
        <v>2872.5645312</v>
      </c>
      <c r="E11" s="0" t="n">
        <f aca="false">E8+E10+E24</f>
        <v>2687.584002048</v>
      </c>
      <c r="F11" s="0" t="n">
        <f aca="false">F8+F10+F24</f>
        <v>2557.26742892544</v>
      </c>
      <c r="G11" s="0" t="n">
        <f aca="false">G8+G10+G24</f>
        <v>2455.8955104854</v>
      </c>
      <c r="H11" s="0" t="n">
        <f aca="false">H8+H10+H24</f>
        <v>2332.49434100793</v>
      </c>
      <c r="I11" s="0" t="n">
        <f aca="false">I8+I10+I24</f>
        <v>2213.04686010535</v>
      </c>
      <c r="J11" s="0" t="n">
        <f aca="false">J8+J10+J24</f>
        <v>2168.78592290325</v>
      </c>
      <c r="K11" s="0" t="n">
        <f aca="false">K8+K10+K24</f>
        <v>2055.49539508843</v>
      </c>
      <c r="L11" s="0" t="n">
        <f aca="false">L8+L10+L24</f>
        <v>2014.38548718666</v>
      </c>
    </row>
    <row r="12" customFormat="false" ht="15" hidden="false" customHeight="false" outlineLevel="0" collapsed="false">
      <c r="A12" s="0" t="s">
        <v>116</v>
      </c>
      <c r="C12" s="4" t="n">
        <f aca="false">-C6*Assumptions!C17/100</f>
        <v>-394.58304</v>
      </c>
      <c r="D12" s="4" t="n">
        <f aca="false">-D6*Assumptions!D17/100</f>
        <v>-378.7997184</v>
      </c>
      <c r="E12" s="4" t="n">
        <f aca="false">-E6*Assumptions!E17/100</f>
        <v>-375.011721216</v>
      </c>
      <c r="F12" s="4" t="n">
        <f aca="false">-F6*Assumptions!F17/100</f>
        <v>-367.51148679168</v>
      </c>
      <c r="G12" s="4" t="n">
        <f aca="false">-G6*Assumptions!G17/100</f>
        <v>-363.836371923763</v>
      </c>
      <c r="H12" s="4" t="n">
        <f aca="false">-H6*Assumptions!H17/100</f>
        <v>-356.559644485288</v>
      </c>
      <c r="I12" s="4" t="n">
        <f aca="false">-I6*Assumptions!I17/100</f>
        <v>-349.428451595582</v>
      </c>
      <c r="J12" s="4" t="n">
        <f aca="false">-J6*Assumptions!J17/100</f>
        <v>-342.439882563671</v>
      </c>
      <c r="K12" s="4" t="n">
        <f aca="false">-K6*Assumptions!K17/100</f>
        <v>-335.591084912397</v>
      </c>
      <c r="L12" s="4" t="n">
        <f aca="false">-L6*Assumptions!L17/100</f>
        <v>-328.879263214149</v>
      </c>
    </row>
    <row r="13" customFormat="false" ht="15" hidden="false" customHeight="false" outlineLevel="0" collapsed="false">
      <c r="A13" s="0" t="s">
        <v>117</v>
      </c>
      <c r="C13" s="0" t="n">
        <f aca="false">C11+C12</f>
        <v>2762.08128</v>
      </c>
      <c r="D13" s="0" t="n">
        <f aca="false">D11+D12</f>
        <v>2493.7648128</v>
      </c>
      <c r="E13" s="0" t="n">
        <f aca="false">E11+E12</f>
        <v>2312.572280832</v>
      </c>
      <c r="F13" s="0" t="n">
        <f aca="false">F11+F12</f>
        <v>2189.75594213376</v>
      </c>
      <c r="G13" s="0" t="n">
        <f aca="false">G11+G12</f>
        <v>2092.05913856164</v>
      </c>
      <c r="H13" s="0" t="n">
        <f aca="false">H11+H12</f>
        <v>1975.93469652264</v>
      </c>
      <c r="I13" s="0" t="n">
        <f aca="false">I11+I12</f>
        <v>1863.61840850977</v>
      </c>
      <c r="J13" s="0" t="n">
        <f aca="false">J11+J12</f>
        <v>1826.34604033958</v>
      </c>
      <c r="K13" s="0" t="n">
        <f aca="false">K11+K12</f>
        <v>1719.90431017604</v>
      </c>
      <c r="L13" s="0" t="n">
        <f aca="false">L11+L12</f>
        <v>1685.50622397251</v>
      </c>
    </row>
    <row r="14" customFormat="false" ht="15" hidden="false" customHeight="false" outlineLevel="0" collapsed="false">
      <c r="A14" s="0" t="s">
        <v>103</v>
      </c>
      <c r="C14" s="4" t="n">
        <f aca="false">Assumptions!C19</f>
        <v>17</v>
      </c>
      <c r="D14" s="4" t="n">
        <f aca="false">Assumptions!D19</f>
        <v>18</v>
      </c>
      <c r="E14" s="4" t="n">
        <f aca="false">Assumptions!E19</f>
        <v>19</v>
      </c>
      <c r="F14" s="4" t="n">
        <f aca="false">Assumptions!F19</f>
        <v>20</v>
      </c>
      <c r="G14" s="4" t="n">
        <f aca="false">Assumptions!G19</f>
        <v>21</v>
      </c>
      <c r="H14" s="4" t="n">
        <f aca="false">Assumptions!H19</f>
        <v>22</v>
      </c>
      <c r="I14" s="4" t="n">
        <f aca="false">Assumptions!I19</f>
        <v>23</v>
      </c>
      <c r="J14" s="4" t="n">
        <f aca="false">Assumptions!J19</f>
        <v>24</v>
      </c>
      <c r="K14" s="4" t="n">
        <f aca="false">Assumptions!K19</f>
        <v>24</v>
      </c>
      <c r="L14" s="4" t="n">
        <f aca="false">Assumptions!L19</f>
        <v>24</v>
      </c>
    </row>
    <row r="15" customFormat="false" ht="15" hidden="false" customHeight="false" outlineLevel="0" collapsed="false">
      <c r="A15" s="0" t="s">
        <v>118</v>
      </c>
      <c r="C15" s="0" t="n">
        <f aca="false">C13-MAX(0,C13)*C14/100</f>
        <v>2292.5274624</v>
      </c>
      <c r="D15" s="0" t="n">
        <f aca="false">D13-MAX(0,D13)*D14/100</f>
        <v>2044.887146496</v>
      </c>
      <c r="E15" s="0" t="n">
        <f aca="false">E13-MAX(0,E13)*E14/100</f>
        <v>1873.18354747392</v>
      </c>
      <c r="F15" s="0" t="n">
        <f aca="false">F13-MAX(0,F13)*F14/100</f>
        <v>1751.80475370701</v>
      </c>
      <c r="G15" s="0" t="n">
        <f aca="false">G13-MAX(0,G13)*G14/100</f>
        <v>1652.72671946369</v>
      </c>
      <c r="H15" s="0" t="n">
        <f aca="false">H13-MAX(0,H13)*H14/100</f>
        <v>1541.22906328766</v>
      </c>
      <c r="I15" s="0" t="n">
        <f aca="false">I13-MAX(0,I13)*I14/100</f>
        <v>1434.98617455252</v>
      </c>
      <c r="J15" s="0" t="n">
        <f aca="false">J13-MAX(0,J13)*J14/100</f>
        <v>1388.02299065808</v>
      </c>
      <c r="K15" s="0" t="n">
        <f aca="false">K13-MAX(0,K13)*K14/100</f>
        <v>1307.12727573379</v>
      </c>
      <c r="L15" s="0" t="n">
        <f aca="false">L13-MAX(0,L13)*L14/100</f>
        <v>1280.98473021911</v>
      </c>
    </row>
    <row r="16" customFormat="false" ht="15" hidden="false" customHeight="false" outlineLevel="0" collapsed="false">
      <c r="A16" s="0" t="s">
        <v>119</v>
      </c>
      <c r="C16" s="0" t="n">
        <f aca="false">-C12</f>
        <v>394.58304</v>
      </c>
      <c r="D16" s="0" t="n">
        <f aca="false">-D12</f>
        <v>378.7997184</v>
      </c>
      <c r="E16" s="0" t="n">
        <f aca="false">-E12</f>
        <v>375.011721216</v>
      </c>
      <c r="F16" s="0" t="n">
        <f aca="false">-F12</f>
        <v>367.51148679168</v>
      </c>
      <c r="G16" s="0" t="n">
        <f aca="false">-G12</f>
        <v>363.836371923763</v>
      </c>
      <c r="H16" s="0" t="n">
        <f aca="false">-H12</f>
        <v>356.559644485288</v>
      </c>
      <c r="I16" s="0" t="n">
        <f aca="false">-I12</f>
        <v>349.428451595582</v>
      </c>
      <c r="J16" s="0" t="n">
        <f aca="false">-J12</f>
        <v>342.439882563671</v>
      </c>
      <c r="K16" s="0" t="n">
        <f aca="false">-K12</f>
        <v>335.591084912397</v>
      </c>
      <c r="L16" s="0" t="n">
        <f aca="false">-L12</f>
        <v>328.879263214149</v>
      </c>
    </row>
    <row r="17" customFormat="false" ht="15" hidden="false" customHeight="false" outlineLevel="0" collapsed="false">
      <c r="A17" s="0" t="s">
        <v>120</v>
      </c>
      <c r="C17" s="4" t="n">
        <f aca="false">-C6*Assumptions!C18/100</f>
        <v>-460.34688</v>
      </c>
      <c r="D17" s="4" t="n">
        <f aca="false">-D6*Assumptions!D18/100</f>
        <v>-410.3663616</v>
      </c>
      <c r="E17" s="4" t="n">
        <f aca="false">-E6*Assumptions!E18/100</f>
        <v>-375.011721216</v>
      </c>
      <c r="F17" s="4" t="n">
        <f aca="false">-F6*Assumptions!F18/100</f>
        <v>-367.51148679168</v>
      </c>
      <c r="G17" s="4" t="n">
        <f aca="false">-G6*Assumptions!G18/100</f>
        <v>-348.676523093606</v>
      </c>
      <c r="H17" s="4" t="n">
        <f aca="false">-H6*Assumptions!H18/100</f>
        <v>-341.702992631734</v>
      </c>
      <c r="I17" s="4" t="n">
        <f aca="false">-I6*Assumptions!I18/100</f>
        <v>-334.8689327791</v>
      </c>
      <c r="J17" s="4" t="n">
        <f aca="false">-J6*Assumptions!J18/100</f>
        <v>-328.171554123518</v>
      </c>
      <c r="K17" s="4" t="n">
        <f aca="false">-K6*Assumptions!K18/100</f>
        <v>-321.608123041047</v>
      </c>
      <c r="L17" s="4" t="n">
        <f aca="false">-L6*Assumptions!L18/100</f>
        <v>-315.175960580226</v>
      </c>
    </row>
    <row r="18" customFormat="false" ht="15" hidden="false" customHeight="false" outlineLevel="0" collapsed="false">
      <c r="A18" s="0" t="s">
        <v>121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122</v>
      </c>
      <c r="C19" s="0" t="n">
        <f aca="false">C15+C16+C17+C18</f>
        <v>2226.7636224</v>
      </c>
      <c r="D19" s="0" t="n">
        <f aca="false">D15+D16+D17+D18</f>
        <v>2013.320503296</v>
      </c>
      <c r="E19" s="0" t="n">
        <f aca="false">E15+E16+E17+E18</f>
        <v>1873.18354747392</v>
      </c>
      <c r="F19" s="0" t="n">
        <f aca="false">F15+F16+F17+F18</f>
        <v>1751.80475370701</v>
      </c>
      <c r="G19" s="0" t="n">
        <f aca="false">G15+G16+G17+G18</f>
        <v>1667.88656829385</v>
      </c>
      <c r="H19" s="0" t="n">
        <f aca="false">H15+H16+H17+H18</f>
        <v>1556.08571514121</v>
      </c>
      <c r="I19" s="0" t="n">
        <f aca="false">I15+I16+I17+I18</f>
        <v>1449.54569336901</v>
      </c>
      <c r="J19" s="0" t="n">
        <f aca="false">J15+J16+J17+J18</f>
        <v>1402.29131909823</v>
      </c>
      <c r="K19" s="0" t="n">
        <f aca="false">K15+K16+K17+K18</f>
        <v>1321.11023760514</v>
      </c>
      <c r="L19" s="0" t="n">
        <f aca="false">L15+L16+L17+L18</f>
        <v>1294.68803285303</v>
      </c>
    </row>
    <row r="20" customFormat="false" ht="15" hidden="false" customHeight="false" outlineLevel="0" collapsed="false">
      <c r="A20" s="0" t="s">
        <v>123</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124</v>
      </c>
      <c r="C21" s="0" t="n">
        <f aca="false">C19*C20</f>
        <v>2061.81816888889</v>
      </c>
      <c r="D21" s="0" t="n">
        <f aca="false">D19*D20</f>
        <v>1726.09782518519</v>
      </c>
      <c r="E21" s="0" t="n">
        <f aca="false">E19*E20</f>
        <v>1486.99349333333</v>
      </c>
      <c r="F21" s="0" t="n">
        <f aca="false">F19*F20</f>
        <v>1287.62879024539</v>
      </c>
      <c r="G21" s="0" t="n">
        <f aca="false">G19*G20</f>
        <v>1135.13557293908</v>
      </c>
      <c r="H21" s="0" t="n">
        <f aca="false">H19*H20</f>
        <v>980.597954508666</v>
      </c>
      <c r="I21" s="0" t="n">
        <f aca="false">I19*I20</f>
        <v>845.795989574406</v>
      </c>
      <c r="J21" s="0" t="n">
        <f aca="false">J19*J20</f>
        <v>757.614366716006</v>
      </c>
      <c r="K21" s="0" t="n">
        <f aca="false">K19*K20</f>
        <v>660.884031828766</v>
      </c>
      <c r="L21" s="0" t="n">
        <f aca="false">L19*L20</f>
        <v>599.691065918695</v>
      </c>
    </row>
    <row r="23" customFormat="false" ht="15" hidden="false" customHeight="false" outlineLevel="0" collapsed="false">
      <c r="A23" s="0" t="s">
        <v>100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Assumptions!$B$20</f>
        <v>8</v>
      </c>
    </row>
    <row r="28" customFormat="false" ht="15" hidden="false" customHeight="false" outlineLevel="0" collapsed="false">
      <c r="A28" s="0" t="s">
        <v>105</v>
      </c>
      <c r="B28" s="4" t="n">
        <f aca="false">Assumptions!$B$21</f>
        <v>0</v>
      </c>
    </row>
    <row r="29" customFormat="false" ht="15" hidden="false" customHeight="false" outlineLevel="0" collapsed="false">
      <c r="A29" s="0" t="s">
        <v>106</v>
      </c>
      <c r="B29" s="4" t="n">
        <f aca="false">Assumptions!$B$22</f>
        <v>10</v>
      </c>
    </row>
    <row r="30" customFormat="false" ht="15" hidden="false" customHeight="false" outlineLevel="0" collapsed="false">
      <c r="A30" s="0" t="s">
        <v>127</v>
      </c>
      <c r="B30" s="0" t="n">
        <f aca="false">SUM(C21:L21)</f>
        <v>11542.2572591384</v>
      </c>
    </row>
    <row r="31" customFormat="false" ht="15" hidden="false" customHeight="false" outlineLevel="0" collapsed="false">
      <c r="A31" s="0" t="s">
        <v>128</v>
      </c>
      <c r="B31" s="0" t="n">
        <f aca="false">L19</f>
        <v>1294.68803285303</v>
      </c>
    </row>
    <row r="32" customFormat="false" ht="15" hidden="false" customHeight="false" outlineLevel="0" collapsed="false">
      <c r="A32" s="0" t="s">
        <v>129</v>
      </c>
      <c r="B32" s="0" t="n">
        <f aca="false">IF(B27&gt;B28,B31*(1+B28/100)/((B27-B28)/100),B31*B29)</f>
        <v>16183.6004106629</v>
      </c>
    </row>
    <row r="33" customFormat="false" ht="15" hidden="false" customHeight="false" outlineLevel="0" collapsed="false">
      <c r="A33" s="0" t="s">
        <v>130</v>
      </c>
      <c r="B33" s="0" t="n">
        <f aca="false">B31*B29</f>
        <v>12946.8803285303</v>
      </c>
    </row>
    <row r="34" customFormat="false" ht="15" hidden="false" customHeight="false" outlineLevel="0" collapsed="false">
      <c r="A34" s="0" t="s">
        <v>131</v>
      </c>
      <c r="B34" s="0" t="n">
        <f aca="false">MAX(0,MIN(B32,B33))</f>
        <v>12946.8803285303</v>
      </c>
    </row>
    <row r="35" customFormat="false" ht="15" hidden="false" customHeight="false" outlineLevel="0" collapsed="false">
      <c r="A35" s="0" t="s">
        <v>132</v>
      </c>
      <c r="B35" s="0" t="n">
        <f aca="false">B34/(1+B27/100)^L4</f>
        <v>5996.91065918695</v>
      </c>
    </row>
    <row r="36" customFormat="false" ht="15" hidden="false" customHeight="false" outlineLevel="0" collapsed="false">
      <c r="A36" s="0" t="s">
        <v>133</v>
      </c>
      <c r="B36" s="0" t="n">
        <f aca="false">B30+B35</f>
        <v>17539.1679183254</v>
      </c>
    </row>
    <row r="37" customFormat="false" ht="15" hidden="false" customHeight="false" outlineLevel="0" collapsed="false">
      <c r="A37" s="0" t="s">
        <v>134</v>
      </c>
      <c r="B37" s="0" t="n">
        <f aca="false">B36+Assumptions!$B$5-Assumptions!$B$4</f>
        <v>11003.1679183254</v>
      </c>
    </row>
    <row r="38" customFormat="false" ht="15" hidden="false" customHeight="false" outlineLevel="0" collapsed="false">
      <c r="A38" s="0" t="s">
        <v>135</v>
      </c>
      <c r="B38" s="0" t="n">
        <f aca="false">B37/Assumptions!$B$3*Assumptions!$B$10</f>
        <v>25.7685431342514</v>
      </c>
    </row>
    <row r="39" customFormat="false" ht="15" hidden="false" customHeight="false" outlineLevel="0" collapsed="false">
      <c r="A39" s="0" t="s">
        <v>136</v>
      </c>
      <c r="B39" s="4" t="n">
        <f aca="false">B38/Assumptions!$B$2-1</f>
        <v>-0.591429473057691</v>
      </c>
    </row>
    <row r="41" customFormat="false" ht="15" hidden="false" customHeight="false" outlineLevel="0" collapsed="false">
      <c r="A41" s="0" t="s">
        <v>137</v>
      </c>
      <c r="B41" s="0" t="n">
        <f aca="false">SUMPRODUCT(-C10:L10/(1+$B$27/100)^C4:L4)</f>
        <v>813.122748063111</v>
      </c>
    </row>
    <row r="42" customFormat="false" ht="15" hidden="false" customHeight="false" outlineLevel="0" collapsed="false">
      <c r="A42" s="0" t="s">
        <v>138</v>
      </c>
      <c r="B42" s="0" t="n">
        <f aca="false">IF(B27&gt;B28,-L10*(1+B28/100)/((B27-B28)/100),-L10*20)/(1+B27/100)^L4</f>
        <v>634.728054528678</v>
      </c>
    </row>
    <row r="43" customFormat="false" ht="15" hidden="false" customHeight="false" outlineLevel="0" collapsed="false">
      <c r="A43" s="0" t="s">
        <v>139</v>
      </c>
      <c r="B43" s="0" t="n">
        <f aca="false">(B37+B41+B42)/Assumptions!$B$3*Assumptions!$B$10</f>
        <v>29.1592944283774</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8631.25355235356</v>
      </c>
    </row>
    <row r="47" customFormat="false" ht="15" hidden="false" customHeight="false" outlineLevel="0" collapsed="false">
      <c r="A47" s="0" t="s">
        <v>141</v>
      </c>
      <c r="B47" s="0" t="n">
        <f aca="false">(SUMPRODUCT(C19:L19/(1+B45/100)^C4:L4)+B46/(1+B45/100)^L4+Assumptions!$B$5-Assumptions!$B$4)/Assumptions!$B$3*Assumptions!$B$10</f>
        <v>10.515995206066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-2</v>
      </c>
      <c r="D5" s="4" t="n">
        <f aca="false">Assumptions!D27</f>
        <v>0</v>
      </c>
      <c r="E5" s="4" t="n">
        <f aca="false">Assumptions!E27</f>
        <v>2</v>
      </c>
      <c r="F5" s="4" t="n">
        <f aca="false">Assumptions!F27</f>
        <v>1.5</v>
      </c>
      <c r="G5" s="4" t="n">
        <f aca="false">Assumptions!G27</f>
        <v>2</v>
      </c>
      <c r="H5" s="4" t="n">
        <f aca="false">Assumptions!H27</f>
        <v>1.5</v>
      </c>
      <c r="I5" s="4" t="n">
        <f aca="false">Assumptions!I27</f>
        <v>1.5</v>
      </c>
      <c r="J5" s="4" t="n">
        <f aca="false">Assumptions!J27</f>
        <v>1.5</v>
      </c>
      <c r="K5" s="4" t="n">
        <f aca="false">Assumptions!K27</f>
        <v>1.5</v>
      </c>
      <c r="L5" s="4" t="n">
        <f aca="false">Assumptions!L27</f>
        <v>1.5</v>
      </c>
    </row>
    <row r="6" customFormat="false" ht="15" hidden="false" customHeight="false" outlineLevel="0" collapsed="false">
      <c r="A6" s="0" t="s">
        <v>37</v>
      </c>
      <c r="B6" s="3" t="n">
        <v>17126</v>
      </c>
      <c r="C6" s="0" t="n">
        <f aca="false">B6*(1+C5/100)</f>
        <v>16783.48</v>
      </c>
      <c r="D6" s="0" t="n">
        <f aca="false">C6*(1+D5/100)</f>
        <v>16783.48</v>
      </c>
      <c r="E6" s="0" t="n">
        <f aca="false">D6*(1+E5/100)</f>
        <v>17119.1496</v>
      </c>
      <c r="F6" s="0" t="n">
        <f aca="false">E6*(1+F5/100)</f>
        <v>17375.936844</v>
      </c>
      <c r="G6" s="0" t="n">
        <f aca="false">F6*(1+G5/100)</f>
        <v>17723.45558088</v>
      </c>
      <c r="H6" s="0" t="n">
        <f aca="false">G6*(1+H5/100)</f>
        <v>17989.3074145932</v>
      </c>
      <c r="I6" s="0" t="n">
        <f aca="false">H6*(1+I5/100)</f>
        <v>18259.1470258121</v>
      </c>
      <c r="J6" s="0" t="n">
        <f aca="false">I6*(1+J5/100)</f>
        <v>18533.0342311993</v>
      </c>
      <c r="K6" s="0" t="n">
        <f aca="false">J6*(1+K5/100)</f>
        <v>18811.0297446673</v>
      </c>
      <c r="L6" s="0" t="n">
        <f aca="false">K6*(1+L5/100)</f>
        <v>19093.1951908373</v>
      </c>
    </row>
    <row r="7" customFormat="false" ht="15" hidden="false" customHeight="false" outlineLevel="0" collapsed="false">
      <c r="A7" s="0" t="s">
        <v>98</v>
      </c>
      <c r="C7" s="4" t="n">
        <f aca="false">Assumptions!C28</f>
        <v>20.5</v>
      </c>
      <c r="D7" s="4" t="n">
        <f aca="false">Assumptions!D28</f>
        <v>20.5</v>
      </c>
      <c r="E7" s="4" t="n">
        <f aca="false">Assumptions!E28</f>
        <v>20.5</v>
      </c>
      <c r="F7" s="4" t="n">
        <f aca="false">Assumptions!F28</f>
        <v>20.5</v>
      </c>
      <c r="G7" s="4" t="n">
        <f aca="false">Assumptions!G28</f>
        <v>20.5</v>
      </c>
      <c r="H7" s="4" t="n">
        <f aca="false">Assumptions!H28</f>
        <v>20</v>
      </c>
      <c r="I7" s="4" t="n">
        <f aca="false">Assumptions!I28</f>
        <v>20</v>
      </c>
      <c r="J7" s="4" t="n">
        <f aca="false">Assumptions!J28</f>
        <v>20</v>
      </c>
      <c r="K7" s="4" t="n">
        <f aca="false">Assumptions!K28</f>
        <v>19.5</v>
      </c>
      <c r="L7" s="4" t="n">
        <f aca="false">Assumptions!L28</f>
        <v>19.5</v>
      </c>
    </row>
    <row r="8" customFormat="false" ht="15" hidden="false" customHeight="false" outlineLevel="0" collapsed="false">
      <c r="A8" s="0" t="s">
        <v>43</v>
      </c>
      <c r="C8" s="0" t="n">
        <f aca="false">C6*C7/100</f>
        <v>3440.6134</v>
      </c>
      <c r="D8" s="0" t="n">
        <f aca="false">D6*D7/100</f>
        <v>3440.6134</v>
      </c>
      <c r="E8" s="0" t="n">
        <f aca="false">E6*E7/100</f>
        <v>3509.425668</v>
      </c>
      <c r="F8" s="0" t="n">
        <f aca="false">F6*F7/100</f>
        <v>3562.06705302</v>
      </c>
      <c r="G8" s="0" t="n">
        <f aca="false">G6*G7/100</f>
        <v>3633.3083940804</v>
      </c>
      <c r="H8" s="0" t="n">
        <f aca="false">H6*H7/100</f>
        <v>3597.86148291864</v>
      </c>
      <c r="I8" s="0" t="n">
        <f aca="false">I6*I7/100</f>
        <v>3651.82940516242</v>
      </c>
      <c r="J8" s="0" t="n">
        <f aca="false">J6*J7/100</f>
        <v>3706.60684623985</v>
      </c>
      <c r="K8" s="0" t="n">
        <f aca="false">K6*K7/100</f>
        <v>3668.15080021012</v>
      </c>
      <c r="L8" s="0" t="n">
        <f aca="false">L6*L7/100</f>
        <v>3723.17306221327</v>
      </c>
    </row>
    <row r="9" customFormat="false" ht="15" hidden="false" customHeight="false" outlineLevel="0" collapsed="false">
      <c r="A9" s="0" t="s">
        <v>99</v>
      </c>
      <c r="C9" s="4" t="n">
        <f aca="false">Assumptions!C29</f>
        <v>0.8</v>
      </c>
      <c r="D9" s="4" t="n">
        <f aca="false">Assumptions!D29</f>
        <v>0.8</v>
      </c>
      <c r="E9" s="4" t="n">
        <f aca="false">Assumptions!E29</f>
        <v>0.8</v>
      </c>
      <c r="F9" s="4" t="n">
        <f aca="false">Assumptions!F29</f>
        <v>0.8</v>
      </c>
      <c r="G9" s="4" t="n">
        <f aca="false">Assumptions!G29</f>
        <v>0.8</v>
      </c>
      <c r="H9" s="4" t="n">
        <f aca="false">Assumptions!H29</f>
        <v>0.8</v>
      </c>
      <c r="I9" s="4" t="n">
        <f aca="false">Assumptions!I29</f>
        <v>0.8</v>
      </c>
      <c r="J9" s="4" t="n">
        <f aca="false">Assumptions!J29</f>
        <v>0.8</v>
      </c>
      <c r="K9" s="4" t="n">
        <f aca="false">Assumptions!K29</f>
        <v>0.8</v>
      </c>
      <c r="L9" s="4" t="n">
        <f aca="false">Assumptions!L29</f>
        <v>0.8</v>
      </c>
    </row>
    <row r="10" customFormat="false" ht="15" hidden="false" customHeight="false" outlineLevel="0" collapsed="false">
      <c r="A10" s="0" t="s">
        <v>114</v>
      </c>
      <c r="C10" s="0" t="n">
        <f aca="false">-C6*C9/100</f>
        <v>-134.26784</v>
      </c>
      <c r="D10" s="0" t="n">
        <f aca="false">-D6*D9/100</f>
        <v>-134.26784</v>
      </c>
      <c r="E10" s="0" t="n">
        <f aca="false">-E6*E9/100</f>
        <v>-136.9531968</v>
      </c>
      <c r="F10" s="0" t="n">
        <f aca="false">-F6*F9/100</f>
        <v>-139.007494752</v>
      </c>
      <c r="G10" s="0" t="n">
        <f aca="false">-G6*G9/100</f>
        <v>-141.78764464704</v>
      </c>
      <c r="H10" s="0" t="n">
        <f aca="false">-H6*H9/100</f>
        <v>-143.914459316746</v>
      </c>
      <c r="I10" s="0" t="n">
        <f aca="false">-I6*I9/100</f>
        <v>-146.073176206497</v>
      </c>
      <c r="J10" s="0" t="n">
        <f aca="false">-J6*J9/100</f>
        <v>-148.264273849594</v>
      </c>
      <c r="K10" s="0" t="n">
        <f aca="false">-K6*K9/100</f>
        <v>-150.488237957338</v>
      </c>
      <c r="L10" s="0" t="n">
        <f aca="false">-L6*L9/100</f>
        <v>-152.745561526698</v>
      </c>
    </row>
    <row r="11" customFormat="false" ht="15" hidden="false" customHeight="false" outlineLevel="0" collapsed="false">
      <c r="A11" s="0" t="s">
        <v>115</v>
      </c>
      <c r="C11" s="0" t="n">
        <f aca="false">C8+C10+C24</f>
        <v>3306.34556</v>
      </c>
      <c r="D11" s="0" t="n">
        <f aca="false">D8+D10+D24</f>
        <v>3306.34556</v>
      </c>
      <c r="E11" s="0" t="n">
        <f aca="false">E8+E10+E24</f>
        <v>3372.4724712</v>
      </c>
      <c r="F11" s="0" t="n">
        <f aca="false">F8+F10+F24</f>
        <v>3423.059558268</v>
      </c>
      <c r="G11" s="0" t="n">
        <f aca="false">G8+G10+G24</f>
        <v>3491.52074943336</v>
      </c>
      <c r="H11" s="0" t="n">
        <f aca="false">H8+H10+H24</f>
        <v>3453.94702360189</v>
      </c>
      <c r="I11" s="0" t="n">
        <f aca="false">I8+I10+I24</f>
        <v>3505.75622895592</v>
      </c>
      <c r="J11" s="0" t="n">
        <f aca="false">J8+J10+J24</f>
        <v>3558.34257239026</v>
      </c>
      <c r="K11" s="0" t="n">
        <f aca="false">K8+K10+K24</f>
        <v>3517.66256225278</v>
      </c>
      <c r="L11" s="0" t="n">
        <f aca="false">L8+L10+L24</f>
        <v>3570.42750068657</v>
      </c>
    </row>
    <row r="12" customFormat="false" ht="15" hidden="false" customHeight="false" outlineLevel="0" collapsed="false">
      <c r="A12" s="0" t="s">
        <v>116</v>
      </c>
      <c r="C12" s="4" t="n">
        <f aca="false">-C6*Assumptions!C31/100</f>
        <v>-402.80352</v>
      </c>
      <c r="D12" s="4" t="n">
        <f aca="false">-D6*Assumptions!D31/100</f>
        <v>-402.80352</v>
      </c>
      <c r="E12" s="4" t="n">
        <f aca="false">-E6*Assumptions!E31/100</f>
        <v>-410.8595904</v>
      </c>
      <c r="F12" s="4" t="n">
        <f aca="false">-F6*Assumptions!F31/100</f>
        <v>-417.022484256</v>
      </c>
      <c r="G12" s="4" t="n">
        <f aca="false">-G6*Assumptions!G31/100</f>
        <v>-425.36293394112</v>
      </c>
      <c r="H12" s="4" t="n">
        <f aca="false">-H6*Assumptions!H31/100</f>
        <v>-431.743377950237</v>
      </c>
      <c r="I12" s="4" t="n">
        <f aca="false">-I6*Assumptions!I31/100</f>
        <v>-438.21952861949</v>
      </c>
      <c r="J12" s="4" t="n">
        <f aca="false">-J6*Assumptions!J31/100</f>
        <v>-444.792821548783</v>
      </c>
      <c r="K12" s="4" t="n">
        <f aca="false">-K6*Assumptions!K31/100</f>
        <v>-451.464713872014</v>
      </c>
      <c r="L12" s="4" t="n">
        <f aca="false">-L6*Assumptions!L31/100</f>
        <v>-458.236684580094</v>
      </c>
    </row>
    <row r="13" customFormat="false" ht="15" hidden="false" customHeight="false" outlineLevel="0" collapsed="false">
      <c r="A13" s="0" t="s">
        <v>117</v>
      </c>
      <c r="C13" s="0" t="n">
        <f aca="false">C11+C12</f>
        <v>2903.54204</v>
      </c>
      <c r="D13" s="0" t="n">
        <f aca="false">D11+D12</f>
        <v>2903.54204</v>
      </c>
      <c r="E13" s="0" t="n">
        <f aca="false">E11+E12</f>
        <v>2961.6128808</v>
      </c>
      <c r="F13" s="0" t="n">
        <f aca="false">F11+F12</f>
        <v>3006.037074012</v>
      </c>
      <c r="G13" s="0" t="n">
        <f aca="false">G11+G12</f>
        <v>3066.15781549224</v>
      </c>
      <c r="H13" s="0" t="n">
        <f aca="false">H11+H12</f>
        <v>3022.20364565166</v>
      </c>
      <c r="I13" s="0" t="n">
        <f aca="false">I11+I12</f>
        <v>3067.53670033643</v>
      </c>
      <c r="J13" s="0" t="n">
        <f aca="false">J11+J12</f>
        <v>3113.54975084148</v>
      </c>
      <c r="K13" s="0" t="n">
        <f aca="false">K11+K12</f>
        <v>3066.19784838076</v>
      </c>
      <c r="L13" s="0" t="n">
        <f aca="false">L11+L12</f>
        <v>3112.19081610647</v>
      </c>
    </row>
    <row r="14" customFormat="false" ht="15" hidden="false" customHeight="false" outlineLevel="0" collapsed="false">
      <c r="A14" s="0" t="s">
        <v>103</v>
      </c>
      <c r="C14" s="4" t="n">
        <f aca="false">Assumptions!C33</f>
        <v>17</v>
      </c>
      <c r="D14" s="4" t="n">
        <f aca="false">Assumptions!D33</f>
        <v>18</v>
      </c>
      <c r="E14" s="4" t="n">
        <f aca="false">Assumptions!E33</f>
        <v>19</v>
      </c>
      <c r="F14" s="4" t="n">
        <f aca="false">Assumptions!F33</f>
        <v>20</v>
      </c>
      <c r="G14" s="4" t="n">
        <f aca="false">Assumptions!G33</f>
        <v>21</v>
      </c>
      <c r="H14" s="4" t="n">
        <f aca="false">Assumptions!H33</f>
        <v>22</v>
      </c>
      <c r="I14" s="4" t="n">
        <f aca="false">Assumptions!I33</f>
        <v>23</v>
      </c>
      <c r="J14" s="4" t="n">
        <f aca="false">Assumptions!J33</f>
        <v>24</v>
      </c>
      <c r="K14" s="4" t="n">
        <f aca="false">Assumptions!K33</f>
        <v>24</v>
      </c>
      <c r="L14" s="4" t="n">
        <f aca="false">Assumptions!L33</f>
        <v>24</v>
      </c>
    </row>
    <row r="15" customFormat="false" ht="15" hidden="false" customHeight="false" outlineLevel="0" collapsed="false">
      <c r="A15" s="0" t="s">
        <v>118</v>
      </c>
      <c r="C15" s="0" t="n">
        <f aca="false">C13-MAX(0,C13)*C14/100</f>
        <v>2409.9398932</v>
      </c>
      <c r="D15" s="0" t="n">
        <f aca="false">D13-MAX(0,D13)*D14/100</f>
        <v>2380.9044728</v>
      </c>
      <c r="E15" s="0" t="n">
        <f aca="false">E13-MAX(0,E13)*E14/100</f>
        <v>2398.906433448</v>
      </c>
      <c r="F15" s="0" t="n">
        <f aca="false">F13-MAX(0,F13)*F14/100</f>
        <v>2404.8296592096</v>
      </c>
      <c r="G15" s="0" t="n">
        <f aca="false">G13-MAX(0,G13)*G14/100</f>
        <v>2422.26467423887</v>
      </c>
      <c r="H15" s="0" t="n">
        <f aca="false">H13-MAX(0,H13)*H14/100</f>
        <v>2357.31884360829</v>
      </c>
      <c r="I15" s="0" t="n">
        <f aca="false">I13-MAX(0,I13)*I14/100</f>
        <v>2362.00325925905</v>
      </c>
      <c r="J15" s="0" t="n">
        <f aca="false">J13-MAX(0,J13)*J14/100</f>
        <v>2366.29781063952</v>
      </c>
      <c r="K15" s="0" t="n">
        <f aca="false">K13-MAX(0,K13)*K14/100</f>
        <v>2330.31036476938</v>
      </c>
      <c r="L15" s="0" t="n">
        <f aca="false">L13-MAX(0,L13)*L14/100</f>
        <v>2365.26502024092</v>
      </c>
    </row>
    <row r="16" customFormat="false" ht="15" hidden="false" customHeight="false" outlineLevel="0" collapsed="false">
      <c r="A16" s="0" t="s">
        <v>119</v>
      </c>
      <c r="C16" s="0" t="n">
        <f aca="false">-C12</f>
        <v>402.80352</v>
      </c>
      <c r="D16" s="0" t="n">
        <f aca="false">-D12</f>
        <v>402.80352</v>
      </c>
      <c r="E16" s="0" t="n">
        <f aca="false">-E12</f>
        <v>410.8595904</v>
      </c>
      <c r="F16" s="0" t="n">
        <f aca="false">-F12</f>
        <v>417.022484256</v>
      </c>
      <c r="G16" s="0" t="n">
        <f aca="false">-G12</f>
        <v>425.36293394112</v>
      </c>
      <c r="H16" s="0" t="n">
        <f aca="false">-H12</f>
        <v>431.743377950237</v>
      </c>
      <c r="I16" s="0" t="n">
        <f aca="false">-I12</f>
        <v>438.21952861949</v>
      </c>
      <c r="J16" s="0" t="n">
        <f aca="false">-J12</f>
        <v>444.792821548783</v>
      </c>
      <c r="K16" s="0" t="n">
        <f aca="false">-K12</f>
        <v>451.464713872014</v>
      </c>
      <c r="L16" s="0" t="n">
        <f aca="false">-L12</f>
        <v>458.236684580094</v>
      </c>
    </row>
    <row r="17" customFormat="false" ht="15" hidden="false" customHeight="false" outlineLevel="0" collapsed="false">
      <c r="A17" s="0" t="s">
        <v>120</v>
      </c>
      <c r="C17" s="4" t="n">
        <f aca="false">-C6*Assumptions!C32/100</f>
        <v>-469.93744</v>
      </c>
      <c r="D17" s="4" t="n">
        <f aca="false">-D6*Assumptions!D32/100</f>
        <v>-436.37048</v>
      </c>
      <c r="E17" s="4" t="n">
        <f aca="false">-E6*Assumptions!E32/100</f>
        <v>-410.8595904</v>
      </c>
      <c r="F17" s="4" t="n">
        <f aca="false">-F6*Assumptions!F32/100</f>
        <v>-417.022484256</v>
      </c>
      <c r="G17" s="4" t="n">
        <f aca="false">-G6*Assumptions!G32/100</f>
        <v>-407.63947836024</v>
      </c>
      <c r="H17" s="4" t="n">
        <f aca="false">-H6*Assumptions!H32/100</f>
        <v>-413.754070535643</v>
      </c>
      <c r="I17" s="4" t="n">
        <f aca="false">-I6*Assumptions!I32/100</f>
        <v>-419.960381593678</v>
      </c>
      <c r="J17" s="4" t="n">
        <f aca="false">-J6*Assumptions!J32/100</f>
        <v>-426.259787317583</v>
      </c>
      <c r="K17" s="4" t="n">
        <f aca="false">-K6*Assumptions!K32/100</f>
        <v>-432.653684127347</v>
      </c>
      <c r="L17" s="4" t="n">
        <f aca="false">-L6*Assumptions!L32/100</f>
        <v>-439.143489389257</v>
      </c>
    </row>
    <row r="18" customFormat="false" ht="15" hidden="false" customHeight="false" outlineLevel="0" collapsed="false">
      <c r="A18" s="0" t="s">
        <v>121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122</v>
      </c>
      <c r="C19" s="0" t="n">
        <f aca="false">C15+C16+C17+C18</f>
        <v>2342.8059732</v>
      </c>
      <c r="D19" s="0" t="n">
        <f aca="false">D15+D16+D17+D18</f>
        <v>2347.3375128</v>
      </c>
      <c r="E19" s="0" t="n">
        <f aca="false">E15+E16+E17+E18</f>
        <v>2398.906433448</v>
      </c>
      <c r="F19" s="0" t="n">
        <f aca="false">F15+F16+F17+F18</f>
        <v>2404.8296592096</v>
      </c>
      <c r="G19" s="0" t="n">
        <f aca="false">G15+G16+G17+G18</f>
        <v>2439.98812981975</v>
      </c>
      <c r="H19" s="0" t="n">
        <f aca="false">H15+H16+H17+H18</f>
        <v>2375.30815102289</v>
      </c>
      <c r="I19" s="0" t="n">
        <f aca="false">I15+I16+I17+I18</f>
        <v>2380.26240628487</v>
      </c>
      <c r="J19" s="0" t="n">
        <f aca="false">J15+J16+J17+J18</f>
        <v>2384.83084487072</v>
      </c>
      <c r="K19" s="0" t="n">
        <f aca="false">K15+K16+K17+K18</f>
        <v>2349.12139451405</v>
      </c>
      <c r="L19" s="0" t="n">
        <f aca="false">L15+L16+L17+L18</f>
        <v>2384.35821543176</v>
      </c>
    </row>
    <row r="20" customFormat="false" ht="15" hidden="false" customHeight="false" outlineLevel="0" collapsed="false">
      <c r="A20" s="0" t="s">
        <v>123</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124</v>
      </c>
      <c r="C21" s="0" t="n">
        <f aca="false">C19*C20</f>
        <v>2169.26479</v>
      </c>
      <c r="D21" s="0" t="n">
        <f aca="false">D19*D20</f>
        <v>2012.46357407407</v>
      </c>
      <c r="E21" s="0" t="n">
        <f aca="false">E19*E20</f>
        <v>1904.32927006173</v>
      </c>
      <c r="F21" s="0" t="n">
        <f aca="false">F19*F20</f>
        <v>1767.62159040938</v>
      </c>
      <c r="G21" s="0" t="n">
        <f aca="false">G19*G20</f>
        <v>1660.61492211713</v>
      </c>
      <c r="H21" s="0" t="n">
        <f aca="false">H19*H20</f>
        <v>1496.84705126249</v>
      </c>
      <c r="I21" s="0" t="n">
        <f aca="false">I19*I20</f>
        <v>1388.86025227075</v>
      </c>
      <c r="J21" s="0" t="n">
        <f aca="false">J19*J20</f>
        <v>1288.44990028421</v>
      </c>
      <c r="K21" s="0" t="n">
        <f aca="false">K19*K20</f>
        <v>1175.14555127206</v>
      </c>
      <c r="L21" s="0" t="n">
        <f aca="false">L19*L20</f>
        <v>1104.41919864921</v>
      </c>
    </row>
    <row r="23" customFormat="false" ht="15" hidden="false" customHeight="false" outlineLevel="0" collapsed="false">
      <c r="A23" s="0" t="s">
        <v>100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Assumptions!$B$34</f>
        <v>8</v>
      </c>
    </row>
    <row r="28" customFormat="false" ht="15" hidden="false" customHeight="false" outlineLevel="0" collapsed="false">
      <c r="A28" s="0" t="s">
        <v>105</v>
      </c>
      <c r="B28" s="4" t="n">
        <f aca="false">Assumptions!$B$35</f>
        <v>1.5</v>
      </c>
    </row>
    <row r="29" customFormat="false" ht="15" hidden="false" customHeight="false" outlineLevel="0" collapsed="false">
      <c r="A29" s="0" t="s">
        <v>106</v>
      </c>
      <c r="B29" s="4" t="n">
        <f aca="false">Assumptions!$B$36</f>
        <v>12</v>
      </c>
    </row>
    <row r="30" customFormat="false" ht="15" hidden="false" customHeight="false" outlineLevel="0" collapsed="false">
      <c r="A30" s="0" t="s">
        <v>127</v>
      </c>
      <c r="B30" s="0" t="n">
        <f aca="false">SUM(C21:L21)</f>
        <v>15968.016100401</v>
      </c>
    </row>
    <row r="31" customFormat="false" ht="15" hidden="false" customHeight="false" outlineLevel="0" collapsed="false">
      <c r="A31" s="0" t="s">
        <v>128</v>
      </c>
      <c r="B31" s="0" t="n">
        <f aca="false">L19</f>
        <v>2384.35821543176</v>
      </c>
    </row>
    <row r="32" customFormat="false" ht="15" hidden="false" customHeight="false" outlineLevel="0" collapsed="false">
      <c r="A32" s="0" t="s">
        <v>129</v>
      </c>
      <c r="B32" s="0" t="n">
        <f aca="false">IF(B27&gt;B28,B31*(1+B28/100)/((B27-B28)/100),B31*B29)</f>
        <v>37232.670594819</v>
      </c>
    </row>
    <row r="33" customFormat="false" ht="15" hidden="false" customHeight="false" outlineLevel="0" collapsed="false">
      <c r="A33" s="0" t="s">
        <v>130</v>
      </c>
      <c r="B33" s="0" t="n">
        <f aca="false">B31*B29</f>
        <v>28612.2985851811</v>
      </c>
    </row>
    <row r="34" customFormat="false" ht="15" hidden="false" customHeight="false" outlineLevel="0" collapsed="false">
      <c r="A34" s="0" t="s">
        <v>131</v>
      </c>
      <c r="B34" s="0" t="n">
        <f aca="false">MAX(0,MIN(B32,B33))</f>
        <v>28612.2985851811</v>
      </c>
    </row>
    <row r="35" customFormat="false" ht="15" hidden="false" customHeight="false" outlineLevel="0" collapsed="false">
      <c r="A35" s="0" t="s">
        <v>132</v>
      </c>
      <c r="B35" s="0" t="n">
        <f aca="false">B34/(1+B27/100)^L4</f>
        <v>13253.0303837905</v>
      </c>
    </row>
    <row r="36" customFormat="false" ht="15" hidden="false" customHeight="false" outlineLevel="0" collapsed="false">
      <c r="A36" s="0" t="s">
        <v>133</v>
      </c>
      <c r="B36" s="0" t="n">
        <f aca="false">B30+B35</f>
        <v>29221.0464841915</v>
      </c>
    </row>
    <row r="37" customFormat="false" ht="15" hidden="false" customHeight="false" outlineLevel="0" collapsed="false">
      <c r="A37" s="0" t="s">
        <v>134</v>
      </c>
      <c r="B37" s="0" t="n">
        <f aca="false">B36+Assumptions!$B$5-Assumptions!$B$4</f>
        <v>22685.0464841915</v>
      </c>
    </row>
    <row r="38" customFormat="false" ht="15" hidden="false" customHeight="false" outlineLevel="0" collapsed="false">
      <c r="A38" s="0" t="s">
        <v>135</v>
      </c>
      <c r="B38" s="0" t="n">
        <f aca="false">B37/Assumptions!$B$3*Assumptions!$B$10</f>
        <v>53.1265725625095</v>
      </c>
    </row>
    <row r="39" customFormat="false" ht="15" hidden="false" customHeight="false" outlineLevel="0" collapsed="false">
      <c r="A39" s="0" t="s">
        <v>136</v>
      </c>
      <c r="B39" s="4" t="n">
        <f aca="false">B38/Assumptions!$B$2-1</f>
        <v>-0.157657007095141</v>
      </c>
    </row>
    <row r="41" customFormat="false" ht="15" hidden="false" customHeight="false" outlineLevel="0" collapsed="false">
      <c r="A41" s="0" t="s">
        <v>137</v>
      </c>
      <c r="B41" s="0" t="n">
        <f aca="false">SUMPRODUCT(-C10:L10/(1+$B$27/100)^C4:L4)</f>
        <v>948.883640987151</v>
      </c>
    </row>
    <row r="42" customFormat="false" ht="15" hidden="false" customHeight="false" outlineLevel="0" collapsed="false">
      <c r="A42" s="0" t="s">
        <v>138</v>
      </c>
      <c r="B42" s="0" t="n">
        <f aca="false">IF(B27&gt;B28,-L10*(1+B28/100)/((B27-B28)/100),-L10*20)/(1+B27/100)^L4</f>
        <v>1104.80016422308</v>
      </c>
    </row>
    <row r="43" customFormat="false" ht="15" hidden="false" customHeight="false" outlineLevel="0" collapsed="false">
      <c r="A43" s="0" t="s">
        <v>139</v>
      </c>
      <c r="B43" s="0" t="n">
        <f aca="false">(B37+B41+B42)/Assumptions!$B$3*Assumptions!$B$10</f>
        <v>57.9361365091376</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17926.8413975054</v>
      </c>
    </row>
    <row r="47" customFormat="false" ht="15" hidden="false" customHeight="false" outlineLevel="0" collapsed="false">
      <c r="A47" s="0" t="s">
        <v>141</v>
      </c>
      <c r="B47" s="0" t="n">
        <f aca="false">(SUMPRODUCT(C19:L19/(1+B45/100)^C4:L4)+B46/(1+B45/100)^L4+Assumptions!$B$5-Assumptions!$B$4)/Assumptions!$B$3*Assumptions!$B$10</f>
        <v>23.0240555419668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0</v>
      </c>
      <c r="D5" s="4" t="n">
        <f aca="false">Assumptions!D41</f>
        <v>2</v>
      </c>
      <c r="E5" s="4" t="n">
        <f aca="false">Assumptions!E41</f>
        <v>4</v>
      </c>
      <c r="F5" s="4" t="n">
        <f aca="false">Assumptions!F41</f>
        <v>3</v>
      </c>
      <c r="G5" s="4" t="n">
        <f aca="false">Assumptions!G41</f>
        <v>3.5</v>
      </c>
      <c r="H5" s="4" t="n">
        <f aca="false">Assumptions!H41</f>
        <v>3</v>
      </c>
      <c r="I5" s="4" t="n">
        <f aca="false">Assumptions!I41</f>
        <v>3</v>
      </c>
      <c r="J5" s="4" t="n">
        <f aca="false">Assumptions!J41</f>
        <v>2.5</v>
      </c>
      <c r="K5" s="4" t="n">
        <f aca="false">Assumptions!K41</f>
        <v>2.5</v>
      </c>
      <c r="L5" s="4" t="n">
        <f aca="false">Assumptions!L41</f>
        <v>2.5</v>
      </c>
    </row>
    <row r="6" customFormat="false" ht="15" hidden="false" customHeight="false" outlineLevel="0" collapsed="false">
      <c r="A6" s="0" t="s">
        <v>37</v>
      </c>
      <c r="B6" s="3" t="n">
        <v>17126</v>
      </c>
      <c r="C6" s="0" t="n">
        <f aca="false">B6*(1+C5/100)</f>
        <v>17126</v>
      </c>
      <c r="D6" s="0" t="n">
        <f aca="false">C6*(1+D5/100)</f>
        <v>17468.52</v>
      </c>
      <c r="E6" s="0" t="n">
        <f aca="false">D6*(1+E5/100)</f>
        <v>18167.2608</v>
      </c>
      <c r="F6" s="0" t="n">
        <f aca="false">E6*(1+F5/100)</f>
        <v>18712.278624</v>
      </c>
      <c r="G6" s="0" t="n">
        <f aca="false">F6*(1+G5/100)</f>
        <v>19367.20837584</v>
      </c>
      <c r="H6" s="0" t="n">
        <f aca="false">G6*(1+H5/100)</f>
        <v>19948.2246271152</v>
      </c>
      <c r="I6" s="0" t="n">
        <f aca="false">H6*(1+I5/100)</f>
        <v>20546.6713659287</v>
      </c>
      <c r="J6" s="0" t="n">
        <f aca="false">I6*(1+J5/100)</f>
        <v>21060.3381500769</v>
      </c>
      <c r="K6" s="0" t="n">
        <f aca="false">J6*(1+K5/100)</f>
        <v>21586.8466038288</v>
      </c>
      <c r="L6" s="0" t="n">
        <f aca="false">K6*(1+L5/100)</f>
        <v>22126.5177689245</v>
      </c>
    </row>
    <row r="7" customFormat="false" ht="15" hidden="false" customHeight="false" outlineLevel="0" collapsed="false">
      <c r="A7" s="0" t="s">
        <v>98</v>
      </c>
      <c r="C7" s="4" t="n">
        <f aca="false">Assumptions!C42</f>
        <v>21.5</v>
      </c>
      <c r="D7" s="4" t="n">
        <f aca="false">Assumptions!D42</f>
        <v>21.5</v>
      </c>
      <c r="E7" s="4" t="n">
        <f aca="false">Assumptions!E42</f>
        <v>22</v>
      </c>
      <c r="F7" s="4" t="n">
        <f aca="false">Assumptions!F42</f>
        <v>22</v>
      </c>
      <c r="G7" s="4" t="n">
        <f aca="false">Assumptions!G42</f>
        <v>22.5</v>
      </c>
      <c r="H7" s="4" t="n">
        <f aca="false">Assumptions!H42</f>
        <v>22.5</v>
      </c>
      <c r="I7" s="4" t="n">
        <f aca="false">Assumptions!I42</f>
        <v>22.5</v>
      </c>
      <c r="J7" s="4" t="n">
        <f aca="false">Assumptions!J42</f>
        <v>22.5</v>
      </c>
      <c r="K7" s="4" t="n">
        <f aca="false">Assumptions!K42</f>
        <v>22.5</v>
      </c>
      <c r="L7" s="4" t="n">
        <f aca="false">Assumptions!L42</f>
        <v>22.5</v>
      </c>
    </row>
    <row r="8" customFormat="false" ht="15" hidden="false" customHeight="false" outlineLevel="0" collapsed="false">
      <c r="A8" s="0" t="s">
        <v>43</v>
      </c>
      <c r="C8" s="0" t="n">
        <f aca="false">C6*C7/100</f>
        <v>3682.09</v>
      </c>
      <c r="D8" s="0" t="n">
        <f aca="false">D6*D7/100</f>
        <v>3755.7318</v>
      </c>
      <c r="E8" s="0" t="n">
        <f aca="false">E6*E7/100</f>
        <v>3996.797376</v>
      </c>
      <c r="F8" s="0" t="n">
        <f aca="false">F6*F7/100</f>
        <v>4116.70129728</v>
      </c>
      <c r="G8" s="0" t="n">
        <f aca="false">G6*G7/100</f>
        <v>4357.621884564</v>
      </c>
      <c r="H8" s="0" t="n">
        <f aca="false">H6*H7/100</f>
        <v>4488.35054110092</v>
      </c>
      <c r="I8" s="0" t="n">
        <f aca="false">I6*I7/100</f>
        <v>4623.00105733395</v>
      </c>
      <c r="J8" s="0" t="n">
        <f aca="false">J6*J7/100</f>
        <v>4738.5760837673</v>
      </c>
      <c r="K8" s="0" t="n">
        <f aca="false">K6*K7/100</f>
        <v>4857.04048586148</v>
      </c>
      <c r="L8" s="0" t="n">
        <f aca="false">L6*L7/100</f>
        <v>4978.46649800802</v>
      </c>
    </row>
    <row r="9" customFormat="false" ht="15" hidden="false" customHeight="false" outlineLevel="0" collapsed="false">
      <c r="A9" s="0" t="s">
        <v>99</v>
      </c>
      <c r="C9" s="4" t="n">
        <f aca="false">Assumptions!C43</f>
        <v>0.8</v>
      </c>
      <c r="D9" s="4" t="n">
        <f aca="false">Assumptions!D43</f>
        <v>0.8</v>
      </c>
      <c r="E9" s="4" t="n">
        <f aca="false">Assumptions!E43</f>
        <v>0.8</v>
      </c>
      <c r="F9" s="4" t="n">
        <f aca="false">Assumptions!F43</f>
        <v>0.8</v>
      </c>
      <c r="G9" s="4" t="n">
        <f aca="false">Assumptions!G43</f>
        <v>0.8</v>
      </c>
      <c r="H9" s="4" t="n">
        <f aca="false">Assumptions!H43</f>
        <v>0.8</v>
      </c>
      <c r="I9" s="4" t="n">
        <f aca="false">Assumptions!I43</f>
        <v>0.8</v>
      </c>
      <c r="J9" s="4" t="n">
        <f aca="false">Assumptions!J43</f>
        <v>0.8</v>
      </c>
      <c r="K9" s="4" t="n">
        <f aca="false">Assumptions!K43</f>
        <v>0.8</v>
      </c>
      <c r="L9" s="4" t="n">
        <f aca="false">Assumptions!L43</f>
        <v>0.8</v>
      </c>
    </row>
    <row r="10" customFormat="false" ht="15" hidden="false" customHeight="false" outlineLevel="0" collapsed="false">
      <c r="A10" s="0" t="s">
        <v>114</v>
      </c>
      <c r="C10" s="0" t="n">
        <f aca="false">-C6*C9/100</f>
        <v>-137.008</v>
      </c>
      <c r="D10" s="0" t="n">
        <f aca="false">-D6*D9/100</f>
        <v>-139.74816</v>
      </c>
      <c r="E10" s="0" t="n">
        <f aca="false">-E6*E9/100</f>
        <v>-145.3380864</v>
      </c>
      <c r="F10" s="0" t="n">
        <f aca="false">-F6*F9/100</f>
        <v>-149.698228992</v>
      </c>
      <c r="G10" s="0" t="n">
        <f aca="false">-G6*G9/100</f>
        <v>-154.93766700672</v>
      </c>
      <c r="H10" s="0" t="n">
        <f aca="false">-H6*H9/100</f>
        <v>-159.585797016922</v>
      </c>
      <c r="I10" s="0" t="n">
        <f aca="false">-I6*I9/100</f>
        <v>-164.373370927429</v>
      </c>
      <c r="J10" s="0" t="n">
        <f aca="false">-J6*J9/100</f>
        <v>-168.482705200615</v>
      </c>
      <c r="K10" s="0" t="n">
        <f aca="false">-K6*K9/100</f>
        <v>-172.69477283063</v>
      </c>
      <c r="L10" s="0" t="n">
        <f aca="false">-L6*L9/100</f>
        <v>-177.012142151396</v>
      </c>
    </row>
    <row r="11" customFormat="false" ht="15" hidden="false" customHeight="false" outlineLevel="0" collapsed="false">
      <c r="A11" s="0" t="s">
        <v>115</v>
      </c>
      <c r="C11" s="0" t="n">
        <f aca="false">C8+C10+C24</f>
        <v>3545.082</v>
      </c>
      <c r="D11" s="0" t="n">
        <f aca="false">D8+D10+D24</f>
        <v>3615.98364</v>
      </c>
      <c r="E11" s="0" t="n">
        <f aca="false">E8+E10+E24</f>
        <v>3851.4592896</v>
      </c>
      <c r="F11" s="0" t="n">
        <f aca="false">F8+F10+F24</f>
        <v>3967.003068288</v>
      </c>
      <c r="G11" s="0" t="n">
        <f aca="false">G8+G10+G24</f>
        <v>4202.68421755728</v>
      </c>
      <c r="H11" s="0" t="n">
        <f aca="false">H8+H10+H24</f>
        <v>4328.764744084</v>
      </c>
      <c r="I11" s="0" t="n">
        <f aca="false">I8+I10+I24</f>
        <v>4458.62768640652</v>
      </c>
      <c r="J11" s="0" t="n">
        <f aca="false">J8+J10+J24</f>
        <v>4570.09337856668</v>
      </c>
      <c r="K11" s="0" t="n">
        <f aca="false">K8+K10+K24</f>
        <v>4684.34571303085</v>
      </c>
      <c r="L11" s="0" t="n">
        <f aca="false">L8+L10+L24</f>
        <v>4801.45435585662</v>
      </c>
    </row>
    <row r="12" customFormat="false" ht="15" hidden="false" customHeight="false" outlineLevel="0" collapsed="false">
      <c r="A12" s="0" t="s">
        <v>116</v>
      </c>
      <c r="C12" s="4" t="n">
        <f aca="false">-C6*Assumptions!C45/100</f>
        <v>-411.024</v>
      </c>
      <c r="D12" s="4" t="n">
        <f aca="false">-D6*Assumptions!D45/100</f>
        <v>-419.24448</v>
      </c>
      <c r="E12" s="4" t="n">
        <f aca="false">-E6*Assumptions!E45/100</f>
        <v>-436.0142592</v>
      </c>
      <c r="F12" s="4" t="n">
        <f aca="false">-F6*Assumptions!F45/100</f>
        <v>-449.094686976</v>
      </c>
      <c r="G12" s="4" t="n">
        <f aca="false">-G6*Assumptions!G45/100</f>
        <v>-464.81300102016</v>
      </c>
      <c r="H12" s="4" t="n">
        <f aca="false">-H6*Assumptions!H45/100</f>
        <v>-478.757391050765</v>
      </c>
      <c r="I12" s="4" t="n">
        <f aca="false">-I6*Assumptions!I45/100</f>
        <v>-493.120112782288</v>
      </c>
      <c r="J12" s="4" t="n">
        <f aca="false">-J6*Assumptions!J45/100</f>
        <v>-505.448115601845</v>
      </c>
      <c r="K12" s="4" t="n">
        <f aca="false">-K6*Assumptions!K45/100</f>
        <v>-518.084318491891</v>
      </c>
      <c r="L12" s="4" t="n">
        <f aca="false">-L6*Assumptions!L45/100</f>
        <v>-531.036426454188</v>
      </c>
    </row>
    <row r="13" customFormat="false" ht="15" hidden="false" customHeight="false" outlineLevel="0" collapsed="false">
      <c r="A13" s="0" t="s">
        <v>117</v>
      </c>
      <c r="C13" s="0" t="n">
        <f aca="false">C11+C12</f>
        <v>3134.058</v>
      </c>
      <c r="D13" s="0" t="n">
        <f aca="false">D11+D12</f>
        <v>3196.73916</v>
      </c>
      <c r="E13" s="0" t="n">
        <f aca="false">E11+E12</f>
        <v>3415.4450304</v>
      </c>
      <c r="F13" s="0" t="n">
        <f aca="false">F11+F12</f>
        <v>3517.908381312</v>
      </c>
      <c r="G13" s="0" t="n">
        <f aca="false">G11+G12</f>
        <v>3737.87121653712</v>
      </c>
      <c r="H13" s="0" t="n">
        <f aca="false">H11+H12</f>
        <v>3850.00735303323</v>
      </c>
      <c r="I13" s="0" t="n">
        <f aca="false">I11+I12</f>
        <v>3965.50757362423</v>
      </c>
      <c r="J13" s="0" t="n">
        <f aca="false">J11+J12</f>
        <v>4064.64526296484</v>
      </c>
      <c r="K13" s="0" t="n">
        <f aca="false">K11+K12</f>
        <v>4166.26139453896</v>
      </c>
      <c r="L13" s="0" t="n">
        <f aca="false">L11+L12</f>
        <v>4270.41792940243</v>
      </c>
    </row>
    <row r="14" customFormat="false" ht="15" hidden="false" customHeight="false" outlineLevel="0" collapsed="false">
      <c r="A14" s="0" t="s">
        <v>103</v>
      </c>
      <c r="C14" s="4" t="n">
        <f aca="false">Assumptions!C47</f>
        <v>17</v>
      </c>
      <c r="D14" s="4" t="n">
        <f aca="false">Assumptions!D47</f>
        <v>18</v>
      </c>
      <c r="E14" s="4" t="n">
        <f aca="false">Assumptions!E47</f>
        <v>19</v>
      </c>
      <c r="F14" s="4" t="n">
        <f aca="false">Assumptions!F47</f>
        <v>20</v>
      </c>
      <c r="G14" s="4" t="n">
        <f aca="false">Assumptions!G47</f>
        <v>21</v>
      </c>
      <c r="H14" s="4" t="n">
        <f aca="false">Assumptions!H47</f>
        <v>22</v>
      </c>
      <c r="I14" s="4" t="n">
        <f aca="false">Assumptions!I47</f>
        <v>23</v>
      </c>
      <c r="J14" s="4" t="n">
        <f aca="false">Assumptions!J47</f>
        <v>24</v>
      </c>
      <c r="K14" s="4" t="n">
        <f aca="false">Assumptions!K47</f>
        <v>24</v>
      </c>
      <c r="L14" s="4" t="n">
        <f aca="false">Assumptions!L47</f>
        <v>24</v>
      </c>
    </row>
    <row r="15" customFormat="false" ht="15" hidden="false" customHeight="false" outlineLevel="0" collapsed="false">
      <c r="A15" s="0" t="s">
        <v>118</v>
      </c>
      <c r="C15" s="0" t="n">
        <f aca="false">C13-MAX(0,C13)*C14/100</f>
        <v>2601.26814</v>
      </c>
      <c r="D15" s="0" t="n">
        <f aca="false">D13-MAX(0,D13)*D14/100</f>
        <v>2621.3261112</v>
      </c>
      <c r="E15" s="0" t="n">
        <f aca="false">E13-MAX(0,E13)*E14/100</f>
        <v>2766.510474624</v>
      </c>
      <c r="F15" s="0" t="n">
        <f aca="false">F13-MAX(0,F13)*F14/100</f>
        <v>2814.3267050496</v>
      </c>
      <c r="G15" s="0" t="n">
        <f aca="false">G13-MAX(0,G13)*G14/100</f>
        <v>2952.91826106432</v>
      </c>
      <c r="H15" s="0" t="n">
        <f aca="false">H13-MAX(0,H13)*H14/100</f>
        <v>3003.00573536592</v>
      </c>
      <c r="I15" s="0" t="n">
        <f aca="false">I13-MAX(0,I13)*I14/100</f>
        <v>3053.44083169066</v>
      </c>
      <c r="J15" s="0" t="n">
        <f aca="false">J13-MAX(0,J13)*J14/100</f>
        <v>3089.13039985328</v>
      </c>
      <c r="K15" s="0" t="n">
        <f aca="false">K13-MAX(0,K13)*K14/100</f>
        <v>3166.35865984961</v>
      </c>
      <c r="L15" s="0" t="n">
        <f aca="false">L13-MAX(0,L13)*L14/100</f>
        <v>3245.51762634585</v>
      </c>
    </row>
    <row r="16" customFormat="false" ht="15" hidden="false" customHeight="false" outlineLevel="0" collapsed="false">
      <c r="A16" s="0" t="s">
        <v>119</v>
      </c>
      <c r="C16" s="0" t="n">
        <f aca="false">-C12</f>
        <v>411.024</v>
      </c>
      <c r="D16" s="0" t="n">
        <f aca="false">-D12</f>
        <v>419.24448</v>
      </c>
      <c r="E16" s="0" t="n">
        <f aca="false">-E12</f>
        <v>436.0142592</v>
      </c>
      <c r="F16" s="0" t="n">
        <f aca="false">-F12</f>
        <v>449.094686976</v>
      </c>
      <c r="G16" s="0" t="n">
        <f aca="false">-G12</f>
        <v>464.81300102016</v>
      </c>
      <c r="H16" s="0" t="n">
        <f aca="false">-H12</f>
        <v>478.757391050765</v>
      </c>
      <c r="I16" s="0" t="n">
        <f aca="false">-I12</f>
        <v>493.120112782288</v>
      </c>
      <c r="J16" s="0" t="n">
        <f aca="false">-J12</f>
        <v>505.448115601845</v>
      </c>
      <c r="K16" s="0" t="n">
        <f aca="false">-K12</f>
        <v>518.084318491891</v>
      </c>
      <c r="L16" s="0" t="n">
        <f aca="false">-L12</f>
        <v>531.036426454188</v>
      </c>
    </row>
    <row r="17" customFormat="false" ht="15" hidden="false" customHeight="false" outlineLevel="0" collapsed="false">
      <c r="A17" s="0" t="s">
        <v>120</v>
      </c>
      <c r="C17" s="4" t="n">
        <f aca="false">-C6*Assumptions!C46/100</f>
        <v>-479.528</v>
      </c>
      <c r="D17" s="4" t="n">
        <f aca="false">-D6*Assumptions!D46/100</f>
        <v>-454.18152</v>
      </c>
      <c r="E17" s="4" t="n">
        <f aca="false">-E6*Assumptions!E46/100</f>
        <v>-436.0142592</v>
      </c>
      <c r="F17" s="4" t="n">
        <f aca="false">-F6*Assumptions!F46/100</f>
        <v>-449.094686976</v>
      </c>
      <c r="G17" s="4" t="n">
        <f aca="false">-G6*Assumptions!G46/100</f>
        <v>-445.44579264432</v>
      </c>
      <c r="H17" s="4" t="n">
        <f aca="false">-H6*Assumptions!H46/100</f>
        <v>-458.80916642365</v>
      </c>
      <c r="I17" s="4" t="n">
        <f aca="false">-I6*Assumptions!I46/100</f>
        <v>-472.573441416359</v>
      </c>
      <c r="J17" s="4" t="n">
        <f aca="false">-J6*Assumptions!J46/100</f>
        <v>-484.387777451768</v>
      </c>
      <c r="K17" s="4" t="n">
        <f aca="false">-K6*Assumptions!K46/100</f>
        <v>-496.497471888062</v>
      </c>
      <c r="L17" s="4" t="n">
        <f aca="false">-L6*Assumptions!L46/100</f>
        <v>-508.909908685264</v>
      </c>
    </row>
    <row r="18" customFormat="false" ht="15" hidden="false" customHeight="false" outlineLevel="0" collapsed="false">
      <c r="A18" s="0" t="s">
        <v>121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122</v>
      </c>
      <c r="C19" s="0" t="n">
        <f aca="false">C15+C16+C17+C18</f>
        <v>2532.76414</v>
      </c>
      <c r="D19" s="0" t="n">
        <f aca="false">D15+D16+D17+D18</f>
        <v>2586.3890712</v>
      </c>
      <c r="E19" s="0" t="n">
        <f aca="false">E15+E16+E17+E18</f>
        <v>2766.510474624</v>
      </c>
      <c r="F19" s="0" t="n">
        <f aca="false">F15+F16+F17+F18</f>
        <v>2814.3267050496</v>
      </c>
      <c r="G19" s="0" t="n">
        <f aca="false">G15+G16+G17+G18</f>
        <v>2972.28546944016</v>
      </c>
      <c r="H19" s="0" t="n">
        <f aca="false">H15+H16+H17+H18</f>
        <v>3022.95395999304</v>
      </c>
      <c r="I19" s="0" t="n">
        <f aca="false">I15+I16+I17+I18</f>
        <v>3073.98750305659</v>
      </c>
      <c r="J19" s="0" t="n">
        <f aca="false">J15+J16+J17+J18</f>
        <v>3110.19073800335</v>
      </c>
      <c r="K19" s="0" t="n">
        <f aca="false">K15+K16+K17+K18</f>
        <v>3187.94550645344</v>
      </c>
      <c r="L19" s="0" t="n">
        <f aca="false">L15+L16+L17+L18</f>
        <v>3267.64414411477</v>
      </c>
    </row>
    <row r="20" customFormat="false" ht="15" hidden="false" customHeight="false" outlineLevel="0" collapsed="false">
      <c r="A20" s="0" t="s">
        <v>123</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124</v>
      </c>
      <c r="C21" s="0" t="n">
        <f aca="false">C19*C20</f>
        <v>2345.15198148148</v>
      </c>
      <c r="D21" s="0" t="n">
        <f aca="false">D19*D20</f>
        <v>2217.41175514403</v>
      </c>
      <c r="E21" s="0" t="n">
        <f aca="false">E19*E20</f>
        <v>2196.14520987654</v>
      </c>
      <c r="F21" s="0" t="n">
        <f aca="false">F19*F20</f>
        <v>2068.61414373374</v>
      </c>
      <c r="G21" s="0" t="n">
        <f aca="false">G19*G20</f>
        <v>2022.88754728856</v>
      </c>
      <c r="H21" s="0" t="n">
        <f aca="false">H19*H20</f>
        <v>1904.97376905362</v>
      </c>
      <c r="I21" s="0" t="n">
        <f aca="false">I19*I20</f>
        <v>1793.64218318935</v>
      </c>
      <c r="J21" s="0" t="n">
        <f aca="false">J19*J20</f>
        <v>1680.33928060945</v>
      </c>
      <c r="K21" s="0" t="n">
        <f aca="false">K19*K20</f>
        <v>1594.76644687471</v>
      </c>
      <c r="L21" s="0" t="n">
        <f aca="false">L19*L20</f>
        <v>1513.55148893201</v>
      </c>
    </row>
    <row r="23" customFormat="false" ht="15" hidden="false" customHeight="false" outlineLevel="0" collapsed="false">
      <c r="A23" s="0" t="s">
        <v>100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Assumptions!$B$48</f>
        <v>8</v>
      </c>
    </row>
    <row r="28" customFormat="false" ht="15" hidden="false" customHeight="false" outlineLevel="0" collapsed="false">
      <c r="A28" s="0" t="s">
        <v>105</v>
      </c>
      <c r="B28" s="4" t="n">
        <f aca="false">Assumptions!$B$49</f>
        <v>2</v>
      </c>
    </row>
    <row r="29" customFormat="false" ht="15" hidden="false" customHeight="false" outlineLevel="0" collapsed="false">
      <c r="A29" s="0" t="s">
        <v>106</v>
      </c>
      <c r="B29" s="4" t="n">
        <f aca="false">Assumptions!$B$50</f>
        <v>14</v>
      </c>
    </row>
    <row r="30" customFormat="false" ht="15" hidden="false" customHeight="false" outlineLevel="0" collapsed="false">
      <c r="A30" s="0" t="s">
        <v>127</v>
      </c>
      <c r="B30" s="0" t="n">
        <f aca="false">SUM(C21:L21)</f>
        <v>19337.4838061835</v>
      </c>
    </row>
    <row r="31" customFormat="false" ht="15" hidden="false" customHeight="false" outlineLevel="0" collapsed="false">
      <c r="A31" s="0" t="s">
        <v>128</v>
      </c>
      <c r="B31" s="0" t="n">
        <f aca="false">L19</f>
        <v>3267.64414411477</v>
      </c>
    </row>
    <row r="32" customFormat="false" ht="15" hidden="false" customHeight="false" outlineLevel="0" collapsed="false">
      <c r="A32" s="0" t="s">
        <v>129</v>
      </c>
      <c r="B32" s="0" t="n">
        <f aca="false">IF(B27&gt;B28,B31*(1+B28/100)/((B27-B28)/100),B31*B29)</f>
        <v>55549.9504499511</v>
      </c>
    </row>
    <row r="33" customFormat="false" ht="15" hidden="false" customHeight="false" outlineLevel="0" collapsed="false">
      <c r="A33" s="0" t="s">
        <v>130</v>
      </c>
      <c r="B33" s="0" t="n">
        <f aca="false">B31*B29</f>
        <v>45747.0180176068</v>
      </c>
    </row>
    <row r="34" customFormat="false" ht="15" hidden="false" customHeight="false" outlineLevel="0" collapsed="false">
      <c r="A34" s="0" t="s">
        <v>131</v>
      </c>
      <c r="B34" s="0" t="n">
        <f aca="false">MAX(0,MIN(B32,B33))</f>
        <v>45747.0180176068</v>
      </c>
    </row>
    <row r="35" customFormat="false" ht="15" hidden="false" customHeight="false" outlineLevel="0" collapsed="false">
      <c r="A35" s="0" t="s">
        <v>132</v>
      </c>
      <c r="B35" s="0" t="n">
        <f aca="false">B34/(1+B27/100)^L4</f>
        <v>21189.7208450482</v>
      </c>
    </row>
    <row r="36" customFormat="false" ht="15" hidden="false" customHeight="false" outlineLevel="0" collapsed="false">
      <c r="A36" s="0" t="s">
        <v>133</v>
      </c>
      <c r="B36" s="0" t="n">
        <f aca="false">B30+B35</f>
        <v>40527.2046512317</v>
      </c>
    </row>
    <row r="37" customFormat="false" ht="15" hidden="false" customHeight="false" outlineLevel="0" collapsed="false">
      <c r="A37" s="0" t="s">
        <v>134</v>
      </c>
      <c r="B37" s="0" t="n">
        <f aca="false">B36+Assumptions!$B$5-Assumptions!$B$4</f>
        <v>33991.2046512317</v>
      </c>
    </row>
    <row r="38" customFormat="false" ht="15" hidden="false" customHeight="false" outlineLevel="0" collapsed="false">
      <c r="A38" s="0" t="s">
        <v>135</v>
      </c>
      <c r="B38" s="0" t="n">
        <f aca="false">B37/Assumptions!$B$3*Assumptions!$B$10</f>
        <v>79.6046947335636</v>
      </c>
    </row>
    <row r="39" customFormat="false" ht="15" hidden="false" customHeight="false" outlineLevel="0" collapsed="false">
      <c r="A39" s="0" t="s">
        <v>136</v>
      </c>
      <c r="B39" s="4" t="n">
        <f aca="false">B38/Assumptions!$B$2-1</f>
        <v>0.262164178429739</v>
      </c>
    </row>
    <row r="41" customFormat="false" ht="15" hidden="false" customHeight="false" outlineLevel="0" collapsed="false">
      <c r="A41" s="0" t="s">
        <v>137</v>
      </c>
      <c r="B41" s="0" t="n">
        <f aca="false">SUMPRODUCT(-C10:L10/(1+$B$27/100)^C4:L4)</f>
        <v>1033.40910252336</v>
      </c>
    </row>
    <row r="42" customFormat="false" ht="15" hidden="false" customHeight="false" outlineLevel="0" collapsed="false">
      <c r="A42" s="0" t="s">
        <v>138</v>
      </c>
      <c r="B42" s="0" t="n">
        <f aca="false">IF(B27&gt;B28,-L10*(1+B28/100)/((B27-B28)/100),-L10*20)/(1+B27/100)^L4</f>
        <v>1393.8448164596</v>
      </c>
    </row>
    <row r="43" customFormat="false" ht="15" hidden="false" customHeight="false" outlineLevel="0" collapsed="false">
      <c r="A43" s="0" t="s">
        <v>139</v>
      </c>
      <c r="B43" s="0" t="n">
        <f aca="false">(B37+B41+B42)/Assumptions!$B$3*Assumptions!$B$10</f>
        <v>85.2891301410179</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25638.4386692082</v>
      </c>
    </row>
    <row r="47" customFormat="false" ht="15" hidden="false" customHeight="false" outlineLevel="0" collapsed="false">
      <c r="A47" s="0" t="s">
        <v>141</v>
      </c>
      <c r="B47" s="0" t="n">
        <f aca="false">(SUMPRODUCT(C19:L19/(1+B45/100)^C4:L4)+B46/(1+B45/100)^L4+Assumptions!$B$5-Assumptions!$B$4)/Assumptions!$B$3*Assumptions!$B$10</f>
        <v>32.9240660185118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25.7685431342514</v>
      </c>
      <c r="C4" s="0" t="n">
        <f aca="false">B4/Assumptions!$B$2-1</f>
        <v>-0.591429473057691</v>
      </c>
      <c r="D4" s="4" t="n">
        <f aca="false">Assumptions!$B$24</f>
        <v>0.25</v>
      </c>
      <c r="E4" s="4" t="n">
        <f aca="false">DCF_Bear!$B$43</f>
        <v>29.1592944283774</v>
      </c>
      <c r="F4" s="4" t="n">
        <f aca="false">DCF_Bear!$B$47</f>
        <v>10.515995206066</v>
      </c>
    </row>
    <row r="5" customFormat="false" ht="15" hidden="false" customHeight="false" outlineLevel="0" collapsed="false">
      <c r="A5" s="0" t="s">
        <v>150</v>
      </c>
      <c r="B5" s="4" t="n">
        <f aca="false">DCF_Base!$B$38</f>
        <v>53.1265725625095</v>
      </c>
      <c r="C5" s="0" t="n">
        <f aca="false">B5/Assumptions!$B$2-1</f>
        <v>-0.157657007095141</v>
      </c>
      <c r="D5" s="4" t="n">
        <f aca="false">Assumptions!$B$38</f>
        <v>0.5</v>
      </c>
      <c r="E5" s="4" t="n">
        <f aca="false">DCF_Base!$B$43</f>
        <v>57.9361365091376</v>
      </c>
      <c r="F5" s="4" t="n">
        <f aca="false">DCF_Base!$B$47</f>
        <v>23.0240555419668</v>
      </c>
    </row>
    <row r="6" customFormat="false" ht="15" hidden="false" customHeight="false" outlineLevel="0" collapsed="false">
      <c r="A6" s="0" t="s">
        <v>151</v>
      </c>
      <c r="B6" s="4" t="n">
        <f aca="false">DCF_Bull!$B$38</f>
        <v>79.6046947335636</v>
      </c>
      <c r="C6" s="0" t="n">
        <f aca="false">B6/Assumptions!$B$2-1</f>
        <v>0.262164178429739</v>
      </c>
      <c r="D6" s="4" t="n">
        <f aca="false">Assumptions!$B$52</f>
        <v>0.25</v>
      </c>
      <c r="E6" s="4" t="n">
        <f aca="false">DCF_Bull!$B$43</f>
        <v>85.2891301410179</v>
      </c>
      <c r="F6" s="4" t="n">
        <f aca="false">DCF_Bull!$B$47</f>
        <v>32.9240660185118</v>
      </c>
    </row>
    <row r="8" customFormat="false" ht="15" hidden="false" customHeight="false" outlineLevel="0" collapsed="false">
      <c r="A8" s="0" t="s">
        <v>152</v>
      </c>
      <c r="B8" s="0" t="n">
        <f aca="false">SUMPRODUCT(B4:B6,D4:D6)</f>
        <v>52.9065957482085</v>
      </c>
    </row>
    <row r="9" customFormat="false" ht="15" hidden="false" customHeight="false" outlineLevel="0" collapsed="false">
      <c r="A9" s="0" t="s">
        <v>153</v>
      </c>
      <c r="B9" s="0" t="n">
        <f aca="false">SUMPRODUCT(E4:E6,D4:D6)</f>
        <v>57.5801743969176</v>
      </c>
    </row>
    <row r="10" customFormat="false" ht="15" hidden="false" customHeight="false" outlineLevel="0" collapsed="false">
      <c r="A10" s="0" t="s">
        <v>154</v>
      </c>
      <c r="B10" s="0" t="n">
        <f aca="false">1-Assumptions!$B$2/B8</f>
        <v>-0.192100892300099</v>
      </c>
    </row>
    <row r="11" customFormat="false" ht="15" hidden="false" customHeight="false" outlineLevel="0" collapsed="false">
      <c r="A11" s="0" t="s">
        <v>155</v>
      </c>
      <c r="B11" s="0" t="n">
        <f aca="false">IF(ABS(B9-B8)&gt;0.01*ABS(B8),(Assumptions!$B$2-B8)/(B9-B8)*100,"n/a")</f>
        <v>217.465137868145</v>
      </c>
    </row>
    <row r="12" customFormat="false" ht="15" hidden="false" customHeight="false" outlineLevel="0" collapsed="false">
      <c r="A12" s="0" t="s">
        <v>156</v>
      </c>
      <c r="B12" s="0" t="n">
        <f aca="false">SUMPRODUCT(F4:F6,D4:D6)</f>
        <v>22.3720430771279</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53.1265725625095</v>
      </c>
      <c r="C15" s="3" t="n">
        <v>8</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48.7614203186564</v>
      </c>
      <c r="C16" s="3" t="n">
        <v>9</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44.6398223851562</v>
      </c>
      <c r="C17" s="3" t="n">
        <v>10</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38.5180491462514</v>
      </c>
      <c r="C18" s="3" t="n">
        <v>11</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33.5517930852452</v>
      </c>
      <c r="C19" s="3" t="n">
        <v>12</v>
      </c>
    </row>
    <row r="20" customFormat="false" ht="15" hidden="false" customHeight="false" outlineLevel="0" collapsed="false">
      <c r="A20" s="0" t="s">
        <v>164</v>
      </c>
      <c r="B20" s="0" t="n">
        <f aca="false">(SUMPRODUCT(DCF_Base!$C$19:$L$19/(1+$C$20/100)^DCF_Base!$C$4:$L$4)+MAX(0,MIN(IF($C$20&gt;DCF_Base!$B$28,DCF_Base!$L$19*(1+DCF_Base!$B$28/100)/(($C$20-DCF_Base!$B$28)/100),DCF_Base!$L$19*DCF_Base!$B$29),DCF_Base!$L$19*DCF_Base!$B$29))/(1+$C$20/100)^DCF_Base!$L$4+Assumptions!$B$5-Assumptions!$B$4)/Assumptions!$B$3*Assumptions!$B$10</f>
        <v>23.0240555419668</v>
      </c>
      <c r="C20" s="3" t="n">
        <v>15</v>
      </c>
    </row>
    <row r="22" customFormat="false" ht="15" hidden="false" customHeight="false" outlineLevel="0" collapsed="false">
      <c r="A22" s="2" t="s">
        <v>165</v>
      </c>
    </row>
    <row r="23" customFormat="false" ht="15" hidden="false" customHeight="false" outlineLevel="0" collapsed="false">
      <c r="B23" s="3" t="n">
        <v>0.5</v>
      </c>
      <c r="C23" s="3" t="n">
        <v>1</v>
      </c>
      <c r="D23" s="3" t="n">
        <v>1.5</v>
      </c>
      <c r="E23" s="3" t="n">
        <v>2</v>
      </c>
      <c r="F23" s="3" t="n">
        <v>2.5</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63.1340276166543</v>
      </c>
      <c r="C24" s="0" t="n">
        <f aca="false">(SUMPRODUCT(DCF_Base!$C$19:$L$19/(1+$A$24/100)^DCF_Base!$C$4:$L$4)+MAX(0,MIN(IF($A$24&gt;$C$23,DCF_Base!$L$19*(1+$C$23/100)/(($A$24-$C$23)/100),DCF_Base!$L$19*DCF_Base!$B$29),DCF_Base!$L$19*DCF_Base!$B$29))/(1+$A$24/100)^DCF_Base!$L$4+Assumptions!$B$5-Assumptions!$B$4)/Assumptions!$B$3*Assumptions!$B$10</f>
        <v>63.1340276166543</v>
      </c>
      <c r="D24" s="0" t="n">
        <f aca="false">(SUMPRODUCT(DCF_Base!$C$19:$L$19/(1+$A$24/100)^DCF_Base!$C$4:$L$4)+MAX(0,MIN(IF($A$24&gt;$D$23,DCF_Base!$L$19*(1+$D$23/100)/(($A$24-$D$23)/100),DCF_Base!$L$19*DCF_Base!$B$29),DCF_Base!$L$19*DCF_Base!$B$29))/(1+$A$24/100)^DCF_Base!$L$4+Assumptions!$B$5-Assumptions!$B$4)/Assumptions!$B$3*Assumptions!$B$10</f>
        <v>63.1340276166543</v>
      </c>
      <c r="E24" s="0" t="n">
        <f aca="false">(SUMPRODUCT(DCF_Base!$C$19:$L$19/(1+$A$24/100)^DCF_Base!$C$4:$L$4)+MAX(0,MIN(IF($A$24&gt;$E$23,DCF_Base!$L$19*(1+$E$23/100)/(($A$24-$E$23)/100),DCF_Base!$L$19*DCF_Base!$B$29),DCF_Base!$L$19*DCF_Base!$B$29))/(1+$A$24/100)^DCF_Base!$L$4+Assumptions!$B$5-Assumptions!$B$4)/Assumptions!$B$3*Assumptions!$B$10</f>
        <v>63.1340276166543</v>
      </c>
      <c r="F24" s="0" t="n">
        <f aca="false">(SUMPRODUCT(DCF_Base!$C$19:$L$19/(1+$A$24/100)^DCF_Base!$C$4:$L$4)+MAX(0,MIN(IF($A$24&gt;$F$23,DCF_Base!$L$19*(1+$F$23/100)/(($A$24-$F$23)/100),DCF_Base!$L$19*DCF_Base!$B$29),DCF_Base!$L$19*DCF_Base!$B$29))/(1+$A$24/100)^DCF_Base!$L$4+Assumptions!$B$5-Assumptions!$B$4)/Assumptions!$B$3*Assumptions!$B$10</f>
        <v>63.1340276166543</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57.9023207845457</v>
      </c>
      <c r="C25" s="0" t="n">
        <f aca="false">(SUMPRODUCT(DCF_Base!$C$19:$L$19/(1+$A$25/100)^DCF_Base!$C$4:$L$4)+MAX(0,MIN(IF($A$25&gt;$C$23,DCF_Base!$L$19*(1+$C$23/100)/(($A$25-$C$23)/100),DCF_Base!$L$19*DCF_Base!$B$29),DCF_Base!$L$19*DCF_Base!$B$29))/(1+$A$25/100)^DCF_Base!$L$4+Assumptions!$B$5-Assumptions!$B$4)/Assumptions!$B$3*Assumptions!$B$10</f>
        <v>57.9023207845457</v>
      </c>
      <c r="D25" s="0" t="n">
        <f aca="false">(SUMPRODUCT(DCF_Base!$C$19:$L$19/(1+$A$25/100)^DCF_Base!$C$4:$L$4)+MAX(0,MIN(IF($A$25&gt;$D$23,DCF_Base!$L$19*(1+$D$23/100)/(($A$25-$D$23)/100),DCF_Base!$L$19*DCF_Base!$B$29),DCF_Base!$L$19*DCF_Base!$B$29))/(1+$A$25/100)^DCF_Base!$L$4+Assumptions!$B$5-Assumptions!$B$4)/Assumptions!$B$3*Assumptions!$B$10</f>
        <v>57.9023207845457</v>
      </c>
      <c r="E25" s="0" t="n">
        <f aca="false">(SUMPRODUCT(DCF_Base!$C$19:$L$19/(1+$A$25/100)^DCF_Base!$C$4:$L$4)+MAX(0,MIN(IF($A$25&gt;$E$23,DCF_Base!$L$19*(1+$E$23/100)/(($A$25-$E$23)/100),DCF_Base!$L$19*DCF_Base!$B$29),DCF_Base!$L$19*DCF_Base!$B$29))/(1+$A$25/100)^DCF_Base!$L$4+Assumptions!$B$5-Assumptions!$B$4)/Assumptions!$B$3*Assumptions!$B$10</f>
        <v>57.9023207845457</v>
      </c>
      <c r="F25" s="0" t="n">
        <f aca="false">(SUMPRODUCT(DCF_Base!$C$19:$L$19/(1+$A$25/100)^DCF_Base!$C$4:$L$4)+MAX(0,MIN(IF($A$25&gt;$F$23,DCF_Base!$L$19*(1+$F$23/100)/(($A$25-$F$23)/100),DCF_Base!$L$19*DCF_Base!$B$29),DCF_Base!$L$19*DCF_Base!$B$29))/(1+$A$25/100)^DCF_Base!$L$4+Assumptions!$B$5-Assumptions!$B$4)/Assumptions!$B$3*Assumptions!$B$10</f>
        <v>57.9023207845457</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53.1265725625095</v>
      </c>
      <c r="C26" s="0" t="n">
        <f aca="false">(SUMPRODUCT(DCF_Base!$C$19:$L$19/(1+$A$26/100)^DCF_Base!$C$4:$L$4)+MAX(0,MIN(IF($A$26&gt;$C$23,DCF_Base!$L$19*(1+$C$23/100)/(($A$26-$C$23)/100),DCF_Base!$L$19*DCF_Base!$B$29),DCF_Base!$L$19*DCF_Base!$B$29))/(1+$A$26/100)^DCF_Base!$L$4+Assumptions!$B$5-Assumptions!$B$4)/Assumptions!$B$3*Assumptions!$B$10</f>
        <v>53.1265725625095</v>
      </c>
      <c r="D26" s="0" t="n">
        <f aca="false">(SUMPRODUCT(DCF_Base!$C$19:$L$19/(1+$A$26/100)^DCF_Base!$C$4:$L$4)+MAX(0,MIN(IF($A$26&gt;$D$23,DCF_Base!$L$19*(1+$D$23/100)/(($A$26-$D$23)/100),DCF_Base!$L$19*DCF_Base!$B$29),DCF_Base!$L$19*DCF_Base!$B$29))/(1+$A$26/100)^DCF_Base!$L$4+Assumptions!$B$5-Assumptions!$B$4)/Assumptions!$B$3*Assumptions!$B$10</f>
        <v>53.1265725625095</v>
      </c>
      <c r="E26" s="0" t="n">
        <f aca="false">(SUMPRODUCT(DCF_Base!$C$19:$L$19/(1+$A$26/100)^DCF_Base!$C$4:$L$4)+MAX(0,MIN(IF($A$26&gt;$E$23,DCF_Base!$L$19*(1+$E$23/100)/(($A$26-$E$23)/100),DCF_Base!$L$19*DCF_Base!$B$29),DCF_Base!$L$19*DCF_Base!$B$29))/(1+$A$26/100)^DCF_Base!$L$4+Assumptions!$B$5-Assumptions!$B$4)/Assumptions!$B$3*Assumptions!$B$10</f>
        <v>53.1265725625095</v>
      </c>
      <c r="F26" s="0" t="n">
        <f aca="false">(SUMPRODUCT(DCF_Base!$C$19:$L$19/(1+$A$26/100)^DCF_Base!$C$4:$L$4)+MAX(0,MIN(IF($A$26&gt;$F$23,DCF_Base!$L$19*(1+$F$23/100)/(($A$26-$F$23)/100),DCF_Base!$L$19*DCF_Base!$B$29),DCF_Base!$L$19*DCF_Base!$B$29))/(1+$A$26/100)^DCF_Base!$L$4+Assumptions!$B$5-Assumptions!$B$4)/Assumptions!$B$3*Assumptions!$B$10</f>
        <v>53.1265725625095</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48.3451734481334</v>
      </c>
      <c r="C27" s="0" t="n">
        <f aca="false">(SUMPRODUCT(DCF_Base!$C$19:$L$19/(1+$A$27/100)^DCF_Base!$C$4:$L$4)+MAX(0,MIN(IF($A$27&gt;$C$23,DCF_Base!$L$19*(1+$C$23/100)/(($A$27-$C$23)/100),DCF_Base!$L$19*DCF_Base!$B$29),DCF_Base!$L$19*DCF_Base!$B$29))/(1+$A$27/100)^DCF_Base!$L$4+Assumptions!$B$5-Assumptions!$B$4)/Assumptions!$B$3*Assumptions!$B$10</f>
        <v>48.7614203186564</v>
      </c>
      <c r="D27" s="0" t="n">
        <f aca="false">(SUMPRODUCT(DCF_Base!$C$19:$L$19/(1+$A$27/100)^DCF_Base!$C$4:$L$4)+MAX(0,MIN(IF($A$27&gt;$D$23,DCF_Base!$L$19*(1+$D$23/100)/(($A$27-$D$23)/100),DCF_Base!$L$19*DCF_Base!$B$29),DCF_Base!$L$19*DCF_Base!$B$29))/(1+$A$27/100)^DCF_Base!$L$4+Assumptions!$B$5-Assumptions!$B$4)/Assumptions!$B$3*Assumptions!$B$10</f>
        <v>48.7614203186564</v>
      </c>
      <c r="E27" s="0" t="n">
        <f aca="false">(SUMPRODUCT(DCF_Base!$C$19:$L$19/(1+$A$27/100)^DCF_Base!$C$4:$L$4)+MAX(0,MIN(IF($A$27&gt;$E$23,DCF_Base!$L$19*(1+$E$23/100)/(($A$27-$E$23)/100),DCF_Base!$L$19*DCF_Base!$B$29),DCF_Base!$L$19*DCF_Base!$B$29))/(1+$A$27/100)^DCF_Base!$L$4+Assumptions!$B$5-Assumptions!$B$4)/Assumptions!$B$3*Assumptions!$B$10</f>
        <v>48.7614203186564</v>
      </c>
      <c r="F27" s="0" t="n">
        <f aca="false">(SUMPRODUCT(DCF_Base!$C$19:$L$19/(1+$A$27/100)^DCF_Base!$C$4:$L$4)+MAX(0,MIN(IF($A$27&gt;$F$23,DCF_Base!$L$19*(1+$F$23/100)/(($A$27-$F$23)/100),DCF_Base!$L$19*DCF_Base!$B$29),DCF_Base!$L$19*DCF_Base!$B$29))/(1+$A$27/100)^DCF_Base!$L$4+Assumptions!$B$5-Assumptions!$B$4)/Assumptions!$B$3*Assumptions!$B$10</f>
        <v>48.7614203186564</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41.7071271740963</v>
      </c>
      <c r="C28" s="0" t="n">
        <f aca="false">(SUMPRODUCT(DCF_Base!$C$19:$L$19/(1+$A$28/100)^DCF_Base!$C$4:$L$4)+MAX(0,MIN(IF($A$28&gt;$C$23,DCF_Base!$L$19*(1+$C$23/100)/(($A$28-$C$23)/100),DCF_Base!$L$19*DCF_Base!$B$29),DCF_Base!$L$19*DCF_Base!$B$29))/(1+$A$28/100)^DCF_Base!$L$4+Assumptions!$B$5-Assumptions!$B$4)/Assumptions!$B$3*Assumptions!$B$10</f>
        <v>43.0920110237635</v>
      </c>
      <c r="D28" s="0" t="n">
        <f aca="false">(SUMPRODUCT(DCF_Base!$C$19:$L$19/(1+$A$28/100)^DCF_Base!$C$4:$L$4)+MAX(0,MIN(IF($A$28&gt;$D$23,DCF_Base!$L$19*(1+$D$23/100)/(($A$28-$D$23)/100),DCF_Base!$L$19*DCF_Base!$B$29),DCF_Base!$L$19*DCF_Base!$B$29))/(1+$A$28/100)^DCF_Base!$L$4+Assumptions!$B$5-Assumptions!$B$4)/Assumptions!$B$3*Assumptions!$B$10</f>
        <v>44.6398223851562</v>
      </c>
      <c r="E28" s="0" t="n">
        <f aca="false">(SUMPRODUCT(DCF_Base!$C$19:$L$19/(1+$A$28/100)^DCF_Base!$C$4:$L$4)+MAX(0,MIN(IF($A$28&gt;$E$23,DCF_Base!$L$19*(1+$E$23/100)/(($A$28-$E$23)/100),DCF_Base!$L$19*DCF_Base!$B$29),DCF_Base!$L$19*DCF_Base!$B$29))/(1+$A$28/100)^DCF_Base!$L$4+Assumptions!$B$5-Assumptions!$B$4)/Assumptions!$B$3*Assumptions!$B$10</f>
        <v>44.7664614965429</v>
      </c>
      <c r="F28" s="0" t="n">
        <f aca="false">(SUMPRODUCT(DCF_Base!$C$19:$L$19/(1+$A$28/100)^DCF_Base!$C$4:$L$4)+MAX(0,MIN(IF($A$28&gt;$F$23,DCF_Base!$L$19*(1+$F$23/100)/(($A$28-$F$23)/100),DCF_Base!$L$19*DCF_Base!$B$29),DCF_Base!$L$19*DCF_Base!$B$29))/(1+$A$28/100)^DCF_Base!$L$4+Assumptions!$B$5-Assumptions!$B$4)/Assumptions!$B$3*Assumptions!$B$10</f>
        <v>44.7664614965429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2026-09-28T08:27:11Z</dcterms:created>
  <dc:creator>openpyxl</dc:creator>
  <dc:description/>
  <dc:language>en-NZ</dc:language>
  <cp:lastModifiedBy/>
  <dcterms:modified xsi:type="dcterms:W3CDTF">2026-09-28T08:27:11Z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