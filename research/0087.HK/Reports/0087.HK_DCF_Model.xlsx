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<sst xmlns="http://schemas.openxmlformats.org/spreadsheetml/2006/main" count="365" uniqueCount="173">
  <si>
    <t xml:space="preserve">Ticker</t>
  </si>
  <si>
    <t xml:space="preserve">0087.HK</t>
  </si>
  <si>
    <t xml:space="preserve">Company</t>
  </si>
  <si>
    <t xml:space="preserve">Swire Pacific Limited ('B' shares)</t>
  </si>
  <si>
    <t xml:space="preserve">Valuation date</t>
  </si>
  <si>
    <t xml:space="preserve">2026-10-11</t>
  </si>
  <si>
    <t xml:space="preserve">Current price</t>
  </si>
  <si>
    <t xml:space="preserve">Price as of</t>
  </si>
  <si>
    <t xml:space="preserve">2026-10-09T08:08:05Z (HKEX regular close, Friday; Yahoo chart API, 0087.HK B-share quote)</t>
  </si>
  <si>
    <t xml:space="preserve">Balance sheet date</t>
  </si>
  <si>
    <t xml:space="preserve">2026-06-30</t>
  </si>
  <si>
    <t xml:space="preserve">Model</t>
  </si>
  <si>
    <t xml:space="preserve">Sum-of-the-parts: owner-FCF DCF of the consolidated non-property operating businesses (engine route) plus listed stakes in Swire Properties and Cathay Pacific at market value, less holdco net debt and NCI</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</si>
  <si>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</si>
  <si>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</si>
  <si>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</si>
  <si>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</si>
  <si>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</si>
  <si>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</si>
  <si>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</si>
  <si>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</si>
  <si>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2026-10-10T11:53:15Z</t>
  </si>
  <si>
    <t xml:space="preserve">Drivers file</t>
  </si>
  <si>
    <t xml:space="preserve">0087.HK_Drivers.json</t>
  </si>
  <si>
    <t xml:space="preserve">Convention</t>
  </si>
  <si>
    <t xml:space="preserve">Percents stored as percents; formulas divide by 100. Blue = input, green = link, black = formula.</t>
  </si>
  <si>
    <t xml:space="preserve">Methodology</t>
  </si>
  <si>
    <t xml:space="preserve">summary: Swire Pacific is valued as a sum of the parts because it is three different businesses under one ticker, and no single model fits all three. (1) Swire Properties (83.31%, separately listed) is an IAS-40 landlord whose reported profit is dominated by revaluation noise; the house method for it is AFFO capitalisation at cost of equity, but because it has its own liquid quote the stake is marked at market -- roughly half SP's own NAV, a deliberately conservative mark given HK Grade-A office oversupply. (2) Cathay (45.12%, equity-accounted) contributes accounting profit but only dividends in cash; it too is marked at market, net of the in-the-money value of the June-2026 exchangeable bond. (3) The consolidated non-property operating businesses -- Swire Coca-Cola, HAECO, Trading &amp; Industrial, plus Healthcare and the Head Office cost centre -- are a standard owner-FCF DCF through the engine (HKD WACC 8%, leases charged in the flows, NCI deducted once in the bridge at value, SBC zero). Holdco net debt excludes Swire Properties' borrowings because SP enters at equity value. Underlying profit (ex revaluations) is the right earnings lens for reading the group, but it is not used as a flow here: capitalising group underlying profit would mix SP's post-interest property income, Cathay's non-cash equity income and the operating companies' pre-interest earnings at one rate. The finding is the gap between the A-share price and the sum of parts -- the conglomerate discount -- after Head Office costs have already been capitalised against the group. HOLDING-COMPANY DISCOUNT (added after the 2026-10-11 sanity check): the sum of parts is then cut by an explicit 35% discount to NAV (HK$8.52/B share in every scenario). Swire Pacific has never traded above 0.40x book in ten years (average 0.30x) even though its two largest assets have their own liquid quotes. The market has never paid look-through value for the stakes, and the reasons are structural: John Swire &amp; Sons controls ~52% of votes through the B class, capital allocation sits with the family holdco (the HAECO Americas loss, a second Cathay recapitalisation, the Cathay exchangeable bond), the cash route from SP and Cathay is dividends only, and the B float is thin. 35% is the discount that brings the base value to the 10-year P/B ceiling. It is applied to NAV, not hidden in the WACC: the operating DCF stays at 8%, and the stakes stay at market.
look_through_sensitivity: note: Per 10% move in the 1972.HK / 0293.HK share price, holding everything else (11,723 / 6,743.9 and 3,874 / 6,743.9). SP at its own reported NAV (~2x market) would add roughly HK$17/B share; SP at -20% (another HK office leg down) removes ~HK$3.5. These swings dwarf the operating-business scenario spread and are why the three scenarios look tight.
swire_properties_per_10pct_move_hkd_per_b_share: 1.74
cathay_per_10pct_move_hkd_per_b_share: 0.57
key_risks_to_valuation: The holdco discount (35%, HK$8.52/B share) is the single largest judgement in the value. Every 5 percentage points is ~HK$1.22/B share. It is anchored on the 10-year P/B ceiling, not on an observed discount to SOTP, because no historical SOTP series exists in the filings.; Swire Properties is ~60% of gross asset value at market: a further de-rating on HK office vacancy (13.5-18% citywide) or Mainland retail moves the SOTP ~HK$1.74/B share per 10%.; Cathay stake (~20% of GAV) is a high-beta airline exposure to jet fuel (cost per ATK +18% YoY H1 2026) and demand shocks; a fuel spike can halve its price.; Conglomerate discount is persistent for HK family-controlled holdcos (John Swire &amp; Sons controls ~52% of votes through the B shares); the discount to SOTP may never close.; Beverages margin squeezed by aluminium/PET/sugar costs and Mainland channel disruption; Thailand sugar tax.; Segment D&amp;A, capex and lease splits are estimated from group totals less Swire Properties' share; the consolidated statements do not publish non-property capex directly (+/-0.5pp of revenue on capex is ~HK$0.8-1.0/B share).; B-share liquidity and control: the B class trades ~27% cheaper per unit of economics than the A share (0019.HK) because John Swire &amp; Sons holds most of it; that discount can persist or widen, and B-share volume is thin. Valuation is economically identical to 0019.HK / 5.
holdco_discount: applied_pct_of_base_sotp: 35.0
applied_hkd_m: -57481.0
per_b_share_hkd: -8.52
anchor: 10-year P/B ceiling 0.40x (FY2017 0.3985x); undiscounted SOTP implied ~0.62x on 30 Jun 2026 book of HK$39.49/B share (FY2025 HK$38.49)
undiscounted_sotp_per_b_share: bear: 22.47
base: 24.35
bull: 25.98
weighted: 24.38
scenario_discount_sensitivity_note: The engine's equity bridge is the same in every scenario, so one discount (35%) is applied to all three and scenario risk stays in the operating flows. What other discounts would mean, on the base SOTP of HK$24.35/B: 20% (a shallow conglomerate discount; needs a governance or simplification catalyst such as a Cathay sell-down or an SP privatisation) -&gt; ~HK$19.5; 35% (applied; at the 10-year P/B ceiling) -&gt; ~HK$15.8; 51% (puts the value at the 10-year AVERAGE P/B of 0.30x) -&gt; ~HK$11.9. The average is not used as the base because part of the historical P/B gap reflected Swire Properties' own discount to NAV, and that is already in the SOTP through the at-market SP mark. Using the average would count that discount twice.
what_would_move_it: Narrower: buyback resumption at a discount, simplification (a Cathay stake sale, SP privatisation or special distribution), or a sustained re-rating of 0087.HK above 0.40x book. Wider: another capital call into Cathay, value-destructive M&amp;A, or B-share liquidity drying up further.</t>
  </si>
  <si>
    <t xml:space="preserve">Data sources</t>
  </si>
  <si>
    <t xml:space="preserve">price: Yahoo Finance chart API at inputs.price_as_of (0087.HK B-share quote); 52-week range 11.17-15.80. Sibling quotes (0019.HK A share, 1972.HK, 0293.HK) from the same endpoint, same close.
financials: 0019.HK_HalfYear_H1-2026.txt (identical document to 0087.HK_HalfYear_H1-2026.txt) (segment note 1(a)-(c) lines 2940-3300: segment revenue, operating profit, JV/associate share, NCI, borrowings, cash, lease liabilities; Cathay stake note lines 3813-3838; dividends note 10; EPS note 11; finance charges lines 2493-2524). 0019.HK_Annual_FY2025.txt (principal subsidiaries list line 11569 for SP share count; Swire Coca-Cola EBITDA lines 2212-2291). 0087.HK_Metrics.csv and kpis for history (B-share basis per-share figures). Note: 0019.HK_HalfYear_H2-2026.txt is a differently-formatted copy of the 2026 INTERIM results announcement, not a second-half filing.
qualitative: 0087.HK_Analysis.json and 0019.HK_Analysis.json (2026-10-11).
sibling_model: research/0019.HK/Reports/0019.HK_Drivers.json -- same-day A-share SOTP; driver paths, bridge and weights reused unchanged so the two share classes are valued consistently.</t>
  </si>
  <si>
    <t xml:space="preserve">Scenario narrative: bear</t>
  </si>
  <si>
    <t xml:space="preserve">Chinese Mainland beverage demand stays soft under platform price wars, Thailand's sugar tax and weak tourism persist, commodity costs stay high and HAECO faces labour and material inflation it cannot pass through, so non-property revenue grows ~2% and EBITDA margin slips to 9.0%. Listed stakes are at market; a further leg down in HK office values (SP) or a fuel/demand shock at Cathay would compound this and is quantified in the look-through sensitivity, not in the bridge.</t>
  </si>
  <si>
    <t xml:space="preserve">Scenario narrative: base</t>
  </si>
  <si>
    <t xml:space="preserve">Swire Coca-Cola grows mid-single digits as Chinese Mainland demand recovers from the 2025 food-delivery-subsidy disruption and the new Kunshan, Guangzhou and Hainan plants absorb capacity, while aluminium/resin/fuel inflation from the Middle East conflict caps margin gains; HAECO keeps base-maintenance and engine work full on widebody utilisation, with the Xiamen Xiang'an hangars adding capacity from late 2026 and the HAECO Americas drag gone. Operating EBITDA margin edges from 10.1% to 10.5%; capex stays elevated through 2028 then normalises. Swire Properties and Cathay are held at today's market prices.</t>
  </si>
  <si>
    <t xml:space="preserve">Scenario narrative: bull</t>
  </si>
  <si>
    <t xml:space="preserve">Mainland consumer stimulus lifts bottling volumes and mix (sparkling, e-commerce channels), SE Asia franchises (Thailand, Vietnam) recover from tourism and competition pressure, and HAECO's capacity expansion plus the Vietnam JV pipeline drive high-single-digit revenue growth; margins reach 11.5% as new plants run at scale. Note the listed stakes are still at market in this scenario: the upside from a re-rating of Swire Properties toward NAV or a Cathay earnings step-up is NOT in the bull value and is shown instead in valuation_philosophy's look-through sensitivity.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</si>
  <si>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</si>
  <si>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</si>
  <si>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</si>
  <si>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</si>
  <si>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</si>
  <si>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</si>
  <si>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</si>
  <si>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</si>
  <si>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</si>
  <si>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</si>
  <si>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</si>
  <si>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</si>
  <si>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</si>
  <si>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</si>
  <si>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</si>
  <si>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</si>
  <si>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</si>
  <si>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</si>
  <si>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</si>
  <si>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</si>
  <si>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</si>
  <si>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</si>
  <si>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</si>
  <si>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</si>
  <si>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</si>
  <si>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</si>
  <si>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</si>
  <si>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</si>
  <si>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DilutedEPS</t>
  </si>
  <si>
    <t xml:space="preserve">InvestmentPropertyFairValueChange</t>
  </si>
  <si>
    <t xml:space="preserve">ProfitAfterTaxTotal</t>
  </si>
  <si>
    <t xml:space="preserve">ShareOfAssociateProfit</t>
  </si>
  <si>
    <t xml:space="preserve">ShareOfJVProfit</t>
  </si>
  <si>
    <t xml:space="preserve">TotalEquityInclNCI</t>
  </si>
  <si>
    <t xml:space="preserve">UnderlyingProfit</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</si>
  <si>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</si>
  <si>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</si>
  <si>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</si>
  <si>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</si>
  <si>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</si>
  <si>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</si>
  <si>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</si>
  <si>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</si>
  <si>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</si>
  <si>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</si>
  <si>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</si>
  <si>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</si>
  <si>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</si>
  <si>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</si>
  <si>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</si>
  <si>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</si>
  <si>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</si>
  <si>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</si>
  <si>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30 June 2026</t>
  </si>
  <si>
    <t xml:space="preserve">Currency / units</t>
  </si>
  <si>
    <t xml:space="preserve">HKD millions</t>
  </si>
  <si>
    <t xml:space="preserve">FX rate (model -&gt; quote)</t>
  </si>
  <si>
    <t xml:space="preserve">BEAR</t>
  </si>
  <si>
    <t xml:space="preserve">TTM to 30 June 2027</t>
  </si>
  <si>
    <t xml:space="preserve">TTM to 30 June 2028</t>
  </si>
  <si>
    <t xml:space="preserve">TTM to 30 June 2029</t>
  </si>
  <si>
    <t xml:space="preserve">TTM to 30 June 2030</t>
  </si>
  <si>
    <t xml:space="preserve">TTM to 30 June 2031</t>
  </si>
  <si>
    <t xml:space="preserve">TTM to 30 June 2032</t>
  </si>
  <si>
    <t xml:space="preserve">TTM to 30 June 2033</t>
  </si>
  <si>
    <t xml:space="preserve">TTM to 30 June 2034</t>
  </si>
  <si>
    <t xml:space="preserve">TTM to 30 June 2035</t>
  </si>
  <si>
    <t xml:space="preserve">TTM to 30 June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</si>
  <si>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</si>
  <si>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</si>
  <si>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</si>
  <si>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</si>
  <si>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</si>
  <si>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</si>
  <si>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</si>
  <si>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</si>
  <si>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</si>
  <si>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</si>
  <si>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</si>
  <si>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</si>
  <si>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</si>
  <si>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</si>
  <si>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0087.HK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</si>
  <si>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</si>
  <si>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</si>
  <si>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</si>
  <si>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</si>
  <si>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</si>
  <si>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</si>
  <si>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</si>
  <si>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</si>
  <si>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</si>
  <si>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</si>
  <si>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</si>
  <si>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</si>
  <si>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</si>
  <si>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</si>
  <si>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</si>
  <si>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</si>
  <si>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</si>
  <si>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</si>
  <si>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</si>
  <si>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</si>
  <si>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</si>
  <si>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</si>
  <si>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</si>
  <si>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</si>
  <si>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</si>
  <si>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</si>
  <si>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</si>
  <si>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</si>
  <si>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</si>
  <si>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</si>
  <si>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0087.HK owner-FCF component DCF: base case (millions, HKD)</t>
  </si>
  <si>
    <t xml:space="preserve">0087.HK owner-FCF component DCF: bull case (millions, HKD)</t>
  </si>
  <si>
    <t xml:space="preserve">0087.HK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</si>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</sst>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169.4" hidden="false" customHeight="false" outlineLevel="0" collapsed="false">
      <c r="A15" s="0" t="s">
        <v>26</v>
      </c>
      <c r="B15" s="1" t="s">
        <v>27</v>
      </c>
    </row>
    <row r="16" customFormat="false" ht="46.2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80289</v>
      </c>
      <c r="C2" s="0" t="n">
        <v>51991</v>
      </c>
      <c r="D2" s="0" t="n">
        <v>28298</v>
      </c>
      <c r="E2" s="0" t="n">
        <v>35.2</v>
      </c>
      <c r="F2" s="0" t="n">
        <v>35864</v>
      </c>
      <c r="G2" s="0" t="n">
        <v>44.7</v>
      </c>
      <c r="I2" s="0" t="n">
        <v>26070</v>
      </c>
      <c r="J2" s="0" t="n">
        <v>32.5</v>
      </c>
      <c r="K2" s="0" t="n">
        <v>3.47</v>
      </c>
      <c r="L2" s="0" t="n">
        <v>15600</v>
      </c>
      <c r="M2" s="0" t="n">
        <v>8956</v>
      </c>
      <c r="N2" s="0" t="n">
        <v>6644</v>
      </c>
      <c r="O2" s="0" t="n">
        <v>253163</v>
      </c>
      <c r="P2" s="0" t="n">
        <v>421099</v>
      </c>
      <c r="Q2" s="0" t="n">
        <v>115005</v>
      </c>
      <c r="R2" s="0" t="n">
        <v>78586</v>
      </c>
      <c r="S2" s="0" t="n">
        <v>6072</v>
      </c>
      <c r="T2" s="0" t="n">
        <v>7517.5</v>
      </c>
      <c r="AA2" s="0" t="s">
        <v>17</v>
      </c>
      <c r="AB2" s="0" t="s">
        <v>14</v>
      </c>
      <c r="AC2" s="0" t="n">
        <v>3777</v>
      </c>
      <c r="AF2" s="0" t="n">
        <v>32382</v>
      </c>
      <c r="AI2" s="0" t="n">
        <v>306094</v>
      </c>
      <c r="AJ2" s="0" t="n">
        <v>4742</v>
      </c>
    </row>
    <row r="3" customFormat="false" ht="15" hidden="false" customHeight="false" outlineLevel="0" collapsed="false">
      <c r="A3" s="0" t="s">
        <v>72</v>
      </c>
      <c r="B3" s="0" t="n">
        <v>84606</v>
      </c>
      <c r="C3" s="0" t="n">
        <v>53739</v>
      </c>
      <c r="D3" s="0" t="n">
        <v>30867</v>
      </c>
      <c r="E3" s="0" t="n">
        <v>36.5</v>
      </c>
      <c r="F3" s="0" t="n">
        <v>30888</v>
      </c>
      <c r="G3" s="0" t="n">
        <v>36.5</v>
      </c>
      <c r="I3" s="0" t="n">
        <v>23629</v>
      </c>
      <c r="J3" s="0" t="n">
        <v>27.9</v>
      </c>
      <c r="K3" s="0" t="n">
        <v>3.15</v>
      </c>
      <c r="L3" s="0" t="n">
        <v>15436</v>
      </c>
      <c r="M3" s="0" t="n">
        <v>8020</v>
      </c>
      <c r="N3" s="0" t="n">
        <v>7416</v>
      </c>
      <c r="O3" s="0" t="n">
        <v>270424</v>
      </c>
      <c r="P3" s="0" t="n">
        <v>436405</v>
      </c>
      <c r="Q3" s="0" t="n">
        <v>111290</v>
      </c>
      <c r="R3" s="0" t="n">
        <v>71779</v>
      </c>
      <c r="S3" s="0" t="n">
        <v>9112</v>
      </c>
      <c r="T3" s="0" t="n">
        <v>7506</v>
      </c>
      <c r="AA3" s="0" t="s">
        <v>17</v>
      </c>
      <c r="AB3" s="0" t="s">
        <v>14</v>
      </c>
      <c r="AC3" s="0" t="n">
        <v>4103</v>
      </c>
      <c r="AF3" s="0" t="n">
        <v>29420</v>
      </c>
      <c r="AI3" s="0" t="n">
        <v>325115</v>
      </c>
      <c r="AJ3" s="0" t="n">
        <v>8523</v>
      </c>
    </row>
    <row r="4" customFormat="false" ht="15" hidden="false" customHeight="false" outlineLevel="0" collapsed="false">
      <c r="A4" s="0" t="s">
        <v>73</v>
      </c>
      <c r="B4" s="0" t="n">
        <v>85652</v>
      </c>
      <c r="C4" s="0" t="n">
        <v>53831</v>
      </c>
      <c r="D4" s="0" t="n">
        <v>31821</v>
      </c>
      <c r="E4" s="0" t="n">
        <v>37.2</v>
      </c>
      <c r="F4" s="0" t="n">
        <v>13792</v>
      </c>
      <c r="G4" s="0" t="n">
        <v>16.1</v>
      </c>
      <c r="I4" s="0" t="n">
        <v>9007</v>
      </c>
      <c r="J4" s="0" t="n">
        <v>10.5</v>
      </c>
      <c r="K4" s="0" t="n">
        <v>1.2</v>
      </c>
      <c r="L4" s="0" t="n">
        <v>10541</v>
      </c>
      <c r="M4" s="0" t="n">
        <v>5744</v>
      </c>
      <c r="N4" s="0" t="n">
        <v>4797</v>
      </c>
      <c r="O4" s="0" t="n">
        <v>273352</v>
      </c>
      <c r="P4" s="0" t="n">
        <v>441397</v>
      </c>
      <c r="Q4" s="0" t="n">
        <v>111903</v>
      </c>
      <c r="R4" s="0" t="n">
        <v>68033</v>
      </c>
      <c r="S4" s="0" t="n">
        <v>21345</v>
      </c>
      <c r="T4" s="0" t="n">
        <v>7506</v>
      </c>
      <c r="AA4" s="0" t="s">
        <v>17</v>
      </c>
      <c r="AB4" s="0" t="s">
        <v>14</v>
      </c>
      <c r="AC4" s="0" t="n">
        <v>3782</v>
      </c>
      <c r="AF4" s="0" t="n">
        <v>11838</v>
      </c>
      <c r="AI4" s="0" t="n">
        <v>329494</v>
      </c>
      <c r="AJ4" s="0" t="n">
        <v>17797</v>
      </c>
    </row>
    <row r="5" customFormat="false" ht="15" hidden="false" customHeight="false" outlineLevel="0" collapsed="false">
      <c r="A5" s="0" t="s">
        <v>74</v>
      </c>
      <c r="B5" s="0" t="n">
        <v>80032</v>
      </c>
      <c r="C5" s="0" t="n">
        <v>49817</v>
      </c>
      <c r="D5" s="0" t="n">
        <v>30215</v>
      </c>
      <c r="E5" s="0" t="n">
        <v>37.8</v>
      </c>
      <c r="F5" s="0" t="n">
        <v>2695</v>
      </c>
      <c r="G5" s="0" t="n">
        <v>3.4</v>
      </c>
      <c r="I5" s="0" t="n">
        <v>-10999</v>
      </c>
      <c r="J5" s="0" t="n">
        <v>-13.7</v>
      </c>
      <c r="K5" s="0" t="n">
        <v>-1.46</v>
      </c>
      <c r="L5" s="0" t="n">
        <v>11459</v>
      </c>
      <c r="M5" s="0" t="n">
        <v>4207</v>
      </c>
      <c r="N5" s="0" t="n">
        <v>7252</v>
      </c>
      <c r="O5" s="0" t="n">
        <v>262692</v>
      </c>
      <c r="P5" s="0" t="n">
        <v>433110</v>
      </c>
      <c r="Q5" s="0" t="n">
        <v>113964</v>
      </c>
      <c r="R5" s="0" t="n">
        <v>68164</v>
      </c>
      <c r="S5" s="0" t="n">
        <v>29264</v>
      </c>
      <c r="T5" s="0" t="n">
        <v>7513</v>
      </c>
      <c r="AA5" s="0" t="s">
        <v>17</v>
      </c>
      <c r="AB5" s="0" t="s">
        <v>14</v>
      </c>
      <c r="AC5" s="0" t="n">
        <v>2824</v>
      </c>
      <c r="AF5" s="0" t="n">
        <v>-10095</v>
      </c>
      <c r="AI5" s="0" t="n">
        <v>319146</v>
      </c>
      <c r="AJ5" s="0" t="n">
        <v>-3969</v>
      </c>
    </row>
    <row r="6" customFormat="false" ht="15" hidden="false" customHeight="false" outlineLevel="0" collapsed="false">
      <c r="A6" s="0" t="s">
        <v>75</v>
      </c>
      <c r="B6" s="0" t="n">
        <v>90802</v>
      </c>
      <c r="C6" s="0" t="n">
        <v>55524</v>
      </c>
      <c r="D6" s="0" t="n">
        <v>35278</v>
      </c>
      <c r="E6" s="0" t="n">
        <v>38.9</v>
      </c>
      <c r="F6" s="0" t="n">
        <v>12103</v>
      </c>
      <c r="G6" s="0" t="n">
        <v>13.3</v>
      </c>
      <c r="I6" s="0" t="n">
        <v>3364</v>
      </c>
      <c r="J6" s="0" t="n">
        <v>3.7</v>
      </c>
      <c r="K6" s="0" t="n">
        <v>0.45</v>
      </c>
      <c r="L6" s="0" t="n">
        <v>11665</v>
      </c>
      <c r="M6" s="0" t="n">
        <v>7672</v>
      </c>
      <c r="N6" s="0" t="n">
        <v>3993</v>
      </c>
      <c r="O6" s="0" t="n">
        <v>266950</v>
      </c>
      <c r="P6" s="0" t="n">
        <v>436316</v>
      </c>
      <c r="Q6" s="0" t="n">
        <v>112148</v>
      </c>
      <c r="R6" s="0" t="n">
        <v>61549</v>
      </c>
      <c r="S6" s="0" t="n">
        <v>22894</v>
      </c>
      <c r="T6" s="0" t="n">
        <v>7475.5</v>
      </c>
      <c r="AA6" s="0" t="s">
        <v>17</v>
      </c>
      <c r="AB6" s="0" t="s">
        <v>14</v>
      </c>
      <c r="AC6" s="0" t="n">
        <v>3812</v>
      </c>
      <c r="AF6" s="0" t="n">
        <v>5130</v>
      </c>
      <c r="AI6" s="0" t="n">
        <v>324168</v>
      </c>
      <c r="AJ6" s="0" t="n">
        <v>5300</v>
      </c>
    </row>
    <row r="7" customFormat="false" ht="15" hidden="false" customHeight="false" outlineLevel="0" collapsed="false">
      <c r="A7" s="0" t="s">
        <v>76</v>
      </c>
      <c r="B7" s="0" t="n">
        <v>91169</v>
      </c>
      <c r="C7" s="0" t="n">
        <v>56981</v>
      </c>
      <c r="D7" s="0" t="n">
        <v>34188</v>
      </c>
      <c r="E7" s="0" t="n">
        <v>37.5</v>
      </c>
      <c r="F7" s="0" t="n">
        <v>11827</v>
      </c>
      <c r="G7" s="0" t="n">
        <v>13</v>
      </c>
      <c r="I7" s="0" t="n">
        <v>4195</v>
      </c>
      <c r="J7" s="0" t="n">
        <v>4.6</v>
      </c>
      <c r="K7" s="0" t="n">
        <v>0.56</v>
      </c>
      <c r="L7" s="0" t="n">
        <v>8156</v>
      </c>
      <c r="M7" s="0" t="n">
        <v>10210</v>
      </c>
      <c r="N7" s="0" t="n">
        <v>-2054</v>
      </c>
      <c r="O7" s="0" t="n">
        <v>258456</v>
      </c>
      <c r="P7" s="0" t="n">
        <v>434766</v>
      </c>
      <c r="Q7" s="0" t="n">
        <v>118830</v>
      </c>
      <c r="R7" s="0" t="n">
        <v>68373</v>
      </c>
      <c r="S7" s="0" t="n">
        <v>11614</v>
      </c>
      <c r="T7" s="0" t="n">
        <v>7464.5</v>
      </c>
      <c r="AA7" s="0" t="s">
        <v>17</v>
      </c>
      <c r="AB7" s="0" t="s">
        <v>14</v>
      </c>
      <c r="AC7" s="0" t="n">
        <v>3114</v>
      </c>
      <c r="AF7" s="0" t="n">
        <v>6269</v>
      </c>
      <c r="AI7" s="0" t="n">
        <v>315936</v>
      </c>
      <c r="AJ7" s="0" t="n">
        <v>4748</v>
      </c>
    </row>
    <row r="8" customFormat="false" ht="15" hidden="false" customHeight="false" outlineLevel="0" collapsed="false">
      <c r="A8" s="0" t="s">
        <v>77</v>
      </c>
      <c r="B8" s="0" t="n">
        <v>94823</v>
      </c>
      <c r="C8" s="0" t="n">
        <v>59674</v>
      </c>
      <c r="D8" s="0" t="n">
        <v>35149</v>
      </c>
      <c r="E8" s="0" t="n">
        <v>37.1</v>
      </c>
      <c r="F8" s="0" t="n">
        <v>30621</v>
      </c>
      <c r="G8" s="0" t="n">
        <v>32.3</v>
      </c>
      <c r="I8" s="0" t="n">
        <v>28853</v>
      </c>
      <c r="J8" s="0" t="n">
        <v>30.4</v>
      </c>
      <c r="K8" s="0" t="n">
        <v>3.99</v>
      </c>
      <c r="L8" s="0" t="n">
        <v>9917</v>
      </c>
      <c r="M8" s="0" t="n">
        <v>6212</v>
      </c>
      <c r="N8" s="0" t="n">
        <v>3705</v>
      </c>
      <c r="O8" s="0" t="n">
        <v>268129</v>
      </c>
      <c r="P8" s="0" t="n">
        <v>447752</v>
      </c>
      <c r="Q8" s="0" t="n">
        <v>122978</v>
      </c>
      <c r="R8" s="0" t="n">
        <v>69218</v>
      </c>
      <c r="S8" s="0" t="n">
        <v>14082</v>
      </c>
      <c r="T8" s="0" t="n">
        <v>7227.5</v>
      </c>
      <c r="AA8" s="0" t="s">
        <v>17</v>
      </c>
      <c r="AB8" s="0" t="s">
        <v>14</v>
      </c>
      <c r="AC8" s="0" t="n">
        <v>3441</v>
      </c>
      <c r="AD8" s="0" t="n">
        <v>3.93</v>
      </c>
      <c r="AE8" s="0" t="n">
        <v>-2860</v>
      </c>
      <c r="AF8" s="0" t="n">
        <v>29838</v>
      </c>
      <c r="AG8" s="0" t="n">
        <v>3558</v>
      </c>
      <c r="AH8" s="0" t="n">
        <v>617</v>
      </c>
      <c r="AI8" s="0" t="n">
        <v>324774</v>
      </c>
      <c r="AJ8" s="0" t="n">
        <v>36177</v>
      </c>
    </row>
    <row r="9" customFormat="false" ht="15" hidden="false" customHeight="false" outlineLevel="0" collapsed="false">
      <c r="A9" s="0" t="s">
        <v>78</v>
      </c>
      <c r="B9" s="0" t="n">
        <v>81969</v>
      </c>
      <c r="C9" s="0" t="n">
        <v>51506</v>
      </c>
      <c r="D9" s="0" t="n">
        <v>30463</v>
      </c>
      <c r="E9" s="0" t="n">
        <v>37.2</v>
      </c>
      <c r="F9" s="0" t="n">
        <v>4240</v>
      </c>
      <c r="G9" s="0" t="n">
        <v>5.2</v>
      </c>
      <c r="I9" s="0" t="n">
        <v>4321</v>
      </c>
      <c r="J9" s="0" t="n">
        <v>5.3</v>
      </c>
      <c r="K9" s="0" t="n">
        <v>0.61</v>
      </c>
      <c r="L9" s="0" t="n">
        <v>10458</v>
      </c>
      <c r="M9" s="0" t="n">
        <v>8580</v>
      </c>
      <c r="N9" s="0" t="n">
        <v>1878</v>
      </c>
      <c r="O9" s="0" t="n">
        <v>258300</v>
      </c>
      <c r="P9" s="0" t="n">
        <v>476561</v>
      </c>
      <c r="Q9" s="0" t="n">
        <v>157894</v>
      </c>
      <c r="R9" s="0" t="n">
        <v>91591</v>
      </c>
      <c r="S9" s="0" t="n">
        <v>21028</v>
      </c>
      <c r="T9" s="0" t="n">
        <v>7060.5</v>
      </c>
      <c r="AA9" s="0" t="s">
        <v>17</v>
      </c>
      <c r="AB9" s="0" t="s">
        <v>14</v>
      </c>
      <c r="AC9" s="0" t="n">
        <v>4411</v>
      </c>
      <c r="AD9" s="0" t="n">
        <v>0.55</v>
      </c>
      <c r="AE9" s="0" t="n">
        <v>-5974</v>
      </c>
      <c r="AF9" s="0" t="n">
        <v>4701</v>
      </c>
      <c r="AG9" s="0" t="n">
        <v>4335</v>
      </c>
      <c r="AH9" s="0" t="n">
        <v>1621</v>
      </c>
      <c r="AI9" s="0" t="n">
        <v>318667</v>
      </c>
      <c r="AJ9" s="0" t="n">
        <v>10471</v>
      </c>
    </row>
    <row r="10" customFormat="false" ht="15" hidden="false" customHeight="false" outlineLevel="0" collapsed="false">
      <c r="A10" s="0" t="s">
        <v>79</v>
      </c>
      <c r="B10" s="0" t="n">
        <v>90467</v>
      </c>
      <c r="C10" s="0" t="n">
        <v>56728</v>
      </c>
      <c r="D10" s="0" t="n">
        <v>33739</v>
      </c>
      <c r="E10" s="0" t="n">
        <v>37.3</v>
      </c>
      <c r="F10" s="0" t="n">
        <v>4454</v>
      </c>
      <c r="G10" s="0" t="n">
        <v>4.9</v>
      </c>
      <c r="I10" s="0" t="n">
        <v>2938</v>
      </c>
      <c r="J10" s="0" t="n">
        <v>3.2</v>
      </c>
      <c r="K10" s="0" t="n">
        <v>0.43</v>
      </c>
      <c r="L10" s="0" t="n">
        <v>14551</v>
      </c>
      <c r="M10" s="0" t="n">
        <v>7553</v>
      </c>
      <c r="N10" s="0" t="n">
        <v>6998</v>
      </c>
      <c r="O10" s="0" t="n">
        <v>259577</v>
      </c>
      <c r="P10" s="0" t="n">
        <v>476413</v>
      </c>
      <c r="Q10" s="0" t="n">
        <v>160178</v>
      </c>
      <c r="R10" s="0" t="n">
        <v>88436</v>
      </c>
      <c r="S10" s="0" t="n">
        <v>23172</v>
      </c>
      <c r="T10" s="0" t="n">
        <v>6769.5</v>
      </c>
      <c r="AA10" s="0" t="s">
        <v>17</v>
      </c>
      <c r="AB10" s="0" t="s">
        <v>14</v>
      </c>
      <c r="AC10" s="0" t="n">
        <v>5595</v>
      </c>
      <c r="AD10" s="0" t="n">
        <v>0.42</v>
      </c>
      <c r="AE10" s="0" t="n">
        <v>-6073</v>
      </c>
      <c r="AF10" s="0" t="n">
        <v>3495</v>
      </c>
      <c r="AG10" s="0" t="n">
        <v>4658</v>
      </c>
      <c r="AH10" s="0" t="n">
        <v>-864</v>
      </c>
      <c r="AI10" s="0" t="n">
        <v>316235</v>
      </c>
      <c r="AJ10" s="0" t="n">
        <v>11373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15</v>
      </c>
    </row>
    <row r="3" customFormat="false" ht="15" hidden="false" customHeight="false" outlineLevel="0" collapsed="false">
      <c r="A3" s="0" t="s">
        <v>83</v>
      </c>
      <c r="B3" s="3" t="n">
        <v>6743.9</v>
      </c>
    </row>
    <row r="4" customFormat="false" ht="15" hidden="false" customHeight="false" outlineLevel="0" collapsed="false">
      <c r="A4" s="0" t="s">
        <v>84</v>
      </c>
      <c r="B4" s="3" t="n">
        <v>22714</v>
      </c>
    </row>
    <row r="5" customFormat="false" ht="15" hidden="false" customHeight="false" outlineLevel="0" collapsed="false">
      <c r="A5" s="0" t="s">
        <v>85</v>
      </c>
      <c r="B5" s="3" t="n">
        <v>94587</v>
      </c>
    </row>
    <row r="6" customFormat="false" ht="15" hidden="false" customHeight="false" outlineLevel="0" collapsed="false">
      <c r="A6" s="0" t="s">
        <v>86</v>
      </c>
      <c r="B6" s="3" t="n">
        <v>15</v>
      </c>
    </row>
    <row r="7" customFormat="false" ht="15" hidden="false" customHeight="false" outlineLevel="0" collapsed="false">
      <c r="A7" s="0" t="s">
        <v>87</v>
      </c>
      <c r="B7" s="3" t="n">
        <v>77460</v>
      </c>
    </row>
    <row r="8" customFormat="false" ht="15" hidden="false" customHeight="false" outlineLevel="0" collapsed="false">
      <c r="A8" s="0" t="s">
        <v>88</v>
      </c>
      <c r="B8" s="3" t="s">
        <v>89</v>
      </c>
    </row>
    <row r="9" customFormat="false" ht="15" hidden="false" customHeight="false" outlineLevel="0" collapsed="false">
      <c r="A9" s="0" t="s">
        <v>90</v>
      </c>
      <c r="B9" s="3" t="s">
        <v>91</v>
      </c>
    </row>
    <row r="10" customFormat="false" ht="15" hidden="false" customHeight="false" outlineLevel="0" collapsed="false">
      <c r="A10" s="0" t="s">
        <v>92</v>
      </c>
      <c r="B10" s="3" t="n">
        <v>1</v>
      </c>
    </row>
    <row r="12" customFormat="false" ht="15" hidden="false" customHeight="false" outlineLevel="0" collapsed="false">
      <c r="A12" s="2" t="s">
        <v>93</v>
      </c>
      <c r="C12" s="2" t="s">
        <v>94</v>
      </c>
      <c r="D12" s="2" t="s">
        <v>95</v>
      </c>
      <c r="E12" s="2" t="s">
        <v>96</v>
      </c>
      <c r="F12" s="2" t="s">
        <v>97</v>
      </c>
      <c r="G12" s="2" t="s">
        <v>98</v>
      </c>
      <c r="H12" s="2" t="s">
        <v>99</v>
      </c>
      <c r="I12" s="2" t="s">
        <v>100</v>
      </c>
      <c r="J12" s="2" t="s">
        <v>101</v>
      </c>
      <c r="K12" s="2" t="s">
        <v>102</v>
      </c>
      <c r="L12" s="2" t="s">
        <v>103</v>
      </c>
    </row>
    <row r="13" customFormat="false" ht="15" hidden="false" customHeight="false" outlineLevel="0" collapsed="false">
      <c r="A13" s="0" t="s">
        <v>104</v>
      </c>
      <c r="C13" s="3" t="n">
        <v>2.5</v>
      </c>
      <c r="D13" s="3" t="n">
        <v>2</v>
      </c>
      <c r="E13" s="3" t="n">
        <v>2</v>
      </c>
      <c r="F13" s="3" t="n">
        <v>2</v>
      </c>
      <c r="G13" s="3" t="n">
        <v>2</v>
      </c>
      <c r="H13" s="3" t="n">
        <v>2</v>
      </c>
      <c r="I13" s="3" t="n">
        <v>2</v>
      </c>
      <c r="J13" s="3" t="n">
        <v>2</v>
      </c>
      <c r="K13" s="3" t="n">
        <v>2</v>
      </c>
      <c r="L13" s="3" t="n">
        <v>2</v>
      </c>
    </row>
    <row r="14" customFormat="false" ht="15" hidden="false" customHeight="false" outlineLevel="0" collapsed="false">
      <c r="A14" s="0" t="s">
        <v>105</v>
      </c>
      <c r="C14" s="3" t="n">
        <v>9.7</v>
      </c>
      <c r="D14" s="3" t="n">
        <v>9.4</v>
      </c>
      <c r="E14" s="3" t="n">
        <v>9.2</v>
      </c>
      <c r="F14" s="3" t="n">
        <v>9</v>
      </c>
      <c r="G14" s="3" t="n">
        <v>9</v>
      </c>
      <c r="H14" s="3" t="n">
        <v>9</v>
      </c>
      <c r="I14" s="3" t="n">
        <v>9</v>
      </c>
      <c r="J14" s="3" t="n">
        <v>9</v>
      </c>
      <c r="K14" s="3" t="n">
        <v>9</v>
      </c>
      <c r="L14" s="3" t="n">
        <v>9</v>
      </c>
    </row>
    <row r="15" customFormat="false" ht="15" hidden="false" customHeight="false" outlineLevel="0" collapsed="false">
      <c r="A15" s="0" t="s">
        <v>106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107</v>
      </c>
      <c r="C16" s="3" t="n">
        <v>1.5</v>
      </c>
      <c r="D16" s="3" t="n">
        <v>1.5</v>
      </c>
      <c r="E16" s="3" t="n">
        <v>1.5</v>
      </c>
      <c r="F16" s="3" t="n">
        <v>1.5</v>
      </c>
      <c r="G16" s="3" t="n">
        <v>1.5</v>
      </c>
      <c r="H16" s="3" t="n">
        <v>1.5</v>
      </c>
      <c r="I16" s="3" t="n">
        <v>1.5</v>
      </c>
      <c r="J16" s="3" t="n">
        <v>1.5</v>
      </c>
      <c r="K16" s="3" t="n">
        <v>1.5</v>
      </c>
      <c r="L16" s="3" t="n">
        <v>1.5</v>
      </c>
    </row>
    <row r="17" customFormat="false" ht="15" hidden="false" customHeight="false" outlineLevel="0" collapsed="false">
      <c r="A17" s="0" t="s">
        <v>108</v>
      </c>
      <c r="C17" s="3" t="n">
        <v>4.1</v>
      </c>
      <c r="D17" s="3" t="n">
        <v>4.1</v>
      </c>
      <c r="E17" s="3" t="n">
        <v>4.1</v>
      </c>
      <c r="F17" s="3" t="n">
        <v>4.1</v>
      </c>
      <c r="G17" s="3" t="n">
        <v>4.1</v>
      </c>
      <c r="H17" s="3" t="n">
        <v>4.1</v>
      </c>
      <c r="I17" s="3" t="n">
        <v>4.1</v>
      </c>
      <c r="J17" s="3" t="n">
        <v>4.1</v>
      </c>
      <c r="K17" s="3" t="n">
        <v>4.1</v>
      </c>
      <c r="L17" s="3" t="n">
        <v>4.1</v>
      </c>
    </row>
    <row r="18" customFormat="false" ht="15" hidden="false" customHeight="false" outlineLevel="0" collapsed="false">
      <c r="A18" s="0" t="s">
        <v>109</v>
      </c>
      <c r="C18" s="3" t="n">
        <v>6.3</v>
      </c>
      <c r="D18" s="3" t="n">
        <v>6</v>
      </c>
      <c r="E18" s="3" t="n">
        <v>5.5</v>
      </c>
      <c r="F18" s="3" t="n">
        <v>5</v>
      </c>
      <c r="G18" s="3" t="n">
        <v>4.6</v>
      </c>
      <c r="H18" s="3" t="n">
        <v>4.5</v>
      </c>
      <c r="I18" s="3" t="n">
        <v>4.5</v>
      </c>
      <c r="J18" s="3" t="n">
        <v>4.5</v>
      </c>
      <c r="K18" s="3" t="n">
        <v>4.5</v>
      </c>
      <c r="L18" s="3" t="n">
        <v>4.5</v>
      </c>
    </row>
    <row r="19" customFormat="false" ht="15" hidden="false" customHeight="false" outlineLevel="0" collapsed="false">
      <c r="A19" s="0" t="s">
        <v>110</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111</v>
      </c>
      <c r="B20" s="3" t="n">
        <v>8</v>
      </c>
    </row>
    <row r="21" customFormat="false" ht="15" hidden="false" customHeight="false" outlineLevel="0" collapsed="false">
      <c r="A21" s="0" t="s">
        <v>112</v>
      </c>
      <c r="B21" s="3" t="n">
        <v>2</v>
      </c>
    </row>
    <row r="22" customFormat="false" ht="15" hidden="false" customHeight="false" outlineLevel="0" collapsed="false">
      <c r="A22" s="0" t="s">
        <v>113</v>
      </c>
      <c r="B22" s="3" t="n">
        <v>14</v>
      </c>
    </row>
    <row r="23" customFormat="false" ht="15" hidden="false" customHeight="false" outlineLevel="0" collapsed="false">
      <c r="A23" s="0" t="s">
        <v>114</v>
      </c>
      <c r="B23" s="3" t="n">
        <v>-5</v>
      </c>
    </row>
    <row r="24" customFormat="false" ht="15" hidden="false" customHeight="false" outlineLevel="0" collapsed="false">
      <c r="A24" s="0" t="s">
        <v>115</v>
      </c>
      <c r="B24" s="3" t="n">
        <v>0.2</v>
      </c>
    </row>
    <row r="26" customFormat="false" ht="15" hidden="false" customHeight="false" outlineLevel="0" collapsed="false">
      <c r="A26" s="2" t="s">
        <v>116</v>
      </c>
      <c r="C26" s="2" t="s">
        <v>94</v>
      </c>
      <c r="D26" s="2" t="s">
        <v>95</v>
      </c>
      <c r="E26" s="2" t="s">
        <v>96</v>
      </c>
      <c r="F26" s="2" t="s">
        <v>97</v>
      </c>
      <c r="G26" s="2" t="s">
        <v>98</v>
      </c>
      <c r="H26" s="2" t="s">
        <v>99</v>
      </c>
      <c r="I26" s="2" t="s">
        <v>100</v>
      </c>
      <c r="J26" s="2" t="s">
        <v>101</v>
      </c>
      <c r="K26" s="2" t="s">
        <v>102</v>
      </c>
      <c r="L26" s="2" t="s">
        <v>103</v>
      </c>
    </row>
    <row r="27" customFormat="false" ht="15" hidden="false" customHeight="false" outlineLevel="0" collapsed="false">
      <c r="A27" s="0" t="s">
        <v>104</v>
      </c>
      <c r="C27" s="3" t="n">
        <v>6</v>
      </c>
      <c r="D27" s="3" t="n">
        <v>5</v>
      </c>
      <c r="E27" s="3" t="n">
        <v>4.5</v>
      </c>
      <c r="F27" s="3" t="n">
        <v>4</v>
      </c>
      <c r="G27" s="3" t="n">
        <v>4</v>
      </c>
      <c r="H27" s="3" t="n">
        <v>3.5</v>
      </c>
      <c r="I27" s="3" t="n">
        <v>3</v>
      </c>
      <c r="J27" s="3" t="n">
        <v>3</v>
      </c>
      <c r="K27" s="3" t="n">
        <v>2.5</v>
      </c>
      <c r="L27" s="3" t="n">
        <v>2.5</v>
      </c>
    </row>
    <row r="28" customFormat="false" ht="15" hidden="false" customHeight="false" outlineLevel="0" collapsed="false">
      <c r="A28" s="0" t="s">
        <v>105</v>
      </c>
      <c r="C28" s="3" t="n">
        <v>10.1</v>
      </c>
      <c r="D28" s="3" t="n">
        <v>10.2</v>
      </c>
      <c r="E28" s="3" t="n">
        <v>10.3</v>
      </c>
      <c r="F28" s="3" t="n">
        <v>10.4</v>
      </c>
      <c r="G28" s="3" t="n">
        <v>10.5</v>
      </c>
      <c r="H28" s="3" t="n">
        <v>10.5</v>
      </c>
      <c r="I28" s="3" t="n">
        <v>10.5</v>
      </c>
      <c r="J28" s="3" t="n">
        <v>10.5</v>
      </c>
      <c r="K28" s="3" t="n">
        <v>10.5</v>
      </c>
      <c r="L28" s="3" t="n">
        <v>10.5</v>
      </c>
    </row>
    <row r="29" customFormat="false" ht="15" hidden="false" customHeight="false" outlineLevel="0" collapsed="false">
      <c r="A29" s="0" t="s">
        <v>106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107</v>
      </c>
      <c r="C30" s="3" t="n">
        <v>1.5</v>
      </c>
      <c r="D30" s="3" t="n">
        <v>1.5</v>
      </c>
      <c r="E30" s="3" t="n">
        <v>1.5</v>
      </c>
      <c r="F30" s="3" t="n">
        <v>1.5</v>
      </c>
      <c r="G30" s="3" t="n">
        <v>1.5</v>
      </c>
      <c r="H30" s="3" t="n">
        <v>1.5</v>
      </c>
      <c r="I30" s="3" t="n">
        <v>1.5</v>
      </c>
      <c r="J30" s="3" t="n">
        <v>1.5</v>
      </c>
      <c r="K30" s="3" t="n">
        <v>1.5</v>
      </c>
      <c r="L30" s="3" t="n">
        <v>1.5</v>
      </c>
    </row>
    <row r="31" customFormat="false" ht="15" hidden="false" customHeight="false" outlineLevel="0" collapsed="false">
      <c r="A31" s="0" t="s">
        <v>108</v>
      </c>
      <c r="C31" s="3" t="n">
        <v>4.1</v>
      </c>
      <c r="D31" s="3" t="n">
        <v>4.1</v>
      </c>
      <c r="E31" s="3" t="n">
        <v>4.1</v>
      </c>
      <c r="F31" s="3" t="n">
        <v>4.1</v>
      </c>
      <c r="G31" s="3" t="n">
        <v>4.1</v>
      </c>
      <c r="H31" s="3" t="n">
        <v>4.1</v>
      </c>
      <c r="I31" s="3" t="n">
        <v>4.1</v>
      </c>
      <c r="J31" s="3" t="n">
        <v>4.1</v>
      </c>
      <c r="K31" s="3" t="n">
        <v>4.1</v>
      </c>
      <c r="L31" s="3" t="n">
        <v>4.1</v>
      </c>
    </row>
    <row r="32" customFormat="false" ht="15" hidden="false" customHeight="false" outlineLevel="0" collapsed="false">
      <c r="A32" s="0" t="s">
        <v>109</v>
      </c>
      <c r="C32" s="3" t="n">
        <v>6.5</v>
      </c>
      <c r="D32" s="3" t="n">
        <v>6.5</v>
      </c>
      <c r="E32" s="3" t="n">
        <v>6</v>
      </c>
      <c r="F32" s="3" t="n">
        <v>5.5</v>
      </c>
      <c r="G32" s="3" t="n">
        <v>5</v>
      </c>
      <c r="H32" s="3" t="n">
        <v>4.8</v>
      </c>
      <c r="I32" s="3" t="n">
        <v>4.8</v>
      </c>
      <c r="J32" s="3" t="n">
        <v>4.8</v>
      </c>
      <c r="K32" s="3" t="n">
        <v>4.8</v>
      </c>
      <c r="L32" s="3" t="n">
        <v>4.8</v>
      </c>
    </row>
    <row r="33" customFormat="false" ht="15" hidden="false" customHeight="false" outlineLevel="0" collapsed="false">
      <c r="A33" s="0" t="s">
        <v>110</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111</v>
      </c>
      <c r="B34" s="3" t="n">
        <v>8</v>
      </c>
    </row>
    <row r="35" customFormat="false" ht="15" hidden="false" customHeight="false" outlineLevel="0" collapsed="false">
      <c r="A35" s="0" t="s">
        <v>112</v>
      </c>
      <c r="B35" s="3" t="n">
        <v>2.5</v>
      </c>
    </row>
    <row r="36" customFormat="false" ht="15" hidden="false" customHeight="false" outlineLevel="0" collapsed="false">
      <c r="A36" s="0" t="s">
        <v>113</v>
      </c>
      <c r="B36" s="3" t="n">
        <v>14</v>
      </c>
    </row>
    <row r="37" customFormat="false" ht="15" hidden="false" customHeight="false" outlineLevel="0" collapsed="false">
      <c r="A37" s="0" t="s">
        <v>114</v>
      </c>
      <c r="B37" s="3" t="n">
        <v>-5</v>
      </c>
    </row>
    <row r="38" customFormat="false" ht="15" hidden="false" customHeight="false" outlineLevel="0" collapsed="false">
      <c r="A38" s="0" t="s">
        <v>115</v>
      </c>
      <c r="B38" s="3" t="n">
        <v>0.55</v>
      </c>
    </row>
    <row r="40" customFormat="false" ht="15" hidden="false" customHeight="false" outlineLevel="0" collapsed="false">
      <c r="A40" s="2" t="s">
        <v>117</v>
      </c>
      <c r="C40" s="2" t="s">
        <v>94</v>
      </c>
      <c r="D40" s="2" t="s">
        <v>95</v>
      </c>
      <c r="E40" s="2" t="s">
        <v>96</v>
      </c>
      <c r="F40" s="2" t="s">
        <v>97</v>
      </c>
      <c r="G40" s="2" t="s">
        <v>98</v>
      </c>
      <c r="H40" s="2" t="s">
        <v>99</v>
      </c>
      <c r="I40" s="2" t="s">
        <v>100</v>
      </c>
      <c r="J40" s="2" t="s">
        <v>101</v>
      </c>
      <c r="K40" s="2" t="s">
        <v>102</v>
      </c>
      <c r="L40" s="2" t="s">
        <v>103</v>
      </c>
    </row>
    <row r="41" customFormat="false" ht="15" hidden="false" customHeight="false" outlineLevel="0" collapsed="false">
      <c r="A41" s="0" t="s">
        <v>104</v>
      </c>
      <c r="C41" s="3" t="n">
        <v>8</v>
      </c>
      <c r="D41" s="3" t="n">
        <v>7</v>
      </c>
      <c r="E41" s="3" t="n">
        <v>6.5</v>
      </c>
      <c r="F41" s="3" t="n">
        <v>6</v>
      </c>
      <c r="G41" s="3" t="n">
        <v>5.5</v>
      </c>
      <c r="H41" s="3" t="n">
        <v>5</v>
      </c>
      <c r="I41" s="3" t="n">
        <v>4</v>
      </c>
      <c r="J41" s="3" t="n">
        <v>3.5</v>
      </c>
      <c r="K41" s="3" t="n">
        <v>3</v>
      </c>
      <c r="L41" s="3" t="n">
        <v>3</v>
      </c>
    </row>
    <row r="42" customFormat="false" ht="15" hidden="false" customHeight="false" outlineLevel="0" collapsed="false">
      <c r="A42" s="0" t="s">
        <v>105</v>
      </c>
      <c r="C42" s="3" t="n">
        <v>10.3</v>
      </c>
      <c r="D42" s="3" t="n">
        <v>10.6</v>
      </c>
      <c r="E42" s="3" t="n">
        <v>10.9</v>
      </c>
      <c r="F42" s="3" t="n">
        <v>11.2</v>
      </c>
      <c r="G42" s="3" t="n">
        <v>11.5</v>
      </c>
      <c r="H42" s="3" t="n">
        <v>11.5</v>
      </c>
      <c r="I42" s="3" t="n">
        <v>11.5</v>
      </c>
      <c r="J42" s="3" t="n">
        <v>11.5</v>
      </c>
      <c r="K42" s="3" t="n">
        <v>11.5</v>
      </c>
      <c r="L42" s="3" t="n">
        <v>11.5</v>
      </c>
    </row>
    <row r="43" customFormat="false" ht="15" hidden="false" customHeight="false" outlineLevel="0" collapsed="false">
      <c r="A43" s="0" t="s">
        <v>106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107</v>
      </c>
      <c r="C44" s="3" t="n">
        <v>1.5</v>
      </c>
      <c r="D44" s="3" t="n">
        <v>1.5</v>
      </c>
      <c r="E44" s="3" t="n">
        <v>1.5</v>
      </c>
      <c r="F44" s="3" t="n">
        <v>1.5</v>
      </c>
      <c r="G44" s="3" t="n">
        <v>1.5</v>
      </c>
      <c r="H44" s="3" t="n">
        <v>1.5</v>
      </c>
      <c r="I44" s="3" t="n">
        <v>1.5</v>
      </c>
      <c r="J44" s="3" t="n">
        <v>1.5</v>
      </c>
      <c r="K44" s="3" t="n">
        <v>1.5</v>
      </c>
      <c r="L44" s="3" t="n">
        <v>1.5</v>
      </c>
    </row>
    <row r="45" customFormat="false" ht="15" hidden="false" customHeight="false" outlineLevel="0" collapsed="false">
      <c r="A45" s="0" t="s">
        <v>108</v>
      </c>
      <c r="C45" s="3" t="n">
        <v>4.1</v>
      </c>
      <c r="D45" s="3" t="n">
        <v>4.1</v>
      </c>
      <c r="E45" s="3" t="n">
        <v>4.1</v>
      </c>
      <c r="F45" s="3" t="n">
        <v>4.1</v>
      </c>
      <c r="G45" s="3" t="n">
        <v>4.1</v>
      </c>
      <c r="H45" s="3" t="n">
        <v>4.1</v>
      </c>
      <c r="I45" s="3" t="n">
        <v>4.1</v>
      </c>
      <c r="J45" s="3" t="n">
        <v>4.1</v>
      </c>
      <c r="K45" s="3" t="n">
        <v>4.1</v>
      </c>
      <c r="L45" s="3" t="n">
        <v>4.1</v>
      </c>
    </row>
    <row r="46" customFormat="false" ht="15" hidden="false" customHeight="false" outlineLevel="0" collapsed="false">
      <c r="A46" s="0" t="s">
        <v>109</v>
      </c>
      <c r="C46" s="3" t="n">
        <v>6.8</v>
      </c>
      <c r="D46" s="3" t="n">
        <v>6.8</v>
      </c>
      <c r="E46" s="3" t="n">
        <v>6.2</v>
      </c>
      <c r="F46" s="3" t="n">
        <v>5.6</v>
      </c>
      <c r="G46" s="3" t="n">
        <v>5.2</v>
      </c>
      <c r="H46" s="3" t="n">
        <v>5</v>
      </c>
      <c r="I46" s="3" t="n">
        <v>5</v>
      </c>
      <c r="J46" s="3" t="n">
        <v>5</v>
      </c>
      <c r="K46" s="3" t="n">
        <v>5</v>
      </c>
      <c r="L46" s="3" t="n">
        <v>5</v>
      </c>
    </row>
    <row r="47" customFormat="false" ht="15" hidden="false" customHeight="false" outlineLevel="0" collapsed="false">
      <c r="A47" s="0" t="s">
        <v>110</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111</v>
      </c>
      <c r="B48" s="3" t="n">
        <v>8</v>
      </c>
    </row>
    <row r="49" customFormat="false" ht="15" hidden="false" customHeight="false" outlineLevel="0" collapsed="false">
      <c r="A49" s="0" t="s">
        <v>112</v>
      </c>
      <c r="B49" s="3" t="n">
        <v>3</v>
      </c>
    </row>
    <row r="50" customFormat="false" ht="15" hidden="false" customHeight="false" outlineLevel="0" collapsed="false">
      <c r="A50" s="0" t="s">
        <v>113</v>
      </c>
      <c r="B50" s="3" t="n">
        <v>14</v>
      </c>
    </row>
    <row r="51" customFormat="false" ht="15" hidden="false" customHeight="false" outlineLevel="0" collapsed="false">
      <c r="A51" s="0" t="s">
        <v>114</v>
      </c>
      <c r="B51" s="3" t="n">
        <v>-5</v>
      </c>
    </row>
    <row r="52" customFormat="false" ht="15" hidden="false" customHeight="false" outlineLevel="0" collapsed="false">
      <c r="A52" s="0" t="s">
        <v>115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118</v>
      </c>
    </row>
    <row r="3" customFormat="false" ht="15" hidden="false" customHeight="false" outlineLevel="0" collapsed="false">
      <c r="A3" s="0" t="s">
        <v>119</v>
      </c>
      <c r="B3" s="0" t="s">
        <v>89</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Assumptions!C13</f>
        <v>2.5</v>
      </c>
      <c r="D5" s="4" t="n">
        <f aca="false">Assumptions!D13</f>
        <v>2</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77460</v>
      </c>
      <c r="C6" s="0" t="n">
        <f aca="false">B6*(1+C5/100)</f>
        <v>79396.5</v>
      </c>
      <c r="D6" s="0" t="n">
        <f aca="false">C6*(1+D5/100)</f>
        <v>80984.43</v>
      </c>
      <c r="E6" s="0" t="n">
        <f aca="false">D6*(1+E5/100)</f>
        <v>82604.1186</v>
      </c>
      <c r="F6" s="0" t="n">
        <f aca="false">E6*(1+F5/100)</f>
        <v>84256.200972</v>
      </c>
      <c r="G6" s="0" t="n">
        <f aca="false">F6*(1+G5/100)</f>
        <v>85941.32499144</v>
      </c>
      <c r="H6" s="0" t="n">
        <f aca="false">G6*(1+H5/100)</f>
        <v>87660.1514912688</v>
      </c>
      <c r="I6" s="0" t="n">
        <f aca="false">H6*(1+I5/100)</f>
        <v>89413.3545210942</v>
      </c>
      <c r="J6" s="0" t="n">
        <f aca="false">I6*(1+J5/100)</f>
        <v>91201.6216115161</v>
      </c>
      <c r="K6" s="0" t="n">
        <f aca="false">J6*(1+K5/100)</f>
        <v>93025.6540437464</v>
      </c>
      <c r="L6" s="0" t="n">
        <f aca="false">K6*(1+L5/100)</f>
        <v>94886.1671246213</v>
      </c>
    </row>
    <row r="7" customFormat="false" ht="15" hidden="false" customHeight="false" outlineLevel="0" collapsed="false">
      <c r="A7" s="0" t="s">
        <v>105</v>
      </c>
      <c r="C7" s="4" t="n">
        <f aca="false">Assumptions!C14</f>
        <v>9.7</v>
      </c>
      <c r="D7" s="4" t="n">
        <f aca="false">Assumptions!D14</f>
        <v>9.4</v>
      </c>
      <c r="E7" s="4" t="n">
        <f aca="false">Assumptions!E14</f>
        <v>9.2</v>
      </c>
      <c r="F7" s="4" t="n">
        <f aca="false">Assumptions!F14</f>
        <v>9</v>
      </c>
      <c r="G7" s="4" t="n">
        <f aca="false">Assumptions!G14</f>
        <v>9</v>
      </c>
      <c r="H7" s="4" t="n">
        <f aca="false">Assumptions!H14</f>
        <v>9</v>
      </c>
      <c r="I7" s="4" t="n">
        <f aca="false">Assumptions!I14</f>
        <v>9</v>
      </c>
      <c r="J7" s="4" t="n">
        <f aca="false">Assumptions!J14</f>
        <v>9</v>
      </c>
      <c r="K7" s="4" t="n">
        <f aca="false">Assumptions!K14</f>
        <v>9</v>
      </c>
      <c r="L7" s="4" t="n">
        <f aca="false">Assumptions!L14</f>
        <v>9</v>
      </c>
    </row>
    <row r="8" customFormat="false" ht="15" hidden="false" customHeight="false" outlineLevel="0" collapsed="false">
      <c r="A8" s="0" t="s">
        <v>43</v>
      </c>
      <c r="C8" s="0" t="n">
        <f aca="false">C6*C7/100</f>
        <v>7701.4605</v>
      </c>
      <c r="D8" s="0" t="n">
        <f aca="false">D6*D7/100</f>
        <v>7612.53642</v>
      </c>
      <c r="E8" s="0" t="n">
        <f aca="false">E6*E7/100</f>
        <v>7599.5789112</v>
      </c>
      <c r="F8" s="0" t="n">
        <f aca="false">F6*F7/100</f>
        <v>7583.05808748</v>
      </c>
      <c r="G8" s="0" t="n">
        <f aca="false">G6*G7/100</f>
        <v>7734.7192492296</v>
      </c>
      <c r="H8" s="0" t="n">
        <f aca="false">H6*H7/100</f>
        <v>7889.41363421419</v>
      </c>
      <c r="I8" s="0" t="n">
        <f aca="false">I6*I7/100</f>
        <v>8047.20190689848</v>
      </c>
      <c r="J8" s="0" t="n">
        <f aca="false">J6*J7/100</f>
        <v>8208.14594503645</v>
      </c>
      <c r="K8" s="0" t="n">
        <f aca="false">K6*K7/100</f>
        <v>8372.30886393718</v>
      </c>
      <c r="L8" s="0" t="n">
        <f aca="false">L6*L7/100</f>
        <v>8539.75504121592</v>
      </c>
    </row>
    <row r="9" customFormat="false" ht="15" hidden="false" customHeight="false" outlineLevel="0" collapsed="false">
      <c r="A9" s="0" t="s">
        <v>106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6510.513</v>
      </c>
      <c r="D11" s="0" t="n">
        <f aca="false">D8+D10+D24</f>
        <v>6397.76997</v>
      </c>
      <c r="E11" s="0" t="n">
        <f aca="false">E8+E10+E24</f>
        <v>6360.5171322</v>
      </c>
      <c r="F11" s="0" t="n">
        <f aca="false">F8+F10+F24</f>
        <v>6319.2150729</v>
      </c>
      <c r="G11" s="0" t="n">
        <f aca="false">G8+G10+G24</f>
        <v>6445.599374358</v>
      </c>
      <c r="H11" s="0" t="n">
        <f aca="false">H8+H10+H24</f>
        <v>6574.51136184516</v>
      </c>
      <c r="I11" s="0" t="n">
        <f aca="false">I8+I10+I24</f>
        <v>6706.00158908207</v>
      </c>
      <c r="J11" s="0" t="n">
        <f aca="false">J8+J10+J24</f>
        <v>6840.12162086371</v>
      </c>
      <c r="K11" s="0" t="n">
        <f aca="false">K8+K10+K24</f>
        <v>6976.92405328098</v>
      </c>
      <c r="L11" s="0" t="n">
        <f aca="false">L8+L10+L24</f>
        <v>7116.4625343466</v>
      </c>
    </row>
    <row r="12" customFormat="false" ht="15" hidden="false" customHeight="false" outlineLevel="0" collapsed="false">
      <c r="A12" s="0" t="s">
        <v>123</v>
      </c>
      <c r="C12" s="4" t="n">
        <f aca="false">-C6*Assumptions!C17/100</f>
        <v>-3255.2565</v>
      </c>
      <c r="D12" s="4" t="n">
        <f aca="false">-D6*Assumptions!D17/100</f>
        <v>-3320.36163</v>
      </c>
      <c r="E12" s="4" t="n">
        <f aca="false">-E6*Assumptions!E17/100</f>
        <v>-3386.7688626</v>
      </c>
      <c r="F12" s="4" t="n">
        <f aca="false">-F6*Assumptions!F17/100</f>
        <v>-3454.504239852</v>
      </c>
      <c r="G12" s="4" t="n">
        <f aca="false">-G6*Assumptions!G17/100</f>
        <v>-3523.59432464904</v>
      </c>
      <c r="H12" s="4" t="n">
        <f aca="false">-H6*Assumptions!H17/100</f>
        <v>-3594.06621114202</v>
      </c>
      <c r="I12" s="4" t="n">
        <f aca="false">-I6*Assumptions!I17/100</f>
        <v>-3665.94753536486</v>
      </c>
      <c r="J12" s="4" t="n">
        <f aca="false">-J6*Assumptions!J17/100</f>
        <v>-3739.26648607216</v>
      </c>
      <c r="K12" s="4" t="n">
        <f aca="false">-K6*Assumptions!K17/100</f>
        <v>-3814.0518157936</v>
      </c>
      <c r="L12" s="4" t="n">
        <f aca="false">-L6*Assumptions!L17/100</f>
        <v>-3890.33285210947</v>
      </c>
    </row>
    <row r="13" customFormat="false" ht="15" hidden="false" customHeight="false" outlineLevel="0" collapsed="false">
      <c r="A13" s="0" t="s">
        <v>124</v>
      </c>
      <c r="C13" s="0" t="n">
        <f aca="false">C11+C12</f>
        <v>3255.2565</v>
      </c>
      <c r="D13" s="0" t="n">
        <f aca="false">D11+D12</f>
        <v>3077.40834</v>
      </c>
      <c r="E13" s="0" t="n">
        <f aca="false">E11+E12</f>
        <v>2973.7482696</v>
      </c>
      <c r="F13" s="0" t="n">
        <f aca="false">F11+F12</f>
        <v>2864.710833048</v>
      </c>
      <c r="G13" s="0" t="n">
        <f aca="false">G11+G12</f>
        <v>2922.00504970896</v>
      </c>
      <c r="H13" s="0" t="n">
        <f aca="false">H11+H12</f>
        <v>2980.44515070314</v>
      </c>
      <c r="I13" s="0" t="n">
        <f aca="false">I11+I12</f>
        <v>3040.0540537172</v>
      </c>
      <c r="J13" s="0" t="n">
        <f aca="false">J11+J12</f>
        <v>3100.85513479155</v>
      </c>
      <c r="K13" s="0" t="n">
        <f aca="false">K11+K12</f>
        <v>3162.87223748738</v>
      </c>
      <c r="L13" s="0" t="n">
        <f aca="false">L11+L12</f>
        <v>3226.12968223713</v>
      </c>
    </row>
    <row r="14" customFormat="false" ht="15" hidden="false" customHeight="false" outlineLevel="0" collapsed="false">
      <c r="A14" s="0" t="s">
        <v>110</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125</v>
      </c>
      <c r="C15" s="0" t="n">
        <f aca="false">C13-MAX(0,C13)*C14/100</f>
        <v>2473.99494</v>
      </c>
      <c r="D15" s="0" t="n">
        <f aca="false">D13-MAX(0,D13)*D14/100</f>
        <v>2338.8303384</v>
      </c>
      <c r="E15" s="0" t="n">
        <f aca="false">E13-MAX(0,E13)*E14/100</f>
        <v>2260.048684896</v>
      </c>
      <c r="F15" s="0" t="n">
        <f aca="false">F13-MAX(0,F13)*F14/100</f>
        <v>2177.18023311648</v>
      </c>
      <c r="G15" s="0" t="n">
        <f aca="false">G13-MAX(0,G13)*G14/100</f>
        <v>2220.72383777881</v>
      </c>
      <c r="H15" s="0" t="n">
        <f aca="false">H13-MAX(0,H13)*H14/100</f>
        <v>2265.13831453439</v>
      </c>
      <c r="I15" s="0" t="n">
        <f aca="false">I13-MAX(0,I13)*I14/100</f>
        <v>2310.44108082508</v>
      </c>
      <c r="J15" s="0" t="n">
        <f aca="false">J13-MAX(0,J13)*J14/100</f>
        <v>2356.64990244158</v>
      </c>
      <c r="K15" s="0" t="n">
        <f aca="false">K13-MAX(0,K13)*K14/100</f>
        <v>2403.78290049041</v>
      </c>
      <c r="L15" s="0" t="n">
        <f aca="false">L13-MAX(0,L13)*L14/100</f>
        <v>2451.85855850022</v>
      </c>
    </row>
    <row r="16" customFormat="false" ht="15" hidden="false" customHeight="false" outlineLevel="0" collapsed="false">
      <c r="A16" s="0" t="s">
        <v>126</v>
      </c>
      <c r="C16" s="0" t="n">
        <f aca="false">-C12</f>
        <v>3255.2565</v>
      </c>
      <c r="D16" s="0" t="n">
        <f aca="false">-D12</f>
        <v>3320.36163</v>
      </c>
      <c r="E16" s="0" t="n">
        <f aca="false">-E12</f>
        <v>3386.7688626</v>
      </c>
      <c r="F16" s="0" t="n">
        <f aca="false">-F12</f>
        <v>3454.504239852</v>
      </c>
      <c r="G16" s="0" t="n">
        <f aca="false">-G12</f>
        <v>3523.59432464904</v>
      </c>
      <c r="H16" s="0" t="n">
        <f aca="false">-H12</f>
        <v>3594.06621114202</v>
      </c>
      <c r="I16" s="0" t="n">
        <f aca="false">-I12</f>
        <v>3665.94753536486</v>
      </c>
      <c r="J16" s="0" t="n">
        <f aca="false">-J12</f>
        <v>3739.26648607216</v>
      </c>
      <c r="K16" s="0" t="n">
        <f aca="false">-K12</f>
        <v>3814.0518157936</v>
      </c>
      <c r="L16" s="0" t="n">
        <f aca="false">-L12</f>
        <v>3890.33285210947</v>
      </c>
    </row>
    <row r="17" customFormat="false" ht="15" hidden="false" customHeight="false" outlineLevel="0" collapsed="false">
      <c r="A17" s="0" t="s">
        <v>127</v>
      </c>
      <c r="C17" s="4" t="n">
        <f aca="false">-C6*Assumptions!C18/100</f>
        <v>-5001.9795</v>
      </c>
      <c r="D17" s="4" t="n">
        <f aca="false">-D6*Assumptions!D18/100</f>
        <v>-4859.0658</v>
      </c>
      <c r="E17" s="4" t="n">
        <f aca="false">-E6*Assumptions!E18/100</f>
        <v>-4543.226523</v>
      </c>
      <c r="F17" s="4" t="n">
        <f aca="false">-F6*Assumptions!F18/100</f>
        <v>-4212.8100486</v>
      </c>
      <c r="G17" s="4" t="n">
        <f aca="false">-G6*Assumptions!G18/100</f>
        <v>-3953.30094960624</v>
      </c>
      <c r="H17" s="4" t="n">
        <f aca="false">-H6*Assumptions!H18/100</f>
        <v>-3944.7068171071</v>
      </c>
      <c r="I17" s="4" t="n">
        <f aca="false">-I6*Assumptions!I18/100</f>
        <v>-4023.60095344924</v>
      </c>
      <c r="J17" s="4" t="n">
        <f aca="false">-J6*Assumptions!J18/100</f>
        <v>-4104.07297251823</v>
      </c>
      <c r="K17" s="4" t="n">
        <f aca="false">-K6*Assumptions!K18/100</f>
        <v>-4186.15443196859</v>
      </c>
      <c r="L17" s="4" t="n">
        <f aca="false">-L6*Assumptions!L18/100</f>
        <v>-4269.87752060796</v>
      </c>
    </row>
    <row r="18" customFormat="false" ht="15" hidden="false" customHeight="false" outlineLevel="0" collapsed="false">
      <c r="A18" s="0" t="s">
        <v>128</v>
      </c>
      <c r="C18" s="4" t="n">
        <f aca="false">(C6-B6)*Assumptions!$B$23/100</f>
        <v>-96.825</v>
      </c>
      <c r="D18" s="4" t="n">
        <f aca="false">(D6-C6)*Assumptions!$B$23/100</f>
        <v>-79.3965000000004</v>
      </c>
      <c r="E18" s="4" t="n">
        <f aca="false">(E6-D6)*Assumptions!$B$23/100</f>
        <v>-80.9844300000004</v>
      </c>
      <c r="F18" s="4" t="n">
        <f aca="false">(F6-E6)*Assumptions!$B$23/100</f>
        <v>-82.6041186000002</v>
      </c>
      <c r="G18" s="4" t="n">
        <f aca="false">(G6-F6)*Assumptions!$B$23/100</f>
        <v>-84.2562009720001</v>
      </c>
      <c r="H18" s="4" t="n">
        <f aca="false">(H6-G6)*Assumptions!$B$23/100</f>
        <v>-85.9413249914403</v>
      </c>
      <c r="I18" s="4" t="n">
        <f aca="false">(I6-H6)*Assumptions!$B$23/100</f>
        <v>-87.6601514912691</v>
      </c>
      <c r="J18" s="4" t="n">
        <f aca="false">(J6-I6)*Assumptions!$B$23/100</f>
        <v>-89.4133545210942</v>
      </c>
      <c r="K18" s="4" t="n">
        <f aca="false">(K6-J6)*Assumptions!$B$23/100</f>
        <v>-91.201621611516</v>
      </c>
      <c r="L18" s="4" t="n">
        <f aca="false">(L6-K6)*Assumptions!$B$23/100</f>
        <v>-93.0256540437462</v>
      </c>
    </row>
    <row r="19" customFormat="false" ht="15" hidden="false" customHeight="false" outlineLevel="0" collapsed="false">
      <c r="A19" s="0" t="s">
        <v>129</v>
      </c>
      <c r="C19" s="0" t="n">
        <f aca="false">C15+C16+C17+C18</f>
        <v>630.446939999999</v>
      </c>
      <c r="D19" s="0" t="n">
        <f aca="false">D15+D16+D17+D18</f>
        <v>720.7296684</v>
      </c>
      <c r="E19" s="0" t="n">
        <f aca="false">E15+E16+E17+E18</f>
        <v>1022.606594496</v>
      </c>
      <c r="F19" s="0" t="n">
        <f aca="false">F15+F16+F17+F18</f>
        <v>1336.27030576848</v>
      </c>
      <c r="G19" s="0" t="n">
        <f aca="false">G15+G16+G17+G18</f>
        <v>1706.76101184961</v>
      </c>
      <c r="H19" s="0" t="n">
        <f aca="false">H15+H16+H17+H18</f>
        <v>1828.55638357787</v>
      </c>
      <c r="I19" s="0" t="n">
        <f aca="false">I15+I16+I17+I18</f>
        <v>1865.12751124943</v>
      </c>
      <c r="J19" s="0" t="n">
        <f aca="false">J15+J16+J17+J18</f>
        <v>1902.43006147442</v>
      </c>
      <c r="K19" s="0" t="n">
        <f aca="false">K15+K16+K17+K18</f>
        <v>1940.47866270391</v>
      </c>
      <c r="L19" s="0" t="n">
        <f aca="false">L15+L16+L17+L18</f>
        <v>1979.28823595798</v>
      </c>
    </row>
    <row r="20" customFormat="false" ht="15" hidden="false" customHeight="false" outlineLevel="0" collapsed="false">
      <c r="A20" s="0" t="s">
        <v>130</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131</v>
      </c>
      <c r="C21" s="0" t="n">
        <f aca="false">C19*C20</f>
        <v>583.747166666665</v>
      </c>
      <c r="D21" s="0" t="n">
        <f aca="false">D19*D20</f>
        <v>617.909523662551</v>
      </c>
      <c r="E21" s="0" t="n">
        <f aca="false">E19*E20</f>
        <v>811.778084590762</v>
      </c>
      <c r="F21" s="0" t="n">
        <f aca="false">F19*F20</f>
        <v>982.198566145278</v>
      </c>
      <c r="G21" s="0" t="n">
        <f aca="false">G19*G20</f>
        <v>1161.59286601717</v>
      </c>
      <c r="H21" s="0" t="n">
        <f aca="false">H19*H20</f>
        <v>1152.30069397399</v>
      </c>
      <c r="I21" s="0" t="n">
        <f aca="false">I19*I20</f>
        <v>1088.28398875321</v>
      </c>
      <c r="J21" s="0" t="n">
        <f aca="false">J19*J20</f>
        <v>1027.82376715581</v>
      </c>
      <c r="K21" s="0" t="n">
        <f aca="false">K19*K20</f>
        <v>970.722446758264</v>
      </c>
      <c r="L21" s="0" t="n">
        <f aca="false">L19*L20</f>
        <v>916.79342193836</v>
      </c>
    </row>
    <row r="23" customFormat="false" ht="15" hidden="false" customHeight="false" outlineLevel="0" collapsed="false">
      <c r="A23" s="0" t="s">
        <v>107</v>
      </c>
      <c r="C23" s="4" t="n">
        <f aca="false">Assumptions!C16</f>
        <v>1.5</v>
      </c>
      <c r="D23" s="4" t="n">
        <f aca="false">Assumptions!D16</f>
        <v>1.5</v>
      </c>
      <c r="E23" s="4" t="n">
        <f aca="false">Assumptions!E16</f>
        <v>1.5</v>
      </c>
      <c r="F23" s="4" t="n">
        <f aca="false">Assumptions!F16</f>
        <v>1.5</v>
      </c>
      <c r="G23" s="4" t="n">
        <f aca="false">Assumptions!G16</f>
        <v>1.5</v>
      </c>
      <c r="H23" s="4" t="n">
        <f aca="false">Assumptions!H16</f>
        <v>1.5</v>
      </c>
      <c r="I23" s="4" t="n">
        <f aca="false">Assumptions!I16</f>
        <v>1.5</v>
      </c>
      <c r="J23" s="4" t="n">
        <f aca="false">Assumptions!J16</f>
        <v>1.5</v>
      </c>
      <c r="K23" s="4" t="n">
        <f aca="false">Assumptions!K16</f>
        <v>1.5</v>
      </c>
      <c r="L23" s="4" t="n">
        <f aca="false">Assumptions!L16</f>
        <v>1.5</v>
      </c>
    </row>
    <row r="24" customFormat="false" ht="15" hidden="false" customHeight="false" outlineLevel="0" collapsed="false">
      <c r="A24" s="0" t="s">
        <v>132</v>
      </c>
      <c r="C24" s="0" t="n">
        <f aca="false">-C6*C23/100</f>
        <v>-1190.9475</v>
      </c>
      <c r="D24" s="0" t="n">
        <f aca="false">-D6*D23/100</f>
        <v>-1214.76645</v>
      </c>
      <c r="E24" s="0" t="n">
        <f aca="false">-E6*E23/100</f>
        <v>-1239.061779</v>
      </c>
      <c r="F24" s="0" t="n">
        <f aca="false">-F6*F23/100</f>
        <v>-1263.84301458</v>
      </c>
      <c r="G24" s="0" t="n">
        <f aca="false">-G6*G23/100</f>
        <v>-1289.1198748716</v>
      </c>
      <c r="H24" s="0" t="n">
        <f aca="false">-H6*H23/100</f>
        <v>-1314.90227236903</v>
      </c>
      <c r="I24" s="0" t="n">
        <f aca="false">-I6*I23/100</f>
        <v>-1341.20031781641</v>
      </c>
      <c r="J24" s="0" t="n">
        <f aca="false">-J6*J23/100</f>
        <v>-1368.02432417274</v>
      </c>
      <c r="K24" s="0" t="n">
        <f aca="false">-K6*K23/100</f>
        <v>-1395.3848106562</v>
      </c>
      <c r="L24" s="0" t="n">
        <f aca="false">-L6*L23/100</f>
        <v>-1423.29250686932</v>
      </c>
    </row>
    <row r="26" customFormat="false" ht="15" hidden="false" customHeight="false" outlineLevel="0" collapsed="false">
      <c r="A26" s="2" t="s">
        <v>133</v>
      </c>
    </row>
    <row r="27" customFormat="false" ht="15" hidden="false" customHeight="false" outlineLevel="0" collapsed="false">
      <c r="A27" s="0" t="s">
        <v>111</v>
      </c>
      <c r="B27" s="4" t="n">
        <f aca="false">Assumptions!$B$20</f>
        <v>8</v>
      </c>
    </row>
    <row r="28" customFormat="false" ht="15" hidden="false" customHeight="false" outlineLevel="0" collapsed="false">
      <c r="A28" s="0" t="s">
        <v>112</v>
      </c>
      <c r="B28" s="4" t="n">
        <f aca="false">Assumptions!$B$21</f>
        <v>2</v>
      </c>
    </row>
    <row r="29" customFormat="false" ht="15" hidden="false" customHeight="false" outlineLevel="0" collapsed="false">
      <c r="A29" s="0" t="s">
        <v>113</v>
      </c>
      <c r="B29" s="4" t="n">
        <f aca="false">Assumptions!$B$22</f>
        <v>14</v>
      </c>
    </row>
    <row r="30" customFormat="false" ht="15" hidden="false" customHeight="false" outlineLevel="0" collapsed="false">
      <c r="A30" s="0" t="s">
        <v>134</v>
      </c>
      <c r="B30" s="0" t="n">
        <f aca="false">SUM(C21:L21)</f>
        <v>9313.15052566206</v>
      </c>
    </row>
    <row r="31" customFormat="false" ht="15" hidden="false" customHeight="false" outlineLevel="0" collapsed="false">
      <c r="A31" s="0" t="s">
        <v>135</v>
      </c>
      <c r="B31" s="0" t="n">
        <f aca="false">L19</f>
        <v>1979.28823595798</v>
      </c>
    </row>
    <row r="32" customFormat="false" ht="15" hidden="false" customHeight="false" outlineLevel="0" collapsed="false">
      <c r="A32" s="0" t="s">
        <v>136</v>
      </c>
      <c r="B32" s="0" t="n">
        <f aca="false">IF(B27&gt;B28,B31*(1+B28/100)/((B27-B28)/100),B31*B29)</f>
        <v>33647.9000112857</v>
      </c>
    </row>
    <row r="33" customFormat="false" ht="15" hidden="false" customHeight="false" outlineLevel="0" collapsed="false">
      <c r="A33" s="0" t="s">
        <v>137</v>
      </c>
      <c r="B33" s="0" t="n">
        <f aca="false">B31*B29</f>
        <v>27710.0353034118</v>
      </c>
    </row>
    <row r="34" customFormat="false" ht="15" hidden="false" customHeight="false" outlineLevel="0" collapsed="false">
      <c r="A34" s="0" t="s">
        <v>138</v>
      </c>
      <c r="B34" s="0" t="n">
        <f aca="false">MAX(0,MIN(B32,B33))</f>
        <v>27710.0353034118</v>
      </c>
    </row>
    <row r="35" customFormat="false" ht="15" hidden="false" customHeight="false" outlineLevel="0" collapsed="false">
      <c r="A35" s="0" t="s">
        <v>139</v>
      </c>
      <c r="B35" s="0" t="n">
        <f aca="false">B34/(1+B27/100)^L4</f>
        <v>12835.107907137</v>
      </c>
    </row>
    <row r="36" customFormat="false" ht="15" hidden="false" customHeight="false" outlineLevel="0" collapsed="false">
      <c r="A36" s="0" t="s">
        <v>140</v>
      </c>
      <c r="B36" s="0" t="n">
        <f aca="false">B30+B35</f>
        <v>22148.2584327991</v>
      </c>
    </row>
    <row r="37" customFormat="false" ht="15" hidden="false" customHeight="false" outlineLevel="0" collapsed="false">
      <c r="A37" s="0" t="s">
        <v>141</v>
      </c>
      <c r="B37" s="0" t="n">
        <f aca="false">B36+Assumptions!$B$5-Assumptions!$B$4</f>
        <v>94021.2584327991</v>
      </c>
    </row>
    <row r="38" customFormat="false" ht="15" hidden="false" customHeight="false" outlineLevel="0" collapsed="false">
      <c r="A38" s="0" t="s">
        <v>142</v>
      </c>
      <c r="B38" s="0" t="n">
        <f aca="false">B37/Assumptions!$B$3*Assumptions!$B$10</f>
        <v>13.9416744662286</v>
      </c>
    </row>
    <row r="39" customFormat="false" ht="15" hidden="false" customHeight="false" outlineLevel="0" collapsed="false">
      <c r="A39" s="0" t="s">
        <v>143</v>
      </c>
      <c r="B39" s="4" t="n">
        <f aca="false">B38/Assumptions!$B$2-1</f>
        <v>-0.0705550355847595</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13.9416744662286</v>
      </c>
    </row>
    <row r="45" customFormat="false" ht="15" hidden="false" customHeight="false" outlineLevel="0" collapsed="false">
      <c r="A45" s="0" t="s">
        <v>86</v>
      </c>
      <c r="B45" s="4" t="n">
        <f aca="false">Assumptions!$B$6</f>
        <v>15</v>
      </c>
    </row>
    <row r="46" customFormat="false" ht="15" hidden="false" customHeight="false" outlineLevel="0" collapsed="false">
      <c r="A46" s="0" t="s">
        <v>147</v>
      </c>
      <c r="B46" s="0" t="n">
        <f aca="false">MAX(0,MIN(IF(B45&gt;B28,B31*(1+B28/100)/((B45-B28)/100),B31*B29),B31*B29))</f>
        <v>15529.8000052088</v>
      </c>
    </row>
    <row r="47" customFormat="false" ht="15" hidden="false" customHeight="false" outlineLevel="0" collapsed="false">
      <c r="A47" s="0" t="s">
        <v>148</v>
      </c>
      <c r="B47" s="0" t="n">
        <f aca="false">(SUMPRODUCT(C19:L19/(1+B45/100)^C4:L4)+B46/(1+B45/100)^L4+Assumptions!$B$5-Assumptions!$B$4)/Assumptions!$B$3*Assumptions!$B$10</f>
        <v>12.1953686637733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119</v>
      </c>
      <c r="B3" s="0" t="s">
        <v>89</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Assumptions!C27</f>
        <v>6</v>
      </c>
      <c r="D5" s="4" t="n">
        <f aca="false">Assumptions!D27</f>
        <v>5</v>
      </c>
      <c r="E5" s="4" t="n">
        <f aca="false">Assumptions!E27</f>
        <v>4.5</v>
      </c>
      <c r="F5" s="4" t="n">
        <f aca="false">Assumptions!F27</f>
        <v>4</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77460</v>
      </c>
      <c r="C6" s="0" t="n">
        <f aca="false">B6*(1+C5/100)</f>
        <v>82107.6</v>
      </c>
      <c r="D6" s="0" t="n">
        <f aca="false">C6*(1+D5/100)</f>
        <v>86212.98</v>
      </c>
      <c r="E6" s="0" t="n">
        <f aca="false">D6*(1+E5/100)</f>
        <v>90092.5641</v>
      </c>
      <c r="F6" s="0" t="n">
        <f aca="false">E6*(1+F5/100)</f>
        <v>93696.266664</v>
      </c>
      <c r="G6" s="0" t="n">
        <f aca="false">F6*(1+G5/100)</f>
        <v>97444.11733056</v>
      </c>
      <c r="H6" s="0" t="n">
        <f aca="false">G6*(1+H5/100)</f>
        <v>100854.66143713</v>
      </c>
      <c r="I6" s="0" t="n">
        <f aca="false">H6*(1+I5/100)</f>
        <v>103880.301280244</v>
      </c>
      <c r="J6" s="0" t="n">
        <f aca="false">I6*(1+J5/100)</f>
        <v>106996.710318651</v>
      </c>
      <c r="K6" s="0" t="n">
        <f aca="false">J6*(1+K5/100)</f>
        <v>109671.628076617</v>
      </c>
      <c r="L6" s="0" t="n">
        <f aca="false">K6*(1+L5/100)</f>
        <v>112413.418778532</v>
      </c>
    </row>
    <row r="7" customFormat="false" ht="15" hidden="false" customHeight="false" outlineLevel="0" collapsed="false">
      <c r="A7" s="0" t="s">
        <v>105</v>
      </c>
      <c r="C7" s="4" t="n">
        <f aca="false">Assumptions!C28</f>
        <v>10.1</v>
      </c>
      <c r="D7" s="4" t="n">
        <f aca="false">Assumptions!D28</f>
        <v>10.2</v>
      </c>
      <c r="E7" s="4" t="n">
        <f aca="false">Assumptions!E28</f>
        <v>10.3</v>
      </c>
      <c r="F7" s="4" t="n">
        <f aca="false">Assumptions!F28</f>
        <v>10.4</v>
      </c>
      <c r="G7" s="4" t="n">
        <f aca="false">Assumptions!G28</f>
        <v>10.5</v>
      </c>
      <c r="H7" s="4" t="n">
        <f aca="false">Assumptions!H28</f>
        <v>10.5</v>
      </c>
      <c r="I7" s="4" t="n">
        <f aca="false">Assumptions!I28</f>
        <v>10.5</v>
      </c>
      <c r="J7" s="4" t="n">
        <f aca="false">Assumptions!J28</f>
        <v>10.5</v>
      </c>
      <c r="K7" s="4" t="n">
        <f aca="false">Assumptions!K28</f>
        <v>10.5</v>
      </c>
      <c r="L7" s="4" t="n">
        <f aca="false">Assumptions!L28</f>
        <v>10.5</v>
      </c>
    </row>
    <row r="8" customFormat="false" ht="15" hidden="false" customHeight="false" outlineLevel="0" collapsed="false">
      <c r="A8" s="0" t="s">
        <v>43</v>
      </c>
      <c r="C8" s="0" t="n">
        <f aca="false">C6*C7/100</f>
        <v>8292.8676</v>
      </c>
      <c r="D8" s="0" t="n">
        <f aca="false">D6*D7/100</f>
        <v>8793.72396</v>
      </c>
      <c r="E8" s="0" t="n">
        <f aca="false">E6*E7/100</f>
        <v>9279.5341023</v>
      </c>
      <c r="F8" s="0" t="n">
        <f aca="false">F6*F7/100</f>
        <v>9744.411733056</v>
      </c>
      <c r="G8" s="0" t="n">
        <f aca="false">G6*G7/100</f>
        <v>10231.6323197088</v>
      </c>
      <c r="H8" s="0" t="n">
        <f aca="false">H6*H7/100</f>
        <v>10589.7394508986</v>
      </c>
      <c r="I8" s="0" t="n">
        <f aca="false">I6*I7/100</f>
        <v>10907.4316344256</v>
      </c>
      <c r="J8" s="0" t="n">
        <f aca="false">J6*J7/100</f>
        <v>11234.6545834583</v>
      </c>
      <c r="K8" s="0" t="n">
        <f aca="false">K6*K7/100</f>
        <v>11515.5209480448</v>
      </c>
      <c r="L8" s="0" t="n">
        <f aca="false">L6*L7/100</f>
        <v>11803.4089717459</v>
      </c>
    </row>
    <row r="9" customFormat="false" ht="15" hidden="false" customHeight="false" outlineLevel="0" collapsed="false">
      <c r="A9" s="0" t="s">
        <v>106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7061.2536</v>
      </c>
      <c r="D11" s="0" t="n">
        <f aca="false">D8+D10+D24</f>
        <v>7500.52926</v>
      </c>
      <c r="E11" s="0" t="n">
        <f aca="false">E8+E10+E24</f>
        <v>7928.1456408</v>
      </c>
      <c r="F11" s="0" t="n">
        <f aca="false">F8+F10+F24</f>
        <v>8338.967733096</v>
      </c>
      <c r="G11" s="0" t="n">
        <f aca="false">G8+G10+G24</f>
        <v>8769.9705597504</v>
      </c>
      <c r="H11" s="0" t="n">
        <f aca="false">H8+H10+H24</f>
        <v>9076.91952934167</v>
      </c>
      <c r="I11" s="0" t="n">
        <f aca="false">I8+I10+I24</f>
        <v>9349.22711522192</v>
      </c>
      <c r="J11" s="0" t="n">
        <f aca="false">J8+J10+J24</f>
        <v>9629.70392867857</v>
      </c>
      <c r="K11" s="0" t="n">
        <f aca="false">K8+K10+K24</f>
        <v>9870.44652689554</v>
      </c>
      <c r="L11" s="0" t="n">
        <f aca="false">L8+L10+L24</f>
        <v>10117.2076900679</v>
      </c>
    </row>
    <row r="12" customFormat="false" ht="15" hidden="false" customHeight="false" outlineLevel="0" collapsed="false">
      <c r="A12" s="0" t="s">
        <v>123</v>
      </c>
      <c r="C12" s="4" t="n">
        <f aca="false">-C6*Assumptions!C31/100</f>
        <v>-3366.4116</v>
      </c>
      <c r="D12" s="4" t="n">
        <f aca="false">-D6*Assumptions!D31/100</f>
        <v>-3534.73218</v>
      </c>
      <c r="E12" s="4" t="n">
        <f aca="false">-E6*Assumptions!E31/100</f>
        <v>-3693.7951281</v>
      </c>
      <c r="F12" s="4" t="n">
        <f aca="false">-F6*Assumptions!F31/100</f>
        <v>-3841.546933224</v>
      </c>
      <c r="G12" s="4" t="n">
        <f aca="false">-G6*Assumptions!G31/100</f>
        <v>-3995.20881055296</v>
      </c>
      <c r="H12" s="4" t="n">
        <f aca="false">-H6*Assumptions!H31/100</f>
        <v>-4135.04111892231</v>
      </c>
      <c r="I12" s="4" t="n">
        <f aca="false">-I6*Assumptions!I31/100</f>
        <v>-4259.09235248998</v>
      </c>
      <c r="J12" s="4" t="n">
        <f aca="false">-J6*Assumptions!J31/100</f>
        <v>-4386.86512306468</v>
      </c>
      <c r="K12" s="4" t="n">
        <f aca="false">-K6*Assumptions!K31/100</f>
        <v>-4496.5367511413</v>
      </c>
      <c r="L12" s="4" t="n">
        <f aca="false">-L6*Assumptions!L31/100</f>
        <v>-4608.95016991983</v>
      </c>
    </row>
    <row r="13" customFormat="false" ht="15" hidden="false" customHeight="false" outlineLevel="0" collapsed="false">
      <c r="A13" s="0" t="s">
        <v>124</v>
      </c>
      <c r="C13" s="0" t="n">
        <f aca="false">C11+C12</f>
        <v>3694.842</v>
      </c>
      <c r="D13" s="0" t="n">
        <f aca="false">D11+D12</f>
        <v>3965.79708</v>
      </c>
      <c r="E13" s="0" t="n">
        <f aca="false">E11+E12</f>
        <v>4234.3505127</v>
      </c>
      <c r="F13" s="0" t="n">
        <f aca="false">F11+F12</f>
        <v>4497.420799872</v>
      </c>
      <c r="G13" s="0" t="n">
        <f aca="false">G11+G12</f>
        <v>4774.76174919744</v>
      </c>
      <c r="H13" s="0" t="n">
        <f aca="false">H11+H12</f>
        <v>4941.87841041935</v>
      </c>
      <c r="I13" s="0" t="n">
        <f aca="false">I11+I12</f>
        <v>5090.13476273193</v>
      </c>
      <c r="J13" s="0" t="n">
        <f aca="false">J11+J12</f>
        <v>5242.83880561389</v>
      </c>
      <c r="K13" s="0" t="n">
        <f aca="false">K11+K12</f>
        <v>5373.90977575424</v>
      </c>
      <c r="L13" s="0" t="n">
        <f aca="false">L11+L12</f>
        <v>5508.25752014809</v>
      </c>
    </row>
    <row r="14" customFormat="false" ht="15" hidden="false" customHeight="false" outlineLevel="0" collapsed="false">
      <c r="A14" s="0" t="s">
        <v>110</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125</v>
      </c>
      <c r="C15" s="0" t="n">
        <f aca="false">C13-MAX(0,C13)*C14/100</f>
        <v>2808.07992</v>
      </c>
      <c r="D15" s="0" t="n">
        <f aca="false">D13-MAX(0,D13)*D14/100</f>
        <v>3014.0057808</v>
      </c>
      <c r="E15" s="0" t="n">
        <f aca="false">E13-MAX(0,E13)*E14/100</f>
        <v>3218.106389652</v>
      </c>
      <c r="F15" s="0" t="n">
        <f aca="false">F13-MAX(0,F13)*F14/100</f>
        <v>3418.03980790272</v>
      </c>
      <c r="G15" s="0" t="n">
        <f aca="false">G13-MAX(0,G13)*G14/100</f>
        <v>3628.81892939005</v>
      </c>
      <c r="H15" s="0" t="n">
        <f aca="false">H13-MAX(0,H13)*H14/100</f>
        <v>3755.82759191871</v>
      </c>
      <c r="I15" s="0" t="n">
        <f aca="false">I13-MAX(0,I13)*I14/100</f>
        <v>3868.50241967627</v>
      </c>
      <c r="J15" s="0" t="n">
        <f aca="false">J13-MAX(0,J13)*J14/100</f>
        <v>3984.55749226656</v>
      </c>
      <c r="K15" s="0" t="n">
        <f aca="false">K13-MAX(0,K13)*K14/100</f>
        <v>4084.17142957322</v>
      </c>
      <c r="L15" s="0" t="n">
        <f aca="false">L13-MAX(0,L13)*L14/100</f>
        <v>4186.27571531255</v>
      </c>
    </row>
    <row r="16" customFormat="false" ht="15" hidden="false" customHeight="false" outlineLevel="0" collapsed="false">
      <c r="A16" s="0" t="s">
        <v>126</v>
      </c>
      <c r="C16" s="0" t="n">
        <f aca="false">-C12</f>
        <v>3366.4116</v>
      </c>
      <c r="D16" s="0" t="n">
        <f aca="false">-D12</f>
        <v>3534.73218</v>
      </c>
      <c r="E16" s="0" t="n">
        <f aca="false">-E12</f>
        <v>3693.7951281</v>
      </c>
      <c r="F16" s="0" t="n">
        <f aca="false">-F12</f>
        <v>3841.546933224</v>
      </c>
      <c r="G16" s="0" t="n">
        <f aca="false">-G12</f>
        <v>3995.20881055296</v>
      </c>
      <c r="H16" s="0" t="n">
        <f aca="false">-H12</f>
        <v>4135.04111892231</v>
      </c>
      <c r="I16" s="0" t="n">
        <f aca="false">-I12</f>
        <v>4259.09235248998</v>
      </c>
      <c r="J16" s="0" t="n">
        <f aca="false">-J12</f>
        <v>4386.86512306468</v>
      </c>
      <c r="K16" s="0" t="n">
        <f aca="false">-K12</f>
        <v>4496.5367511413</v>
      </c>
      <c r="L16" s="0" t="n">
        <f aca="false">-L12</f>
        <v>4608.95016991983</v>
      </c>
    </row>
    <row r="17" customFormat="false" ht="15" hidden="false" customHeight="false" outlineLevel="0" collapsed="false">
      <c r="A17" s="0" t="s">
        <v>127</v>
      </c>
      <c r="C17" s="4" t="n">
        <f aca="false">-C6*Assumptions!C32/100</f>
        <v>-5336.994</v>
      </c>
      <c r="D17" s="4" t="n">
        <f aca="false">-D6*Assumptions!D32/100</f>
        <v>-5603.8437</v>
      </c>
      <c r="E17" s="4" t="n">
        <f aca="false">-E6*Assumptions!E32/100</f>
        <v>-5405.553846</v>
      </c>
      <c r="F17" s="4" t="n">
        <f aca="false">-F6*Assumptions!F32/100</f>
        <v>-5153.29466652</v>
      </c>
      <c r="G17" s="4" t="n">
        <f aca="false">-G6*Assumptions!G32/100</f>
        <v>-4872.205866528</v>
      </c>
      <c r="H17" s="4" t="n">
        <f aca="false">-H6*Assumptions!H32/100</f>
        <v>-4841.02374898222</v>
      </c>
      <c r="I17" s="4" t="n">
        <f aca="false">-I6*Assumptions!I32/100</f>
        <v>-4986.25446145169</v>
      </c>
      <c r="J17" s="4" t="n">
        <f aca="false">-J6*Assumptions!J32/100</f>
        <v>-5135.84209529524</v>
      </c>
      <c r="K17" s="4" t="n">
        <f aca="false">-K6*Assumptions!K32/100</f>
        <v>-5264.23814767762</v>
      </c>
      <c r="L17" s="4" t="n">
        <f aca="false">-L6*Assumptions!L32/100</f>
        <v>-5395.84410136956</v>
      </c>
    </row>
    <row r="18" customFormat="false" ht="15" hidden="false" customHeight="false" outlineLevel="0" collapsed="false">
      <c r="A18" s="0" t="s">
        <v>128</v>
      </c>
      <c r="C18" s="4" t="n">
        <f aca="false">(C6-B6)*Assumptions!$B$37/100</f>
        <v>-232.38</v>
      </c>
      <c r="D18" s="4" t="n">
        <f aca="false">(D6-C6)*Assumptions!$B$37/100</f>
        <v>-205.269</v>
      </c>
      <c r="E18" s="4" t="n">
        <f aca="false">(E6-D6)*Assumptions!$B$37/100</f>
        <v>-193.979205</v>
      </c>
      <c r="F18" s="4" t="n">
        <f aca="false">(F6-E6)*Assumptions!$B$37/100</f>
        <v>-180.1851282</v>
      </c>
      <c r="G18" s="4" t="n">
        <f aca="false">(G6-F6)*Assumptions!$B$37/100</f>
        <v>-187.392533328</v>
      </c>
      <c r="H18" s="4" t="n">
        <f aca="false">(H6-G6)*Assumptions!$B$37/100</f>
        <v>-170.52720532848</v>
      </c>
      <c r="I18" s="4" t="n">
        <f aca="false">(I6-H6)*Assumptions!$B$37/100</f>
        <v>-151.281992155695</v>
      </c>
      <c r="J18" s="4" t="n">
        <f aca="false">(J6-I6)*Assumptions!$B$37/100</f>
        <v>-155.820451920365</v>
      </c>
      <c r="K18" s="4" t="n">
        <f aca="false">(K6-J6)*Assumptions!$B$37/100</f>
        <v>-133.745887898313</v>
      </c>
      <c r="L18" s="4" t="n">
        <f aca="false">(L6-K6)*Assumptions!$B$37/100</f>
        <v>-137.089535095771</v>
      </c>
    </row>
    <row r="19" customFormat="false" ht="15" hidden="false" customHeight="false" outlineLevel="0" collapsed="false">
      <c r="A19" s="0" t="s">
        <v>129</v>
      </c>
      <c r="C19" s="0" t="n">
        <f aca="false">C15+C16+C17+C18</f>
        <v>605.117519999999</v>
      </c>
      <c r="D19" s="0" t="n">
        <f aca="false">D15+D16+D17+D18</f>
        <v>739.6252608</v>
      </c>
      <c r="E19" s="0" t="n">
        <f aca="false">E15+E16+E17+E18</f>
        <v>1312.368466752</v>
      </c>
      <c r="F19" s="0" t="n">
        <f aca="false">F15+F16+F17+F18</f>
        <v>1926.10694640672</v>
      </c>
      <c r="G19" s="0" t="n">
        <f aca="false">G15+G16+G17+G18</f>
        <v>2564.42934008701</v>
      </c>
      <c r="H19" s="0" t="n">
        <f aca="false">H15+H16+H17+H18</f>
        <v>2879.31775653032</v>
      </c>
      <c r="I19" s="0" t="n">
        <f aca="false">I15+I16+I17+I18</f>
        <v>2990.05831855887</v>
      </c>
      <c r="J19" s="0" t="n">
        <f aca="false">J15+J16+J17+J18</f>
        <v>3079.76006811564</v>
      </c>
      <c r="K19" s="0" t="n">
        <f aca="false">K15+K16+K17+K18</f>
        <v>3182.72414513859</v>
      </c>
      <c r="L19" s="0" t="n">
        <f aca="false">L15+L16+L17+L18</f>
        <v>3262.29224876705</v>
      </c>
    </row>
    <row r="20" customFormat="false" ht="15" hidden="false" customHeight="false" outlineLevel="0" collapsed="false">
      <c r="A20" s="0" t="s">
        <v>130</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131</v>
      </c>
      <c r="C21" s="0" t="n">
        <f aca="false">C19*C20</f>
        <v>560.293999999999</v>
      </c>
      <c r="D21" s="0" t="n">
        <f aca="false">D19*D20</f>
        <v>634.10944855967</v>
      </c>
      <c r="E21" s="0" t="n">
        <f aca="false">E19*E20</f>
        <v>1041.80040100595</v>
      </c>
      <c r="F21" s="0" t="n">
        <f aca="false">F19*F20</f>
        <v>1415.74610528756</v>
      </c>
      <c r="G21" s="0" t="n">
        <f aca="false">G19*G20</f>
        <v>1745.30751884358</v>
      </c>
      <c r="H21" s="0" t="n">
        <f aca="false">H19*H20</f>
        <v>1814.45859631061</v>
      </c>
      <c r="I21" s="0" t="n">
        <f aca="false">I19*I20</f>
        <v>1744.67031015275</v>
      </c>
      <c r="J21" s="0" t="n">
        <f aca="false">J19*J20</f>
        <v>1663.89853653456</v>
      </c>
      <c r="K21" s="0" t="n">
        <f aca="false">K19*K20</f>
        <v>1592.15446626993</v>
      </c>
      <c r="L21" s="0" t="n">
        <f aca="false">L19*L20</f>
        <v>1511.07252585804</v>
      </c>
    </row>
    <row r="23" customFormat="false" ht="15" hidden="false" customHeight="false" outlineLevel="0" collapsed="false">
      <c r="A23" s="0" t="s">
        <v>107</v>
      </c>
      <c r="C23" s="4" t="n">
        <f aca="false">Assumptions!C30</f>
        <v>1.5</v>
      </c>
      <c r="D23" s="4" t="n">
        <f aca="false">Assumptions!D30</f>
        <v>1.5</v>
      </c>
      <c r="E23" s="4" t="n">
        <f aca="false">Assumptions!E30</f>
        <v>1.5</v>
      </c>
      <c r="F23" s="4" t="n">
        <f aca="false">Assumptions!F30</f>
        <v>1.5</v>
      </c>
      <c r="G23" s="4" t="n">
        <f aca="false">Assumptions!G30</f>
        <v>1.5</v>
      </c>
      <c r="H23" s="4" t="n">
        <f aca="false">Assumptions!H30</f>
        <v>1.5</v>
      </c>
      <c r="I23" s="4" t="n">
        <f aca="false">Assumptions!I30</f>
        <v>1.5</v>
      </c>
      <c r="J23" s="4" t="n">
        <f aca="false">Assumptions!J30</f>
        <v>1.5</v>
      </c>
      <c r="K23" s="4" t="n">
        <f aca="false">Assumptions!K30</f>
        <v>1.5</v>
      </c>
      <c r="L23" s="4" t="n">
        <f aca="false">Assumptions!L30</f>
        <v>1.5</v>
      </c>
    </row>
    <row r="24" customFormat="false" ht="15" hidden="false" customHeight="false" outlineLevel="0" collapsed="false">
      <c r="A24" s="0" t="s">
        <v>132</v>
      </c>
      <c r="C24" s="0" t="n">
        <f aca="false">-C6*C23/100</f>
        <v>-1231.614</v>
      </c>
      <c r="D24" s="0" t="n">
        <f aca="false">-D6*D23/100</f>
        <v>-1293.1947</v>
      </c>
      <c r="E24" s="0" t="n">
        <f aca="false">-E6*E23/100</f>
        <v>-1351.3884615</v>
      </c>
      <c r="F24" s="0" t="n">
        <f aca="false">-F6*F23/100</f>
        <v>-1405.44399996</v>
      </c>
      <c r="G24" s="0" t="n">
        <f aca="false">-G6*G23/100</f>
        <v>-1461.6617599584</v>
      </c>
      <c r="H24" s="0" t="n">
        <f aca="false">-H6*H23/100</f>
        <v>-1512.81992155694</v>
      </c>
      <c r="I24" s="0" t="n">
        <f aca="false">-I6*I23/100</f>
        <v>-1558.20451920365</v>
      </c>
      <c r="J24" s="0" t="n">
        <f aca="false">-J6*J23/100</f>
        <v>-1604.95065477976</v>
      </c>
      <c r="K24" s="0" t="n">
        <f aca="false">-K6*K23/100</f>
        <v>-1645.07442114926</v>
      </c>
      <c r="L24" s="0" t="n">
        <f aca="false">-L6*L23/100</f>
        <v>-1686.20128167799</v>
      </c>
    </row>
    <row r="26" customFormat="false" ht="15" hidden="false" customHeight="false" outlineLevel="0" collapsed="false">
      <c r="A26" s="2" t="s">
        <v>133</v>
      </c>
    </row>
    <row r="27" customFormat="false" ht="15" hidden="false" customHeight="false" outlineLevel="0" collapsed="false">
      <c r="A27" s="0" t="s">
        <v>111</v>
      </c>
      <c r="B27" s="4" t="n">
        <f aca="false">Assumptions!$B$34</f>
        <v>8</v>
      </c>
    </row>
    <row r="28" customFormat="false" ht="15" hidden="false" customHeight="false" outlineLevel="0" collapsed="false">
      <c r="A28" s="0" t="s">
        <v>112</v>
      </c>
      <c r="B28" s="4" t="n">
        <f aca="false">Assumptions!$B$35</f>
        <v>2.5</v>
      </c>
    </row>
    <row r="29" customFormat="false" ht="15" hidden="false" customHeight="false" outlineLevel="0" collapsed="false">
      <c r="A29" s="0" t="s">
        <v>113</v>
      </c>
      <c r="B29" s="4" t="n">
        <f aca="false">Assumptions!$B$36</f>
        <v>14</v>
      </c>
    </row>
    <row r="30" customFormat="false" ht="15" hidden="false" customHeight="false" outlineLevel="0" collapsed="false">
      <c r="A30" s="0" t="s">
        <v>134</v>
      </c>
      <c r="B30" s="0" t="n">
        <f aca="false">SUM(C21:L21)</f>
        <v>13723.5119088226</v>
      </c>
    </row>
    <row r="31" customFormat="false" ht="15" hidden="false" customHeight="false" outlineLevel="0" collapsed="false">
      <c r="A31" s="0" t="s">
        <v>135</v>
      </c>
      <c r="B31" s="0" t="n">
        <f aca="false">L19</f>
        <v>3262.29224876705</v>
      </c>
    </row>
    <row r="32" customFormat="false" ht="15" hidden="false" customHeight="false" outlineLevel="0" collapsed="false">
      <c r="A32" s="0" t="s">
        <v>136</v>
      </c>
      <c r="B32" s="0" t="n">
        <f aca="false">IF(B27&gt;B28,B31*(1+B28/100)/((B27-B28)/100),B31*B29)</f>
        <v>60797.2646361133</v>
      </c>
    </row>
    <row r="33" customFormat="false" ht="15" hidden="false" customHeight="false" outlineLevel="0" collapsed="false">
      <c r="A33" s="0" t="s">
        <v>137</v>
      </c>
      <c r="B33" s="0" t="n">
        <f aca="false">B31*B29</f>
        <v>45672.0914827387</v>
      </c>
    </row>
    <row r="34" customFormat="false" ht="15" hidden="false" customHeight="false" outlineLevel="0" collapsed="false">
      <c r="A34" s="0" t="s">
        <v>138</v>
      </c>
      <c r="B34" s="0" t="n">
        <f aca="false">MAX(0,MIN(B32,B33))</f>
        <v>45672.0914827387</v>
      </c>
    </row>
    <row r="35" customFormat="false" ht="15" hidden="false" customHeight="false" outlineLevel="0" collapsed="false">
      <c r="A35" s="0" t="s">
        <v>139</v>
      </c>
      <c r="B35" s="0" t="n">
        <f aca="false">B34/(1+B27/100)^L4</f>
        <v>21155.0153620126</v>
      </c>
    </row>
    <row r="36" customFormat="false" ht="15" hidden="false" customHeight="false" outlineLevel="0" collapsed="false">
      <c r="A36" s="0" t="s">
        <v>140</v>
      </c>
      <c r="B36" s="0" t="n">
        <f aca="false">B30+B35</f>
        <v>34878.5272708352</v>
      </c>
    </row>
    <row r="37" customFormat="false" ht="15" hidden="false" customHeight="false" outlineLevel="0" collapsed="false">
      <c r="A37" s="0" t="s">
        <v>141</v>
      </c>
      <c r="B37" s="0" t="n">
        <f aca="false">B36+Assumptions!$B$5-Assumptions!$B$4</f>
        <v>106751.527270835</v>
      </c>
    </row>
    <row r="38" customFormat="false" ht="15" hidden="false" customHeight="false" outlineLevel="0" collapsed="false">
      <c r="A38" s="0" t="s">
        <v>142</v>
      </c>
      <c r="B38" s="0" t="n">
        <f aca="false">B37/Assumptions!$B$3*Assumptions!$B$10</f>
        <v>15.8293461158729</v>
      </c>
    </row>
    <row r="39" customFormat="false" ht="15" hidden="false" customHeight="false" outlineLevel="0" collapsed="false">
      <c r="A39" s="0" t="s">
        <v>143</v>
      </c>
      <c r="B39" s="4" t="n">
        <f aca="false">B38/Assumptions!$B$2-1</f>
        <v>0.0552897410581927</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15.8293461158729</v>
      </c>
    </row>
    <row r="45" customFormat="false" ht="15" hidden="false" customHeight="false" outlineLevel="0" collapsed="false">
      <c r="A45" s="0" t="s">
        <v>86</v>
      </c>
      <c r="B45" s="4" t="n">
        <f aca="false">Assumptions!$B$6</f>
        <v>15</v>
      </c>
    </row>
    <row r="46" customFormat="false" ht="15" hidden="false" customHeight="false" outlineLevel="0" collapsed="false">
      <c r="A46" s="0" t="s">
        <v>147</v>
      </c>
      <c r="B46" s="0" t="n">
        <f aca="false">MAX(0,MIN(IF(B45&gt;B28,B31*(1+B28/100)/((B45-B28)/100),B31*B29),B31*B29))</f>
        <v>26750.7964398898</v>
      </c>
    </row>
    <row r="47" customFormat="false" ht="15" hidden="false" customHeight="false" outlineLevel="0" collapsed="false">
      <c r="A47" s="0" t="s">
        <v>148</v>
      </c>
      <c r="B47" s="0" t="n">
        <f aca="false">(SUMPRODUCT(C19:L19/(1+B45/100)^C4:L4)+B46/(1+B45/100)^L4+Assumptions!$B$5-Assumptions!$B$4)/Assumptions!$B$3*Assumptions!$B$10</f>
        <v>13.0335198855158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119</v>
      </c>
      <c r="B3" s="0" t="s">
        <v>89</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Assumptions!C41</f>
        <v>8</v>
      </c>
      <c r="D5" s="4" t="n">
        <f aca="false">Assumptions!D41</f>
        <v>7</v>
      </c>
      <c r="E5" s="4" t="n">
        <f aca="false">Assumptions!E41</f>
        <v>6.5</v>
      </c>
      <c r="F5" s="4" t="n">
        <f aca="false">Assumptions!F41</f>
        <v>6</v>
      </c>
      <c r="G5" s="4" t="n">
        <f aca="false">Assumptions!G41</f>
        <v>5.5</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77460</v>
      </c>
      <c r="C6" s="0" t="n">
        <f aca="false">B6*(1+C5/100)</f>
        <v>83656.8</v>
      </c>
      <c r="D6" s="0" t="n">
        <f aca="false">C6*(1+D5/100)</f>
        <v>89512.776</v>
      </c>
      <c r="E6" s="0" t="n">
        <f aca="false">D6*(1+E5/100)</f>
        <v>95331.10644</v>
      </c>
      <c r="F6" s="0" t="n">
        <f aca="false">E6*(1+F5/100)</f>
        <v>101050.9728264</v>
      </c>
      <c r="G6" s="0" t="n">
        <f aca="false">F6*(1+G5/100)</f>
        <v>106608.776331852</v>
      </c>
      <c r="H6" s="0" t="n">
        <f aca="false">G6*(1+H5/100)</f>
        <v>111939.215148445</v>
      </c>
      <c r="I6" s="0" t="n">
        <f aca="false">H6*(1+I5/100)</f>
        <v>116416.783754382</v>
      </c>
      <c r="J6" s="0" t="n">
        <f aca="false">I6*(1+J5/100)</f>
        <v>120491.371185786</v>
      </c>
      <c r="K6" s="0" t="n">
        <f aca="false">J6*(1+K5/100)</f>
        <v>124106.112321359</v>
      </c>
      <c r="L6" s="0" t="n">
        <f aca="false">K6*(1+L5/100)</f>
        <v>127829.295691</v>
      </c>
    </row>
    <row r="7" customFormat="false" ht="15" hidden="false" customHeight="false" outlineLevel="0" collapsed="false">
      <c r="A7" s="0" t="s">
        <v>105</v>
      </c>
      <c r="C7" s="4" t="n">
        <f aca="false">Assumptions!C42</f>
        <v>10.3</v>
      </c>
      <c r="D7" s="4" t="n">
        <f aca="false">Assumptions!D42</f>
        <v>10.6</v>
      </c>
      <c r="E7" s="4" t="n">
        <f aca="false">Assumptions!E42</f>
        <v>10.9</v>
      </c>
      <c r="F7" s="4" t="n">
        <f aca="false">Assumptions!F42</f>
        <v>11.2</v>
      </c>
      <c r="G7" s="4" t="n">
        <f aca="false">Assumptions!G42</f>
        <v>11.5</v>
      </c>
      <c r="H7" s="4" t="n">
        <f aca="false">Assumptions!H42</f>
        <v>11.5</v>
      </c>
      <c r="I7" s="4" t="n">
        <f aca="false">Assumptions!I42</f>
        <v>11.5</v>
      </c>
      <c r="J7" s="4" t="n">
        <f aca="false">Assumptions!J42</f>
        <v>11.5</v>
      </c>
      <c r="K7" s="4" t="n">
        <f aca="false">Assumptions!K42</f>
        <v>11.5</v>
      </c>
      <c r="L7" s="4" t="n">
        <f aca="false">Assumptions!L42</f>
        <v>11.5</v>
      </c>
    </row>
    <row r="8" customFormat="false" ht="15" hidden="false" customHeight="false" outlineLevel="0" collapsed="false">
      <c r="A8" s="0" t="s">
        <v>43</v>
      </c>
      <c r="C8" s="0" t="n">
        <f aca="false">C6*C7/100</f>
        <v>8616.6504</v>
      </c>
      <c r="D8" s="0" t="n">
        <f aca="false">D6*D7/100</f>
        <v>9488.354256</v>
      </c>
      <c r="E8" s="0" t="n">
        <f aca="false">E6*E7/100</f>
        <v>10391.09060196</v>
      </c>
      <c r="F8" s="0" t="n">
        <f aca="false">F6*F7/100</f>
        <v>11317.7089565568</v>
      </c>
      <c r="G8" s="0" t="n">
        <f aca="false">G6*G7/100</f>
        <v>12260.009278163</v>
      </c>
      <c r="H8" s="0" t="n">
        <f aca="false">H6*H7/100</f>
        <v>12873.0097420711</v>
      </c>
      <c r="I8" s="0" t="n">
        <f aca="false">I6*I7/100</f>
        <v>13387.930131754</v>
      </c>
      <c r="J8" s="0" t="n">
        <f aca="false">J6*J7/100</f>
        <v>13856.5076863654</v>
      </c>
      <c r="K8" s="0" t="n">
        <f aca="false">K6*K7/100</f>
        <v>14272.2029169563</v>
      </c>
      <c r="L8" s="0" t="n">
        <f aca="false">L6*L7/100</f>
        <v>14700.369004465</v>
      </c>
    </row>
    <row r="9" customFormat="false" ht="15" hidden="false" customHeight="false" outlineLevel="0" collapsed="false">
      <c r="A9" s="0" t="s">
        <v>106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7361.7984</v>
      </c>
      <c r="D11" s="0" t="n">
        <f aca="false">D8+D10+D24</f>
        <v>8145.662616</v>
      </c>
      <c r="E11" s="0" t="n">
        <f aca="false">E8+E10+E24</f>
        <v>8961.12400536</v>
      </c>
      <c r="F11" s="0" t="n">
        <f aca="false">F8+F10+F24</f>
        <v>9801.9443641608</v>
      </c>
      <c r="G11" s="0" t="n">
        <f aca="false">G8+G10+G24</f>
        <v>10660.8776331852</v>
      </c>
      <c r="H11" s="0" t="n">
        <f aca="false">H8+H10+H24</f>
        <v>11193.9215148445</v>
      </c>
      <c r="I11" s="0" t="n">
        <f aca="false">I8+I10+I24</f>
        <v>11641.6783754382</v>
      </c>
      <c r="J11" s="0" t="n">
        <f aca="false">J8+J10+J24</f>
        <v>12049.1371185786</v>
      </c>
      <c r="K11" s="0" t="n">
        <f aca="false">K8+K10+K24</f>
        <v>12410.6112321359</v>
      </c>
      <c r="L11" s="0" t="n">
        <f aca="false">L8+L10+L24</f>
        <v>12782.9295691</v>
      </c>
    </row>
    <row r="12" customFormat="false" ht="15" hidden="false" customHeight="false" outlineLevel="0" collapsed="false">
      <c r="A12" s="0" t="s">
        <v>123</v>
      </c>
      <c r="C12" s="4" t="n">
        <f aca="false">-C6*Assumptions!C45/100</f>
        <v>-3429.9288</v>
      </c>
      <c r="D12" s="4" t="n">
        <f aca="false">-D6*Assumptions!D45/100</f>
        <v>-3670.023816</v>
      </c>
      <c r="E12" s="4" t="n">
        <f aca="false">-E6*Assumptions!E45/100</f>
        <v>-3908.57536404</v>
      </c>
      <c r="F12" s="4" t="n">
        <f aca="false">-F6*Assumptions!F45/100</f>
        <v>-4143.0898858824</v>
      </c>
      <c r="G12" s="4" t="n">
        <f aca="false">-G6*Assumptions!G45/100</f>
        <v>-4370.95982960593</v>
      </c>
      <c r="H12" s="4" t="n">
        <f aca="false">-H6*Assumptions!H45/100</f>
        <v>-4589.50782108623</v>
      </c>
      <c r="I12" s="4" t="n">
        <f aca="false">-I6*Assumptions!I45/100</f>
        <v>-4773.08813392968</v>
      </c>
      <c r="J12" s="4" t="n">
        <f aca="false">-J6*Assumptions!J45/100</f>
        <v>-4940.14621861722</v>
      </c>
      <c r="K12" s="4" t="n">
        <f aca="false">-K6*Assumptions!K45/100</f>
        <v>-5088.35060517573</v>
      </c>
      <c r="L12" s="4" t="n">
        <f aca="false">-L6*Assumptions!L45/100</f>
        <v>-5241.00112333101</v>
      </c>
    </row>
    <row r="13" customFormat="false" ht="15" hidden="false" customHeight="false" outlineLevel="0" collapsed="false">
      <c r="A13" s="0" t="s">
        <v>124</v>
      </c>
      <c r="C13" s="0" t="n">
        <f aca="false">C11+C12</f>
        <v>3931.8696</v>
      </c>
      <c r="D13" s="0" t="n">
        <f aca="false">D11+D12</f>
        <v>4475.6388</v>
      </c>
      <c r="E13" s="0" t="n">
        <f aca="false">E11+E12</f>
        <v>5052.54864132</v>
      </c>
      <c r="F13" s="0" t="n">
        <f aca="false">F11+F12</f>
        <v>5658.8544782784</v>
      </c>
      <c r="G13" s="0" t="n">
        <f aca="false">G11+G12</f>
        <v>6289.91780357927</v>
      </c>
      <c r="H13" s="0" t="n">
        <f aca="false">H11+H12</f>
        <v>6604.41369375823</v>
      </c>
      <c r="I13" s="0" t="n">
        <f aca="false">I11+I12</f>
        <v>6868.59024150856</v>
      </c>
      <c r="J13" s="0" t="n">
        <f aca="false">J11+J12</f>
        <v>7108.99089996136</v>
      </c>
      <c r="K13" s="0" t="n">
        <f aca="false">K11+K12</f>
        <v>7322.2606269602</v>
      </c>
      <c r="L13" s="0" t="n">
        <f aca="false">L11+L12</f>
        <v>7541.92844576901</v>
      </c>
    </row>
    <row r="14" customFormat="false" ht="15" hidden="false" customHeight="false" outlineLevel="0" collapsed="false">
      <c r="A14" s="0" t="s">
        <v>110</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125</v>
      </c>
      <c r="C15" s="0" t="n">
        <f aca="false">C13-MAX(0,C13)*C14/100</f>
        <v>2988.220896</v>
      </c>
      <c r="D15" s="0" t="n">
        <f aca="false">D13-MAX(0,D13)*D14/100</f>
        <v>3401.485488</v>
      </c>
      <c r="E15" s="0" t="n">
        <f aca="false">E13-MAX(0,E13)*E14/100</f>
        <v>3839.9369674032</v>
      </c>
      <c r="F15" s="0" t="n">
        <f aca="false">F13-MAX(0,F13)*F14/100</f>
        <v>4300.72940349158</v>
      </c>
      <c r="G15" s="0" t="n">
        <f aca="false">G13-MAX(0,G13)*G14/100</f>
        <v>4780.33753072024</v>
      </c>
      <c r="H15" s="0" t="n">
        <f aca="false">H13-MAX(0,H13)*H14/100</f>
        <v>5019.35440725626</v>
      </c>
      <c r="I15" s="0" t="n">
        <f aca="false">I13-MAX(0,I13)*I14/100</f>
        <v>5220.12858354651</v>
      </c>
      <c r="J15" s="0" t="n">
        <f aca="false">J13-MAX(0,J13)*J14/100</f>
        <v>5402.83308397063</v>
      </c>
      <c r="K15" s="0" t="n">
        <f aca="false">K13-MAX(0,K13)*K14/100</f>
        <v>5564.91807648975</v>
      </c>
      <c r="L15" s="0" t="n">
        <f aca="false">L13-MAX(0,L13)*L14/100</f>
        <v>5731.86561878445</v>
      </c>
    </row>
    <row r="16" customFormat="false" ht="15" hidden="false" customHeight="false" outlineLevel="0" collapsed="false">
      <c r="A16" s="0" t="s">
        <v>126</v>
      </c>
      <c r="C16" s="0" t="n">
        <f aca="false">-C12</f>
        <v>3429.9288</v>
      </c>
      <c r="D16" s="0" t="n">
        <f aca="false">-D12</f>
        <v>3670.023816</v>
      </c>
      <c r="E16" s="0" t="n">
        <f aca="false">-E12</f>
        <v>3908.57536404</v>
      </c>
      <c r="F16" s="0" t="n">
        <f aca="false">-F12</f>
        <v>4143.0898858824</v>
      </c>
      <c r="G16" s="0" t="n">
        <f aca="false">-G12</f>
        <v>4370.95982960593</v>
      </c>
      <c r="H16" s="0" t="n">
        <f aca="false">-H12</f>
        <v>4589.50782108623</v>
      </c>
      <c r="I16" s="0" t="n">
        <f aca="false">-I12</f>
        <v>4773.08813392968</v>
      </c>
      <c r="J16" s="0" t="n">
        <f aca="false">-J12</f>
        <v>4940.14621861722</v>
      </c>
      <c r="K16" s="0" t="n">
        <f aca="false">-K12</f>
        <v>5088.35060517573</v>
      </c>
      <c r="L16" s="0" t="n">
        <f aca="false">-L12</f>
        <v>5241.00112333101</v>
      </c>
    </row>
    <row r="17" customFormat="false" ht="15" hidden="false" customHeight="false" outlineLevel="0" collapsed="false">
      <c r="A17" s="0" t="s">
        <v>127</v>
      </c>
      <c r="C17" s="4" t="n">
        <f aca="false">-C6*Assumptions!C46/100</f>
        <v>-5688.6624</v>
      </c>
      <c r="D17" s="4" t="n">
        <f aca="false">-D6*Assumptions!D46/100</f>
        <v>-6086.868768</v>
      </c>
      <c r="E17" s="4" t="n">
        <f aca="false">-E6*Assumptions!E46/100</f>
        <v>-5910.52859928</v>
      </c>
      <c r="F17" s="4" t="n">
        <f aca="false">-F6*Assumptions!F46/100</f>
        <v>-5658.8544782784</v>
      </c>
      <c r="G17" s="4" t="n">
        <f aca="false">-G6*Assumptions!G46/100</f>
        <v>-5543.65636925631</v>
      </c>
      <c r="H17" s="4" t="n">
        <f aca="false">-H6*Assumptions!H46/100</f>
        <v>-5596.96075742223</v>
      </c>
      <c r="I17" s="4" t="n">
        <f aca="false">-I6*Assumptions!I46/100</f>
        <v>-5820.83918771912</v>
      </c>
      <c r="J17" s="4" t="n">
        <f aca="false">-J6*Assumptions!J46/100</f>
        <v>-6024.56855928929</v>
      </c>
      <c r="K17" s="4" t="n">
        <f aca="false">-K6*Assumptions!K46/100</f>
        <v>-6205.30561606797</v>
      </c>
      <c r="L17" s="4" t="n">
        <f aca="false">-L6*Assumptions!L46/100</f>
        <v>-6391.46478455001</v>
      </c>
    </row>
    <row r="18" customFormat="false" ht="15" hidden="false" customHeight="false" outlineLevel="0" collapsed="false">
      <c r="A18" s="0" t="s">
        <v>128</v>
      </c>
      <c r="C18" s="4" t="n">
        <f aca="false">(C6-B6)*Assumptions!$B$51/100</f>
        <v>-309.84</v>
      </c>
      <c r="D18" s="4" t="n">
        <f aca="false">(D6-C6)*Assumptions!$B$51/100</f>
        <v>-292.798800000001</v>
      </c>
      <c r="E18" s="4" t="n">
        <f aca="false">(E6-D6)*Assumptions!$B$51/100</f>
        <v>-290.916522</v>
      </c>
      <c r="F18" s="4" t="n">
        <f aca="false">(F6-E6)*Assumptions!$B$51/100</f>
        <v>-285.993319320001</v>
      </c>
      <c r="G18" s="4" t="n">
        <f aca="false">(G6-F6)*Assumptions!$B$51/100</f>
        <v>-277.8901752726</v>
      </c>
      <c r="H18" s="4" t="n">
        <f aca="false">(H6-G6)*Assumptions!$B$51/100</f>
        <v>-266.52194082963</v>
      </c>
      <c r="I18" s="4" t="n">
        <f aca="false">(I6-H6)*Assumptions!$B$51/100</f>
        <v>-223.87843029689</v>
      </c>
      <c r="J18" s="4" t="n">
        <f aca="false">(J6-I6)*Assumptions!$B$51/100</f>
        <v>-203.729371570169</v>
      </c>
      <c r="K18" s="4" t="n">
        <f aca="false">(K6-J6)*Assumptions!$B$51/100</f>
        <v>-180.737056778679</v>
      </c>
      <c r="L18" s="4" t="n">
        <f aca="false">(L6-K6)*Assumptions!$B$51/100</f>
        <v>-186.159168482039</v>
      </c>
    </row>
    <row r="19" customFormat="false" ht="15" hidden="false" customHeight="false" outlineLevel="0" collapsed="false">
      <c r="A19" s="0" t="s">
        <v>129</v>
      </c>
      <c r="C19" s="0" t="n">
        <f aca="false">C15+C16+C17+C18</f>
        <v>419.647296</v>
      </c>
      <c r="D19" s="0" t="n">
        <f aca="false">D15+D16+D17+D18</f>
        <v>691.841735999999</v>
      </c>
      <c r="E19" s="0" t="n">
        <f aca="false">E15+E16+E17+E18</f>
        <v>1547.0672101632</v>
      </c>
      <c r="F19" s="0" t="n">
        <f aca="false">F15+F16+F17+F18</f>
        <v>2498.97149177558</v>
      </c>
      <c r="G19" s="0" t="n">
        <f aca="false">G15+G16+G17+G18</f>
        <v>3329.75081579727</v>
      </c>
      <c r="H19" s="0" t="n">
        <f aca="false">H15+H16+H17+H18</f>
        <v>3745.37953009062</v>
      </c>
      <c r="I19" s="0" t="n">
        <f aca="false">I15+I16+I17+I18</f>
        <v>3948.49909946018</v>
      </c>
      <c r="J19" s="0" t="n">
        <f aca="false">J15+J16+J17+J18</f>
        <v>4114.68137172839</v>
      </c>
      <c r="K19" s="0" t="n">
        <f aca="false">K15+K16+K17+K18</f>
        <v>4267.22600881884</v>
      </c>
      <c r="L19" s="0" t="n">
        <f aca="false">L15+L16+L17+L18</f>
        <v>4395.24278908341</v>
      </c>
    </row>
    <row r="20" customFormat="false" ht="15" hidden="false" customHeight="false" outlineLevel="0" collapsed="false">
      <c r="A20" s="0" t="s">
        <v>130</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131</v>
      </c>
      <c r="C21" s="0" t="n">
        <f aca="false">C19*C20</f>
        <v>388.562311111111</v>
      </c>
      <c r="D21" s="0" t="n">
        <f aca="false">D19*D20</f>
        <v>593.142777777777</v>
      </c>
      <c r="E21" s="0" t="n">
        <f aca="false">E19*E20</f>
        <v>1228.11183045268</v>
      </c>
      <c r="F21" s="0" t="n">
        <f aca="false">F19*F20</f>
        <v>1836.81864774234</v>
      </c>
      <c r="G21" s="0" t="n">
        <f aca="false">G19*G20</f>
        <v>2266.17245554105</v>
      </c>
      <c r="H21" s="0" t="n">
        <f aca="false">H19*H20</f>
        <v>2360.22442101283</v>
      </c>
      <c r="I21" s="0" t="n">
        <f aca="false">I19*I20</f>
        <v>2303.9113002362</v>
      </c>
      <c r="J21" s="0" t="n">
        <f aca="false">J19*J20</f>
        <v>2223.03431478476</v>
      </c>
      <c r="K21" s="0" t="n">
        <f aca="false">K19*K20</f>
        <v>2134.67540342812</v>
      </c>
      <c r="L21" s="0" t="n">
        <f aca="false">L19*L20</f>
        <v>2035.8478384546</v>
      </c>
    </row>
    <row r="23" customFormat="false" ht="15" hidden="false" customHeight="false" outlineLevel="0" collapsed="false">
      <c r="A23" s="0" t="s">
        <v>107</v>
      </c>
      <c r="C23" s="4" t="n">
        <f aca="false">Assumptions!C44</f>
        <v>1.5</v>
      </c>
      <c r="D23" s="4" t="n">
        <f aca="false">Assumptions!D44</f>
        <v>1.5</v>
      </c>
      <c r="E23" s="4" t="n">
        <f aca="false">Assumptions!E44</f>
        <v>1.5</v>
      </c>
      <c r="F23" s="4" t="n">
        <f aca="false">Assumptions!F44</f>
        <v>1.5</v>
      </c>
      <c r="G23" s="4" t="n">
        <f aca="false">Assumptions!G44</f>
        <v>1.5</v>
      </c>
      <c r="H23" s="4" t="n">
        <f aca="false">Assumptions!H44</f>
        <v>1.5</v>
      </c>
      <c r="I23" s="4" t="n">
        <f aca="false">Assumptions!I44</f>
        <v>1.5</v>
      </c>
      <c r="J23" s="4" t="n">
        <f aca="false">Assumptions!J44</f>
        <v>1.5</v>
      </c>
      <c r="K23" s="4" t="n">
        <f aca="false">Assumptions!K44</f>
        <v>1.5</v>
      </c>
      <c r="L23" s="4" t="n">
        <f aca="false">Assumptions!L44</f>
        <v>1.5</v>
      </c>
    </row>
    <row r="24" customFormat="false" ht="15" hidden="false" customHeight="false" outlineLevel="0" collapsed="false">
      <c r="A24" s="0" t="s">
        <v>132</v>
      </c>
      <c r="C24" s="0" t="n">
        <f aca="false">-C6*C23/100</f>
        <v>-1254.852</v>
      </c>
      <c r="D24" s="0" t="n">
        <f aca="false">-D6*D23/100</f>
        <v>-1342.69164</v>
      </c>
      <c r="E24" s="0" t="n">
        <f aca="false">-E6*E23/100</f>
        <v>-1429.9665966</v>
      </c>
      <c r="F24" s="0" t="n">
        <f aca="false">-F6*F23/100</f>
        <v>-1515.764592396</v>
      </c>
      <c r="G24" s="0" t="n">
        <f aca="false">-G6*G23/100</f>
        <v>-1599.13164497778</v>
      </c>
      <c r="H24" s="0" t="n">
        <f aca="false">-H6*H23/100</f>
        <v>-1679.08822722667</v>
      </c>
      <c r="I24" s="0" t="n">
        <f aca="false">-I6*I23/100</f>
        <v>-1746.25175631574</v>
      </c>
      <c r="J24" s="0" t="n">
        <f aca="false">-J6*J23/100</f>
        <v>-1807.37056778679</v>
      </c>
      <c r="K24" s="0" t="n">
        <f aca="false">-K6*K23/100</f>
        <v>-1861.59168482039</v>
      </c>
      <c r="L24" s="0" t="n">
        <f aca="false">-L6*L23/100</f>
        <v>-1917.439435365</v>
      </c>
    </row>
    <row r="26" customFormat="false" ht="15" hidden="false" customHeight="false" outlineLevel="0" collapsed="false">
      <c r="A26" s="2" t="s">
        <v>133</v>
      </c>
    </row>
    <row r="27" customFormat="false" ht="15" hidden="false" customHeight="false" outlineLevel="0" collapsed="false">
      <c r="A27" s="0" t="s">
        <v>111</v>
      </c>
      <c r="B27" s="4" t="n">
        <f aca="false">Assumptions!$B$48</f>
        <v>8</v>
      </c>
    </row>
    <row r="28" customFormat="false" ht="15" hidden="false" customHeight="false" outlineLevel="0" collapsed="false">
      <c r="A28" s="0" t="s">
        <v>112</v>
      </c>
      <c r="B28" s="4" t="n">
        <f aca="false">Assumptions!$B$49</f>
        <v>3</v>
      </c>
    </row>
    <row r="29" customFormat="false" ht="15" hidden="false" customHeight="false" outlineLevel="0" collapsed="false">
      <c r="A29" s="0" t="s">
        <v>113</v>
      </c>
      <c r="B29" s="4" t="n">
        <f aca="false">Assumptions!$B$50</f>
        <v>14</v>
      </c>
    </row>
    <row r="30" customFormat="false" ht="15" hidden="false" customHeight="false" outlineLevel="0" collapsed="false">
      <c r="A30" s="0" t="s">
        <v>134</v>
      </c>
      <c r="B30" s="0" t="n">
        <f aca="false">SUM(C21:L21)</f>
        <v>17370.5013005415</v>
      </c>
    </row>
    <row r="31" customFormat="false" ht="15" hidden="false" customHeight="false" outlineLevel="0" collapsed="false">
      <c r="A31" s="0" t="s">
        <v>135</v>
      </c>
      <c r="B31" s="0" t="n">
        <f aca="false">L19</f>
        <v>4395.24278908341</v>
      </c>
    </row>
    <row r="32" customFormat="false" ht="15" hidden="false" customHeight="false" outlineLevel="0" collapsed="false">
      <c r="A32" s="0" t="s">
        <v>136</v>
      </c>
      <c r="B32" s="0" t="n">
        <f aca="false">IF(B27&gt;B28,B31*(1+B28/100)/((B27-B28)/100),B31*B29)</f>
        <v>90542.0014551182</v>
      </c>
    </row>
    <row r="33" customFormat="false" ht="15" hidden="false" customHeight="false" outlineLevel="0" collapsed="false">
      <c r="A33" s="0" t="s">
        <v>137</v>
      </c>
      <c r="B33" s="0" t="n">
        <f aca="false">B31*B29</f>
        <v>61533.3990471677</v>
      </c>
    </row>
    <row r="34" customFormat="false" ht="15" hidden="false" customHeight="false" outlineLevel="0" collapsed="false">
      <c r="A34" s="0" t="s">
        <v>138</v>
      </c>
      <c r="B34" s="0" t="n">
        <f aca="false">MAX(0,MIN(B32,B33))</f>
        <v>61533.3990471677</v>
      </c>
    </row>
    <row r="35" customFormat="false" ht="15" hidden="false" customHeight="false" outlineLevel="0" collapsed="false">
      <c r="A35" s="0" t="s">
        <v>139</v>
      </c>
      <c r="B35" s="0" t="n">
        <f aca="false">B34/(1+B27/100)^L4</f>
        <v>28501.8697383644</v>
      </c>
    </row>
    <row r="36" customFormat="false" ht="15" hidden="false" customHeight="false" outlineLevel="0" collapsed="false">
      <c r="A36" s="0" t="s">
        <v>140</v>
      </c>
      <c r="B36" s="0" t="n">
        <f aca="false">B30+B35</f>
        <v>45872.3710389058</v>
      </c>
    </row>
    <row r="37" customFormat="false" ht="15" hidden="false" customHeight="false" outlineLevel="0" collapsed="false">
      <c r="A37" s="0" t="s">
        <v>141</v>
      </c>
      <c r="B37" s="0" t="n">
        <f aca="false">B36+Assumptions!$B$5-Assumptions!$B$4</f>
        <v>117745.371038906</v>
      </c>
    </row>
    <row r="38" customFormat="false" ht="15" hidden="false" customHeight="false" outlineLevel="0" collapsed="false">
      <c r="A38" s="0" t="s">
        <v>142</v>
      </c>
      <c r="B38" s="0" t="n">
        <f aca="false">B37/Assumptions!$B$3*Assumptions!$B$10</f>
        <v>17.4595369206106</v>
      </c>
    </row>
    <row r="39" customFormat="false" ht="15" hidden="false" customHeight="false" outlineLevel="0" collapsed="false">
      <c r="A39" s="0" t="s">
        <v>143</v>
      </c>
      <c r="B39" s="4" t="n">
        <f aca="false">B38/Assumptions!$B$2-1</f>
        <v>0.163969128040707</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17.4595369206106</v>
      </c>
    </row>
    <row r="45" customFormat="false" ht="15" hidden="false" customHeight="false" outlineLevel="0" collapsed="false">
      <c r="A45" s="0" t="s">
        <v>86</v>
      </c>
      <c r="B45" s="4" t="n">
        <f aca="false">Assumptions!$B$6</f>
        <v>15</v>
      </c>
    </row>
    <row r="46" customFormat="false" ht="15" hidden="false" customHeight="false" outlineLevel="0" collapsed="false">
      <c r="A46" s="0" t="s">
        <v>147</v>
      </c>
      <c r="B46" s="0" t="n">
        <f aca="false">MAX(0,MIN(IF(B45&gt;B28,B31*(1+B28/100)/((B45-B28)/100),B31*B29),B31*B29))</f>
        <v>37725.8339396326</v>
      </c>
    </row>
    <row r="47" customFormat="false" ht="15" hidden="false" customHeight="false" outlineLevel="0" collapsed="false">
      <c r="A47" s="0" t="s">
        <v>148</v>
      </c>
      <c r="B47" s="0" t="n">
        <f aca="false">(SUMPRODUCT(C19:L19/(1+B45/100)^C4:L4)+B46/(1+B45/100)^L4+Assumptions!$B$5-Assumptions!$B$4)/Assumptions!$B$3*Assumptions!$B$10</f>
        <v>13.7807420788478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151</v>
      </c>
    </row>
    <row r="3" customFormat="false" ht="15" hidden="false" customHeight="false" outlineLevel="0" collapsed="false">
      <c r="A3" s="2" t="s">
        <v>152</v>
      </c>
      <c r="B3" s="2" t="s">
        <v>153</v>
      </c>
      <c r="C3" s="2" t="s">
        <v>143</v>
      </c>
      <c r="D3" s="2" t="s">
        <v>154</v>
      </c>
      <c r="E3" s="2" t="s">
        <v>146</v>
      </c>
      <c r="F3" s="2" t="s">
        <v>155</v>
      </c>
    </row>
    <row r="4" customFormat="false" ht="15" hidden="false" customHeight="false" outlineLevel="0" collapsed="false">
      <c r="A4" s="0" t="s">
        <v>156</v>
      </c>
      <c r="B4" s="4" t="n">
        <f aca="false">DCF_Bear!$B$38</f>
        <v>13.9416744662286</v>
      </c>
      <c r="C4" s="0" t="n">
        <f aca="false">B4/Assumptions!$B$2-1</f>
        <v>-0.0705550355847595</v>
      </c>
      <c r="D4" s="4" t="n">
        <f aca="false">Assumptions!$B$24</f>
        <v>0.2</v>
      </c>
      <c r="E4" s="4" t="n">
        <f aca="false">DCF_Bear!$B$43</f>
        <v>13.9416744662286</v>
      </c>
      <c r="F4" s="4" t="n">
        <f aca="false">DCF_Bear!$B$47</f>
        <v>12.1953686637733</v>
      </c>
    </row>
    <row r="5" customFormat="false" ht="15" hidden="false" customHeight="false" outlineLevel="0" collapsed="false">
      <c r="A5" s="0" t="s">
        <v>157</v>
      </c>
      <c r="B5" s="4" t="n">
        <f aca="false">DCF_Base!$B$38</f>
        <v>15.8293461158729</v>
      </c>
      <c r="C5" s="0" t="n">
        <f aca="false">B5/Assumptions!$B$2-1</f>
        <v>0.0552897410581927</v>
      </c>
      <c r="D5" s="4" t="n">
        <f aca="false">Assumptions!$B$38</f>
        <v>0.55</v>
      </c>
      <c r="E5" s="4" t="n">
        <f aca="false">DCF_Base!$B$43</f>
        <v>15.8293461158729</v>
      </c>
      <c r="F5" s="4" t="n">
        <f aca="false">DCF_Base!$B$47</f>
        <v>13.0335198855158</v>
      </c>
    </row>
    <row r="6" customFormat="false" ht="15" hidden="false" customHeight="false" outlineLevel="0" collapsed="false">
      <c r="A6" s="0" t="s">
        <v>158</v>
      </c>
      <c r="B6" s="4" t="n">
        <f aca="false">DCF_Bull!$B$38</f>
        <v>17.4595369206106</v>
      </c>
      <c r="C6" s="0" t="n">
        <f aca="false">B6/Assumptions!$B$2-1</f>
        <v>0.163969128040707</v>
      </c>
      <c r="D6" s="4" t="n">
        <f aca="false">Assumptions!$B$52</f>
        <v>0.25</v>
      </c>
      <c r="E6" s="4" t="n">
        <f aca="false">DCF_Bull!$B$43</f>
        <v>17.4595369206106</v>
      </c>
      <c r="F6" s="4" t="n">
        <f aca="false">DCF_Bull!$B$47</f>
        <v>13.7807420788478</v>
      </c>
    </row>
    <row r="8" customFormat="false" ht="15" hidden="false" customHeight="false" outlineLevel="0" collapsed="false">
      <c r="A8" s="0" t="s">
        <v>159</v>
      </c>
      <c r="B8" s="0" t="n">
        <f aca="false">SUMPRODUCT(B4:B6,D4:D6)</f>
        <v>15.8593594871285</v>
      </c>
    </row>
    <row r="9" customFormat="false" ht="15" hidden="false" customHeight="false" outlineLevel="0" collapsed="false">
      <c r="A9" s="0" t="s">
        <v>160</v>
      </c>
      <c r="B9" s="0" t="n">
        <f aca="false">SUMPRODUCT(E4:E6,D4:D6)</f>
        <v>15.8593594871285</v>
      </c>
    </row>
    <row r="10" customFormat="false" ht="15" hidden="false" customHeight="false" outlineLevel="0" collapsed="false">
      <c r="A10" s="0" t="s">
        <v>161</v>
      </c>
      <c r="B10" s="0" t="n">
        <f aca="false">1-Assumptions!$B$2/B8</f>
        <v>0.0541862669690995</v>
      </c>
    </row>
    <row r="11" customFormat="false" ht="15" hidden="false" customHeight="false" outlineLevel="0" collapsed="false">
      <c r="A11" s="0" t="s">
        <v>162</v>
      </c>
      <c r="B11" s="0" t="str">
        <f aca="false">IF(ABS(B9-B8)&gt;0.01*ABS(B8),(Assumptions!$B$2-B8)/(B9-B8)*100,"n/a")</f>
        <v>n/a</v>
      </c>
    </row>
    <row r="12" customFormat="false" ht="15" hidden="false" customHeight="false" outlineLevel="0" collapsed="false">
      <c r="A12" s="0" t="s">
        <v>163</v>
      </c>
      <c r="B12" s="0" t="n">
        <f aca="false">SUMPRODUCT(F4:F6,D4:D6)</f>
        <v>13.0526951895003</v>
      </c>
    </row>
    <row r="14" customFormat="false" ht="15" hidden="false" customHeight="false" outlineLevel="0" collapsed="false">
      <c r="A14" s="2" t="s">
        <v>164</v>
      </c>
      <c r="C14" s="0" t="s">
        <v>165</v>
      </c>
    </row>
    <row r="15" customFormat="false" ht="15" hidden="false" customHeight="false" outlineLevel="0" collapsed="false">
      <c r="A15" s="0" t="s">
        <v>166</v>
      </c>
      <c r="B15" s="0" t="n">
        <f aca="false">(SUMPRODUCT(DCF_Base!$C$19:$L$19/(1+$C$15/100)^DCF_Base!$C$4:$L$4)+MAX(0,MIN(IF($C$15&gt;DCF_Base!$B$28,DCF_Base!$L$19*(1+DCF_Base!$B$28/100)/(($C$15-DCF_Base!$B$28)/100),DCF_Base!$L$19*DCF_Base!$B$29),DCF_Base!$L$19*DCF_Base!$B$29))/(1+$C$15/100)^DCF_Base!$L$4+Assumptions!$B$5-Assumptions!$B$4)/Assumptions!$B$3*Assumptions!$B$10</f>
        <v>15.8293461158729</v>
      </c>
      <c r="C15" s="3" t="n">
        <v>8</v>
      </c>
    </row>
    <row r="16" customFormat="false" ht="15" hidden="false" customHeight="false" outlineLevel="0" collapsed="false">
      <c r="A16" s="0" t="s">
        <v>167</v>
      </c>
      <c r="B16" s="0" t="n">
        <f aca="false">(SUMPRODUCT(DCF_Base!$C$19:$L$19/(1+$C$16/100)^DCF_Base!$C$4:$L$4)+MAX(0,MIN(IF($C$16&gt;DCF_Base!$B$28,DCF_Base!$L$19*(1+DCF_Base!$B$28/100)/(($C$16-DCF_Base!$B$28)/100),DCF_Base!$L$19*DCF_Base!$B$29),DCF_Base!$L$19*DCF_Base!$B$29))/(1+$C$16/100)^DCF_Base!$L$4+Assumptions!$B$5-Assumptions!$B$4)/Assumptions!$B$3*Assumptions!$B$10</f>
        <v>15.4405075416809</v>
      </c>
      <c r="C16" s="3" t="n">
        <v>9</v>
      </c>
    </row>
    <row r="17" customFormat="false" ht="15" hidden="false" customHeight="false" outlineLevel="0" collapsed="false">
      <c r="A17" s="0" t="s">
        <v>168</v>
      </c>
      <c r="B17" s="0" t="n">
        <f aca="false">(SUMPRODUCT(DCF_Base!$C$19:$L$19/(1+$C$17/100)^DCF_Base!$C$4:$L$4)+MAX(0,MIN(IF($C$17&gt;DCF_Base!$B$28,DCF_Base!$L$19*(1+DCF_Base!$B$28/100)/(($C$17-DCF_Base!$B$28)/100),DCF_Base!$L$19*DCF_Base!$B$29),DCF_Base!$L$19*DCF_Base!$B$29))/(1+$C$17/100)^DCF_Base!$L$4+Assumptions!$B$5-Assumptions!$B$4)/Assumptions!$B$3*Assumptions!$B$10</f>
        <v>15.0241693587118</v>
      </c>
      <c r="C17" s="3" t="n">
        <v>10</v>
      </c>
    </row>
    <row r="18" customFormat="false" ht="15" hidden="false" customHeight="false" outlineLevel="0" collapsed="false">
      <c r="A18" s="0" t="s">
        <v>169</v>
      </c>
      <c r="B18" s="0" t="n">
        <f aca="false">(SUMPRODUCT(DCF_Base!$C$19:$L$19/(1+$C$18/100)^DCF_Base!$C$4:$L$4)+MAX(0,MIN(IF($C$18&gt;DCF_Base!$B$28,DCF_Base!$L$19*(1+DCF_Base!$B$28/100)/(($C$18-DCF_Base!$B$28)/100),DCF_Base!$L$19*DCF_Base!$B$29),DCF_Base!$L$19*DCF_Base!$B$29))/(1+$C$18/100)^DCF_Base!$L$4+Assumptions!$B$5-Assumptions!$B$4)/Assumptions!$B$3*Assumptions!$B$10</f>
        <v>14.4326769468996</v>
      </c>
      <c r="C18" s="3" t="n">
        <v>11</v>
      </c>
    </row>
    <row r="19" customFormat="false" ht="15" hidden="false" customHeight="false" outlineLevel="0" collapsed="false">
      <c r="A19" s="0" t="s">
        <v>170</v>
      </c>
      <c r="B19" s="0" t="n">
        <f aca="false">(SUMPRODUCT(DCF_Base!$C$19:$L$19/(1+$C$19/100)^DCF_Base!$C$4:$L$4)+MAX(0,MIN(IF($C$19&gt;DCF_Base!$B$28,DCF_Base!$L$19*(1+DCF_Base!$B$28/100)/(($C$19-DCF_Base!$B$28)/100),DCF_Base!$L$19*DCF_Base!$B$29),DCF_Base!$L$19*DCF_Base!$B$29))/(1+$C$19/100)^DCF_Base!$L$4+Assumptions!$B$5-Assumptions!$B$4)/Assumptions!$B$3*Assumptions!$B$10</f>
        <v>13.9685397274944</v>
      </c>
      <c r="C19" s="3" t="n">
        <v>12</v>
      </c>
    </row>
    <row r="20" customFormat="false" ht="15" hidden="false" customHeight="false" outlineLevel="0" collapsed="false">
      <c r="A20" s="0" t="s">
        <v>171</v>
      </c>
      <c r="B20" s="0" t="n">
        <f aca="false">(SUMPRODUCT(DCF_Base!$C$19:$L$19/(1+$C$20/100)^DCF_Base!$C$4:$L$4)+MAX(0,MIN(IF($C$20&gt;DCF_Base!$B$28,DCF_Base!$L$19*(1+DCF_Base!$B$28/100)/(($C$20-DCF_Base!$B$28)/100),DCF_Base!$L$19*DCF_Base!$B$29),DCF_Base!$L$19*DCF_Base!$B$29))/(1+$C$20/100)^DCF_Base!$L$4+Assumptions!$B$5-Assumptions!$B$4)/Assumptions!$B$3*Assumptions!$B$10</f>
        <v>13.0335198855158</v>
      </c>
      <c r="C20" s="3" t="n">
        <v>15</v>
      </c>
    </row>
    <row r="22" customFormat="false" ht="15" hidden="false" customHeight="false" outlineLevel="0" collapsed="false">
      <c r="A22" s="2" t="s">
        <v>172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16.7269926211689</v>
      </c>
      <c r="C24" s="0" t="n">
        <f aca="false">(SUMPRODUCT(DCF_Base!$C$19:$L$19/(1+$A$24/100)^DCF_Base!$C$4:$L$4)+MAX(0,MIN(IF($A$24&gt;$C$23,DCF_Base!$L$19*(1+$C$23/100)/(($A$24-$C$23)/100),DCF_Base!$L$19*DCF_Base!$B$29),DCF_Base!$L$19*DCF_Base!$B$29))/(1+$A$24/100)^DCF_Base!$L$4+Assumptions!$B$5-Assumptions!$B$4)/Assumptions!$B$3*Assumptions!$B$10</f>
        <v>16.7269926211689</v>
      </c>
      <c r="D24" s="0" t="n">
        <f aca="false">(SUMPRODUCT(DCF_Base!$C$19:$L$19/(1+$A$24/100)^DCF_Base!$C$4:$L$4)+MAX(0,MIN(IF($A$24&gt;$D$23,DCF_Base!$L$19*(1+$D$23/100)/(($A$24-$D$23)/100),DCF_Base!$L$19*DCF_Base!$B$29),DCF_Base!$L$19*DCF_Base!$B$29))/(1+$A$24/100)^DCF_Base!$L$4+Assumptions!$B$5-Assumptions!$B$4)/Assumptions!$B$3*Assumptions!$B$10</f>
        <v>16.7269926211689</v>
      </c>
      <c r="E24" s="0" t="n">
        <f aca="false">(SUMPRODUCT(DCF_Base!$C$19:$L$19/(1+$A$24/100)^DCF_Base!$C$4:$L$4)+MAX(0,MIN(IF($A$24&gt;$E$23,DCF_Base!$L$19*(1+$E$23/100)/(($A$24-$E$23)/100),DCF_Base!$L$19*DCF_Base!$B$29),DCF_Base!$L$19*DCF_Base!$B$29))/(1+$A$24/100)^DCF_Base!$L$4+Assumptions!$B$5-Assumptions!$B$4)/Assumptions!$B$3*Assumptions!$B$10</f>
        <v>16.7269926211689</v>
      </c>
      <c r="F24" s="0" t="n">
        <f aca="false">(SUMPRODUCT(DCF_Base!$C$19:$L$19/(1+$A$24/100)^DCF_Base!$C$4:$L$4)+MAX(0,MIN(IF($A$24&gt;$F$23,DCF_Base!$L$19*(1+$F$23/100)/(($A$24-$F$23)/100),DCF_Base!$L$19*DCF_Base!$B$29),DCF_Base!$L$19*DCF_Base!$B$29))/(1+$A$24/100)^DCF_Base!$L$4+Assumptions!$B$5-Assumptions!$B$4)/Assumptions!$B$3*Assumptions!$B$10</f>
        <v>16.7269926211689</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16.2567237959183</v>
      </c>
      <c r="C25" s="0" t="n">
        <f aca="false">(SUMPRODUCT(DCF_Base!$C$19:$L$19/(1+$A$25/100)^DCF_Base!$C$4:$L$4)+MAX(0,MIN(IF($A$25&gt;$C$23,DCF_Base!$L$19*(1+$C$23/100)/(($A$25-$C$23)/100),DCF_Base!$L$19*DCF_Base!$B$29),DCF_Base!$L$19*DCF_Base!$B$29))/(1+$A$25/100)^DCF_Base!$L$4+Assumptions!$B$5-Assumptions!$B$4)/Assumptions!$B$3*Assumptions!$B$10</f>
        <v>16.2567237959183</v>
      </c>
      <c r="D25" s="0" t="n">
        <f aca="false">(SUMPRODUCT(DCF_Base!$C$19:$L$19/(1+$A$25/100)^DCF_Base!$C$4:$L$4)+MAX(0,MIN(IF($A$25&gt;$D$23,DCF_Base!$L$19*(1+$D$23/100)/(($A$25-$D$23)/100),DCF_Base!$L$19*DCF_Base!$B$29),DCF_Base!$L$19*DCF_Base!$B$29))/(1+$A$25/100)^DCF_Base!$L$4+Assumptions!$B$5-Assumptions!$B$4)/Assumptions!$B$3*Assumptions!$B$10</f>
        <v>16.2567237959183</v>
      </c>
      <c r="E25" s="0" t="n">
        <f aca="false">(SUMPRODUCT(DCF_Base!$C$19:$L$19/(1+$A$25/100)^DCF_Base!$C$4:$L$4)+MAX(0,MIN(IF($A$25&gt;$E$23,DCF_Base!$L$19*(1+$E$23/100)/(($A$25-$E$23)/100),DCF_Base!$L$19*DCF_Base!$B$29),DCF_Base!$L$19*DCF_Base!$B$29))/(1+$A$25/100)^DCF_Base!$L$4+Assumptions!$B$5-Assumptions!$B$4)/Assumptions!$B$3*Assumptions!$B$10</f>
        <v>16.2567237959183</v>
      </c>
      <c r="F25" s="0" t="n">
        <f aca="false">(SUMPRODUCT(DCF_Base!$C$19:$L$19/(1+$A$25/100)^DCF_Base!$C$4:$L$4)+MAX(0,MIN(IF($A$25&gt;$F$23,DCF_Base!$L$19*(1+$F$23/100)/(($A$25-$F$23)/100),DCF_Base!$L$19*DCF_Base!$B$29),DCF_Base!$L$19*DCF_Base!$B$29))/(1+$A$25/100)^DCF_Base!$L$4+Assumptions!$B$5-Assumptions!$B$4)/Assumptions!$B$3*Assumptions!$B$10</f>
        <v>16.2567237959183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15.8293461158729</v>
      </c>
      <c r="C26" s="0" t="n">
        <f aca="false">(SUMPRODUCT(DCF_Base!$C$19:$L$19/(1+$A$26/100)^DCF_Base!$C$4:$L$4)+MAX(0,MIN(IF($A$26&gt;$C$23,DCF_Base!$L$19*(1+$C$23/100)/(($A$26-$C$23)/100),DCF_Base!$L$19*DCF_Base!$B$29),DCF_Base!$L$19*DCF_Base!$B$29))/(1+$A$26/100)^DCF_Base!$L$4+Assumptions!$B$5-Assumptions!$B$4)/Assumptions!$B$3*Assumptions!$B$10</f>
        <v>15.8293461158729</v>
      </c>
      <c r="D26" s="0" t="n">
        <f aca="false">(SUMPRODUCT(DCF_Base!$C$19:$L$19/(1+$A$26/100)^DCF_Base!$C$4:$L$4)+MAX(0,MIN(IF($A$26&gt;$D$23,DCF_Base!$L$19*(1+$D$23/100)/(($A$26-$D$23)/100),DCF_Base!$L$19*DCF_Base!$B$29),DCF_Base!$L$19*DCF_Base!$B$29))/(1+$A$26/100)^DCF_Base!$L$4+Assumptions!$B$5-Assumptions!$B$4)/Assumptions!$B$3*Assumptions!$B$10</f>
        <v>15.8293461158729</v>
      </c>
      <c r="E26" s="0" t="n">
        <f aca="false">(SUMPRODUCT(DCF_Base!$C$19:$L$19/(1+$A$26/100)^DCF_Base!$C$4:$L$4)+MAX(0,MIN(IF($A$26&gt;$E$23,DCF_Base!$L$19*(1+$E$23/100)/(($A$26-$E$23)/100),DCF_Base!$L$19*DCF_Base!$B$29),DCF_Base!$L$19*DCF_Base!$B$29))/(1+$A$26/100)^DCF_Base!$L$4+Assumptions!$B$5-Assumptions!$B$4)/Assumptions!$B$3*Assumptions!$B$10</f>
        <v>15.8293461158729</v>
      </c>
      <c r="F26" s="0" t="n">
        <f aca="false">(SUMPRODUCT(DCF_Base!$C$19:$L$19/(1+$A$26/100)^DCF_Base!$C$4:$L$4)+MAX(0,MIN(IF($A$26&gt;$F$23,DCF_Base!$L$19*(1+$F$23/100)/(($A$26-$F$23)/100),DCF_Base!$L$19*DCF_Base!$B$29),DCF_Base!$L$19*DCF_Base!$B$29))/(1+$A$26/100)^DCF_Base!$L$4+Assumptions!$B$5-Assumptions!$B$4)/Assumptions!$B$3*Assumptions!$B$10</f>
        <v>15.8293461158729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15.3451503299002</v>
      </c>
      <c r="C27" s="0" t="n">
        <f aca="false">(SUMPRODUCT(DCF_Base!$C$19:$L$19/(1+$A$27/100)^DCF_Base!$C$4:$L$4)+MAX(0,MIN(IF($A$27&gt;$C$23,DCF_Base!$L$19*(1+$C$23/100)/(($A$27-$C$23)/100),DCF_Base!$L$19*DCF_Base!$B$29),DCF_Base!$L$19*DCF_Base!$B$29))/(1+$A$27/100)^DCF_Base!$L$4+Assumptions!$B$5-Assumptions!$B$4)/Assumptions!$B$3*Assumptions!$B$10</f>
        <v>15.4405075416809</v>
      </c>
      <c r="D27" s="0" t="n">
        <f aca="false">(SUMPRODUCT(DCF_Base!$C$19:$L$19/(1+$A$27/100)^DCF_Base!$C$4:$L$4)+MAX(0,MIN(IF($A$27&gt;$D$23,DCF_Base!$L$19*(1+$D$23/100)/(($A$27-$D$23)/100),DCF_Base!$L$19*DCF_Base!$B$29),DCF_Base!$L$19*DCF_Base!$B$29))/(1+$A$27/100)^DCF_Base!$L$4+Assumptions!$B$5-Assumptions!$B$4)/Assumptions!$B$3*Assumptions!$B$10</f>
        <v>15.4405075416809</v>
      </c>
      <c r="E27" s="0" t="n">
        <f aca="false">(SUMPRODUCT(DCF_Base!$C$19:$L$19/(1+$A$27/100)^DCF_Base!$C$4:$L$4)+MAX(0,MIN(IF($A$27&gt;$E$23,DCF_Base!$L$19*(1+$E$23/100)/(($A$27-$E$23)/100),DCF_Base!$L$19*DCF_Base!$B$29),DCF_Base!$L$19*DCF_Base!$B$29))/(1+$A$27/100)^DCF_Base!$L$4+Assumptions!$B$5-Assumptions!$B$4)/Assumptions!$B$3*Assumptions!$B$10</f>
        <v>15.4405075416809</v>
      </c>
      <c r="F27" s="0" t="n">
        <f aca="false">(SUMPRODUCT(DCF_Base!$C$19:$L$19/(1+$A$27/100)^DCF_Base!$C$4:$L$4)+MAX(0,MIN(IF($A$27&gt;$F$23,DCF_Base!$L$19*(1+$F$23/100)/(($A$27-$F$23)/100),DCF_Base!$L$19*DCF_Base!$B$29),DCF_Base!$L$19*DCF_Base!$B$29))/(1+$A$27/100)^DCF_Base!$L$4+Assumptions!$B$5-Assumptions!$B$4)/Assumptions!$B$3*Assumptions!$B$10</f>
        <v>15.4405075416809</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14.702360950733</v>
      </c>
      <c r="C28" s="0" t="n">
        <f aca="false">(SUMPRODUCT(DCF_Base!$C$19:$L$19/(1+$A$28/100)^DCF_Base!$C$4:$L$4)+MAX(0,MIN(IF($A$28&gt;$C$23,DCF_Base!$L$19*(1+$C$23/100)/(($A$28-$C$23)/100),DCF_Base!$L$19*DCF_Base!$B$29),DCF_Base!$L$19*DCF_Base!$B$29))/(1+$A$28/100)^DCF_Base!$L$4+Assumptions!$B$5-Assumptions!$B$4)/Assumptions!$B$3*Assumptions!$B$10</f>
        <v>14.8532086419731</v>
      </c>
      <c r="D28" s="0" t="n">
        <f aca="false">(SUMPRODUCT(DCF_Base!$C$19:$L$19/(1+$A$28/100)^DCF_Base!$C$4:$L$4)+MAX(0,MIN(IF($A$28&gt;$D$23,DCF_Base!$L$19*(1+$D$23/100)/(($A$28-$D$23)/100),DCF_Base!$L$19*DCF_Base!$B$29),DCF_Base!$L$19*DCF_Base!$B$29))/(1+$A$28/100)^DCF_Base!$L$4+Assumptions!$B$5-Assumptions!$B$4)/Assumptions!$B$3*Assumptions!$B$10</f>
        <v>15.0241693587118</v>
      </c>
      <c r="E28" s="0" t="n">
        <f aca="false">(SUMPRODUCT(DCF_Base!$C$19:$L$19/(1+$A$28/100)^DCF_Base!$C$4:$L$4)+MAX(0,MIN(IF($A$28&gt;$E$23,DCF_Base!$L$19*(1+$E$23/100)/(($A$28-$E$23)/100),DCF_Base!$L$19*DCF_Base!$B$29),DCF_Base!$L$19*DCF_Base!$B$29))/(1+$A$28/100)^DCF_Base!$L$4+Assumptions!$B$5-Assumptions!$B$4)/Assumptions!$B$3*Assumptions!$B$10</f>
        <v>15.0863368920713</v>
      </c>
      <c r="F28" s="0" t="n">
        <f aca="false">(SUMPRODUCT(DCF_Base!$C$19:$L$19/(1+$A$28/100)^DCF_Base!$C$4:$L$4)+MAX(0,MIN(IF($A$28&gt;$F$23,DCF_Base!$L$19*(1+$F$23/100)/(($A$28-$F$23)/100),DCF_Base!$L$19*DCF_Base!$B$29),DCF_Base!$L$19*DCF_Base!$B$29))/(1+$A$28/100)^DCF_Base!$L$4+Assumptions!$B$5-Assumptions!$B$4)/Assumptions!$B$3*Assumptions!$B$10</f>
        <v>15.0863368920713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2026-10-10T11:53:15Z</dcterms:created>
  <dc:creator>openpyxl</dc:creator>
  <dc:description/>
  <dc:language>en-NZ</dc:language>
  <cp:lastModifiedBy/>
  <dcterms:modified xsi:type="dcterms:W3CDTF">2026-10-10T11:53:15Z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