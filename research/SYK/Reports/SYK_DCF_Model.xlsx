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<sst xmlns="http://schemas.openxmlformats.org/spreadsheetml/2006/main" count="390" uniqueCount="175">
  <si>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</si>
  <si>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SYK</t>
  </si>
  <si>
    <t xml:space="preserve">Company</t>
  </si>
  <si>
    <t xml:space="preserve">Stryker Corporation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</si>
  <si>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</si>
  <si>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</si>
  <si>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</si>
  <si>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</si>
  <si>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2026-10-01T20:03:35Z regular close (Yahoo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</si>
  <si>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</si>
  <si>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</si>
  <si>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</si>
  <si>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</si>
  <si>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</si>
  <si>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</si>
  <si>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</si>
  <si>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</si>
  <si>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</si>
  <si>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</si>
  <si>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</si>
  <si>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</si>
  <si>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2026-10-02T09:21:50Z</t>
  </si>
  <si>
    <t xml:space="preserve">Drivers file</t>
  </si>
  <si>
    <t xml:space="preserve">SYK_Drivers.json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</si>
  <si>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</si>
  <si>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</si>
  <si>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</si>
  <si>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Unlevered owner-FCF DCF with SBC plus equity-award withholding taxes fully expensed and the diluted count held flat. Growth is organic only; acquisitions are neither modelled nor charged. GAAP special items are treated as recurring costs. Acquired-intangible amortization is run off so the terminal tax shield is not perpetuated.
key_risks_to_valuation: Terminal value is the majority of EV; a 1pp WACC change moves value roughly 15-20%.; M&amp;A is excluded: Stryker's history of buying growth means reported revenue will likely outrun these organic paths, but at a cash cost this model does not charge.; FY2026 H2 must deliver ~11% growth to meet guidance after a cyberattack-hit Q1.; Robotics competition (ROSA, VELYS) and MedSurg mix shift both cap margin expansion.; Legacy hip-implant litigation and tariffs are unquantified cash risks.</t>
  </si>
  <si>
    <t xml:space="preserve">Data sources</t>
  </si>
  <si>
    <t xml:space="preserve">price: Yahoo Finance chart API at inputs.price_as_of; 52-week range 267.00-392.55
financials: SYK_Metrics.csv (SEC XBRL, FY2007-Q2 2026); SEC XBRL companyfacts CIK 310764 for debt split, AFS securities, withholding taxes, interest income, amortization schedule, diluted shares
qualitative: SYK_Analysis.json (Q2 2026 earnings 2026-07-30 guidance; cyberattack March 2026; Inari Feb 2025)</t>
  </si>
  <si>
    <t xml:space="preserve">Scenario narrative: bear</t>
  </si>
  <si>
    <t xml:space="preserve">The cyberattack proves more than a timing issue -- lost capital-equipment orders and hospital trust push FY2026 below guide -- while ROSA and VELYS close the robotics gap and hospital capex budgets tighten. MedSurg (lower margin) keeps outgrowing Orthopaedics, tariffs (~$175M in FY2025, unquantified for 2026) recur, and legacy hip litigation (MDL 2768/2441) and post-Inari leverage absorb cash. Growth decays to ~3% and margins stall at ~27.5%; the market pays a mid-teens FCF multiple for a slower, ex-premium medtech.</t>
  </si>
  <si>
    <t xml:space="preserve">Scenario narrative: base</t>
  </si>
  <si>
    <t xml:space="preserve">Stryker lands FY2026 near, but slightly under, its 8.3-9.3% organic guide: Q2's +9% organic shows the March cyberattack was a timing disruption, but H1 reported growth of only 6.1% leaves a demanding H2. From there the two engines -- Mako robotic placements pulling through knee/hip/shoulder implants, and MedSurg &amp; Neurotechnology (Inari venous thromboembolism, neurovascular, endoscopy, medical beds/stretchers) -- keep organic growth high-single-digit for several years before maturing toward 4%. Mix shift toward the lower-gross-margin MedSurg segment caps the margin gain at ~50-60bp/yr, ending at ~30.5% pre-SBC GAAP EBITDA. No buybacks are assumed to create value (the flat count is held by expensing SBC); M&amp;A is excluded, so growth is organic only.</t>
  </si>
  <si>
    <t xml:space="preserve">Scenario narrative: bull</t>
  </si>
  <si>
    <t xml:space="preserve">Mako's ~2,700-system installed base widens its lead over Zimmer's ROSA and J&amp;J's VELYS as spine and shoulder applications launch, keeping Orthopaedics growing mid-to-high single digit and lifting implant mix; Inari is cross-sold through Stryker's hospital relationships and the VTE market grows double-digit. Low China exposure (~2%) shields Stryker from VBP and tariff escalation relative to peers. Organic growth holds ~9% through 2030 and operating leverage plus manufacturing productivity take pre-SBC EBITDA margin to 32.5%. Market re-rates toward its historic premium multiple.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</si>
  <si>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</si>
  <si>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</si>
  <si>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</si>
  <si>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</si>
  <si>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</si>
  <si>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</si>
  <si>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</si>
  <si>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</si>
  <si>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</si>
  <si>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</si>
  <si>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</si>
  <si>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</si>
  <si>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</si>
  <si>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</si>
  <si>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</si>
  <si>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</si>
  <si>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</si>
  <si>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</si>
  <si>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</si>
  <si>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</si>
  <si>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</si>
  <si>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</si>
  <si>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</si>
  <si>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</si>
  <si>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</si>
  <si>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</si>
  <si>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</si>
  <si>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</si>
  <si>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</si>
  <si>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</si>
  <si>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</si>
  <si>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</si>
  <si>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</si>
  <si>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</si>
  <si>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</si>
  <si>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</si>
  <si>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</si>
  <si>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</si>
  <si>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</si>
  <si>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</si>
  <si>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</si>
  <si>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</si>
  <si>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</si>
  <si>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</si>
  <si>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</si>
  <si>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</si>
  <si>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</si>
  <si>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</si>
  <si>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</si>
  <si>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</si>
  <si>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</si>
  <si>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</si>
  <si>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</si>
  <si>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</si>
  <si>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</si>
  <si>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</si>
  <si>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</si>
  <si>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</si>
  <si>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</si>
  <si>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</si>
  <si>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</si>
  <si>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</si>
  <si>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</si>
  <si>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</si>
  <si>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</si>
  <si>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</si>
  <si>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</si>
  <si>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</si>
  <si>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</si>
  <si>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</si>
  <si>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</si>
  <si>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</si>
  <si>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</si>
  <si>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</si>
  <si>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</si>
  <si>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</si>
  <si>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</si>
  <si>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</si>
  <si>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</si>
  <si>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</si>
  <si>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</si>
  <si>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</si>
  <si>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</si>
  <si>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</si>
  <si>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SYK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</si>
  <si>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</si>
  <si>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</si>
  <si>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</si>
  <si>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</si>
  <si>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</si>
  <si>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</si>
  <si>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</si>
  <si>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</si>
  <si>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</si>
  <si>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</si>
  <si>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</si>
  <si>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</si>
  <si>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</si>
  <si>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</si>
  <si>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</si>
  <si>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</si>
  <si>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</si>
  <si>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</si>
  <si>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</si>
  <si>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</si>
  <si>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</si>
  <si>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</si>
  <si>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</si>
  <si>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</si>
  <si>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</si>
  <si>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</si>
  <si>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</si>
  <si>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</si>
  <si>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</si>
  <si>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</si>
  <si>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SYK owner-FCF component DCF: base case (millions, USD)</t>
  </si>
  <si>
    <t xml:space="preserve">SYK owner-FCF component DCF: bull case (millions, USD)</t>
  </si>
  <si>
    <t xml:space="preserve">SYK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</si>
  <si>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</si>
  <si>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</si>
  <si>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</si>
  <si>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</si>
  <si>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</si>
  <si>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</si>
  <si>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</si>
  <si>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</si>
  <si>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</si>
  <si>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</si>
  <si>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</si>
  <si>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</si>
  <si>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</si>
  <si>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</si>
  <si>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8.25%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</si>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</sst>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272.96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4191</v>
      </c>
      <c r="S2" s="0" t="n">
        <v>416.6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6000.5</v>
      </c>
      <c r="D3" s="0" t="n">
        <v>4135.3</v>
      </c>
      <c r="E3" s="0" t="n">
        <v>68.9159236730273</v>
      </c>
      <c r="F3" s="0" t="n">
        <v>1307.3</v>
      </c>
      <c r="G3" s="0" t="n">
        <v>21.7865177901842</v>
      </c>
      <c r="I3" s="0" t="n">
        <v>1017.4</v>
      </c>
      <c r="J3" s="0" t="n">
        <v>16.9552537288559</v>
      </c>
      <c r="K3" s="0" t="n">
        <v>2.48</v>
      </c>
      <c r="L3" s="0" t="n">
        <v>1028.3</v>
      </c>
      <c r="M3" s="0" t="n">
        <v>187.7</v>
      </c>
      <c r="N3" s="0" t="n">
        <v>840.6</v>
      </c>
      <c r="O3" s="0" t="n">
        <v>5378.5</v>
      </c>
      <c r="S3" s="0" t="n">
        <v>290.5</v>
      </c>
      <c r="U3" s="0" t="n">
        <v>61.3</v>
      </c>
      <c r="V3" s="0" t="n">
        <v>0.33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6718.2</v>
      </c>
      <c r="D4" s="0" t="n">
        <v>4586.8</v>
      </c>
      <c r="E4" s="0" t="n">
        <v>68.2742401238427</v>
      </c>
      <c r="F4" s="0" t="n">
        <v>1519</v>
      </c>
      <c r="G4" s="0" t="n">
        <v>22.6102229763925</v>
      </c>
      <c r="I4" s="0" t="n">
        <v>1147.8</v>
      </c>
      <c r="J4" s="0" t="n">
        <v>17.0849334643208</v>
      </c>
      <c r="K4" s="0" t="n">
        <v>2.81</v>
      </c>
      <c r="L4" s="0" t="n">
        <v>1175.9</v>
      </c>
      <c r="M4" s="0" t="n">
        <v>155.2</v>
      </c>
      <c r="N4" s="0" t="n">
        <v>1020.7</v>
      </c>
      <c r="O4" s="0" t="n">
        <v>5408</v>
      </c>
      <c r="P4" s="0" t="n">
        <v>7603.3</v>
      </c>
      <c r="R4" s="0" t="n">
        <v>20.5</v>
      </c>
      <c r="S4" s="0" t="n">
        <v>701</v>
      </c>
      <c r="T4" s="0" t="n">
        <v>413.6</v>
      </c>
      <c r="U4" s="0" t="n">
        <v>65.5</v>
      </c>
      <c r="V4" s="0" t="n">
        <v>0.4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6723</v>
      </c>
      <c r="D5" s="0" t="n">
        <v>4539</v>
      </c>
      <c r="E5" s="0" t="n">
        <v>67.5145024542615</v>
      </c>
      <c r="F5" s="0" t="n">
        <v>1594</v>
      </c>
      <c r="G5" s="0" t="n">
        <v>23.7096534285289</v>
      </c>
      <c r="H5" s="0" t="n">
        <v>1979</v>
      </c>
      <c r="I5" s="0" t="n">
        <v>1107</v>
      </c>
      <c r="J5" s="0" t="n">
        <v>16.4658634538153</v>
      </c>
      <c r="K5" s="0" t="n">
        <v>2.79</v>
      </c>
      <c r="L5" s="0" t="n">
        <v>1461</v>
      </c>
      <c r="M5" s="0" t="n">
        <v>131</v>
      </c>
      <c r="N5" s="0" t="n">
        <v>1330</v>
      </c>
      <c r="O5" s="0" t="n">
        <v>6596</v>
      </c>
      <c r="P5" s="0" t="n">
        <v>9071</v>
      </c>
      <c r="R5" s="0" t="n">
        <v>36</v>
      </c>
      <c r="S5" s="0" t="n">
        <v>659</v>
      </c>
      <c r="T5" s="0" t="n">
        <v>399.4</v>
      </c>
      <c r="U5" s="0" t="n">
        <v>62</v>
      </c>
      <c r="V5" s="0" t="n">
        <v>0.25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7320</v>
      </c>
      <c r="D6" s="0" t="n">
        <v>5034</v>
      </c>
      <c r="E6" s="0" t="n">
        <v>68.7704918032787</v>
      </c>
      <c r="F6" s="0" t="n">
        <v>1751</v>
      </c>
      <c r="G6" s="0" t="n">
        <v>23.9207650273224</v>
      </c>
      <c r="H6" s="0" t="n">
        <v>2161</v>
      </c>
      <c r="I6" s="0" t="n">
        <v>1273</v>
      </c>
      <c r="J6" s="0" t="n">
        <v>17.3907103825137</v>
      </c>
      <c r="K6" s="0" t="n">
        <v>3.21</v>
      </c>
      <c r="L6" s="0" t="n">
        <v>1547</v>
      </c>
      <c r="M6" s="0" t="n">
        <v>182</v>
      </c>
      <c r="N6" s="0" t="n">
        <v>1365</v>
      </c>
      <c r="O6" s="0" t="n">
        <v>7174</v>
      </c>
      <c r="P6" s="0" t="n">
        <v>10658</v>
      </c>
      <c r="R6" s="0" t="n">
        <v>1046</v>
      </c>
      <c r="S6" s="0" t="n">
        <v>1758</v>
      </c>
      <c r="T6" s="0" t="n">
        <v>399.5</v>
      </c>
      <c r="U6" s="0" t="n">
        <v>69</v>
      </c>
      <c r="V6" s="0" t="n">
        <v>0.63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8307</v>
      </c>
      <c r="D7" s="0" t="n">
        <v>5496</v>
      </c>
      <c r="E7" s="0" t="n">
        <v>66.1610689779704</v>
      </c>
      <c r="F7" s="0" t="n">
        <v>1686</v>
      </c>
      <c r="G7" s="0" t="n">
        <v>20.2961357890935</v>
      </c>
      <c r="H7" s="0" t="n">
        <v>2167</v>
      </c>
      <c r="I7" s="0" t="n">
        <v>1345</v>
      </c>
      <c r="J7" s="0" t="n">
        <v>16.191164078488</v>
      </c>
      <c r="K7" s="0" t="n">
        <v>3.48</v>
      </c>
      <c r="L7" s="0" t="n">
        <v>1434</v>
      </c>
      <c r="M7" s="0" t="n">
        <v>226</v>
      </c>
      <c r="N7" s="0" t="n">
        <v>1208</v>
      </c>
      <c r="O7" s="0" t="n">
        <v>7683</v>
      </c>
      <c r="P7" s="0" t="n">
        <v>12146</v>
      </c>
      <c r="R7" s="0" t="n">
        <v>1768</v>
      </c>
      <c r="S7" s="0" t="n">
        <v>905</v>
      </c>
      <c r="T7" s="0" t="n">
        <v>389.5</v>
      </c>
      <c r="U7" s="0" t="n">
        <v>75</v>
      </c>
      <c r="V7" s="0" t="n">
        <v>0.7525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8657</v>
      </c>
      <c r="D8" s="0" t="n">
        <v>5876</v>
      </c>
      <c r="E8" s="0" t="n">
        <v>67.8757075199261</v>
      </c>
      <c r="F8" s="0" t="n">
        <v>1741</v>
      </c>
      <c r="G8" s="0" t="n">
        <v>20.1108929190251</v>
      </c>
      <c r="H8" s="0" t="n">
        <v>2227</v>
      </c>
      <c r="I8" s="0" t="n">
        <v>1298</v>
      </c>
      <c r="J8" s="0" t="n">
        <v>14.9936467598475</v>
      </c>
      <c r="K8" s="0" t="n">
        <v>3.41</v>
      </c>
      <c r="L8" s="0" t="n">
        <v>1657</v>
      </c>
      <c r="M8" s="0" t="n">
        <v>210</v>
      </c>
      <c r="N8" s="0" t="n">
        <v>1447</v>
      </c>
      <c r="O8" s="0" t="n">
        <v>8597</v>
      </c>
      <c r="P8" s="0" t="n">
        <v>13206</v>
      </c>
      <c r="R8" s="0" t="n">
        <v>1762</v>
      </c>
      <c r="S8" s="0" t="n">
        <v>1395</v>
      </c>
      <c r="T8" s="0" t="n">
        <v>383</v>
      </c>
      <c r="U8" s="0" t="n">
        <v>75</v>
      </c>
      <c r="V8" s="0" t="n">
        <v>0.9025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9021</v>
      </c>
      <c r="D9" s="0" t="n">
        <v>6019</v>
      </c>
      <c r="E9" s="0" t="n">
        <v>66.7220928943576</v>
      </c>
      <c r="F9" s="0" t="n">
        <v>1256</v>
      </c>
      <c r="G9" s="0" t="n">
        <v>13.923068395965</v>
      </c>
      <c r="H9" s="0" t="n">
        <v>1767</v>
      </c>
      <c r="I9" s="0" t="n">
        <v>1006</v>
      </c>
      <c r="J9" s="0" t="n">
        <v>11.1517570114178</v>
      </c>
      <c r="K9" s="0" t="n">
        <v>2.66</v>
      </c>
      <c r="L9" s="0" t="n">
        <v>1886</v>
      </c>
      <c r="M9" s="0" t="n">
        <v>195</v>
      </c>
      <c r="N9" s="0" t="n">
        <v>1691</v>
      </c>
      <c r="O9" s="0" t="n">
        <v>9047</v>
      </c>
      <c r="P9" s="0" t="n">
        <v>15399</v>
      </c>
      <c r="R9" s="0" t="n">
        <v>2764</v>
      </c>
      <c r="S9" s="0" t="n">
        <v>1339</v>
      </c>
      <c r="T9" s="0" t="n">
        <v>382.1</v>
      </c>
      <c r="U9" s="0" t="n">
        <v>76</v>
      </c>
      <c r="V9" s="0" t="n">
        <v>1.1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9675</v>
      </c>
      <c r="D10" s="0" t="n">
        <v>6356</v>
      </c>
      <c r="E10" s="0" t="n">
        <v>65.6950904392765</v>
      </c>
      <c r="F10" s="0" t="n">
        <v>1246</v>
      </c>
      <c r="G10" s="0" t="n">
        <v>12.8785529715762</v>
      </c>
      <c r="H10" s="0" t="n">
        <v>1832</v>
      </c>
      <c r="I10" s="0" t="n">
        <v>515</v>
      </c>
      <c r="J10" s="0" t="n">
        <v>5.32299741602067</v>
      </c>
      <c r="K10" s="0" t="n">
        <v>1.36</v>
      </c>
      <c r="L10" s="0" t="n">
        <v>1782</v>
      </c>
      <c r="M10" s="0" t="n">
        <v>233</v>
      </c>
      <c r="N10" s="0" t="n">
        <v>1549</v>
      </c>
      <c r="O10" s="0" t="n">
        <v>8595</v>
      </c>
      <c r="P10" s="0" t="n">
        <v>17258</v>
      </c>
      <c r="R10" s="0" t="n">
        <v>3973</v>
      </c>
      <c r="S10" s="0" t="n">
        <v>1795</v>
      </c>
      <c r="T10" s="0" t="n">
        <v>378.6</v>
      </c>
      <c r="U10" s="0" t="n">
        <v>77</v>
      </c>
      <c r="V10" s="0" t="n">
        <v>1.26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9946</v>
      </c>
      <c r="D11" s="0" t="n">
        <v>6602</v>
      </c>
      <c r="E11" s="0" t="n">
        <v>66.3784435954152</v>
      </c>
      <c r="F11" s="0" t="n">
        <v>1861</v>
      </c>
      <c r="G11" s="0" t="n">
        <v>18.7110396139151</v>
      </c>
      <c r="H11" s="0" t="n">
        <v>2451</v>
      </c>
      <c r="I11" s="0" t="n">
        <v>1439</v>
      </c>
      <c r="J11" s="0" t="n">
        <v>14.4681278906093</v>
      </c>
      <c r="K11" s="0" t="n">
        <v>3.82</v>
      </c>
      <c r="L11" s="0" t="n">
        <v>981</v>
      </c>
      <c r="M11" s="0" t="n">
        <v>270</v>
      </c>
      <c r="N11" s="0" t="n">
        <v>711</v>
      </c>
      <c r="O11" s="0" t="n">
        <v>8511</v>
      </c>
      <c r="P11" s="0" t="n">
        <v>16223</v>
      </c>
      <c r="Q11" s="0" t="n">
        <v>7712</v>
      </c>
      <c r="R11" s="0" t="n">
        <v>3998</v>
      </c>
      <c r="S11" s="0" t="n">
        <v>3379</v>
      </c>
      <c r="T11" s="0" t="n">
        <v>380.9</v>
      </c>
      <c r="U11" s="0" t="n">
        <v>86</v>
      </c>
      <c r="V11" s="0" t="n">
        <v>1.415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11325</v>
      </c>
      <c r="C12" s="0" t="n">
        <v>3821</v>
      </c>
      <c r="D12" s="0" t="n">
        <v>7504</v>
      </c>
      <c r="E12" s="0" t="n">
        <v>66.2604856512141</v>
      </c>
      <c r="F12" s="0" t="n">
        <v>2175</v>
      </c>
      <c r="G12" s="0" t="n">
        <v>19.205298013245</v>
      </c>
      <c r="H12" s="0" t="n">
        <v>2927</v>
      </c>
      <c r="I12" s="0" t="n">
        <v>1647</v>
      </c>
      <c r="J12" s="0" t="n">
        <v>14.5430463576159</v>
      </c>
      <c r="K12" s="0" t="n">
        <v>4.4</v>
      </c>
      <c r="L12" s="0" t="n">
        <v>1915</v>
      </c>
      <c r="M12" s="0" t="n">
        <v>490</v>
      </c>
      <c r="N12" s="0" t="n">
        <v>1425</v>
      </c>
      <c r="O12" s="0" t="n">
        <v>9550</v>
      </c>
      <c r="P12" s="0" t="n">
        <v>20435</v>
      </c>
      <c r="Q12" s="0" t="n">
        <v>10885</v>
      </c>
      <c r="R12" s="0" t="n">
        <v>6914</v>
      </c>
      <c r="S12" s="0" t="n">
        <v>3316</v>
      </c>
      <c r="T12" s="0" t="n">
        <v>378.5</v>
      </c>
      <c r="U12" s="0" t="n">
        <v>97</v>
      </c>
      <c r="V12" s="0" t="n">
        <v>1.565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12444</v>
      </c>
      <c r="C13" s="0" t="n">
        <v>4264</v>
      </c>
      <c r="D13" s="0" t="n">
        <v>8180</v>
      </c>
      <c r="E13" s="0" t="n">
        <v>65.7344905175185</v>
      </c>
      <c r="F13" s="0" t="n">
        <v>2297</v>
      </c>
      <c r="G13" s="0" t="n">
        <v>18.4586949533912</v>
      </c>
      <c r="H13" s="0" t="n">
        <v>3156</v>
      </c>
      <c r="I13" s="0" t="n">
        <v>1020</v>
      </c>
      <c r="J13" s="0" t="n">
        <v>8.19672131147541</v>
      </c>
      <c r="K13" s="0" t="n">
        <v>2.73</v>
      </c>
      <c r="L13" s="0" t="n">
        <v>1559</v>
      </c>
      <c r="M13" s="0" t="n">
        <v>598</v>
      </c>
      <c r="N13" s="0" t="n">
        <v>961</v>
      </c>
      <c r="O13" s="0" t="n">
        <v>9980</v>
      </c>
      <c r="P13" s="0" t="n">
        <v>22197</v>
      </c>
      <c r="Q13" s="0" t="n">
        <v>12217</v>
      </c>
      <c r="R13" s="0" t="n">
        <v>7222</v>
      </c>
      <c r="S13" s="0" t="n">
        <v>2542</v>
      </c>
      <c r="T13" s="0" t="n">
        <v>380.1</v>
      </c>
      <c r="U13" s="0" t="n">
        <v>113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13601</v>
      </c>
      <c r="C14" s="0" t="n">
        <v>4663</v>
      </c>
      <c r="D14" s="0" t="n">
        <v>8938</v>
      </c>
      <c r="E14" s="0" t="n">
        <v>65.7157561943975</v>
      </c>
      <c r="F14" s="0" t="n">
        <v>2537</v>
      </c>
      <c r="G14" s="0" t="n">
        <v>18.6530402176311</v>
      </c>
      <c r="H14" s="0" t="n">
        <v>3503</v>
      </c>
      <c r="I14" s="0" t="n">
        <v>3553</v>
      </c>
      <c r="J14" s="0" t="n">
        <v>26.123079185354</v>
      </c>
      <c r="K14" s="0" t="n">
        <v>9.5</v>
      </c>
      <c r="L14" s="0" t="n">
        <v>2610</v>
      </c>
      <c r="M14" s="0" t="n">
        <v>572</v>
      </c>
      <c r="N14" s="0" t="n">
        <v>2038</v>
      </c>
      <c r="O14" s="0" t="n">
        <v>11730</v>
      </c>
      <c r="P14" s="0" t="n">
        <v>27229</v>
      </c>
      <c r="Q14" s="0" t="n">
        <v>15499</v>
      </c>
      <c r="R14" s="0" t="n">
        <v>9859</v>
      </c>
      <c r="S14" s="0" t="n">
        <v>3616</v>
      </c>
      <c r="T14" s="0" t="n">
        <v>380.3</v>
      </c>
      <c r="U14" s="0" t="n">
        <v>119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14884</v>
      </c>
      <c r="C15" s="0" t="n">
        <v>5188</v>
      </c>
      <c r="D15" s="0" t="n">
        <v>9696</v>
      </c>
      <c r="E15" s="0" t="n">
        <v>65.1437785541521</v>
      </c>
      <c r="F15" s="0" t="n">
        <v>2713</v>
      </c>
      <c r="G15" s="0" t="n">
        <v>18.2276269819941</v>
      </c>
      <c r="H15" s="0" t="n">
        <v>3757</v>
      </c>
      <c r="I15" s="0" t="n">
        <v>2083</v>
      </c>
      <c r="J15" s="0" t="n">
        <v>13.9948938457404</v>
      </c>
      <c r="K15" s="0" t="n">
        <v>5.57</v>
      </c>
      <c r="L15" s="0" t="n">
        <v>2191</v>
      </c>
      <c r="M15" s="0" t="n">
        <v>649</v>
      </c>
      <c r="N15" s="0" t="n">
        <v>1542</v>
      </c>
      <c r="O15" s="0" t="n">
        <v>12807</v>
      </c>
      <c r="P15" s="0" t="n">
        <v>30167</v>
      </c>
      <c r="Q15" s="0" t="n">
        <v>17360</v>
      </c>
      <c r="R15" s="0" t="n">
        <v>11090</v>
      </c>
      <c r="S15" s="0" t="n">
        <v>4337</v>
      </c>
      <c r="T15" s="0" t="n">
        <v>379.9</v>
      </c>
      <c r="U15" s="0" t="n">
        <v>127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14351</v>
      </c>
      <c r="C16" s="0" t="n">
        <v>5294</v>
      </c>
      <c r="D16" s="0" t="n">
        <v>9057</v>
      </c>
      <c r="E16" s="0" t="n">
        <v>63.1105846282489</v>
      </c>
      <c r="F16" s="0" t="n">
        <v>2223</v>
      </c>
      <c r="G16" s="0" t="n">
        <v>15.4902097414814</v>
      </c>
      <c r="H16" s="0" t="n">
        <v>3299</v>
      </c>
      <c r="I16" s="0" t="n">
        <v>1599</v>
      </c>
      <c r="J16" s="0" t="n">
        <v>11.142080691241</v>
      </c>
      <c r="K16" s="0" t="n">
        <v>4.26</v>
      </c>
      <c r="L16" s="0" t="n">
        <v>3277</v>
      </c>
      <c r="M16" s="0" t="n">
        <v>487</v>
      </c>
      <c r="N16" s="0" t="n">
        <v>2790</v>
      </c>
      <c r="O16" s="0" t="n">
        <v>13084</v>
      </c>
      <c r="P16" s="0" t="n">
        <v>34330</v>
      </c>
      <c r="Q16" s="0" t="n">
        <v>21246</v>
      </c>
      <c r="R16" s="0" t="n">
        <v>13991</v>
      </c>
      <c r="S16" s="0" t="n">
        <v>2943</v>
      </c>
      <c r="T16" s="0" t="n">
        <v>380.3</v>
      </c>
      <c r="U16" s="0" t="n">
        <v>142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17108</v>
      </c>
      <c r="C17" s="0" t="n">
        <v>6140</v>
      </c>
      <c r="D17" s="0" t="n">
        <v>10968</v>
      </c>
      <c r="E17" s="0" t="n">
        <v>64.110357727379</v>
      </c>
      <c r="F17" s="0" t="n">
        <v>2584</v>
      </c>
      <c r="G17" s="0" t="n">
        <v>15.1040448912789</v>
      </c>
      <c r="H17" s="0" t="n">
        <v>3856</v>
      </c>
      <c r="I17" s="0" t="n">
        <v>1994</v>
      </c>
      <c r="J17" s="0" t="n">
        <v>11.6553659106851</v>
      </c>
      <c r="K17" s="0" t="n">
        <v>5.29</v>
      </c>
      <c r="L17" s="0" t="n">
        <v>3263</v>
      </c>
      <c r="M17" s="0" t="n">
        <v>525</v>
      </c>
      <c r="N17" s="0" t="n">
        <v>2738</v>
      </c>
      <c r="O17" s="0" t="n">
        <v>14877</v>
      </c>
      <c r="P17" s="0" t="n">
        <v>34631</v>
      </c>
      <c r="Q17" s="0" t="n">
        <v>19754</v>
      </c>
      <c r="R17" s="0" t="n">
        <v>12479</v>
      </c>
      <c r="S17" s="0" t="n">
        <v>2944</v>
      </c>
      <c r="T17" s="0" t="n">
        <v>382.3</v>
      </c>
      <c r="U17" s="0" t="n">
        <v>171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18449</v>
      </c>
      <c r="C18" s="0" t="n">
        <v>6871</v>
      </c>
      <c r="D18" s="0" t="n">
        <v>11578</v>
      </c>
      <c r="E18" s="0" t="n">
        <v>62.7567889858529</v>
      </c>
      <c r="F18" s="0" t="n">
        <v>2841</v>
      </c>
      <c r="G18" s="0" t="n">
        <v>15.399208629194</v>
      </c>
      <c r="H18" s="0" t="n">
        <v>4119</v>
      </c>
      <c r="I18" s="0" t="n">
        <v>2358</v>
      </c>
      <c r="J18" s="0" t="n">
        <v>12.7811805517914</v>
      </c>
      <c r="K18" s="0" t="n">
        <v>6.23</v>
      </c>
      <c r="L18" s="0" t="n">
        <v>2624</v>
      </c>
      <c r="M18" s="0" t="n">
        <v>588</v>
      </c>
      <c r="N18" s="0" t="n">
        <v>2036</v>
      </c>
      <c r="O18" s="0" t="n">
        <v>16616</v>
      </c>
      <c r="P18" s="0" t="n">
        <v>36884</v>
      </c>
      <c r="Q18" s="0" t="n">
        <v>20268</v>
      </c>
      <c r="R18" s="0" t="n">
        <v>13048</v>
      </c>
      <c r="S18" s="0" t="n">
        <v>1844</v>
      </c>
      <c r="T18" s="0" t="n">
        <v>382.2</v>
      </c>
      <c r="U18" s="0" t="n">
        <v>168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20498</v>
      </c>
      <c r="C19" s="0" t="n">
        <v>7440</v>
      </c>
      <c r="D19" s="0" t="n">
        <v>13058</v>
      </c>
      <c r="E19" s="0" t="n">
        <v>63.7037759781442</v>
      </c>
      <c r="F19" s="0" t="n">
        <v>3888</v>
      </c>
      <c r="G19" s="0" t="n">
        <v>18.9677041662601</v>
      </c>
      <c r="H19" s="0" t="n">
        <v>5229</v>
      </c>
      <c r="I19" s="0" t="n">
        <v>3165</v>
      </c>
      <c r="J19" s="0" t="n">
        <v>15.4405307834911</v>
      </c>
      <c r="K19" s="0" t="n">
        <v>8.34</v>
      </c>
      <c r="L19" s="0" t="n">
        <v>3711</v>
      </c>
      <c r="M19" s="0" t="n">
        <v>575</v>
      </c>
      <c r="N19" s="0" t="n">
        <v>3136</v>
      </c>
      <c r="O19" s="0" t="n">
        <v>18593</v>
      </c>
      <c r="P19" s="0" t="n">
        <v>39912</v>
      </c>
      <c r="Q19" s="0" t="n">
        <v>21319</v>
      </c>
      <c r="R19" s="0" t="n">
        <v>12995</v>
      </c>
      <c r="S19" s="0" t="n">
        <v>2971</v>
      </c>
      <c r="T19" s="0" t="n">
        <v>383.7</v>
      </c>
      <c r="U19" s="0" t="n">
        <v>205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22595</v>
      </c>
      <c r="C20" s="0" t="n">
        <v>8155</v>
      </c>
      <c r="D20" s="0" t="n">
        <v>14440</v>
      </c>
      <c r="E20" s="0" t="n">
        <v>63.9079442354503</v>
      </c>
      <c r="F20" s="0" t="n">
        <v>3689</v>
      </c>
      <c r="G20" s="0" t="n">
        <v>16.3266209338349</v>
      </c>
      <c r="H20" s="0" t="n">
        <v>5115</v>
      </c>
      <c r="I20" s="0" t="n">
        <v>2993</v>
      </c>
      <c r="J20" s="0" t="n">
        <v>13.2462934277495</v>
      </c>
      <c r="K20" s="0" t="n">
        <v>7.86</v>
      </c>
      <c r="L20" s="0" t="n">
        <v>4242</v>
      </c>
      <c r="M20" s="0" t="n">
        <v>755</v>
      </c>
      <c r="N20" s="0" t="n">
        <v>3487</v>
      </c>
      <c r="O20" s="0" t="n">
        <v>20634</v>
      </c>
      <c r="P20" s="0" t="n">
        <v>42971</v>
      </c>
      <c r="Q20" s="0" t="n">
        <v>22337</v>
      </c>
      <c r="R20" s="0" t="n">
        <v>13597</v>
      </c>
      <c r="S20" s="0" t="n">
        <v>3652</v>
      </c>
      <c r="T20" s="0" t="n">
        <v>385.6</v>
      </c>
      <c r="U20" s="0" t="n">
        <v>229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25116</v>
      </c>
      <c r="C21" s="0" t="n">
        <v>9051</v>
      </c>
      <c r="D21" s="0" t="n">
        <v>16065</v>
      </c>
      <c r="E21" s="0" t="n">
        <v>63.9632107023411</v>
      </c>
      <c r="F21" s="0" t="n">
        <v>4889</v>
      </c>
      <c r="G21" s="0" t="n">
        <v>19.4656792482879</v>
      </c>
      <c r="H21" s="0" t="n">
        <v>6459</v>
      </c>
      <c r="I21" s="0" t="n">
        <v>3246</v>
      </c>
      <c r="J21" s="0" t="n">
        <v>12.9240324892499</v>
      </c>
      <c r="K21" s="0" t="n">
        <v>8.49</v>
      </c>
      <c r="L21" s="0" t="n">
        <v>5044</v>
      </c>
      <c r="M21" s="0" t="n">
        <v>761</v>
      </c>
      <c r="N21" s="0" t="n">
        <v>4283</v>
      </c>
      <c r="O21" s="0" t="n">
        <v>22420</v>
      </c>
      <c r="P21" s="0" t="n">
        <v>47844</v>
      </c>
      <c r="Q21" s="0" t="n">
        <v>25424</v>
      </c>
      <c r="R21" s="0" t="n">
        <v>15859</v>
      </c>
      <c r="S21" s="0" t="n">
        <v>4011</v>
      </c>
      <c r="T21" s="0" t="n">
        <v>386.5</v>
      </c>
      <c r="U21" s="0" t="n">
        <v>243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272.96</v>
      </c>
    </row>
    <row r="3" customFormat="false" ht="15" hidden="false" customHeight="false" outlineLevel="0" collapsed="false">
      <c r="A3" s="0" t="s">
        <v>86</v>
      </c>
      <c r="B3" s="3" t="n">
        <v>386</v>
      </c>
    </row>
    <row r="4" customFormat="false" ht="15" hidden="false" customHeight="false" outlineLevel="0" collapsed="false">
      <c r="A4" s="0" t="s">
        <v>87</v>
      </c>
      <c r="B4" s="3" t="n">
        <v>11466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25116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6.5</v>
      </c>
      <c r="D13" s="3" t="n">
        <v>6</v>
      </c>
      <c r="E13" s="3" t="n">
        <v>5.5</v>
      </c>
      <c r="F13" s="3" t="n">
        <v>5</v>
      </c>
      <c r="G13" s="3" t="n">
        <v>4.5</v>
      </c>
      <c r="H13" s="3" t="n">
        <v>4</v>
      </c>
      <c r="I13" s="3" t="n">
        <v>3.5</v>
      </c>
      <c r="J13" s="3" t="n">
        <v>3.5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107</v>
      </c>
      <c r="C14" s="3" t="n">
        <v>27.3</v>
      </c>
      <c r="D14" s="3" t="n">
        <v>27.4</v>
      </c>
      <c r="E14" s="3" t="n">
        <v>27.5</v>
      </c>
      <c r="F14" s="3" t="n">
        <v>27.5</v>
      </c>
      <c r="G14" s="3" t="n">
        <v>27.5</v>
      </c>
      <c r="H14" s="3" t="n">
        <v>27.5</v>
      </c>
      <c r="I14" s="3" t="n">
        <v>27.5</v>
      </c>
      <c r="J14" s="3" t="n">
        <v>27.5</v>
      </c>
      <c r="K14" s="3" t="n">
        <v>27.5</v>
      </c>
      <c r="L14" s="3" t="n">
        <v>27.5</v>
      </c>
    </row>
    <row r="15" customFormat="false" ht="15" hidden="false" customHeight="false" outlineLevel="0" collapsed="false">
      <c r="A15" s="0" t="s">
        <v>108</v>
      </c>
      <c r="C15" s="3" t="n">
        <v>1.55</v>
      </c>
      <c r="D15" s="3" t="n">
        <v>1.55</v>
      </c>
      <c r="E15" s="3" t="n">
        <v>1.55</v>
      </c>
      <c r="F15" s="3" t="n">
        <v>1.55</v>
      </c>
      <c r="G15" s="3" t="n">
        <v>1.55</v>
      </c>
      <c r="H15" s="3" t="n">
        <v>1.55</v>
      </c>
      <c r="I15" s="3" t="n">
        <v>1.55</v>
      </c>
      <c r="J15" s="3" t="n">
        <v>1.55</v>
      </c>
      <c r="K15" s="3" t="n">
        <v>1.55</v>
      </c>
      <c r="L15" s="3" t="n">
        <v>1.55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5.9</v>
      </c>
      <c r="D17" s="3" t="n">
        <v>5.6</v>
      </c>
      <c r="E17" s="3" t="n">
        <v>5.3</v>
      </c>
      <c r="F17" s="3" t="n">
        <v>5</v>
      </c>
      <c r="G17" s="3" t="n">
        <v>4.7</v>
      </c>
      <c r="H17" s="3" t="n">
        <v>4.4</v>
      </c>
      <c r="I17" s="3" t="n">
        <v>4.1</v>
      </c>
      <c r="J17" s="3" t="n">
        <v>3.9</v>
      </c>
      <c r="K17" s="3" t="n">
        <v>3.7</v>
      </c>
      <c r="L17" s="3" t="n">
        <v>3.6</v>
      </c>
    </row>
    <row r="18" customFormat="false" ht="15" hidden="false" customHeight="false" outlineLevel="0" collapsed="false">
      <c r="A18" s="0" t="s">
        <v>111</v>
      </c>
      <c r="C18" s="3" t="n">
        <v>3.2</v>
      </c>
      <c r="D18" s="3" t="n">
        <v>3.2</v>
      </c>
      <c r="E18" s="3" t="n">
        <v>3.2</v>
      </c>
      <c r="F18" s="3" t="n">
        <v>3.2</v>
      </c>
      <c r="G18" s="3" t="n">
        <v>3.3</v>
      </c>
      <c r="H18" s="3" t="n">
        <v>3.3</v>
      </c>
      <c r="I18" s="3" t="n">
        <v>3.3</v>
      </c>
      <c r="J18" s="3" t="n">
        <v>3.3</v>
      </c>
      <c r="K18" s="3" t="n">
        <v>3.3</v>
      </c>
      <c r="L18" s="3" t="n">
        <v>3.3</v>
      </c>
    </row>
    <row r="19" customFormat="false" ht="15" hidden="false" customHeight="false" outlineLevel="0" collapsed="false">
      <c r="A19" s="0" t="s">
        <v>112</v>
      </c>
      <c r="C19" s="3" t="n">
        <v>20</v>
      </c>
      <c r="D19" s="3" t="n">
        <v>20</v>
      </c>
      <c r="E19" s="3" t="n">
        <v>20.5</v>
      </c>
      <c r="F19" s="3" t="n">
        <v>20.5</v>
      </c>
      <c r="G19" s="3" t="n">
        <v>21</v>
      </c>
      <c r="H19" s="3" t="n">
        <v>21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113</v>
      </c>
      <c r="B20" s="3" t="n">
        <v>8.25</v>
      </c>
    </row>
    <row r="21" customFormat="false" ht="15" hidden="false" customHeight="false" outlineLevel="0" collapsed="false">
      <c r="A21" s="0" t="s">
        <v>114</v>
      </c>
      <c r="B21" s="3" t="n">
        <v>2.5</v>
      </c>
    </row>
    <row r="22" customFormat="false" ht="15" hidden="false" customHeight="false" outlineLevel="0" collapsed="false">
      <c r="A22" s="0" t="s">
        <v>115</v>
      </c>
      <c r="B22" s="3" t="n">
        <v>16</v>
      </c>
    </row>
    <row r="23" customFormat="false" ht="15" hidden="false" customHeight="false" outlineLevel="0" collapsed="false">
      <c r="A23" s="0" t="s">
        <v>116</v>
      </c>
      <c r="B23" s="3" t="n">
        <v>-18</v>
      </c>
    </row>
    <row r="24" customFormat="false" ht="15" hidden="false" customHeight="false" outlineLevel="0" collapsed="false">
      <c r="A24" s="0" t="s">
        <v>117</v>
      </c>
      <c r="B24" s="3" t="n">
        <v>0.2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8</v>
      </c>
      <c r="D27" s="3" t="n">
        <v>8</v>
      </c>
      <c r="E27" s="3" t="n">
        <v>7.5</v>
      </c>
      <c r="F27" s="3" t="n">
        <v>7</v>
      </c>
      <c r="G27" s="3" t="n">
        <v>6.5</v>
      </c>
      <c r="H27" s="3" t="n">
        <v>6</v>
      </c>
      <c r="I27" s="3" t="n">
        <v>5.5</v>
      </c>
      <c r="J27" s="3" t="n">
        <v>5</v>
      </c>
      <c r="K27" s="3" t="n">
        <v>4.5</v>
      </c>
      <c r="L27" s="3" t="n">
        <v>4</v>
      </c>
    </row>
    <row r="28" customFormat="false" ht="15" hidden="false" customHeight="false" outlineLevel="0" collapsed="false">
      <c r="A28" s="0" t="s">
        <v>107</v>
      </c>
      <c r="C28" s="3" t="n">
        <v>27.8</v>
      </c>
      <c r="D28" s="3" t="n">
        <v>28.4</v>
      </c>
      <c r="E28" s="3" t="n">
        <v>29</v>
      </c>
      <c r="F28" s="3" t="n">
        <v>29.5</v>
      </c>
      <c r="G28" s="3" t="n">
        <v>29.9</v>
      </c>
      <c r="H28" s="3" t="n">
        <v>30.2</v>
      </c>
      <c r="I28" s="3" t="n">
        <v>30.4</v>
      </c>
      <c r="J28" s="3" t="n">
        <v>30.5</v>
      </c>
      <c r="K28" s="3" t="n">
        <v>30.5</v>
      </c>
      <c r="L28" s="3" t="n">
        <v>30.5</v>
      </c>
    </row>
    <row r="29" customFormat="false" ht="15" hidden="false" customHeight="false" outlineLevel="0" collapsed="false">
      <c r="A29" s="0" t="s">
        <v>108</v>
      </c>
      <c r="C29" s="3" t="n">
        <v>1.55</v>
      </c>
      <c r="D29" s="3" t="n">
        <v>1.55</v>
      </c>
      <c r="E29" s="3" t="n">
        <v>1.5</v>
      </c>
      <c r="F29" s="3" t="n">
        <v>1.5</v>
      </c>
      <c r="G29" s="3" t="n">
        <v>1.45</v>
      </c>
      <c r="H29" s="3" t="n">
        <v>1.45</v>
      </c>
      <c r="I29" s="3" t="n">
        <v>1.4</v>
      </c>
      <c r="J29" s="3" t="n">
        <v>1.4</v>
      </c>
      <c r="K29" s="3" t="n">
        <v>1.4</v>
      </c>
      <c r="L29" s="3" t="n">
        <v>1.4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5.9</v>
      </c>
      <c r="D31" s="3" t="n">
        <v>5.6</v>
      </c>
      <c r="E31" s="3" t="n">
        <v>5.3</v>
      </c>
      <c r="F31" s="3" t="n">
        <v>5</v>
      </c>
      <c r="G31" s="3" t="n">
        <v>4.7</v>
      </c>
      <c r="H31" s="3" t="n">
        <v>4.4</v>
      </c>
      <c r="I31" s="3" t="n">
        <v>4.1</v>
      </c>
      <c r="J31" s="3" t="n">
        <v>3.9</v>
      </c>
      <c r="K31" s="3" t="n">
        <v>3.7</v>
      </c>
      <c r="L31" s="3" t="n">
        <v>3.6</v>
      </c>
    </row>
    <row r="32" customFormat="false" ht="15" hidden="false" customHeight="false" outlineLevel="0" collapsed="false">
      <c r="A32" s="0" t="s">
        <v>111</v>
      </c>
      <c r="C32" s="3" t="n">
        <v>3.1</v>
      </c>
      <c r="D32" s="3" t="n">
        <v>3.1</v>
      </c>
      <c r="E32" s="3" t="n">
        <v>3.1</v>
      </c>
      <c r="F32" s="3" t="n">
        <v>3.1</v>
      </c>
      <c r="G32" s="3" t="n">
        <v>3.1</v>
      </c>
      <c r="H32" s="3" t="n">
        <v>3.2</v>
      </c>
      <c r="I32" s="3" t="n">
        <v>3.2</v>
      </c>
      <c r="J32" s="3" t="n">
        <v>3.2</v>
      </c>
      <c r="K32" s="3" t="n">
        <v>3.2</v>
      </c>
      <c r="L32" s="3" t="n">
        <v>3.2</v>
      </c>
    </row>
    <row r="33" customFormat="false" ht="15" hidden="false" customHeight="false" outlineLevel="0" collapsed="false">
      <c r="A33" s="0" t="s">
        <v>112</v>
      </c>
      <c r="C33" s="3" t="n">
        <v>19.5</v>
      </c>
      <c r="D33" s="3" t="n">
        <v>19.5</v>
      </c>
      <c r="E33" s="3" t="n">
        <v>20</v>
      </c>
      <c r="F33" s="3" t="n">
        <v>20</v>
      </c>
      <c r="G33" s="3" t="n">
        <v>20</v>
      </c>
      <c r="H33" s="3" t="n">
        <v>20.5</v>
      </c>
      <c r="I33" s="3" t="n">
        <v>20.5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113</v>
      </c>
      <c r="B34" s="3" t="n">
        <v>8.25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20</v>
      </c>
    </row>
    <row r="37" customFormat="false" ht="15" hidden="false" customHeight="false" outlineLevel="0" collapsed="false">
      <c r="A37" s="0" t="s">
        <v>116</v>
      </c>
      <c r="B37" s="3" t="n">
        <v>-15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9</v>
      </c>
      <c r="D41" s="3" t="n">
        <v>9.5</v>
      </c>
      <c r="E41" s="3" t="n">
        <v>9</v>
      </c>
      <c r="F41" s="3" t="n">
        <v>8.5</v>
      </c>
      <c r="G41" s="3" t="n">
        <v>8</v>
      </c>
      <c r="H41" s="3" t="n">
        <v>7.5</v>
      </c>
      <c r="I41" s="3" t="n">
        <v>6.5</v>
      </c>
      <c r="J41" s="3" t="n">
        <v>5.5</v>
      </c>
      <c r="K41" s="3" t="n">
        <v>5</v>
      </c>
      <c r="L41" s="3" t="n">
        <v>4.5</v>
      </c>
    </row>
    <row r="42" customFormat="false" ht="15" hidden="false" customHeight="false" outlineLevel="0" collapsed="false">
      <c r="A42" s="0" t="s">
        <v>107</v>
      </c>
      <c r="C42" s="3" t="n">
        <v>28</v>
      </c>
      <c r="D42" s="3" t="n">
        <v>28.9</v>
      </c>
      <c r="E42" s="3" t="n">
        <v>29.8</v>
      </c>
      <c r="F42" s="3" t="n">
        <v>30.6</v>
      </c>
      <c r="G42" s="3" t="n">
        <v>31.3</v>
      </c>
      <c r="H42" s="3" t="n">
        <v>31.9</v>
      </c>
      <c r="I42" s="3" t="n">
        <v>32.3</v>
      </c>
      <c r="J42" s="3" t="n">
        <v>32.5</v>
      </c>
      <c r="K42" s="3" t="n">
        <v>32.5</v>
      </c>
      <c r="L42" s="3" t="n">
        <v>32.5</v>
      </c>
    </row>
    <row r="43" customFormat="false" ht="15" hidden="false" customHeight="false" outlineLevel="0" collapsed="false">
      <c r="A43" s="0" t="s">
        <v>108</v>
      </c>
      <c r="C43" s="3" t="n">
        <v>1.55</v>
      </c>
      <c r="D43" s="3" t="n">
        <v>1.55</v>
      </c>
      <c r="E43" s="3" t="n">
        <v>1.5</v>
      </c>
      <c r="F43" s="3" t="n">
        <v>1.5</v>
      </c>
      <c r="G43" s="3" t="n">
        <v>1.45</v>
      </c>
      <c r="H43" s="3" t="n">
        <v>1.45</v>
      </c>
      <c r="I43" s="3" t="n">
        <v>1.4</v>
      </c>
      <c r="J43" s="3" t="n">
        <v>1.4</v>
      </c>
      <c r="K43" s="3" t="n">
        <v>1.4</v>
      </c>
      <c r="L43" s="3" t="n">
        <v>1.4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5.9</v>
      </c>
      <c r="D45" s="3" t="n">
        <v>5.6</v>
      </c>
      <c r="E45" s="3" t="n">
        <v>5.3</v>
      </c>
      <c r="F45" s="3" t="n">
        <v>5</v>
      </c>
      <c r="G45" s="3" t="n">
        <v>4.7</v>
      </c>
      <c r="H45" s="3" t="n">
        <v>4.4</v>
      </c>
      <c r="I45" s="3" t="n">
        <v>4.1</v>
      </c>
      <c r="J45" s="3" t="n">
        <v>3.9</v>
      </c>
      <c r="K45" s="3" t="n">
        <v>3.7</v>
      </c>
      <c r="L45" s="3" t="n">
        <v>3.6</v>
      </c>
    </row>
    <row r="46" customFormat="false" ht="15" hidden="false" customHeight="false" outlineLevel="0" collapsed="false">
      <c r="A46" s="0" t="s">
        <v>111</v>
      </c>
      <c r="C46" s="3" t="n">
        <v>3.1</v>
      </c>
      <c r="D46" s="3" t="n">
        <v>3.1</v>
      </c>
      <c r="E46" s="3" t="n">
        <v>3.1</v>
      </c>
      <c r="F46" s="3" t="n">
        <v>3.1</v>
      </c>
      <c r="G46" s="3" t="n">
        <v>3.1</v>
      </c>
      <c r="H46" s="3" t="n">
        <v>3.2</v>
      </c>
      <c r="I46" s="3" t="n">
        <v>3.2</v>
      </c>
      <c r="J46" s="3" t="n">
        <v>3.2</v>
      </c>
      <c r="K46" s="3" t="n">
        <v>3.2</v>
      </c>
      <c r="L46" s="3" t="n">
        <v>3.2</v>
      </c>
    </row>
    <row r="47" customFormat="false" ht="15" hidden="false" customHeight="false" outlineLevel="0" collapsed="false">
      <c r="A47" s="0" t="s">
        <v>112</v>
      </c>
      <c r="C47" s="3" t="n">
        <v>19.5</v>
      </c>
      <c r="D47" s="3" t="n">
        <v>19.5</v>
      </c>
      <c r="E47" s="3" t="n">
        <v>20</v>
      </c>
      <c r="F47" s="3" t="n">
        <v>20</v>
      </c>
      <c r="G47" s="3" t="n">
        <v>20</v>
      </c>
      <c r="H47" s="3" t="n">
        <v>20.5</v>
      </c>
      <c r="I47" s="3" t="n">
        <v>20.5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113</v>
      </c>
      <c r="B48" s="3" t="n">
        <v>8.25</v>
      </c>
    </row>
    <row r="49" customFormat="false" ht="15" hidden="false" customHeight="false" outlineLevel="0" collapsed="false">
      <c r="A49" s="0" t="s">
        <v>114</v>
      </c>
      <c r="B49" s="3" t="n">
        <v>3.25</v>
      </c>
    </row>
    <row r="50" customFormat="false" ht="15" hidden="false" customHeight="false" outlineLevel="0" collapsed="false">
      <c r="A50" s="0" t="s">
        <v>115</v>
      </c>
      <c r="B50" s="3" t="n">
        <v>22</v>
      </c>
    </row>
    <row r="51" customFormat="false" ht="15" hidden="false" customHeight="false" outlineLevel="0" collapsed="false">
      <c r="A51" s="0" t="s">
        <v>116</v>
      </c>
      <c r="B51" s="3" t="n">
        <v>-15</v>
      </c>
    </row>
    <row r="52" customFormat="false" ht="15" hidden="false" customHeight="false" outlineLevel="0" collapsed="false">
      <c r="A52" s="0" t="s">
        <v>117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6.5</v>
      </c>
      <c r="D5" s="4" t="n">
        <f aca="false">Assumptions!D13</f>
        <v>6</v>
      </c>
      <c r="E5" s="4" t="n">
        <f aca="false">Assumptions!E13</f>
        <v>5.5</v>
      </c>
      <c r="F5" s="4" t="n">
        <f aca="false">Assumptions!F13</f>
        <v>5</v>
      </c>
      <c r="G5" s="4" t="n">
        <f aca="false">Assumptions!G13</f>
        <v>4.5</v>
      </c>
      <c r="H5" s="4" t="n">
        <f aca="false">Assumptions!H13</f>
        <v>4</v>
      </c>
      <c r="I5" s="4" t="n">
        <f aca="false">Assumptions!I13</f>
        <v>3.5</v>
      </c>
      <c r="J5" s="4" t="n">
        <f aca="false">Assumptions!J13</f>
        <v>3.5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37</v>
      </c>
      <c r="B6" s="3" t="n">
        <v>25116</v>
      </c>
      <c r="C6" s="0" t="n">
        <f aca="false">B6*(1+C5/100)</f>
        <v>26748.54</v>
      </c>
      <c r="D6" s="0" t="n">
        <f aca="false">C6*(1+D5/100)</f>
        <v>28353.4524</v>
      </c>
      <c r="E6" s="0" t="n">
        <f aca="false">D6*(1+E5/100)</f>
        <v>29912.892282</v>
      </c>
      <c r="F6" s="0" t="n">
        <f aca="false">E6*(1+F5/100)</f>
        <v>31408.5368961</v>
      </c>
      <c r="G6" s="0" t="n">
        <f aca="false">F6*(1+G5/100)</f>
        <v>32821.9210564245</v>
      </c>
      <c r="H6" s="0" t="n">
        <f aca="false">G6*(1+H5/100)</f>
        <v>34134.7978986815</v>
      </c>
      <c r="I6" s="0" t="n">
        <f aca="false">H6*(1+I5/100)</f>
        <v>35329.5158251353</v>
      </c>
      <c r="J6" s="0" t="n">
        <f aca="false">I6*(1+J5/100)</f>
        <v>36566.0488790151</v>
      </c>
      <c r="K6" s="0" t="n">
        <f aca="false">J6*(1+K5/100)</f>
        <v>37663.0303453855</v>
      </c>
      <c r="L6" s="0" t="n">
        <f aca="false">K6*(1+L5/100)</f>
        <v>38792.9212557471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27.3</v>
      </c>
      <c r="D7" s="4" t="n">
        <f aca="false">Assumptions!D14</f>
        <v>27.4</v>
      </c>
      <c r="E7" s="4" t="n">
        <f aca="false">Assumptions!E14</f>
        <v>27.5</v>
      </c>
      <c r="F7" s="4" t="n">
        <f aca="false">Assumptions!F14</f>
        <v>27.5</v>
      </c>
      <c r="G7" s="4" t="n">
        <f aca="false">Assumptions!G14</f>
        <v>27.5</v>
      </c>
      <c r="H7" s="4" t="n">
        <f aca="false">Assumptions!H14</f>
        <v>27.5</v>
      </c>
      <c r="I7" s="4" t="n">
        <f aca="false">Assumptions!I14</f>
        <v>27.5</v>
      </c>
      <c r="J7" s="4" t="n">
        <f aca="false">Assumptions!J14</f>
        <v>27.5</v>
      </c>
      <c r="K7" s="4" t="n">
        <f aca="false">Assumptions!K14</f>
        <v>27.5</v>
      </c>
      <c r="L7" s="4" t="n">
        <f aca="false">Assumptions!L14</f>
        <v>27.5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7302.35142</v>
      </c>
      <c r="D8" s="0" t="n">
        <f aca="false">D6*D7/100</f>
        <v>7768.8459576</v>
      </c>
      <c r="E8" s="0" t="n">
        <f aca="false">E6*E7/100</f>
        <v>8226.04537755</v>
      </c>
      <c r="F8" s="0" t="n">
        <f aca="false">F6*F7/100</f>
        <v>8637.3476464275</v>
      </c>
      <c r="G8" s="0" t="n">
        <f aca="false">G6*G7/100</f>
        <v>9026.02829051674</v>
      </c>
      <c r="H8" s="0" t="n">
        <f aca="false">H6*H7/100</f>
        <v>9387.06942213741</v>
      </c>
      <c r="I8" s="0" t="n">
        <f aca="false">I6*I7/100</f>
        <v>9715.61685191221</v>
      </c>
      <c r="J8" s="0" t="n">
        <f aca="false">J6*J7/100</f>
        <v>10055.6634417291</v>
      </c>
      <c r="K8" s="0" t="n">
        <f aca="false">K6*K7/100</f>
        <v>10357.333344981</v>
      </c>
      <c r="L8" s="0" t="n">
        <f aca="false">L6*L7/100</f>
        <v>10668.0533453304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1.55</v>
      </c>
      <c r="D9" s="4" t="n">
        <f aca="false">Assumptions!D15</f>
        <v>1.55</v>
      </c>
      <c r="E9" s="4" t="n">
        <f aca="false">Assumptions!E15</f>
        <v>1.55</v>
      </c>
      <c r="F9" s="4" t="n">
        <f aca="false">Assumptions!F15</f>
        <v>1.55</v>
      </c>
      <c r="G9" s="4" t="n">
        <f aca="false">Assumptions!G15</f>
        <v>1.55</v>
      </c>
      <c r="H9" s="4" t="n">
        <f aca="false">Assumptions!H15</f>
        <v>1.55</v>
      </c>
      <c r="I9" s="4" t="n">
        <f aca="false">Assumptions!I15</f>
        <v>1.55</v>
      </c>
      <c r="J9" s="4" t="n">
        <f aca="false">Assumptions!J15</f>
        <v>1.55</v>
      </c>
      <c r="K9" s="4" t="n">
        <f aca="false">Assumptions!K15</f>
        <v>1.55</v>
      </c>
      <c r="L9" s="4" t="n">
        <f aca="false">Assumptions!L15</f>
        <v>1.55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-414.60237</v>
      </c>
      <c r="D10" s="0" t="n">
        <f aca="false">-D6*D9/100</f>
        <v>-439.4785122</v>
      </c>
      <c r="E10" s="0" t="n">
        <f aca="false">-E6*E9/100</f>
        <v>-463.649830371</v>
      </c>
      <c r="F10" s="0" t="n">
        <f aca="false">-F6*F9/100</f>
        <v>-486.83232188955</v>
      </c>
      <c r="G10" s="0" t="n">
        <f aca="false">-G6*G9/100</f>
        <v>-508.73977637458</v>
      </c>
      <c r="H10" s="0" t="n">
        <f aca="false">-H6*H9/100</f>
        <v>-529.089367429563</v>
      </c>
      <c r="I10" s="0" t="n">
        <f aca="false">-I6*I9/100</f>
        <v>-547.607495289598</v>
      </c>
      <c r="J10" s="0" t="n">
        <f aca="false">-J6*J9/100</f>
        <v>-566.773757624733</v>
      </c>
      <c r="K10" s="0" t="n">
        <f aca="false">-K6*K9/100</f>
        <v>-583.776970353476</v>
      </c>
      <c r="L10" s="0" t="n">
        <f aca="false">-L6*L9/100</f>
        <v>-601.29027946408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6887.74905</v>
      </c>
      <c r="D11" s="0" t="n">
        <f aca="false">D8+D10+D24</f>
        <v>7329.3674454</v>
      </c>
      <c r="E11" s="0" t="n">
        <f aca="false">E8+E10+E24</f>
        <v>7762.395547179</v>
      </c>
      <c r="F11" s="0" t="n">
        <f aca="false">F8+F10+F24</f>
        <v>8150.51532453795</v>
      </c>
      <c r="G11" s="0" t="n">
        <f aca="false">G8+G10+G24</f>
        <v>8517.28851414216</v>
      </c>
      <c r="H11" s="0" t="n">
        <f aca="false">H8+H10+H24</f>
        <v>8857.98005470784</v>
      </c>
      <c r="I11" s="0" t="n">
        <f aca="false">I8+I10+I24</f>
        <v>9168.00935662262</v>
      </c>
      <c r="J11" s="0" t="n">
        <f aca="false">J8+J10+J24</f>
        <v>9488.88968410441</v>
      </c>
      <c r="K11" s="0" t="n">
        <f aca="false">K8+K10+K24</f>
        <v>9773.55637462754</v>
      </c>
      <c r="L11" s="0" t="n">
        <f aca="false">L8+L10+L24</f>
        <v>10066.7630658664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-1578.16386</v>
      </c>
      <c r="D12" s="4" t="n">
        <f aca="false">-D6*Assumptions!D17/100</f>
        <v>-1587.7933344</v>
      </c>
      <c r="E12" s="4" t="n">
        <f aca="false">-E6*Assumptions!E17/100</f>
        <v>-1585.383290946</v>
      </c>
      <c r="F12" s="4" t="n">
        <f aca="false">-F6*Assumptions!F17/100</f>
        <v>-1570.426844805</v>
      </c>
      <c r="G12" s="4" t="n">
        <f aca="false">-G6*Assumptions!G17/100</f>
        <v>-1542.63028965195</v>
      </c>
      <c r="H12" s="4" t="n">
        <f aca="false">-H6*Assumptions!H17/100</f>
        <v>-1501.93110754198</v>
      </c>
      <c r="I12" s="4" t="n">
        <f aca="false">-I6*Assumptions!I17/100</f>
        <v>-1448.51014883055</v>
      </c>
      <c r="J12" s="4" t="n">
        <f aca="false">-J6*Assumptions!J17/100</f>
        <v>-1426.07590628159</v>
      </c>
      <c r="K12" s="4" t="n">
        <f aca="false">-K6*Assumptions!K17/100</f>
        <v>-1393.53212277926</v>
      </c>
      <c r="L12" s="4" t="n">
        <f aca="false">-L6*Assumptions!L17/100</f>
        <v>-1396.54516520689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5309.58519</v>
      </c>
      <c r="D13" s="0" t="n">
        <f aca="false">D11+D12</f>
        <v>5741.574111</v>
      </c>
      <c r="E13" s="0" t="n">
        <f aca="false">E11+E12</f>
        <v>6177.012256233</v>
      </c>
      <c r="F13" s="0" t="n">
        <f aca="false">F11+F12</f>
        <v>6580.08847973295</v>
      </c>
      <c r="G13" s="0" t="n">
        <f aca="false">G11+G12</f>
        <v>6974.65822449021</v>
      </c>
      <c r="H13" s="0" t="n">
        <f aca="false">H11+H12</f>
        <v>7356.04894716586</v>
      </c>
      <c r="I13" s="0" t="n">
        <f aca="false">I11+I12</f>
        <v>7719.49920779207</v>
      </c>
      <c r="J13" s="0" t="n">
        <f aca="false">J11+J12</f>
        <v>8062.81377782282</v>
      </c>
      <c r="K13" s="0" t="n">
        <f aca="false">K11+K12</f>
        <v>8380.02425184827</v>
      </c>
      <c r="L13" s="0" t="n">
        <f aca="false">L11+L12</f>
        <v>8670.21790065947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20</v>
      </c>
      <c r="D14" s="4" t="n">
        <f aca="false">Assumptions!D19</f>
        <v>20</v>
      </c>
      <c r="E14" s="4" t="n">
        <f aca="false">Assumptions!E19</f>
        <v>20.5</v>
      </c>
      <c r="F14" s="4" t="n">
        <f aca="false">Assumptions!F19</f>
        <v>20.5</v>
      </c>
      <c r="G14" s="4" t="n">
        <f aca="false">Assumptions!G19</f>
        <v>21</v>
      </c>
      <c r="H14" s="4" t="n">
        <f aca="false">Assumptions!H19</f>
        <v>21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4247.668152</v>
      </c>
      <c r="D15" s="0" t="n">
        <f aca="false">D13-MAX(0,D13)*D14/100</f>
        <v>4593.2592888</v>
      </c>
      <c r="E15" s="0" t="n">
        <f aca="false">E13-MAX(0,E13)*E14/100</f>
        <v>4910.72474370524</v>
      </c>
      <c r="F15" s="0" t="n">
        <f aca="false">F13-MAX(0,F13)*F14/100</f>
        <v>5231.1703413877</v>
      </c>
      <c r="G15" s="0" t="n">
        <f aca="false">G13-MAX(0,G13)*G14/100</f>
        <v>5509.97999734726</v>
      </c>
      <c r="H15" s="0" t="n">
        <f aca="false">H13-MAX(0,H13)*H14/100</f>
        <v>5811.27866826103</v>
      </c>
      <c r="I15" s="0" t="n">
        <f aca="false">I13-MAX(0,I13)*I14/100</f>
        <v>6098.40437415573</v>
      </c>
      <c r="J15" s="0" t="n">
        <f aca="false">J13-MAX(0,J13)*J14/100</f>
        <v>6369.62288448003</v>
      </c>
      <c r="K15" s="0" t="n">
        <f aca="false">K13-MAX(0,K13)*K14/100</f>
        <v>6620.21915896014</v>
      </c>
      <c r="L15" s="0" t="n">
        <f aca="false">L13-MAX(0,L13)*L14/100</f>
        <v>6849.47214152098</v>
      </c>
    </row>
    <row r="16" customFormat="false" ht="15" hidden="false" customHeight="false" outlineLevel="0" collapsed="false">
      <c r="A16" s="0" t="s">
        <v>128</v>
      </c>
      <c r="C16" s="0" t="n">
        <f aca="false">-C12</f>
        <v>1578.16386</v>
      </c>
      <c r="D16" s="0" t="n">
        <f aca="false">-D12</f>
        <v>1587.7933344</v>
      </c>
      <c r="E16" s="0" t="n">
        <f aca="false">-E12</f>
        <v>1585.383290946</v>
      </c>
      <c r="F16" s="0" t="n">
        <f aca="false">-F12</f>
        <v>1570.426844805</v>
      </c>
      <c r="G16" s="0" t="n">
        <f aca="false">-G12</f>
        <v>1542.63028965195</v>
      </c>
      <c r="H16" s="0" t="n">
        <f aca="false">-H12</f>
        <v>1501.93110754198</v>
      </c>
      <c r="I16" s="0" t="n">
        <f aca="false">-I12</f>
        <v>1448.51014883055</v>
      </c>
      <c r="J16" s="0" t="n">
        <f aca="false">-J12</f>
        <v>1426.07590628159</v>
      </c>
      <c r="K16" s="0" t="n">
        <f aca="false">-K12</f>
        <v>1393.53212277926</v>
      </c>
      <c r="L16" s="0" t="n">
        <f aca="false">-L12</f>
        <v>1396.54516520689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-855.95328</v>
      </c>
      <c r="D17" s="4" t="n">
        <f aca="false">-D6*Assumptions!D18/100</f>
        <v>-907.3104768</v>
      </c>
      <c r="E17" s="4" t="n">
        <f aca="false">-E6*Assumptions!E18/100</f>
        <v>-957.212553024</v>
      </c>
      <c r="F17" s="4" t="n">
        <f aca="false">-F6*Assumptions!F18/100</f>
        <v>-1005.0731806752</v>
      </c>
      <c r="G17" s="4" t="n">
        <f aca="false">-G6*Assumptions!G18/100</f>
        <v>-1083.12339486201</v>
      </c>
      <c r="H17" s="4" t="n">
        <f aca="false">-H6*Assumptions!H18/100</f>
        <v>-1126.44833065649</v>
      </c>
      <c r="I17" s="4" t="n">
        <f aca="false">-I6*Assumptions!I18/100</f>
        <v>-1165.87402222947</v>
      </c>
      <c r="J17" s="4" t="n">
        <f aca="false">-J6*Assumptions!J18/100</f>
        <v>-1206.6796130075</v>
      </c>
      <c r="K17" s="4" t="n">
        <f aca="false">-K6*Assumptions!K18/100</f>
        <v>-1242.88000139772</v>
      </c>
      <c r="L17" s="4" t="n">
        <f aca="false">-L6*Assumptions!L18/100</f>
        <v>-1280.16640143965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-293.8572</v>
      </c>
      <c r="D18" s="4" t="n">
        <f aca="false">(D6-C6)*Assumptions!$B$23/100</f>
        <v>-288.884232</v>
      </c>
      <c r="E18" s="4" t="n">
        <f aca="false">(E6-D6)*Assumptions!$B$23/100</f>
        <v>-280.69917876</v>
      </c>
      <c r="F18" s="4" t="n">
        <f aca="false">(F6-E6)*Assumptions!$B$23/100</f>
        <v>-269.216030538</v>
      </c>
      <c r="G18" s="4" t="n">
        <f aca="false">(G6-F6)*Assumptions!$B$23/100</f>
        <v>-254.409148858409</v>
      </c>
      <c r="H18" s="4" t="n">
        <f aca="false">(H6-G6)*Assumptions!$B$23/100</f>
        <v>-236.317831606256</v>
      </c>
      <c r="I18" s="4" t="n">
        <f aca="false">(I6-H6)*Assumptions!$B$23/100</f>
        <v>-215.049226761693</v>
      </c>
      <c r="J18" s="4" t="n">
        <f aca="false">(J6-I6)*Assumptions!$B$23/100</f>
        <v>-222.575949698352</v>
      </c>
      <c r="K18" s="4" t="n">
        <f aca="false">(K6-J6)*Assumptions!$B$23/100</f>
        <v>-197.456663946682</v>
      </c>
      <c r="L18" s="4" t="n">
        <f aca="false">(L6-K6)*Assumptions!$B$23/100</f>
        <v>-203.380363865082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4676.021532</v>
      </c>
      <c r="D19" s="0" t="n">
        <f aca="false">D15+D16+D17+D18</f>
        <v>4984.8579144</v>
      </c>
      <c r="E19" s="0" t="n">
        <f aca="false">E15+E16+E17+E18</f>
        <v>5258.19630286723</v>
      </c>
      <c r="F19" s="0" t="n">
        <f aca="false">F15+F16+F17+F18</f>
        <v>5527.30797497949</v>
      </c>
      <c r="G19" s="0" t="n">
        <f aca="false">G15+G16+G17+G18</f>
        <v>5715.0777432788</v>
      </c>
      <c r="H19" s="0" t="n">
        <f aca="false">H15+H16+H17+H18</f>
        <v>5950.44361354027</v>
      </c>
      <c r="I19" s="0" t="n">
        <f aca="false">I15+I16+I17+I18</f>
        <v>6165.99127399512</v>
      </c>
      <c r="J19" s="0" t="n">
        <f aca="false">J15+J16+J17+J18</f>
        <v>6366.44322805577</v>
      </c>
      <c r="K19" s="0" t="n">
        <f aca="false">K15+K16+K17+K18</f>
        <v>6573.414616395</v>
      </c>
      <c r="L19" s="0" t="n">
        <f aca="false">L15+L16+L17+L18</f>
        <v>6762.47054142314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0.92378752886836</v>
      </c>
      <c r="D20" s="0" t="n">
        <f aca="false">1/(1+$B$27/100)^D4</f>
        <v>0.853383398492712</v>
      </c>
      <c r="E20" s="0" t="n">
        <f aca="false">1/(1+$B$27/100)^E4</f>
        <v>0.788344940870865</v>
      </c>
      <c r="F20" s="0" t="n">
        <f aca="false">1/(1+$B$27/100)^F4</f>
        <v>0.72826322482297</v>
      </c>
      <c r="G20" s="0" t="n">
        <f aca="false">1/(1+$B$27/100)^G4</f>
        <v>0.672760484824915</v>
      </c>
      <c r="H20" s="0" t="n">
        <f aca="false">1/(1+$B$27/100)^H4</f>
        <v>0.621487745796688</v>
      </c>
      <c r="I20" s="0" t="n">
        <f aca="false">1/(1+$B$27/100)^I4</f>
        <v>0.57412262891149</v>
      </c>
      <c r="J20" s="0" t="n">
        <f aca="false">1/(1+$B$27/100)^J4</f>
        <v>0.530367324629552</v>
      </c>
      <c r="K20" s="0" t="n">
        <f aca="false">1/(1+$B$27/100)^K4</f>
        <v>0.489946720212057</v>
      </c>
      <c r="L20" s="0" t="n">
        <f aca="false">1/(1+$B$27/100)^L4</f>
        <v>0.452606669941854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4319.65037598153</v>
      </c>
      <c r="D21" s="0" t="n">
        <f aca="false">D19*D20</f>
        <v>4253.99498799396</v>
      </c>
      <c r="E21" s="0" t="n">
        <f aca="false">E19*E20</f>
        <v>4145.27245347127</v>
      </c>
      <c r="F21" s="0" t="n">
        <f aca="false">F19*F20</f>
        <v>4025.33513044829</v>
      </c>
      <c r="G21" s="0" t="n">
        <f aca="false">G19*G20</f>
        <v>3844.87847338032</v>
      </c>
      <c r="H21" s="0" t="n">
        <f aca="false">H19*H20</f>
        <v>3698.12778786944</v>
      </c>
      <c r="I21" s="0" t="n">
        <f aca="false">I19*I20</f>
        <v>3540.03512007139</v>
      </c>
      <c r="J21" s="0" t="n">
        <f aca="false">J19*J20</f>
        <v>3376.55346226987</v>
      </c>
      <c r="K21" s="0" t="n">
        <f aca="false">K19*K20</f>
        <v>3220.62293189673</v>
      </c>
      <c r="L21" s="0" t="n">
        <f aca="false">L19*L20</f>
        <v>3060.73927233342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8.25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37485.2099957162</v>
      </c>
    </row>
    <row r="31" customFormat="false" ht="15" hidden="false" customHeight="false" outlineLevel="0" collapsed="false">
      <c r="A31" s="0" t="s">
        <v>137</v>
      </c>
      <c r="B31" s="0" t="n">
        <f aca="false">L19</f>
        <v>6762.47054142314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120548.387912326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108199.52866277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108199.52866277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48971.8283573346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86457.0383530508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74991.0383530508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194.277301432774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-0.288257248561056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3322.34855616488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4851.33375361844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215.452644204234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55452.2584396697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77.8426297493035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8</v>
      </c>
      <c r="D5" s="4" t="n">
        <f aca="false">Assumptions!D27</f>
        <v>8</v>
      </c>
      <c r="E5" s="4" t="n">
        <f aca="false">Assumptions!E27</f>
        <v>7.5</v>
      </c>
      <c r="F5" s="4" t="n">
        <f aca="false">Assumptions!F27</f>
        <v>7</v>
      </c>
      <c r="G5" s="4" t="n">
        <f aca="false">Assumptions!G27</f>
        <v>6.5</v>
      </c>
      <c r="H5" s="4" t="n">
        <f aca="false">Assumptions!H27</f>
        <v>6</v>
      </c>
      <c r="I5" s="4" t="n">
        <f aca="false">Assumptions!I27</f>
        <v>5.5</v>
      </c>
      <c r="J5" s="4" t="n">
        <f aca="false">Assumptions!J27</f>
        <v>5</v>
      </c>
      <c r="K5" s="4" t="n">
        <f aca="false">Assumptions!K27</f>
        <v>4.5</v>
      </c>
      <c r="L5" s="4" t="n">
        <f aca="false">Assumptions!L27</f>
        <v>4</v>
      </c>
    </row>
    <row r="6" customFormat="false" ht="15" hidden="false" customHeight="false" outlineLevel="0" collapsed="false">
      <c r="A6" s="0" t="s">
        <v>37</v>
      </c>
      <c r="B6" s="3" t="n">
        <v>25116</v>
      </c>
      <c r="C6" s="0" t="n">
        <f aca="false">B6*(1+C5/100)</f>
        <v>27125.28</v>
      </c>
      <c r="D6" s="0" t="n">
        <f aca="false">C6*(1+D5/100)</f>
        <v>29295.3024</v>
      </c>
      <c r="E6" s="0" t="n">
        <f aca="false">D6*(1+E5/100)</f>
        <v>31492.45008</v>
      </c>
      <c r="F6" s="0" t="n">
        <f aca="false">E6*(1+F5/100)</f>
        <v>33696.9215856</v>
      </c>
      <c r="G6" s="0" t="n">
        <f aca="false">F6*(1+G5/100)</f>
        <v>35887.221488664</v>
      </c>
      <c r="H6" s="0" t="n">
        <f aca="false">G6*(1+H5/100)</f>
        <v>38040.4547779838</v>
      </c>
      <c r="I6" s="0" t="n">
        <f aca="false">H6*(1+I5/100)</f>
        <v>40132.679790773</v>
      </c>
      <c r="J6" s="0" t="n">
        <f aca="false">I6*(1+J5/100)</f>
        <v>42139.3137803116</v>
      </c>
      <c r="K6" s="0" t="n">
        <f aca="false">J6*(1+K5/100)</f>
        <v>44035.5829004256</v>
      </c>
      <c r="L6" s="0" t="n">
        <f aca="false">K6*(1+L5/100)</f>
        <v>45797.0062164426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27.8</v>
      </c>
      <c r="D7" s="4" t="n">
        <f aca="false">Assumptions!D28</f>
        <v>28.4</v>
      </c>
      <c r="E7" s="4" t="n">
        <f aca="false">Assumptions!E28</f>
        <v>29</v>
      </c>
      <c r="F7" s="4" t="n">
        <f aca="false">Assumptions!F28</f>
        <v>29.5</v>
      </c>
      <c r="G7" s="4" t="n">
        <f aca="false">Assumptions!G28</f>
        <v>29.9</v>
      </c>
      <c r="H7" s="4" t="n">
        <f aca="false">Assumptions!H28</f>
        <v>30.2</v>
      </c>
      <c r="I7" s="4" t="n">
        <f aca="false">Assumptions!I28</f>
        <v>30.4</v>
      </c>
      <c r="J7" s="4" t="n">
        <f aca="false">Assumptions!J28</f>
        <v>30.5</v>
      </c>
      <c r="K7" s="4" t="n">
        <f aca="false">Assumptions!K28</f>
        <v>30.5</v>
      </c>
      <c r="L7" s="4" t="n">
        <f aca="false">Assumptions!L28</f>
        <v>30.5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7540.82784</v>
      </c>
      <c r="D8" s="0" t="n">
        <f aca="false">D6*D7/100</f>
        <v>8319.8658816</v>
      </c>
      <c r="E8" s="0" t="n">
        <f aca="false">E6*E7/100</f>
        <v>9132.8105232</v>
      </c>
      <c r="F8" s="0" t="n">
        <f aca="false">F6*F7/100</f>
        <v>9940.591867752</v>
      </c>
      <c r="G8" s="0" t="n">
        <f aca="false">G6*G7/100</f>
        <v>10730.2792251105</v>
      </c>
      <c r="H8" s="0" t="n">
        <f aca="false">H6*H7/100</f>
        <v>11488.2173429511</v>
      </c>
      <c r="I8" s="0" t="n">
        <f aca="false">I6*I7/100</f>
        <v>12200.334656395</v>
      </c>
      <c r="J8" s="0" t="n">
        <f aca="false">J6*J7/100</f>
        <v>12852.490702995</v>
      </c>
      <c r="K8" s="0" t="n">
        <f aca="false">K6*K7/100</f>
        <v>13430.8527846298</v>
      </c>
      <c r="L8" s="0" t="n">
        <f aca="false">L6*L7/100</f>
        <v>13968.086896015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1.55</v>
      </c>
      <c r="D9" s="4" t="n">
        <f aca="false">Assumptions!D29</f>
        <v>1.55</v>
      </c>
      <c r="E9" s="4" t="n">
        <f aca="false">Assumptions!E29</f>
        <v>1.5</v>
      </c>
      <c r="F9" s="4" t="n">
        <f aca="false">Assumptions!F29</f>
        <v>1.5</v>
      </c>
      <c r="G9" s="4" t="n">
        <f aca="false">Assumptions!G29</f>
        <v>1.45</v>
      </c>
      <c r="H9" s="4" t="n">
        <f aca="false">Assumptions!H29</f>
        <v>1.45</v>
      </c>
      <c r="I9" s="4" t="n">
        <f aca="false">Assumptions!I29</f>
        <v>1.4</v>
      </c>
      <c r="J9" s="4" t="n">
        <f aca="false">Assumptions!J29</f>
        <v>1.4</v>
      </c>
      <c r="K9" s="4" t="n">
        <f aca="false">Assumptions!K29</f>
        <v>1.4</v>
      </c>
      <c r="L9" s="4" t="n">
        <f aca="false">Assumptions!L29</f>
        <v>1.4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-420.44184</v>
      </c>
      <c r="D10" s="0" t="n">
        <f aca="false">-D6*D9/100</f>
        <v>-454.0771872</v>
      </c>
      <c r="E10" s="0" t="n">
        <f aca="false">-E6*E9/100</f>
        <v>-472.3867512</v>
      </c>
      <c r="F10" s="0" t="n">
        <f aca="false">-F6*F9/100</f>
        <v>-505.453823784</v>
      </c>
      <c r="G10" s="0" t="n">
        <f aca="false">-G6*G9/100</f>
        <v>-520.364711585628</v>
      </c>
      <c r="H10" s="0" t="n">
        <f aca="false">-H6*H9/100</f>
        <v>-551.586594280766</v>
      </c>
      <c r="I10" s="0" t="n">
        <f aca="false">-I6*I9/100</f>
        <v>-561.857517070821</v>
      </c>
      <c r="J10" s="0" t="n">
        <f aca="false">-J6*J9/100</f>
        <v>-589.950392924362</v>
      </c>
      <c r="K10" s="0" t="n">
        <f aca="false">-K6*K9/100</f>
        <v>-616.498160605959</v>
      </c>
      <c r="L10" s="0" t="n">
        <f aca="false">-L6*L9/100</f>
        <v>-641.158087030197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7120.386</v>
      </c>
      <c r="D11" s="0" t="n">
        <f aca="false">D8+D10+D24</f>
        <v>7865.7886944</v>
      </c>
      <c r="E11" s="0" t="n">
        <f aca="false">E8+E10+E24</f>
        <v>8660.423772</v>
      </c>
      <c r="F11" s="0" t="n">
        <f aca="false">F8+F10+F24</f>
        <v>9435.138043968</v>
      </c>
      <c r="G11" s="0" t="n">
        <f aca="false">G8+G10+G24</f>
        <v>10209.9145135249</v>
      </c>
      <c r="H11" s="0" t="n">
        <f aca="false">H8+H10+H24</f>
        <v>10936.6307486704</v>
      </c>
      <c r="I11" s="0" t="n">
        <f aca="false">I8+I10+I24</f>
        <v>11638.4771393242</v>
      </c>
      <c r="J11" s="0" t="n">
        <f aca="false">J8+J10+J24</f>
        <v>12262.5403100707</v>
      </c>
      <c r="K11" s="0" t="n">
        <f aca="false">K8+K10+K24</f>
        <v>12814.3546240239</v>
      </c>
      <c r="L11" s="0" t="n">
        <f aca="false">L8+L10+L24</f>
        <v>13326.9288089848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-1600.39152</v>
      </c>
      <c r="D12" s="4" t="n">
        <f aca="false">-D6*Assumptions!D31/100</f>
        <v>-1640.5369344</v>
      </c>
      <c r="E12" s="4" t="n">
        <f aca="false">-E6*Assumptions!E31/100</f>
        <v>-1669.09985424</v>
      </c>
      <c r="F12" s="4" t="n">
        <f aca="false">-F6*Assumptions!F31/100</f>
        <v>-1684.84607928</v>
      </c>
      <c r="G12" s="4" t="n">
        <f aca="false">-G6*Assumptions!G31/100</f>
        <v>-1686.69940996721</v>
      </c>
      <c r="H12" s="4" t="n">
        <f aca="false">-H6*Assumptions!H31/100</f>
        <v>-1673.78001023129</v>
      </c>
      <c r="I12" s="4" t="n">
        <f aca="false">-I6*Assumptions!I31/100</f>
        <v>-1645.43987142169</v>
      </c>
      <c r="J12" s="4" t="n">
        <f aca="false">-J6*Assumptions!J31/100</f>
        <v>-1643.43323743215</v>
      </c>
      <c r="K12" s="4" t="n">
        <f aca="false">-K6*Assumptions!K31/100</f>
        <v>-1629.31656731575</v>
      </c>
      <c r="L12" s="4" t="n">
        <f aca="false">-L6*Assumptions!L31/100</f>
        <v>-1648.69222379194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5519.99448</v>
      </c>
      <c r="D13" s="0" t="n">
        <f aca="false">D11+D12</f>
        <v>6225.25176</v>
      </c>
      <c r="E13" s="0" t="n">
        <f aca="false">E11+E12</f>
        <v>6991.32391776</v>
      </c>
      <c r="F13" s="0" t="n">
        <f aca="false">F11+F12</f>
        <v>7750.291964688</v>
      </c>
      <c r="G13" s="0" t="n">
        <f aca="false">G11+G12</f>
        <v>8523.2151035577</v>
      </c>
      <c r="H13" s="0" t="n">
        <f aca="false">H11+H12</f>
        <v>9262.85073843907</v>
      </c>
      <c r="I13" s="0" t="n">
        <f aca="false">I11+I12</f>
        <v>9993.03726790246</v>
      </c>
      <c r="J13" s="0" t="n">
        <f aca="false">J11+J12</f>
        <v>10619.1070726385</v>
      </c>
      <c r="K13" s="0" t="n">
        <f aca="false">K11+K12</f>
        <v>11185.0380567081</v>
      </c>
      <c r="L13" s="0" t="n">
        <f aca="false">L11+L12</f>
        <v>11678.2365851929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19.5</v>
      </c>
      <c r="D14" s="4" t="n">
        <f aca="false">Assumptions!D33</f>
        <v>19.5</v>
      </c>
      <c r="E14" s="4" t="n">
        <f aca="false">Assumptions!E33</f>
        <v>20</v>
      </c>
      <c r="F14" s="4" t="n">
        <f aca="false">Assumptions!F33</f>
        <v>20</v>
      </c>
      <c r="G14" s="4" t="n">
        <f aca="false">Assumptions!G33</f>
        <v>20</v>
      </c>
      <c r="H14" s="4" t="n">
        <f aca="false">Assumptions!H33</f>
        <v>20.5</v>
      </c>
      <c r="I14" s="4" t="n">
        <f aca="false">Assumptions!I33</f>
        <v>20.5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4443.5955564</v>
      </c>
      <c r="D15" s="0" t="n">
        <f aca="false">D13-MAX(0,D13)*D14/100</f>
        <v>5011.3276668</v>
      </c>
      <c r="E15" s="0" t="n">
        <f aca="false">E13-MAX(0,E13)*E14/100</f>
        <v>5593.059134208</v>
      </c>
      <c r="F15" s="0" t="n">
        <f aca="false">F13-MAX(0,F13)*F14/100</f>
        <v>6200.2335717504</v>
      </c>
      <c r="G15" s="0" t="n">
        <f aca="false">G13-MAX(0,G13)*G14/100</f>
        <v>6818.57208284616</v>
      </c>
      <c r="H15" s="0" t="n">
        <f aca="false">H13-MAX(0,H13)*H14/100</f>
        <v>7363.96633705906</v>
      </c>
      <c r="I15" s="0" t="n">
        <f aca="false">I13-MAX(0,I13)*I14/100</f>
        <v>7944.46462798246</v>
      </c>
      <c r="J15" s="0" t="n">
        <f aca="false">J13-MAX(0,J13)*J14/100</f>
        <v>8389.09458738443</v>
      </c>
      <c r="K15" s="0" t="n">
        <f aca="false">K13-MAX(0,K13)*K14/100</f>
        <v>8836.1800647994</v>
      </c>
      <c r="L15" s="0" t="n">
        <f aca="false">L13-MAX(0,L13)*L14/100</f>
        <v>9225.80690230237</v>
      </c>
    </row>
    <row r="16" customFormat="false" ht="15" hidden="false" customHeight="false" outlineLevel="0" collapsed="false">
      <c r="A16" s="0" t="s">
        <v>128</v>
      </c>
      <c r="C16" s="0" t="n">
        <f aca="false">-C12</f>
        <v>1600.39152</v>
      </c>
      <c r="D16" s="0" t="n">
        <f aca="false">-D12</f>
        <v>1640.5369344</v>
      </c>
      <c r="E16" s="0" t="n">
        <f aca="false">-E12</f>
        <v>1669.09985424</v>
      </c>
      <c r="F16" s="0" t="n">
        <f aca="false">-F12</f>
        <v>1684.84607928</v>
      </c>
      <c r="G16" s="0" t="n">
        <f aca="false">-G12</f>
        <v>1686.69940996721</v>
      </c>
      <c r="H16" s="0" t="n">
        <f aca="false">-H12</f>
        <v>1673.78001023129</v>
      </c>
      <c r="I16" s="0" t="n">
        <f aca="false">-I12</f>
        <v>1645.43987142169</v>
      </c>
      <c r="J16" s="0" t="n">
        <f aca="false">-J12</f>
        <v>1643.43323743215</v>
      </c>
      <c r="K16" s="0" t="n">
        <f aca="false">-K12</f>
        <v>1629.31656731575</v>
      </c>
      <c r="L16" s="0" t="n">
        <f aca="false">-L12</f>
        <v>1648.69222379194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-840.88368</v>
      </c>
      <c r="D17" s="4" t="n">
        <f aca="false">-D6*Assumptions!D32/100</f>
        <v>-908.1543744</v>
      </c>
      <c r="E17" s="4" t="n">
        <f aca="false">-E6*Assumptions!E32/100</f>
        <v>-976.26595248</v>
      </c>
      <c r="F17" s="4" t="n">
        <f aca="false">-F6*Assumptions!F32/100</f>
        <v>-1044.6045691536</v>
      </c>
      <c r="G17" s="4" t="n">
        <f aca="false">-G6*Assumptions!G32/100</f>
        <v>-1112.50386614858</v>
      </c>
      <c r="H17" s="4" t="n">
        <f aca="false">-H6*Assumptions!H32/100</f>
        <v>-1217.29455289548</v>
      </c>
      <c r="I17" s="4" t="n">
        <f aca="false">-I6*Assumptions!I32/100</f>
        <v>-1284.24575330473</v>
      </c>
      <c r="J17" s="4" t="n">
        <f aca="false">-J6*Assumptions!J32/100</f>
        <v>-1348.45804096997</v>
      </c>
      <c r="K17" s="4" t="n">
        <f aca="false">-K6*Assumptions!K32/100</f>
        <v>-1409.13865281362</v>
      </c>
      <c r="L17" s="4" t="n">
        <f aca="false">-L6*Assumptions!L32/100</f>
        <v>-1465.50419892616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-301.392</v>
      </c>
      <c r="D18" s="4" t="n">
        <f aca="false">(D6-C6)*Assumptions!$B$37/100</f>
        <v>-325.50336</v>
      </c>
      <c r="E18" s="4" t="n">
        <f aca="false">(E6-D6)*Assumptions!$B$37/100</f>
        <v>-329.572152</v>
      </c>
      <c r="F18" s="4" t="n">
        <f aca="false">(F6-E6)*Assumptions!$B$37/100</f>
        <v>-330.67072584</v>
      </c>
      <c r="G18" s="4" t="n">
        <f aca="false">(G6-F6)*Assumptions!$B$37/100</f>
        <v>-328.5449854596</v>
      </c>
      <c r="H18" s="4" t="n">
        <f aca="false">(H6-G6)*Assumptions!$B$37/100</f>
        <v>-322.984993397976</v>
      </c>
      <c r="I18" s="4" t="n">
        <f aca="false">(I6-H6)*Assumptions!$B$37/100</f>
        <v>-313.833751918366</v>
      </c>
      <c r="J18" s="4" t="n">
        <f aca="false">(J6-I6)*Assumptions!$B$37/100</f>
        <v>-300.995098430797</v>
      </c>
      <c r="K18" s="4" t="n">
        <f aca="false">(K6-J6)*Assumptions!$B$37/100</f>
        <v>-284.440368017103</v>
      </c>
      <c r="L18" s="4" t="n">
        <f aca="false">(L6-K6)*Assumptions!$B$37/100</f>
        <v>-264.213497402554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4901.7113964</v>
      </c>
      <c r="D19" s="0" t="n">
        <f aca="false">D15+D16+D17+D18</f>
        <v>5418.2068668</v>
      </c>
      <c r="E19" s="0" t="n">
        <f aca="false">E15+E16+E17+E18</f>
        <v>5956.320883968</v>
      </c>
      <c r="F19" s="0" t="n">
        <f aca="false">F15+F16+F17+F18</f>
        <v>6509.8043560368</v>
      </c>
      <c r="G19" s="0" t="n">
        <f aca="false">G15+G16+G17+G18</f>
        <v>7064.22264120518</v>
      </c>
      <c r="H19" s="0" t="n">
        <f aca="false">H15+H16+H17+H18</f>
        <v>7497.46680099689</v>
      </c>
      <c r="I19" s="0" t="n">
        <f aca="false">I15+I16+I17+I18</f>
        <v>7991.82499418105</v>
      </c>
      <c r="J19" s="0" t="n">
        <f aca="false">J15+J16+J17+J18</f>
        <v>8383.07468541582</v>
      </c>
      <c r="K19" s="0" t="n">
        <f aca="false">K15+K16+K17+K18</f>
        <v>8771.91761128443</v>
      </c>
      <c r="L19" s="0" t="n">
        <f aca="false">L15+L16+L17+L18</f>
        <v>9144.78142976559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0.92378752886836</v>
      </c>
      <c r="D20" s="0" t="n">
        <f aca="false">1/(1+$B$27/100)^D4</f>
        <v>0.853383398492712</v>
      </c>
      <c r="E20" s="0" t="n">
        <f aca="false">1/(1+$B$27/100)^E4</f>
        <v>0.788344940870865</v>
      </c>
      <c r="F20" s="0" t="n">
        <f aca="false">1/(1+$B$27/100)^F4</f>
        <v>0.72826322482297</v>
      </c>
      <c r="G20" s="0" t="n">
        <f aca="false">1/(1+$B$27/100)^G4</f>
        <v>0.672760484824915</v>
      </c>
      <c r="H20" s="0" t="n">
        <f aca="false">1/(1+$B$27/100)^H4</f>
        <v>0.621487745796688</v>
      </c>
      <c r="I20" s="0" t="n">
        <f aca="false">1/(1+$B$27/100)^I4</f>
        <v>0.57412262891149</v>
      </c>
      <c r="J20" s="0" t="n">
        <f aca="false">1/(1+$B$27/100)^J4</f>
        <v>0.530367324629552</v>
      </c>
      <c r="K20" s="0" t="n">
        <f aca="false">1/(1+$B$27/100)^K4</f>
        <v>0.489946720212057</v>
      </c>
      <c r="L20" s="0" t="n">
        <f aca="false">1/(1+$B$27/100)^L4</f>
        <v>0.452606669941854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4528.13985810624</v>
      </c>
      <c r="D21" s="0" t="n">
        <f aca="false">D19*D20</f>
        <v>4623.80778972633</v>
      </c>
      <c r="E21" s="0" t="n">
        <f aca="false">E19*E20</f>
        <v>4695.63543507965</v>
      </c>
      <c r="F21" s="0" t="n">
        <f aca="false">F19*F20</f>
        <v>4740.85111329398</v>
      </c>
      <c r="G21" s="0" t="n">
        <f aca="false">G19*G20</f>
        <v>4752.52984900834</v>
      </c>
      <c r="H21" s="0" t="n">
        <f aca="false">H19*H20</f>
        <v>4659.58374133706</v>
      </c>
      <c r="I21" s="0" t="n">
        <f aca="false">I19*I20</f>
        <v>4588.28757545978</v>
      </c>
      <c r="J21" s="0" t="n">
        <f aca="false">J19*J20</f>
        <v>4446.10889307371</v>
      </c>
      <c r="K21" s="0" t="n">
        <f aca="false">K19*K20</f>
        <v>4297.77226361919</v>
      </c>
      <c r="L21" s="0" t="n">
        <f aca="false">L19*L20</f>
        <v>4138.98907027231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8.25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45471.7055889766</v>
      </c>
    </row>
    <row r="31" customFormat="false" ht="15" hidden="false" customHeight="false" outlineLevel="0" collapsed="false">
      <c r="A31" s="0" t="s">
        <v>137</v>
      </c>
      <c r="B31" s="0" t="n">
        <f aca="false">L19</f>
        <v>9144.78142976559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179411.902336353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182895.628595312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179411.902336353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81203.0236643901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126674.729253367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115208.729253367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298.46821050095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0.0934503608622144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3437.00232830806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5693.29903766358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322.121840982742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78492.7072721546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106.7001225257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9</v>
      </c>
      <c r="D5" s="4" t="n">
        <f aca="false">Assumptions!D41</f>
        <v>9.5</v>
      </c>
      <c r="E5" s="4" t="n">
        <f aca="false">Assumptions!E41</f>
        <v>9</v>
      </c>
      <c r="F5" s="4" t="n">
        <f aca="false">Assumptions!F41</f>
        <v>8.5</v>
      </c>
      <c r="G5" s="4" t="n">
        <f aca="false">Assumptions!G41</f>
        <v>8</v>
      </c>
      <c r="H5" s="4" t="n">
        <f aca="false">Assumptions!H41</f>
        <v>7.5</v>
      </c>
      <c r="I5" s="4" t="n">
        <f aca="false">Assumptions!I41</f>
        <v>6.5</v>
      </c>
      <c r="J5" s="4" t="n">
        <f aca="false">Assumptions!J41</f>
        <v>5.5</v>
      </c>
      <c r="K5" s="4" t="n">
        <f aca="false">Assumptions!K41</f>
        <v>5</v>
      </c>
      <c r="L5" s="4" t="n">
        <f aca="false">Assumptions!L41</f>
        <v>4.5</v>
      </c>
    </row>
    <row r="6" customFormat="false" ht="15" hidden="false" customHeight="false" outlineLevel="0" collapsed="false">
      <c r="A6" s="0" t="s">
        <v>37</v>
      </c>
      <c r="B6" s="3" t="n">
        <v>25116</v>
      </c>
      <c r="C6" s="0" t="n">
        <f aca="false">B6*(1+C5/100)</f>
        <v>27376.44</v>
      </c>
      <c r="D6" s="0" t="n">
        <f aca="false">C6*(1+D5/100)</f>
        <v>29977.2018</v>
      </c>
      <c r="E6" s="0" t="n">
        <f aca="false">D6*(1+E5/100)</f>
        <v>32675.149962</v>
      </c>
      <c r="F6" s="0" t="n">
        <f aca="false">E6*(1+F5/100)</f>
        <v>35452.53770877</v>
      </c>
      <c r="G6" s="0" t="n">
        <f aca="false">F6*(1+G5/100)</f>
        <v>38288.7407254716</v>
      </c>
      <c r="H6" s="0" t="n">
        <f aca="false">G6*(1+H5/100)</f>
        <v>41160.396279882</v>
      </c>
      <c r="I6" s="0" t="n">
        <f aca="false">H6*(1+I5/100)</f>
        <v>43835.8220380743</v>
      </c>
      <c r="J6" s="0" t="n">
        <f aca="false">I6*(1+J5/100)</f>
        <v>46246.7922501684</v>
      </c>
      <c r="K6" s="0" t="n">
        <f aca="false">J6*(1+K5/100)</f>
        <v>48559.1318626768</v>
      </c>
      <c r="L6" s="0" t="n">
        <f aca="false">K6*(1+L5/100)</f>
        <v>50744.2927964973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28</v>
      </c>
      <c r="D7" s="4" t="n">
        <f aca="false">Assumptions!D42</f>
        <v>28.9</v>
      </c>
      <c r="E7" s="4" t="n">
        <f aca="false">Assumptions!E42</f>
        <v>29.8</v>
      </c>
      <c r="F7" s="4" t="n">
        <f aca="false">Assumptions!F42</f>
        <v>30.6</v>
      </c>
      <c r="G7" s="4" t="n">
        <f aca="false">Assumptions!G42</f>
        <v>31.3</v>
      </c>
      <c r="H7" s="4" t="n">
        <f aca="false">Assumptions!H42</f>
        <v>31.9</v>
      </c>
      <c r="I7" s="4" t="n">
        <f aca="false">Assumptions!I42</f>
        <v>32.3</v>
      </c>
      <c r="J7" s="4" t="n">
        <f aca="false">Assumptions!J42</f>
        <v>32.5</v>
      </c>
      <c r="K7" s="4" t="n">
        <f aca="false">Assumptions!K42</f>
        <v>32.5</v>
      </c>
      <c r="L7" s="4" t="n">
        <f aca="false">Assumptions!L42</f>
        <v>32.5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7665.4032</v>
      </c>
      <c r="D8" s="0" t="n">
        <f aca="false">D6*D7/100</f>
        <v>8663.4113202</v>
      </c>
      <c r="E8" s="0" t="n">
        <f aca="false">E6*E7/100</f>
        <v>9737.194688676</v>
      </c>
      <c r="F8" s="0" t="n">
        <f aca="false">F6*F7/100</f>
        <v>10848.4765388836</v>
      </c>
      <c r="G8" s="0" t="n">
        <f aca="false">G6*G7/100</f>
        <v>11984.3758470726</v>
      </c>
      <c r="H8" s="0" t="n">
        <f aca="false">H6*H7/100</f>
        <v>13130.1664132824</v>
      </c>
      <c r="I8" s="0" t="n">
        <f aca="false">I6*I7/100</f>
        <v>14158.970518298</v>
      </c>
      <c r="J8" s="0" t="n">
        <f aca="false">J6*J7/100</f>
        <v>15030.2074813047</v>
      </c>
      <c r="K8" s="0" t="n">
        <f aca="false">K6*K7/100</f>
        <v>15781.71785537</v>
      </c>
      <c r="L8" s="0" t="n">
        <f aca="false">L6*L7/100</f>
        <v>16491.8951588616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1.55</v>
      </c>
      <c r="D9" s="4" t="n">
        <f aca="false">Assumptions!D43</f>
        <v>1.55</v>
      </c>
      <c r="E9" s="4" t="n">
        <f aca="false">Assumptions!E43</f>
        <v>1.5</v>
      </c>
      <c r="F9" s="4" t="n">
        <f aca="false">Assumptions!F43</f>
        <v>1.5</v>
      </c>
      <c r="G9" s="4" t="n">
        <f aca="false">Assumptions!G43</f>
        <v>1.45</v>
      </c>
      <c r="H9" s="4" t="n">
        <f aca="false">Assumptions!H43</f>
        <v>1.45</v>
      </c>
      <c r="I9" s="4" t="n">
        <f aca="false">Assumptions!I43</f>
        <v>1.4</v>
      </c>
      <c r="J9" s="4" t="n">
        <f aca="false">Assumptions!J43</f>
        <v>1.4</v>
      </c>
      <c r="K9" s="4" t="n">
        <f aca="false">Assumptions!K43</f>
        <v>1.4</v>
      </c>
      <c r="L9" s="4" t="n">
        <f aca="false">Assumptions!L43</f>
        <v>1.4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-424.33482</v>
      </c>
      <c r="D10" s="0" t="n">
        <f aca="false">-D6*D9/100</f>
        <v>-464.6466279</v>
      </c>
      <c r="E10" s="0" t="n">
        <f aca="false">-E6*E9/100</f>
        <v>-490.12724943</v>
      </c>
      <c r="F10" s="0" t="n">
        <f aca="false">-F6*F9/100</f>
        <v>-531.78806563155</v>
      </c>
      <c r="G10" s="0" t="n">
        <f aca="false">-G6*G9/100</f>
        <v>-555.186740519338</v>
      </c>
      <c r="H10" s="0" t="n">
        <f aca="false">-H6*H9/100</f>
        <v>-596.825746058289</v>
      </c>
      <c r="I10" s="0" t="n">
        <f aca="false">-I6*I9/100</f>
        <v>-613.70150853304</v>
      </c>
      <c r="J10" s="0" t="n">
        <f aca="false">-J6*J9/100</f>
        <v>-647.455091502357</v>
      </c>
      <c r="K10" s="0" t="n">
        <f aca="false">-K6*K9/100</f>
        <v>-679.827846077475</v>
      </c>
      <c r="L10" s="0" t="n">
        <f aca="false">-L6*L9/100</f>
        <v>-710.420099150962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7241.06838</v>
      </c>
      <c r="D11" s="0" t="n">
        <f aca="false">D8+D10+D24</f>
        <v>8198.7646923</v>
      </c>
      <c r="E11" s="0" t="n">
        <f aca="false">E8+E10+E24</f>
        <v>9247.067439246</v>
      </c>
      <c r="F11" s="0" t="n">
        <f aca="false">F8+F10+F24</f>
        <v>10316.6884732521</v>
      </c>
      <c r="G11" s="0" t="n">
        <f aca="false">G8+G10+G24</f>
        <v>11429.1891065533</v>
      </c>
      <c r="H11" s="0" t="n">
        <f aca="false">H8+H10+H24</f>
        <v>12533.3406672241</v>
      </c>
      <c r="I11" s="0" t="n">
        <f aca="false">I8+I10+I24</f>
        <v>13545.269009765</v>
      </c>
      <c r="J11" s="0" t="n">
        <f aca="false">J8+J10+J24</f>
        <v>14382.7523898024</v>
      </c>
      <c r="K11" s="0" t="n">
        <f aca="false">K8+K10+K24</f>
        <v>15101.8900092925</v>
      </c>
      <c r="L11" s="0" t="n">
        <f aca="false">L8+L10+L24</f>
        <v>15781.4750597106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-1615.20996</v>
      </c>
      <c r="D12" s="4" t="n">
        <f aca="false">-D6*Assumptions!D45/100</f>
        <v>-1678.7233008</v>
      </c>
      <c r="E12" s="4" t="n">
        <f aca="false">-E6*Assumptions!E45/100</f>
        <v>-1731.782947986</v>
      </c>
      <c r="F12" s="4" t="n">
        <f aca="false">-F6*Assumptions!F45/100</f>
        <v>-1772.6268854385</v>
      </c>
      <c r="G12" s="4" t="n">
        <f aca="false">-G6*Assumptions!G45/100</f>
        <v>-1799.57081409717</v>
      </c>
      <c r="H12" s="4" t="n">
        <f aca="false">-H6*Assumptions!H45/100</f>
        <v>-1811.05743631481</v>
      </c>
      <c r="I12" s="4" t="n">
        <f aca="false">-I6*Assumptions!I45/100</f>
        <v>-1797.26870356105</v>
      </c>
      <c r="J12" s="4" t="n">
        <f aca="false">-J6*Assumptions!J45/100</f>
        <v>-1803.62489775657</v>
      </c>
      <c r="K12" s="4" t="n">
        <f aca="false">-K6*Assumptions!K45/100</f>
        <v>-1796.68787891904</v>
      </c>
      <c r="L12" s="4" t="n">
        <f aca="false">-L6*Assumptions!L45/100</f>
        <v>-1826.7945406739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5625.85842</v>
      </c>
      <c r="D13" s="0" t="n">
        <f aca="false">D11+D12</f>
        <v>6520.0413915</v>
      </c>
      <c r="E13" s="0" t="n">
        <f aca="false">E11+E12</f>
        <v>7515.28449126</v>
      </c>
      <c r="F13" s="0" t="n">
        <f aca="false">F11+F12</f>
        <v>8544.06158781357</v>
      </c>
      <c r="G13" s="0" t="n">
        <f aca="false">G11+G12</f>
        <v>9629.61829245611</v>
      </c>
      <c r="H13" s="0" t="n">
        <f aca="false">H11+H12</f>
        <v>10722.2832309093</v>
      </c>
      <c r="I13" s="0" t="n">
        <f aca="false">I11+I12</f>
        <v>11748.0003062039</v>
      </c>
      <c r="J13" s="0" t="n">
        <f aca="false">J11+J12</f>
        <v>12579.1274920458</v>
      </c>
      <c r="K13" s="0" t="n">
        <f aca="false">K11+K12</f>
        <v>13305.2021303734</v>
      </c>
      <c r="L13" s="0" t="n">
        <f aca="false">L11+L12</f>
        <v>13954.6805190367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19.5</v>
      </c>
      <c r="D14" s="4" t="n">
        <f aca="false">Assumptions!D47</f>
        <v>19.5</v>
      </c>
      <c r="E14" s="4" t="n">
        <f aca="false">Assumptions!E47</f>
        <v>20</v>
      </c>
      <c r="F14" s="4" t="n">
        <f aca="false">Assumptions!F47</f>
        <v>20</v>
      </c>
      <c r="G14" s="4" t="n">
        <f aca="false">Assumptions!G47</f>
        <v>20</v>
      </c>
      <c r="H14" s="4" t="n">
        <f aca="false">Assumptions!H47</f>
        <v>20.5</v>
      </c>
      <c r="I14" s="4" t="n">
        <f aca="false">Assumptions!I47</f>
        <v>20.5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4528.8160281</v>
      </c>
      <c r="D15" s="0" t="n">
        <f aca="false">D13-MAX(0,D13)*D14/100</f>
        <v>5248.6333201575</v>
      </c>
      <c r="E15" s="0" t="n">
        <f aca="false">E13-MAX(0,E13)*E14/100</f>
        <v>6012.227593008</v>
      </c>
      <c r="F15" s="0" t="n">
        <f aca="false">F13-MAX(0,F13)*F14/100</f>
        <v>6835.24927025086</v>
      </c>
      <c r="G15" s="0" t="n">
        <f aca="false">G13-MAX(0,G13)*G14/100</f>
        <v>7703.69463396489</v>
      </c>
      <c r="H15" s="0" t="n">
        <f aca="false">H13-MAX(0,H13)*H14/100</f>
        <v>8524.21516857286</v>
      </c>
      <c r="I15" s="0" t="n">
        <f aca="false">I13-MAX(0,I13)*I14/100</f>
        <v>9339.66024343211</v>
      </c>
      <c r="J15" s="0" t="n">
        <f aca="false">J13-MAX(0,J13)*J14/100</f>
        <v>9937.51071871618</v>
      </c>
      <c r="K15" s="0" t="n">
        <f aca="false">K13-MAX(0,K13)*K14/100</f>
        <v>10511.109682995</v>
      </c>
      <c r="L15" s="0" t="n">
        <f aca="false">L13-MAX(0,L13)*L14/100</f>
        <v>11024.197610039</v>
      </c>
    </row>
    <row r="16" customFormat="false" ht="15" hidden="false" customHeight="false" outlineLevel="0" collapsed="false">
      <c r="A16" s="0" t="s">
        <v>128</v>
      </c>
      <c r="C16" s="0" t="n">
        <f aca="false">-C12</f>
        <v>1615.20996</v>
      </c>
      <c r="D16" s="0" t="n">
        <f aca="false">-D12</f>
        <v>1678.7233008</v>
      </c>
      <c r="E16" s="0" t="n">
        <f aca="false">-E12</f>
        <v>1731.782947986</v>
      </c>
      <c r="F16" s="0" t="n">
        <f aca="false">-F12</f>
        <v>1772.6268854385</v>
      </c>
      <c r="G16" s="0" t="n">
        <f aca="false">-G12</f>
        <v>1799.57081409717</v>
      </c>
      <c r="H16" s="0" t="n">
        <f aca="false">-H12</f>
        <v>1811.05743631481</v>
      </c>
      <c r="I16" s="0" t="n">
        <f aca="false">-I12</f>
        <v>1797.26870356105</v>
      </c>
      <c r="J16" s="0" t="n">
        <f aca="false">-J12</f>
        <v>1803.62489775657</v>
      </c>
      <c r="K16" s="0" t="n">
        <f aca="false">-K12</f>
        <v>1796.68787891904</v>
      </c>
      <c r="L16" s="0" t="n">
        <f aca="false">-L12</f>
        <v>1826.7945406739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-848.66964</v>
      </c>
      <c r="D17" s="4" t="n">
        <f aca="false">-D6*Assumptions!D46/100</f>
        <v>-929.2932558</v>
      </c>
      <c r="E17" s="4" t="n">
        <f aca="false">-E6*Assumptions!E46/100</f>
        <v>-1012.929648822</v>
      </c>
      <c r="F17" s="4" t="n">
        <f aca="false">-F6*Assumptions!F46/100</f>
        <v>-1099.02866897187</v>
      </c>
      <c r="G17" s="4" t="n">
        <f aca="false">-G6*Assumptions!G46/100</f>
        <v>-1186.95096248962</v>
      </c>
      <c r="H17" s="4" t="n">
        <f aca="false">-H6*Assumptions!H46/100</f>
        <v>-1317.13268095622</v>
      </c>
      <c r="I17" s="4" t="n">
        <f aca="false">-I6*Assumptions!I46/100</f>
        <v>-1402.74630521838</v>
      </c>
      <c r="J17" s="4" t="n">
        <f aca="false">-J6*Assumptions!J46/100</f>
        <v>-1479.89735200539</v>
      </c>
      <c r="K17" s="4" t="n">
        <f aca="false">-K6*Assumptions!K46/100</f>
        <v>-1553.89221960566</v>
      </c>
      <c r="L17" s="4" t="n">
        <f aca="false">-L6*Assumptions!L46/100</f>
        <v>-1623.81736948791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-339.066</v>
      </c>
      <c r="D18" s="4" t="n">
        <f aca="false">(D6-C6)*Assumptions!$B$51/100</f>
        <v>-390.11427</v>
      </c>
      <c r="E18" s="4" t="n">
        <f aca="false">(E6-D6)*Assumptions!$B$51/100</f>
        <v>-404.692224300001</v>
      </c>
      <c r="F18" s="4" t="n">
        <f aca="false">(F6-E6)*Assumptions!$B$51/100</f>
        <v>-416.6081620155</v>
      </c>
      <c r="G18" s="4" t="n">
        <f aca="false">(G6-F6)*Assumptions!$B$51/100</f>
        <v>-425.430452505241</v>
      </c>
      <c r="H18" s="4" t="n">
        <f aca="false">(H6-G6)*Assumptions!$B$51/100</f>
        <v>-430.748333161555</v>
      </c>
      <c r="I18" s="4" t="n">
        <f aca="false">(I6-H6)*Assumptions!$B$51/100</f>
        <v>-401.313863728848</v>
      </c>
      <c r="J18" s="4" t="n">
        <f aca="false">(J6-I6)*Assumptions!$B$51/100</f>
        <v>-361.645531814113</v>
      </c>
      <c r="K18" s="4" t="n">
        <f aca="false">(K6-J6)*Assumptions!$B$51/100</f>
        <v>-346.850941876263</v>
      </c>
      <c r="L18" s="4" t="n">
        <f aca="false">(L6-K6)*Assumptions!$B$51/100</f>
        <v>-327.774140073068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4956.2903481</v>
      </c>
      <c r="D19" s="0" t="n">
        <f aca="false">D15+D16+D17+D18</f>
        <v>5607.9490951575</v>
      </c>
      <c r="E19" s="0" t="n">
        <f aca="false">E15+E16+E17+E18</f>
        <v>6326.388667872</v>
      </c>
      <c r="F19" s="0" t="n">
        <f aca="false">F15+F16+F17+F18</f>
        <v>7092.23932470199</v>
      </c>
      <c r="G19" s="0" t="n">
        <f aca="false">G15+G16+G17+G18</f>
        <v>7890.88403306719</v>
      </c>
      <c r="H19" s="0" t="n">
        <f aca="false">H15+H16+H17+H18</f>
        <v>8587.39159076989</v>
      </c>
      <c r="I19" s="0" t="n">
        <f aca="false">I15+I16+I17+I18</f>
        <v>9332.86877804593</v>
      </c>
      <c r="J19" s="0" t="n">
        <f aca="false">J15+J16+J17+J18</f>
        <v>9899.59273265325</v>
      </c>
      <c r="K19" s="0" t="n">
        <f aca="false">K15+K16+K17+K18</f>
        <v>10407.0544004321</v>
      </c>
      <c r="L19" s="0" t="n">
        <f aca="false">L15+L16+L17+L18</f>
        <v>10899.400641152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0.92378752886836</v>
      </c>
      <c r="D20" s="0" t="n">
        <f aca="false">1/(1+$B$27/100)^D4</f>
        <v>0.853383398492712</v>
      </c>
      <c r="E20" s="0" t="n">
        <f aca="false">1/(1+$B$27/100)^E4</f>
        <v>0.788344940870865</v>
      </c>
      <c r="F20" s="0" t="n">
        <f aca="false">1/(1+$B$27/100)^F4</f>
        <v>0.72826322482297</v>
      </c>
      <c r="G20" s="0" t="n">
        <f aca="false">1/(1+$B$27/100)^G4</f>
        <v>0.672760484824915</v>
      </c>
      <c r="H20" s="0" t="n">
        <f aca="false">1/(1+$B$27/100)^H4</f>
        <v>0.621487745796688</v>
      </c>
      <c r="I20" s="0" t="n">
        <f aca="false">1/(1+$B$27/100)^I4</f>
        <v>0.57412262891149</v>
      </c>
      <c r="J20" s="0" t="n">
        <f aca="false">1/(1+$B$27/100)^J4</f>
        <v>0.530367324629552</v>
      </c>
      <c r="K20" s="0" t="n">
        <f aca="false">1/(1+$B$27/100)^K4</f>
        <v>0.489946720212057</v>
      </c>
      <c r="L20" s="0" t="n">
        <f aca="false">1/(1+$B$27/100)^L4</f>
        <v>0.452606669941854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4578.5592130254</v>
      </c>
      <c r="D21" s="0" t="n">
        <f aca="false">D19*D20</f>
        <v>4785.73065739964</v>
      </c>
      <c r="E21" s="0" t="n">
        <f aca="false">E19*E20</f>
        <v>4987.37650029966</v>
      </c>
      <c r="F21" s="0" t="n">
        <f aca="false">F19*F20</f>
        <v>5165.01708182376</v>
      </c>
      <c r="G21" s="0" t="n">
        <f aca="false">G19*G20</f>
        <v>5308.67496778346</v>
      </c>
      <c r="H21" s="0" t="n">
        <f aca="false">H19*H20</f>
        <v>5336.95864202101</v>
      </c>
      <c r="I21" s="0" t="n">
        <f aca="false">I19*I20</f>
        <v>5358.2111581377</v>
      </c>
      <c r="J21" s="0" t="n">
        <f aca="false">J19*J20</f>
        <v>5250.42051253946</v>
      </c>
      <c r="K21" s="0" t="n">
        <f aca="false">K19*K20</f>
        <v>5098.90217056019</v>
      </c>
      <c r="L21" s="0" t="n">
        <f aca="false">L19*L20</f>
        <v>4933.1414285539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8.25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3.25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22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50802.9923321442</v>
      </c>
    </row>
    <row r="31" customFormat="false" ht="15" hidden="false" customHeight="false" outlineLevel="0" collapsed="false">
      <c r="A31" s="0" t="s">
        <v>137</v>
      </c>
      <c r="B31" s="0" t="n">
        <f aca="false">L19</f>
        <v>10899.400641152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225072.623239788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239786.814105343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225072.623239788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101869.370499638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152672.362831782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141206.362831782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365.819592828451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0.34019487407844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3656.96479751251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6639.81907569828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392.495198717598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95775.5843573565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126.959072532103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194.277301432774</v>
      </c>
      <c r="C4" s="0" t="n">
        <f aca="false">B4/Assumptions!$B$2-1</f>
        <v>-0.288257248561056</v>
      </c>
      <c r="D4" s="4" t="n">
        <f aca="false">Assumptions!$B$24</f>
        <v>0.2</v>
      </c>
      <c r="E4" s="4" t="n">
        <f aca="false">DCF_Bear!$B$43</f>
        <v>215.452644204234</v>
      </c>
      <c r="F4" s="4" t="n">
        <f aca="false">DCF_Bear!$B$47</f>
        <v>77.8426297493035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298.46821050095</v>
      </c>
      <c r="C5" s="0" t="n">
        <f aca="false">B5/Assumptions!$B$2-1</f>
        <v>0.0934503608622144</v>
      </c>
      <c r="D5" s="4" t="n">
        <f aca="false">Assumptions!$B$38</f>
        <v>0.5</v>
      </c>
      <c r="E5" s="4" t="n">
        <f aca="false">DCF_Base!$B$43</f>
        <v>322.121840982742</v>
      </c>
      <c r="F5" s="4" t="n">
        <f aca="false">DCF_Base!$B$47</f>
        <v>106.7001225257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365.819592828451</v>
      </c>
      <c r="C6" s="0" t="n">
        <f aca="false">B6/Assumptions!$B$2-1</f>
        <v>0.34019487407844</v>
      </c>
      <c r="D6" s="4" t="n">
        <f aca="false">Assumptions!$B$52</f>
        <v>0.3</v>
      </c>
      <c r="E6" s="4" t="n">
        <f aca="false">DCF_Bull!$B$43</f>
        <v>392.495198717598</v>
      </c>
      <c r="F6" s="4" t="n">
        <f aca="false">DCF_Bull!$B$47</f>
        <v>126.959072532103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297.835443385565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321.900008947497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0.0835207626829104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-103.369592613448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107.006308972342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298.46821050095</v>
      </c>
      <c r="C15" s="3" t="n">
        <v>8.25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255.588665806814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212.807645123344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180.814214145073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156.006966189251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106.7001225257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6.25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359.221283757932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359.221283757932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359.221283757932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359.221283757932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359.221283757932</v>
      </c>
    </row>
    <row r="25" customFormat="false" ht="15" hidden="false" customHeight="false" outlineLevel="0" collapsed="false">
      <c r="A25" s="3" t="n">
        <v>7.25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322.80213379314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329.525317339826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329.525317339826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329.525317339826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329.525317339826</v>
      </c>
    </row>
    <row r="26" customFormat="false" ht="15" hidden="false" customHeight="false" outlineLevel="0" collapsed="false">
      <c r="A26" s="3" t="n">
        <v>8.25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263.093282942541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279.242706393119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298.46821050095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302.553075115085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302.553075115085</v>
      </c>
    </row>
    <row r="27" customFormat="false" ht="15" hidden="false" customHeight="false" outlineLevel="0" collapsed="false">
      <c r="A27" s="3" t="n">
        <v>9.25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220.016743870058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230.934194566388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243.598437374132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258.465157191918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276.163633165473</v>
      </c>
    </row>
    <row r="28" customFormat="false" ht="15" hidden="false" customHeight="false" outlineLevel="0" collapsed="false">
      <c r="A28" s="3" t="n">
        <v>10.25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187.514233095646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195.212500546993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203.972597991629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214.030487650286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225.697639654327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2026-10-02T09:21:50Z</dcterms:created>
  <dc:creator>openpyxl</dc:creator>
  <dc:description/>
  <dc:language>en-NZ</dc:language>
  <cp:lastModifiedBy/>
  <dcterms:modified xsi:type="dcterms:W3CDTF">2026-10-02T09:21:50Z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