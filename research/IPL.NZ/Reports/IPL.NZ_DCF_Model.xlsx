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 Cap Model" sheetId="1" r:id="rId1"/>
    <sheet name="NTA Cross-Check" sheetId="2" r:id="rId2"/>
    <sheet name="Sensitivity" sheetId="3" r:id="rId3"/>
    <sheet name="Historical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<sst xmlns="http://schemas.openxmlformats.org/spreadsheetml/2006/main" count="147" uniqueCount="134">
  <si>
    <t>IPL.NZ REIT Valuation Model -- Distributable Profit Capitalization</t>
  </si>
  <si>
    <t>Gray cells are INPUTS - adjust to see valuation change. Discount rate is COST OF EQUITY, not WACC. Net debt is NEVER subtracted (Distributable Profit is already post-interest).</t>
  </si>
  <si>
    <t>KEY INPUTS</t>
  </si>
  <si>
    <t>Current Stock Price</t>
  </si>
  <si>
    <t>Shares Outstanding (M), FY2026</t>
  </si>
  <si>
    <t>Distributable Profit After Tax FY2026 (NZDm)</t>
  </si>
  <si>
    <t>Distributable Profit per Share FY2026 (cents)</t>
  </si>
  <si>
    <t>Stock-Based Comp</t>
  </si>
  <si>
    <t>Verified NIL -- externally managed (SIML), no employees</t>
  </si>
  <si>
    <t>Annual Share Growth (dilution) %</t>
  </si>
  <si>
    <t>Cost of Equity (NOT WACC)</t>
  </si>
  <si>
    <t>Exit Distributable-Profit Yield (terminal cap rate)</t>
  </si>
  <si>
    <t>COST OF EQUITY BUILD</t>
  </si>
  <si>
    <t>Risk-free rate (NZ 10yr govt)</t>
  </si>
  <si>
    <t>Equity risk premium</t>
  </si>
  <si>
    <t>Beta</t>
  </si>
  <si>
    <t>CAPM base (=B16+B17*B18)</t>
  </si>
  <si>
    <t>Tenant concentration premium (Woolworths 53%)</t>
  </si>
  <si>
    <t>Illiquidity premium (small-cap NZX)</t>
  </si>
  <si>
    <t>Governance premium (external mgmt/related-party)</t>
  </si>
  <si>
    <t>Built Cost of Equity (=SUM(B19,B20:B22))</t>
  </si>
  <si>
    <t>DPS GROWTH ASSUMPTIONS (Base Case)</t>
  </si>
  <si>
    <t>FY2027</t>
  </si>
  <si>
    <t>FY2028</t>
  </si>
  <si>
    <t>FY2029</t>
  </si>
  <si>
    <t>FY2030</t>
  </si>
  <si>
    <t>FY2031</t>
  </si>
  <si>
    <t>DPS Growth Rate %</t>
  </si>
  <si>
    <t>PROJECTIONS</t>
  </si>
  <si>
    <t>Distributable Profit/Share (cents)</t>
  </si>
  <si>
    <t>Shares Outstanding (M)</t>
  </si>
  <si>
    <t>Total Distributable Profit (NZDm)</t>
  </si>
  <si>
    <t>Discount Factor (Cost of Equity)</t>
  </si>
  <si>
    <t>PV of Distributable Profit</t>
  </si>
  <si>
    <t>VALUATION -- DISTRIBUTABLE PROFIT CAPITALIZATION LEG</t>
  </si>
  <si>
    <t>Sum of PV of Distributable Profit</t>
  </si>
  <si>
    <t>Terminal Distributable Profit (Yr5 x (1+g_last))</t>
  </si>
  <si>
    <t>Terminal Value (=B38/B13)</t>
  </si>
  <si>
    <t>PV of Terminal Value</t>
  </si>
  <si>
    <t>Equity Value (NO net-debt deduction)</t>
  </si>
  <si>
    <t>INTRINSIC VALUE/SHARE (AFFO-cap leg)</t>
  </si>
  <si>
    <t>Upside/(Downside) to AFFO-cap IV</t>
  </si>
  <si>
    <t>ENTRY PRICE (15% IRR Target, AFFO-cap leg)</t>
  </si>
  <si>
    <t>PV of Yrs 1-5 Distributable Profit @15%</t>
  </si>
  <si>
    <t>PV of Terminal Value @15%</t>
  </si>
  <si>
    <t>Entry Equity Value (no net-debt adj.)</t>
  </si>
  <si>
    <t>Entry Price (15% IRR)</t>
  </si>
  <si>
    <t>Entry Discount from Current</t>
  </si>
  <si>
    <t>NOTE: Net debt is NEVER subtracted in this model. Distributable Profit is</t>
  </si>
  <si>
    <t>already measured after interest expense, so it is an equity-level cash flow.</t>
  </si>
  <si>
    <t>Subtracting net debt again would double-count leverage. Discount rate is COST</t>
  </si>
  <si>
    <t>OF EQUITY throughout, never WACC.</t>
  </si>
  <si>
    <t>IPL.NZ NTA-Based Valuation Leg (50% blend weight)</t>
  </si>
  <si>
    <t>Book NTA per share compounded forward, exited at a justified P/NTA multiple, plus PV of interim dividends.</t>
  </si>
  <si>
    <t>INPUTS</t>
  </si>
  <si>
    <t>FY2026 NTA per Share</t>
  </si>
  <si>
    <t>NTA Annual Growth Rate (base)</t>
  </si>
  <si>
    <t>Exit P/NTA Multiple (base)</t>
  </si>
  <si>
    <t>Payout Ratio (% of Distributable Profit paid as dividend)</t>
  </si>
  <si>
    <t>Cost of Equity (link to Sheet 1)</t>
  </si>
  <si>
    <t>NTA per Share</t>
  </si>
  <si>
    <t>Total Distributable Profit (link Sheet1 row32)</t>
  </si>
  <si>
    <t>Dividends Paid (Distributable Profit x Payout %)</t>
  </si>
  <si>
    <t>PV of Dividends</t>
  </si>
  <si>
    <t>VALUATION -- NTA-BASED LEG</t>
  </si>
  <si>
    <t>Sum of PV of Dividends</t>
  </si>
  <si>
    <t>Year-5 Exit Value/Share (=F13*B7)</t>
  </si>
  <si>
    <t>Year-5 Shares Outstanding (link Sheet1)</t>
  </si>
  <si>
    <t>Year-5 Exit Equity Value</t>
  </si>
  <si>
    <t>PV of Exit Equity Value</t>
  </si>
  <si>
    <t>Equity Value (Dividends + Discounted Exit)</t>
  </si>
  <si>
    <t>INTRINSIC VALUE/SHARE (NTA-based leg)</t>
  </si>
  <si>
    <t>BLENDED INTRINSIC VALUE (50% AFFO-cap / 50% NTA-based)</t>
  </si>
  <si>
    <t>Blended IV/Share</t>
  </si>
  <si>
    <t>Upside/(Downside) to Blended IV</t>
  </si>
  <si>
    <t>Sensitivity Analysis (AFFO-Cap Leg)</t>
  </si>
  <si>
    <t>Intrinsic Value by Cost of Equity &amp; Exit Distributable-Profit Yield</t>
  </si>
  <si>
    <t>CoE \ Exit Yield</t>
  </si>
  <si>
    <t>Note: approximate closed-form annuity+terminal formula replicated per cell;</t>
  </si>
  <si>
    <t>matches the year-by-year build on Sheet 1 when CoE=10.5% and Exit Yield=7.5%.</t>
  </si>
  <si>
    <t>Historical Distributable Profit, NTA &amp; Dividends</t>
  </si>
  <si>
    <t>Period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</si>
  <si>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</si>
  <si>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</si>
  <si>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</si>
  <si>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</si>
  <si>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</si>
  <si>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</si>
  <si>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</si>
  <si>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</si>
  <si>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</si>
  <si>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</si>
  <si>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Distributable Profit Total (NZDm)</t>
  </si>
  <si>
    <t>NTA per Share ($)</t>
  </si>
  <si>
    <t>FY-End Closing Price ($)</t>
  </si>
  <si>
    <t>Implied P/NTA</t>
  </si>
  <si>
    <t>Implied P/Distributable-Profit</t>
  </si>
  <si>
    <t>DPS 5yr CAGR (FY21-26)</t>
  </si>
  <si>
    <t>DPS 3yr CAGR (FY23-26)</t>
  </si>
  <si>
    <t>DPS 10yr CAGR (FY17-26)</t>
  </si>
  <si>
    <t>NTA 5yr CAGR</t>
  </si>
  <si>
    <t>NTA 10yr CAGR</t>
  </si>
  <si>
    <t>Selected Growth Driver</t>
  </si>
  <si>
    <t>per-share Distributable Profit 5yr CAGR (FY21-26), essentially flat</t>
  </si>
  <si>
    <t>Note: P/E and EV/EBITDA are deliberately omitted -- statutory EPS is</t>
  </si>
  <si>
    <t>fair-value-distorted (unrealised property revaluations) and EBITDA is</t>
  </si>
  <si>
    <t>structurally undefined under IAS 40 fair-value property accounting.</t>
  </si>
  <si>
    <t>Model Provenance &amp; Methodology Notes</t>
  </si>
  <si>
    <t>Ticker</t>
  </si>
  <si>
    <t>IPL.NZ (Investore Property Limited)</t>
  </si>
  <si>
    <t>Built by</t>
  </si>
  <si>
    <t>Claude agent (DCF valuation skill), REIT AFFO/NTA methodology per ARG.NZ template</t>
  </si>
  <si>
    <t>Valuation date</t>
  </si>
  <si>
    <t>2026-08-12</t>
  </si>
  <si>
    <t>Share price date/source</t>
  </si>
  <si>
    <t>Live Yahoo Finance quote, 2026-08-12: NZ$1.05</t>
  </si>
  <si>
    <t>Data vintage</t>
  </si>
  <si>
    <t>FY2026 Annual Report (year to 31-Mar-2026), published 21-May-2026; HY2026 interim (6 months to 30-Sep-2025); Chair's Letter FY26</t>
  </si>
  <si>
    <t>Methodology</t>
  </si>
  <si>
    <t>Two-leg blend, 50/50: (1) Distributable Profit After Tax capitalized at cost of equity with a terminal P/DP exit multiple; (2) book NTA per share compounded forward and exited at a justified P/NTA multiple, plus PV of interim cash dividends. NOT a WACC-based owner-FCF DCF -- see valuation_philosophy in the JSON.</t>
  </si>
  <si>
    <t>Why not FCF/WACC DCF</t>
  </si>
  <si>
    <t>Distributable Profit is already measured AFTER interest expense (an equity-level cash flow), so it is discounted at COST OF EQUITY and net debt is never subtracted a second time. Reported OCF-less-capex conflates discretionary property acquisition/development with maintenance capex. Statutory NetIncome/EPS are fair-value-revaluation noise (FY2021 +$161.3m, FY2023 -$150.2m, FY2024 -$67.1m). EBITDA is structurally undefined under IAS 40.</t>
  </si>
  <si>
    <t>SBC treatment</t>
  </si>
  <si>
    <t>Verified NIL -- Investore is externally managed by Stride Investment Management Limited (SIML) with no employees, confirmed by StockBasedComp=0.0 across all history in the Metrics CSV. The standard SBC/owner-FCF adjustment from the skill is a genuine no-op here, stated explicitly rather than silently skipped.</t>
  </si>
  <si>
    <t>Cost of equity build</t>
  </si>
  <si>
    <t>CAPM base 8.85% (rf 4.35% + beta 0.75 x ERP 6.0%) + tenant concentration premium 0.6% (Woolworths 53% of contract rent) + illiquidity premium 0.55% (small-cap NZX) + governance premium 0.5% (external management/related-party conflicts) = 10.5% base case.</t>
  </si>
  <si>
    <t>Key near-term risk modelled</t>
  </si>
  <si>
    <t>FY2027 dip in the base-case DPS growth path reflects two bond maturities refinancing at higher rates (IPL030 4.00% coupon Feb-2027, IPL020 2.40% coupon Aug-2027) plus roll-off of the 80%-hedged 4.2% weighted average cost of debt.</t>
  </si>
  <si>
    <t>What to refresh after next earnings</t>
  </si>
  <si>
    <t>Roll forward FY2026 Distributable Profit/share, NTA/share and dividend actuals; re-check bond refinancing outcomes (IPL020/IPL030 pricing once known); re-verify Woolworths % of Contract Rental and LVR; update FY-end closing price series for the sanity check; re-pull live price via Yahoo Finance chart API.</t>
  </si>
  <si>
    <t>Cell colour conventions</t>
  </si>
  <si>
    <t>Gray-filled cells = editable inputs. Green-filled bold cells = key output results. White cells with formulas = calculated, do not hand-edit. Sheet 2 pulls several cells directly from Sheet 1 via cross-sheet formulas (cost of equity, share count, distributable profit) to keep the two legs consistent.</t>
  </si>
  <si>
    <t>Staleness warning</t>
  </si>
  <si>
    <t>All figures (price, Distributable Profit, NTA, LVR, bond terms) go stale after the next quarterly/half-year/annual result and must be re-verified against the latest filing before reuse. Do not treat this file as current beyond a few months from the valuation date above.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</si>
</sst>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0.00%"/>
    <numFmt numFmtId="166" formatCode="&quot;$&quot;#,##0.0000"/>
    <numFmt numFmtId="167" formatCode="0.0%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D6303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165" fontId="0" fillId="0" borderId="2" xfId="0" applyNumberFormat="1" applyBorder="1"/>
    <xf numFmtId="0" fontId="4" fillId="3" borderId="2" xfId="0" applyFont="1" applyFill="1" applyBorder="1"/>
    <xf numFmtId="164" fontId="0" fillId="0" borderId="2" xfId="0" applyNumberFormat="1" applyBorder="1"/>
    <xf numFmtId="0" fontId="5" fillId="0" borderId="0" xfId="0" applyFont="1"/>
    <xf numFmtId="166" fontId="4" fillId="4" borderId="2" xfId="0" applyNumberFormat="1" applyFont="1" applyFill="1" applyBorder="1"/>
    <xf numFmtId="0" fontId="6" fillId="0" borderId="0" xfId="0" applyFont="1" applyAlignment="1">
      <alignment wrapText="1"/>
    </xf>
    <xf numFmtId="167" fontId="4" fillId="3" borderId="0" xfId="0" applyNumberFormat="1" applyFont="1" applyFill="1"/>
    <xf numFmtId="166" fontId="0" fillId="0" borderId="2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cols>
    <col min="1" max="1" width="32.7109375" customWidth="1"/>
    <col min="2" max="8" width="13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t="s">
        <v>3</v>
      </c>
      <c r="B5" s="4">
        <v>1.05</v>
      </c>
    </row>
    <row r="6" spans="1:3">
      <c r="A6" t="s">
        <v>4</v>
      </c>
      <c r="B6" s="4">
        <v>377.623</v>
      </c>
    </row>
    <row r="7" spans="1:3">
      <c r="A7" t="s">
        <v>5</v>
      </c>
      <c r="B7" s="4">
        <v>30.7</v>
      </c>
    </row>
    <row r="8" spans="1:3">
      <c r="A8" t="s">
        <v>6</v>
      </c>
      <c r="B8" s="4">
        <v>8.130000000000001</v>
      </c>
    </row>
    <row r="9" spans="1:3">
      <c r="A9" t="s">
        <v>7</v>
      </c>
      <c r="B9" s="4">
        <v>0</v>
      </c>
      <c r="C9" s="2" t="s">
        <v>8</v>
      </c>
    </row>
    <row r="10" spans="1:3">
      <c r="A10" t="s">
        <v>9</v>
      </c>
      <c r="B10" s="5">
        <v>0.005</v>
      </c>
    </row>
    <row r="12" spans="1:3">
      <c r="A12" t="s">
        <v>10</v>
      </c>
      <c r="B12" s="5">
        <v>0.105</v>
      </c>
    </row>
    <row r="13" spans="1:3">
      <c r="A13" t="s">
        <v>11</v>
      </c>
      <c r="B13" s="5">
        <v>0.075</v>
      </c>
    </row>
    <row r="15" spans="1:3">
      <c r="A15" s="3" t="s">
        <v>12</v>
      </c>
    </row>
    <row r="16" spans="1:3">
      <c r="A16" t="s">
        <v>13</v>
      </c>
      <c r="B16" s="5">
        <v>0.0435</v>
      </c>
    </row>
    <row r="17" spans="1:6">
      <c r="A17" t="s">
        <v>14</v>
      </c>
      <c r="B17" s="5">
        <v>0.06</v>
      </c>
    </row>
    <row r="18" spans="1:6">
      <c r="A18" t="s">
        <v>15</v>
      </c>
      <c r="B18" s="4">
        <v>0.75</v>
      </c>
    </row>
    <row r="19" spans="1:6">
      <c r="A19" t="s">
        <v>16</v>
      </c>
      <c r="B19" s="6">
        <f>B16+B17*B18</f>
        <v>0</v>
      </c>
    </row>
    <row r="20" spans="1:6">
      <c r="A20" t="s">
        <v>17</v>
      </c>
      <c r="B20" s="5">
        <v>0.006</v>
      </c>
    </row>
    <row r="21" spans="1:6">
      <c r="A21" t="s">
        <v>18</v>
      </c>
      <c r="B21" s="5">
        <v>0.005500000000000001</v>
      </c>
    </row>
    <row r="22" spans="1:6">
      <c r="A22" t="s">
        <v>19</v>
      </c>
      <c r="B22" s="5">
        <v>0.005</v>
      </c>
    </row>
    <row r="23" spans="1:6">
      <c r="A23" t="s">
        <v>20</v>
      </c>
      <c r="B23" s="6">
        <f>B19+B20+B21+B22</f>
        <v>0</v>
      </c>
    </row>
    <row r="25" spans="1:6">
      <c r="A25" s="3" t="s">
        <v>21</v>
      </c>
      <c r="B25" s="7" t="s">
        <v>22</v>
      </c>
      <c r="C25" s="7" t="s">
        <v>23</v>
      </c>
      <c r="D25" s="7" t="s">
        <v>24</v>
      </c>
      <c r="E25" s="7" t="s">
        <v>25</v>
      </c>
      <c r="F25" s="7" t="s">
        <v>26</v>
      </c>
    </row>
    <row r="26" spans="1:6">
      <c r="A26" t="s">
        <v>27</v>
      </c>
      <c r="B26" s="5">
        <v>-0.02</v>
      </c>
      <c r="C26" s="5">
        <v>0.005</v>
      </c>
      <c r="D26" s="5">
        <v>0.015</v>
      </c>
      <c r="E26" s="5">
        <v>0.02</v>
      </c>
      <c r="F26" s="5">
        <v>0.02</v>
      </c>
    </row>
    <row r="28" spans="1:6">
      <c r="A28" s="3" t="s">
        <v>28</v>
      </c>
    </row>
    <row r="29" spans="1:6">
      <c r="A29" s="7"/>
      <c r="B29" s="7" t="s">
        <v>22</v>
      </c>
      <c r="C29" s="7" t="s">
        <v>23</v>
      </c>
      <c r="D29" s="7" t="s">
        <v>24</v>
      </c>
      <c r="E29" s="7" t="s">
        <v>25</v>
      </c>
      <c r="F29" s="7" t="s">
        <v>26</v>
      </c>
    </row>
    <row r="30" spans="1:6">
      <c r="A30" t="s">
        <v>29</v>
      </c>
      <c r="B30" s="8">
        <f>B8*(1+B26)</f>
        <v>0</v>
      </c>
      <c r="C30" s="8">
        <f>B30*(1+C26)</f>
        <v>0</v>
      </c>
      <c r="D30" s="8">
        <f>C30*(1+D26)</f>
        <v>0</v>
      </c>
      <c r="E30" s="8">
        <f>D30*(1+E26)</f>
        <v>0</v>
      </c>
      <c r="F30" s="8">
        <f>E30*(1+F26)</f>
        <v>0</v>
      </c>
    </row>
    <row r="31" spans="1:6">
      <c r="A31" t="s">
        <v>30</v>
      </c>
      <c r="B31" s="8">
        <f>B6*(1+$B$10)</f>
        <v>0</v>
      </c>
      <c r="C31" s="8">
        <f>B31*(1+$B$10)</f>
        <v>0</v>
      </c>
      <c r="D31" s="8">
        <f>C31*(1+$B$10)</f>
        <v>0</v>
      </c>
      <c r="E31" s="8">
        <f>D31*(1+$B$10)</f>
        <v>0</v>
      </c>
      <c r="F31" s="8">
        <f>E31*(1+$B$10)</f>
        <v>0</v>
      </c>
    </row>
    <row r="32" spans="1:6">
      <c r="A32" t="s">
        <v>31</v>
      </c>
      <c r="B32" s="8">
        <f>B30/100*B31</f>
        <v>0</v>
      </c>
      <c r="C32" s="8">
        <f>C30/100*C31</f>
        <v>0</v>
      </c>
      <c r="D32" s="8">
        <f>D30/100*D31</f>
        <v>0</v>
      </c>
      <c r="E32" s="8">
        <f>E30/100*E31</f>
        <v>0</v>
      </c>
      <c r="F32" s="8">
        <f>F30/100*F31</f>
        <v>0</v>
      </c>
    </row>
    <row r="33" spans="1:6">
      <c r="A33" t="s">
        <v>32</v>
      </c>
      <c r="B33" s="8">
        <f>1/(1+$B$12)^1</f>
        <v>0</v>
      </c>
      <c r="C33" s="8">
        <f>1/(1+$B$12)^2</f>
        <v>0</v>
      </c>
      <c r="D33" s="8">
        <f>1/(1+$B$12)^3</f>
        <v>0</v>
      </c>
      <c r="E33" s="8">
        <f>1/(1+$B$12)^4</f>
        <v>0</v>
      </c>
      <c r="F33" s="8">
        <f>1/(1+$B$12)^5</f>
        <v>0</v>
      </c>
    </row>
    <row r="34" spans="1:6">
      <c r="A34" t="s">
        <v>33</v>
      </c>
      <c r="B34" s="8">
        <f>B32*B33</f>
        <v>0</v>
      </c>
      <c r="C34" s="8">
        <f>C32*C33</f>
        <v>0</v>
      </c>
      <c r="D34" s="8">
        <f>D32*D33</f>
        <v>0</v>
      </c>
      <c r="E34" s="8">
        <f>E32*E33</f>
        <v>0</v>
      </c>
      <c r="F34" s="8">
        <f>F32*F33</f>
        <v>0</v>
      </c>
    </row>
    <row r="36" spans="1:6">
      <c r="A36" s="3" t="s">
        <v>34</v>
      </c>
    </row>
    <row r="37" spans="1:6">
      <c r="A37" t="s">
        <v>35</v>
      </c>
      <c r="B37" s="8">
        <f>SUM(B34:F34)</f>
        <v>0</v>
      </c>
    </row>
    <row r="38" spans="1:6">
      <c r="A38" t="s">
        <v>36</v>
      </c>
      <c r="B38" s="8">
        <f>F32*(1+F26)</f>
        <v>0</v>
      </c>
    </row>
    <row r="39" spans="1:6">
      <c r="A39" t="s">
        <v>37</v>
      </c>
      <c r="B39" s="8">
        <f>B38/B13</f>
        <v>0</v>
      </c>
    </row>
    <row r="40" spans="1:6">
      <c r="A40" t="s">
        <v>38</v>
      </c>
      <c r="B40" s="8">
        <f>B39*F33</f>
        <v>0</v>
      </c>
    </row>
    <row r="41" spans="1:6">
      <c r="A41" t="s">
        <v>39</v>
      </c>
      <c r="B41" s="8">
        <f>B37+B40</f>
        <v>0</v>
      </c>
    </row>
    <row r="42" spans="1:6">
      <c r="A42" s="9" t="s">
        <v>40</v>
      </c>
      <c r="B42" s="10">
        <f>B41/F31</f>
        <v>0</v>
      </c>
    </row>
    <row r="44" spans="1:6">
      <c r="A44" t="s">
        <v>41</v>
      </c>
      <c r="B44" s="6">
        <f>(B42-B5)/B5</f>
        <v>0</v>
      </c>
    </row>
    <row r="46" spans="1:6">
      <c r="A46" s="3" t="s">
        <v>42</v>
      </c>
    </row>
    <row r="47" spans="1:6">
      <c r="A47" t="s">
        <v>43</v>
      </c>
      <c r="B47" s="8">
        <f>NPV(0.15,B32:F32)</f>
        <v>0</v>
      </c>
    </row>
    <row r="48" spans="1:6">
      <c r="A48" t="s">
        <v>44</v>
      </c>
      <c r="B48" s="8">
        <f>B39/(1.15^5)</f>
        <v>0</v>
      </c>
    </row>
    <row r="49" spans="1:2">
      <c r="A49" t="s">
        <v>45</v>
      </c>
      <c r="B49" s="8">
        <f>B47+B48</f>
        <v>0</v>
      </c>
    </row>
    <row r="50" spans="1:2">
      <c r="A50" t="s">
        <v>46</v>
      </c>
      <c r="B50" s="10">
        <f>B49/F31</f>
        <v>0</v>
      </c>
    </row>
    <row r="51" spans="1:2">
      <c r="A51" t="s">
        <v>47</v>
      </c>
      <c r="B51" s="6">
        <f>(B5-B50)/B5</f>
        <v>0</v>
      </c>
    </row>
    <row r="53" spans="1:2">
      <c r="A53" s="11" t="s">
        <v>48</v>
      </c>
    </row>
    <row r="54" spans="1:2">
      <c r="A54" s="11" t="s">
        <v>49</v>
      </c>
    </row>
    <row r="55" spans="1:2">
      <c r="A55" s="11" t="s">
        <v>50</v>
      </c>
    </row>
    <row r="56" spans="1:2">
      <c r="A56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1" max="1" width="34.7109375" customWidth="1"/>
    <col min="2" max="8" width="13.7109375" customWidth="1"/>
  </cols>
  <sheetData>
    <row r="1" spans="1:6">
      <c r="A1" s="1" t="s">
        <v>52</v>
      </c>
    </row>
    <row r="2" spans="1:6">
      <c r="A2" s="2" t="s">
        <v>53</v>
      </c>
    </row>
    <row r="4" spans="1:6">
      <c r="A4" s="3" t="s">
        <v>54</v>
      </c>
    </row>
    <row r="5" spans="1:6">
      <c r="A5" t="s">
        <v>55</v>
      </c>
      <c r="B5" s="4">
        <v>1.62</v>
      </c>
    </row>
    <row r="6" spans="1:6">
      <c r="A6" t="s">
        <v>56</v>
      </c>
      <c r="B6" s="5">
        <v>0.02</v>
      </c>
    </row>
    <row r="7" spans="1:6">
      <c r="A7" t="s">
        <v>57</v>
      </c>
      <c r="B7" s="4">
        <v>0.75</v>
      </c>
    </row>
    <row r="8" spans="1:6">
      <c r="A8" t="s">
        <v>58</v>
      </c>
      <c r="B8" s="5">
        <v>0.8</v>
      </c>
    </row>
    <row r="9" spans="1:6">
      <c r="A9" t="s">
        <v>59</v>
      </c>
      <c r="B9" s="6">
        <f>'DP Cap Model'!B12</f>
        <v>0</v>
      </c>
    </row>
    <row r="11" spans="1:6">
      <c r="A11" s="3" t="s">
        <v>28</v>
      </c>
    </row>
    <row r="12" spans="1:6">
      <c r="A12" s="7"/>
      <c r="B12" s="7" t="s">
        <v>22</v>
      </c>
      <c r="C12" s="7" t="s">
        <v>23</v>
      </c>
      <c r="D12" s="7" t="s">
        <v>24</v>
      </c>
      <c r="E12" s="7" t="s">
        <v>25</v>
      </c>
      <c r="F12" s="7" t="s">
        <v>26</v>
      </c>
    </row>
    <row r="13" spans="1:6">
      <c r="A13" t="s">
        <v>60</v>
      </c>
      <c r="B13" s="8">
        <f>B5*(1+B6)</f>
        <v>0</v>
      </c>
      <c r="C13" s="8">
        <f>B13*(1+$B$6)</f>
        <v>0</v>
      </c>
      <c r="D13" s="8">
        <f>C13*(1+$B$6)</f>
        <v>0</v>
      </c>
      <c r="E13" s="8">
        <f>D13*(1+$B$6)</f>
        <v>0</v>
      </c>
      <c r="F13" s="8">
        <f>E13*(1+$B$6)</f>
        <v>0</v>
      </c>
    </row>
    <row r="14" spans="1:6">
      <c r="A14" t="s">
        <v>61</v>
      </c>
      <c r="B14" s="8">
        <f>'DP Cap Model'!B32</f>
        <v>0</v>
      </c>
      <c r="C14" s="8">
        <f>'DP Cap Model'!C32</f>
        <v>0</v>
      </c>
      <c r="D14" s="8">
        <f>'DP Cap Model'!D32</f>
        <v>0</v>
      </c>
      <c r="E14" s="8">
        <f>'DP Cap Model'!E32</f>
        <v>0</v>
      </c>
      <c r="F14" s="8">
        <f>'DP Cap Model'!F32</f>
        <v>0</v>
      </c>
    </row>
    <row r="15" spans="1:6">
      <c r="A15" t="s">
        <v>62</v>
      </c>
      <c r="B15" s="8">
        <f>B14*$B$8</f>
        <v>0</v>
      </c>
      <c r="C15" s="8">
        <f>C14*$B$8</f>
        <v>0</v>
      </c>
      <c r="D15" s="8">
        <f>D14*$B$8</f>
        <v>0</v>
      </c>
      <c r="E15" s="8">
        <f>E14*$B$8</f>
        <v>0</v>
      </c>
      <c r="F15" s="8">
        <f>F14*$B$8</f>
        <v>0</v>
      </c>
    </row>
    <row r="16" spans="1:6">
      <c r="A16" t="s">
        <v>32</v>
      </c>
      <c r="B16" s="8">
        <f>'DP Cap Model'!B33</f>
        <v>0</v>
      </c>
      <c r="C16" s="8">
        <f>'DP Cap Model'!C33</f>
        <v>0</v>
      </c>
      <c r="D16" s="8">
        <f>'DP Cap Model'!D33</f>
        <v>0</v>
      </c>
      <c r="E16" s="8">
        <f>'DP Cap Model'!E33</f>
        <v>0</v>
      </c>
      <c r="F16" s="8">
        <f>'DP Cap Model'!F33</f>
        <v>0</v>
      </c>
    </row>
    <row r="17" spans="1:6">
      <c r="A17" t="s">
        <v>63</v>
      </c>
      <c r="B17" s="8">
        <f>B15*B16</f>
        <v>0</v>
      </c>
      <c r="C17" s="8">
        <f>C15*C16</f>
        <v>0</v>
      </c>
      <c r="D17" s="8">
        <f>D15*D16</f>
        <v>0</v>
      </c>
      <c r="E17" s="8">
        <f>E15*E16</f>
        <v>0</v>
      </c>
      <c r="F17" s="8">
        <f>F15*F16</f>
        <v>0</v>
      </c>
    </row>
    <row r="19" spans="1:6">
      <c r="A19" s="3" t="s">
        <v>64</v>
      </c>
    </row>
    <row r="20" spans="1:6">
      <c r="A20" t="s">
        <v>65</v>
      </c>
      <c r="B20" s="8">
        <f>SUM(B17:F17)</f>
        <v>0</v>
      </c>
    </row>
    <row r="21" spans="1:6">
      <c r="A21" t="s">
        <v>66</v>
      </c>
      <c r="B21" s="8">
        <f>F13*B7</f>
        <v>0</v>
      </c>
    </row>
    <row r="22" spans="1:6">
      <c r="A22" t="s">
        <v>67</v>
      </c>
      <c r="B22" s="8">
        <f>'DP Cap Model'!F31</f>
        <v>0</v>
      </c>
    </row>
    <row r="23" spans="1:6">
      <c r="A23" t="s">
        <v>68</v>
      </c>
      <c r="B23" s="8">
        <f>B21*B22</f>
        <v>0</v>
      </c>
    </row>
    <row r="24" spans="1:6">
      <c r="A24" t="s">
        <v>69</v>
      </c>
      <c r="B24" s="8">
        <f>B23*F16</f>
        <v>0</v>
      </c>
    </row>
    <row r="25" spans="1:6">
      <c r="A25" t="s">
        <v>70</v>
      </c>
      <c r="B25" s="8">
        <f>B20+B24</f>
        <v>0</v>
      </c>
    </row>
    <row r="26" spans="1:6">
      <c r="A26" s="9" t="s">
        <v>71</v>
      </c>
      <c r="B26" s="10">
        <f>B25/B22</f>
        <v>0</v>
      </c>
    </row>
    <row r="28" spans="1:6">
      <c r="A28" s="3" t="s">
        <v>72</v>
      </c>
    </row>
    <row r="29" spans="1:6">
      <c r="A29" t="s">
        <v>73</v>
      </c>
      <c r="B29" s="10">
        <f>0.5*'DP Cap Model'!B42+0.5*B26</f>
        <v>0</v>
      </c>
    </row>
    <row r="30" spans="1:6">
      <c r="A30" t="s">
        <v>74</v>
      </c>
      <c r="B30" s="6">
        <f>(B29-'DP Cap Model'!B5)/'DP Cap Model'!B5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20.7109375" customWidth="1"/>
    <col min="2" max="7" width="12.7109375" customWidth="1"/>
  </cols>
  <sheetData>
    <row r="1" spans="1:6">
      <c r="A1" s="1" t="s">
        <v>75</v>
      </c>
    </row>
    <row r="2" spans="1:6">
      <c r="A2" t="s">
        <v>76</v>
      </c>
    </row>
    <row r="4" spans="1:6">
      <c r="A4" s="7" t="s">
        <v>77</v>
      </c>
      <c r="B4" s="12">
        <v>0.055</v>
      </c>
      <c r="C4" s="12">
        <v>0.065</v>
      </c>
      <c r="D4" s="12">
        <v>0.075</v>
      </c>
      <c r="E4" s="12">
        <v>0.08500000000000001</v>
      </c>
      <c r="F4" s="12">
        <v>0.095</v>
      </c>
    </row>
    <row r="5" spans="1:6">
      <c r="A5" s="12">
        <v>0.08500000000000001</v>
      </c>
      <c r="B5" s="13">
        <f>(('DP Cap Model'!$B$8/100*(1+'DP Cap Model'!$B$26)*(1+'DP Cap Model'!$C$26)*(1+'DP Cap Model'!$D$26)*(1+'DP Cap Model'!$E$26)*(1+'DP Cap Model'!$F$26)*'DP Cap Model'!$F$31)*(1-(1+0.085)^-5)/0.085+('DP Cap Model'!$B$8/100*(1+'DP Cap Model'!$B$26)*(1+'DP Cap Model'!$C$26)*(1+'DP Cap Model'!$D$26)*(1+'DP Cap Model'!$E$26)*(1+'DP Cap Model'!$F$26)*'DP Cap Model'!$F$31*(1+'DP Cap Model'!$F$26)/0.055)/(1+0.085)^5)/'DP Cap Model'!$F$31</f>
        <v>0</v>
      </c>
      <c r="C5" s="13">
        <f>(('DP Cap Model'!$B$8/100*(1+'DP Cap Model'!$B$26)*(1+'DP Cap Model'!$C$26)*(1+'DP Cap Model'!$D$26)*(1+'DP Cap Model'!$E$26)*(1+'DP Cap Model'!$F$26)*'DP Cap Model'!$F$31)*(1-(1+0.085)^-5)/0.085+('DP Cap Model'!$B$8/100*(1+'DP Cap Model'!$B$26)*(1+'DP Cap Model'!$C$26)*(1+'DP Cap Model'!$D$26)*(1+'DP Cap Model'!$E$26)*(1+'DP Cap Model'!$F$26)*'DP Cap Model'!$F$31*(1+'DP Cap Model'!$F$26)/0.065)/(1+0.085)^5)/'DP Cap Model'!$F$31</f>
        <v>0</v>
      </c>
      <c r="D5" s="13">
        <f>(('DP Cap Model'!$B$8/100*(1+'DP Cap Model'!$B$26)*(1+'DP Cap Model'!$C$26)*(1+'DP Cap Model'!$D$26)*(1+'DP Cap Model'!$E$26)*(1+'DP Cap Model'!$F$26)*'DP Cap Model'!$F$31)*(1-(1+0.085)^-5)/0.085+('DP Cap Model'!$B$8/100*(1+'DP Cap Model'!$B$26)*(1+'DP Cap Model'!$C$26)*(1+'DP Cap Model'!$D$26)*(1+'DP Cap Model'!$E$26)*(1+'DP Cap Model'!$F$26)*'DP Cap Model'!$F$31*(1+'DP Cap Model'!$F$26)/0.075)/(1+0.085)^5)/'DP Cap Model'!$F$31</f>
        <v>0</v>
      </c>
      <c r="E5" s="13">
        <f>(('DP Cap Model'!$B$8/100*(1+'DP Cap Model'!$B$26)*(1+'DP Cap Model'!$C$26)*(1+'DP Cap Model'!$D$26)*(1+'DP Cap Model'!$E$26)*(1+'DP Cap Model'!$F$26)*'DP Cap Model'!$F$31)*(1-(1+0.085)^-5)/0.085+('DP Cap Model'!$B$8/100*(1+'DP Cap Model'!$B$26)*(1+'DP Cap Model'!$C$26)*(1+'DP Cap Model'!$D$26)*(1+'DP Cap Model'!$E$26)*(1+'DP Cap Model'!$F$26)*'DP Cap Model'!$F$31*(1+'DP Cap Model'!$F$26)/0.085)/(1+0.085)^5)/'DP Cap Model'!$F$31</f>
        <v>0</v>
      </c>
      <c r="F5" s="13">
        <f>(('DP Cap Model'!$B$8/100*(1+'DP Cap Model'!$B$26)*(1+'DP Cap Model'!$C$26)*(1+'DP Cap Model'!$D$26)*(1+'DP Cap Model'!$E$26)*(1+'DP Cap Model'!$F$26)*'DP Cap Model'!$F$31)*(1-(1+0.085)^-5)/0.085+('DP Cap Model'!$B$8/100*(1+'DP Cap Model'!$B$26)*(1+'DP Cap Model'!$C$26)*(1+'DP Cap Model'!$D$26)*(1+'DP Cap Model'!$E$26)*(1+'DP Cap Model'!$F$26)*'DP Cap Model'!$F$31*(1+'DP Cap Model'!$F$26)/0.095)/(1+0.085)^5)/'DP Cap Model'!$F$31</f>
        <v>0</v>
      </c>
    </row>
    <row r="6" spans="1:6">
      <c r="A6" s="12">
        <v>0.095</v>
      </c>
      <c r="B6" s="13">
        <f>(('DP Cap Model'!$B$8/100*(1+'DP Cap Model'!$B$26)*(1+'DP Cap Model'!$C$26)*(1+'DP Cap Model'!$D$26)*(1+'DP Cap Model'!$E$26)*(1+'DP Cap Model'!$F$26)*'DP Cap Model'!$F$31)*(1-(1+0.095)^-5)/0.095+('DP Cap Model'!$B$8/100*(1+'DP Cap Model'!$B$26)*(1+'DP Cap Model'!$C$26)*(1+'DP Cap Model'!$D$26)*(1+'DP Cap Model'!$E$26)*(1+'DP Cap Model'!$F$26)*'DP Cap Model'!$F$31*(1+'DP Cap Model'!$F$26)/0.055)/(1+0.095)^5)/'DP Cap Model'!$F$31</f>
        <v>0</v>
      </c>
      <c r="C6" s="13">
        <f>(('DP Cap Model'!$B$8/100*(1+'DP Cap Model'!$B$26)*(1+'DP Cap Model'!$C$26)*(1+'DP Cap Model'!$D$26)*(1+'DP Cap Model'!$E$26)*(1+'DP Cap Model'!$F$26)*'DP Cap Model'!$F$31)*(1-(1+0.095)^-5)/0.095+('DP Cap Model'!$B$8/100*(1+'DP Cap Model'!$B$26)*(1+'DP Cap Model'!$C$26)*(1+'DP Cap Model'!$D$26)*(1+'DP Cap Model'!$E$26)*(1+'DP Cap Model'!$F$26)*'DP Cap Model'!$F$31*(1+'DP Cap Model'!$F$26)/0.065)/(1+0.095)^5)/'DP Cap Model'!$F$31</f>
        <v>0</v>
      </c>
      <c r="D6" s="13">
        <f>(('DP Cap Model'!$B$8/100*(1+'DP Cap Model'!$B$26)*(1+'DP Cap Model'!$C$26)*(1+'DP Cap Model'!$D$26)*(1+'DP Cap Model'!$E$26)*(1+'DP Cap Model'!$F$26)*'DP Cap Model'!$F$31)*(1-(1+0.095)^-5)/0.095+('DP Cap Model'!$B$8/100*(1+'DP Cap Model'!$B$26)*(1+'DP Cap Model'!$C$26)*(1+'DP Cap Model'!$D$26)*(1+'DP Cap Model'!$E$26)*(1+'DP Cap Model'!$F$26)*'DP Cap Model'!$F$31*(1+'DP Cap Model'!$F$26)/0.075)/(1+0.095)^5)/'DP Cap Model'!$F$31</f>
        <v>0</v>
      </c>
      <c r="E6" s="13">
        <f>(('DP Cap Model'!$B$8/100*(1+'DP Cap Model'!$B$26)*(1+'DP Cap Model'!$C$26)*(1+'DP Cap Model'!$D$26)*(1+'DP Cap Model'!$E$26)*(1+'DP Cap Model'!$F$26)*'DP Cap Model'!$F$31)*(1-(1+0.095)^-5)/0.095+('DP Cap Model'!$B$8/100*(1+'DP Cap Model'!$B$26)*(1+'DP Cap Model'!$C$26)*(1+'DP Cap Model'!$D$26)*(1+'DP Cap Model'!$E$26)*(1+'DP Cap Model'!$F$26)*'DP Cap Model'!$F$31*(1+'DP Cap Model'!$F$26)/0.085)/(1+0.095)^5)/'DP Cap Model'!$F$31</f>
        <v>0</v>
      </c>
      <c r="F6" s="13">
        <f>(('DP Cap Model'!$B$8/100*(1+'DP Cap Model'!$B$26)*(1+'DP Cap Model'!$C$26)*(1+'DP Cap Model'!$D$26)*(1+'DP Cap Model'!$E$26)*(1+'DP Cap Model'!$F$26)*'DP Cap Model'!$F$31)*(1-(1+0.095)^-5)/0.095+('DP Cap Model'!$B$8/100*(1+'DP Cap Model'!$B$26)*(1+'DP Cap Model'!$C$26)*(1+'DP Cap Model'!$D$26)*(1+'DP Cap Model'!$E$26)*(1+'DP Cap Model'!$F$26)*'DP Cap Model'!$F$31*(1+'DP Cap Model'!$F$26)/0.095)/(1+0.095)^5)/'DP Cap Model'!$F$31</f>
        <v>0</v>
      </c>
    </row>
    <row r="7" spans="1:6">
      <c r="A7" s="12">
        <v>0.105</v>
      </c>
      <c r="B7" s="13">
        <f>(('DP Cap Model'!$B$8/100*(1+'DP Cap Model'!$B$26)*(1+'DP Cap Model'!$C$26)*(1+'DP Cap Model'!$D$26)*(1+'DP Cap Model'!$E$26)*(1+'DP Cap Model'!$F$26)*'DP Cap Model'!$F$31)*(1-(1+0.105)^-5)/0.105+('DP Cap Model'!$B$8/100*(1+'DP Cap Model'!$B$26)*(1+'DP Cap Model'!$C$26)*(1+'DP Cap Model'!$D$26)*(1+'DP Cap Model'!$E$26)*(1+'DP Cap Model'!$F$26)*'DP Cap Model'!$F$31*(1+'DP Cap Model'!$F$26)/0.055)/(1+0.105)^5)/'DP Cap Model'!$F$31</f>
        <v>0</v>
      </c>
      <c r="C7" s="13">
        <f>(('DP Cap Model'!$B$8/100*(1+'DP Cap Model'!$B$26)*(1+'DP Cap Model'!$C$26)*(1+'DP Cap Model'!$D$26)*(1+'DP Cap Model'!$E$26)*(1+'DP Cap Model'!$F$26)*'DP Cap Model'!$F$31)*(1-(1+0.105)^-5)/0.105+('DP Cap Model'!$B$8/100*(1+'DP Cap Model'!$B$26)*(1+'DP Cap Model'!$C$26)*(1+'DP Cap Model'!$D$26)*(1+'DP Cap Model'!$E$26)*(1+'DP Cap Model'!$F$26)*'DP Cap Model'!$F$31*(1+'DP Cap Model'!$F$26)/0.065)/(1+0.105)^5)/'DP Cap Model'!$F$31</f>
        <v>0</v>
      </c>
      <c r="D7" s="13">
        <f>(('DP Cap Model'!$B$8/100*(1+'DP Cap Model'!$B$26)*(1+'DP Cap Model'!$C$26)*(1+'DP Cap Model'!$D$26)*(1+'DP Cap Model'!$E$26)*(1+'DP Cap Model'!$F$26)*'DP Cap Model'!$F$31)*(1-(1+0.105)^-5)/0.105+('DP Cap Model'!$B$8/100*(1+'DP Cap Model'!$B$26)*(1+'DP Cap Model'!$C$26)*(1+'DP Cap Model'!$D$26)*(1+'DP Cap Model'!$E$26)*(1+'DP Cap Model'!$F$26)*'DP Cap Model'!$F$31*(1+'DP Cap Model'!$F$26)/0.075)/(1+0.105)^5)/'DP Cap Model'!$F$31</f>
        <v>0</v>
      </c>
      <c r="E7" s="13">
        <f>(('DP Cap Model'!$B$8/100*(1+'DP Cap Model'!$B$26)*(1+'DP Cap Model'!$C$26)*(1+'DP Cap Model'!$D$26)*(1+'DP Cap Model'!$E$26)*(1+'DP Cap Model'!$F$26)*'DP Cap Model'!$F$31)*(1-(1+0.105)^-5)/0.105+('DP Cap Model'!$B$8/100*(1+'DP Cap Model'!$B$26)*(1+'DP Cap Model'!$C$26)*(1+'DP Cap Model'!$D$26)*(1+'DP Cap Model'!$E$26)*(1+'DP Cap Model'!$F$26)*'DP Cap Model'!$F$31*(1+'DP Cap Model'!$F$26)/0.085)/(1+0.105)^5)/'DP Cap Model'!$F$31</f>
        <v>0</v>
      </c>
      <c r="F7" s="13">
        <f>(('DP Cap Model'!$B$8/100*(1+'DP Cap Model'!$B$26)*(1+'DP Cap Model'!$C$26)*(1+'DP Cap Model'!$D$26)*(1+'DP Cap Model'!$E$26)*(1+'DP Cap Model'!$F$26)*'DP Cap Model'!$F$31)*(1-(1+0.105)^-5)/0.105+('DP Cap Model'!$B$8/100*(1+'DP Cap Model'!$B$26)*(1+'DP Cap Model'!$C$26)*(1+'DP Cap Model'!$D$26)*(1+'DP Cap Model'!$E$26)*(1+'DP Cap Model'!$F$26)*'DP Cap Model'!$F$31*(1+'DP Cap Model'!$F$26)/0.095)/(1+0.105)^5)/'DP Cap Model'!$F$31</f>
        <v>0</v>
      </c>
    </row>
    <row r="8" spans="1:6">
      <c r="A8" s="12">
        <v>0.115</v>
      </c>
      <c r="B8" s="13">
        <f>(('DP Cap Model'!$B$8/100*(1+'DP Cap Model'!$B$26)*(1+'DP Cap Model'!$C$26)*(1+'DP Cap Model'!$D$26)*(1+'DP Cap Model'!$E$26)*(1+'DP Cap Model'!$F$26)*'DP Cap Model'!$F$31)*(1-(1+0.115)^-5)/0.115+('DP Cap Model'!$B$8/100*(1+'DP Cap Model'!$B$26)*(1+'DP Cap Model'!$C$26)*(1+'DP Cap Model'!$D$26)*(1+'DP Cap Model'!$E$26)*(1+'DP Cap Model'!$F$26)*'DP Cap Model'!$F$31*(1+'DP Cap Model'!$F$26)/0.055)/(1+0.115)^5)/'DP Cap Model'!$F$31</f>
        <v>0</v>
      </c>
      <c r="C8" s="13">
        <f>(('DP Cap Model'!$B$8/100*(1+'DP Cap Model'!$B$26)*(1+'DP Cap Model'!$C$26)*(1+'DP Cap Model'!$D$26)*(1+'DP Cap Model'!$E$26)*(1+'DP Cap Model'!$F$26)*'DP Cap Model'!$F$31)*(1-(1+0.115)^-5)/0.115+('DP Cap Model'!$B$8/100*(1+'DP Cap Model'!$B$26)*(1+'DP Cap Model'!$C$26)*(1+'DP Cap Model'!$D$26)*(1+'DP Cap Model'!$E$26)*(1+'DP Cap Model'!$F$26)*'DP Cap Model'!$F$31*(1+'DP Cap Model'!$F$26)/0.065)/(1+0.115)^5)/'DP Cap Model'!$F$31</f>
        <v>0</v>
      </c>
      <c r="D8" s="13">
        <f>(('DP Cap Model'!$B$8/100*(1+'DP Cap Model'!$B$26)*(1+'DP Cap Model'!$C$26)*(1+'DP Cap Model'!$D$26)*(1+'DP Cap Model'!$E$26)*(1+'DP Cap Model'!$F$26)*'DP Cap Model'!$F$31)*(1-(1+0.115)^-5)/0.115+('DP Cap Model'!$B$8/100*(1+'DP Cap Model'!$B$26)*(1+'DP Cap Model'!$C$26)*(1+'DP Cap Model'!$D$26)*(1+'DP Cap Model'!$E$26)*(1+'DP Cap Model'!$F$26)*'DP Cap Model'!$F$31*(1+'DP Cap Model'!$F$26)/0.075)/(1+0.115)^5)/'DP Cap Model'!$F$31</f>
        <v>0</v>
      </c>
      <c r="E8" s="13">
        <f>(('DP Cap Model'!$B$8/100*(1+'DP Cap Model'!$B$26)*(1+'DP Cap Model'!$C$26)*(1+'DP Cap Model'!$D$26)*(1+'DP Cap Model'!$E$26)*(1+'DP Cap Model'!$F$26)*'DP Cap Model'!$F$31)*(1-(1+0.115)^-5)/0.115+('DP Cap Model'!$B$8/100*(1+'DP Cap Model'!$B$26)*(1+'DP Cap Model'!$C$26)*(1+'DP Cap Model'!$D$26)*(1+'DP Cap Model'!$E$26)*(1+'DP Cap Model'!$F$26)*'DP Cap Model'!$F$31*(1+'DP Cap Model'!$F$26)/0.085)/(1+0.115)^5)/'DP Cap Model'!$F$31</f>
        <v>0</v>
      </c>
      <c r="F8" s="13">
        <f>(('DP Cap Model'!$B$8/100*(1+'DP Cap Model'!$B$26)*(1+'DP Cap Model'!$C$26)*(1+'DP Cap Model'!$D$26)*(1+'DP Cap Model'!$E$26)*(1+'DP Cap Model'!$F$26)*'DP Cap Model'!$F$31)*(1-(1+0.115)^-5)/0.115+('DP Cap Model'!$B$8/100*(1+'DP Cap Model'!$B$26)*(1+'DP Cap Model'!$C$26)*(1+'DP Cap Model'!$D$26)*(1+'DP Cap Model'!$E$26)*(1+'DP Cap Model'!$F$26)*'DP Cap Model'!$F$31*(1+'DP Cap Model'!$F$26)/0.095)/(1+0.115)^5)/'DP Cap Model'!$F$31</f>
        <v>0</v>
      </c>
    </row>
    <row r="9" spans="1:6">
      <c r="A9" s="12">
        <v>0.125</v>
      </c>
      <c r="B9" s="13">
        <f>(('DP Cap Model'!$B$8/100*(1+'DP Cap Model'!$B$26)*(1+'DP Cap Model'!$C$26)*(1+'DP Cap Model'!$D$26)*(1+'DP Cap Model'!$E$26)*(1+'DP Cap Model'!$F$26)*'DP Cap Model'!$F$31)*(1-(1+0.125)^-5)/0.125+('DP Cap Model'!$B$8/100*(1+'DP Cap Model'!$B$26)*(1+'DP Cap Model'!$C$26)*(1+'DP Cap Model'!$D$26)*(1+'DP Cap Model'!$E$26)*(1+'DP Cap Model'!$F$26)*'DP Cap Model'!$F$31*(1+'DP Cap Model'!$F$26)/0.055)/(1+0.125)^5)/'DP Cap Model'!$F$31</f>
        <v>0</v>
      </c>
      <c r="C9" s="13">
        <f>(('DP Cap Model'!$B$8/100*(1+'DP Cap Model'!$B$26)*(1+'DP Cap Model'!$C$26)*(1+'DP Cap Model'!$D$26)*(1+'DP Cap Model'!$E$26)*(1+'DP Cap Model'!$F$26)*'DP Cap Model'!$F$31)*(1-(1+0.125)^-5)/0.125+('DP Cap Model'!$B$8/100*(1+'DP Cap Model'!$B$26)*(1+'DP Cap Model'!$C$26)*(1+'DP Cap Model'!$D$26)*(1+'DP Cap Model'!$E$26)*(1+'DP Cap Model'!$F$26)*'DP Cap Model'!$F$31*(1+'DP Cap Model'!$F$26)/0.065)/(1+0.125)^5)/'DP Cap Model'!$F$31</f>
        <v>0</v>
      </c>
      <c r="D9" s="13">
        <f>(('DP Cap Model'!$B$8/100*(1+'DP Cap Model'!$B$26)*(1+'DP Cap Model'!$C$26)*(1+'DP Cap Model'!$D$26)*(1+'DP Cap Model'!$E$26)*(1+'DP Cap Model'!$F$26)*'DP Cap Model'!$F$31)*(1-(1+0.125)^-5)/0.125+('DP Cap Model'!$B$8/100*(1+'DP Cap Model'!$B$26)*(1+'DP Cap Model'!$C$26)*(1+'DP Cap Model'!$D$26)*(1+'DP Cap Model'!$E$26)*(1+'DP Cap Model'!$F$26)*'DP Cap Model'!$F$31*(1+'DP Cap Model'!$F$26)/0.075)/(1+0.125)^5)/'DP Cap Model'!$F$31</f>
        <v>0</v>
      </c>
      <c r="E9" s="13">
        <f>(('DP Cap Model'!$B$8/100*(1+'DP Cap Model'!$B$26)*(1+'DP Cap Model'!$C$26)*(1+'DP Cap Model'!$D$26)*(1+'DP Cap Model'!$E$26)*(1+'DP Cap Model'!$F$26)*'DP Cap Model'!$F$31)*(1-(1+0.125)^-5)/0.125+('DP Cap Model'!$B$8/100*(1+'DP Cap Model'!$B$26)*(1+'DP Cap Model'!$C$26)*(1+'DP Cap Model'!$D$26)*(1+'DP Cap Model'!$E$26)*(1+'DP Cap Model'!$F$26)*'DP Cap Model'!$F$31*(1+'DP Cap Model'!$F$26)/0.085)/(1+0.125)^5)/'DP Cap Model'!$F$31</f>
        <v>0</v>
      </c>
      <c r="F9" s="13">
        <f>(('DP Cap Model'!$B$8/100*(1+'DP Cap Model'!$B$26)*(1+'DP Cap Model'!$C$26)*(1+'DP Cap Model'!$D$26)*(1+'DP Cap Model'!$E$26)*(1+'DP Cap Model'!$F$26)*'DP Cap Model'!$F$31)*(1-(1+0.125)^-5)/0.125+('DP Cap Model'!$B$8/100*(1+'DP Cap Model'!$B$26)*(1+'DP Cap Model'!$C$26)*(1+'DP Cap Model'!$D$26)*(1+'DP Cap Model'!$E$26)*(1+'DP Cap Model'!$F$26)*'DP Cap Model'!$F$31*(1+'DP Cap Model'!$F$26)/0.095)/(1+0.125)^5)/'DP Cap Model'!$F$31</f>
        <v>0</v>
      </c>
    </row>
    <row r="11" spans="1:6">
      <c r="A11" s="2" t="s">
        <v>78</v>
      </c>
    </row>
    <row r="12" spans="1:6">
      <c r="A12" s="2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1" width="22.7109375" customWidth="1"/>
    <col min="2" max="11" width="11.7109375" customWidth="1"/>
  </cols>
  <sheetData>
    <row r="1" spans="1:11">
      <c r="A1" s="1" t="s">
        <v>80</v>
      </c>
    </row>
    <row r="3" spans="1:11">
      <c r="A3" s="7" t="s">
        <v>81</v>
      </c>
      <c r="B3" s="7" t="s">
        <v>82</v>
      </c>
      <c r="C3" s="7" t="s">
        <v>83</v>
      </c>
      <c r="D3" s="7" t="s">
        <v>84</v>
      </c>
      <c r="E3" s="7" t="s">
        <v>85</v>
      </c>
      <c r="F3" s="7" t="s">
        <v>86</v>
      </c>
      <c r="G3" s="7" t="s">
        <v>87</v>
      </c>
      <c r="H3" s="7" t="s">
        <v>88</v>
      </c>
      <c r="I3" s="7" t="s">
        <v>89</v>
      </c>
      <c r="J3" s="7" t="s">
        <v>90</v>
      </c>
      <c r="K3" s="7" t="s">
        <v>91</v>
      </c>
    </row>
    <row r="4" spans="1:11">
      <c r="A4" t="s">
        <v>92</v>
      </c>
      <c r="B4" s="8">
        <v>17.6</v>
      </c>
      <c r="C4" s="8">
        <v>20.5</v>
      </c>
      <c r="D4" s="8">
        <v>20.9</v>
      </c>
      <c r="E4" s="8">
        <v>21.1</v>
      </c>
      <c r="F4" s="8">
        <v>29.1</v>
      </c>
      <c r="G4" s="8">
        <v>29.9</v>
      </c>
      <c r="H4" s="8">
        <v>31</v>
      </c>
      <c r="I4" s="8">
        <v>31</v>
      </c>
      <c r="J4" s="8">
        <v>28.4</v>
      </c>
      <c r="K4" s="8">
        <v>30.7</v>
      </c>
    </row>
    <row r="5" spans="1:11">
      <c r="A5" t="s">
        <v>29</v>
      </c>
      <c r="B5" s="8">
        <v>9.35</v>
      </c>
      <c r="C5" s="8">
        <v>7.85</v>
      </c>
      <c r="D5" s="8">
        <v>8.01</v>
      </c>
      <c r="E5" s="8">
        <v>7.66</v>
      </c>
      <c r="F5" s="8">
        <v>8.050000000000001</v>
      </c>
      <c r="G5" s="8">
        <v>8.109999999999999</v>
      </c>
      <c r="H5" s="8">
        <v>8.44</v>
      </c>
      <c r="I5" s="8">
        <v>8.390000000000001</v>
      </c>
      <c r="J5" s="8">
        <v>7.58</v>
      </c>
      <c r="K5" s="8">
        <v>8.130000000000001</v>
      </c>
    </row>
    <row r="6" spans="1:11">
      <c r="A6" t="s">
        <v>93</v>
      </c>
      <c r="B6" s="8">
        <v>1.55</v>
      </c>
      <c r="C6" s="8">
        <v>1.64</v>
      </c>
      <c r="D6" s="8">
        <v>1.7</v>
      </c>
      <c r="E6" s="8">
        <v>1.73</v>
      </c>
      <c r="F6" s="8">
        <v>2.08</v>
      </c>
      <c r="G6" s="8">
        <v>2.32</v>
      </c>
      <c r="H6" s="8">
        <v>1.84</v>
      </c>
      <c r="I6" s="8">
        <v>1.57</v>
      </c>
      <c r="J6" s="8">
        <v>1.6</v>
      </c>
      <c r="K6" s="8">
        <v>1.62</v>
      </c>
    </row>
    <row r="7" spans="1:11">
      <c r="A7" t="s">
        <v>94</v>
      </c>
      <c r="B7" s="8">
        <v>1.33</v>
      </c>
      <c r="C7" s="8">
        <v>1.4</v>
      </c>
      <c r="D7" s="8">
        <v>1.61</v>
      </c>
      <c r="E7" s="8">
        <v>1.65</v>
      </c>
      <c r="F7" s="8">
        <v>2.06</v>
      </c>
      <c r="G7" s="8">
        <v>1.72</v>
      </c>
      <c r="H7" s="8">
        <v>1.41</v>
      </c>
      <c r="I7" s="8">
        <v>1.16</v>
      </c>
      <c r="J7" s="8">
        <v>1.05</v>
      </c>
      <c r="K7" s="8">
        <v>1.045</v>
      </c>
    </row>
    <row r="8" spans="1:11">
      <c r="A8" t="s">
        <v>95</v>
      </c>
      <c r="B8" s="8">
        <f>B7/B6</f>
        <v>0</v>
      </c>
      <c r="C8" s="8">
        <f>C7/C6</f>
        <v>0</v>
      </c>
      <c r="D8" s="8">
        <f>D7/D6</f>
        <v>0</v>
      </c>
      <c r="E8" s="8">
        <f>E7/E6</f>
        <v>0</v>
      </c>
      <c r="F8" s="8">
        <f>F7/F6</f>
        <v>0</v>
      </c>
      <c r="G8" s="8">
        <f>G7/G6</f>
        <v>0</v>
      </c>
      <c r="H8" s="8">
        <f>H7/H6</f>
        <v>0</v>
      </c>
      <c r="I8" s="8">
        <f>I7/I6</f>
        <v>0</v>
      </c>
      <c r="J8" s="8">
        <f>J7/J6</f>
        <v>0</v>
      </c>
      <c r="K8" s="8">
        <f>K7/K6</f>
        <v>0</v>
      </c>
    </row>
    <row r="9" spans="1:11">
      <c r="A9" t="s">
        <v>96</v>
      </c>
      <c r="B9" s="8">
        <f>B7/(B5/100)</f>
        <v>0</v>
      </c>
      <c r="C9" s="8">
        <f>C7/(C5/100)</f>
        <v>0</v>
      </c>
      <c r="D9" s="8">
        <f>D7/(D5/100)</f>
        <v>0</v>
      </c>
      <c r="E9" s="8">
        <f>E7/(E5/100)</f>
        <v>0</v>
      </c>
      <c r="F9" s="8">
        <f>F7/(F5/100)</f>
        <v>0</v>
      </c>
      <c r="G9" s="8">
        <f>G7/(G5/100)</f>
        <v>0</v>
      </c>
      <c r="H9" s="8">
        <f>H7/(H5/100)</f>
        <v>0</v>
      </c>
      <c r="I9" s="8">
        <f>I7/(I5/100)</f>
        <v>0</v>
      </c>
      <c r="J9" s="8">
        <f>J7/(J5/100)</f>
        <v>0</v>
      </c>
      <c r="K9" s="8">
        <f>K7/(K5/100)</f>
        <v>0</v>
      </c>
    </row>
    <row r="11" spans="1:11">
      <c r="A11" s="9" t="s">
        <v>97</v>
      </c>
      <c r="B11" s="6">
        <v>0.002</v>
      </c>
    </row>
    <row r="12" spans="1:11">
      <c r="A12" s="9" t="s">
        <v>98</v>
      </c>
      <c r="B12" s="6">
        <v>-0.0124</v>
      </c>
    </row>
    <row r="13" spans="1:11">
      <c r="A13" s="9" t="s">
        <v>99</v>
      </c>
      <c r="B13" s="6">
        <v>-0.0154</v>
      </c>
    </row>
    <row r="14" spans="1:11">
      <c r="A14" s="9" t="s">
        <v>100</v>
      </c>
      <c r="B14" s="6">
        <v>-0.0488</v>
      </c>
    </row>
    <row r="15" spans="1:11">
      <c r="A15" s="9" t="s">
        <v>101</v>
      </c>
      <c r="B15" s="6">
        <v>0.0049</v>
      </c>
    </row>
    <row r="16" spans="1:11">
      <c r="A16" s="9" t="s">
        <v>102</v>
      </c>
      <c r="B16" t="s">
        <v>103</v>
      </c>
    </row>
    <row r="18" spans="1:1">
      <c r="A18" s="2" t="s">
        <v>104</v>
      </c>
    </row>
    <row r="19" spans="1:1">
      <c r="A19" s="2" t="s">
        <v>105</v>
      </c>
    </row>
    <row r="20" spans="1:1">
      <c r="A20" s="2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107</v>
      </c>
    </row>
    <row r="4" spans="1:2" ht="30" customHeight="1">
      <c r="A4" s="9" t="s">
        <v>108</v>
      </c>
      <c r="B4" s="14" t="s">
        <v>109</v>
      </c>
    </row>
    <row r="5" spans="1:2" ht="30" customHeight="1">
      <c r="A5" s="9" t="s">
        <v>110</v>
      </c>
      <c r="B5" s="14" t="s">
        <v>111</v>
      </c>
    </row>
    <row r="6" spans="1:2" ht="30" customHeight="1">
      <c r="A6" s="9" t="s">
        <v>112</v>
      </c>
      <c r="B6" s="14" t="s">
        <v>113</v>
      </c>
    </row>
    <row r="7" spans="1:2" ht="30" customHeight="1">
      <c r="A7" s="9" t="s">
        <v>114</v>
      </c>
      <c r="B7" s="14" t="s">
        <v>115</v>
      </c>
    </row>
    <row r="8" spans="1:2" ht="30" customHeight="1">
      <c r="A8" s="9" t="s">
        <v>116</v>
      </c>
      <c r="B8" s="14" t="s">
        <v>117</v>
      </c>
    </row>
    <row r="9" spans="1:2" ht="30" customHeight="1">
      <c r="A9" s="9" t="s">
        <v>118</v>
      </c>
      <c r="B9" s="14" t="s">
        <v>119</v>
      </c>
    </row>
    <row r="10" spans="1:2" ht="30" customHeight="1">
      <c r="A10" s="9" t="s">
        <v>120</v>
      </c>
      <c r="B10" s="14" t="s">
        <v>121</v>
      </c>
    </row>
    <row r="11" spans="1:2" ht="30" customHeight="1">
      <c r="A11" s="9" t="s">
        <v>122</v>
      </c>
      <c r="B11" s="14" t="s">
        <v>123</v>
      </c>
    </row>
    <row r="12" spans="1:2" ht="30" customHeight="1">
      <c r="A12" s="9" t="s">
        <v>124</v>
      </c>
      <c r="B12" s="14" t="s">
        <v>125</v>
      </c>
    </row>
    <row r="13" spans="1:2" ht="30" customHeight="1">
      <c r="A13" s="9" t="s">
        <v>126</v>
      </c>
      <c r="B13" s="14" t="s">
        <v>127</v>
      </c>
    </row>
    <row r="14" spans="1:2" ht="30" customHeight="1">
      <c r="A14" s="9" t="s">
        <v>128</v>
      </c>
      <c r="B14" s="14" t="s">
        <v>129</v>
      </c>
    </row>
    <row r="15" spans="1:2" ht="30" customHeight="1">
      <c r="A15" s="9" t="s">
        <v>130</v>
      </c>
      <c r="B15" s="14" t="s">
        <v>131</v>
      </c>
    </row>
    <row r="16" spans="1:2" ht="30" customHeight="1">
      <c r="A16" s="9" t="s">
        <v>132</v>
      </c>
      <c r="B16" s="1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DP Cap Model</vt:lpstr>
      <vt:lpstr>NTA Cross-Check</vt:lpstr>
      <vt:lpstr>Sensitivity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2026-08-12T07:24:02Z</dcterms:created>
  <dcterms:modified xsi:type="dcterms:W3CDTF">2026-08-12T07:24:02Z</dcterms:modified>
</cp:coreProperties>
</file>