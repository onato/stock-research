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<sst xmlns="http://schemas.openxmlformats.org/spreadsheetml/2006/main" count="349" uniqueCount="163">
  <si>
    <t xml:space="preserve">Ticker</t>
  </si>
  <si>
    <t xml:space="preserve">ACO-X.TO</t>
  </si>
  <si>
    <t xml:space="preserve">Company</t>
  </si>
  <si>
    <t xml:space="preserve">ATCO Ltd. (Class I non-voting)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</si>
  <si>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</si>
  <si>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</si>
  <si>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</si>
  <si>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</si>
  <si>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2026-10-09T20:00:00Z regular TSX close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</si>
  <si>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</si>
  <si>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</si>
  <si>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</si>
  <si>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</si>
  <si>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</si>
  <si>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CAD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</si>
  <si>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</si>
  <si>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</si>
  <si>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</si>
  <si>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</si>
  <si>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</si>
  <si>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</si>
  <si>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2026-10-10T07:48:25Z</t>
  </si>
  <si>
    <t xml:space="preserve">Drivers file</t>
  </si>
  <si>
    <t xml:space="preserve">ACO-X.TO_Drivers.json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</si>
  <si>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</si>
  <si>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</si>
  <si>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</si>
  <si>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ATCO is a leveraged, consolidated claim on a regulated-utility rate base: consolidated EV ~CAD 29.5B at the market price (12.4x TTM EBITDA) against CAD 12.2B net debt, CAD 1.7B preferreds and a CAD 6.4B CU minority, leaving ATCO's equity a ~30% residual slice. That is why the valuation is a knife-edge on the discount rate (each 25bp of WACC ~CAD 20/share) and why the bear case lands near zero. The house DCF at a CAPM-derived 5.5% CAD WACC values the standalone business below the price; the price itself clears at roughly 5.25% -- i.e. the market is paying the Emera deal, not the standalone. DEAL-IMPLIED CROSS-CHECK (proxy, see inputs.notes): ATCO's 142.7M CU shares x 0.755 EMA shares x EMA 65.20 = CAD 7.0B = CAD 62/ATCO share, plus New ATCO (Structures &amp; Logistics ~CAD 125M adjusted earnings run-rate + Investments ~CAD 45M, ~CAD 170M at 12x = CAD 2.0B = CAD 18/share) = ~CAD 80/share today, ~CAD 86 at the announcement-date EMA price of ~70 -- which is where the bull scenario lands and where the stock trades. Pre-announcement ATCO traded ~CAD 71 (+12.7% on the news). The house 15% hurdle cannot be met from a bond-like asset priced at a ~5.2% implied return; the weighted entry price is far below the market and that is the finding, not a defect. FY2025 GAAP earnings (EPS 1.34) are an impairment trough; the business is valued on consolidated EBITDA/TTM flows and the adjusted-earnings series (4.61 FY2025, 2.48 H1 2026).
key_risks_to_valuation: Discount-rate sensitivity: equity is ~30% of consolidated EV; +/-25bp WACC ~ -/+CAD 20/share in base. GoC 10-year moved to 3.93%; a further 50bp rise takes base value toward zero.; Deal completion and consideration risk: all-share, Emera at a 52-week low, 12-15 month multi-jurisdiction approval path; the bull case is Emera paper plus an untested New ATCO.; NCI valuation basis: CU minority deducted at today's deal-parity price (CAD 6.4B); on a deal break the claim would fall ~CAD 1B (~CAD 9/share of upside to bear/base). A proportional-NCI treatment would add ~CAD 10/share to base.; Alberta regulation: PBR2 refund appeal, 2027+ ROE/PBR resets, AESO market restructuring and transmission constraints (the 2025 EnPower impairment) -- the majority of EBITDA is Alberta-regulated.; Capex supercycle execution: Yellowhead CAD 2.9B and CETO on time/on budget; capex above 35% of revenue for longer than modelled compresses interim FCF, though regulated recovery limits value impact.; Cash tax normalisation pace: a faster unwind of CCA deferrals (bear 23% by year 8) versus a prolonged growth-capex shelter (bull 17%) is worth roughly CAD 10/share.; Terminal-value share: ~80% of EV sits in the terminal in every scenario, as for any regulated utility; the cap multiple only binds in the bear.
sanity_check_note: scripts/sanity_check.py tripped on implied P/E (weighted IV / FY2025 SBC-adjusted GAAP EPS 1.34 = ~49x vs a 19.4x 10-year average). This is a denominator artifact, not a model error: FY2025 GAAP EPS is the impairment trough (572M pre-tax / 253M after-tax-and-NCI write-downs charged to D&amp;A). On FY2025 adjusted EPS of 4.61 (the series management and this valuation use) the implied P/E is 14.8x weighted / 13.7x base, inside the 10.2-19.4x historical range; on H1-2026-annualised adjusted EPS (~4.96) it is ~13.7x / 12.7x. The checker's 'wacc_too_low' candidate was rejected: the 5.5% WACC is CAPM-built on the 3.93% GoC 10-year and risk is already charged once in the flows and deal-probability weights; stacking a regulatory premium would charge Alberta risk twice and drive a regulated-utility equity that is a 30% residual of consolidated EV toward zero. Growth is already at the through-cycle revenue CAGR (5.5% FY2020-25). The checker's historical EV/EBITDA (6.6-8.1x) excludes the CAD 6.4B CU minority from EV and so is not comparable to the consolidated 12.4x the market pays today or the ~10.4x year-10 terminal in base. No driver was changed in the fix pass; the trip is documented here and in sanity_check.fix_applied.</t>
  </si>
  <si>
    <t xml:space="preserve">Data sources</t>
  </si>
  <si>
    <t xml:space="preserve">price: Yahoo Finance chart API at inputs.price_as_of (regular TSX close); 52-week range 50.76-85.00. CU.TO and EMA.TO closes from the same endpoint, same timestamp.
financials: ACO-X.TO_Metrics.csv / core_metrics and kpis (FY2020-FY2025 annual, quarterlies to Q2 FY2026); ACO-X.TO_Annual_FY2025_FinancialStatements.txt (segment table, impairments 572M pre-tax, note 28 NCI composition and 47.6% ownership, preferreds 1,709M); ACO-X.TO_Quarterly_Q2-2026.txt (balance sheet 2026-06-30, note 8 share counts, dilutive shares 113,546,523); ACO-X.TO_Annual_FY2025_MDA.txt (adjusted earnings 518M / 4.61 per share, segment adjusted earnings). CU shares outstanding 272.33M from stockanalysis.com (2026-10-09). GoC 10-year yield from Bank of Canada Valet (2026-10-08).
qualitative: ACO-X.TO_Analysis.json (2026-10-10), including the Emera/CU/ATCO merger announcement of 2026-10-06; CU-side exchange ratio 0.755 corroborated by the CU.TO print tying to 0.755 x EMA.TO to the cent.</t>
  </si>
  <si>
    <t xml:space="preserve">Scenario narrative: bear</t>
  </si>
  <si>
    <t xml:space="preserve">Deal fails and Alberta regulatory/market-design risk compounds: lower allowed returns, more EnPower impairments, cyclical Structures downturn, derating to a sector-trough multiple. Equity is nearly wiped as a residual of ~CAD 20.5B of senior and minority claims -- and that is with the CU minority still deducted at today's deal-parity price, so the bear is if anything too harsh by ~CAD 8-10/share.</t>
  </si>
  <si>
    <t xml:space="preserve">Scenario narrative: base</t>
  </si>
  <si>
    <t xml:space="preserve">Standalone fair value at the house 5.5% CAD WACC while the Emera deal is pending: rate-base-driven ~5% growth fading to inflation, margins ~45%, capex supercycle tapering after Yellowhead, cash tax normalising over a decade, terminal at a ~10.4x EBITDA Gordon value. The consolidated EV comes out ~10% below today's market EV (12.4x TTM EBITDA) and, because ATCO's equity is only ~30% of consolidated EV, that gap compounds into a per-share value well below the price.</t>
  </si>
  <si>
    <t xml:space="preserve">Scenario narrative: bull</t>
  </si>
  <si>
    <t xml:space="preserve">Emera transaction completes on roughly the announced terms (all-share, Sentgraf support, close Q3/Q4 2027) and ATCO holders end up with Emera paper on a 7-8% rate-base grower plus a listed New ATCO (Structures &amp; Logistics, Neltume, retail energy, land). Operating paths follow the combined-entity capital plan; the resulting value coincides with the deal consideration at the announcement-date Emera price.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</si>
  <si>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</si>
  <si>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</si>
  <si>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</si>
  <si>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</si>
  <si>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</si>
  <si>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</si>
  <si>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</si>
  <si>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</si>
  <si>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</si>
  <si>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</si>
  <si>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</si>
  <si>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</si>
  <si>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</si>
  <si>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</si>
  <si>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</si>
  <si>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</si>
  <si>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</si>
  <si>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</si>
  <si>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</si>
  <si>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</si>
  <si>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</si>
  <si>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</si>
  <si>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</si>
  <si>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</si>
  <si>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</si>
  <si>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</si>
  <si>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</si>
  <si>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TotalEquityInclNCI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</si>
  <si>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</si>
  <si>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</si>
  <si>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</si>
  <si>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</si>
  <si>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</si>
  <si>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</si>
  <si>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</si>
  <si>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</si>
  <si>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</si>
  <si>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</si>
  <si>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</si>
  <si>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</si>
  <si>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</si>
  <si>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</si>
  <si>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</si>
  <si>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TTM to 2026-06-30 (FY2025 + H1 FY2026 - H1 FY2025)</t>
  </si>
  <si>
    <t xml:space="preserve">Currency / units</t>
  </si>
  <si>
    <t xml:space="preserve">CAD millions</t>
  </si>
  <si>
    <t xml:space="preserve">FX rate (model -&gt; quote)</t>
  </si>
  <si>
    <t xml:space="preserve">BEAR</t>
  </si>
  <si>
    <t xml:space="preserve">TTM to 2027</t>
  </si>
  <si>
    <t xml:space="preserve">TTM to 2028</t>
  </si>
  <si>
    <t xml:space="preserve">TTM to 2029</t>
  </si>
  <si>
    <t xml:space="preserve">TTM to 2030</t>
  </si>
  <si>
    <t xml:space="preserve">TTM to 2031</t>
  </si>
  <si>
    <t xml:space="preserve">TTM to 2032</t>
  </si>
  <si>
    <t xml:space="preserve">TTM to 2033</t>
  </si>
  <si>
    <t xml:space="preserve">TTM to 2034</t>
  </si>
  <si>
    <t xml:space="preserve">TTM to 2035</t>
  </si>
  <si>
    <t xml:space="preserve">TTM to 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</si>
  <si>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</si>
  <si>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</si>
  <si>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</si>
  <si>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</si>
  <si>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</si>
  <si>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</si>
  <si>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</si>
  <si>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</si>
  <si>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</si>
  <si>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</si>
  <si>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</si>
  <si>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</si>
  <si>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</si>
  <si>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</si>
  <si>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ACO-X.TO owner-FCF component DCF: bear case (millions, CAD)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</si>
  <si>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</si>
  <si>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</si>
  <si>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</si>
  <si>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</si>
  <si>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</si>
  <si>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</si>
  <si>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</si>
  <si>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</si>
  <si>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</si>
  <si>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</si>
  <si>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</si>
  <si>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</si>
  <si>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</si>
  <si>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</si>
  <si>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</si>
  <si>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</si>
  <si>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</si>
  <si>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</si>
  <si>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</si>
  <si>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</si>
  <si>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</si>
  <si>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</si>
  <si>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</si>
  <si>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</si>
  <si>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</si>
  <si>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</si>
  <si>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</si>
  <si>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</si>
  <si>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</si>
  <si>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</si>
  <si>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ACO-X.TO owner-FCF component DCF: base case (millions, CAD)</t>
  </si>
  <si>
    <t xml:space="preserve">ACO-X.TO owner-FCF component DCF: bull case (millions, CAD)</t>
  </si>
  <si>
    <t xml:space="preserve">ACO-X.TO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</si>
  <si>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</si>
  <si>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</si>
  <si>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</si>
  <si>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</si>
  <si>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</si>
  <si>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</si>
  <si>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</si>
  <si>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</si>
  <si>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</si>
  <si>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</si>
  <si>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</si>
  <si>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</si>
  <si>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</si>
  <si>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</si>
  <si>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5.5%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</si>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</sst>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79.76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35.0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3944</v>
      </c>
      <c r="F2" s="0" t="n">
        <v>1070</v>
      </c>
      <c r="G2" s="0" t="n">
        <v>27.1</v>
      </c>
      <c r="H2" s="0" t="n">
        <v>1739</v>
      </c>
      <c r="I2" s="0" t="n">
        <v>252</v>
      </c>
      <c r="J2" s="0" t="n">
        <v>6.4</v>
      </c>
      <c r="K2" s="0" t="n">
        <v>2.21</v>
      </c>
      <c r="L2" s="0" t="n">
        <v>1843</v>
      </c>
      <c r="M2" s="0" t="n">
        <v>1028</v>
      </c>
      <c r="N2" s="0" t="n">
        <v>815</v>
      </c>
      <c r="O2" s="0" t="n">
        <v>4052</v>
      </c>
      <c r="P2" s="0" t="n">
        <v>22200</v>
      </c>
      <c r="Q2" s="0" t="n">
        <v>14351</v>
      </c>
      <c r="R2" s="0" t="n">
        <v>9622</v>
      </c>
      <c r="S2" s="0" t="n">
        <v>1103</v>
      </c>
      <c r="T2" s="0" t="n">
        <v>114.396</v>
      </c>
      <c r="U2" s="0" t="n">
        <v>1</v>
      </c>
      <c r="AA2" s="0" t="s">
        <v>17</v>
      </c>
      <c r="AB2" s="0" t="s">
        <v>14</v>
      </c>
      <c r="AC2" s="0" t="n">
        <v>7849</v>
      </c>
    </row>
    <row r="3" customFormat="false" ht="15" hidden="false" customHeight="false" outlineLevel="0" collapsed="false">
      <c r="A3" s="0" t="s">
        <v>65</v>
      </c>
      <c r="B3" s="0" t="n">
        <v>4289</v>
      </c>
      <c r="F3" s="0" t="n">
        <v>1040</v>
      </c>
      <c r="G3" s="0" t="n">
        <v>24.2</v>
      </c>
      <c r="H3" s="0" t="n">
        <v>1757</v>
      </c>
      <c r="I3" s="0" t="n">
        <v>246</v>
      </c>
      <c r="J3" s="0" t="n">
        <v>5.7</v>
      </c>
      <c r="K3" s="0" t="n">
        <v>2.16</v>
      </c>
      <c r="L3" s="0" t="n">
        <v>1864</v>
      </c>
      <c r="M3" s="0" t="n">
        <v>1346</v>
      </c>
      <c r="N3" s="0" t="n">
        <v>518</v>
      </c>
      <c r="O3" s="0" t="n">
        <v>4111</v>
      </c>
      <c r="P3" s="0" t="n">
        <v>23004</v>
      </c>
      <c r="Q3" s="0" t="n">
        <v>15055</v>
      </c>
      <c r="R3" s="0" t="n">
        <v>10061</v>
      </c>
      <c r="S3" s="0" t="n">
        <v>1091</v>
      </c>
      <c r="T3" s="0" t="n">
        <v>114.172</v>
      </c>
      <c r="U3" s="0" t="n">
        <v>2</v>
      </c>
      <c r="AA3" s="0" t="s">
        <v>17</v>
      </c>
      <c r="AB3" s="0" t="s">
        <v>14</v>
      </c>
      <c r="AC3" s="0" t="n">
        <v>7949</v>
      </c>
    </row>
    <row r="4" customFormat="false" ht="15" hidden="false" customHeight="false" outlineLevel="0" collapsed="false">
      <c r="A4" s="0" t="s">
        <v>66</v>
      </c>
      <c r="B4" s="0" t="n">
        <v>4978</v>
      </c>
      <c r="F4" s="0" t="n">
        <v>1312</v>
      </c>
      <c r="G4" s="0" t="n">
        <v>26.4</v>
      </c>
      <c r="H4" s="0" t="n">
        <v>2029</v>
      </c>
      <c r="I4" s="0" t="n">
        <v>370</v>
      </c>
      <c r="J4" s="0" t="n">
        <v>7.4</v>
      </c>
      <c r="K4" s="0" t="n">
        <v>3.25</v>
      </c>
      <c r="L4" s="0" t="n">
        <v>2396</v>
      </c>
      <c r="M4" s="0" t="n">
        <v>1583</v>
      </c>
      <c r="N4" s="0" t="n">
        <v>813</v>
      </c>
      <c r="O4" s="0" t="n">
        <v>4376</v>
      </c>
      <c r="P4" s="0" t="n">
        <v>24139</v>
      </c>
      <c r="Q4" s="0" t="n">
        <v>15795</v>
      </c>
      <c r="R4" s="0" t="n">
        <v>10087</v>
      </c>
      <c r="S4" s="0" t="n">
        <v>1033</v>
      </c>
      <c r="T4" s="0" t="n">
        <v>113.958</v>
      </c>
      <c r="U4" s="0" t="n">
        <v>3</v>
      </c>
      <c r="AA4" s="0" t="s">
        <v>17</v>
      </c>
      <c r="AB4" s="0" t="s">
        <v>14</v>
      </c>
      <c r="AC4" s="0" t="n">
        <v>8344</v>
      </c>
    </row>
    <row r="5" customFormat="false" ht="15" hidden="false" customHeight="false" outlineLevel="0" collapsed="false">
      <c r="A5" s="0" t="s">
        <v>67</v>
      </c>
      <c r="B5" s="0" t="n">
        <v>4741</v>
      </c>
      <c r="F5" s="0" t="n">
        <v>1495</v>
      </c>
      <c r="G5" s="0" t="n">
        <v>31.5</v>
      </c>
      <c r="H5" s="0" t="n">
        <v>2306</v>
      </c>
      <c r="I5" s="0" t="n">
        <v>432</v>
      </c>
      <c r="J5" s="0" t="n">
        <v>9.1</v>
      </c>
      <c r="K5" s="0" t="n">
        <v>3.82</v>
      </c>
      <c r="L5" s="0" t="n">
        <v>1965</v>
      </c>
      <c r="M5" s="0" t="n">
        <v>1565</v>
      </c>
      <c r="N5" s="0" t="n">
        <v>400</v>
      </c>
      <c r="O5" s="0" t="n">
        <v>4423</v>
      </c>
      <c r="P5" s="0" t="n">
        <v>25358</v>
      </c>
      <c r="Q5" s="0" t="n">
        <v>16860</v>
      </c>
      <c r="R5" s="0" t="n">
        <v>11048</v>
      </c>
      <c r="S5" s="0" t="n">
        <v>288</v>
      </c>
      <c r="T5" s="0" t="n">
        <v>113.216</v>
      </c>
      <c r="U5" s="0" t="n">
        <v>4</v>
      </c>
      <c r="AA5" s="0" t="s">
        <v>17</v>
      </c>
      <c r="AB5" s="0" t="s">
        <v>14</v>
      </c>
      <c r="AC5" s="0" t="n">
        <v>8498</v>
      </c>
    </row>
    <row r="6" customFormat="false" ht="15" hidden="false" customHeight="false" outlineLevel="0" collapsed="false">
      <c r="A6" s="0" t="s">
        <v>68</v>
      </c>
      <c r="B6" s="0" t="n">
        <v>4942</v>
      </c>
      <c r="F6" s="0" t="n">
        <v>1362</v>
      </c>
      <c r="G6" s="0" t="n">
        <v>27.6</v>
      </c>
      <c r="H6" s="0" t="n">
        <v>2173</v>
      </c>
      <c r="I6" s="0" t="n">
        <v>430</v>
      </c>
      <c r="J6" s="0" t="n">
        <v>8.7</v>
      </c>
      <c r="K6" s="0" t="n">
        <v>3.83</v>
      </c>
      <c r="L6" s="0" t="n">
        <v>2197</v>
      </c>
      <c r="M6" s="0" t="n">
        <v>1804</v>
      </c>
      <c r="N6" s="0" t="n">
        <v>393</v>
      </c>
      <c r="O6" s="0" t="n">
        <v>4632</v>
      </c>
      <c r="P6" s="0" t="n">
        <v>26724</v>
      </c>
      <c r="Q6" s="0" t="n">
        <v>18014</v>
      </c>
      <c r="R6" s="0" t="n">
        <v>11831</v>
      </c>
      <c r="S6" s="0" t="n">
        <v>374</v>
      </c>
      <c r="T6" s="0" t="n">
        <v>112.174</v>
      </c>
      <c r="U6" s="0" t="n">
        <v>8</v>
      </c>
      <c r="AA6" s="0" t="s">
        <v>17</v>
      </c>
      <c r="AB6" s="0" t="s">
        <v>14</v>
      </c>
      <c r="AC6" s="0" t="n">
        <v>8710</v>
      </c>
    </row>
    <row r="7" customFormat="false" ht="15" hidden="false" customHeight="false" outlineLevel="0" collapsed="false">
      <c r="A7" s="0" t="s">
        <v>69</v>
      </c>
      <c r="B7" s="0" t="n">
        <v>5143</v>
      </c>
      <c r="F7" s="0" t="n">
        <v>860</v>
      </c>
      <c r="G7" s="0" t="n">
        <v>16.7</v>
      </c>
      <c r="H7" s="0" t="n">
        <v>2273</v>
      </c>
      <c r="I7" s="0" t="n">
        <v>150</v>
      </c>
      <c r="J7" s="0" t="n">
        <v>2.9</v>
      </c>
      <c r="K7" s="0" t="n">
        <v>1.34</v>
      </c>
      <c r="L7" s="0" t="n">
        <v>2484</v>
      </c>
      <c r="M7" s="0" t="n">
        <v>1840</v>
      </c>
      <c r="N7" s="0" t="n">
        <v>644</v>
      </c>
      <c r="O7" s="0" t="n">
        <v>4522</v>
      </c>
      <c r="P7" s="0" t="n">
        <v>27668</v>
      </c>
      <c r="Q7" s="0" t="n">
        <v>19319</v>
      </c>
      <c r="R7" s="0" t="n">
        <v>13056</v>
      </c>
      <c r="S7" s="0" t="n">
        <v>1004</v>
      </c>
      <c r="T7" s="0" t="n">
        <v>112.302</v>
      </c>
      <c r="U7" s="0" t="n">
        <v>6</v>
      </c>
      <c r="AA7" s="0" t="s">
        <v>17</v>
      </c>
      <c r="AB7" s="0" t="s">
        <v>14</v>
      </c>
      <c r="AC7" s="0" t="n">
        <v>8349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70</v>
      </c>
      <c r="B1" s="2" t="s">
        <v>71</v>
      </c>
    </row>
    <row r="2" customFormat="false" ht="15" hidden="false" customHeight="false" outlineLevel="0" collapsed="false">
      <c r="A2" s="0" t="s">
        <v>72</v>
      </c>
      <c r="B2" s="3" t="n">
        <v>79.76</v>
      </c>
    </row>
    <row r="3" customFormat="false" ht="15" hidden="false" customHeight="false" outlineLevel="0" collapsed="false">
      <c r="A3" s="0" t="s">
        <v>73</v>
      </c>
      <c r="B3" s="3" t="n">
        <v>113.55</v>
      </c>
    </row>
    <row r="4" customFormat="false" ht="15" hidden="false" customHeight="false" outlineLevel="0" collapsed="false">
      <c r="A4" s="0" t="s">
        <v>74</v>
      </c>
      <c r="B4" s="3" t="n">
        <v>12175</v>
      </c>
    </row>
    <row r="5" customFormat="false" ht="15" hidden="false" customHeight="false" outlineLevel="0" collapsed="false">
      <c r="A5" s="0" t="s">
        <v>75</v>
      </c>
      <c r="B5" s="3" t="n">
        <v>-8282</v>
      </c>
    </row>
    <row r="6" customFormat="false" ht="15" hidden="false" customHeight="false" outlineLevel="0" collapsed="false">
      <c r="A6" s="0" t="s">
        <v>76</v>
      </c>
      <c r="B6" s="3" t="n">
        <v>15</v>
      </c>
    </row>
    <row r="7" customFormat="false" ht="15" hidden="false" customHeight="false" outlineLevel="0" collapsed="false">
      <c r="A7" s="0" t="s">
        <v>77</v>
      </c>
      <c r="B7" s="3" t="n">
        <v>5319</v>
      </c>
    </row>
    <row r="8" customFormat="false" ht="15" hidden="false" customHeight="false" outlineLevel="0" collapsed="false">
      <c r="A8" s="0" t="s">
        <v>78</v>
      </c>
      <c r="B8" s="3" t="s">
        <v>79</v>
      </c>
    </row>
    <row r="9" customFormat="false" ht="15" hidden="false" customHeight="false" outlineLevel="0" collapsed="false">
      <c r="A9" s="0" t="s">
        <v>80</v>
      </c>
      <c r="B9" s="3" t="s">
        <v>81</v>
      </c>
    </row>
    <row r="10" customFormat="false" ht="15" hidden="false" customHeight="false" outlineLevel="0" collapsed="false">
      <c r="A10" s="0" t="s">
        <v>82</v>
      </c>
      <c r="B10" s="3" t="n">
        <v>1</v>
      </c>
    </row>
    <row r="12" customFormat="false" ht="15" hidden="false" customHeight="false" outlineLevel="0" collapsed="false">
      <c r="A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  <c r="L12" s="2" t="s">
        <v>93</v>
      </c>
    </row>
    <row r="13" customFormat="false" ht="15" hidden="false" customHeight="false" outlineLevel="0" collapsed="false">
      <c r="A13" s="0" t="s">
        <v>94</v>
      </c>
      <c r="C13" s="3" t="n">
        <v>3.5</v>
      </c>
      <c r="D13" s="3" t="n">
        <v>3</v>
      </c>
      <c r="E13" s="3" t="n">
        <v>3</v>
      </c>
      <c r="F13" s="3" t="n">
        <v>2.5</v>
      </c>
      <c r="G13" s="3" t="n">
        <v>2.5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95</v>
      </c>
      <c r="C14" s="3" t="n">
        <v>43.5</v>
      </c>
      <c r="D14" s="3" t="n">
        <v>43</v>
      </c>
      <c r="E14" s="3" t="n">
        <v>42.8</v>
      </c>
      <c r="F14" s="3" t="n">
        <v>42.5</v>
      </c>
      <c r="G14" s="3" t="n">
        <v>42.5</v>
      </c>
      <c r="H14" s="3" t="n">
        <v>42.5</v>
      </c>
      <c r="I14" s="3" t="n">
        <v>42.5</v>
      </c>
      <c r="J14" s="3" t="n">
        <v>42.5</v>
      </c>
      <c r="K14" s="3" t="n">
        <v>42.5</v>
      </c>
      <c r="L14" s="3" t="n">
        <v>42.5</v>
      </c>
    </row>
    <row r="15" customFormat="false" ht="15" hidden="false" customHeight="false" outlineLevel="0" collapsed="false">
      <c r="A15" s="0" t="s">
        <v>96</v>
      </c>
      <c r="C15" s="3" t="n">
        <v>0.12</v>
      </c>
      <c r="D15" s="3" t="n">
        <v>0.12</v>
      </c>
      <c r="E15" s="3" t="n">
        <v>0.12</v>
      </c>
      <c r="F15" s="3" t="n">
        <v>0.12</v>
      </c>
      <c r="G15" s="3" t="n">
        <v>0.12</v>
      </c>
      <c r="H15" s="3" t="n">
        <v>0.12</v>
      </c>
      <c r="I15" s="3" t="n">
        <v>0.12</v>
      </c>
      <c r="J15" s="3" t="n">
        <v>0.12</v>
      </c>
      <c r="K15" s="3" t="n">
        <v>0.12</v>
      </c>
      <c r="L15" s="3" t="n">
        <v>0.12</v>
      </c>
    </row>
    <row r="16" customFormat="false" ht="15" hidden="false" customHeight="false" outlineLevel="0" collapsed="false">
      <c r="A16" s="0" t="s">
        <v>97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98</v>
      </c>
      <c r="C17" s="3" t="n">
        <v>16.5</v>
      </c>
      <c r="D17" s="3" t="n">
        <v>16.6</v>
      </c>
      <c r="E17" s="3" t="n">
        <v>16.7</v>
      </c>
      <c r="F17" s="3" t="n">
        <v>16.8</v>
      </c>
      <c r="G17" s="3" t="n">
        <v>16.9</v>
      </c>
      <c r="H17" s="3" t="n">
        <v>17</v>
      </c>
      <c r="I17" s="3" t="n">
        <v>17</v>
      </c>
      <c r="J17" s="3" t="n">
        <v>17</v>
      </c>
      <c r="K17" s="3" t="n">
        <v>17</v>
      </c>
      <c r="L17" s="3" t="n">
        <v>17</v>
      </c>
    </row>
    <row r="18" customFormat="false" ht="15" hidden="false" customHeight="false" outlineLevel="0" collapsed="false">
      <c r="A18" s="0" t="s">
        <v>99</v>
      </c>
      <c r="C18" s="3" t="n">
        <v>34</v>
      </c>
      <c r="D18" s="3" t="n">
        <v>33</v>
      </c>
      <c r="E18" s="3" t="n">
        <v>31</v>
      </c>
      <c r="F18" s="3" t="n">
        <v>29</v>
      </c>
      <c r="G18" s="3" t="n">
        <v>27</v>
      </c>
      <c r="H18" s="3" t="n">
        <v>26</v>
      </c>
      <c r="I18" s="3" t="n">
        <v>25</v>
      </c>
      <c r="J18" s="3" t="n">
        <v>24</v>
      </c>
      <c r="K18" s="3" t="n">
        <v>24</v>
      </c>
      <c r="L18" s="3" t="n">
        <v>24</v>
      </c>
    </row>
    <row r="19" customFormat="false" ht="15" hidden="false" customHeight="false" outlineLevel="0" collapsed="false">
      <c r="A19" s="0" t="s">
        <v>100</v>
      </c>
      <c r="C19" s="3" t="n">
        <v>6</v>
      </c>
      <c r="D19" s="3" t="n">
        <v>9</v>
      </c>
      <c r="E19" s="3" t="n">
        <v>12</v>
      </c>
      <c r="F19" s="3" t="n">
        <v>15</v>
      </c>
      <c r="G19" s="3" t="n">
        <v>18</v>
      </c>
      <c r="H19" s="3" t="n">
        <v>20</v>
      </c>
      <c r="I19" s="3" t="n">
        <v>22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101</v>
      </c>
      <c r="B20" s="3" t="n">
        <v>5.5</v>
      </c>
    </row>
    <row r="21" customFormat="false" ht="15" hidden="false" customHeight="false" outlineLevel="0" collapsed="false">
      <c r="A21" s="0" t="s">
        <v>102</v>
      </c>
      <c r="B21" s="3" t="n">
        <v>2.5</v>
      </c>
    </row>
    <row r="22" customFormat="false" ht="15" hidden="false" customHeight="false" outlineLevel="0" collapsed="false">
      <c r="A22" s="0" t="s">
        <v>103</v>
      </c>
      <c r="B22" s="3" t="n">
        <v>34</v>
      </c>
    </row>
    <row r="23" customFormat="false" ht="15" hidden="false" customHeight="false" outlineLevel="0" collapsed="false">
      <c r="A23" s="0" t="s">
        <v>104</v>
      </c>
      <c r="B23" s="3" t="n">
        <v>0</v>
      </c>
    </row>
    <row r="24" customFormat="false" ht="15" hidden="false" customHeight="false" outlineLevel="0" collapsed="false">
      <c r="A24" s="0" t="s">
        <v>105</v>
      </c>
      <c r="B24" s="3" t="n">
        <v>0.15</v>
      </c>
    </row>
    <row r="26" customFormat="false" ht="15" hidden="false" customHeight="false" outlineLevel="0" collapsed="false">
      <c r="A26" s="2" t="s">
        <v>106</v>
      </c>
      <c r="C26" s="2" t="s">
        <v>84</v>
      </c>
      <c r="D26" s="2" t="s">
        <v>85</v>
      </c>
      <c r="E26" s="2" t="s">
        <v>86</v>
      </c>
      <c r="F26" s="2" t="s">
        <v>87</v>
      </c>
      <c r="G26" s="2" t="s">
        <v>88</v>
      </c>
      <c r="H26" s="2" t="s">
        <v>89</v>
      </c>
      <c r="I26" s="2" t="s">
        <v>90</v>
      </c>
      <c r="J26" s="2" t="s">
        <v>91</v>
      </c>
      <c r="K26" s="2" t="s">
        <v>92</v>
      </c>
      <c r="L26" s="2" t="s">
        <v>93</v>
      </c>
    </row>
    <row r="27" customFormat="false" ht="15" hidden="false" customHeight="false" outlineLevel="0" collapsed="false">
      <c r="A27" s="0" t="s">
        <v>94</v>
      </c>
      <c r="C27" s="3" t="n">
        <v>5</v>
      </c>
      <c r="D27" s="3" t="n">
        <v>5</v>
      </c>
      <c r="E27" s="3" t="n">
        <v>4.5</v>
      </c>
      <c r="F27" s="3" t="n">
        <v>4.5</v>
      </c>
      <c r="G27" s="3" t="n">
        <v>4</v>
      </c>
      <c r="H27" s="3" t="n">
        <v>3.5</v>
      </c>
      <c r="I27" s="3" t="n">
        <v>3</v>
      </c>
      <c r="J27" s="3" t="n">
        <v>3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95</v>
      </c>
      <c r="C28" s="3" t="n">
        <v>44.5</v>
      </c>
      <c r="D28" s="3" t="n">
        <v>44.7</v>
      </c>
      <c r="E28" s="3" t="n">
        <v>44.9</v>
      </c>
      <c r="F28" s="3" t="n">
        <v>45</v>
      </c>
      <c r="G28" s="3" t="n">
        <v>45</v>
      </c>
      <c r="H28" s="3" t="n">
        <v>45</v>
      </c>
      <c r="I28" s="3" t="n">
        <v>45</v>
      </c>
      <c r="J28" s="3" t="n">
        <v>45</v>
      </c>
      <c r="K28" s="3" t="n">
        <v>45</v>
      </c>
      <c r="L28" s="3" t="n">
        <v>45</v>
      </c>
    </row>
    <row r="29" customFormat="false" ht="15" hidden="false" customHeight="false" outlineLevel="0" collapsed="false">
      <c r="A29" s="0" t="s">
        <v>96</v>
      </c>
      <c r="C29" s="3" t="n">
        <v>0.12</v>
      </c>
      <c r="D29" s="3" t="n">
        <v>0.12</v>
      </c>
      <c r="E29" s="3" t="n">
        <v>0.12</v>
      </c>
      <c r="F29" s="3" t="n">
        <v>0.12</v>
      </c>
      <c r="G29" s="3" t="n">
        <v>0.12</v>
      </c>
      <c r="H29" s="3" t="n">
        <v>0.12</v>
      </c>
      <c r="I29" s="3" t="n">
        <v>0.12</v>
      </c>
      <c r="J29" s="3" t="n">
        <v>0.12</v>
      </c>
      <c r="K29" s="3" t="n">
        <v>0.12</v>
      </c>
      <c r="L29" s="3" t="n">
        <v>0.12</v>
      </c>
    </row>
    <row r="30" customFormat="false" ht="15" hidden="false" customHeight="false" outlineLevel="0" collapsed="false">
      <c r="A30" s="0" t="s">
        <v>97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98</v>
      </c>
      <c r="C31" s="3" t="n">
        <v>16.3</v>
      </c>
      <c r="D31" s="3" t="n">
        <v>16.4</v>
      </c>
      <c r="E31" s="3" t="n">
        <v>16.5</v>
      </c>
      <c r="F31" s="3" t="n">
        <v>16.6</v>
      </c>
      <c r="G31" s="3" t="n">
        <v>16.7</v>
      </c>
      <c r="H31" s="3" t="n">
        <v>16.7</v>
      </c>
      <c r="I31" s="3" t="n">
        <v>16.7</v>
      </c>
      <c r="J31" s="3" t="n">
        <v>16.7</v>
      </c>
      <c r="K31" s="3" t="n">
        <v>16.7</v>
      </c>
      <c r="L31" s="3" t="n">
        <v>16.7</v>
      </c>
    </row>
    <row r="32" customFormat="false" ht="15" hidden="false" customHeight="false" outlineLevel="0" collapsed="false">
      <c r="A32" s="0" t="s">
        <v>99</v>
      </c>
      <c r="C32" s="3" t="n">
        <v>35</v>
      </c>
      <c r="D32" s="3" t="n">
        <v>35</v>
      </c>
      <c r="E32" s="3" t="n">
        <v>33</v>
      </c>
      <c r="F32" s="3" t="n">
        <v>31</v>
      </c>
      <c r="G32" s="3" t="n">
        <v>29</v>
      </c>
      <c r="H32" s="3" t="n">
        <v>28</v>
      </c>
      <c r="I32" s="3" t="n">
        <v>27</v>
      </c>
      <c r="J32" s="3" t="n">
        <v>26</v>
      </c>
      <c r="K32" s="3" t="n">
        <v>25</v>
      </c>
      <c r="L32" s="3" t="n">
        <v>25</v>
      </c>
    </row>
    <row r="33" customFormat="false" ht="15" hidden="false" customHeight="false" outlineLevel="0" collapsed="false">
      <c r="A33" s="0" t="s">
        <v>100</v>
      </c>
      <c r="C33" s="3" t="n">
        <v>5</v>
      </c>
      <c r="D33" s="3" t="n">
        <v>7</v>
      </c>
      <c r="E33" s="3" t="n">
        <v>9</v>
      </c>
      <c r="F33" s="3" t="n">
        <v>11</v>
      </c>
      <c r="G33" s="3" t="n">
        <v>13</v>
      </c>
      <c r="H33" s="3" t="n">
        <v>15</v>
      </c>
      <c r="I33" s="3" t="n">
        <v>17</v>
      </c>
      <c r="J33" s="3" t="n">
        <v>18</v>
      </c>
      <c r="K33" s="3" t="n">
        <v>19</v>
      </c>
      <c r="L33" s="3" t="n">
        <v>20</v>
      </c>
    </row>
    <row r="34" customFormat="false" ht="15" hidden="false" customHeight="false" outlineLevel="0" collapsed="false">
      <c r="A34" s="0" t="s">
        <v>101</v>
      </c>
      <c r="B34" s="3" t="n">
        <v>5.5</v>
      </c>
    </row>
    <row r="35" customFormat="false" ht="15" hidden="false" customHeight="false" outlineLevel="0" collapsed="false">
      <c r="A35" s="0" t="s">
        <v>102</v>
      </c>
      <c r="B35" s="3" t="n">
        <v>2.5</v>
      </c>
    </row>
    <row r="36" customFormat="false" ht="15" hidden="false" customHeight="false" outlineLevel="0" collapsed="false">
      <c r="A36" s="0" t="s">
        <v>103</v>
      </c>
      <c r="B36" s="3" t="n">
        <v>36</v>
      </c>
    </row>
    <row r="37" customFormat="false" ht="15" hidden="false" customHeight="false" outlineLevel="0" collapsed="false">
      <c r="A37" s="0" t="s">
        <v>104</v>
      </c>
      <c r="B37" s="3" t="n">
        <v>0</v>
      </c>
    </row>
    <row r="38" customFormat="false" ht="15" hidden="false" customHeight="false" outlineLevel="0" collapsed="false">
      <c r="A38" s="0" t="s">
        <v>105</v>
      </c>
      <c r="B38" s="3" t="n">
        <v>0.35</v>
      </c>
    </row>
    <row r="40" customFormat="false" ht="15" hidden="false" customHeight="false" outlineLevel="0" collapsed="false">
      <c r="A40" s="2" t="s">
        <v>107</v>
      </c>
      <c r="C40" s="2" t="s">
        <v>84</v>
      </c>
      <c r="D40" s="2" t="s">
        <v>85</v>
      </c>
      <c r="E40" s="2" t="s">
        <v>86</v>
      </c>
      <c r="F40" s="2" t="s">
        <v>87</v>
      </c>
      <c r="G40" s="2" t="s">
        <v>88</v>
      </c>
      <c r="H40" s="2" t="s">
        <v>89</v>
      </c>
      <c r="I40" s="2" t="s">
        <v>90</v>
      </c>
      <c r="J40" s="2" t="s">
        <v>91</v>
      </c>
      <c r="K40" s="2" t="s">
        <v>92</v>
      </c>
      <c r="L40" s="2" t="s">
        <v>93</v>
      </c>
    </row>
    <row r="41" customFormat="false" ht="15" hidden="false" customHeight="false" outlineLevel="0" collapsed="false">
      <c r="A41" s="0" t="s">
        <v>94</v>
      </c>
      <c r="C41" s="3" t="n">
        <v>6</v>
      </c>
      <c r="D41" s="3" t="n">
        <v>6</v>
      </c>
      <c r="E41" s="3" t="n">
        <v>5.5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95</v>
      </c>
      <c r="C42" s="3" t="n">
        <v>44.7</v>
      </c>
      <c r="D42" s="3" t="n">
        <v>45</v>
      </c>
      <c r="E42" s="3" t="n">
        <v>45.3</v>
      </c>
      <c r="F42" s="3" t="n">
        <v>45.6</v>
      </c>
      <c r="G42" s="3" t="n">
        <v>45.8</v>
      </c>
      <c r="H42" s="3" t="n">
        <v>46</v>
      </c>
      <c r="I42" s="3" t="n">
        <v>46</v>
      </c>
      <c r="J42" s="3" t="n">
        <v>46</v>
      </c>
      <c r="K42" s="3" t="n">
        <v>46</v>
      </c>
      <c r="L42" s="3" t="n">
        <v>46</v>
      </c>
    </row>
    <row r="43" customFormat="false" ht="15" hidden="false" customHeight="false" outlineLevel="0" collapsed="false">
      <c r="A43" s="0" t="s">
        <v>96</v>
      </c>
      <c r="C43" s="3" t="n">
        <v>0.12</v>
      </c>
      <c r="D43" s="3" t="n">
        <v>0.12</v>
      </c>
      <c r="E43" s="3" t="n">
        <v>0.12</v>
      </c>
      <c r="F43" s="3" t="n">
        <v>0.12</v>
      </c>
      <c r="G43" s="3" t="n">
        <v>0.12</v>
      </c>
      <c r="H43" s="3" t="n">
        <v>0.12</v>
      </c>
      <c r="I43" s="3" t="n">
        <v>0.12</v>
      </c>
      <c r="J43" s="3" t="n">
        <v>0.12</v>
      </c>
      <c r="K43" s="3" t="n">
        <v>0.12</v>
      </c>
      <c r="L43" s="3" t="n">
        <v>0.12</v>
      </c>
    </row>
    <row r="44" customFormat="false" ht="15" hidden="false" customHeight="false" outlineLevel="0" collapsed="false">
      <c r="A44" s="0" t="s">
        <v>97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98</v>
      </c>
      <c r="C45" s="3" t="n">
        <v>16.3</v>
      </c>
      <c r="D45" s="3" t="n">
        <v>16.4</v>
      </c>
      <c r="E45" s="3" t="n">
        <v>16.5</v>
      </c>
      <c r="F45" s="3" t="n">
        <v>16.6</v>
      </c>
      <c r="G45" s="3" t="n">
        <v>16.7</v>
      </c>
      <c r="H45" s="3" t="n">
        <v>16.8</v>
      </c>
      <c r="I45" s="3" t="n">
        <v>16.8</v>
      </c>
      <c r="J45" s="3" t="n">
        <v>16.8</v>
      </c>
      <c r="K45" s="3" t="n">
        <v>16.8</v>
      </c>
      <c r="L45" s="3" t="n">
        <v>16.8</v>
      </c>
    </row>
    <row r="46" customFormat="false" ht="15" hidden="false" customHeight="false" outlineLevel="0" collapsed="false">
      <c r="A46" s="0" t="s">
        <v>99</v>
      </c>
      <c r="C46" s="3" t="n">
        <v>35</v>
      </c>
      <c r="D46" s="3" t="n">
        <v>35</v>
      </c>
      <c r="E46" s="3" t="n">
        <v>34</v>
      </c>
      <c r="F46" s="3" t="n">
        <v>32</v>
      </c>
      <c r="G46" s="3" t="n">
        <v>30</v>
      </c>
      <c r="H46" s="3" t="n">
        <v>29</v>
      </c>
      <c r="I46" s="3" t="n">
        <v>28</v>
      </c>
      <c r="J46" s="3" t="n">
        <v>27</v>
      </c>
      <c r="K46" s="3" t="n">
        <v>26</v>
      </c>
      <c r="L46" s="3" t="n">
        <v>26</v>
      </c>
    </row>
    <row r="47" customFormat="false" ht="15" hidden="false" customHeight="false" outlineLevel="0" collapsed="false">
      <c r="A47" s="0" t="s">
        <v>100</v>
      </c>
      <c r="C47" s="3" t="n">
        <v>4</v>
      </c>
      <c r="D47" s="3" t="n">
        <v>5</v>
      </c>
      <c r="E47" s="3" t="n">
        <v>7</v>
      </c>
      <c r="F47" s="3" t="n">
        <v>9</v>
      </c>
      <c r="G47" s="3" t="n">
        <v>11</v>
      </c>
      <c r="H47" s="3" t="n">
        <v>13</v>
      </c>
      <c r="I47" s="3" t="n">
        <v>14</v>
      </c>
      <c r="J47" s="3" t="n">
        <v>15</v>
      </c>
      <c r="K47" s="3" t="n">
        <v>16</v>
      </c>
      <c r="L47" s="3" t="n">
        <v>17</v>
      </c>
    </row>
    <row r="48" customFormat="false" ht="15" hidden="false" customHeight="false" outlineLevel="0" collapsed="false">
      <c r="A48" s="0" t="s">
        <v>101</v>
      </c>
      <c r="B48" s="3" t="n">
        <v>5.5</v>
      </c>
    </row>
    <row r="49" customFormat="false" ht="15" hidden="false" customHeight="false" outlineLevel="0" collapsed="false">
      <c r="A49" s="0" t="s">
        <v>102</v>
      </c>
      <c r="B49" s="3" t="n">
        <v>2.5</v>
      </c>
    </row>
    <row r="50" customFormat="false" ht="15" hidden="false" customHeight="false" outlineLevel="0" collapsed="false">
      <c r="A50" s="0" t="s">
        <v>103</v>
      </c>
      <c r="B50" s="3" t="n">
        <v>37</v>
      </c>
    </row>
    <row r="51" customFormat="false" ht="15" hidden="false" customHeight="false" outlineLevel="0" collapsed="false">
      <c r="A51" s="0" t="s">
        <v>104</v>
      </c>
      <c r="B51" s="3" t="n">
        <v>0</v>
      </c>
    </row>
    <row r="52" customFormat="false" ht="15" hidden="false" customHeight="false" outlineLevel="0" collapsed="false">
      <c r="A52" s="0" t="s">
        <v>105</v>
      </c>
      <c r="B52" s="3" t="n">
        <v>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108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Assumptions!C13</f>
        <v>3.5</v>
      </c>
      <c r="D5" s="4" t="n">
        <f aca="false">Assumptions!D13</f>
        <v>3</v>
      </c>
      <c r="E5" s="4" t="n">
        <f aca="false">Assumptions!E13</f>
        <v>3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5319</v>
      </c>
      <c r="C6" s="0" t="n">
        <f aca="false">B6*(1+C5/100)</f>
        <v>5505.165</v>
      </c>
      <c r="D6" s="0" t="n">
        <f aca="false">C6*(1+D5/100)</f>
        <v>5670.31995</v>
      </c>
      <c r="E6" s="0" t="n">
        <f aca="false">D6*(1+E5/100)</f>
        <v>5840.4295485</v>
      </c>
      <c r="F6" s="0" t="n">
        <f aca="false">E6*(1+F5/100)</f>
        <v>5986.4402872125</v>
      </c>
      <c r="G6" s="0" t="n">
        <f aca="false">F6*(1+G5/100)</f>
        <v>6136.10129439281</v>
      </c>
      <c r="H6" s="0" t="n">
        <f aca="false">G6*(1+H5/100)</f>
        <v>6258.82332028067</v>
      </c>
      <c r="I6" s="0" t="n">
        <f aca="false">H6*(1+I5/100)</f>
        <v>6383.99978668628</v>
      </c>
      <c r="J6" s="0" t="n">
        <f aca="false">I6*(1+J5/100)</f>
        <v>6511.67978242001</v>
      </c>
      <c r="K6" s="0" t="n">
        <f aca="false">J6*(1+K5/100)</f>
        <v>6641.91337806841</v>
      </c>
      <c r="L6" s="0" t="n">
        <f aca="false">K6*(1+L5/100)</f>
        <v>6774.75164562978</v>
      </c>
    </row>
    <row r="7" customFormat="false" ht="15" hidden="false" customHeight="false" outlineLevel="0" collapsed="false">
      <c r="A7" s="0" t="s">
        <v>95</v>
      </c>
      <c r="C7" s="4" t="n">
        <f aca="false">Assumptions!C14</f>
        <v>43.5</v>
      </c>
      <c r="D7" s="4" t="n">
        <f aca="false">Assumptions!D14</f>
        <v>43</v>
      </c>
      <c r="E7" s="4" t="n">
        <f aca="false">Assumptions!E14</f>
        <v>42.8</v>
      </c>
      <c r="F7" s="4" t="n">
        <f aca="false">Assumptions!F14</f>
        <v>42.5</v>
      </c>
      <c r="G7" s="4" t="n">
        <f aca="false">Assumptions!G14</f>
        <v>42.5</v>
      </c>
      <c r="H7" s="4" t="n">
        <f aca="false">Assumptions!H14</f>
        <v>42.5</v>
      </c>
      <c r="I7" s="4" t="n">
        <f aca="false">Assumptions!I14</f>
        <v>42.5</v>
      </c>
      <c r="J7" s="4" t="n">
        <f aca="false">Assumptions!J14</f>
        <v>42.5</v>
      </c>
      <c r="K7" s="4" t="n">
        <f aca="false">Assumptions!K14</f>
        <v>42.5</v>
      </c>
      <c r="L7" s="4" t="n">
        <f aca="false">Assumptions!L14</f>
        <v>42.5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2394.746775</v>
      </c>
      <c r="D8" s="0" t="n">
        <f aca="false">D6*D7/100</f>
        <v>2438.2375785</v>
      </c>
      <c r="E8" s="0" t="n">
        <f aca="false">E6*E7/100</f>
        <v>2499.703846758</v>
      </c>
      <c r="F8" s="0" t="n">
        <f aca="false">F6*F7/100</f>
        <v>2544.23712206531</v>
      </c>
      <c r="G8" s="0" t="n">
        <f aca="false">G6*G7/100</f>
        <v>2607.84305011695</v>
      </c>
      <c r="H8" s="0" t="n">
        <f aca="false">H6*H7/100</f>
        <v>2659.99991111928</v>
      </c>
      <c r="I8" s="0" t="n">
        <f aca="false">I6*I7/100</f>
        <v>2713.19990934167</v>
      </c>
      <c r="J8" s="0" t="n">
        <f aca="false">J6*J7/100</f>
        <v>2767.4639075285</v>
      </c>
      <c r="K8" s="0" t="n">
        <f aca="false">K6*K7/100</f>
        <v>2822.81318567907</v>
      </c>
      <c r="L8" s="0" t="n">
        <f aca="false">L6*L7/100</f>
        <v>2879.26944939266</v>
      </c>
    </row>
    <row r="9" customFormat="false" ht="15" hidden="false" customHeight="false" outlineLevel="0" collapsed="false">
      <c r="A9" s="0" t="s">
        <v>96</v>
      </c>
      <c r="C9" s="4" t="n">
        <f aca="false">Assumptions!C15</f>
        <v>0.12</v>
      </c>
      <c r="D9" s="4" t="n">
        <f aca="false">Assumptions!D15</f>
        <v>0.12</v>
      </c>
      <c r="E9" s="4" t="n">
        <f aca="false">Assumptions!E15</f>
        <v>0.12</v>
      </c>
      <c r="F9" s="4" t="n">
        <f aca="false">Assumptions!F15</f>
        <v>0.12</v>
      </c>
      <c r="G9" s="4" t="n">
        <f aca="false">Assumptions!G15</f>
        <v>0.12</v>
      </c>
      <c r="H9" s="4" t="n">
        <f aca="false">Assumptions!H15</f>
        <v>0.12</v>
      </c>
      <c r="I9" s="4" t="n">
        <f aca="false">Assumptions!I15</f>
        <v>0.12</v>
      </c>
      <c r="J9" s="4" t="n">
        <f aca="false">Assumptions!J15</f>
        <v>0.12</v>
      </c>
      <c r="K9" s="4" t="n">
        <f aca="false">Assumptions!K15</f>
        <v>0.12</v>
      </c>
      <c r="L9" s="4" t="n">
        <f aca="false">Assumptions!L15</f>
        <v>0.12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-6.606198</v>
      </c>
      <c r="D10" s="0" t="n">
        <f aca="false">-D6*D9/100</f>
        <v>-6.80438394</v>
      </c>
      <c r="E10" s="0" t="n">
        <f aca="false">-E6*E9/100</f>
        <v>-7.0085154582</v>
      </c>
      <c r="F10" s="0" t="n">
        <f aca="false">-F6*F9/100</f>
        <v>-7.183728344655</v>
      </c>
      <c r="G10" s="0" t="n">
        <f aca="false">-G6*G9/100</f>
        <v>-7.36332155327137</v>
      </c>
      <c r="H10" s="0" t="n">
        <f aca="false">-H6*H9/100</f>
        <v>-7.5105879843368</v>
      </c>
      <c r="I10" s="0" t="n">
        <f aca="false">-I6*I9/100</f>
        <v>-7.66079974402354</v>
      </c>
      <c r="J10" s="0" t="n">
        <f aca="false">-J6*J9/100</f>
        <v>-7.81401573890401</v>
      </c>
      <c r="K10" s="0" t="n">
        <f aca="false">-K6*K9/100</f>
        <v>-7.97029605368209</v>
      </c>
      <c r="L10" s="0" t="n">
        <f aca="false">-L6*L9/100</f>
        <v>-8.12970197475573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2388.140577</v>
      </c>
      <c r="D11" s="0" t="n">
        <f aca="false">D8+D10+D24</f>
        <v>2431.43319456</v>
      </c>
      <c r="E11" s="0" t="n">
        <f aca="false">E8+E10+E24</f>
        <v>2492.6953312998</v>
      </c>
      <c r="F11" s="0" t="n">
        <f aca="false">F8+F10+F24</f>
        <v>2537.05339372066</v>
      </c>
      <c r="G11" s="0" t="n">
        <f aca="false">G8+G10+G24</f>
        <v>2600.47972856367</v>
      </c>
      <c r="H11" s="0" t="n">
        <f aca="false">H8+H10+H24</f>
        <v>2652.48932313495</v>
      </c>
      <c r="I11" s="0" t="n">
        <f aca="false">I8+I10+I24</f>
        <v>2705.53910959765</v>
      </c>
      <c r="J11" s="0" t="n">
        <f aca="false">J8+J10+J24</f>
        <v>2759.6498917896</v>
      </c>
      <c r="K11" s="0" t="n">
        <f aca="false">K8+K10+K24</f>
        <v>2814.84288962539</v>
      </c>
      <c r="L11" s="0" t="n">
        <f aca="false">L8+L10+L24</f>
        <v>2871.1397474179</v>
      </c>
    </row>
    <row r="12" customFormat="false" ht="15" hidden="false" customHeight="false" outlineLevel="0" collapsed="false">
      <c r="A12" s="0" t="s">
        <v>113</v>
      </c>
      <c r="C12" s="4" t="n">
        <f aca="false">-C6*Assumptions!C17/100</f>
        <v>-908.352225</v>
      </c>
      <c r="D12" s="4" t="n">
        <f aca="false">-D6*Assumptions!D17/100</f>
        <v>-941.2731117</v>
      </c>
      <c r="E12" s="4" t="n">
        <f aca="false">-E6*Assumptions!E17/100</f>
        <v>-975.3517345995</v>
      </c>
      <c r="F12" s="4" t="n">
        <f aca="false">-F6*Assumptions!F17/100</f>
        <v>-1005.7219682517</v>
      </c>
      <c r="G12" s="4" t="n">
        <f aca="false">-G6*Assumptions!G17/100</f>
        <v>-1037.00111875239</v>
      </c>
      <c r="H12" s="4" t="n">
        <f aca="false">-H6*Assumptions!H17/100</f>
        <v>-1063.99996444771</v>
      </c>
      <c r="I12" s="4" t="n">
        <f aca="false">-I6*Assumptions!I17/100</f>
        <v>-1085.27996373667</v>
      </c>
      <c r="J12" s="4" t="n">
        <f aca="false">-J6*Assumptions!J17/100</f>
        <v>-1106.9855630114</v>
      </c>
      <c r="K12" s="4" t="n">
        <f aca="false">-K6*Assumptions!K17/100</f>
        <v>-1129.12527427163</v>
      </c>
      <c r="L12" s="4" t="n">
        <f aca="false">-L6*Assumptions!L17/100</f>
        <v>-1151.70777975706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1479.788352</v>
      </c>
      <c r="D13" s="0" t="n">
        <f aca="false">D11+D12</f>
        <v>1490.16008286</v>
      </c>
      <c r="E13" s="0" t="n">
        <f aca="false">E11+E12</f>
        <v>1517.3435967003</v>
      </c>
      <c r="F13" s="0" t="n">
        <f aca="false">F11+F12</f>
        <v>1531.33142546896</v>
      </c>
      <c r="G13" s="0" t="n">
        <f aca="false">G11+G12</f>
        <v>1563.47860981129</v>
      </c>
      <c r="H13" s="0" t="n">
        <f aca="false">H11+H12</f>
        <v>1588.48935868723</v>
      </c>
      <c r="I13" s="0" t="n">
        <f aca="false">I11+I12</f>
        <v>1620.25914586098</v>
      </c>
      <c r="J13" s="0" t="n">
        <f aca="false">J11+J12</f>
        <v>1652.6643287782</v>
      </c>
      <c r="K13" s="0" t="n">
        <f aca="false">K11+K12</f>
        <v>1685.71761535376</v>
      </c>
      <c r="L13" s="0" t="n">
        <f aca="false">L11+L12</f>
        <v>1719.43196766084</v>
      </c>
    </row>
    <row r="14" customFormat="false" ht="15" hidden="false" customHeight="false" outlineLevel="0" collapsed="false">
      <c r="A14" s="0" t="s">
        <v>100</v>
      </c>
      <c r="C14" s="4" t="n">
        <f aca="false">Assumptions!C19</f>
        <v>6</v>
      </c>
      <c r="D14" s="4" t="n">
        <f aca="false">Assumptions!D19</f>
        <v>9</v>
      </c>
      <c r="E14" s="4" t="n">
        <f aca="false">Assumptions!E19</f>
        <v>12</v>
      </c>
      <c r="F14" s="4" t="n">
        <f aca="false">Assumptions!F19</f>
        <v>15</v>
      </c>
      <c r="G14" s="4" t="n">
        <f aca="false">Assumptions!G19</f>
        <v>18</v>
      </c>
      <c r="H14" s="4" t="n">
        <f aca="false">Assumptions!H19</f>
        <v>20</v>
      </c>
      <c r="I14" s="4" t="n">
        <f aca="false">Assumptions!I19</f>
        <v>22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1391.00105088</v>
      </c>
      <c r="D15" s="0" t="n">
        <f aca="false">D13-MAX(0,D13)*D14/100</f>
        <v>1356.0456754026</v>
      </c>
      <c r="E15" s="0" t="n">
        <f aca="false">E13-MAX(0,E13)*E14/100</f>
        <v>1335.26236509626</v>
      </c>
      <c r="F15" s="0" t="n">
        <f aca="false">F13-MAX(0,F13)*F14/100</f>
        <v>1301.63171164861</v>
      </c>
      <c r="G15" s="0" t="n">
        <f aca="false">G13-MAX(0,G13)*G14/100</f>
        <v>1282.05246004526</v>
      </c>
      <c r="H15" s="0" t="n">
        <f aca="false">H13-MAX(0,H13)*H14/100</f>
        <v>1270.79148694979</v>
      </c>
      <c r="I15" s="0" t="n">
        <f aca="false">I13-MAX(0,I13)*I14/100</f>
        <v>1263.80213377156</v>
      </c>
      <c r="J15" s="0" t="n">
        <f aca="false">J13-MAX(0,J13)*J14/100</f>
        <v>1272.55153315921</v>
      </c>
      <c r="K15" s="0" t="n">
        <f aca="false">K13-MAX(0,K13)*K14/100</f>
        <v>1298.0025638224</v>
      </c>
      <c r="L15" s="0" t="n">
        <f aca="false">L13-MAX(0,L13)*L14/100</f>
        <v>1323.96261509884</v>
      </c>
    </row>
    <row r="16" customFormat="false" ht="15" hidden="false" customHeight="false" outlineLevel="0" collapsed="false">
      <c r="A16" s="0" t="s">
        <v>116</v>
      </c>
      <c r="C16" s="0" t="n">
        <f aca="false">-C12</f>
        <v>908.352225</v>
      </c>
      <c r="D16" s="0" t="n">
        <f aca="false">-D12</f>
        <v>941.2731117</v>
      </c>
      <c r="E16" s="0" t="n">
        <f aca="false">-E12</f>
        <v>975.3517345995</v>
      </c>
      <c r="F16" s="0" t="n">
        <f aca="false">-F12</f>
        <v>1005.7219682517</v>
      </c>
      <c r="G16" s="0" t="n">
        <f aca="false">-G12</f>
        <v>1037.00111875239</v>
      </c>
      <c r="H16" s="0" t="n">
        <f aca="false">-H12</f>
        <v>1063.99996444771</v>
      </c>
      <c r="I16" s="0" t="n">
        <f aca="false">-I12</f>
        <v>1085.27996373667</v>
      </c>
      <c r="J16" s="0" t="n">
        <f aca="false">-J12</f>
        <v>1106.9855630114</v>
      </c>
      <c r="K16" s="0" t="n">
        <f aca="false">-K12</f>
        <v>1129.12527427163</v>
      </c>
      <c r="L16" s="0" t="n">
        <f aca="false">-L12</f>
        <v>1151.70777975706</v>
      </c>
    </row>
    <row r="17" customFormat="false" ht="15" hidden="false" customHeight="false" outlineLevel="0" collapsed="false">
      <c r="A17" s="0" t="s">
        <v>117</v>
      </c>
      <c r="C17" s="4" t="n">
        <f aca="false">-C6*Assumptions!C18/100</f>
        <v>-1871.7561</v>
      </c>
      <c r="D17" s="4" t="n">
        <f aca="false">-D6*Assumptions!D18/100</f>
        <v>-1871.2055835</v>
      </c>
      <c r="E17" s="4" t="n">
        <f aca="false">-E6*Assumptions!E18/100</f>
        <v>-1810.533160035</v>
      </c>
      <c r="F17" s="4" t="n">
        <f aca="false">-F6*Assumptions!F18/100</f>
        <v>-1736.06768329163</v>
      </c>
      <c r="G17" s="4" t="n">
        <f aca="false">-G6*Assumptions!G18/100</f>
        <v>-1656.74734948606</v>
      </c>
      <c r="H17" s="4" t="n">
        <f aca="false">-H6*Assumptions!H18/100</f>
        <v>-1627.29406327297</v>
      </c>
      <c r="I17" s="4" t="n">
        <f aca="false">-I6*Assumptions!I18/100</f>
        <v>-1595.99994667157</v>
      </c>
      <c r="J17" s="4" t="n">
        <f aca="false">-J6*Assumptions!J18/100</f>
        <v>-1562.8031477808</v>
      </c>
      <c r="K17" s="4" t="n">
        <f aca="false">-K6*Assumptions!K18/100</f>
        <v>-1594.05921073642</v>
      </c>
      <c r="L17" s="4" t="n">
        <f aca="false">-L6*Assumptions!L18/100</f>
        <v>-1625.94039495115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427.59717588</v>
      </c>
      <c r="D19" s="0" t="n">
        <f aca="false">D15+D16+D17+D18</f>
        <v>426.1132036026</v>
      </c>
      <c r="E19" s="0" t="n">
        <f aca="false">E15+E16+E17+E18</f>
        <v>500.080939660764</v>
      </c>
      <c r="F19" s="0" t="n">
        <f aca="false">F15+F16+F17+F18</f>
        <v>571.285996608689</v>
      </c>
      <c r="G19" s="0" t="n">
        <f aca="false">G15+G16+G17+G18</f>
        <v>662.306229311582</v>
      </c>
      <c r="H19" s="0" t="n">
        <f aca="false">H15+H16+H17+H18</f>
        <v>707.497388124527</v>
      </c>
      <c r="I19" s="0" t="n">
        <f aca="false">I15+I16+I17+I18</f>
        <v>753.08215083666</v>
      </c>
      <c r="J19" s="0" t="n">
        <f aca="false">J15+J16+J17+J18</f>
        <v>816.733948389812</v>
      </c>
      <c r="K19" s="0" t="n">
        <f aca="false">K15+K16+K17+K18</f>
        <v>833.068627357608</v>
      </c>
      <c r="L19" s="0" t="n">
        <f aca="false">L15+L16+L17+L18</f>
        <v>849.72999990476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405.305379981043</v>
      </c>
      <c r="D21" s="0" t="n">
        <f aca="false">D19*D20</f>
        <v>382.842437144359</v>
      </c>
      <c r="E21" s="0" t="n">
        <f aca="false">E19*E20</f>
        <v>425.875761412992</v>
      </c>
      <c r="F21" s="0" t="n">
        <f aca="false">F19*F20</f>
        <v>461.151621676619</v>
      </c>
      <c r="G21" s="0" t="n">
        <f aca="false">G19*G20</f>
        <v>506.753248809153</v>
      </c>
      <c r="H21" s="0" t="n">
        <f aca="false">H19*H20</f>
        <v>513.109532613099</v>
      </c>
      <c r="I21" s="0" t="n">
        <f aca="false">I19*I20</f>
        <v>517.696390350226</v>
      </c>
      <c r="J21" s="0" t="n">
        <f aca="false">J19*J20</f>
        <v>532.182918406538</v>
      </c>
      <c r="K21" s="0" t="n">
        <f aca="false">K19*K20</f>
        <v>514.527560923857</v>
      </c>
      <c r="L21" s="0" t="n">
        <f aca="false">L19*L20</f>
        <v>497.457926201264</v>
      </c>
    </row>
    <row r="23" customFormat="false" ht="15" hidden="false" customHeight="false" outlineLevel="0" collapsed="false">
      <c r="A23" s="0" t="s">
        <v>97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Assumptions!$B$20</f>
        <v>5.5</v>
      </c>
    </row>
    <row r="28" customFormat="false" ht="15" hidden="false" customHeight="false" outlineLevel="0" collapsed="false">
      <c r="A28" s="0" t="s">
        <v>102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Assumptions!$B$22</f>
        <v>34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4756.90277751915</v>
      </c>
    </row>
    <row r="31" customFormat="false" ht="15" hidden="false" customHeight="false" outlineLevel="0" collapsed="false">
      <c r="A31" s="0" t="s">
        <v>125</v>
      </c>
      <c r="B31" s="0" t="n">
        <f aca="false">L19</f>
        <v>849.72999990476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29032.4416634126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28890.8199967619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28890.8199967619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16913.569490843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21670.4722683621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1213.47226836214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10.6866778367428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-0.866014570752975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55.263524246901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162.612018036546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12.6054408687414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6967.78599921903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-138.732628561328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139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Assumptions!C27</f>
        <v>5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4.5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</v>
      </c>
      <c r="J5" s="4" t="n">
        <f aca="false">Assumptions!J27</f>
        <v>3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5319</v>
      </c>
      <c r="C6" s="0" t="n">
        <f aca="false">B6*(1+C5/100)</f>
        <v>5584.95</v>
      </c>
      <c r="D6" s="0" t="n">
        <f aca="false">C6*(1+D5/100)</f>
        <v>5864.1975</v>
      </c>
      <c r="E6" s="0" t="n">
        <f aca="false">D6*(1+E5/100)</f>
        <v>6128.0863875</v>
      </c>
      <c r="F6" s="0" t="n">
        <f aca="false">E6*(1+F5/100)</f>
        <v>6403.8502749375</v>
      </c>
      <c r="G6" s="0" t="n">
        <f aca="false">F6*(1+G5/100)</f>
        <v>6660.004285935</v>
      </c>
      <c r="H6" s="0" t="n">
        <f aca="false">G6*(1+H5/100)</f>
        <v>6893.10443594272</v>
      </c>
      <c r="I6" s="0" t="n">
        <f aca="false">H6*(1+I5/100)</f>
        <v>7099.89756902101</v>
      </c>
      <c r="J6" s="0" t="n">
        <f aca="false">I6*(1+J5/100)</f>
        <v>7312.89449609164</v>
      </c>
      <c r="K6" s="0" t="n">
        <f aca="false">J6*(1+K5/100)</f>
        <v>7495.71685849393</v>
      </c>
      <c r="L6" s="0" t="n">
        <f aca="false">K6*(1+L5/100)</f>
        <v>7683.10977995628</v>
      </c>
    </row>
    <row r="7" customFormat="false" ht="15" hidden="false" customHeight="false" outlineLevel="0" collapsed="false">
      <c r="A7" s="0" t="s">
        <v>95</v>
      </c>
      <c r="C7" s="4" t="n">
        <f aca="false">Assumptions!C28</f>
        <v>44.5</v>
      </c>
      <c r="D7" s="4" t="n">
        <f aca="false">Assumptions!D28</f>
        <v>44.7</v>
      </c>
      <c r="E7" s="4" t="n">
        <f aca="false">Assumptions!E28</f>
        <v>44.9</v>
      </c>
      <c r="F7" s="4" t="n">
        <f aca="false">Assumptions!F28</f>
        <v>45</v>
      </c>
      <c r="G7" s="4" t="n">
        <f aca="false">Assumptions!G28</f>
        <v>45</v>
      </c>
      <c r="H7" s="4" t="n">
        <f aca="false">Assumptions!H28</f>
        <v>45</v>
      </c>
      <c r="I7" s="4" t="n">
        <f aca="false">Assumptions!I28</f>
        <v>45</v>
      </c>
      <c r="J7" s="4" t="n">
        <f aca="false">Assumptions!J28</f>
        <v>45</v>
      </c>
      <c r="K7" s="4" t="n">
        <f aca="false">Assumptions!K28</f>
        <v>45</v>
      </c>
      <c r="L7" s="4" t="n">
        <f aca="false">Assumptions!L28</f>
        <v>45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2485.30275</v>
      </c>
      <c r="D8" s="0" t="n">
        <f aca="false">D6*D7/100</f>
        <v>2621.2962825</v>
      </c>
      <c r="E8" s="0" t="n">
        <f aca="false">E6*E7/100</f>
        <v>2751.5107879875</v>
      </c>
      <c r="F8" s="0" t="n">
        <f aca="false">F6*F7/100</f>
        <v>2881.73262372187</v>
      </c>
      <c r="G8" s="0" t="n">
        <f aca="false">G6*G7/100</f>
        <v>2997.00192867075</v>
      </c>
      <c r="H8" s="0" t="n">
        <f aca="false">H6*H7/100</f>
        <v>3101.89699617423</v>
      </c>
      <c r="I8" s="0" t="n">
        <f aca="false">I6*I7/100</f>
        <v>3194.95390605945</v>
      </c>
      <c r="J8" s="0" t="n">
        <f aca="false">J6*J7/100</f>
        <v>3290.80252324124</v>
      </c>
      <c r="K8" s="0" t="n">
        <f aca="false">K6*K7/100</f>
        <v>3373.07258632227</v>
      </c>
      <c r="L8" s="0" t="n">
        <f aca="false">L6*L7/100</f>
        <v>3457.39940098032</v>
      </c>
    </row>
    <row r="9" customFormat="false" ht="15" hidden="false" customHeight="false" outlineLevel="0" collapsed="false">
      <c r="A9" s="0" t="s">
        <v>96</v>
      </c>
      <c r="C9" s="4" t="n">
        <f aca="false">Assumptions!C29</f>
        <v>0.12</v>
      </c>
      <c r="D9" s="4" t="n">
        <f aca="false">Assumptions!D29</f>
        <v>0.12</v>
      </c>
      <c r="E9" s="4" t="n">
        <f aca="false">Assumptions!E29</f>
        <v>0.12</v>
      </c>
      <c r="F9" s="4" t="n">
        <f aca="false">Assumptions!F29</f>
        <v>0.12</v>
      </c>
      <c r="G9" s="4" t="n">
        <f aca="false">Assumptions!G29</f>
        <v>0.12</v>
      </c>
      <c r="H9" s="4" t="n">
        <f aca="false">Assumptions!H29</f>
        <v>0.12</v>
      </c>
      <c r="I9" s="4" t="n">
        <f aca="false">Assumptions!I29</f>
        <v>0.12</v>
      </c>
      <c r="J9" s="4" t="n">
        <f aca="false">Assumptions!J29</f>
        <v>0.12</v>
      </c>
      <c r="K9" s="4" t="n">
        <f aca="false">Assumptions!K29</f>
        <v>0.12</v>
      </c>
      <c r="L9" s="4" t="n">
        <f aca="false">Assumptions!L29</f>
        <v>0.12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-6.70194</v>
      </c>
      <c r="D10" s="0" t="n">
        <f aca="false">-D6*D9/100</f>
        <v>-7.037037</v>
      </c>
      <c r="E10" s="0" t="n">
        <f aca="false">-E6*E9/100</f>
        <v>-7.353703665</v>
      </c>
      <c r="F10" s="0" t="n">
        <f aca="false">-F6*F9/100</f>
        <v>-7.684620329925</v>
      </c>
      <c r="G10" s="0" t="n">
        <f aca="false">-G6*G9/100</f>
        <v>-7.992005143122</v>
      </c>
      <c r="H10" s="0" t="n">
        <f aca="false">-H6*H9/100</f>
        <v>-8.27172532313127</v>
      </c>
      <c r="I10" s="0" t="n">
        <f aca="false">-I6*I9/100</f>
        <v>-8.51987708282521</v>
      </c>
      <c r="J10" s="0" t="n">
        <f aca="false">-J6*J9/100</f>
        <v>-8.77547339530996</v>
      </c>
      <c r="K10" s="0" t="n">
        <f aca="false">-K6*K9/100</f>
        <v>-8.99486023019271</v>
      </c>
      <c r="L10" s="0" t="n">
        <f aca="false">-L6*L9/100</f>
        <v>-9.21973173594753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2478.60081</v>
      </c>
      <c r="D11" s="0" t="n">
        <f aca="false">D8+D10+D24</f>
        <v>2614.2592455</v>
      </c>
      <c r="E11" s="0" t="n">
        <f aca="false">E8+E10+E24</f>
        <v>2744.1570843225</v>
      </c>
      <c r="F11" s="0" t="n">
        <f aca="false">F8+F10+F24</f>
        <v>2874.04800339195</v>
      </c>
      <c r="G11" s="0" t="n">
        <f aca="false">G8+G10+G24</f>
        <v>2989.00992352763</v>
      </c>
      <c r="H11" s="0" t="n">
        <f aca="false">H8+H10+H24</f>
        <v>3093.62527085109</v>
      </c>
      <c r="I11" s="0" t="n">
        <f aca="false">I8+I10+I24</f>
        <v>3186.43402897663</v>
      </c>
      <c r="J11" s="0" t="n">
        <f aca="false">J8+J10+J24</f>
        <v>3282.02704984593</v>
      </c>
      <c r="K11" s="0" t="n">
        <f aca="false">K8+K10+K24</f>
        <v>3364.07772609207</v>
      </c>
      <c r="L11" s="0" t="n">
        <f aca="false">L8+L10+L24</f>
        <v>3448.17966924438</v>
      </c>
    </row>
    <row r="12" customFormat="false" ht="15" hidden="false" customHeight="false" outlineLevel="0" collapsed="false">
      <c r="A12" s="0" t="s">
        <v>113</v>
      </c>
      <c r="C12" s="4" t="n">
        <f aca="false">-C6*Assumptions!C31/100</f>
        <v>-910.34685</v>
      </c>
      <c r="D12" s="4" t="n">
        <f aca="false">-D6*Assumptions!D31/100</f>
        <v>-961.72839</v>
      </c>
      <c r="E12" s="4" t="n">
        <f aca="false">-E6*Assumptions!E31/100</f>
        <v>-1011.1342539375</v>
      </c>
      <c r="F12" s="4" t="n">
        <f aca="false">-F6*Assumptions!F31/100</f>
        <v>-1063.03914563962</v>
      </c>
      <c r="G12" s="4" t="n">
        <f aca="false">-G6*Assumptions!G31/100</f>
        <v>-1112.22071575114</v>
      </c>
      <c r="H12" s="4" t="n">
        <f aca="false">-H6*Assumptions!H31/100</f>
        <v>-1151.14844080243</v>
      </c>
      <c r="I12" s="4" t="n">
        <f aca="false">-I6*Assumptions!I31/100</f>
        <v>-1185.68289402651</v>
      </c>
      <c r="J12" s="4" t="n">
        <f aca="false">-J6*Assumptions!J31/100</f>
        <v>-1221.2533808473</v>
      </c>
      <c r="K12" s="4" t="n">
        <f aca="false">-K6*Assumptions!K31/100</f>
        <v>-1251.78471536849</v>
      </c>
      <c r="L12" s="4" t="n">
        <f aca="false">-L6*Assumptions!L31/100</f>
        <v>-1283.0793332527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1568.25396</v>
      </c>
      <c r="D13" s="0" t="n">
        <f aca="false">D11+D12</f>
        <v>1652.5308555</v>
      </c>
      <c r="E13" s="0" t="n">
        <f aca="false">E11+E12</f>
        <v>1733.022830385</v>
      </c>
      <c r="F13" s="0" t="n">
        <f aca="false">F11+F12</f>
        <v>1811.00885775232</v>
      </c>
      <c r="G13" s="0" t="n">
        <f aca="false">G11+G12</f>
        <v>1876.78920777648</v>
      </c>
      <c r="H13" s="0" t="n">
        <f aca="false">H11+H12</f>
        <v>1942.47683004866</v>
      </c>
      <c r="I13" s="0" t="n">
        <f aca="false">I11+I12</f>
        <v>2000.75113495012</v>
      </c>
      <c r="J13" s="0" t="n">
        <f aca="false">J11+J12</f>
        <v>2060.77366899862</v>
      </c>
      <c r="K13" s="0" t="n">
        <f aca="false">K11+K12</f>
        <v>2112.29301072359</v>
      </c>
      <c r="L13" s="0" t="n">
        <f aca="false">L11+L12</f>
        <v>2165.10033599168</v>
      </c>
    </row>
    <row r="14" customFormat="false" ht="15" hidden="false" customHeight="false" outlineLevel="0" collapsed="false">
      <c r="A14" s="0" t="s">
        <v>100</v>
      </c>
      <c r="C14" s="4" t="n">
        <f aca="false">Assumptions!C33</f>
        <v>5</v>
      </c>
      <c r="D14" s="4" t="n">
        <f aca="false">Assumptions!D33</f>
        <v>7</v>
      </c>
      <c r="E14" s="4" t="n">
        <f aca="false">Assumptions!E33</f>
        <v>9</v>
      </c>
      <c r="F14" s="4" t="n">
        <f aca="false">Assumptions!F33</f>
        <v>11</v>
      </c>
      <c r="G14" s="4" t="n">
        <f aca="false">Assumptions!G33</f>
        <v>13</v>
      </c>
      <c r="H14" s="4" t="n">
        <f aca="false">Assumptions!H33</f>
        <v>15</v>
      </c>
      <c r="I14" s="4" t="n">
        <f aca="false">Assumptions!I33</f>
        <v>17</v>
      </c>
      <c r="J14" s="4" t="n">
        <f aca="false">Assumptions!J33</f>
        <v>18</v>
      </c>
      <c r="K14" s="4" t="n">
        <f aca="false">Assumptions!K33</f>
        <v>19</v>
      </c>
      <c r="L14" s="4" t="n">
        <f aca="false">Assumptions!L33</f>
        <v>20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1489.841262</v>
      </c>
      <c r="D15" s="0" t="n">
        <f aca="false">D13-MAX(0,D13)*D14/100</f>
        <v>1536.853695615</v>
      </c>
      <c r="E15" s="0" t="n">
        <f aca="false">E13-MAX(0,E13)*E14/100</f>
        <v>1577.05077565035</v>
      </c>
      <c r="F15" s="0" t="n">
        <f aca="false">F13-MAX(0,F13)*F14/100</f>
        <v>1611.79788339957</v>
      </c>
      <c r="G15" s="0" t="n">
        <f aca="false">G13-MAX(0,G13)*G14/100</f>
        <v>1632.80661076554</v>
      </c>
      <c r="H15" s="0" t="n">
        <f aca="false">H13-MAX(0,H13)*H14/100</f>
        <v>1651.10530554136</v>
      </c>
      <c r="I15" s="0" t="n">
        <f aca="false">I13-MAX(0,I13)*I14/100</f>
        <v>1660.6234420086</v>
      </c>
      <c r="J15" s="0" t="n">
        <f aca="false">J13-MAX(0,J13)*J14/100</f>
        <v>1689.83440857887</v>
      </c>
      <c r="K15" s="0" t="n">
        <f aca="false">K13-MAX(0,K13)*K14/100</f>
        <v>1710.95733868611</v>
      </c>
      <c r="L15" s="0" t="n">
        <f aca="false">L13-MAX(0,L13)*L14/100</f>
        <v>1732.08026879334</v>
      </c>
    </row>
    <row r="16" customFormat="false" ht="15" hidden="false" customHeight="false" outlineLevel="0" collapsed="false">
      <c r="A16" s="0" t="s">
        <v>116</v>
      </c>
      <c r="C16" s="0" t="n">
        <f aca="false">-C12</f>
        <v>910.34685</v>
      </c>
      <c r="D16" s="0" t="n">
        <f aca="false">-D12</f>
        <v>961.72839</v>
      </c>
      <c r="E16" s="0" t="n">
        <f aca="false">-E12</f>
        <v>1011.1342539375</v>
      </c>
      <c r="F16" s="0" t="n">
        <f aca="false">-F12</f>
        <v>1063.03914563962</v>
      </c>
      <c r="G16" s="0" t="n">
        <f aca="false">-G12</f>
        <v>1112.22071575114</v>
      </c>
      <c r="H16" s="0" t="n">
        <f aca="false">-H12</f>
        <v>1151.14844080243</v>
      </c>
      <c r="I16" s="0" t="n">
        <f aca="false">-I12</f>
        <v>1185.68289402651</v>
      </c>
      <c r="J16" s="0" t="n">
        <f aca="false">-J12</f>
        <v>1221.2533808473</v>
      </c>
      <c r="K16" s="0" t="n">
        <f aca="false">-K12</f>
        <v>1251.78471536849</v>
      </c>
      <c r="L16" s="0" t="n">
        <f aca="false">-L12</f>
        <v>1283.0793332527</v>
      </c>
    </row>
    <row r="17" customFormat="false" ht="15" hidden="false" customHeight="false" outlineLevel="0" collapsed="false">
      <c r="A17" s="0" t="s">
        <v>117</v>
      </c>
      <c r="C17" s="4" t="n">
        <f aca="false">-C6*Assumptions!C32/100</f>
        <v>-1954.7325</v>
      </c>
      <c r="D17" s="4" t="n">
        <f aca="false">-D6*Assumptions!D32/100</f>
        <v>-2052.469125</v>
      </c>
      <c r="E17" s="4" t="n">
        <f aca="false">-E6*Assumptions!E32/100</f>
        <v>-2022.268507875</v>
      </c>
      <c r="F17" s="4" t="n">
        <f aca="false">-F6*Assumptions!F32/100</f>
        <v>-1985.19358523062</v>
      </c>
      <c r="G17" s="4" t="n">
        <f aca="false">-G6*Assumptions!G32/100</f>
        <v>-1931.40124292115</v>
      </c>
      <c r="H17" s="4" t="n">
        <f aca="false">-H6*Assumptions!H32/100</f>
        <v>-1930.06924206396</v>
      </c>
      <c r="I17" s="4" t="n">
        <f aca="false">-I6*Assumptions!I32/100</f>
        <v>-1916.97234363567</v>
      </c>
      <c r="J17" s="4" t="n">
        <f aca="false">-J6*Assumptions!J32/100</f>
        <v>-1901.35256898383</v>
      </c>
      <c r="K17" s="4" t="n">
        <f aca="false">-K6*Assumptions!K32/100</f>
        <v>-1873.92921462348</v>
      </c>
      <c r="L17" s="4" t="n">
        <f aca="false">-L6*Assumptions!L32/100</f>
        <v>-1920.77744498907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445.455612</v>
      </c>
      <c r="D19" s="0" t="n">
        <f aca="false">D15+D16+D17+D18</f>
        <v>446.112960615</v>
      </c>
      <c r="E19" s="0" t="n">
        <f aca="false">E15+E16+E17+E18</f>
        <v>565.91652171285</v>
      </c>
      <c r="F19" s="0" t="n">
        <f aca="false">F15+F16+F17+F18</f>
        <v>689.643443808569</v>
      </c>
      <c r="G19" s="0" t="n">
        <f aca="false">G15+G16+G17+G18</f>
        <v>813.626083595535</v>
      </c>
      <c r="H19" s="0" t="n">
        <f aca="false">H15+H16+H17+H18</f>
        <v>872.184504279833</v>
      </c>
      <c r="I19" s="0" t="n">
        <f aca="false">I15+I16+I17+I18</f>
        <v>929.333992399435</v>
      </c>
      <c r="J19" s="0" t="n">
        <f aca="false">J15+J16+J17+J18</f>
        <v>1009.73522044235</v>
      </c>
      <c r="K19" s="0" t="n">
        <f aca="false">K15+K16+K17+K18</f>
        <v>1088.81283943111</v>
      </c>
      <c r="L19" s="0" t="n">
        <f aca="false">L15+L16+L17+L18</f>
        <v>1094.38215705697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422.232807582938</v>
      </c>
      <c r="D21" s="0" t="n">
        <f aca="false">D19*D20</f>
        <v>400.811267145842</v>
      </c>
      <c r="E21" s="0" t="n">
        <f aca="false">E19*E20</f>
        <v>481.942242678044</v>
      </c>
      <c r="F21" s="0" t="n">
        <f aca="false">F19*F20</f>
        <v>556.691734750868</v>
      </c>
      <c r="G21" s="0" t="n">
        <f aca="false">G19*G20</f>
        <v>622.533267740012</v>
      </c>
      <c r="H21" s="0" t="n">
        <f aca="false">H19*H20</f>
        <v>632.548177357572</v>
      </c>
      <c r="I21" s="0" t="n">
        <f aca="false">I19*I20</f>
        <v>638.858393815927</v>
      </c>
      <c r="J21" s="0" t="n">
        <f aca="false">J19*J20</f>
        <v>657.942329313345</v>
      </c>
      <c r="K21" s="0" t="n">
        <f aca="false">K19*K20</f>
        <v>672.482669707574</v>
      </c>
      <c r="L21" s="0" t="n">
        <f aca="false">L19*L20</f>
        <v>640.684780321098</v>
      </c>
    </row>
    <row r="23" customFormat="false" ht="15" hidden="false" customHeight="false" outlineLevel="0" collapsed="false">
      <c r="A23" s="0" t="s">
        <v>97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Assumptions!$B$34</f>
        <v>5.5</v>
      </c>
    </row>
    <row r="28" customFormat="false" ht="15" hidden="false" customHeight="false" outlineLevel="0" collapsed="false">
      <c r="A28" s="0" t="s">
        <v>102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Assumptions!$B$36</f>
        <v>36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5726.72767041322</v>
      </c>
    </row>
    <row r="31" customFormat="false" ht="15" hidden="false" customHeight="false" outlineLevel="0" collapsed="false">
      <c r="A31" s="0" t="s">
        <v>125</v>
      </c>
      <c r="B31" s="0" t="n">
        <f aca="false">L19</f>
        <v>1094.38215705697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37391.3903661132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39397.757654051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37391.3903661132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21890.0633276375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27616.7909980507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7159.79099805073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63.0540818850791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-0.209452333436822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59.7826208252866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184.415023821714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65.2046555939915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8973.93368786717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-129.516809117119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140</v>
      </c>
    </row>
    <row r="3" customFormat="false" ht="15" hidden="false" customHeight="false" outlineLevel="0" collapsed="false">
      <c r="A3" s="0" t="s">
        <v>109</v>
      </c>
      <c r="B3" s="0" t="s">
        <v>79</v>
      </c>
      <c r="C3" s="2" t="s">
        <v>84</v>
      </c>
      <c r="D3" s="2" t="s">
        <v>85</v>
      </c>
      <c r="E3" s="2" t="s">
        <v>86</v>
      </c>
      <c r="F3" s="2" t="s">
        <v>87</v>
      </c>
      <c r="G3" s="2" t="s">
        <v>88</v>
      </c>
      <c r="H3" s="2" t="s">
        <v>89</v>
      </c>
      <c r="I3" s="2" t="s">
        <v>90</v>
      </c>
      <c r="J3" s="2" t="s">
        <v>91</v>
      </c>
      <c r="K3" s="2" t="s">
        <v>92</v>
      </c>
      <c r="L3" s="2" t="s">
        <v>93</v>
      </c>
    </row>
    <row r="4" customFormat="false" ht="15" hidden="false" customHeight="false" outlineLevel="0" collapsed="false">
      <c r="A4" s="0" t="s">
        <v>110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94</v>
      </c>
      <c r="C5" s="4" t="n">
        <f aca="false">Assumptions!C41</f>
        <v>6</v>
      </c>
      <c r="D5" s="4" t="n">
        <f aca="false">Assumptions!D41</f>
        <v>6</v>
      </c>
      <c r="E5" s="4" t="n">
        <f aca="false">Assumptions!E41</f>
        <v>5.5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5319</v>
      </c>
      <c r="C6" s="0" t="n">
        <f aca="false">B6*(1+C5/100)</f>
        <v>5638.14</v>
      </c>
      <c r="D6" s="0" t="n">
        <f aca="false">C6*(1+D5/100)</f>
        <v>5976.4284</v>
      </c>
      <c r="E6" s="0" t="n">
        <f aca="false">D6*(1+E5/100)</f>
        <v>6305.131962</v>
      </c>
      <c r="F6" s="0" t="n">
        <f aca="false">E6*(1+F5/100)</f>
        <v>6620.3885601</v>
      </c>
      <c r="G6" s="0" t="n">
        <f aca="false">F6*(1+G5/100)</f>
        <v>6918.3060453045</v>
      </c>
      <c r="H6" s="0" t="n">
        <f aca="false">G6*(1+H5/100)</f>
        <v>7195.03828711668</v>
      </c>
      <c r="I6" s="0" t="n">
        <f aca="false">H6*(1+I5/100)</f>
        <v>7446.86462716576</v>
      </c>
      <c r="J6" s="0" t="n">
        <f aca="false">I6*(1+J5/100)</f>
        <v>7670.27056598074</v>
      </c>
      <c r="K6" s="0" t="n">
        <f aca="false">J6*(1+K5/100)</f>
        <v>7900.37868296016</v>
      </c>
      <c r="L6" s="0" t="n">
        <f aca="false">K6*(1+L5/100)</f>
        <v>8137.39004344897</v>
      </c>
    </row>
    <row r="7" customFormat="false" ht="15" hidden="false" customHeight="false" outlineLevel="0" collapsed="false">
      <c r="A7" s="0" t="s">
        <v>95</v>
      </c>
      <c r="C7" s="4" t="n">
        <f aca="false">Assumptions!C42</f>
        <v>44.7</v>
      </c>
      <c r="D7" s="4" t="n">
        <f aca="false">Assumptions!D42</f>
        <v>45</v>
      </c>
      <c r="E7" s="4" t="n">
        <f aca="false">Assumptions!E42</f>
        <v>45.3</v>
      </c>
      <c r="F7" s="4" t="n">
        <f aca="false">Assumptions!F42</f>
        <v>45.6</v>
      </c>
      <c r="G7" s="4" t="n">
        <f aca="false">Assumptions!G42</f>
        <v>45.8</v>
      </c>
      <c r="H7" s="4" t="n">
        <f aca="false">Assumptions!H42</f>
        <v>46</v>
      </c>
      <c r="I7" s="4" t="n">
        <f aca="false">Assumptions!I42</f>
        <v>46</v>
      </c>
      <c r="J7" s="4" t="n">
        <f aca="false">Assumptions!J42</f>
        <v>46</v>
      </c>
      <c r="K7" s="4" t="n">
        <f aca="false">Assumptions!K42</f>
        <v>46</v>
      </c>
      <c r="L7" s="4" t="n">
        <f aca="false">Assumptions!L42</f>
        <v>46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2520.24858</v>
      </c>
      <c r="D8" s="0" t="n">
        <f aca="false">D6*D7/100</f>
        <v>2689.39278</v>
      </c>
      <c r="E8" s="0" t="n">
        <f aca="false">E6*E7/100</f>
        <v>2856.224778786</v>
      </c>
      <c r="F8" s="0" t="n">
        <f aca="false">F6*F7/100</f>
        <v>3018.8971834056</v>
      </c>
      <c r="G8" s="0" t="n">
        <f aca="false">G6*G7/100</f>
        <v>3168.58416874946</v>
      </c>
      <c r="H8" s="0" t="n">
        <f aca="false">H6*H7/100</f>
        <v>3309.71761207367</v>
      </c>
      <c r="I8" s="0" t="n">
        <f aca="false">I6*I7/100</f>
        <v>3425.55772849625</v>
      </c>
      <c r="J8" s="0" t="n">
        <f aca="false">J6*J7/100</f>
        <v>3528.32446035114</v>
      </c>
      <c r="K8" s="0" t="n">
        <f aca="false">K6*K7/100</f>
        <v>3634.17419416167</v>
      </c>
      <c r="L8" s="0" t="n">
        <f aca="false">L6*L7/100</f>
        <v>3743.19941998652</v>
      </c>
    </row>
    <row r="9" customFormat="false" ht="15" hidden="false" customHeight="false" outlineLevel="0" collapsed="false">
      <c r="A9" s="0" t="s">
        <v>96</v>
      </c>
      <c r="C9" s="4" t="n">
        <f aca="false">Assumptions!C43</f>
        <v>0.12</v>
      </c>
      <c r="D9" s="4" t="n">
        <f aca="false">Assumptions!D43</f>
        <v>0.12</v>
      </c>
      <c r="E9" s="4" t="n">
        <f aca="false">Assumptions!E43</f>
        <v>0.12</v>
      </c>
      <c r="F9" s="4" t="n">
        <f aca="false">Assumptions!F43</f>
        <v>0.12</v>
      </c>
      <c r="G9" s="4" t="n">
        <f aca="false">Assumptions!G43</f>
        <v>0.12</v>
      </c>
      <c r="H9" s="4" t="n">
        <f aca="false">Assumptions!H43</f>
        <v>0.12</v>
      </c>
      <c r="I9" s="4" t="n">
        <f aca="false">Assumptions!I43</f>
        <v>0.12</v>
      </c>
      <c r="J9" s="4" t="n">
        <f aca="false">Assumptions!J43</f>
        <v>0.12</v>
      </c>
      <c r="K9" s="4" t="n">
        <f aca="false">Assumptions!K43</f>
        <v>0.12</v>
      </c>
      <c r="L9" s="4" t="n">
        <f aca="false">Assumptions!L43</f>
        <v>0.12</v>
      </c>
    </row>
    <row r="10" customFormat="false" ht="15" hidden="false" customHeight="false" outlineLevel="0" collapsed="false">
      <c r="A10" s="0" t="s">
        <v>111</v>
      </c>
      <c r="C10" s="0" t="n">
        <f aca="false">-C6*C9/100</f>
        <v>-6.765768</v>
      </c>
      <c r="D10" s="0" t="n">
        <f aca="false">-D6*D9/100</f>
        <v>-7.17171408</v>
      </c>
      <c r="E10" s="0" t="n">
        <f aca="false">-E6*E9/100</f>
        <v>-7.5661583544</v>
      </c>
      <c r="F10" s="0" t="n">
        <f aca="false">-F6*F9/100</f>
        <v>-7.94446627212</v>
      </c>
      <c r="G10" s="0" t="n">
        <f aca="false">-G6*G9/100</f>
        <v>-8.3019672543654</v>
      </c>
      <c r="H10" s="0" t="n">
        <f aca="false">-H6*H9/100</f>
        <v>-8.63404594454002</v>
      </c>
      <c r="I10" s="0" t="n">
        <f aca="false">-I6*I9/100</f>
        <v>-8.93623755259892</v>
      </c>
      <c r="J10" s="0" t="n">
        <f aca="false">-J6*J9/100</f>
        <v>-9.20432467917689</v>
      </c>
      <c r="K10" s="0" t="n">
        <f aca="false">-K6*K9/100</f>
        <v>-9.48045441955219</v>
      </c>
      <c r="L10" s="0" t="n">
        <f aca="false">-L6*L9/100</f>
        <v>-9.76486805213876</v>
      </c>
    </row>
    <row r="11" customFormat="false" ht="15" hidden="false" customHeight="false" outlineLevel="0" collapsed="false">
      <c r="A11" s="0" t="s">
        <v>112</v>
      </c>
      <c r="C11" s="0" t="n">
        <f aca="false">C8+C10+C24</f>
        <v>2513.482812</v>
      </c>
      <c r="D11" s="0" t="n">
        <f aca="false">D8+D10+D24</f>
        <v>2682.22106592</v>
      </c>
      <c r="E11" s="0" t="n">
        <f aca="false">E8+E10+E24</f>
        <v>2848.6586204316</v>
      </c>
      <c r="F11" s="0" t="n">
        <f aca="false">F8+F10+F24</f>
        <v>3010.95271713348</v>
      </c>
      <c r="G11" s="0" t="n">
        <f aca="false">G8+G10+G24</f>
        <v>3160.2822014951</v>
      </c>
      <c r="H11" s="0" t="n">
        <f aca="false">H8+H10+H24</f>
        <v>3301.08356612913</v>
      </c>
      <c r="I11" s="0" t="n">
        <f aca="false">I8+I10+I24</f>
        <v>3416.62149094365</v>
      </c>
      <c r="J11" s="0" t="n">
        <f aca="false">J8+J10+J24</f>
        <v>3519.12013567196</v>
      </c>
      <c r="K11" s="0" t="n">
        <f aca="false">K8+K10+K24</f>
        <v>3624.69373974212</v>
      </c>
      <c r="L11" s="0" t="n">
        <f aca="false">L8+L10+L24</f>
        <v>3733.43455193439</v>
      </c>
    </row>
    <row r="12" customFormat="false" ht="15" hidden="false" customHeight="false" outlineLevel="0" collapsed="false">
      <c r="A12" s="0" t="s">
        <v>113</v>
      </c>
      <c r="C12" s="4" t="n">
        <f aca="false">-C6*Assumptions!C45/100</f>
        <v>-919.01682</v>
      </c>
      <c r="D12" s="4" t="n">
        <f aca="false">-D6*Assumptions!D45/100</f>
        <v>-980.1342576</v>
      </c>
      <c r="E12" s="4" t="n">
        <f aca="false">-E6*Assumptions!E45/100</f>
        <v>-1040.34677373</v>
      </c>
      <c r="F12" s="4" t="n">
        <f aca="false">-F6*Assumptions!F45/100</f>
        <v>-1098.9845009766</v>
      </c>
      <c r="G12" s="4" t="n">
        <f aca="false">-G6*Assumptions!G45/100</f>
        <v>-1155.35710956585</v>
      </c>
      <c r="H12" s="4" t="n">
        <f aca="false">-H6*Assumptions!H45/100</f>
        <v>-1208.7664322356</v>
      </c>
      <c r="I12" s="4" t="n">
        <f aca="false">-I6*Assumptions!I45/100</f>
        <v>-1251.07325736385</v>
      </c>
      <c r="J12" s="4" t="n">
        <f aca="false">-J6*Assumptions!J45/100</f>
        <v>-1288.60545508476</v>
      </c>
      <c r="K12" s="4" t="n">
        <f aca="false">-K6*Assumptions!K45/100</f>
        <v>-1327.26361873731</v>
      </c>
      <c r="L12" s="4" t="n">
        <f aca="false">-L6*Assumptions!L45/100</f>
        <v>-1367.08152729943</v>
      </c>
    </row>
    <row r="13" customFormat="false" ht="15" hidden="false" customHeight="false" outlineLevel="0" collapsed="false">
      <c r="A13" s="0" t="s">
        <v>114</v>
      </c>
      <c r="C13" s="0" t="n">
        <f aca="false">C11+C12</f>
        <v>1594.465992</v>
      </c>
      <c r="D13" s="0" t="n">
        <f aca="false">D11+D12</f>
        <v>1702.08680832</v>
      </c>
      <c r="E13" s="0" t="n">
        <f aca="false">E11+E12</f>
        <v>1808.3118467016</v>
      </c>
      <c r="F13" s="0" t="n">
        <f aca="false">F11+F12</f>
        <v>1911.96821615688</v>
      </c>
      <c r="G13" s="0" t="n">
        <f aca="false">G11+G12</f>
        <v>2004.92509192924</v>
      </c>
      <c r="H13" s="0" t="n">
        <f aca="false">H11+H12</f>
        <v>2092.31713389353</v>
      </c>
      <c r="I13" s="0" t="n">
        <f aca="false">I11+I12</f>
        <v>2165.5482335798</v>
      </c>
      <c r="J13" s="0" t="n">
        <f aca="false">J11+J12</f>
        <v>2230.5146805872</v>
      </c>
      <c r="K13" s="0" t="n">
        <f aca="false">K11+K12</f>
        <v>2297.43012100481</v>
      </c>
      <c r="L13" s="0" t="n">
        <f aca="false">L11+L12</f>
        <v>2366.35302463496</v>
      </c>
    </row>
    <row r="14" customFormat="false" ht="15" hidden="false" customHeight="false" outlineLevel="0" collapsed="false">
      <c r="A14" s="0" t="s">
        <v>100</v>
      </c>
      <c r="C14" s="4" t="n">
        <f aca="false">Assumptions!C47</f>
        <v>4</v>
      </c>
      <c r="D14" s="4" t="n">
        <f aca="false">Assumptions!D47</f>
        <v>5</v>
      </c>
      <c r="E14" s="4" t="n">
        <f aca="false">Assumptions!E47</f>
        <v>7</v>
      </c>
      <c r="F14" s="4" t="n">
        <f aca="false">Assumptions!F47</f>
        <v>9</v>
      </c>
      <c r="G14" s="4" t="n">
        <f aca="false">Assumptions!G47</f>
        <v>11</v>
      </c>
      <c r="H14" s="4" t="n">
        <f aca="false">Assumptions!H47</f>
        <v>13</v>
      </c>
      <c r="I14" s="4" t="n">
        <f aca="false">Assumptions!I47</f>
        <v>14</v>
      </c>
      <c r="J14" s="4" t="n">
        <f aca="false">Assumptions!J47</f>
        <v>15</v>
      </c>
      <c r="K14" s="4" t="n">
        <f aca="false">Assumptions!K47</f>
        <v>16</v>
      </c>
      <c r="L14" s="4" t="n">
        <f aca="false">Assumptions!L47</f>
        <v>17</v>
      </c>
    </row>
    <row r="15" customFormat="false" ht="15" hidden="false" customHeight="false" outlineLevel="0" collapsed="false">
      <c r="A15" s="0" t="s">
        <v>115</v>
      </c>
      <c r="C15" s="0" t="n">
        <f aca="false">C13-MAX(0,C13)*C14/100</f>
        <v>1530.68735232</v>
      </c>
      <c r="D15" s="0" t="n">
        <f aca="false">D13-MAX(0,D13)*D14/100</f>
        <v>1616.982467904</v>
      </c>
      <c r="E15" s="0" t="n">
        <f aca="false">E13-MAX(0,E13)*E14/100</f>
        <v>1681.73001743249</v>
      </c>
      <c r="F15" s="0" t="n">
        <f aca="false">F13-MAX(0,F13)*F14/100</f>
        <v>1739.89107670276</v>
      </c>
      <c r="G15" s="0" t="n">
        <f aca="false">G13-MAX(0,G13)*G14/100</f>
        <v>1784.38333181703</v>
      </c>
      <c r="H15" s="0" t="n">
        <f aca="false">H13-MAX(0,H13)*H14/100</f>
        <v>1820.31590648737</v>
      </c>
      <c r="I15" s="0" t="n">
        <f aca="false">I13-MAX(0,I13)*I14/100</f>
        <v>1862.37148087863</v>
      </c>
      <c r="J15" s="0" t="n">
        <f aca="false">J13-MAX(0,J13)*J14/100</f>
        <v>1895.93747849912</v>
      </c>
      <c r="K15" s="0" t="n">
        <f aca="false">K13-MAX(0,K13)*K14/100</f>
        <v>1929.84130164404</v>
      </c>
      <c r="L15" s="0" t="n">
        <f aca="false">L13-MAX(0,L13)*L14/100</f>
        <v>1964.07301044702</v>
      </c>
    </row>
    <row r="16" customFormat="false" ht="15" hidden="false" customHeight="false" outlineLevel="0" collapsed="false">
      <c r="A16" s="0" t="s">
        <v>116</v>
      </c>
      <c r="C16" s="0" t="n">
        <f aca="false">-C12</f>
        <v>919.01682</v>
      </c>
      <c r="D16" s="0" t="n">
        <f aca="false">-D12</f>
        <v>980.1342576</v>
      </c>
      <c r="E16" s="0" t="n">
        <f aca="false">-E12</f>
        <v>1040.34677373</v>
      </c>
      <c r="F16" s="0" t="n">
        <f aca="false">-F12</f>
        <v>1098.9845009766</v>
      </c>
      <c r="G16" s="0" t="n">
        <f aca="false">-G12</f>
        <v>1155.35710956585</v>
      </c>
      <c r="H16" s="0" t="n">
        <f aca="false">-H12</f>
        <v>1208.7664322356</v>
      </c>
      <c r="I16" s="0" t="n">
        <f aca="false">-I12</f>
        <v>1251.07325736385</v>
      </c>
      <c r="J16" s="0" t="n">
        <f aca="false">-J12</f>
        <v>1288.60545508476</v>
      </c>
      <c r="K16" s="0" t="n">
        <f aca="false">-K12</f>
        <v>1327.26361873731</v>
      </c>
      <c r="L16" s="0" t="n">
        <f aca="false">-L12</f>
        <v>1367.08152729943</v>
      </c>
    </row>
    <row r="17" customFormat="false" ht="15" hidden="false" customHeight="false" outlineLevel="0" collapsed="false">
      <c r="A17" s="0" t="s">
        <v>117</v>
      </c>
      <c r="C17" s="4" t="n">
        <f aca="false">-C6*Assumptions!C46/100</f>
        <v>-1973.349</v>
      </c>
      <c r="D17" s="4" t="n">
        <f aca="false">-D6*Assumptions!D46/100</f>
        <v>-2091.74994</v>
      </c>
      <c r="E17" s="4" t="n">
        <f aca="false">-E6*Assumptions!E46/100</f>
        <v>-2143.74486708</v>
      </c>
      <c r="F17" s="4" t="n">
        <f aca="false">-F6*Assumptions!F46/100</f>
        <v>-2118.524339232</v>
      </c>
      <c r="G17" s="4" t="n">
        <f aca="false">-G6*Assumptions!G46/100</f>
        <v>-2075.49181359135</v>
      </c>
      <c r="H17" s="4" t="n">
        <f aca="false">-H6*Assumptions!H46/100</f>
        <v>-2086.56110326384</v>
      </c>
      <c r="I17" s="4" t="n">
        <f aca="false">-I6*Assumptions!I46/100</f>
        <v>-2085.12209560641</v>
      </c>
      <c r="J17" s="4" t="n">
        <f aca="false">-J6*Assumptions!J46/100</f>
        <v>-2070.9730528148</v>
      </c>
      <c r="K17" s="4" t="n">
        <f aca="false">-K6*Assumptions!K46/100</f>
        <v>-2054.09845756964</v>
      </c>
      <c r="L17" s="4" t="n">
        <f aca="false">-L6*Assumptions!L46/100</f>
        <v>-2115.72141129673</v>
      </c>
    </row>
    <row r="18" customFormat="false" ht="15" hidden="false" customHeight="false" outlineLevel="0" collapsed="false">
      <c r="A18" s="0" t="s">
        <v>118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119</v>
      </c>
      <c r="C19" s="0" t="n">
        <f aca="false">C15+C16+C17+C18</f>
        <v>476.35517232</v>
      </c>
      <c r="D19" s="0" t="n">
        <f aca="false">D15+D16+D17+D18</f>
        <v>505.366785504</v>
      </c>
      <c r="E19" s="0" t="n">
        <f aca="false">E15+E16+E17+E18</f>
        <v>578.331924082488</v>
      </c>
      <c r="F19" s="0" t="n">
        <f aca="false">F15+F16+F17+F18</f>
        <v>720.351238447361</v>
      </c>
      <c r="G19" s="0" t="n">
        <f aca="false">G15+G16+G17+G18</f>
        <v>864.248627791528</v>
      </c>
      <c r="H19" s="0" t="n">
        <f aca="false">H15+H16+H17+H18</f>
        <v>942.521235459137</v>
      </c>
      <c r="I19" s="0" t="n">
        <f aca="false">I15+I16+I17+I18</f>
        <v>1028.32264263607</v>
      </c>
      <c r="J19" s="0" t="n">
        <f aca="false">J15+J16+J17+J18</f>
        <v>1113.56988076908</v>
      </c>
      <c r="K19" s="0" t="n">
        <f aca="false">K15+K16+K17+K18</f>
        <v>1203.00646281171</v>
      </c>
      <c r="L19" s="0" t="n">
        <f aca="false">L15+L16+L17+L18</f>
        <v>1215.43312644971</v>
      </c>
    </row>
    <row r="20" customFormat="false" ht="15" hidden="false" customHeight="false" outlineLevel="0" collapsed="false">
      <c r="A20" s="0" t="s">
        <v>120</v>
      </c>
      <c r="C20" s="0" t="n">
        <f aca="false">1/(1+$B$27/100)^C4</f>
        <v>0.947867298578199</v>
      </c>
      <c r="D20" s="0" t="n">
        <f aca="false">1/(1+$B$27/100)^D4</f>
        <v>0.898452415713933</v>
      </c>
      <c r="E20" s="0" t="n">
        <f aca="false">1/(1+$B$27/100)^E4</f>
        <v>0.851613664183823</v>
      </c>
      <c r="F20" s="0" t="n">
        <f aca="false">1/(1+$B$27/100)^F4</f>
        <v>0.807216743302202</v>
      </c>
      <c r="G20" s="0" t="n">
        <f aca="false">1/(1+$B$27/100)^G4</f>
        <v>0.765134353840949</v>
      </c>
      <c r="H20" s="0" t="n">
        <f aca="false">1/(1+$B$27/100)^H4</f>
        <v>0.725245833024597</v>
      </c>
      <c r="I20" s="0" t="n">
        <f aca="false">1/(1+$B$27/100)^I4</f>
        <v>0.68743680855412</v>
      </c>
      <c r="J20" s="0" t="n">
        <f aca="false">1/(1+$B$27/100)^J4</f>
        <v>0.651598870667413</v>
      </c>
      <c r="K20" s="0" t="n">
        <f aca="false">1/(1+$B$27/100)^K4</f>
        <v>0.617629261296126</v>
      </c>
      <c r="L20" s="0" t="n">
        <f aca="false">1/(1+$B$27/100)^L4</f>
        <v>0.585430579427607</v>
      </c>
    </row>
    <row r="21" customFormat="false" ht="15" hidden="false" customHeight="false" outlineLevel="0" collapsed="false">
      <c r="A21" s="0" t="s">
        <v>121</v>
      </c>
      <c r="C21" s="0" t="n">
        <f aca="false">C19*C20</f>
        <v>451.521490350711</v>
      </c>
      <c r="D21" s="0" t="n">
        <f aca="false">D19*D20</f>
        <v>454.048009257654</v>
      </c>
      <c r="E21" s="0" t="n">
        <f aca="false">E19*E20</f>
        <v>492.515368982368</v>
      </c>
      <c r="F21" s="0" t="n">
        <f aca="false">F19*F20</f>
        <v>581.479580733187</v>
      </c>
      <c r="G21" s="0" t="n">
        <f aca="false">G19*G20</f>
        <v>661.266315383198</v>
      </c>
      <c r="H21" s="0" t="n">
        <f aca="false">H19*H20</f>
        <v>683.559598553934</v>
      </c>
      <c r="I21" s="0" t="n">
        <f aca="false">I19*I20</f>
        <v>706.906835617677</v>
      </c>
      <c r="J21" s="0" t="n">
        <f aca="false">J19*J20</f>
        <v>725.60087671838</v>
      </c>
      <c r="K21" s="0" t="n">
        <f aca="false">K19*K20</f>
        <v>743.011992960861</v>
      </c>
      <c r="L21" s="0" t="n">
        <f aca="false">L19*L20</f>
        <v>711.551719472963</v>
      </c>
    </row>
    <row r="23" customFormat="false" ht="15" hidden="false" customHeight="false" outlineLevel="0" collapsed="false">
      <c r="A23" s="0" t="s">
        <v>97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122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123</v>
      </c>
    </row>
    <row r="27" customFormat="false" ht="15" hidden="false" customHeight="false" outlineLevel="0" collapsed="false">
      <c r="A27" s="0" t="s">
        <v>101</v>
      </c>
      <c r="B27" s="4" t="n">
        <f aca="false">Assumptions!$B$48</f>
        <v>5.5</v>
      </c>
    </row>
    <row r="28" customFormat="false" ht="15" hidden="false" customHeight="false" outlineLevel="0" collapsed="false">
      <c r="A28" s="0" t="s">
        <v>102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103</v>
      </c>
      <c r="B29" s="4" t="n">
        <f aca="false">Assumptions!$B$50</f>
        <v>37</v>
      </c>
    </row>
    <row r="30" customFormat="false" ht="15" hidden="false" customHeight="false" outlineLevel="0" collapsed="false">
      <c r="A30" s="0" t="s">
        <v>124</v>
      </c>
      <c r="B30" s="0" t="n">
        <f aca="false">SUM(C21:L21)</f>
        <v>6211.46178803093</v>
      </c>
    </row>
    <row r="31" customFormat="false" ht="15" hidden="false" customHeight="false" outlineLevel="0" collapsed="false">
      <c r="A31" s="0" t="s">
        <v>125</v>
      </c>
      <c r="B31" s="0" t="n">
        <f aca="false">L19</f>
        <v>1215.43312644971</v>
      </c>
    </row>
    <row r="32" customFormat="false" ht="15" hidden="false" customHeight="false" outlineLevel="0" collapsed="false">
      <c r="A32" s="0" t="s">
        <v>126</v>
      </c>
      <c r="B32" s="0" t="n">
        <f aca="false">IF(B27&gt;B28,B31*(1+B28/100)/((B27-B28)/100),B31*B29)</f>
        <v>41527.2984870318</v>
      </c>
    </row>
    <row r="33" customFormat="false" ht="15" hidden="false" customHeight="false" outlineLevel="0" collapsed="false">
      <c r="A33" s="0" t="s">
        <v>127</v>
      </c>
      <c r="B33" s="0" t="n">
        <f aca="false">B31*B29</f>
        <v>44971.0256786393</v>
      </c>
    </row>
    <row r="34" customFormat="false" ht="15" hidden="false" customHeight="false" outlineLevel="0" collapsed="false">
      <c r="A34" s="0" t="s">
        <v>128</v>
      </c>
      <c r="B34" s="0" t="n">
        <f aca="false">MAX(0,MIN(B32,B33))</f>
        <v>41527.2984870318</v>
      </c>
    </row>
    <row r="35" customFormat="false" ht="15" hidden="false" customHeight="false" outlineLevel="0" collapsed="false">
      <c r="A35" s="0" t="s">
        <v>129</v>
      </c>
      <c r="B35" s="0" t="n">
        <f aca="false">B34/(1+B27/100)^L4</f>
        <v>24311.3504153262</v>
      </c>
    </row>
    <row r="36" customFormat="false" ht="15" hidden="false" customHeight="false" outlineLevel="0" collapsed="false">
      <c r="A36" s="0" t="s">
        <v>130</v>
      </c>
      <c r="B36" s="0" t="n">
        <f aca="false">B30+B35</f>
        <v>30522.8122033572</v>
      </c>
    </row>
    <row r="37" customFormat="false" ht="15" hidden="false" customHeight="false" outlineLevel="0" collapsed="false">
      <c r="A37" s="0" t="s">
        <v>131</v>
      </c>
      <c r="B37" s="0" t="n">
        <f aca="false">B36+Assumptions!$B$5-Assumptions!$B$4</f>
        <v>10065.8122033572</v>
      </c>
    </row>
    <row r="38" customFormat="false" ht="15" hidden="false" customHeight="false" outlineLevel="0" collapsed="false">
      <c r="A38" s="0" t="s">
        <v>132</v>
      </c>
      <c r="B38" s="0" t="n">
        <f aca="false">B37/Assumptions!$B$3*Assumptions!$B$10</f>
        <v>88.6465187437883</v>
      </c>
    </row>
    <row r="39" customFormat="false" ht="15" hidden="false" customHeight="false" outlineLevel="0" collapsed="false">
      <c r="A39" s="0" t="s">
        <v>133</v>
      </c>
      <c r="B39" s="4" t="n">
        <f aca="false">B38/Assumptions!$B$2-1</f>
        <v>0.111415731491829</v>
      </c>
    </row>
    <row r="41" customFormat="false" ht="15" hidden="false" customHeight="false" outlineLevel="0" collapsed="false">
      <c r="A41" s="0" t="s">
        <v>134</v>
      </c>
      <c r="B41" s="0" t="n">
        <f aca="false">SUMPRODUCT(-C10:L10/(1+$B$27/100)^C4:L4)</f>
        <v>62.0394549141364</v>
      </c>
    </row>
    <row r="42" customFormat="false" ht="15" hidden="false" customHeight="false" outlineLevel="0" collapsed="false">
      <c r="A42" s="0" t="s">
        <v>135</v>
      </c>
      <c r="B42" s="0" t="n">
        <f aca="false">IF(B27&gt;B28,-L10*(1+B28/100)/((B27-B28)/100),-L10*20)/(1+B27/100)^L4</f>
        <v>195.318955694756</v>
      </c>
    </row>
    <row r="43" customFormat="false" ht="15" hidden="false" customHeight="false" outlineLevel="0" collapsed="false">
      <c r="A43" s="0" t="s">
        <v>136</v>
      </c>
      <c r="B43" s="0" t="n">
        <f aca="false">(B37+B41+B42)/Assumptions!$B$3*Assumptions!$B$10</f>
        <v>90.9129952793135</v>
      </c>
    </row>
    <row r="45" customFormat="false" ht="15" hidden="false" customHeight="false" outlineLevel="0" collapsed="false">
      <c r="A45" s="0" t="s">
        <v>76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137</v>
      </c>
      <c r="B46" s="0" t="n">
        <f aca="false">MAX(0,MIN(IF(B45&gt;B28,B31*(1+B28/100)/((B45-B28)/100),B31*B29),B31*B29))</f>
        <v>9966.55163688763</v>
      </c>
    </row>
    <row r="47" customFormat="false" ht="15" hidden="false" customHeight="false" outlineLevel="0" collapsed="false">
      <c r="A47" s="0" t="s">
        <v>138</v>
      </c>
      <c r="B47" s="0" t="n">
        <f aca="false">(SUMPRODUCT(C19:L19/(1+B45/100)^C4:L4)+B46/(1+B45/100)^L4+Assumptions!$B$5-Assumptions!$B$4)/Assumptions!$B$3*Assumptions!$B$10</f>
        <v>-124.832782941241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141</v>
      </c>
    </row>
    <row r="3" customFormat="false" ht="15" hidden="false" customHeight="false" outlineLevel="0" collapsed="false">
      <c r="A3" s="2" t="s">
        <v>142</v>
      </c>
      <c r="B3" s="2" t="s">
        <v>143</v>
      </c>
      <c r="C3" s="2" t="s">
        <v>133</v>
      </c>
      <c r="D3" s="2" t="s">
        <v>144</v>
      </c>
      <c r="E3" s="2" t="s">
        <v>136</v>
      </c>
      <c r="F3" s="2" t="s">
        <v>145</v>
      </c>
    </row>
    <row r="4" customFormat="false" ht="15" hidden="false" customHeight="false" outlineLevel="0" collapsed="false">
      <c r="A4" s="0" t="s">
        <v>146</v>
      </c>
      <c r="B4" s="4" t="n">
        <f aca="false">DCF_Bear!$B$38</f>
        <v>10.6866778367428</v>
      </c>
      <c r="C4" s="0" t="n">
        <f aca="false">B4/Assumptions!$B$2-1</f>
        <v>-0.866014570752975</v>
      </c>
      <c r="D4" s="4" t="n">
        <f aca="false">Assumptions!$B$24</f>
        <v>0.15</v>
      </c>
      <c r="E4" s="4" t="n">
        <f aca="false">DCF_Bear!$B$43</f>
        <v>12.6054408687414</v>
      </c>
      <c r="F4" s="4" t="n">
        <f aca="false">DCF_Bear!$B$47</f>
        <v>-138.732628561328</v>
      </c>
    </row>
    <row r="5" customFormat="false" ht="15" hidden="false" customHeight="false" outlineLevel="0" collapsed="false">
      <c r="A5" s="0" t="s">
        <v>147</v>
      </c>
      <c r="B5" s="4" t="n">
        <f aca="false">DCF_Base!$B$38</f>
        <v>63.0540818850791</v>
      </c>
      <c r="C5" s="0" t="n">
        <f aca="false">B5/Assumptions!$B$2-1</f>
        <v>-0.209452333436822</v>
      </c>
      <c r="D5" s="4" t="n">
        <f aca="false">Assumptions!$B$38</f>
        <v>0.35</v>
      </c>
      <c r="E5" s="4" t="n">
        <f aca="false">DCF_Base!$B$43</f>
        <v>65.2046555939915</v>
      </c>
      <c r="F5" s="4" t="n">
        <f aca="false">DCF_Base!$B$47</f>
        <v>-129.516809117119</v>
      </c>
    </row>
    <row r="6" customFormat="false" ht="15" hidden="false" customHeight="false" outlineLevel="0" collapsed="false">
      <c r="A6" s="0" t="s">
        <v>148</v>
      </c>
      <c r="B6" s="4" t="n">
        <f aca="false">DCF_Bull!$B$38</f>
        <v>88.6465187437883</v>
      </c>
      <c r="C6" s="0" t="n">
        <f aca="false">B6/Assumptions!$B$2-1</f>
        <v>0.111415731491829</v>
      </c>
      <c r="D6" s="4" t="n">
        <f aca="false">Assumptions!$B$52</f>
        <v>0.5</v>
      </c>
      <c r="E6" s="4" t="n">
        <f aca="false">DCF_Bull!$B$43</f>
        <v>90.9129952793135</v>
      </c>
      <c r="F6" s="4" t="n">
        <f aca="false">DCF_Bull!$B$47</f>
        <v>-124.832782941241</v>
      </c>
    </row>
    <row r="8" customFormat="false" ht="15" hidden="false" customHeight="false" outlineLevel="0" collapsed="false">
      <c r="A8" s="0" t="s">
        <v>149</v>
      </c>
      <c r="B8" s="0" t="n">
        <f aca="false">SUMPRODUCT(B4:B6,D4:D6)</f>
        <v>67.9951897071832</v>
      </c>
    </row>
    <row r="9" customFormat="false" ht="15" hidden="false" customHeight="false" outlineLevel="0" collapsed="false">
      <c r="A9" s="0" t="s">
        <v>150</v>
      </c>
      <c r="B9" s="0" t="n">
        <f aca="false">SUMPRODUCT(E4:E6,D4:D6)</f>
        <v>70.168943227865</v>
      </c>
    </row>
    <row r="10" customFormat="false" ht="15" hidden="false" customHeight="false" outlineLevel="0" collapsed="false">
      <c r="A10" s="0" t="s">
        <v>151</v>
      </c>
      <c r="B10" s="0" t="n">
        <f aca="false">1-Assumptions!$B$2/B8</f>
        <v>-0.173024155730445</v>
      </c>
    </row>
    <row r="11" customFormat="false" ht="15" hidden="false" customHeight="false" outlineLevel="0" collapsed="false">
      <c r="A11" s="0" t="s">
        <v>152</v>
      </c>
      <c r="B11" s="0" t="n">
        <f aca="false">IF(ABS(B9-B8)&gt;0.01*ABS(B8),(Assumptions!$B$2-B8)/(B9-B8)*100,"n/a")</f>
        <v>541.220988528956</v>
      </c>
    </row>
    <row r="12" customFormat="false" ht="15" hidden="false" customHeight="false" outlineLevel="0" collapsed="false">
      <c r="A12" s="0" t="s">
        <v>153</v>
      </c>
      <c r="B12" s="0" t="n">
        <f aca="false">SUMPRODUCT(F4:F6,D4:D6)</f>
        <v>-128.557168945811</v>
      </c>
    </row>
    <row r="14" customFormat="false" ht="15" hidden="false" customHeight="false" outlineLevel="0" collapsed="false">
      <c r="A14" s="2" t="s">
        <v>154</v>
      </c>
      <c r="C14" s="0" t="s">
        <v>155</v>
      </c>
    </row>
    <row r="15" customFormat="false" ht="15" hidden="false" customHeight="false" outlineLevel="0" collapsed="false">
      <c r="A15" s="0" t="s">
        <v>156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63.0540818850791</v>
      </c>
      <c r="C15" s="3" t="n">
        <v>5.5</v>
      </c>
    </row>
    <row r="16" customFormat="false" ht="15" hidden="false" customHeight="false" outlineLevel="0" collapsed="false">
      <c r="A16" s="0" t="s">
        <v>157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-74.2397389633676</v>
      </c>
      <c r="C16" s="3" t="n">
        <v>9</v>
      </c>
    </row>
    <row r="17" customFormat="false" ht="15" hidden="false" customHeight="false" outlineLevel="0" collapsed="false">
      <c r="A17" s="0" t="s">
        <v>158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-89.7540541333051</v>
      </c>
      <c r="C17" s="3" t="n">
        <v>10</v>
      </c>
    </row>
    <row r="18" customFormat="false" ht="15" hidden="false" customHeight="false" outlineLevel="0" collapsed="false">
      <c r="A18" s="0" t="s">
        <v>159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-101.556776564178</v>
      </c>
      <c r="C18" s="3" t="n">
        <v>11</v>
      </c>
    </row>
    <row r="19" customFormat="false" ht="15" hidden="false" customHeight="false" outlineLevel="0" collapsed="false">
      <c r="A19" s="0" t="s">
        <v>160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-110.823424629307</v>
      </c>
      <c r="C19" s="3" t="n">
        <v>12</v>
      </c>
    </row>
    <row r="20" customFormat="false" ht="15" hidden="false" customHeight="false" outlineLevel="0" collapsed="false">
      <c r="A20" s="0" t="s">
        <v>161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-129.516809117119</v>
      </c>
      <c r="C20" s="3" t="n">
        <v>15</v>
      </c>
    </row>
    <row r="22" customFormat="false" ht="15" hidden="false" customHeight="false" outlineLevel="0" collapsed="false">
      <c r="A22" s="2" t="s">
        <v>162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3.5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122.39202058502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122.39202058502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122.39202058502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122.39202058502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122.39202058502</v>
      </c>
    </row>
    <row r="25" customFormat="false" ht="15" hidden="false" customHeight="false" outlineLevel="0" collapsed="false">
      <c r="A25" s="3" t="n">
        <v>4.5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83.2003996054389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96.6469555329797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96.6469555329797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96.6469555329797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96.6469555329797</v>
      </c>
    </row>
    <row r="26" customFormat="false" ht="15" hidden="false" customHeight="false" outlineLevel="0" collapsed="false">
      <c r="A26" s="3" t="n">
        <v>5.5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13.4487359846859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34.7081699419972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63.0540818850791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73.3983246320805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73.3983246320805</v>
      </c>
    </row>
    <row r="27" customFormat="false" ht="15" hidden="false" customHeight="false" outlineLevel="0" collapsed="false">
      <c r="A27" s="3" t="n">
        <v>6.5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-28.2284709280851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-16.0771670622377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-0.888037229928574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18.6408439830403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44.679352266999</v>
      </c>
    </row>
    <row r="28" customFormat="false" ht="15" hidden="false" customHeight="false" outlineLevel="0" collapsed="false">
      <c r="A28" s="3" t="n">
        <v>7.5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-55.8785101996728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-48.2618996265184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-39.121966938733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-27.9509380981064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-13.9871520473233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2026-10-10T07:48:25Z</dcterms:created>
  <dc:creator>openpyxl</dc:creator>
  <dc:description/>
  <dc:language>en-NZ</dc:language>
  <cp:lastModifiedBy/>
  <dcterms:modified xsi:type="dcterms:W3CDTF">2026-10-10T07:48:25Z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