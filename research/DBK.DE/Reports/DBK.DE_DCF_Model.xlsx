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<sst xmlns="http://schemas.openxmlformats.org/spreadsheetml/2006/main" count="372" uniqueCount="176">
  <si>
    <t xml:space="preserve">Ticker</t>
  </si>
  <si>
    <t xml:space="preserve">DBK.DE</t>
  </si>
  <si>
    <t xml:space="preserve">Company</t>
  </si>
  <si>
    <t xml:space="preserve">Deutsche Bank AG</t>
  </si>
  <si>
    <t xml:space="preserve">Valuation date</t>
  </si>
  <si>
    <t xml:space="preserve">2026-10-25</t>
  </si>
  <si>
    <t xml:space="preserve">Current price</t>
  </si>
  <si>
    <t xml:space="preserve">Price as of</t>
  </si>
  <si>
    <t xml:space="preserve">2026-10-23T15:37:14Z regular XETRA close (Friday); Q3 2026 results due 2026-10-28 -- refresh price and anchors then</t>
  </si>
  <si>
    <t xml:space="preserve">Balance sheet date</t>
  </si>
  <si>
    <t xml:space="preserve">2026-06-30</t>
  </si>
  <si>
    <t xml:space="preserve">Model</t>
  </si>
  <si>
    <t xml:space="preserve">Bank FCFE at cost of equity on tangible book, residual income equivalent (engine route)</t>
  </si>
  <si>
    <t xml:space="preserve">Currency (model)</t>
  </si>
  <si>
    <t xml:space="preserve">EUR</t>
  </si>
  <si>
    <t xml:space="preserve">Currency (quote)</t>
  </si>
  <si>
    <t xml:space="preserve">Units</t>
  </si>
  <si>
    <t xml:space="preserve">millions</t>
  </si>
  <si>
    <t xml:space="preserve">Engine</t>
  </si>
  <si>
    <t xml:space="preserve">dcf_engine v1</t>
  </si>
  <si>
    <t xml:space="preserve">Built at</t>
  </si>
  <si>
    <t xml:space="preserve">2026-10-24T19:01:39Z</t>
  </si>
  <si>
    <t xml:space="preserve">Drivers file</t>
  </si>
  <si>
    <t xml:space="preserve">DBK.DE_Drivers.json</t>
  </si>
  <si>
    <t xml:space="preserve">Convention</t>
  </si>
  <si>
    <t xml:space="preserve">Percents stored as percents; formulas divide by 100. Blue = input, green = link, black = formula.</t>
  </si>
  <si>
    <t xml:space="preserve">Methodology</t>
  </si>
  <si>
    <t xml:space="preserve">summary: A bank is worth its tangible book plus the present value of the returns it earns above its cost of equity on that book. Distributable earnings (profit after AT1 coupons less the capital retained to grow risk-weighted assets) are discounted at an 11% cost of equity with no net-debt deduction, because deposits and wholesale funding are the bank's raw material, not claims ahead of equity. The share price sits at 0.87x tangible book, which only makes sense if RoTE settles below the cost of equity -- the bear case -- whereas the bank is currently earning 11-14%.
key_risks_to_valuation: RoTE durability: each 1pt of sustained RoTE moves value by roughly EUR3.7/share (TBV EUR60.5bn / (CoE - g) / 1,909m shares); Cost of equity: 11% is judged; a market demanding 12-13% for European G-SIBs explains most of the gap to the share price; Litigation and enforcement outcomes (cum-ex, 1MDB trial late 2026, Polish FX mortgages, US AFC investigations); Investment Bank revenue cyclicality -- FIC/IBCM fee pools were unusually strong through H1 2026; Basel III final/output-floor and FRTB RWA inflation reducing distributable capital; Share price fell ~21% from EUR35.6 (Aug 2026) to EUR27.9 into the Q3 print without a company-specific disclosure in the extracted filings; Q3 2026 results on 2026-10-28 may move the FY0 anchor</t>
  </si>
  <si>
    <t xml:space="preserve">Data sources</t>
  </si>
  <si>
    <t xml:space="preserve">price: Yahoo Finance chart API at inputs.price_as_of; 52-week range 23.815-35.845
financials: Deutsche Bank Annual Report FY2025 and Interim Report as of June 30, 2026 (consolidated balance sheet, Non-GAAP tangible book and basic shares tables, income statement attributable profit lines); Metrics.csv FY2015-H1 FY2026
qualitative: DBK.DE_Analysis.json (2026-10-25): 2028 targets RoTE &gt;13%, CIR &lt;60%, CET1 13.5-14.0%, 60% payout; Q2 2026 RoTE 14.0%, CIR 58%</t>
  </si>
  <si>
    <t xml:space="preserve">Scenario narrative: bear</t>
  </si>
  <si>
    <t xml:space="preserve">The credibility discount proves right: investment-banking revenue mean-reverts, ECB cuts squeeze NII, CRE and private-credit exposures lift provisions, and a large litigation outcome lands. RoTE falls back to ~8% -- below the 11% cost of equity -- so growth destroys value and the bank is worth less than its tangible book.</t>
  </si>
  <si>
    <t xml:space="preserve">Scenario narrative: base</t>
  </si>
  <si>
    <t xml:space="preserve">Deutsche Bank keeps compounding from its restructured base: RoTE climbs from ~10% in FY2026 to 12.5% by FY2028 and holds, slightly short of the &gt;13% target, with cost/income in the low 60s/high 50s and credit costs near 35-40bp. Growth in tangible book slows from 4% to 2.5% as RWA growth normalises, and the bank distributes 67-80% of profit via dividends and buybacks. On a 11% cost of equity this is worth ~1.2x tangible book.</t>
  </si>
  <si>
    <t xml:space="preserve">Scenario narrative: bull</t>
  </si>
  <si>
    <t xml:space="preserve">The Global Hausbank plan over-delivers: Q2 2026's 14% RoTE becomes the through-cycle level by FY2029, CIR falls below 60%, and German infrastructure/defence spending plus asset gathering in DWS and the Private Bank lift growth to 5% a year near-term. The market re-rates the stock from below book to ~1.4x tangible book.</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</si>
  <si>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</si>
  <si>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</si>
  <si>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</si>
  <si>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</si>
  <si>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</si>
  <si>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</si>
  <si>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</si>
  <si>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</si>
  <si>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</si>
  <si>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</si>
  <si>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</si>
  <si>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</si>
  <si>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</si>
  <si>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</si>
  <si>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</si>
  <si>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</si>
  <si>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</si>
  <si>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</si>
  <si>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</si>
  <si>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</si>
  <si>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</si>
  <si>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</si>
  <si>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</si>
  <si>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</si>
  <si>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</si>
  <si>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</si>
  <si>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</si>
  <si>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BookValuePerShare</t>
  </si>
  <si>
    <t xml:space="preserve">CET1Ratio</t>
  </si>
  <si>
    <t xml:space="preserve">CostToIncomeRatio</t>
  </si>
  <si>
    <t xml:space="preserve">CreditImpairmentCharge</t>
  </si>
  <si>
    <t xml:space="preserve">NetIncomeAttributable</t>
  </si>
  <si>
    <t xml:space="preserve">NetInterestIncome</t>
  </si>
  <si>
    <t xml:space="preserve">NonInterestIncome</t>
  </si>
  <si>
    <t xml:space="preserve">OperatingExpenses</t>
  </si>
  <si>
    <t xml:space="preserve">ROTE</t>
  </si>
  <si>
    <t xml:space="preserve">TotalEquity</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</si>
  <si>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</si>
  <si>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</si>
  <si>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</si>
  <si>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</si>
  <si>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</si>
  <si>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</si>
  <si>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</si>
  <si>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</si>
  <si>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</si>
  <si>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</si>
  <si>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</si>
  <si>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</si>
  <si>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</si>
  <si>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</si>
  <si>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</si>
  <si>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</si>
  <si>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</si>
  <si>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</si>
  <si>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</si>
  <si>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</si>
  <si>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FY2026E</t>
  </si>
  <si>
    <t xml:space="preserve">Currency / units</t>
  </si>
  <si>
    <t xml:space="preserve">EUR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</si>
  <si>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</si>
  <si>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</si>
  <si>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</si>
  <si>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</si>
  <si>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</si>
  <si>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</si>
  <si>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</si>
  <si>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</si>
  <si>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</si>
  <si>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</si>
  <si>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</si>
  <si>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</si>
  <si>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</si>
  <si>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</si>
  <si>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</si>
  <si>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</si>
  <si>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</si>
  <si>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</si>
  <si>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</si>
  <si>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</si>
  <si>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</si>
  <si>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</si>
  <si>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</si>
  <si>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</si>
  <si>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</si>
  <si>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</si>
  <si>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DBK.DE owner-FCF component DCF: bear case (millions, EUR)</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</si>
  <si>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</si>
  <si>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</si>
  <si>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</si>
  <si>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</si>
  <si>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</si>
  <si>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</si>
  <si>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</si>
  <si>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</si>
  <si>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</si>
  <si>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</si>
  <si>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</si>
  <si>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</si>
  <si>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</si>
  <si>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</si>
  <si>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</si>
  <si>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</si>
  <si>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</si>
  <si>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</si>
  <si>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</si>
  <si>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</si>
  <si>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</si>
  <si>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</si>
  <si>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</si>
  <si>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</si>
  <si>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</si>
  <si>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</si>
  <si>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</si>
  <si>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</si>
  <si>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</si>
  <si>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</si>
  <si>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DBK.DE owner-FCF component DCF: base case (millions, EUR)</t>
  </si>
  <si>
    <t xml:space="preserve">DBK.DE owner-FCF component DCF: bull case (millions, EUR)</t>
  </si>
  <si>
    <t xml:space="preserve">DBK.DE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</si>
  <si>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</si>
  <si>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</si>
  <si>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</si>
  <si>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</si>
  <si>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</si>
  <si>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</si>
  <si>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</si>
  <si>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</si>
  <si>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</si>
  <si>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</si>
  <si>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</si>
  <si>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</si>
  <si>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</si>
  <si>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</si>
  <si>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</si>
  <si>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10%</t>
  </si>
  <si>
    <t xml:space="preserve">Value per share at 11% (WACC)</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</si>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</sst>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27.925</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L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c r="AC1" s="2" t="s">
        <v>63</v>
      </c>
      <c r="AD1" s="2" t="s">
        <v>64</v>
      </c>
      <c r="AE1" s="2" t="s">
        <v>65</v>
      </c>
      <c r="AF1" s="2" t="s">
        <v>66</v>
      </c>
      <c r="AG1" s="2" t="s">
        <v>67</v>
      </c>
      <c r="AH1" s="2" t="s">
        <v>68</v>
      </c>
      <c r="AI1" s="2" t="s">
        <v>69</v>
      </c>
      <c r="AJ1" s="2" t="s">
        <v>70</v>
      </c>
      <c r="AK1" s="2" t="s">
        <v>71</v>
      </c>
      <c r="AL1" s="2" t="s">
        <v>72</v>
      </c>
    </row>
    <row r="2" customFormat="false" ht="15" hidden="false" customHeight="false" outlineLevel="0" collapsed="false">
      <c r="A2" s="0" t="s">
        <v>73</v>
      </c>
      <c r="B2" s="0" t="n">
        <v>33525</v>
      </c>
      <c r="I2" s="0" t="n">
        <v>-6772</v>
      </c>
      <c r="J2" s="0" t="n">
        <v>-20.2</v>
      </c>
      <c r="K2" s="0" t="n">
        <v>-5.06</v>
      </c>
      <c r="L2" s="0" t="n">
        <v>67252</v>
      </c>
      <c r="O2" s="0" t="n">
        <v>62678</v>
      </c>
      <c r="P2" s="0" t="n">
        <v>1629130</v>
      </c>
      <c r="Q2" s="0" t="n">
        <v>1561506</v>
      </c>
      <c r="S2" s="0" t="n">
        <v>105478</v>
      </c>
      <c r="T2" s="0" t="n">
        <v>1387.9</v>
      </c>
      <c r="AA2" s="0" t="s">
        <v>17</v>
      </c>
      <c r="AB2" s="0" t="s">
        <v>14</v>
      </c>
      <c r="AC2" s="0" t="n">
        <v>45.16</v>
      </c>
      <c r="AD2" s="0" t="n">
        <v>13.2</v>
      </c>
      <c r="AE2" s="0" t="n">
        <v>115.3</v>
      </c>
      <c r="AF2" s="0" t="n">
        <v>956</v>
      </c>
      <c r="AG2" s="0" t="n">
        <v>-6793</v>
      </c>
      <c r="AH2" s="0" t="n">
        <v>15881</v>
      </c>
      <c r="AI2" s="0" t="n">
        <v>17644</v>
      </c>
      <c r="AJ2" s="0" t="n">
        <v>38667</v>
      </c>
      <c r="AK2" s="0" t="n">
        <v>-12.3</v>
      </c>
      <c r="AL2" s="0" t="n">
        <v>67624</v>
      </c>
    </row>
    <row r="3" customFormat="false" ht="15" hidden="false" customHeight="false" outlineLevel="0" collapsed="false">
      <c r="A3" s="0" t="s">
        <v>74</v>
      </c>
      <c r="B3" s="0" t="n">
        <v>30014</v>
      </c>
      <c r="I3" s="0" t="n">
        <v>-1356</v>
      </c>
      <c r="J3" s="0" t="n">
        <v>-4.5</v>
      </c>
      <c r="K3" s="0" t="n">
        <v>-1.21</v>
      </c>
      <c r="L3" s="0" t="n">
        <v>70610</v>
      </c>
      <c r="O3" s="0" t="n">
        <v>59833</v>
      </c>
      <c r="P3" s="0" t="n">
        <v>1590546</v>
      </c>
      <c r="Q3" s="0" t="n">
        <v>1525727</v>
      </c>
      <c r="S3" s="0" t="n">
        <v>185649</v>
      </c>
      <c r="T3" s="0" t="n">
        <v>1388.1</v>
      </c>
      <c r="AA3" s="0" t="s">
        <v>17</v>
      </c>
      <c r="AB3" s="0" t="s">
        <v>14</v>
      </c>
      <c r="AC3" s="0" t="n">
        <v>42.74</v>
      </c>
      <c r="AD3" s="0" t="n">
        <v>13.4</v>
      </c>
      <c r="AE3" s="0" t="n">
        <v>98.1</v>
      </c>
      <c r="AF3" s="0" t="n">
        <v>1383</v>
      </c>
      <c r="AG3" s="0" t="n">
        <v>-1401</v>
      </c>
      <c r="AH3" s="0" t="n">
        <v>14707</v>
      </c>
      <c r="AI3" s="0" t="n">
        <v>15307</v>
      </c>
      <c r="AJ3" s="0" t="n">
        <v>29442</v>
      </c>
      <c r="AK3" s="0" t="n">
        <v>-2.7</v>
      </c>
      <c r="AL3" s="0" t="n">
        <v>64819</v>
      </c>
    </row>
    <row r="4" customFormat="false" ht="15" hidden="false" customHeight="false" outlineLevel="0" collapsed="false">
      <c r="A4" s="0" t="s">
        <v>75</v>
      </c>
      <c r="B4" s="0" t="n">
        <v>26448</v>
      </c>
      <c r="I4" s="0" t="n">
        <v>-735</v>
      </c>
      <c r="J4" s="0" t="n">
        <v>-2.8</v>
      </c>
      <c r="K4" s="0" t="n">
        <v>-0.53</v>
      </c>
      <c r="L4" s="0" t="n">
        <v>39576</v>
      </c>
      <c r="O4" s="0" t="n">
        <v>63174</v>
      </c>
      <c r="P4" s="0" t="n">
        <v>1474732</v>
      </c>
      <c r="Q4" s="0" t="n">
        <v>1406633</v>
      </c>
      <c r="S4" s="0" t="n">
        <v>229025</v>
      </c>
      <c r="T4" s="0" t="n">
        <v>1967.7</v>
      </c>
      <c r="AA4" s="0" t="s">
        <v>17</v>
      </c>
      <c r="AB4" s="0" t="s">
        <v>14</v>
      </c>
      <c r="AC4" s="0" t="n">
        <v>30.16</v>
      </c>
      <c r="AD4" s="0" t="n">
        <v>14.8</v>
      </c>
      <c r="AE4" s="0" t="n">
        <v>93.4</v>
      </c>
      <c r="AF4" s="0" t="n">
        <v>525</v>
      </c>
      <c r="AG4" s="0" t="n">
        <v>-750</v>
      </c>
      <c r="AH4" s="0" t="n">
        <v>12378</v>
      </c>
      <c r="AI4" s="0" t="n">
        <v>14070</v>
      </c>
      <c r="AJ4" s="0" t="n">
        <v>24695</v>
      </c>
      <c r="AK4" s="0" t="n">
        <v>-1.4</v>
      </c>
      <c r="AL4" s="0" t="n">
        <v>68099</v>
      </c>
    </row>
    <row r="5" customFormat="false" ht="15" hidden="false" customHeight="false" outlineLevel="0" collapsed="false">
      <c r="A5" s="0" t="s">
        <v>76</v>
      </c>
      <c r="B5" s="0" t="n">
        <v>25316</v>
      </c>
      <c r="I5" s="0" t="n">
        <v>341</v>
      </c>
      <c r="J5" s="0" t="n">
        <v>1.3</v>
      </c>
      <c r="K5" s="0" t="n">
        <v>-0.01</v>
      </c>
      <c r="L5" s="0" t="n">
        <v>-54066</v>
      </c>
      <c r="O5" s="0" t="n">
        <v>62495</v>
      </c>
      <c r="P5" s="0" t="n">
        <v>1348137</v>
      </c>
      <c r="Q5" s="0" t="n">
        <v>1279400</v>
      </c>
      <c r="S5" s="0" t="n">
        <v>180822</v>
      </c>
      <c r="T5" s="0" t="n">
        <v>2102.2</v>
      </c>
      <c r="AA5" s="0" t="s">
        <v>17</v>
      </c>
      <c r="AB5" s="0" t="s">
        <v>14</v>
      </c>
      <c r="AC5" s="0" t="n">
        <v>29.69</v>
      </c>
      <c r="AD5" s="0" t="n">
        <v>13.6</v>
      </c>
      <c r="AE5" s="0" t="n">
        <v>92.7</v>
      </c>
      <c r="AF5" s="0" t="n">
        <v>525</v>
      </c>
      <c r="AG5" s="0" t="n">
        <v>266</v>
      </c>
      <c r="AH5" s="0" t="n">
        <v>13192</v>
      </c>
      <c r="AI5" s="0" t="n">
        <v>12124</v>
      </c>
      <c r="AJ5" s="0" t="n">
        <v>23461</v>
      </c>
      <c r="AK5" s="0" t="n">
        <v>0.5</v>
      </c>
      <c r="AL5" s="0" t="n">
        <v>68737</v>
      </c>
    </row>
    <row r="6" customFormat="false" ht="15" hidden="false" customHeight="false" outlineLevel="0" collapsed="false">
      <c r="A6" s="0" t="s">
        <v>77</v>
      </c>
      <c r="B6" s="0" t="n">
        <v>23165</v>
      </c>
      <c r="I6" s="0" t="n">
        <v>-5265</v>
      </c>
      <c r="J6" s="0" t="n">
        <v>-22.7</v>
      </c>
      <c r="K6" s="0" t="n">
        <v>-2.71</v>
      </c>
      <c r="L6" s="0" t="n">
        <v>-40449</v>
      </c>
      <c r="O6" s="0" t="n">
        <v>55857</v>
      </c>
      <c r="P6" s="0" t="n">
        <v>1297674</v>
      </c>
      <c r="Q6" s="0" t="n">
        <v>1235515</v>
      </c>
      <c r="S6" s="0" t="n">
        <v>128869</v>
      </c>
      <c r="T6" s="0" t="n">
        <v>2110</v>
      </c>
      <c r="AA6" s="0" t="s">
        <v>17</v>
      </c>
      <c r="AB6" s="0" t="s">
        <v>14</v>
      </c>
      <c r="AC6" s="0" t="n">
        <v>26.37</v>
      </c>
      <c r="AD6" s="0" t="n">
        <v>13.6</v>
      </c>
      <c r="AE6" s="0" t="n">
        <v>108.2</v>
      </c>
      <c r="AF6" s="0" t="n">
        <v>723</v>
      </c>
      <c r="AG6" s="0" t="n">
        <v>-5390</v>
      </c>
      <c r="AH6" s="0" t="n">
        <v>13749</v>
      </c>
      <c r="AI6" s="0" t="n">
        <v>9416</v>
      </c>
      <c r="AJ6" s="0" t="n">
        <v>25076</v>
      </c>
      <c r="AK6" s="0" t="n">
        <v>-10.9</v>
      </c>
      <c r="AL6" s="0" t="n">
        <v>62160</v>
      </c>
    </row>
    <row r="7" customFormat="false" ht="15" hidden="false" customHeight="false" outlineLevel="0" collapsed="false">
      <c r="A7" s="0" t="s">
        <v>78</v>
      </c>
      <c r="B7" s="0" t="n">
        <v>24011</v>
      </c>
      <c r="I7" s="0" t="n">
        <v>612</v>
      </c>
      <c r="J7" s="0" t="n">
        <v>2.5</v>
      </c>
      <c r="K7" s="0" t="n">
        <v>0.06</v>
      </c>
      <c r="L7" s="0" t="n">
        <v>30736</v>
      </c>
      <c r="O7" s="0" t="n">
        <v>54774</v>
      </c>
      <c r="P7" s="0" t="n">
        <v>1324961</v>
      </c>
      <c r="Q7" s="0" t="n">
        <v>1262777</v>
      </c>
      <c r="S7" s="0" t="n">
        <v>156328</v>
      </c>
      <c r="T7" s="0" t="n">
        <v>2170.1</v>
      </c>
      <c r="AA7" s="0" t="s">
        <v>17</v>
      </c>
      <c r="AB7" s="0" t="s">
        <v>14</v>
      </c>
      <c r="AC7" s="0" t="n">
        <v>26.03</v>
      </c>
      <c r="AD7" s="0" t="n">
        <v>13.6</v>
      </c>
      <c r="AE7" s="0" t="n">
        <v>88.4</v>
      </c>
      <c r="AF7" s="0" t="n">
        <v>1792</v>
      </c>
      <c r="AG7" s="0" t="n">
        <v>483</v>
      </c>
      <c r="AH7" s="0" t="n">
        <v>11548</v>
      </c>
      <c r="AI7" s="0" t="n">
        <v>12463</v>
      </c>
      <c r="AJ7" s="0" t="n">
        <v>21216</v>
      </c>
      <c r="AK7" s="0" t="n">
        <v>0.2</v>
      </c>
      <c r="AL7" s="0" t="n">
        <v>62184</v>
      </c>
    </row>
    <row r="8" customFormat="false" ht="15" hidden="false" customHeight="false" outlineLevel="0" collapsed="false">
      <c r="A8" s="0" t="s">
        <v>79</v>
      </c>
      <c r="B8" s="0" t="n">
        <v>25538</v>
      </c>
      <c r="I8" s="0" t="n">
        <v>2595</v>
      </c>
      <c r="J8" s="0" t="n">
        <v>10.2</v>
      </c>
      <c r="K8" s="0" t="n">
        <v>0.97</v>
      </c>
      <c r="L8" s="0" t="n">
        <v>-2952</v>
      </c>
      <c r="O8" s="0" t="n">
        <v>58096</v>
      </c>
      <c r="P8" s="0" t="n">
        <v>1324705</v>
      </c>
      <c r="Q8" s="0" t="n">
        <v>1256606</v>
      </c>
      <c r="S8" s="0" t="n">
        <v>179946</v>
      </c>
      <c r="T8" s="0" t="n">
        <v>2143.2</v>
      </c>
      <c r="AA8" s="0" t="s">
        <v>17</v>
      </c>
      <c r="AB8" s="0" t="s">
        <v>14</v>
      </c>
      <c r="AF8" s="0" t="n">
        <v>515</v>
      </c>
      <c r="AG8" s="0" t="n">
        <v>2451</v>
      </c>
      <c r="AH8" s="0" t="n">
        <v>11117</v>
      </c>
      <c r="AI8" s="0" t="n">
        <v>14421</v>
      </c>
      <c r="AJ8" s="0" t="n">
        <v>21505</v>
      </c>
      <c r="AL8" s="0" t="n">
        <v>68099</v>
      </c>
    </row>
    <row r="9" customFormat="false" ht="15" hidden="false" customHeight="false" outlineLevel="0" collapsed="false">
      <c r="A9" s="0" t="s">
        <v>80</v>
      </c>
      <c r="B9" s="0" t="n">
        <v>27063</v>
      </c>
      <c r="I9" s="0" t="n">
        <v>5554</v>
      </c>
      <c r="J9" s="0" t="n">
        <v>20.5</v>
      </c>
      <c r="K9" s="0" t="n">
        <v>2.32</v>
      </c>
      <c r="L9" s="0" t="n">
        <v>-2113</v>
      </c>
      <c r="O9" s="0" t="n">
        <v>61772</v>
      </c>
      <c r="P9" s="0" t="n">
        <v>1344217</v>
      </c>
      <c r="Q9" s="0" t="n">
        <v>1272076</v>
      </c>
      <c r="S9" s="0" t="n">
        <v>165626</v>
      </c>
      <c r="T9" s="0" t="n">
        <v>2125.6</v>
      </c>
      <c r="AA9" s="0" t="s">
        <v>17</v>
      </c>
      <c r="AB9" s="0" t="s">
        <v>14</v>
      </c>
      <c r="AF9" s="0" t="n">
        <v>1226</v>
      </c>
      <c r="AG9" s="0" t="n">
        <v>5420</v>
      </c>
      <c r="AH9" s="0" t="n">
        <v>13983</v>
      </c>
      <c r="AI9" s="0" t="n">
        <v>13080</v>
      </c>
      <c r="AJ9" s="0" t="n">
        <v>20390</v>
      </c>
      <c r="AL9" s="0" t="n">
        <v>72141</v>
      </c>
    </row>
    <row r="10" customFormat="false" ht="15" hidden="false" customHeight="false" outlineLevel="0" collapsed="false">
      <c r="A10" s="0" t="s">
        <v>81</v>
      </c>
      <c r="B10" s="0" t="n">
        <v>31155</v>
      </c>
      <c r="I10" s="0" t="n">
        <v>6452</v>
      </c>
      <c r="J10" s="0" t="n">
        <v>20.7</v>
      </c>
      <c r="K10" s="0" t="n">
        <v>2.77</v>
      </c>
      <c r="L10" s="0" t="n">
        <v>5606</v>
      </c>
      <c r="O10" s="0" t="n">
        <v>65999</v>
      </c>
      <c r="P10" s="0" t="n">
        <v>1317266</v>
      </c>
      <c r="Q10" s="0" t="n">
        <v>1240935</v>
      </c>
      <c r="S10" s="0" t="n">
        <v>163768</v>
      </c>
      <c r="T10" s="0" t="n">
        <v>2104</v>
      </c>
      <c r="AA10" s="0" t="s">
        <v>17</v>
      </c>
      <c r="AB10" s="0" t="s">
        <v>14</v>
      </c>
      <c r="AF10" s="0" t="n">
        <v>1505</v>
      </c>
      <c r="AG10" s="0" t="n">
        <v>6332</v>
      </c>
      <c r="AH10" s="0" t="n">
        <v>16122</v>
      </c>
      <c r="AI10" s="0" t="n">
        <v>15033</v>
      </c>
      <c r="AJ10" s="0" t="n">
        <v>21695</v>
      </c>
      <c r="AL10" s="0" t="n">
        <v>76330</v>
      </c>
    </row>
    <row r="11" customFormat="false" ht="15" hidden="false" customHeight="false" outlineLevel="0" collapsed="false">
      <c r="A11" s="0" t="s">
        <v>82</v>
      </c>
      <c r="B11" s="0" t="n">
        <v>31505</v>
      </c>
      <c r="I11" s="0" t="n">
        <v>4481</v>
      </c>
      <c r="J11" s="0" t="n">
        <v>14.2</v>
      </c>
      <c r="K11" s="0" t="n">
        <v>1.85</v>
      </c>
      <c r="L11" s="0" t="n">
        <v>-28584</v>
      </c>
      <c r="O11" s="0" t="n">
        <v>68709</v>
      </c>
      <c r="P11" s="0" t="n">
        <v>1391033</v>
      </c>
      <c r="Q11" s="0" t="n">
        <v>1309168</v>
      </c>
      <c r="S11" s="0" t="n">
        <v>130666</v>
      </c>
      <c r="T11" s="0" t="n">
        <v>2039.3</v>
      </c>
      <c r="AA11" s="0" t="s">
        <v>17</v>
      </c>
      <c r="AB11" s="0" t="s">
        <v>14</v>
      </c>
      <c r="AF11" s="0" t="n">
        <v>1830</v>
      </c>
      <c r="AG11" s="0" t="n">
        <v>4342</v>
      </c>
      <c r="AH11" s="0" t="n">
        <v>15161</v>
      </c>
      <c r="AI11" s="0" t="n">
        <v>16344</v>
      </c>
      <c r="AJ11" s="0" t="n">
        <v>22971</v>
      </c>
      <c r="AL11" s="0" t="n">
        <v>81865</v>
      </c>
    </row>
    <row r="12" customFormat="false" ht="15" hidden="false" customHeight="false" outlineLevel="0" collapsed="false">
      <c r="A12" s="0" t="s">
        <v>83</v>
      </c>
      <c r="B12" s="0" t="n">
        <v>31434</v>
      </c>
      <c r="I12" s="0" t="n">
        <v>6814</v>
      </c>
      <c r="J12" s="0" t="n">
        <v>21.7</v>
      </c>
      <c r="K12" s="0" t="n">
        <v>2.93</v>
      </c>
      <c r="L12" s="0" t="n">
        <v>47064</v>
      </c>
      <c r="O12" s="0" t="n">
        <v>69015</v>
      </c>
      <c r="P12" s="0" t="n">
        <v>1439873</v>
      </c>
      <c r="Q12" s="0" t="n">
        <v>1357588</v>
      </c>
      <c r="S12" s="0" t="n">
        <v>138277</v>
      </c>
      <c r="T12" s="0" t="n">
        <v>1998</v>
      </c>
      <c r="AA12" s="0" t="s">
        <v>17</v>
      </c>
      <c r="AB12" s="0" t="s">
        <v>14</v>
      </c>
      <c r="AF12" s="0" t="n">
        <v>1707</v>
      </c>
      <c r="AG12" s="0" t="n">
        <v>6606</v>
      </c>
      <c r="AH12" s="0" t="n">
        <v>15673</v>
      </c>
      <c r="AI12" s="0" t="n">
        <v>15761</v>
      </c>
      <c r="AJ12" s="0" t="n">
        <v>20658</v>
      </c>
      <c r="AL12" s="0" t="n">
        <v>82285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84</v>
      </c>
      <c r="B1" s="2" t="s">
        <v>85</v>
      </c>
    </row>
    <row r="2" customFormat="false" ht="15" hidden="false" customHeight="false" outlineLevel="0" collapsed="false">
      <c r="A2" s="0" t="s">
        <v>86</v>
      </c>
      <c r="B2" s="3" t="n">
        <v>27.925</v>
      </c>
    </row>
    <row r="3" customFormat="false" ht="15" hidden="false" customHeight="false" outlineLevel="0" collapsed="false">
      <c r="A3" s="0" t="s">
        <v>87</v>
      </c>
      <c r="B3" s="3" t="n">
        <v>1909.2</v>
      </c>
    </row>
    <row r="4" customFormat="false" ht="15" hidden="false" customHeight="false" outlineLevel="0" collapsed="false">
      <c r="A4" s="0" t="s">
        <v>88</v>
      </c>
      <c r="B4" s="3" t="n">
        <v>0</v>
      </c>
    </row>
    <row r="5" customFormat="false" ht="15" hidden="false" customHeight="false" outlineLevel="0" collapsed="false">
      <c r="A5" s="0" t="s">
        <v>89</v>
      </c>
      <c r="B5" s="3" t="n">
        <v>3500</v>
      </c>
    </row>
    <row r="6" customFormat="false" ht="15" hidden="false" customHeight="false" outlineLevel="0" collapsed="false">
      <c r="A6" s="0" t="s">
        <v>90</v>
      </c>
      <c r="B6" s="3" t="n">
        <v>15</v>
      </c>
    </row>
    <row r="7" customFormat="false" ht="15" hidden="false" customHeight="false" outlineLevel="0" collapsed="false">
      <c r="A7" s="0" t="s">
        <v>91</v>
      </c>
      <c r="B7" s="3" t="n">
        <v>6150</v>
      </c>
    </row>
    <row r="8" customFormat="false" ht="15" hidden="false" customHeight="false" outlineLevel="0" collapsed="false">
      <c r="A8" s="0" t="s">
        <v>92</v>
      </c>
      <c r="B8" s="3" t="s">
        <v>93</v>
      </c>
    </row>
    <row r="9" customFormat="false" ht="15" hidden="false" customHeight="false" outlineLevel="0" collapsed="false">
      <c r="A9" s="0" t="s">
        <v>94</v>
      </c>
      <c r="B9" s="3" t="s">
        <v>95</v>
      </c>
    </row>
    <row r="10" customFormat="false" ht="15" hidden="false" customHeight="false" outlineLevel="0" collapsed="false">
      <c r="A10" s="0" t="s">
        <v>96</v>
      </c>
      <c r="B10" s="3" t="n">
        <v>1</v>
      </c>
    </row>
    <row r="12" customFormat="false" ht="15" hidden="false" customHeight="false" outlineLevel="0" collapsed="false">
      <c r="A12" s="2" t="s">
        <v>97</v>
      </c>
      <c r="C12" s="2" t="s">
        <v>98</v>
      </c>
      <c r="D12" s="2" t="s">
        <v>99</v>
      </c>
      <c r="E12" s="2" t="s">
        <v>100</v>
      </c>
      <c r="F12" s="2" t="s">
        <v>101</v>
      </c>
      <c r="G12" s="2" t="s">
        <v>102</v>
      </c>
      <c r="H12" s="2" t="s">
        <v>103</v>
      </c>
      <c r="I12" s="2" t="s">
        <v>104</v>
      </c>
      <c r="J12" s="2" t="s">
        <v>105</v>
      </c>
      <c r="K12" s="2" t="s">
        <v>106</v>
      </c>
      <c r="L12" s="2" t="s">
        <v>107</v>
      </c>
    </row>
    <row r="13" customFormat="false" ht="15" hidden="false" customHeight="false" outlineLevel="0" collapsed="false">
      <c r="A13" s="0" t="s">
        <v>108</v>
      </c>
      <c r="C13" s="3" t="n">
        <v>-10.36</v>
      </c>
      <c r="D13" s="3" t="n">
        <v>-9.11</v>
      </c>
      <c r="E13" s="3" t="n">
        <v>2</v>
      </c>
      <c r="F13" s="3" t="n">
        <v>2</v>
      </c>
      <c r="G13" s="3" t="n">
        <v>2</v>
      </c>
      <c r="H13" s="3" t="n">
        <v>2</v>
      </c>
      <c r="I13" s="3" t="n">
        <v>2</v>
      </c>
      <c r="J13" s="3" t="n">
        <v>2</v>
      </c>
      <c r="K13" s="3" t="n">
        <v>2</v>
      </c>
      <c r="L13" s="3" t="n">
        <v>2</v>
      </c>
    </row>
    <row r="14" customFormat="false" ht="15" hidden="false" customHeight="false" outlineLevel="0" collapsed="false">
      <c r="A14" s="0" t="s">
        <v>109</v>
      </c>
      <c r="C14" s="3" t="n">
        <v>72.57</v>
      </c>
      <c r="D14" s="3" t="n">
        <v>75.25</v>
      </c>
      <c r="E14" s="3" t="n">
        <v>75.25</v>
      </c>
      <c r="F14" s="3" t="n">
        <v>75.25</v>
      </c>
      <c r="G14" s="3" t="n">
        <v>75.25</v>
      </c>
      <c r="H14" s="3" t="n">
        <v>75.25</v>
      </c>
      <c r="I14" s="3" t="n">
        <v>75.25</v>
      </c>
      <c r="J14" s="3" t="n">
        <v>75.25</v>
      </c>
      <c r="K14" s="3" t="n">
        <v>75.25</v>
      </c>
      <c r="L14" s="3" t="n">
        <v>75.25</v>
      </c>
    </row>
    <row r="15" customFormat="false" ht="15" hidden="false" customHeight="false" outlineLevel="0" collapsed="false">
      <c r="A15" s="0" t="s">
        <v>110</v>
      </c>
      <c r="C15" s="3" t="n">
        <v>0</v>
      </c>
      <c r="D15" s="3" t="n">
        <v>0</v>
      </c>
      <c r="E15" s="3" t="n">
        <v>0</v>
      </c>
      <c r="F15" s="3" t="n">
        <v>0</v>
      </c>
      <c r="G15" s="3" t="n">
        <v>0</v>
      </c>
      <c r="H15" s="3" t="n">
        <v>0</v>
      </c>
      <c r="I15" s="3" t="n">
        <v>0</v>
      </c>
      <c r="J15" s="3" t="n">
        <v>0</v>
      </c>
      <c r="K15" s="3" t="n">
        <v>0</v>
      </c>
      <c r="L15" s="3" t="n">
        <v>0</v>
      </c>
    </row>
    <row r="16" customFormat="false" ht="15" hidden="false" customHeight="false" outlineLevel="0" collapsed="false">
      <c r="A16" s="0" t="s">
        <v>111</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112</v>
      </c>
      <c r="C17" s="3" t="n">
        <v>0</v>
      </c>
      <c r="D17" s="3" t="n">
        <v>0</v>
      </c>
      <c r="E17" s="3" t="n">
        <v>0</v>
      </c>
      <c r="F17" s="3" t="n">
        <v>0</v>
      </c>
      <c r="G17" s="3" t="n">
        <v>0</v>
      </c>
      <c r="H17" s="3" t="n">
        <v>0</v>
      </c>
      <c r="I17" s="3" t="n">
        <v>0</v>
      </c>
      <c r="J17" s="3" t="n">
        <v>0</v>
      </c>
      <c r="K17" s="3" t="n">
        <v>0</v>
      </c>
      <c r="L17" s="3" t="n">
        <v>0</v>
      </c>
    </row>
    <row r="18" customFormat="false" ht="15" hidden="false" customHeight="false" outlineLevel="0" collapsed="false">
      <c r="A18" s="0" t="s">
        <v>113</v>
      </c>
      <c r="C18" s="3" t="n">
        <v>0</v>
      </c>
      <c r="D18" s="3" t="n">
        <v>0</v>
      </c>
      <c r="E18" s="3" t="n">
        <v>0</v>
      </c>
      <c r="F18" s="3" t="n">
        <v>0</v>
      </c>
      <c r="G18" s="3" t="n">
        <v>0</v>
      </c>
      <c r="H18" s="3" t="n">
        <v>0</v>
      </c>
      <c r="I18" s="3" t="n">
        <v>0</v>
      </c>
      <c r="J18" s="3" t="n">
        <v>0</v>
      </c>
      <c r="K18" s="3" t="n">
        <v>0</v>
      </c>
      <c r="L18" s="3" t="n">
        <v>0</v>
      </c>
    </row>
    <row r="19" customFormat="false" ht="15" hidden="false" customHeight="false" outlineLevel="0" collapsed="false">
      <c r="A19" s="0" t="s">
        <v>114</v>
      </c>
      <c r="C19" s="3" t="n">
        <v>0</v>
      </c>
      <c r="D19" s="3" t="n">
        <v>0</v>
      </c>
      <c r="E19" s="3" t="n">
        <v>0</v>
      </c>
      <c r="F19" s="3" t="n">
        <v>0</v>
      </c>
      <c r="G19" s="3" t="n">
        <v>0</v>
      </c>
      <c r="H19" s="3" t="n">
        <v>0</v>
      </c>
      <c r="I19" s="3" t="n">
        <v>0</v>
      </c>
      <c r="J19" s="3" t="n">
        <v>0</v>
      </c>
      <c r="K19" s="3" t="n">
        <v>0</v>
      </c>
      <c r="L19" s="3" t="n">
        <v>0</v>
      </c>
    </row>
    <row r="20" customFormat="false" ht="15" hidden="false" customHeight="false" outlineLevel="0" collapsed="false">
      <c r="A20" s="0" t="s">
        <v>115</v>
      </c>
      <c r="B20" s="3" t="n">
        <v>11</v>
      </c>
    </row>
    <row r="21" customFormat="false" ht="15" hidden="false" customHeight="false" outlineLevel="0" collapsed="false">
      <c r="A21" s="0" t="s">
        <v>116</v>
      </c>
      <c r="B21" s="3" t="n">
        <v>2</v>
      </c>
    </row>
    <row r="22" customFormat="false" ht="15" hidden="false" customHeight="false" outlineLevel="0" collapsed="false">
      <c r="A22" s="0" t="s">
        <v>117</v>
      </c>
      <c r="B22" s="3" t="n">
        <v>11.33</v>
      </c>
    </row>
    <row r="23" customFormat="false" ht="15" hidden="false" customHeight="false" outlineLevel="0" collapsed="false">
      <c r="A23" s="0" t="s">
        <v>118</v>
      </c>
      <c r="B23" s="3" t="n">
        <v>0</v>
      </c>
    </row>
    <row r="24" customFormat="false" ht="15" hidden="false" customHeight="false" outlineLevel="0" collapsed="false">
      <c r="A24" s="0" t="s">
        <v>119</v>
      </c>
      <c r="B24" s="3" t="n">
        <v>0.25</v>
      </c>
    </row>
    <row r="26" customFormat="false" ht="15" hidden="false" customHeight="false" outlineLevel="0" collapsed="false">
      <c r="A26" s="2" t="s">
        <v>120</v>
      </c>
      <c r="C26" s="2" t="s">
        <v>98</v>
      </c>
      <c r="D26" s="2" t="s">
        <v>99</v>
      </c>
      <c r="E26" s="2" t="s">
        <v>100</v>
      </c>
      <c r="F26" s="2" t="s">
        <v>101</v>
      </c>
      <c r="G26" s="2" t="s">
        <v>102</v>
      </c>
      <c r="H26" s="2" t="s">
        <v>103</v>
      </c>
      <c r="I26" s="2" t="s">
        <v>104</v>
      </c>
      <c r="J26" s="2" t="s">
        <v>105</v>
      </c>
      <c r="K26" s="2" t="s">
        <v>106</v>
      </c>
      <c r="L26" s="2" t="s">
        <v>107</v>
      </c>
    </row>
    <row r="27" customFormat="false" ht="15" hidden="false" customHeight="false" outlineLevel="0" collapsed="false">
      <c r="A27" s="0" t="s">
        <v>108</v>
      </c>
      <c r="C27" s="3" t="n">
        <v>17.9</v>
      </c>
      <c r="D27" s="3" t="n">
        <v>10.64</v>
      </c>
      <c r="E27" s="3" t="n">
        <v>3.75</v>
      </c>
      <c r="F27" s="3" t="n">
        <v>3.5</v>
      </c>
      <c r="G27" s="3" t="n">
        <v>3.25</v>
      </c>
      <c r="H27" s="3" t="n">
        <v>2.75</v>
      </c>
      <c r="I27" s="3" t="n">
        <v>2.5</v>
      </c>
      <c r="J27" s="3" t="n">
        <v>2.5</v>
      </c>
      <c r="K27" s="3" t="n">
        <v>2.5</v>
      </c>
      <c r="L27" s="3" t="n">
        <v>2.5</v>
      </c>
    </row>
    <row r="28" customFormat="false" ht="15" hidden="false" customHeight="false" outlineLevel="0" collapsed="false">
      <c r="A28" s="0" t="s">
        <v>109</v>
      </c>
      <c r="C28" s="3" t="n">
        <v>66.62</v>
      </c>
      <c r="D28" s="3" t="n">
        <v>68.63</v>
      </c>
      <c r="E28" s="3" t="n">
        <v>72.48</v>
      </c>
      <c r="F28" s="3" t="n">
        <v>72.48</v>
      </c>
      <c r="G28" s="3" t="n">
        <v>76.35</v>
      </c>
      <c r="H28" s="3" t="n">
        <v>80.25</v>
      </c>
      <c r="I28" s="3" t="n">
        <v>80.25</v>
      </c>
      <c r="J28" s="3" t="n">
        <v>80.25</v>
      </c>
      <c r="K28" s="3" t="n">
        <v>80.25</v>
      </c>
      <c r="L28" s="3" t="n">
        <v>80.25</v>
      </c>
    </row>
    <row r="29" customFormat="false" ht="15" hidden="false" customHeight="false" outlineLevel="0" collapsed="false">
      <c r="A29" s="0" t="s">
        <v>110</v>
      </c>
      <c r="C29" s="3" t="n">
        <v>0</v>
      </c>
      <c r="D29" s="3" t="n">
        <v>0</v>
      </c>
      <c r="E29" s="3" t="n">
        <v>0</v>
      </c>
      <c r="F29" s="3" t="n">
        <v>0</v>
      </c>
      <c r="G29" s="3" t="n">
        <v>0</v>
      </c>
      <c r="H29" s="3" t="n">
        <v>0</v>
      </c>
      <c r="I29" s="3" t="n">
        <v>0</v>
      </c>
      <c r="J29" s="3" t="n">
        <v>0</v>
      </c>
      <c r="K29" s="3" t="n">
        <v>0</v>
      </c>
      <c r="L29" s="3" t="n">
        <v>0</v>
      </c>
    </row>
    <row r="30" customFormat="false" ht="15" hidden="false" customHeight="false" outlineLevel="0" collapsed="false">
      <c r="A30" s="0" t="s">
        <v>111</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112</v>
      </c>
      <c r="C31" s="3" t="n">
        <v>0</v>
      </c>
      <c r="D31" s="3" t="n">
        <v>0</v>
      </c>
      <c r="E31" s="3" t="n">
        <v>0</v>
      </c>
      <c r="F31" s="3" t="n">
        <v>0</v>
      </c>
      <c r="G31" s="3" t="n">
        <v>0</v>
      </c>
      <c r="H31" s="3" t="n">
        <v>0</v>
      </c>
      <c r="I31" s="3" t="n">
        <v>0</v>
      </c>
      <c r="J31" s="3" t="n">
        <v>0</v>
      </c>
      <c r="K31" s="3" t="n">
        <v>0</v>
      </c>
      <c r="L31" s="3" t="n">
        <v>0</v>
      </c>
    </row>
    <row r="32" customFormat="false" ht="15" hidden="false" customHeight="false" outlineLevel="0" collapsed="false">
      <c r="A32" s="0" t="s">
        <v>113</v>
      </c>
      <c r="C32" s="3" t="n">
        <v>0</v>
      </c>
      <c r="D32" s="3" t="n">
        <v>0</v>
      </c>
      <c r="E32" s="3" t="n">
        <v>0</v>
      </c>
      <c r="F32" s="3" t="n">
        <v>0</v>
      </c>
      <c r="G32" s="3" t="n">
        <v>0</v>
      </c>
      <c r="H32" s="3" t="n">
        <v>0</v>
      </c>
      <c r="I32" s="3" t="n">
        <v>0</v>
      </c>
      <c r="J32" s="3" t="n">
        <v>0</v>
      </c>
      <c r="K32" s="3" t="n">
        <v>0</v>
      </c>
      <c r="L32" s="3" t="n">
        <v>0</v>
      </c>
    </row>
    <row r="33" customFormat="false" ht="15" hidden="false" customHeight="false" outlineLevel="0" collapsed="false">
      <c r="A33" s="0" t="s">
        <v>114</v>
      </c>
      <c r="C33" s="3" t="n">
        <v>0</v>
      </c>
      <c r="D33" s="3" t="n">
        <v>0</v>
      </c>
      <c r="E33" s="3" t="n">
        <v>0</v>
      </c>
      <c r="F33" s="3" t="n">
        <v>0</v>
      </c>
      <c r="G33" s="3" t="n">
        <v>0</v>
      </c>
      <c r="H33" s="3" t="n">
        <v>0</v>
      </c>
      <c r="I33" s="3" t="n">
        <v>0</v>
      </c>
      <c r="J33" s="3" t="n">
        <v>0</v>
      </c>
      <c r="K33" s="3" t="n">
        <v>0</v>
      </c>
      <c r="L33" s="3" t="n">
        <v>0</v>
      </c>
    </row>
    <row r="34" customFormat="false" ht="15" hidden="false" customHeight="false" outlineLevel="0" collapsed="false">
      <c r="A34" s="0" t="s">
        <v>115</v>
      </c>
      <c r="B34" s="3" t="n">
        <v>11</v>
      </c>
    </row>
    <row r="35" customFormat="false" ht="15" hidden="false" customHeight="false" outlineLevel="0" collapsed="false">
      <c r="A35" s="0" t="s">
        <v>116</v>
      </c>
      <c r="B35" s="3" t="n">
        <v>2.5</v>
      </c>
    </row>
    <row r="36" customFormat="false" ht="15" hidden="false" customHeight="false" outlineLevel="0" collapsed="false">
      <c r="A36" s="0" t="s">
        <v>117</v>
      </c>
      <c r="B36" s="3" t="n">
        <v>12.06</v>
      </c>
    </row>
    <row r="37" customFormat="false" ht="15" hidden="false" customHeight="false" outlineLevel="0" collapsed="false">
      <c r="A37" s="0" t="s">
        <v>118</v>
      </c>
      <c r="B37" s="3" t="n">
        <v>0</v>
      </c>
    </row>
    <row r="38" customFormat="false" ht="15" hidden="false" customHeight="false" outlineLevel="0" collapsed="false">
      <c r="A38" s="0" t="s">
        <v>119</v>
      </c>
      <c r="B38" s="3" t="n">
        <v>0.5</v>
      </c>
    </row>
    <row r="40" customFormat="false" ht="15" hidden="false" customHeight="false" outlineLevel="0" collapsed="false">
      <c r="A40" s="2" t="s">
        <v>121</v>
      </c>
      <c r="C40" s="2" t="s">
        <v>98</v>
      </c>
      <c r="D40" s="2" t="s">
        <v>99</v>
      </c>
      <c r="E40" s="2" t="s">
        <v>100</v>
      </c>
      <c r="F40" s="2" t="s">
        <v>101</v>
      </c>
      <c r="G40" s="2" t="s">
        <v>102</v>
      </c>
      <c r="H40" s="2" t="s">
        <v>103</v>
      </c>
      <c r="I40" s="2" t="s">
        <v>104</v>
      </c>
      <c r="J40" s="2" t="s">
        <v>105</v>
      </c>
      <c r="K40" s="2" t="s">
        <v>106</v>
      </c>
      <c r="L40" s="2" t="s">
        <v>107</v>
      </c>
    </row>
    <row r="41" customFormat="false" ht="15" hidden="false" customHeight="false" outlineLevel="0" collapsed="false">
      <c r="A41" s="0" t="s">
        <v>108</v>
      </c>
      <c r="C41" s="3" t="n">
        <v>26.04</v>
      </c>
      <c r="D41" s="3" t="n">
        <v>13.4</v>
      </c>
      <c r="E41" s="3" t="n">
        <v>8.62</v>
      </c>
      <c r="F41" s="3" t="n">
        <v>4.24</v>
      </c>
      <c r="G41" s="3" t="n">
        <v>3.75</v>
      </c>
      <c r="H41" s="3" t="n">
        <v>3.25</v>
      </c>
      <c r="I41" s="3" t="n">
        <v>3</v>
      </c>
      <c r="J41" s="3" t="n">
        <v>3</v>
      </c>
      <c r="K41" s="3" t="n">
        <v>3</v>
      </c>
      <c r="L41" s="3" t="n">
        <v>3</v>
      </c>
    </row>
    <row r="42" customFormat="false" ht="15" hidden="false" customHeight="false" outlineLevel="0" collapsed="false">
      <c r="A42" s="0" t="s">
        <v>109</v>
      </c>
      <c r="C42" s="3" t="n">
        <v>60.98</v>
      </c>
      <c r="D42" s="3" t="n">
        <v>63.87</v>
      </c>
      <c r="E42" s="3" t="n">
        <v>68.56</v>
      </c>
      <c r="F42" s="3" t="n">
        <v>71.99</v>
      </c>
      <c r="G42" s="3" t="n">
        <v>75.43</v>
      </c>
      <c r="H42" s="3" t="n">
        <v>78.89</v>
      </c>
      <c r="I42" s="3" t="n">
        <v>78.89</v>
      </c>
      <c r="J42" s="3" t="n">
        <v>78.89</v>
      </c>
      <c r="K42" s="3" t="n">
        <v>78.89</v>
      </c>
      <c r="L42" s="3" t="n">
        <v>78.89</v>
      </c>
    </row>
    <row r="43" customFormat="false" ht="15" hidden="false" customHeight="false" outlineLevel="0" collapsed="false">
      <c r="A43" s="0" t="s">
        <v>110</v>
      </c>
      <c r="C43" s="3" t="n">
        <v>0</v>
      </c>
      <c r="D43" s="3" t="n">
        <v>0</v>
      </c>
      <c r="E43" s="3" t="n">
        <v>0</v>
      </c>
      <c r="F43" s="3" t="n">
        <v>0</v>
      </c>
      <c r="G43" s="3" t="n">
        <v>0</v>
      </c>
      <c r="H43" s="3" t="n">
        <v>0</v>
      </c>
      <c r="I43" s="3" t="n">
        <v>0</v>
      </c>
      <c r="J43" s="3" t="n">
        <v>0</v>
      </c>
      <c r="K43" s="3" t="n">
        <v>0</v>
      </c>
      <c r="L43" s="3" t="n">
        <v>0</v>
      </c>
    </row>
    <row r="44" customFormat="false" ht="15" hidden="false" customHeight="false" outlineLevel="0" collapsed="false">
      <c r="A44" s="0" t="s">
        <v>111</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112</v>
      </c>
      <c r="C45" s="3" t="n">
        <v>0</v>
      </c>
      <c r="D45" s="3" t="n">
        <v>0</v>
      </c>
      <c r="E45" s="3" t="n">
        <v>0</v>
      </c>
      <c r="F45" s="3" t="n">
        <v>0</v>
      </c>
      <c r="G45" s="3" t="n">
        <v>0</v>
      </c>
      <c r="H45" s="3" t="n">
        <v>0</v>
      </c>
      <c r="I45" s="3" t="n">
        <v>0</v>
      </c>
      <c r="J45" s="3" t="n">
        <v>0</v>
      </c>
      <c r="K45" s="3" t="n">
        <v>0</v>
      </c>
      <c r="L45" s="3" t="n">
        <v>0</v>
      </c>
    </row>
    <row r="46" customFormat="false" ht="15" hidden="false" customHeight="false" outlineLevel="0" collapsed="false">
      <c r="A46" s="0" t="s">
        <v>113</v>
      </c>
      <c r="C46" s="3" t="n">
        <v>0</v>
      </c>
      <c r="D46" s="3" t="n">
        <v>0</v>
      </c>
      <c r="E46" s="3" t="n">
        <v>0</v>
      </c>
      <c r="F46" s="3" t="n">
        <v>0</v>
      </c>
      <c r="G46" s="3" t="n">
        <v>0</v>
      </c>
      <c r="H46" s="3" t="n">
        <v>0</v>
      </c>
      <c r="I46" s="3" t="n">
        <v>0</v>
      </c>
      <c r="J46" s="3" t="n">
        <v>0</v>
      </c>
      <c r="K46" s="3" t="n">
        <v>0</v>
      </c>
      <c r="L46" s="3" t="n">
        <v>0</v>
      </c>
    </row>
    <row r="47" customFormat="false" ht="15" hidden="false" customHeight="false" outlineLevel="0" collapsed="false">
      <c r="A47" s="0" t="s">
        <v>114</v>
      </c>
      <c r="C47" s="3" t="n">
        <v>0</v>
      </c>
      <c r="D47" s="3" t="n">
        <v>0</v>
      </c>
      <c r="E47" s="3" t="n">
        <v>0</v>
      </c>
      <c r="F47" s="3" t="n">
        <v>0</v>
      </c>
      <c r="G47" s="3" t="n">
        <v>0</v>
      </c>
      <c r="H47" s="3" t="n">
        <v>0</v>
      </c>
      <c r="I47" s="3" t="n">
        <v>0</v>
      </c>
      <c r="J47" s="3" t="n">
        <v>0</v>
      </c>
      <c r="K47" s="3" t="n">
        <v>0</v>
      </c>
      <c r="L47" s="3" t="n">
        <v>0</v>
      </c>
    </row>
    <row r="48" customFormat="false" ht="15" hidden="false" customHeight="false" outlineLevel="0" collapsed="false">
      <c r="A48" s="0" t="s">
        <v>115</v>
      </c>
      <c r="B48" s="3" t="n">
        <v>11</v>
      </c>
    </row>
    <row r="49" customFormat="false" ht="15" hidden="false" customHeight="false" outlineLevel="0" collapsed="false">
      <c r="A49" s="0" t="s">
        <v>116</v>
      </c>
      <c r="B49" s="3" t="n">
        <v>3</v>
      </c>
    </row>
    <row r="50" customFormat="false" ht="15" hidden="false" customHeight="false" outlineLevel="0" collapsed="false">
      <c r="A50" s="0" t="s">
        <v>117</v>
      </c>
      <c r="B50" s="3" t="n">
        <v>12.88</v>
      </c>
    </row>
    <row r="51" customFormat="false" ht="15" hidden="false" customHeight="false" outlineLevel="0" collapsed="false">
      <c r="A51" s="0" t="s">
        <v>118</v>
      </c>
      <c r="B51" s="3" t="n">
        <v>0</v>
      </c>
    </row>
    <row r="52" customFormat="false" ht="15" hidden="false" customHeight="false" outlineLevel="0" collapsed="false">
      <c r="A52" s="0" t="s">
        <v>119</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122</v>
      </c>
    </row>
    <row r="3" customFormat="false" ht="15" hidden="false" customHeight="false" outlineLevel="0" collapsed="false">
      <c r="A3" s="0" t="s">
        <v>123</v>
      </c>
      <c r="B3" s="0" t="s">
        <v>93</v>
      </c>
      <c r="C3" s="2" t="s">
        <v>98</v>
      </c>
      <c r="D3" s="2" t="s">
        <v>99</v>
      </c>
      <c r="E3" s="2" t="s">
        <v>100</v>
      </c>
      <c r="F3" s="2" t="s">
        <v>101</v>
      </c>
      <c r="G3" s="2" t="s">
        <v>102</v>
      </c>
      <c r="H3" s="2" t="s">
        <v>103</v>
      </c>
      <c r="I3" s="2" t="s">
        <v>104</v>
      </c>
      <c r="J3" s="2" t="s">
        <v>105</v>
      </c>
      <c r="K3" s="2" t="s">
        <v>106</v>
      </c>
      <c r="L3" s="2" t="s">
        <v>107</v>
      </c>
    </row>
    <row r="4" customFormat="false" ht="15" hidden="false" customHeight="false" outlineLevel="0" collapsed="false">
      <c r="A4" s="0" t="s">
        <v>124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108</v>
      </c>
      <c r="C5" s="4" t="n">
        <f aca="false">Assumptions!C13</f>
        <v>-10.36</v>
      </c>
      <c r="D5" s="4" t="n">
        <f aca="false">Assumptions!D13</f>
        <v>-9.11</v>
      </c>
      <c r="E5" s="4" t="n">
        <f aca="false">Assumptions!E13</f>
        <v>2</v>
      </c>
      <c r="F5" s="4" t="n">
        <f aca="false">Assumptions!F13</f>
        <v>2</v>
      </c>
      <c r="G5" s="4" t="n">
        <f aca="false">Assumptions!G13</f>
        <v>2</v>
      </c>
      <c r="H5" s="4" t="n">
        <f aca="false">Assumptions!H13</f>
        <v>2</v>
      </c>
      <c r="I5" s="4" t="n">
        <f aca="false">Assumptions!I13</f>
        <v>2</v>
      </c>
      <c r="J5" s="4" t="n">
        <f aca="false">Assumptions!J13</f>
        <v>2</v>
      </c>
      <c r="K5" s="4" t="n">
        <f aca="false">Assumptions!K13</f>
        <v>2</v>
      </c>
      <c r="L5" s="4" t="n">
        <f aca="false">Assumptions!L13</f>
        <v>2</v>
      </c>
    </row>
    <row r="6" customFormat="false" ht="15" hidden="false" customHeight="false" outlineLevel="0" collapsed="false">
      <c r="A6" s="0" t="s">
        <v>37</v>
      </c>
      <c r="B6" s="3" t="n">
        <v>6150</v>
      </c>
      <c r="C6" s="0" t="n">
        <f aca="false">B6*(1+C5/100)</f>
        <v>5512.86</v>
      </c>
      <c r="D6" s="0" t="n">
        <f aca="false">C6*(1+D5/100)</f>
        <v>5010.638454</v>
      </c>
      <c r="E6" s="0" t="n">
        <f aca="false">D6*(1+E5/100)</f>
        <v>5110.85122308</v>
      </c>
      <c r="F6" s="0" t="n">
        <f aca="false">E6*(1+F5/100)</f>
        <v>5213.0682475416</v>
      </c>
      <c r="G6" s="0" t="n">
        <f aca="false">F6*(1+G5/100)</f>
        <v>5317.32961249243</v>
      </c>
      <c r="H6" s="0" t="n">
        <f aca="false">G6*(1+H5/100)</f>
        <v>5423.67620474228</v>
      </c>
      <c r="I6" s="0" t="n">
        <f aca="false">H6*(1+I5/100)</f>
        <v>5532.14972883713</v>
      </c>
      <c r="J6" s="0" t="n">
        <f aca="false">I6*(1+J5/100)</f>
        <v>5642.79272341387</v>
      </c>
      <c r="K6" s="0" t="n">
        <f aca="false">J6*(1+K5/100)</f>
        <v>5755.64857788215</v>
      </c>
      <c r="L6" s="0" t="n">
        <f aca="false">K6*(1+L5/100)</f>
        <v>5870.76154943979</v>
      </c>
    </row>
    <row r="7" customFormat="false" ht="15" hidden="false" customHeight="false" outlineLevel="0" collapsed="false">
      <c r="A7" s="0" t="s">
        <v>109</v>
      </c>
      <c r="C7" s="4" t="n">
        <f aca="false">Assumptions!C14</f>
        <v>72.57</v>
      </c>
      <c r="D7" s="4" t="n">
        <f aca="false">Assumptions!D14</f>
        <v>75.25</v>
      </c>
      <c r="E7" s="4" t="n">
        <f aca="false">Assumptions!E14</f>
        <v>75.25</v>
      </c>
      <c r="F7" s="4" t="n">
        <f aca="false">Assumptions!F14</f>
        <v>75.25</v>
      </c>
      <c r="G7" s="4" t="n">
        <f aca="false">Assumptions!G14</f>
        <v>75.25</v>
      </c>
      <c r="H7" s="4" t="n">
        <f aca="false">Assumptions!H14</f>
        <v>75.25</v>
      </c>
      <c r="I7" s="4" t="n">
        <f aca="false">Assumptions!I14</f>
        <v>75.25</v>
      </c>
      <c r="J7" s="4" t="n">
        <f aca="false">Assumptions!J14</f>
        <v>75.25</v>
      </c>
      <c r="K7" s="4" t="n">
        <f aca="false">Assumptions!K14</f>
        <v>75.25</v>
      </c>
      <c r="L7" s="4" t="n">
        <f aca="false">Assumptions!L14</f>
        <v>75.25</v>
      </c>
    </row>
    <row r="8" customFormat="false" ht="15" hidden="false" customHeight="false" outlineLevel="0" collapsed="false">
      <c r="A8" s="0" t="s">
        <v>43</v>
      </c>
      <c r="C8" s="0" t="n">
        <f aca="false">C6*C7/100</f>
        <v>4000.682502</v>
      </c>
      <c r="D8" s="0" t="n">
        <f aca="false">D6*D7/100</f>
        <v>3770.505436635</v>
      </c>
      <c r="E8" s="0" t="n">
        <f aca="false">E6*E7/100</f>
        <v>3845.9155453677</v>
      </c>
      <c r="F8" s="0" t="n">
        <f aca="false">F6*F7/100</f>
        <v>3922.83385627505</v>
      </c>
      <c r="G8" s="0" t="n">
        <f aca="false">G6*G7/100</f>
        <v>4001.29053340056</v>
      </c>
      <c r="H8" s="0" t="n">
        <f aca="false">H6*H7/100</f>
        <v>4081.31634406857</v>
      </c>
      <c r="I8" s="0" t="n">
        <f aca="false">I6*I7/100</f>
        <v>4162.94267094994</v>
      </c>
      <c r="J8" s="0" t="n">
        <f aca="false">J6*J7/100</f>
        <v>4246.20152436894</v>
      </c>
      <c r="K8" s="0" t="n">
        <f aca="false">K6*K7/100</f>
        <v>4331.12555485632</v>
      </c>
      <c r="L8" s="0" t="n">
        <f aca="false">L6*L7/100</f>
        <v>4417.74806595344</v>
      </c>
    </row>
    <row r="9" customFormat="false" ht="15" hidden="false" customHeight="false" outlineLevel="0" collapsed="false">
      <c r="A9" s="0" t="s">
        <v>110</v>
      </c>
      <c r="C9" s="4" t="n">
        <f aca="false">Assumptions!C15</f>
        <v>0</v>
      </c>
      <c r="D9" s="4" t="n">
        <f aca="false">Assumptions!D15</f>
        <v>0</v>
      </c>
      <c r="E9" s="4" t="n">
        <f aca="false">Assumptions!E15</f>
        <v>0</v>
      </c>
      <c r="F9" s="4" t="n">
        <f aca="false">Assumptions!F15</f>
        <v>0</v>
      </c>
      <c r="G9" s="4" t="n">
        <f aca="false">Assumptions!G15</f>
        <v>0</v>
      </c>
      <c r="H9" s="4" t="n">
        <f aca="false">Assumptions!H15</f>
        <v>0</v>
      </c>
      <c r="I9" s="4" t="n">
        <f aca="false">Assumptions!I15</f>
        <v>0</v>
      </c>
      <c r="J9" s="4" t="n">
        <f aca="false">Assumptions!J15</f>
        <v>0</v>
      </c>
      <c r="K9" s="4" t="n">
        <f aca="false">Assumptions!K15</f>
        <v>0</v>
      </c>
      <c r="L9" s="4" t="n">
        <f aca="false">Assumptions!L15</f>
        <v>0</v>
      </c>
    </row>
    <row r="10" customFormat="false" ht="15" hidden="false" customHeight="false" outlineLevel="0" collapsed="false">
      <c r="A10" s="0" t="s">
        <v>125</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126</v>
      </c>
      <c r="C11" s="0" t="n">
        <f aca="false">C8+C10+C24</f>
        <v>4000.682502</v>
      </c>
      <c r="D11" s="0" t="n">
        <f aca="false">D8+D10+D24</f>
        <v>3770.505436635</v>
      </c>
      <c r="E11" s="0" t="n">
        <f aca="false">E8+E10+E24</f>
        <v>3845.9155453677</v>
      </c>
      <c r="F11" s="0" t="n">
        <f aca="false">F8+F10+F24</f>
        <v>3922.83385627505</v>
      </c>
      <c r="G11" s="0" t="n">
        <f aca="false">G8+G10+G24</f>
        <v>4001.29053340056</v>
      </c>
      <c r="H11" s="0" t="n">
        <f aca="false">H8+H10+H24</f>
        <v>4081.31634406857</v>
      </c>
      <c r="I11" s="0" t="n">
        <f aca="false">I8+I10+I24</f>
        <v>4162.94267094994</v>
      </c>
      <c r="J11" s="0" t="n">
        <f aca="false">J8+J10+J24</f>
        <v>4246.20152436894</v>
      </c>
      <c r="K11" s="0" t="n">
        <f aca="false">K8+K10+K24</f>
        <v>4331.12555485632</v>
      </c>
      <c r="L11" s="0" t="n">
        <f aca="false">L8+L10+L24</f>
        <v>4417.74806595344</v>
      </c>
    </row>
    <row r="12" customFormat="false" ht="15" hidden="false" customHeight="false" outlineLevel="0" collapsed="false">
      <c r="A12" s="0" t="s">
        <v>127</v>
      </c>
      <c r="C12" s="4" t="n">
        <f aca="false">-C6*Assumptions!C17/100</f>
        <v>-0</v>
      </c>
      <c r="D12" s="4" t="n">
        <f aca="false">-D6*Assumptions!D17/100</f>
        <v>-0</v>
      </c>
      <c r="E12" s="4" t="n">
        <f aca="false">-E6*Assumptions!E17/100</f>
        <v>-0</v>
      </c>
      <c r="F12" s="4" t="n">
        <f aca="false">-F6*Assumptions!F17/100</f>
        <v>-0</v>
      </c>
      <c r="G12" s="4" t="n">
        <f aca="false">-G6*Assumptions!G17/100</f>
        <v>-0</v>
      </c>
      <c r="H12" s="4" t="n">
        <f aca="false">-H6*Assumptions!H17/100</f>
        <v>-0</v>
      </c>
      <c r="I12" s="4" t="n">
        <f aca="false">-I6*Assumptions!I17/100</f>
        <v>-0</v>
      </c>
      <c r="J12" s="4" t="n">
        <f aca="false">-J6*Assumptions!J17/100</f>
        <v>-0</v>
      </c>
      <c r="K12" s="4" t="n">
        <f aca="false">-K6*Assumptions!K17/100</f>
        <v>-0</v>
      </c>
      <c r="L12" s="4" t="n">
        <f aca="false">-L6*Assumptions!L17/100</f>
        <v>-0</v>
      </c>
    </row>
    <row r="13" customFormat="false" ht="15" hidden="false" customHeight="false" outlineLevel="0" collapsed="false">
      <c r="A13" s="0" t="s">
        <v>128</v>
      </c>
      <c r="C13" s="0" t="n">
        <f aca="false">C11+C12</f>
        <v>4000.682502</v>
      </c>
      <c r="D13" s="0" t="n">
        <f aca="false">D11+D12</f>
        <v>3770.505436635</v>
      </c>
      <c r="E13" s="0" t="n">
        <f aca="false">E11+E12</f>
        <v>3845.9155453677</v>
      </c>
      <c r="F13" s="0" t="n">
        <f aca="false">F11+F12</f>
        <v>3922.83385627505</v>
      </c>
      <c r="G13" s="0" t="n">
        <f aca="false">G11+G12</f>
        <v>4001.29053340056</v>
      </c>
      <c r="H13" s="0" t="n">
        <f aca="false">H11+H12</f>
        <v>4081.31634406857</v>
      </c>
      <c r="I13" s="0" t="n">
        <f aca="false">I11+I12</f>
        <v>4162.94267094994</v>
      </c>
      <c r="J13" s="0" t="n">
        <f aca="false">J11+J12</f>
        <v>4246.20152436894</v>
      </c>
      <c r="K13" s="0" t="n">
        <f aca="false">K11+K12</f>
        <v>4331.12555485632</v>
      </c>
      <c r="L13" s="0" t="n">
        <f aca="false">L11+L12</f>
        <v>4417.74806595344</v>
      </c>
    </row>
    <row r="14" customFormat="false" ht="15" hidden="false" customHeight="false" outlineLevel="0" collapsed="false">
      <c r="A14" s="0" t="s">
        <v>114</v>
      </c>
      <c r="C14" s="4" t="n">
        <f aca="false">Assumptions!C19</f>
        <v>0</v>
      </c>
      <c r="D14" s="4" t="n">
        <f aca="false">Assumptions!D19</f>
        <v>0</v>
      </c>
      <c r="E14" s="4" t="n">
        <f aca="false">Assumptions!E19</f>
        <v>0</v>
      </c>
      <c r="F14" s="4" t="n">
        <f aca="false">Assumptions!F19</f>
        <v>0</v>
      </c>
      <c r="G14" s="4" t="n">
        <f aca="false">Assumptions!G19</f>
        <v>0</v>
      </c>
      <c r="H14" s="4" t="n">
        <f aca="false">Assumptions!H19</f>
        <v>0</v>
      </c>
      <c r="I14" s="4" t="n">
        <f aca="false">Assumptions!I19</f>
        <v>0</v>
      </c>
      <c r="J14" s="4" t="n">
        <f aca="false">Assumptions!J19</f>
        <v>0</v>
      </c>
      <c r="K14" s="4" t="n">
        <f aca="false">Assumptions!K19</f>
        <v>0</v>
      </c>
      <c r="L14" s="4" t="n">
        <f aca="false">Assumptions!L19</f>
        <v>0</v>
      </c>
    </row>
    <row r="15" customFormat="false" ht="15" hidden="false" customHeight="false" outlineLevel="0" collapsed="false">
      <c r="A15" s="0" t="s">
        <v>129</v>
      </c>
      <c r="C15" s="0" t="n">
        <f aca="false">C13-MAX(0,C13)*C14/100</f>
        <v>4000.682502</v>
      </c>
      <c r="D15" s="0" t="n">
        <f aca="false">D13-MAX(0,D13)*D14/100</f>
        <v>3770.505436635</v>
      </c>
      <c r="E15" s="0" t="n">
        <f aca="false">E13-MAX(0,E13)*E14/100</f>
        <v>3845.9155453677</v>
      </c>
      <c r="F15" s="0" t="n">
        <f aca="false">F13-MAX(0,F13)*F14/100</f>
        <v>3922.83385627505</v>
      </c>
      <c r="G15" s="0" t="n">
        <f aca="false">G13-MAX(0,G13)*G14/100</f>
        <v>4001.29053340056</v>
      </c>
      <c r="H15" s="0" t="n">
        <f aca="false">H13-MAX(0,H13)*H14/100</f>
        <v>4081.31634406857</v>
      </c>
      <c r="I15" s="0" t="n">
        <f aca="false">I13-MAX(0,I13)*I14/100</f>
        <v>4162.94267094994</v>
      </c>
      <c r="J15" s="0" t="n">
        <f aca="false">J13-MAX(0,J13)*J14/100</f>
        <v>4246.20152436894</v>
      </c>
      <c r="K15" s="0" t="n">
        <f aca="false">K13-MAX(0,K13)*K14/100</f>
        <v>4331.12555485632</v>
      </c>
      <c r="L15" s="0" t="n">
        <f aca="false">L13-MAX(0,L13)*L14/100</f>
        <v>4417.74806595344</v>
      </c>
    </row>
    <row r="16" customFormat="false" ht="15" hidden="false" customHeight="false" outlineLevel="0" collapsed="false">
      <c r="A16" s="0" t="s">
        <v>130</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131</v>
      </c>
      <c r="C17" s="4" t="n">
        <f aca="false">-C6*Assumptions!C18/100</f>
        <v>-0</v>
      </c>
      <c r="D17" s="4" t="n">
        <f aca="false">-D6*Assumptions!D18/100</f>
        <v>-0</v>
      </c>
      <c r="E17" s="4" t="n">
        <f aca="false">-E6*Assumptions!E18/100</f>
        <v>-0</v>
      </c>
      <c r="F17" s="4" t="n">
        <f aca="false">-F6*Assumptions!F18/100</f>
        <v>-0</v>
      </c>
      <c r="G17" s="4" t="n">
        <f aca="false">-G6*Assumptions!G18/100</f>
        <v>-0</v>
      </c>
      <c r="H17" s="4" t="n">
        <f aca="false">-H6*Assumptions!H18/100</f>
        <v>-0</v>
      </c>
      <c r="I17" s="4" t="n">
        <f aca="false">-I6*Assumptions!I18/100</f>
        <v>-0</v>
      </c>
      <c r="J17" s="4" t="n">
        <f aca="false">-J6*Assumptions!J18/100</f>
        <v>-0</v>
      </c>
      <c r="K17" s="4" t="n">
        <f aca="false">-K6*Assumptions!K18/100</f>
        <v>-0</v>
      </c>
      <c r="L17" s="4" t="n">
        <f aca="false">-L6*Assumptions!L18/100</f>
        <v>-0</v>
      </c>
    </row>
    <row r="18" customFormat="false" ht="15" hidden="false" customHeight="false" outlineLevel="0" collapsed="false">
      <c r="A18" s="0" t="s">
        <v>132</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133</v>
      </c>
      <c r="C19" s="0" t="n">
        <f aca="false">C15+C16+C17+C18</f>
        <v>4000.682502</v>
      </c>
      <c r="D19" s="0" t="n">
        <f aca="false">D15+D16+D17+D18</f>
        <v>3770.505436635</v>
      </c>
      <c r="E19" s="0" t="n">
        <f aca="false">E15+E16+E17+E18</f>
        <v>3845.9155453677</v>
      </c>
      <c r="F19" s="0" t="n">
        <f aca="false">F15+F16+F17+F18</f>
        <v>3922.83385627505</v>
      </c>
      <c r="G19" s="0" t="n">
        <f aca="false">G15+G16+G17+G18</f>
        <v>4001.29053340056</v>
      </c>
      <c r="H19" s="0" t="n">
        <f aca="false">H15+H16+H17+H18</f>
        <v>4081.31634406857</v>
      </c>
      <c r="I19" s="0" t="n">
        <f aca="false">I15+I16+I17+I18</f>
        <v>4162.94267094994</v>
      </c>
      <c r="J19" s="0" t="n">
        <f aca="false">J15+J16+J17+J18</f>
        <v>4246.20152436894</v>
      </c>
      <c r="K19" s="0" t="n">
        <f aca="false">K15+K16+K17+K18</f>
        <v>4331.12555485632</v>
      </c>
      <c r="L19" s="0" t="n">
        <f aca="false">L15+L16+L17+L18</f>
        <v>4417.74806595344</v>
      </c>
    </row>
    <row r="20" customFormat="false" ht="15" hidden="false" customHeight="false" outlineLevel="0" collapsed="false">
      <c r="A20" s="0" t="s">
        <v>134</v>
      </c>
      <c r="C20" s="0" t="n">
        <f aca="false">1/(1+$B$27/100)^C4</f>
        <v>0.900900900900901</v>
      </c>
      <c r="D20" s="0" t="n">
        <f aca="false">1/(1+$B$27/100)^D4</f>
        <v>0.811622433244055</v>
      </c>
      <c r="E20" s="0" t="n">
        <f aca="false">1/(1+$B$27/100)^E4</f>
        <v>0.73119138130095</v>
      </c>
      <c r="F20" s="0" t="n">
        <f aca="false">1/(1+$B$27/100)^F4</f>
        <v>0.658730974145</v>
      </c>
      <c r="G20" s="0" t="n">
        <f aca="false">1/(1+$B$27/100)^G4</f>
        <v>0.593451328058559</v>
      </c>
      <c r="H20" s="0" t="n">
        <f aca="false">1/(1+$B$27/100)^H4</f>
        <v>0.534640836088791</v>
      </c>
      <c r="I20" s="0" t="n">
        <f aca="false">1/(1+$B$27/100)^I4</f>
        <v>0.481658410890803</v>
      </c>
      <c r="J20" s="0" t="n">
        <f aca="false">1/(1+$B$27/100)^J4</f>
        <v>0.433926496298021</v>
      </c>
      <c r="K20" s="0" t="n">
        <f aca="false">1/(1+$B$27/100)^K4</f>
        <v>0.390924771439658</v>
      </c>
      <c r="L20" s="0" t="n">
        <f aca="false">1/(1+$B$27/100)^L4</f>
        <v>0.352184478774467</v>
      </c>
    </row>
    <row r="21" customFormat="false" ht="15" hidden="false" customHeight="false" outlineLevel="0" collapsed="false">
      <c r="A21" s="0" t="s">
        <v>135</v>
      </c>
      <c r="C21" s="0" t="n">
        <f aca="false">C19*C20</f>
        <v>3604.21847027027</v>
      </c>
      <c r="D21" s="0" t="n">
        <f aca="false">D19*D20</f>
        <v>3060.22679704164</v>
      </c>
      <c r="E21" s="0" t="n">
        <f aca="false">E19*E20</f>
        <v>2812.10029998421</v>
      </c>
      <c r="F21" s="0" t="n">
        <f aca="false">F19*F20</f>
        <v>2584.09216755305</v>
      </c>
      <c r="G21" s="0" t="n">
        <f aca="false">G19*G20</f>
        <v>2374.5711809947</v>
      </c>
      <c r="H21" s="0" t="n">
        <f aca="false">H19*H20</f>
        <v>2182.03838253567</v>
      </c>
      <c r="I21" s="0" t="n">
        <f aca="false">I19*I20</f>
        <v>2005.11635151926</v>
      </c>
      <c r="J21" s="0" t="n">
        <f aca="false">J19*J20</f>
        <v>1842.53935004473</v>
      </c>
      <c r="K21" s="0" t="n">
        <f aca="false">K19*K20</f>
        <v>1693.14426760867</v>
      </c>
      <c r="L21" s="0" t="n">
        <f aca="false">L19*L20</f>
        <v>1555.86229996472</v>
      </c>
    </row>
    <row r="23" customFormat="false" ht="15" hidden="false" customHeight="false" outlineLevel="0" collapsed="false">
      <c r="A23" s="0" t="s">
        <v>111</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136</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137</v>
      </c>
    </row>
    <row r="27" customFormat="false" ht="15" hidden="false" customHeight="false" outlineLevel="0" collapsed="false">
      <c r="A27" s="0" t="s">
        <v>115</v>
      </c>
      <c r="B27" s="4" t="n">
        <f aca="false">Assumptions!$B$20</f>
        <v>11</v>
      </c>
    </row>
    <row r="28" customFormat="false" ht="15" hidden="false" customHeight="false" outlineLevel="0" collapsed="false">
      <c r="A28" s="0" t="s">
        <v>116</v>
      </c>
      <c r="B28" s="4" t="n">
        <f aca="false">Assumptions!$B$21</f>
        <v>2</v>
      </c>
    </row>
    <row r="29" customFormat="false" ht="15" hidden="false" customHeight="false" outlineLevel="0" collapsed="false">
      <c r="A29" s="0" t="s">
        <v>117</v>
      </c>
      <c r="B29" s="4" t="n">
        <f aca="false">Assumptions!$B$22</f>
        <v>11.33</v>
      </c>
    </row>
    <row r="30" customFormat="false" ht="15" hidden="false" customHeight="false" outlineLevel="0" collapsed="false">
      <c r="A30" s="0" t="s">
        <v>138</v>
      </c>
      <c r="B30" s="0" t="n">
        <f aca="false">SUM(C21:L21)</f>
        <v>23713.9095675169</v>
      </c>
    </row>
    <row r="31" customFormat="false" ht="15" hidden="false" customHeight="false" outlineLevel="0" collapsed="false">
      <c r="A31" s="0" t="s">
        <v>139</v>
      </c>
      <c r="B31" s="0" t="n">
        <f aca="false">L19</f>
        <v>4417.74806595344</v>
      </c>
    </row>
    <row r="32" customFormat="false" ht="15" hidden="false" customHeight="false" outlineLevel="0" collapsed="false">
      <c r="A32" s="0" t="s">
        <v>140</v>
      </c>
      <c r="B32" s="0" t="n">
        <f aca="false">IF(B27&gt;B28,B31*(1+B28/100)/((B27-B28)/100),B31*B29)</f>
        <v>50067.811414139</v>
      </c>
    </row>
    <row r="33" customFormat="false" ht="15" hidden="false" customHeight="false" outlineLevel="0" collapsed="false">
      <c r="A33" s="0" t="s">
        <v>141</v>
      </c>
      <c r="B33" s="0" t="n">
        <f aca="false">B31*B29</f>
        <v>50053.0855872525</v>
      </c>
    </row>
    <row r="34" customFormat="false" ht="15" hidden="false" customHeight="false" outlineLevel="0" collapsed="false">
      <c r="A34" s="0" t="s">
        <v>142</v>
      </c>
      <c r="B34" s="0" t="n">
        <f aca="false">MAX(0,MIN(B32,B33))</f>
        <v>50053.0855872525</v>
      </c>
    </row>
    <row r="35" customFormat="false" ht="15" hidden="false" customHeight="false" outlineLevel="0" collapsed="false">
      <c r="A35" s="0" t="s">
        <v>143</v>
      </c>
      <c r="B35" s="0" t="n">
        <f aca="false">B34/(1+B27/100)^L4</f>
        <v>17627.9198586003</v>
      </c>
    </row>
    <row r="36" customFormat="false" ht="15" hidden="false" customHeight="false" outlineLevel="0" collapsed="false">
      <c r="A36" s="0" t="s">
        <v>144</v>
      </c>
      <c r="B36" s="0" t="n">
        <f aca="false">B30+B35</f>
        <v>41341.8294261172</v>
      </c>
    </row>
    <row r="37" customFormat="false" ht="15" hidden="false" customHeight="false" outlineLevel="0" collapsed="false">
      <c r="A37" s="0" t="s">
        <v>145</v>
      </c>
      <c r="B37" s="0" t="n">
        <f aca="false">B36+Assumptions!$B$5-Assumptions!$B$4</f>
        <v>44841.8294261172</v>
      </c>
    </row>
    <row r="38" customFormat="false" ht="15" hidden="false" customHeight="false" outlineLevel="0" collapsed="false">
      <c r="A38" s="0" t="s">
        <v>146</v>
      </c>
      <c r="B38" s="0" t="n">
        <f aca="false">B37/Assumptions!$B$3*Assumptions!$B$10</f>
        <v>23.4872351907172</v>
      </c>
    </row>
    <row r="39" customFormat="false" ht="15" hidden="false" customHeight="false" outlineLevel="0" collapsed="false">
      <c r="A39" s="0" t="s">
        <v>147</v>
      </c>
      <c r="B39" s="4" t="n">
        <f aca="false">B38/Assumptions!$B$2-1</f>
        <v>-0.15891727159473</v>
      </c>
    </row>
    <row r="41" customFormat="false" ht="15" hidden="false" customHeight="false" outlineLevel="0" collapsed="false">
      <c r="A41" s="0" t="s">
        <v>148</v>
      </c>
      <c r="B41" s="0" t="n">
        <f aca="false">SUMPRODUCT(-C10:L10/(1+$B$27/100)^C4:L4)</f>
        <v>0</v>
      </c>
    </row>
    <row r="42" customFormat="false" ht="15" hidden="false" customHeight="false" outlineLevel="0" collapsed="false">
      <c r="A42" s="0" t="s">
        <v>149</v>
      </c>
      <c r="B42" s="0" t="n">
        <f aca="false">IF(B27&gt;B28,-L10*(1+B28/100)/((B27-B28)/100),-L10*20)/(1+B27/100)^L4</f>
        <v>0</v>
      </c>
    </row>
    <row r="43" customFormat="false" ht="15" hidden="false" customHeight="false" outlineLevel="0" collapsed="false">
      <c r="A43" s="0" t="s">
        <v>150</v>
      </c>
      <c r="B43" s="0" t="n">
        <f aca="false">(B37+B41+B42)/Assumptions!$B$3*Assumptions!$B$10</f>
        <v>23.4872351907172</v>
      </c>
    </row>
    <row r="45" customFormat="false" ht="15" hidden="false" customHeight="false" outlineLevel="0" collapsed="false">
      <c r="A45" s="0" t="s">
        <v>90</v>
      </c>
      <c r="B45" s="4" t="n">
        <f aca="false">Assumptions!$B$6</f>
        <v>15</v>
      </c>
    </row>
    <row r="46" customFormat="false" ht="15" hidden="false" customHeight="false" outlineLevel="0" collapsed="false">
      <c r="A46" s="0" t="s">
        <v>151</v>
      </c>
      <c r="B46" s="0" t="n">
        <f aca="false">MAX(0,MIN(IF(B45&gt;B28,B31*(1+B28/100)/((B45-B28)/100),B31*B29),B31*B29))</f>
        <v>34662.3309790193</v>
      </c>
    </row>
    <row r="47" customFormat="false" ht="15" hidden="false" customHeight="false" outlineLevel="0" collapsed="false">
      <c r="A47" s="0" t="s">
        <v>152</v>
      </c>
      <c r="B47" s="0" t="n">
        <f aca="false">(SUMPRODUCT(C19:L19/(1+B45/100)^C4:L4)+B46/(1+B45/100)^L4+Assumptions!$B$5-Assumptions!$B$4)/Assumptions!$B$3*Assumptions!$B$10</f>
        <v>16.8655072810444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153</v>
      </c>
    </row>
    <row r="3" customFormat="false" ht="15" hidden="false" customHeight="false" outlineLevel="0" collapsed="false">
      <c r="A3" s="0" t="s">
        <v>123</v>
      </c>
      <c r="B3" s="0" t="s">
        <v>93</v>
      </c>
      <c r="C3" s="2" t="s">
        <v>98</v>
      </c>
      <c r="D3" s="2" t="s">
        <v>99</v>
      </c>
      <c r="E3" s="2" t="s">
        <v>100</v>
      </c>
      <c r="F3" s="2" t="s">
        <v>101</v>
      </c>
      <c r="G3" s="2" t="s">
        <v>102</v>
      </c>
      <c r="H3" s="2" t="s">
        <v>103</v>
      </c>
      <c r="I3" s="2" t="s">
        <v>104</v>
      </c>
      <c r="J3" s="2" t="s">
        <v>105</v>
      </c>
      <c r="K3" s="2" t="s">
        <v>106</v>
      </c>
      <c r="L3" s="2" t="s">
        <v>107</v>
      </c>
    </row>
    <row r="4" customFormat="false" ht="15" hidden="false" customHeight="false" outlineLevel="0" collapsed="false">
      <c r="A4" s="0" t="s">
        <v>124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108</v>
      </c>
      <c r="C5" s="4" t="n">
        <f aca="false">Assumptions!C27</f>
        <v>17.9</v>
      </c>
      <c r="D5" s="4" t="n">
        <f aca="false">Assumptions!D27</f>
        <v>10.64</v>
      </c>
      <c r="E5" s="4" t="n">
        <f aca="false">Assumptions!E27</f>
        <v>3.75</v>
      </c>
      <c r="F5" s="4" t="n">
        <f aca="false">Assumptions!F27</f>
        <v>3.5</v>
      </c>
      <c r="G5" s="4" t="n">
        <f aca="false">Assumptions!G27</f>
        <v>3.25</v>
      </c>
      <c r="H5" s="4" t="n">
        <f aca="false">Assumptions!H27</f>
        <v>2.75</v>
      </c>
      <c r="I5" s="4" t="n">
        <f aca="false">Assumptions!I27</f>
        <v>2.5</v>
      </c>
      <c r="J5" s="4" t="n">
        <f aca="false">Assumptions!J27</f>
        <v>2.5</v>
      </c>
      <c r="K5" s="4" t="n">
        <f aca="false">Assumptions!K27</f>
        <v>2.5</v>
      </c>
      <c r="L5" s="4" t="n">
        <f aca="false">Assumptions!L27</f>
        <v>2.5</v>
      </c>
    </row>
    <row r="6" customFormat="false" ht="15" hidden="false" customHeight="false" outlineLevel="0" collapsed="false">
      <c r="A6" s="0" t="s">
        <v>37</v>
      </c>
      <c r="B6" s="3" t="n">
        <v>6150</v>
      </c>
      <c r="C6" s="0" t="n">
        <f aca="false">B6*(1+C5/100)</f>
        <v>7250.85</v>
      </c>
      <c r="D6" s="0" t="n">
        <f aca="false">C6*(1+D5/100)</f>
        <v>8022.34044</v>
      </c>
      <c r="E6" s="0" t="n">
        <f aca="false">D6*(1+E5/100)</f>
        <v>8323.1782065</v>
      </c>
      <c r="F6" s="0" t="n">
        <f aca="false">E6*(1+F5/100)</f>
        <v>8614.4894437275</v>
      </c>
      <c r="G6" s="0" t="n">
        <f aca="false">F6*(1+G5/100)</f>
        <v>8894.46035064865</v>
      </c>
      <c r="H6" s="0" t="n">
        <f aca="false">G6*(1+H5/100)</f>
        <v>9139.05801029149</v>
      </c>
      <c r="I6" s="0" t="n">
        <f aca="false">H6*(1+I5/100)</f>
        <v>9367.53446054877</v>
      </c>
      <c r="J6" s="0" t="n">
        <f aca="false">I6*(1+J5/100)</f>
        <v>9601.72282206249</v>
      </c>
      <c r="K6" s="0" t="n">
        <f aca="false">J6*(1+K5/100)</f>
        <v>9841.76589261405</v>
      </c>
      <c r="L6" s="0" t="n">
        <f aca="false">K6*(1+L5/100)</f>
        <v>10087.8100399294</v>
      </c>
    </row>
    <row r="7" customFormat="false" ht="15" hidden="false" customHeight="false" outlineLevel="0" collapsed="false">
      <c r="A7" s="0" t="s">
        <v>109</v>
      </c>
      <c r="C7" s="4" t="n">
        <f aca="false">Assumptions!C28</f>
        <v>66.62</v>
      </c>
      <c r="D7" s="4" t="n">
        <f aca="false">Assumptions!D28</f>
        <v>68.63</v>
      </c>
      <c r="E7" s="4" t="n">
        <f aca="false">Assumptions!E28</f>
        <v>72.48</v>
      </c>
      <c r="F7" s="4" t="n">
        <f aca="false">Assumptions!F28</f>
        <v>72.48</v>
      </c>
      <c r="G7" s="4" t="n">
        <f aca="false">Assumptions!G28</f>
        <v>76.35</v>
      </c>
      <c r="H7" s="4" t="n">
        <f aca="false">Assumptions!H28</f>
        <v>80.25</v>
      </c>
      <c r="I7" s="4" t="n">
        <f aca="false">Assumptions!I28</f>
        <v>80.25</v>
      </c>
      <c r="J7" s="4" t="n">
        <f aca="false">Assumptions!J28</f>
        <v>80.25</v>
      </c>
      <c r="K7" s="4" t="n">
        <f aca="false">Assumptions!K28</f>
        <v>80.25</v>
      </c>
      <c r="L7" s="4" t="n">
        <f aca="false">Assumptions!L28</f>
        <v>80.25</v>
      </c>
    </row>
    <row r="8" customFormat="false" ht="15" hidden="false" customHeight="false" outlineLevel="0" collapsed="false">
      <c r="A8" s="0" t="s">
        <v>43</v>
      </c>
      <c r="C8" s="0" t="n">
        <f aca="false">C6*C7/100</f>
        <v>4830.51627</v>
      </c>
      <c r="D8" s="0" t="n">
        <f aca="false">D6*D7/100</f>
        <v>5505.732243972</v>
      </c>
      <c r="E8" s="0" t="n">
        <f aca="false">E6*E7/100</f>
        <v>6032.6395640712</v>
      </c>
      <c r="F8" s="0" t="n">
        <f aca="false">F6*F7/100</f>
        <v>6243.78194881369</v>
      </c>
      <c r="G8" s="0" t="n">
        <f aca="false">G6*G7/100</f>
        <v>6790.92047772024</v>
      </c>
      <c r="H8" s="0" t="n">
        <f aca="false">H6*H7/100</f>
        <v>7334.09405325892</v>
      </c>
      <c r="I8" s="0" t="n">
        <f aca="false">I6*I7/100</f>
        <v>7517.44640459039</v>
      </c>
      <c r="J8" s="0" t="n">
        <f aca="false">J6*J7/100</f>
        <v>7705.38256470515</v>
      </c>
      <c r="K8" s="0" t="n">
        <f aca="false">K6*K7/100</f>
        <v>7898.01712882278</v>
      </c>
      <c r="L8" s="0" t="n">
        <f aca="false">L6*L7/100</f>
        <v>8095.46755704334</v>
      </c>
    </row>
    <row r="9" customFormat="false" ht="15" hidden="false" customHeight="false" outlineLevel="0" collapsed="false">
      <c r="A9" s="0" t="s">
        <v>110</v>
      </c>
      <c r="C9" s="4" t="n">
        <f aca="false">Assumptions!C29</f>
        <v>0</v>
      </c>
      <c r="D9" s="4" t="n">
        <f aca="false">Assumptions!D29</f>
        <v>0</v>
      </c>
      <c r="E9" s="4" t="n">
        <f aca="false">Assumptions!E29</f>
        <v>0</v>
      </c>
      <c r="F9" s="4" t="n">
        <f aca="false">Assumptions!F29</f>
        <v>0</v>
      </c>
      <c r="G9" s="4" t="n">
        <f aca="false">Assumptions!G29</f>
        <v>0</v>
      </c>
      <c r="H9" s="4" t="n">
        <f aca="false">Assumptions!H29</f>
        <v>0</v>
      </c>
      <c r="I9" s="4" t="n">
        <f aca="false">Assumptions!I29</f>
        <v>0</v>
      </c>
      <c r="J9" s="4" t="n">
        <f aca="false">Assumptions!J29</f>
        <v>0</v>
      </c>
      <c r="K9" s="4" t="n">
        <f aca="false">Assumptions!K29</f>
        <v>0</v>
      </c>
      <c r="L9" s="4" t="n">
        <f aca="false">Assumptions!L29</f>
        <v>0</v>
      </c>
    </row>
    <row r="10" customFormat="false" ht="15" hidden="false" customHeight="false" outlineLevel="0" collapsed="false">
      <c r="A10" s="0" t="s">
        <v>125</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126</v>
      </c>
      <c r="C11" s="0" t="n">
        <f aca="false">C8+C10+C24</f>
        <v>4830.51627</v>
      </c>
      <c r="D11" s="0" t="n">
        <f aca="false">D8+D10+D24</f>
        <v>5505.732243972</v>
      </c>
      <c r="E11" s="0" t="n">
        <f aca="false">E8+E10+E24</f>
        <v>6032.6395640712</v>
      </c>
      <c r="F11" s="0" t="n">
        <f aca="false">F8+F10+F24</f>
        <v>6243.78194881369</v>
      </c>
      <c r="G11" s="0" t="n">
        <f aca="false">G8+G10+G24</f>
        <v>6790.92047772024</v>
      </c>
      <c r="H11" s="0" t="n">
        <f aca="false">H8+H10+H24</f>
        <v>7334.09405325892</v>
      </c>
      <c r="I11" s="0" t="n">
        <f aca="false">I8+I10+I24</f>
        <v>7517.44640459039</v>
      </c>
      <c r="J11" s="0" t="n">
        <f aca="false">J8+J10+J24</f>
        <v>7705.38256470515</v>
      </c>
      <c r="K11" s="0" t="n">
        <f aca="false">K8+K10+K24</f>
        <v>7898.01712882278</v>
      </c>
      <c r="L11" s="0" t="n">
        <f aca="false">L8+L10+L24</f>
        <v>8095.46755704334</v>
      </c>
    </row>
    <row r="12" customFormat="false" ht="15" hidden="false" customHeight="false" outlineLevel="0" collapsed="false">
      <c r="A12" s="0" t="s">
        <v>127</v>
      </c>
      <c r="C12" s="4" t="n">
        <f aca="false">-C6*Assumptions!C31/100</f>
        <v>-0</v>
      </c>
      <c r="D12" s="4" t="n">
        <f aca="false">-D6*Assumptions!D31/100</f>
        <v>-0</v>
      </c>
      <c r="E12" s="4" t="n">
        <f aca="false">-E6*Assumptions!E31/100</f>
        <v>-0</v>
      </c>
      <c r="F12" s="4" t="n">
        <f aca="false">-F6*Assumptions!F31/100</f>
        <v>-0</v>
      </c>
      <c r="G12" s="4" t="n">
        <f aca="false">-G6*Assumptions!G31/100</f>
        <v>-0</v>
      </c>
      <c r="H12" s="4" t="n">
        <f aca="false">-H6*Assumptions!H31/100</f>
        <v>-0</v>
      </c>
      <c r="I12" s="4" t="n">
        <f aca="false">-I6*Assumptions!I31/100</f>
        <v>-0</v>
      </c>
      <c r="J12" s="4" t="n">
        <f aca="false">-J6*Assumptions!J31/100</f>
        <v>-0</v>
      </c>
      <c r="K12" s="4" t="n">
        <f aca="false">-K6*Assumptions!K31/100</f>
        <v>-0</v>
      </c>
      <c r="L12" s="4" t="n">
        <f aca="false">-L6*Assumptions!L31/100</f>
        <v>-0</v>
      </c>
    </row>
    <row r="13" customFormat="false" ht="15" hidden="false" customHeight="false" outlineLevel="0" collapsed="false">
      <c r="A13" s="0" t="s">
        <v>128</v>
      </c>
      <c r="C13" s="0" t="n">
        <f aca="false">C11+C12</f>
        <v>4830.51627</v>
      </c>
      <c r="D13" s="0" t="n">
        <f aca="false">D11+D12</f>
        <v>5505.732243972</v>
      </c>
      <c r="E13" s="0" t="n">
        <f aca="false">E11+E12</f>
        <v>6032.6395640712</v>
      </c>
      <c r="F13" s="0" t="n">
        <f aca="false">F11+F12</f>
        <v>6243.78194881369</v>
      </c>
      <c r="G13" s="0" t="n">
        <f aca="false">G11+G12</f>
        <v>6790.92047772024</v>
      </c>
      <c r="H13" s="0" t="n">
        <f aca="false">H11+H12</f>
        <v>7334.09405325892</v>
      </c>
      <c r="I13" s="0" t="n">
        <f aca="false">I11+I12</f>
        <v>7517.44640459039</v>
      </c>
      <c r="J13" s="0" t="n">
        <f aca="false">J11+J12</f>
        <v>7705.38256470515</v>
      </c>
      <c r="K13" s="0" t="n">
        <f aca="false">K11+K12</f>
        <v>7898.01712882278</v>
      </c>
      <c r="L13" s="0" t="n">
        <f aca="false">L11+L12</f>
        <v>8095.46755704334</v>
      </c>
    </row>
    <row r="14" customFormat="false" ht="15" hidden="false" customHeight="false" outlineLevel="0" collapsed="false">
      <c r="A14" s="0" t="s">
        <v>114</v>
      </c>
      <c r="C14" s="4" t="n">
        <f aca="false">Assumptions!C33</f>
        <v>0</v>
      </c>
      <c r="D14" s="4" t="n">
        <f aca="false">Assumptions!D33</f>
        <v>0</v>
      </c>
      <c r="E14" s="4" t="n">
        <f aca="false">Assumptions!E33</f>
        <v>0</v>
      </c>
      <c r="F14" s="4" t="n">
        <f aca="false">Assumptions!F33</f>
        <v>0</v>
      </c>
      <c r="G14" s="4" t="n">
        <f aca="false">Assumptions!G33</f>
        <v>0</v>
      </c>
      <c r="H14" s="4" t="n">
        <f aca="false">Assumptions!H33</f>
        <v>0</v>
      </c>
      <c r="I14" s="4" t="n">
        <f aca="false">Assumptions!I33</f>
        <v>0</v>
      </c>
      <c r="J14" s="4" t="n">
        <f aca="false">Assumptions!J33</f>
        <v>0</v>
      </c>
      <c r="K14" s="4" t="n">
        <f aca="false">Assumptions!K33</f>
        <v>0</v>
      </c>
      <c r="L14" s="4" t="n">
        <f aca="false">Assumptions!L33</f>
        <v>0</v>
      </c>
    </row>
    <row r="15" customFormat="false" ht="15" hidden="false" customHeight="false" outlineLevel="0" collapsed="false">
      <c r="A15" s="0" t="s">
        <v>129</v>
      </c>
      <c r="C15" s="0" t="n">
        <f aca="false">C13-MAX(0,C13)*C14/100</f>
        <v>4830.51627</v>
      </c>
      <c r="D15" s="0" t="n">
        <f aca="false">D13-MAX(0,D13)*D14/100</f>
        <v>5505.732243972</v>
      </c>
      <c r="E15" s="0" t="n">
        <f aca="false">E13-MAX(0,E13)*E14/100</f>
        <v>6032.6395640712</v>
      </c>
      <c r="F15" s="0" t="n">
        <f aca="false">F13-MAX(0,F13)*F14/100</f>
        <v>6243.78194881369</v>
      </c>
      <c r="G15" s="0" t="n">
        <f aca="false">G13-MAX(0,G13)*G14/100</f>
        <v>6790.92047772024</v>
      </c>
      <c r="H15" s="0" t="n">
        <f aca="false">H13-MAX(0,H13)*H14/100</f>
        <v>7334.09405325892</v>
      </c>
      <c r="I15" s="0" t="n">
        <f aca="false">I13-MAX(0,I13)*I14/100</f>
        <v>7517.44640459039</v>
      </c>
      <c r="J15" s="0" t="n">
        <f aca="false">J13-MAX(0,J13)*J14/100</f>
        <v>7705.38256470515</v>
      </c>
      <c r="K15" s="0" t="n">
        <f aca="false">K13-MAX(0,K13)*K14/100</f>
        <v>7898.01712882278</v>
      </c>
      <c r="L15" s="0" t="n">
        <f aca="false">L13-MAX(0,L13)*L14/100</f>
        <v>8095.46755704334</v>
      </c>
    </row>
    <row r="16" customFormat="false" ht="15" hidden="false" customHeight="false" outlineLevel="0" collapsed="false">
      <c r="A16" s="0" t="s">
        <v>130</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131</v>
      </c>
      <c r="C17" s="4" t="n">
        <f aca="false">-C6*Assumptions!C32/100</f>
        <v>-0</v>
      </c>
      <c r="D17" s="4" t="n">
        <f aca="false">-D6*Assumptions!D32/100</f>
        <v>-0</v>
      </c>
      <c r="E17" s="4" t="n">
        <f aca="false">-E6*Assumptions!E32/100</f>
        <v>-0</v>
      </c>
      <c r="F17" s="4" t="n">
        <f aca="false">-F6*Assumptions!F32/100</f>
        <v>-0</v>
      </c>
      <c r="G17" s="4" t="n">
        <f aca="false">-G6*Assumptions!G32/100</f>
        <v>-0</v>
      </c>
      <c r="H17" s="4" t="n">
        <f aca="false">-H6*Assumptions!H32/100</f>
        <v>-0</v>
      </c>
      <c r="I17" s="4" t="n">
        <f aca="false">-I6*Assumptions!I32/100</f>
        <v>-0</v>
      </c>
      <c r="J17" s="4" t="n">
        <f aca="false">-J6*Assumptions!J32/100</f>
        <v>-0</v>
      </c>
      <c r="K17" s="4" t="n">
        <f aca="false">-K6*Assumptions!K32/100</f>
        <v>-0</v>
      </c>
      <c r="L17" s="4" t="n">
        <f aca="false">-L6*Assumptions!L32/100</f>
        <v>-0</v>
      </c>
    </row>
    <row r="18" customFormat="false" ht="15" hidden="false" customHeight="false" outlineLevel="0" collapsed="false">
      <c r="A18" s="0" t="s">
        <v>132</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133</v>
      </c>
      <c r="C19" s="0" t="n">
        <f aca="false">C15+C16+C17+C18</f>
        <v>4830.51627</v>
      </c>
      <c r="D19" s="0" t="n">
        <f aca="false">D15+D16+D17+D18</f>
        <v>5505.732243972</v>
      </c>
      <c r="E19" s="0" t="n">
        <f aca="false">E15+E16+E17+E18</f>
        <v>6032.6395640712</v>
      </c>
      <c r="F19" s="0" t="n">
        <f aca="false">F15+F16+F17+F18</f>
        <v>6243.78194881369</v>
      </c>
      <c r="G19" s="0" t="n">
        <f aca="false">G15+G16+G17+G18</f>
        <v>6790.92047772024</v>
      </c>
      <c r="H19" s="0" t="n">
        <f aca="false">H15+H16+H17+H18</f>
        <v>7334.09405325892</v>
      </c>
      <c r="I19" s="0" t="n">
        <f aca="false">I15+I16+I17+I18</f>
        <v>7517.44640459039</v>
      </c>
      <c r="J19" s="0" t="n">
        <f aca="false">J15+J16+J17+J18</f>
        <v>7705.38256470515</v>
      </c>
      <c r="K19" s="0" t="n">
        <f aca="false">K15+K16+K17+K18</f>
        <v>7898.01712882278</v>
      </c>
      <c r="L19" s="0" t="n">
        <f aca="false">L15+L16+L17+L18</f>
        <v>8095.46755704334</v>
      </c>
    </row>
    <row r="20" customFormat="false" ht="15" hidden="false" customHeight="false" outlineLevel="0" collapsed="false">
      <c r="A20" s="0" t="s">
        <v>134</v>
      </c>
      <c r="C20" s="0" t="n">
        <f aca="false">1/(1+$B$27/100)^C4</f>
        <v>0.900900900900901</v>
      </c>
      <c r="D20" s="0" t="n">
        <f aca="false">1/(1+$B$27/100)^D4</f>
        <v>0.811622433244055</v>
      </c>
      <c r="E20" s="0" t="n">
        <f aca="false">1/(1+$B$27/100)^E4</f>
        <v>0.73119138130095</v>
      </c>
      <c r="F20" s="0" t="n">
        <f aca="false">1/(1+$B$27/100)^F4</f>
        <v>0.658730974145</v>
      </c>
      <c r="G20" s="0" t="n">
        <f aca="false">1/(1+$B$27/100)^G4</f>
        <v>0.593451328058559</v>
      </c>
      <c r="H20" s="0" t="n">
        <f aca="false">1/(1+$B$27/100)^H4</f>
        <v>0.534640836088791</v>
      </c>
      <c r="I20" s="0" t="n">
        <f aca="false">1/(1+$B$27/100)^I4</f>
        <v>0.481658410890803</v>
      </c>
      <c r="J20" s="0" t="n">
        <f aca="false">1/(1+$B$27/100)^J4</f>
        <v>0.433926496298021</v>
      </c>
      <c r="K20" s="0" t="n">
        <f aca="false">1/(1+$B$27/100)^K4</f>
        <v>0.390924771439658</v>
      </c>
      <c r="L20" s="0" t="n">
        <f aca="false">1/(1+$B$27/100)^L4</f>
        <v>0.352184478774467</v>
      </c>
    </row>
    <row r="21" customFormat="false" ht="15" hidden="false" customHeight="false" outlineLevel="0" collapsed="false">
      <c r="A21" s="0" t="s">
        <v>135</v>
      </c>
      <c r="C21" s="0" t="n">
        <f aca="false">C19*C20</f>
        <v>4351.81645945946</v>
      </c>
      <c r="D21" s="0" t="n">
        <f aca="false">D19*D20</f>
        <v>4468.5758006428</v>
      </c>
      <c r="E21" s="0" t="n">
        <f aca="false">E19*E20</f>
        <v>4411.01405574398</v>
      </c>
      <c r="F21" s="0" t="n">
        <f aca="false">F19*F20</f>
        <v>4112.97256549101</v>
      </c>
      <c r="G21" s="0" t="n">
        <f aca="false">G19*G20</f>
        <v>4030.08077624314</v>
      </c>
      <c r="H21" s="0" t="n">
        <f aca="false">H19*H20</f>
        <v>3921.10617658818</v>
      </c>
      <c r="I21" s="0" t="n">
        <f aca="false">I19*I20</f>
        <v>3620.84128919179</v>
      </c>
      <c r="J21" s="0" t="n">
        <f aca="false">J19*J20</f>
        <v>3343.56965893836</v>
      </c>
      <c r="K21" s="0" t="n">
        <f aca="false">K19*K20</f>
        <v>3087.53054091155</v>
      </c>
      <c r="L21" s="0" t="n">
        <f aca="false">L19*L20</f>
        <v>2851.09802201292</v>
      </c>
    </row>
    <row r="23" customFormat="false" ht="15" hidden="false" customHeight="false" outlineLevel="0" collapsed="false">
      <c r="A23" s="0" t="s">
        <v>111</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136</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137</v>
      </c>
    </row>
    <row r="27" customFormat="false" ht="15" hidden="false" customHeight="false" outlineLevel="0" collapsed="false">
      <c r="A27" s="0" t="s">
        <v>115</v>
      </c>
      <c r="B27" s="4" t="n">
        <f aca="false">Assumptions!$B$34</f>
        <v>11</v>
      </c>
    </row>
    <row r="28" customFormat="false" ht="15" hidden="false" customHeight="false" outlineLevel="0" collapsed="false">
      <c r="A28" s="0" t="s">
        <v>116</v>
      </c>
      <c r="B28" s="4" t="n">
        <f aca="false">Assumptions!$B$35</f>
        <v>2.5</v>
      </c>
    </row>
    <row r="29" customFormat="false" ht="15" hidden="false" customHeight="false" outlineLevel="0" collapsed="false">
      <c r="A29" s="0" t="s">
        <v>117</v>
      </c>
      <c r="B29" s="4" t="n">
        <f aca="false">Assumptions!$B$36</f>
        <v>12.06</v>
      </c>
    </row>
    <row r="30" customFormat="false" ht="15" hidden="false" customHeight="false" outlineLevel="0" collapsed="false">
      <c r="A30" s="0" t="s">
        <v>138</v>
      </c>
      <c r="B30" s="0" t="n">
        <f aca="false">SUM(C21:L21)</f>
        <v>38198.6053452232</v>
      </c>
    </row>
    <row r="31" customFormat="false" ht="15" hidden="false" customHeight="false" outlineLevel="0" collapsed="false">
      <c r="A31" s="0" t="s">
        <v>139</v>
      </c>
      <c r="B31" s="0" t="n">
        <f aca="false">L19</f>
        <v>8095.46755704334</v>
      </c>
    </row>
    <row r="32" customFormat="false" ht="15" hidden="false" customHeight="false" outlineLevel="0" collapsed="false">
      <c r="A32" s="0" t="s">
        <v>140</v>
      </c>
      <c r="B32" s="0" t="n">
        <f aca="false">IF(B27&gt;B28,B31*(1+B28/100)/((B27-B28)/100),B31*B29)</f>
        <v>97621.8146584639</v>
      </c>
    </row>
    <row r="33" customFormat="false" ht="15" hidden="false" customHeight="false" outlineLevel="0" collapsed="false">
      <c r="A33" s="0" t="s">
        <v>141</v>
      </c>
      <c r="B33" s="0" t="n">
        <f aca="false">B31*B29</f>
        <v>97631.3387379427</v>
      </c>
    </row>
    <row r="34" customFormat="false" ht="15" hidden="false" customHeight="false" outlineLevel="0" collapsed="false">
      <c r="A34" s="0" t="s">
        <v>142</v>
      </c>
      <c r="B34" s="0" t="n">
        <f aca="false">MAX(0,MIN(B32,B33))</f>
        <v>97621.8146584639</v>
      </c>
    </row>
    <row r="35" customFormat="false" ht="15" hidden="false" customHeight="false" outlineLevel="0" collapsed="false">
      <c r="A35" s="0" t="s">
        <v>143</v>
      </c>
      <c r="B35" s="0" t="n">
        <f aca="false">B34/(1+B27/100)^L4</f>
        <v>34380.8879125087</v>
      </c>
    </row>
    <row r="36" customFormat="false" ht="15" hidden="false" customHeight="false" outlineLevel="0" collapsed="false">
      <c r="A36" s="0" t="s">
        <v>144</v>
      </c>
      <c r="B36" s="0" t="n">
        <f aca="false">B30+B35</f>
        <v>72579.4932577319</v>
      </c>
    </row>
    <row r="37" customFormat="false" ht="15" hidden="false" customHeight="false" outlineLevel="0" collapsed="false">
      <c r="A37" s="0" t="s">
        <v>145</v>
      </c>
      <c r="B37" s="0" t="n">
        <f aca="false">B36+Assumptions!$B$5-Assumptions!$B$4</f>
        <v>76079.4932577319</v>
      </c>
    </row>
    <row r="38" customFormat="false" ht="15" hidden="false" customHeight="false" outlineLevel="0" collapsed="false">
      <c r="A38" s="0" t="s">
        <v>146</v>
      </c>
      <c r="B38" s="0" t="n">
        <f aca="false">B37/Assumptions!$B$3*Assumptions!$B$10</f>
        <v>39.8488860557992</v>
      </c>
    </row>
    <row r="39" customFormat="false" ht="15" hidden="false" customHeight="false" outlineLevel="0" collapsed="false">
      <c r="A39" s="0" t="s">
        <v>147</v>
      </c>
      <c r="B39" s="4" t="n">
        <f aca="false">B38/Assumptions!$B$2-1</f>
        <v>0.426996814889856</v>
      </c>
    </row>
    <row r="41" customFormat="false" ht="15" hidden="false" customHeight="false" outlineLevel="0" collapsed="false">
      <c r="A41" s="0" t="s">
        <v>148</v>
      </c>
      <c r="B41" s="0" t="n">
        <f aca="false">SUMPRODUCT(-C10:L10/(1+$B$27/100)^C4:L4)</f>
        <v>0</v>
      </c>
    </row>
    <row r="42" customFormat="false" ht="15" hidden="false" customHeight="false" outlineLevel="0" collapsed="false">
      <c r="A42" s="0" t="s">
        <v>149</v>
      </c>
      <c r="B42" s="0" t="n">
        <f aca="false">IF(B27&gt;B28,-L10*(1+B28/100)/((B27-B28)/100),-L10*20)/(1+B27/100)^L4</f>
        <v>0</v>
      </c>
    </row>
    <row r="43" customFormat="false" ht="15" hidden="false" customHeight="false" outlineLevel="0" collapsed="false">
      <c r="A43" s="0" t="s">
        <v>150</v>
      </c>
      <c r="B43" s="0" t="n">
        <f aca="false">(B37+B41+B42)/Assumptions!$B$3*Assumptions!$B$10</f>
        <v>39.8488860557992</v>
      </c>
    </row>
    <row r="45" customFormat="false" ht="15" hidden="false" customHeight="false" outlineLevel="0" collapsed="false">
      <c r="A45" s="0" t="s">
        <v>90</v>
      </c>
      <c r="B45" s="4" t="n">
        <f aca="false">Assumptions!$B$6</f>
        <v>15</v>
      </c>
    </row>
    <row r="46" customFormat="false" ht="15" hidden="false" customHeight="false" outlineLevel="0" collapsed="false">
      <c r="A46" s="0" t="s">
        <v>151</v>
      </c>
      <c r="B46" s="0" t="n">
        <f aca="false">MAX(0,MIN(IF(B45&gt;B28,B31*(1+B28/100)/((B45-B28)/100),B31*B29),B31*B29))</f>
        <v>66382.8339677554</v>
      </c>
    </row>
    <row r="47" customFormat="false" ht="15" hidden="false" customHeight="false" outlineLevel="0" collapsed="false">
      <c r="A47" s="0" t="s">
        <v>152</v>
      </c>
      <c r="B47" s="0" t="n">
        <f aca="false">(SUMPRODUCT(C19:L19/(1+B45/100)^C4:L4)+B46/(1+B45/100)^L4+Assumptions!$B$5-Assumptions!$B$4)/Assumptions!$B$3*Assumptions!$B$10</f>
        <v>27.2088045816498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154</v>
      </c>
    </row>
    <row r="3" customFormat="false" ht="15" hidden="false" customHeight="false" outlineLevel="0" collapsed="false">
      <c r="A3" s="0" t="s">
        <v>123</v>
      </c>
      <c r="B3" s="0" t="s">
        <v>93</v>
      </c>
      <c r="C3" s="2" t="s">
        <v>98</v>
      </c>
      <c r="D3" s="2" t="s">
        <v>99</v>
      </c>
      <c r="E3" s="2" t="s">
        <v>100</v>
      </c>
      <c r="F3" s="2" t="s">
        <v>101</v>
      </c>
      <c r="G3" s="2" t="s">
        <v>102</v>
      </c>
      <c r="H3" s="2" t="s">
        <v>103</v>
      </c>
      <c r="I3" s="2" t="s">
        <v>104</v>
      </c>
      <c r="J3" s="2" t="s">
        <v>105</v>
      </c>
      <c r="K3" s="2" t="s">
        <v>106</v>
      </c>
      <c r="L3" s="2" t="s">
        <v>107</v>
      </c>
    </row>
    <row r="4" customFormat="false" ht="15" hidden="false" customHeight="false" outlineLevel="0" collapsed="false">
      <c r="A4" s="0" t="s">
        <v>124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108</v>
      </c>
      <c r="C5" s="4" t="n">
        <f aca="false">Assumptions!C41</f>
        <v>26.04</v>
      </c>
      <c r="D5" s="4" t="n">
        <f aca="false">Assumptions!D41</f>
        <v>13.4</v>
      </c>
      <c r="E5" s="4" t="n">
        <f aca="false">Assumptions!E41</f>
        <v>8.62</v>
      </c>
      <c r="F5" s="4" t="n">
        <f aca="false">Assumptions!F41</f>
        <v>4.24</v>
      </c>
      <c r="G5" s="4" t="n">
        <f aca="false">Assumptions!G41</f>
        <v>3.75</v>
      </c>
      <c r="H5" s="4" t="n">
        <f aca="false">Assumptions!H41</f>
        <v>3.25</v>
      </c>
      <c r="I5" s="4" t="n">
        <f aca="false">Assumptions!I41</f>
        <v>3</v>
      </c>
      <c r="J5" s="4" t="n">
        <f aca="false">Assumptions!J41</f>
        <v>3</v>
      </c>
      <c r="K5" s="4" t="n">
        <f aca="false">Assumptions!K41</f>
        <v>3</v>
      </c>
      <c r="L5" s="4" t="n">
        <f aca="false">Assumptions!L41</f>
        <v>3</v>
      </c>
    </row>
    <row r="6" customFormat="false" ht="15" hidden="false" customHeight="false" outlineLevel="0" collapsed="false">
      <c r="A6" s="0" t="s">
        <v>37</v>
      </c>
      <c r="B6" s="3" t="n">
        <v>6150</v>
      </c>
      <c r="C6" s="0" t="n">
        <f aca="false">B6*(1+C5/100)</f>
        <v>7751.46</v>
      </c>
      <c r="D6" s="0" t="n">
        <f aca="false">C6*(1+D5/100)</f>
        <v>8790.15564</v>
      </c>
      <c r="E6" s="0" t="n">
        <f aca="false">D6*(1+E5/100)</f>
        <v>9547.867056168</v>
      </c>
      <c r="F6" s="0" t="n">
        <f aca="false">E6*(1+F5/100)</f>
        <v>9952.69661934952</v>
      </c>
      <c r="G6" s="0" t="n">
        <f aca="false">F6*(1+G5/100)</f>
        <v>10325.9227425751</v>
      </c>
      <c r="H6" s="0" t="n">
        <f aca="false">G6*(1+H5/100)</f>
        <v>10661.5152317088</v>
      </c>
      <c r="I6" s="0" t="n">
        <f aca="false">H6*(1+I5/100)</f>
        <v>10981.3606886601</v>
      </c>
      <c r="J6" s="0" t="n">
        <f aca="false">I6*(1+J5/100)</f>
        <v>11310.8015093199</v>
      </c>
      <c r="K6" s="0" t="n">
        <f aca="false">J6*(1+K5/100)</f>
        <v>11650.1255545995</v>
      </c>
      <c r="L6" s="0" t="n">
        <f aca="false">K6*(1+L5/100)</f>
        <v>11999.6293212375</v>
      </c>
    </row>
    <row r="7" customFormat="false" ht="15" hidden="false" customHeight="false" outlineLevel="0" collapsed="false">
      <c r="A7" s="0" t="s">
        <v>109</v>
      </c>
      <c r="C7" s="4" t="n">
        <f aca="false">Assumptions!C42</f>
        <v>60.98</v>
      </c>
      <c r="D7" s="4" t="n">
        <f aca="false">Assumptions!D42</f>
        <v>63.87</v>
      </c>
      <c r="E7" s="4" t="n">
        <f aca="false">Assumptions!E42</f>
        <v>68.56</v>
      </c>
      <c r="F7" s="4" t="n">
        <f aca="false">Assumptions!F42</f>
        <v>71.99</v>
      </c>
      <c r="G7" s="4" t="n">
        <f aca="false">Assumptions!G42</f>
        <v>75.43</v>
      </c>
      <c r="H7" s="4" t="n">
        <f aca="false">Assumptions!H42</f>
        <v>78.89</v>
      </c>
      <c r="I7" s="4" t="n">
        <f aca="false">Assumptions!I42</f>
        <v>78.89</v>
      </c>
      <c r="J7" s="4" t="n">
        <f aca="false">Assumptions!J42</f>
        <v>78.89</v>
      </c>
      <c r="K7" s="4" t="n">
        <f aca="false">Assumptions!K42</f>
        <v>78.89</v>
      </c>
      <c r="L7" s="4" t="n">
        <f aca="false">Assumptions!L42</f>
        <v>78.89</v>
      </c>
    </row>
    <row r="8" customFormat="false" ht="15" hidden="false" customHeight="false" outlineLevel="0" collapsed="false">
      <c r="A8" s="0" t="s">
        <v>43</v>
      </c>
      <c r="C8" s="0" t="n">
        <f aca="false">C6*C7/100</f>
        <v>4726.840308</v>
      </c>
      <c r="D8" s="0" t="n">
        <f aca="false">D6*D7/100</f>
        <v>5614.272407268</v>
      </c>
      <c r="E8" s="0" t="n">
        <f aca="false">E6*E7/100</f>
        <v>6546.01765370878</v>
      </c>
      <c r="F8" s="0" t="n">
        <f aca="false">F6*F7/100</f>
        <v>7164.94629626972</v>
      </c>
      <c r="G8" s="0" t="n">
        <f aca="false">G6*G7/100</f>
        <v>7788.84352472442</v>
      </c>
      <c r="H8" s="0" t="n">
        <f aca="false">H6*H7/100</f>
        <v>8410.86936629509</v>
      </c>
      <c r="I8" s="0" t="n">
        <f aca="false">I6*I7/100</f>
        <v>8663.19544728394</v>
      </c>
      <c r="J8" s="0" t="n">
        <f aca="false">J6*J7/100</f>
        <v>8923.09131070246</v>
      </c>
      <c r="K8" s="0" t="n">
        <f aca="false">K6*K7/100</f>
        <v>9190.78405002353</v>
      </c>
      <c r="L8" s="0" t="n">
        <f aca="false">L6*L7/100</f>
        <v>9466.50757152424</v>
      </c>
    </row>
    <row r="9" customFormat="false" ht="15" hidden="false" customHeight="false" outlineLevel="0" collapsed="false">
      <c r="A9" s="0" t="s">
        <v>110</v>
      </c>
      <c r="C9" s="4" t="n">
        <f aca="false">Assumptions!C43</f>
        <v>0</v>
      </c>
      <c r="D9" s="4" t="n">
        <f aca="false">Assumptions!D43</f>
        <v>0</v>
      </c>
      <c r="E9" s="4" t="n">
        <f aca="false">Assumptions!E43</f>
        <v>0</v>
      </c>
      <c r="F9" s="4" t="n">
        <f aca="false">Assumptions!F43</f>
        <v>0</v>
      </c>
      <c r="G9" s="4" t="n">
        <f aca="false">Assumptions!G43</f>
        <v>0</v>
      </c>
      <c r="H9" s="4" t="n">
        <f aca="false">Assumptions!H43</f>
        <v>0</v>
      </c>
      <c r="I9" s="4" t="n">
        <f aca="false">Assumptions!I43</f>
        <v>0</v>
      </c>
      <c r="J9" s="4" t="n">
        <f aca="false">Assumptions!J43</f>
        <v>0</v>
      </c>
      <c r="K9" s="4" t="n">
        <f aca="false">Assumptions!K43</f>
        <v>0</v>
      </c>
      <c r="L9" s="4" t="n">
        <f aca="false">Assumptions!L43</f>
        <v>0</v>
      </c>
    </row>
    <row r="10" customFormat="false" ht="15" hidden="false" customHeight="false" outlineLevel="0" collapsed="false">
      <c r="A10" s="0" t="s">
        <v>125</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126</v>
      </c>
      <c r="C11" s="0" t="n">
        <f aca="false">C8+C10+C24</f>
        <v>4726.840308</v>
      </c>
      <c r="D11" s="0" t="n">
        <f aca="false">D8+D10+D24</f>
        <v>5614.272407268</v>
      </c>
      <c r="E11" s="0" t="n">
        <f aca="false">E8+E10+E24</f>
        <v>6546.01765370878</v>
      </c>
      <c r="F11" s="0" t="n">
        <f aca="false">F8+F10+F24</f>
        <v>7164.94629626972</v>
      </c>
      <c r="G11" s="0" t="n">
        <f aca="false">G8+G10+G24</f>
        <v>7788.84352472442</v>
      </c>
      <c r="H11" s="0" t="n">
        <f aca="false">H8+H10+H24</f>
        <v>8410.86936629509</v>
      </c>
      <c r="I11" s="0" t="n">
        <f aca="false">I8+I10+I24</f>
        <v>8663.19544728394</v>
      </c>
      <c r="J11" s="0" t="n">
        <f aca="false">J8+J10+J24</f>
        <v>8923.09131070246</v>
      </c>
      <c r="K11" s="0" t="n">
        <f aca="false">K8+K10+K24</f>
        <v>9190.78405002353</v>
      </c>
      <c r="L11" s="0" t="n">
        <f aca="false">L8+L10+L24</f>
        <v>9466.50757152424</v>
      </c>
    </row>
    <row r="12" customFormat="false" ht="15" hidden="false" customHeight="false" outlineLevel="0" collapsed="false">
      <c r="A12" s="0" t="s">
        <v>127</v>
      </c>
      <c r="C12" s="4" t="n">
        <f aca="false">-C6*Assumptions!C45/100</f>
        <v>-0</v>
      </c>
      <c r="D12" s="4" t="n">
        <f aca="false">-D6*Assumptions!D45/100</f>
        <v>-0</v>
      </c>
      <c r="E12" s="4" t="n">
        <f aca="false">-E6*Assumptions!E45/100</f>
        <v>-0</v>
      </c>
      <c r="F12" s="4" t="n">
        <f aca="false">-F6*Assumptions!F45/100</f>
        <v>-0</v>
      </c>
      <c r="G12" s="4" t="n">
        <f aca="false">-G6*Assumptions!G45/100</f>
        <v>-0</v>
      </c>
      <c r="H12" s="4" t="n">
        <f aca="false">-H6*Assumptions!H45/100</f>
        <v>-0</v>
      </c>
      <c r="I12" s="4" t="n">
        <f aca="false">-I6*Assumptions!I45/100</f>
        <v>-0</v>
      </c>
      <c r="J12" s="4" t="n">
        <f aca="false">-J6*Assumptions!J45/100</f>
        <v>-0</v>
      </c>
      <c r="K12" s="4" t="n">
        <f aca="false">-K6*Assumptions!K45/100</f>
        <v>-0</v>
      </c>
      <c r="L12" s="4" t="n">
        <f aca="false">-L6*Assumptions!L45/100</f>
        <v>-0</v>
      </c>
    </row>
    <row r="13" customFormat="false" ht="15" hidden="false" customHeight="false" outlineLevel="0" collapsed="false">
      <c r="A13" s="0" t="s">
        <v>128</v>
      </c>
      <c r="C13" s="0" t="n">
        <f aca="false">C11+C12</f>
        <v>4726.840308</v>
      </c>
      <c r="D13" s="0" t="n">
        <f aca="false">D11+D12</f>
        <v>5614.272407268</v>
      </c>
      <c r="E13" s="0" t="n">
        <f aca="false">E11+E12</f>
        <v>6546.01765370878</v>
      </c>
      <c r="F13" s="0" t="n">
        <f aca="false">F11+F12</f>
        <v>7164.94629626972</v>
      </c>
      <c r="G13" s="0" t="n">
        <f aca="false">G11+G12</f>
        <v>7788.84352472442</v>
      </c>
      <c r="H13" s="0" t="n">
        <f aca="false">H11+H12</f>
        <v>8410.86936629509</v>
      </c>
      <c r="I13" s="0" t="n">
        <f aca="false">I11+I12</f>
        <v>8663.19544728394</v>
      </c>
      <c r="J13" s="0" t="n">
        <f aca="false">J11+J12</f>
        <v>8923.09131070246</v>
      </c>
      <c r="K13" s="0" t="n">
        <f aca="false">K11+K12</f>
        <v>9190.78405002353</v>
      </c>
      <c r="L13" s="0" t="n">
        <f aca="false">L11+L12</f>
        <v>9466.50757152424</v>
      </c>
    </row>
    <row r="14" customFormat="false" ht="15" hidden="false" customHeight="false" outlineLevel="0" collapsed="false">
      <c r="A14" s="0" t="s">
        <v>114</v>
      </c>
      <c r="C14" s="4" t="n">
        <f aca="false">Assumptions!C47</f>
        <v>0</v>
      </c>
      <c r="D14" s="4" t="n">
        <f aca="false">Assumptions!D47</f>
        <v>0</v>
      </c>
      <c r="E14" s="4" t="n">
        <f aca="false">Assumptions!E47</f>
        <v>0</v>
      </c>
      <c r="F14" s="4" t="n">
        <f aca="false">Assumptions!F47</f>
        <v>0</v>
      </c>
      <c r="G14" s="4" t="n">
        <f aca="false">Assumptions!G47</f>
        <v>0</v>
      </c>
      <c r="H14" s="4" t="n">
        <f aca="false">Assumptions!H47</f>
        <v>0</v>
      </c>
      <c r="I14" s="4" t="n">
        <f aca="false">Assumptions!I47</f>
        <v>0</v>
      </c>
      <c r="J14" s="4" t="n">
        <f aca="false">Assumptions!J47</f>
        <v>0</v>
      </c>
      <c r="K14" s="4" t="n">
        <f aca="false">Assumptions!K47</f>
        <v>0</v>
      </c>
      <c r="L14" s="4" t="n">
        <f aca="false">Assumptions!L47</f>
        <v>0</v>
      </c>
    </row>
    <row r="15" customFormat="false" ht="15" hidden="false" customHeight="false" outlineLevel="0" collapsed="false">
      <c r="A15" s="0" t="s">
        <v>129</v>
      </c>
      <c r="C15" s="0" t="n">
        <f aca="false">C13-MAX(0,C13)*C14/100</f>
        <v>4726.840308</v>
      </c>
      <c r="D15" s="0" t="n">
        <f aca="false">D13-MAX(0,D13)*D14/100</f>
        <v>5614.272407268</v>
      </c>
      <c r="E15" s="0" t="n">
        <f aca="false">E13-MAX(0,E13)*E14/100</f>
        <v>6546.01765370878</v>
      </c>
      <c r="F15" s="0" t="n">
        <f aca="false">F13-MAX(0,F13)*F14/100</f>
        <v>7164.94629626972</v>
      </c>
      <c r="G15" s="0" t="n">
        <f aca="false">G13-MAX(0,G13)*G14/100</f>
        <v>7788.84352472442</v>
      </c>
      <c r="H15" s="0" t="n">
        <f aca="false">H13-MAX(0,H13)*H14/100</f>
        <v>8410.86936629509</v>
      </c>
      <c r="I15" s="0" t="n">
        <f aca="false">I13-MAX(0,I13)*I14/100</f>
        <v>8663.19544728394</v>
      </c>
      <c r="J15" s="0" t="n">
        <f aca="false">J13-MAX(0,J13)*J14/100</f>
        <v>8923.09131070246</v>
      </c>
      <c r="K15" s="0" t="n">
        <f aca="false">K13-MAX(0,K13)*K14/100</f>
        <v>9190.78405002353</v>
      </c>
      <c r="L15" s="0" t="n">
        <f aca="false">L13-MAX(0,L13)*L14/100</f>
        <v>9466.50757152424</v>
      </c>
    </row>
    <row r="16" customFormat="false" ht="15" hidden="false" customHeight="false" outlineLevel="0" collapsed="false">
      <c r="A16" s="0" t="s">
        <v>130</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131</v>
      </c>
      <c r="C17" s="4" t="n">
        <f aca="false">-C6*Assumptions!C46/100</f>
        <v>-0</v>
      </c>
      <c r="D17" s="4" t="n">
        <f aca="false">-D6*Assumptions!D46/100</f>
        <v>-0</v>
      </c>
      <c r="E17" s="4" t="n">
        <f aca="false">-E6*Assumptions!E46/100</f>
        <v>-0</v>
      </c>
      <c r="F17" s="4" t="n">
        <f aca="false">-F6*Assumptions!F46/100</f>
        <v>-0</v>
      </c>
      <c r="G17" s="4" t="n">
        <f aca="false">-G6*Assumptions!G46/100</f>
        <v>-0</v>
      </c>
      <c r="H17" s="4" t="n">
        <f aca="false">-H6*Assumptions!H46/100</f>
        <v>-0</v>
      </c>
      <c r="I17" s="4" t="n">
        <f aca="false">-I6*Assumptions!I46/100</f>
        <v>-0</v>
      </c>
      <c r="J17" s="4" t="n">
        <f aca="false">-J6*Assumptions!J46/100</f>
        <v>-0</v>
      </c>
      <c r="K17" s="4" t="n">
        <f aca="false">-K6*Assumptions!K46/100</f>
        <v>-0</v>
      </c>
      <c r="L17" s="4" t="n">
        <f aca="false">-L6*Assumptions!L46/100</f>
        <v>-0</v>
      </c>
    </row>
    <row r="18" customFormat="false" ht="15" hidden="false" customHeight="false" outlineLevel="0" collapsed="false">
      <c r="A18" s="0" t="s">
        <v>132</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133</v>
      </c>
      <c r="C19" s="0" t="n">
        <f aca="false">C15+C16+C17+C18</f>
        <v>4726.840308</v>
      </c>
      <c r="D19" s="0" t="n">
        <f aca="false">D15+D16+D17+D18</f>
        <v>5614.272407268</v>
      </c>
      <c r="E19" s="0" t="n">
        <f aca="false">E15+E16+E17+E18</f>
        <v>6546.01765370878</v>
      </c>
      <c r="F19" s="0" t="n">
        <f aca="false">F15+F16+F17+F18</f>
        <v>7164.94629626972</v>
      </c>
      <c r="G19" s="0" t="n">
        <f aca="false">G15+G16+G17+G18</f>
        <v>7788.84352472442</v>
      </c>
      <c r="H19" s="0" t="n">
        <f aca="false">H15+H16+H17+H18</f>
        <v>8410.86936629509</v>
      </c>
      <c r="I19" s="0" t="n">
        <f aca="false">I15+I16+I17+I18</f>
        <v>8663.19544728394</v>
      </c>
      <c r="J19" s="0" t="n">
        <f aca="false">J15+J16+J17+J18</f>
        <v>8923.09131070246</v>
      </c>
      <c r="K19" s="0" t="n">
        <f aca="false">K15+K16+K17+K18</f>
        <v>9190.78405002353</v>
      </c>
      <c r="L19" s="0" t="n">
        <f aca="false">L15+L16+L17+L18</f>
        <v>9466.50757152424</v>
      </c>
    </row>
    <row r="20" customFormat="false" ht="15" hidden="false" customHeight="false" outlineLevel="0" collapsed="false">
      <c r="A20" s="0" t="s">
        <v>134</v>
      </c>
      <c r="C20" s="0" t="n">
        <f aca="false">1/(1+$B$27/100)^C4</f>
        <v>0.900900900900901</v>
      </c>
      <c r="D20" s="0" t="n">
        <f aca="false">1/(1+$B$27/100)^D4</f>
        <v>0.811622433244055</v>
      </c>
      <c r="E20" s="0" t="n">
        <f aca="false">1/(1+$B$27/100)^E4</f>
        <v>0.73119138130095</v>
      </c>
      <c r="F20" s="0" t="n">
        <f aca="false">1/(1+$B$27/100)^F4</f>
        <v>0.658730974145</v>
      </c>
      <c r="G20" s="0" t="n">
        <f aca="false">1/(1+$B$27/100)^G4</f>
        <v>0.593451328058559</v>
      </c>
      <c r="H20" s="0" t="n">
        <f aca="false">1/(1+$B$27/100)^H4</f>
        <v>0.534640836088791</v>
      </c>
      <c r="I20" s="0" t="n">
        <f aca="false">1/(1+$B$27/100)^I4</f>
        <v>0.481658410890803</v>
      </c>
      <c r="J20" s="0" t="n">
        <f aca="false">1/(1+$B$27/100)^J4</f>
        <v>0.433926496298021</v>
      </c>
      <c r="K20" s="0" t="n">
        <f aca="false">1/(1+$B$27/100)^K4</f>
        <v>0.390924771439658</v>
      </c>
      <c r="L20" s="0" t="n">
        <f aca="false">1/(1+$B$27/100)^L4</f>
        <v>0.352184478774467</v>
      </c>
    </row>
    <row r="21" customFormat="false" ht="15" hidden="false" customHeight="false" outlineLevel="0" collapsed="false">
      <c r="A21" s="0" t="s">
        <v>135</v>
      </c>
      <c r="C21" s="0" t="n">
        <f aca="false">C19*C20</f>
        <v>4258.41469189189</v>
      </c>
      <c r="D21" s="0" t="n">
        <f aca="false">D19*D20</f>
        <v>4556.66943208181</v>
      </c>
      <c r="E21" s="0" t="n">
        <f aca="false">E19*E20</f>
        <v>4786.39169023573</v>
      </c>
      <c r="F21" s="0" t="n">
        <f aca="false">F19*F20</f>
        <v>4719.77205343836</v>
      </c>
      <c r="G21" s="0" t="n">
        <f aca="false">G19*G20</f>
        <v>4622.29953378801</v>
      </c>
      <c r="H21" s="0" t="n">
        <f aca="false">H19*H20</f>
        <v>4496.79423022961</v>
      </c>
      <c r="I21" s="0" t="n">
        <f aca="false">I19*I20</f>
        <v>4172.70095237522</v>
      </c>
      <c r="J21" s="0" t="n">
        <f aca="false">J19*J20</f>
        <v>3871.96574860043</v>
      </c>
      <c r="K21" s="0" t="n">
        <f aca="false">K19*K20</f>
        <v>3592.90515410671</v>
      </c>
      <c r="L21" s="0" t="n">
        <f aca="false">L19*L20</f>
        <v>3333.95703489181</v>
      </c>
    </row>
    <row r="23" customFormat="false" ht="15" hidden="false" customHeight="false" outlineLevel="0" collapsed="false">
      <c r="A23" s="0" t="s">
        <v>111</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136</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137</v>
      </c>
    </row>
    <row r="27" customFormat="false" ht="15" hidden="false" customHeight="false" outlineLevel="0" collapsed="false">
      <c r="A27" s="0" t="s">
        <v>115</v>
      </c>
      <c r="B27" s="4" t="n">
        <f aca="false">Assumptions!$B$48</f>
        <v>11</v>
      </c>
    </row>
    <row r="28" customFormat="false" ht="15" hidden="false" customHeight="false" outlineLevel="0" collapsed="false">
      <c r="A28" s="0" t="s">
        <v>116</v>
      </c>
      <c r="B28" s="4" t="n">
        <f aca="false">Assumptions!$B$49</f>
        <v>3</v>
      </c>
    </row>
    <row r="29" customFormat="false" ht="15" hidden="false" customHeight="false" outlineLevel="0" collapsed="false">
      <c r="A29" s="0" t="s">
        <v>117</v>
      </c>
      <c r="B29" s="4" t="n">
        <f aca="false">Assumptions!$B$50</f>
        <v>12.88</v>
      </c>
    </row>
    <row r="30" customFormat="false" ht="15" hidden="false" customHeight="false" outlineLevel="0" collapsed="false">
      <c r="A30" s="0" t="s">
        <v>138</v>
      </c>
      <c r="B30" s="0" t="n">
        <f aca="false">SUM(C21:L21)</f>
        <v>42411.8705216396</v>
      </c>
    </row>
    <row r="31" customFormat="false" ht="15" hidden="false" customHeight="false" outlineLevel="0" collapsed="false">
      <c r="A31" s="0" t="s">
        <v>139</v>
      </c>
      <c r="B31" s="0" t="n">
        <f aca="false">L19</f>
        <v>9466.50757152424</v>
      </c>
    </row>
    <row r="32" customFormat="false" ht="15" hidden="false" customHeight="false" outlineLevel="0" collapsed="false">
      <c r="A32" s="0" t="s">
        <v>140</v>
      </c>
      <c r="B32" s="0" t="n">
        <f aca="false">IF(B27&gt;B28,B31*(1+B28/100)/((B27-B28)/100),B31*B29)</f>
        <v>121881.284983375</v>
      </c>
    </row>
    <row r="33" customFormat="false" ht="15" hidden="false" customHeight="false" outlineLevel="0" collapsed="false">
      <c r="A33" s="0" t="s">
        <v>141</v>
      </c>
      <c r="B33" s="0" t="n">
        <f aca="false">B31*B29</f>
        <v>121928.617521232</v>
      </c>
    </row>
    <row r="34" customFormat="false" ht="15" hidden="false" customHeight="false" outlineLevel="0" collapsed="false">
      <c r="A34" s="0" t="s">
        <v>142</v>
      </c>
      <c r="B34" s="0" t="n">
        <f aca="false">MAX(0,MIN(B32,B33))</f>
        <v>121881.284983375</v>
      </c>
    </row>
    <row r="35" customFormat="false" ht="15" hidden="false" customHeight="false" outlineLevel="0" collapsed="false">
      <c r="A35" s="0" t="s">
        <v>143</v>
      </c>
      <c r="B35" s="0" t="n">
        <f aca="false">B34/(1+B27/100)^L4</f>
        <v>42924.696824232</v>
      </c>
    </row>
    <row r="36" customFormat="false" ht="15" hidden="false" customHeight="false" outlineLevel="0" collapsed="false">
      <c r="A36" s="0" t="s">
        <v>144</v>
      </c>
      <c r="B36" s="0" t="n">
        <f aca="false">B30+B35</f>
        <v>85336.5673458716</v>
      </c>
    </row>
    <row r="37" customFormat="false" ht="15" hidden="false" customHeight="false" outlineLevel="0" collapsed="false">
      <c r="A37" s="0" t="s">
        <v>145</v>
      </c>
      <c r="B37" s="0" t="n">
        <f aca="false">B36+Assumptions!$B$5-Assumptions!$B$4</f>
        <v>88836.5673458716</v>
      </c>
    </row>
    <row r="38" customFormat="false" ht="15" hidden="false" customHeight="false" outlineLevel="0" collapsed="false">
      <c r="A38" s="0" t="s">
        <v>146</v>
      </c>
      <c r="B38" s="0" t="n">
        <f aca="false">B37/Assumptions!$B$3*Assumptions!$B$10</f>
        <v>46.5307811365345</v>
      </c>
    </row>
    <row r="39" customFormat="false" ht="15" hidden="false" customHeight="false" outlineLevel="0" collapsed="false">
      <c r="A39" s="0" t="s">
        <v>147</v>
      </c>
      <c r="B39" s="4" t="n">
        <f aca="false">B38/Assumptions!$B$2-1</f>
        <v>0.666276853591208</v>
      </c>
    </row>
    <row r="41" customFormat="false" ht="15" hidden="false" customHeight="false" outlineLevel="0" collapsed="false">
      <c r="A41" s="0" t="s">
        <v>148</v>
      </c>
      <c r="B41" s="0" t="n">
        <f aca="false">SUMPRODUCT(-C10:L10/(1+$B$27/100)^C4:L4)</f>
        <v>0</v>
      </c>
    </row>
    <row r="42" customFormat="false" ht="15" hidden="false" customHeight="false" outlineLevel="0" collapsed="false">
      <c r="A42" s="0" t="s">
        <v>149</v>
      </c>
      <c r="B42" s="0" t="n">
        <f aca="false">IF(B27&gt;B28,-L10*(1+B28/100)/((B27-B28)/100),-L10*20)/(1+B27/100)^L4</f>
        <v>0</v>
      </c>
    </row>
    <row r="43" customFormat="false" ht="15" hidden="false" customHeight="false" outlineLevel="0" collapsed="false">
      <c r="A43" s="0" t="s">
        <v>150</v>
      </c>
      <c r="B43" s="0" t="n">
        <f aca="false">(B37+B41+B42)/Assumptions!$B$3*Assumptions!$B$10</f>
        <v>46.5307811365345</v>
      </c>
    </row>
    <row r="45" customFormat="false" ht="15" hidden="false" customHeight="false" outlineLevel="0" collapsed="false">
      <c r="A45" s="0" t="s">
        <v>90</v>
      </c>
      <c r="B45" s="4" t="n">
        <f aca="false">Assumptions!$B$6</f>
        <v>15</v>
      </c>
    </row>
    <row r="46" customFormat="false" ht="15" hidden="false" customHeight="false" outlineLevel="0" collapsed="false">
      <c r="A46" s="0" t="s">
        <v>151</v>
      </c>
      <c r="B46" s="0" t="n">
        <f aca="false">MAX(0,MIN(IF(B45&gt;B28,B31*(1+B28/100)/((B45-B28)/100),B31*B29),B31*B29))</f>
        <v>81254.1899889164</v>
      </c>
    </row>
    <row r="47" customFormat="false" ht="15" hidden="false" customHeight="false" outlineLevel="0" collapsed="false">
      <c r="A47" s="0" t="s">
        <v>152</v>
      </c>
      <c r="B47" s="0" t="n">
        <f aca="false">(SUMPRODUCT(C19:L19/(1+B45/100)^C4:L4)+B46/(1+B45/100)^L4+Assumptions!$B$5-Assumptions!$B$4)/Assumptions!$B$3*Assumptions!$B$10</f>
        <v>30.8904374493976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155</v>
      </c>
    </row>
    <row r="3" customFormat="false" ht="15" hidden="false" customHeight="false" outlineLevel="0" collapsed="false">
      <c r="A3" s="2" t="s">
        <v>156</v>
      </c>
      <c r="B3" s="2" t="s">
        <v>157</v>
      </c>
      <c r="C3" s="2" t="s">
        <v>147</v>
      </c>
      <c r="D3" s="2" t="s">
        <v>158</v>
      </c>
      <c r="E3" s="2" t="s">
        <v>150</v>
      </c>
      <c r="F3" s="2" t="s">
        <v>159</v>
      </c>
    </row>
    <row r="4" customFormat="false" ht="15" hidden="false" customHeight="false" outlineLevel="0" collapsed="false">
      <c r="A4" s="0" t="s">
        <v>160</v>
      </c>
      <c r="B4" s="4" t="n">
        <f aca="false">DCF_Bear!$B$38</f>
        <v>23.4872351907172</v>
      </c>
      <c r="C4" s="0" t="n">
        <f aca="false">B4/Assumptions!$B$2-1</f>
        <v>-0.15891727159473</v>
      </c>
      <c r="D4" s="4" t="n">
        <f aca="false">Assumptions!$B$24</f>
        <v>0.25</v>
      </c>
      <c r="E4" s="4" t="n">
        <f aca="false">DCF_Bear!$B$43</f>
        <v>23.4872351907172</v>
      </c>
      <c r="F4" s="4" t="n">
        <f aca="false">DCF_Bear!$B$47</f>
        <v>16.8655072810444</v>
      </c>
    </row>
    <row r="5" customFormat="false" ht="15" hidden="false" customHeight="false" outlineLevel="0" collapsed="false">
      <c r="A5" s="0" t="s">
        <v>161</v>
      </c>
      <c r="B5" s="4" t="n">
        <f aca="false">DCF_Base!$B$38</f>
        <v>39.8488860557992</v>
      </c>
      <c r="C5" s="0" t="n">
        <f aca="false">B5/Assumptions!$B$2-1</f>
        <v>0.426996814889856</v>
      </c>
      <c r="D5" s="4" t="n">
        <f aca="false">Assumptions!$B$38</f>
        <v>0.5</v>
      </c>
      <c r="E5" s="4" t="n">
        <f aca="false">DCF_Base!$B$43</f>
        <v>39.8488860557992</v>
      </c>
      <c r="F5" s="4" t="n">
        <f aca="false">DCF_Base!$B$47</f>
        <v>27.2088045816498</v>
      </c>
    </row>
    <row r="6" customFormat="false" ht="15" hidden="false" customHeight="false" outlineLevel="0" collapsed="false">
      <c r="A6" s="0" t="s">
        <v>162</v>
      </c>
      <c r="B6" s="4" t="n">
        <f aca="false">DCF_Bull!$B$38</f>
        <v>46.5307811365345</v>
      </c>
      <c r="C6" s="0" t="n">
        <f aca="false">B6/Assumptions!$B$2-1</f>
        <v>0.666276853591208</v>
      </c>
      <c r="D6" s="4" t="n">
        <f aca="false">Assumptions!$B$52</f>
        <v>0.25</v>
      </c>
      <c r="E6" s="4" t="n">
        <f aca="false">DCF_Bull!$B$43</f>
        <v>46.5307811365345</v>
      </c>
      <c r="F6" s="4" t="n">
        <f aca="false">DCF_Bull!$B$47</f>
        <v>30.8904374493976</v>
      </c>
    </row>
    <row r="8" customFormat="false" ht="15" hidden="false" customHeight="false" outlineLevel="0" collapsed="false">
      <c r="A8" s="0" t="s">
        <v>163</v>
      </c>
      <c r="B8" s="0" t="n">
        <f aca="false">SUMPRODUCT(B4:B6,D4:D6)</f>
        <v>37.4289471097125</v>
      </c>
    </row>
    <row r="9" customFormat="false" ht="15" hidden="false" customHeight="false" outlineLevel="0" collapsed="false">
      <c r="A9" s="0" t="s">
        <v>164</v>
      </c>
      <c r="B9" s="0" t="n">
        <f aca="false">SUMPRODUCT(E4:E6,D4:D6)</f>
        <v>37.4289471097125</v>
      </c>
    </row>
    <row r="10" customFormat="false" ht="15" hidden="false" customHeight="false" outlineLevel="0" collapsed="false">
      <c r="A10" s="0" t="s">
        <v>165</v>
      </c>
      <c r="B10" s="0" t="n">
        <f aca="false">1-Assumptions!$B$2/B8</f>
        <v>0.253919702359095</v>
      </c>
    </row>
    <row r="11" customFormat="false" ht="15" hidden="false" customHeight="false" outlineLevel="0" collapsed="false">
      <c r="A11" s="0" t="s">
        <v>166</v>
      </c>
      <c r="B11" s="0" t="str">
        <f aca="false">IF(ABS(B9-B8)&gt;0.01*ABS(B8),(Assumptions!$B$2-B8)/(B9-B8)*100,"n/a")</f>
        <v>n/a</v>
      </c>
    </row>
    <row r="12" customFormat="false" ht="15" hidden="false" customHeight="false" outlineLevel="0" collapsed="false">
      <c r="A12" s="0" t="s">
        <v>167</v>
      </c>
      <c r="B12" s="0" t="n">
        <f aca="false">SUMPRODUCT(F4:F6,D4:D6)</f>
        <v>25.5433884734354</v>
      </c>
    </row>
    <row r="14" customFormat="false" ht="15" hidden="false" customHeight="false" outlineLevel="0" collapsed="false">
      <c r="A14" s="2" t="s">
        <v>168</v>
      </c>
      <c r="C14" s="0" t="s">
        <v>169</v>
      </c>
    </row>
    <row r="15" customFormat="false" ht="15" hidden="false" customHeight="false" outlineLevel="0" collapsed="false">
      <c r="A15" s="0" t="s">
        <v>170</v>
      </c>
      <c r="B15" s="0" t="n">
        <f aca="false">(SUMPRODUCT(DCF_Base!$C$19:$L$19/(1+$C$15/100)^DCF_Base!$C$4:$L$4)+MAX(0,MIN(IF($C$15&gt;DCF_Base!$B$28,DCF_Base!$L$19*(1+DCF_Base!$B$28/100)/(($C$15-DCF_Base!$B$28)/100),DCF_Base!$L$19*DCF_Base!$B$29),DCF_Base!$L$19*DCF_Base!$B$29))/(1+$C$15/100)^DCF_Base!$L$4+Assumptions!$B$5-Assumptions!$B$4)/Assumptions!$B$3*Assumptions!$B$10</f>
        <v>45.4169209615892</v>
      </c>
      <c r="C15" s="3" t="n">
        <v>9</v>
      </c>
    </row>
    <row r="16" customFormat="false" ht="15" hidden="false" customHeight="false" outlineLevel="0" collapsed="false">
      <c r="A16" s="0" t="s">
        <v>171</v>
      </c>
      <c r="B16" s="0" t="n">
        <f aca="false">(SUMPRODUCT(DCF_Base!$C$19:$L$19/(1+$C$16/100)^DCF_Base!$C$4:$L$4)+MAX(0,MIN(IF($C$16&gt;DCF_Base!$B$28,DCF_Base!$L$19*(1+DCF_Base!$B$28/100)/(($C$16-DCF_Base!$B$28)/100),DCF_Base!$L$19*DCF_Base!$B$29),DCF_Base!$L$19*DCF_Base!$B$29))/(1+$C$16/100)^DCF_Base!$L$4+Assumptions!$B$5-Assumptions!$B$4)/Assumptions!$B$3*Assumptions!$B$10</f>
        <v>42.509505803991</v>
      </c>
      <c r="C16" s="3" t="n">
        <v>10</v>
      </c>
    </row>
    <row r="17" customFormat="false" ht="15" hidden="false" customHeight="false" outlineLevel="0" collapsed="false">
      <c r="A17" s="0" t="s">
        <v>172</v>
      </c>
      <c r="B17" s="0" t="n">
        <f aca="false">(SUMPRODUCT(DCF_Base!$C$19:$L$19/(1+$C$17/100)^DCF_Base!$C$4:$L$4)+MAX(0,MIN(IF($C$17&gt;DCF_Base!$B$28,DCF_Base!$L$19*(1+DCF_Base!$B$28/100)/(($C$17-DCF_Base!$B$28)/100),DCF_Base!$L$19*DCF_Base!$B$29),DCF_Base!$L$19*DCF_Base!$B$29))/(1+$C$17/100)^DCF_Base!$L$4+Assumptions!$B$5-Assumptions!$B$4)/Assumptions!$B$3*Assumptions!$B$10</f>
        <v>39.8488860557992</v>
      </c>
      <c r="C17" s="3" t="n">
        <v>11</v>
      </c>
    </row>
    <row r="18" customFormat="false" ht="15" hidden="false" customHeight="false" outlineLevel="0" collapsed="false">
      <c r="A18" s="0" t="s">
        <v>173</v>
      </c>
      <c r="B18" s="0" t="n">
        <f aca="false">(SUMPRODUCT(DCF_Base!$C$19:$L$19/(1+$C$18/100)^DCF_Base!$C$4:$L$4)+MAX(0,MIN(IF($C$18&gt;DCF_Base!$B$28,DCF_Base!$L$19*(1+DCF_Base!$B$28/100)/(($C$18-DCF_Base!$B$28)/100),DCF_Base!$L$19*DCF_Base!$B$29),DCF_Base!$L$19*DCF_Base!$B$29))/(1+$C$18/100)^DCF_Base!$L$4+Assumptions!$B$5-Assumptions!$B$4)/Assumptions!$B$3*Assumptions!$B$10</f>
        <v>35.6816010210011</v>
      </c>
      <c r="C18" s="3" t="n">
        <v>12</v>
      </c>
    </row>
    <row r="19" customFormat="false" ht="15" hidden="false" customHeight="false" outlineLevel="0" collapsed="false">
      <c r="A19" s="0" t="s">
        <v>174</v>
      </c>
      <c r="B19" s="0" t="n">
        <f aca="false">(SUMPRODUCT(DCF_Base!$C$19:$L$19/(1+$C$19/100)^DCF_Base!$C$4:$L$4)+MAX(0,MIN(IF($C$19&gt;DCF_Base!$B$28,DCF_Base!$L$19*(1+DCF_Base!$B$28/100)/(($C$19-DCF_Base!$B$28)/100),DCF_Base!$L$19*DCF_Base!$B$29),DCF_Base!$L$19*DCF_Base!$B$29))/(1+$C$19/100)^DCF_Base!$L$4+Assumptions!$B$5-Assumptions!$B$4)/Assumptions!$B$3*Assumptions!$B$10</f>
        <v>27.2088045816498</v>
      </c>
      <c r="C19" s="3" t="n">
        <v>15</v>
      </c>
    </row>
    <row r="21" customFormat="false" ht="15" hidden="false" customHeight="false" outlineLevel="0" collapsed="false">
      <c r="A21" s="2" t="s">
        <v>175</v>
      </c>
    </row>
    <row r="22" customFormat="false" ht="15" hidden="false" customHeight="false" outlineLevel="0" collapsed="false">
      <c r="B22" s="3" t="n">
        <v>1.5</v>
      </c>
      <c r="C22" s="3" t="n">
        <v>2</v>
      </c>
      <c r="D22" s="3" t="n">
        <v>2.5</v>
      </c>
      <c r="E22" s="3" t="n">
        <v>3</v>
      </c>
      <c r="F22" s="3" t="n">
        <v>3.5</v>
      </c>
    </row>
    <row r="23" customFormat="false" ht="15" hidden="false" customHeight="false" outlineLevel="0" collapsed="false">
      <c r="A23" s="3" t="n">
        <v>9</v>
      </c>
      <c r="B23" s="0" t="n">
        <f aca="false">(SUMPRODUCT(DCF_Base!$C$19:$L$19/(1+$A$23/100)^DCF_Base!$C$4:$L$4)+MAX(0,MIN(IF($A$23&gt;$B$22,DCF_Base!$L$19*(1+$B$22/100)/(($A$23-$B$22)/100),DCF_Base!$L$19*DCF_Base!$B$29),DCF_Base!$L$19*DCF_Base!$B$29))/(1+$A$23/100)^DCF_Base!$L$4+Assumptions!$B$5-Assumptions!$B$4)/Assumptions!$B$3*Assumptions!$B$10</f>
        <v>45.4169209615892</v>
      </c>
      <c r="C23" s="0" t="n">
        <f aca="false">(SUMPRODUCT(DCF_Base!$C$19:$L$19/(1+$A$23/100)^DCF_Base!$C$4:$L$4)+MAX(0,MIN(IF($A$23&gt;$C$22,DCF_Base!$L$19*(1+$C$22/100)/(($A$23-$C$22)/100),DCF_Base!$L$19*DCF_Base!$B$29),DCF_Base!$L$19*DCF_Base!$B$29))/(1+$A$23/100)^DCF_Base!$L$4+Assumptions!$B$5-Assumptions!$B$4)/Assumptions!$B$3*Assumptions!$B$10</f>
        <v>45.4169209615892</v>
      </c>
      <c r="D23" s="0" t="n">
        <f aca="false">(SUMPRODUCT(DCF_Base!$C$19:$L$19/(1+$A$23/100)^DCF_Base!$C$4:$L$4)+MAX(0,MIN(IF($A$23&gt;$D$22,DCF_Base!$L$19*(1+$D$22/100)/(($A$23-$D$22)/100),DCF_Base!$L$19*DCF_Base!$B$29),DCF_Base!$L$19*DCF_Base!$B$29))/(1+$A$23/100)^DCF_Base!$L$4+Assumptions!$B$5-Assumptions!$B$4)/Assumptions!$B$3*Assumptions!$B$10</f>
        <v>45.4169209615892</v>
      </c>
      <c r="E23" s="0" t="n">
        <f aca="false">(SUMPRODUCT(DCF_Base!$C$19:$L$19/(1+$A$23/100)^DCF_Base!$C$4:$L$4)+MAX(0,MIN(IF($A$23&gt;$E$22,DCF_Base!$L$19*(1+$E$22/100)/(($A$23-$E$22)/100),DCF_Base!$L$19*DCF_Base!$B$29),DCF_Base!$L$19*DCF_Base!$B$29))/(1+$A$23/100)^DCF_Base!$L$4+Assumptions!$B$5-Assumptions!$B$4)/Assumptions!$B$3*Assumptions!$B$10</f>
        <v>45.4169209615892</v>
      </c>
      <c r="F23" s="0" t="n">
        <f aca="false">(SUMPRODUCT(DCF_Base!$C$19:$L$19/(1+$A$23/100)^DCF_Base!$C$4:$L$4)+MAX(0,MIN(IF($A$23&gt;$F$22,DCF_Base!$L$19*(1+$F$22/100)/(($A$23-$F$22)/100),DCF_Base!$L$19*DCF_Base!$B$29),DCF_Base!$L$19*DCF_Base!$B$29))/(1+$A$23/100)^DCF_Base!$L$4+Assumptions!$B$5-Assumptions!$B$4)/Assumptions!$B$3*Assumptions!$B$10</f>
        <v>45.4169209615892</v>
      </c>
    </row>
    <row r="24" customFormat="false" ht="15" hidden="false" customHeight="false" outlineLevel="0" collapsed="false">
      <c r="A24" s="3" t="n">
        <v>10</v>
      </c>
      <c r="B24" s="0" t="n">
        <f aca="false">(SUMPRODUCT(DCF_Base!$C$19:$L$19/(1+$A$24/100)^DCF_Base!$C$4:$L$4)+MAX(0,MIN(IF($A$24&gt;$B$22,DCF_Base!$L$19*(1+$B$22/100)/(($A$24-$B$22)/100),DCF_Base!$L$19*DCF_Base!$B$29),DCF_Base!$L$19*DCF_Base!$B$29))/(1+$A$24/100)^DCF_Base!$L$4+Assumptions!$B$5-Assumptions!$B$4)/Assumptions!$B$3*Assumptions!$B$10</f>
        <v>42.315253531815</v>
      </c>
      <c r="C24" s="0" t="n">
        <f aca="false">(SUMPRODUCT(DCF_Base!$C$19:$L$19/(1+$A$24/100)^DCF_Base!$C$4:$L$4)+MAX(0,MIN(IF($A$24&gt;$C$22,DCF_Base!$L$19*(1+$C$22/100)/(($A$24-$C$22)/100),DCF_Base!$L$19*DCF_Base!$B$29),DCF_Base!$L$19*DCF_Base!$B$29))/(1+$A$24/100)^DCF_Base!$L$4+Assumptions!$B$5-Assumptions!$B$4)/Assumptions!$B$3*Assumptions!$B$10</f>
        <v>42.509505803991</v>
      </c>
      <c r="D24" s="0" t="n">
        <f aca="false">(SUMPRODUCT(DCF_Base!$C$19:$L$19/(1+$A$24/100)^DCF_Base!$C$4:$L$4)+MAX(0,MIN(IF($A$24&gt;$D$22,DCF_Base!$L$19*(1+$D$22/100)/(($A$24-$D$22)/100),DCF_Base!$L$19*DCF_Base!$B$29),DCF_Base!$L$19*DCF_Base!$B$29))/(1+$A$24/100)^DCF_Base!$L$4+Assumptions!$B$5-Assumptions!$B$4)/Assumptions!$B$3*Assumptions!$B$10</f>
        <v>42.509505803991</v>
      </c>
      <c r="E24" s="0" t="n">
        <f aca="false">(SUMPRODUCT(DCF_Base!$C$19:$L$19/(1+$A$24/100)^DCF_Base!$C$4:$L$4)+MAX(0,MIN(IF($A$24&gt;$E$22,DCF_Base!$L$19*(1+$E$22/100)/(($A$24-$E$22)/100),DCF_Base!$L$19*DCF_Base!$B$29),DCF_Base!$L$19*DCF_Base!$B$29))/(1+$A$24/100)^DCF_Base!$L$4+Assumptions!$B$5-Assumptions!$B$4)/Assumptions!$B$3*Assumptions!$B$10</f>
        <v>42.509505803991</v>
      </c>
      <c r="F24" s="0" t="n">
        <f aca="false">(SUMPRODUCT(DCF_Base!$C$19:$L$19/(1+$A$24/100)^DCF_Base!$C$4:$L$4)+MAX(0,MIN(IF($A$24&gt;$F$22,DCF_Base!$L$19*(1+$F$22/100)/(($A$24-$F$22)/100),DCF_Base!$L$19*DCF_Base!$B$29),DCF_Base!$L$19*DCF_Base!$B$29))/(1+$A$24/100)^DCF_Base!$L$4+Assumptions!$B$5-Assumptions!$B$4)/Assumptions!$B$3*Assumptions!$B$10</f>
        <v>42.509505803991</v>
      </c>
    </row>
    <row r="25" customFormat="false" ht="15" hidden="false" customHeight="false" outlineLevel="0" collapsed="false">
      <c r="A25" s="3" t="n">
        <v>11</v>
      </c>
      <c r="B25" s="0" t="n">
        <f aca="false">(SUMPRODUCT(DCF_Base!$C$19:$L$19/(1+$A$25/100)^DCF_Base!$C$4:$L$4)+MAX(0,MIN(IF($A$25&gt;$B$22,DCF_Base!$L$19*(1+$B$22/100)/(($A$25-$B$22)/100),DCF_Base!$L$19*DCF_Base!$B$29),DCF_Base!$L$19*DCF_Base!$B$29))/(1+$A$25/100)^DCF_Base!$L$4+Assumptions!$B$5-Assumptions!$B$4)/Assumptions!$B$3*Assumptions!$B$10</f>
        <v>37.7961119021432</v>
      </c>
      <c r="C25" s="0" t="n">
        <f aca="false">(SUMPRODUCT(DCF_Base!$C$19:$L$19/(1+$A$25/100)^DCF_Base!$C$4:$L$4)+MAX(0,MIN(IF($A$25&gt;$C$22,DCF_Base!$L$19*(1+$C$22/100)/(($A$25-$C$22)/100),DCF_Base!$L$19*DCF_Base!$B$29),DCF_Base!$L$19*DCF_Base!$B$29))/(1+$A$25/100)^DCF_Base!$L$4+Assumptions!$B$5-Assumptions!$B$4)/Assumptions!$B$3*Assumptions!$B$10</f>
        <v>38.765477474703</v>
      </c>
      <c r="D25" s="0" t="n">
        <f aca="false">(SUMPRODUCT(DCF_Base!$C$19:$L$19/(1+$A$25/100)^DCF_Base!$C$4:$L$4)+MAX(0,MIN(IF($A$25&gt;$D$22,DCF_Base!$L$19*(1+$D$22/100)/(($A$25-$D$22)/100),DCF_Base!$L$19*DCF_Base!$B$29),DCF_Base!$L$19*DCF_Base!$B$29))/(1+$A$25/100)^DCF_Base!$L$4+Assumptions!$B$5-Assumptions!$B$4)/Assumptions!$B$3*Assumptions!$B$10</f>
        <v>39.8488860557992</v>
      </c>
      <c r="E25" s="0" t="n">
        <f aca="false">(SUMPRODUCT(DCF_Base!$C$19:$L$19/(1+$A$25/100)^DCF_Base!$C$4:$L$4)+MAX(0,MIN(IF($A$25&gt;$E$22,DCF_Base!$L$19*(1+$E$22/100)/(($A$25-$E$22)/100),DCF_Base!$L$19*DCF_Base!$B$29),DCF_Base!$L$19*DCF_Base!$B$29))/(1+$A$25/100)^DCF_Base!$L$4+Assumptions!$B$5-Assumptions!$B$4)/Assumptions!$B$3*Assumptions!$B$10</f>
        <v>39.8506429345794</v>
      </c>
      <c r="F25" s="0" t="n">
        <f aca="false">(SUMPRODUCT(DCF_Base!$C$19:$L$19/(1+$A$25/100)^DCF_Base!$C$4:$L$4)+MAX(0,MIN(IF($A$25&gt;$F$22,DCF_Base!$L$19*(1+$F$22/100)/(($A$25-$F$22)/100),DCF_Base!$L$19*DCF_Base!$B$29),DCF_Base!$L$19*DCF_Base!$B$29))/(1+$A$25/100)^DCF_Base!$L$4+Assumptions!$B$5-Assumptions!$B$4)/Assumptions!$B$3*Assumptions!$B$10</f>
        <v>39.8506429345794</v>
      </c>
    </row>
    <row r="26" customFormat="false" ht="15" hidden="false" customHeight="false" outlineLevel="0" collapsed="false">
      <c r="A26" s="3" t="n">
        <v>12</v>
      </c>
      <c r="B26" s="0" t="n">
        <f aca="false">(SUMPRODUCT(DCF_Base!$C$19:$L$19/(1+$A$26/100)^DCF_Base!$C$4:$L$4)+MAX(0,MIN(IF($A$26&gt;$B$22,DCF_Base!$L$19*(1+$B$22/100)/(($A$26-$B$22)/100),DCF_Base!$L$19*DCF_Base!$B$29),DCF_Base!$L$19*DCF_Base!$B$29))/(1+$A$26/100)^DCF_Base!$L$4+Assumptions!$B$5-Assumptions!$B$4)/Assumptions!$B$3*Assumptions!$B$10</f>
        <v>34.148695449938</v>
      </c>
      <c r="C26" s="0" t="n">
        <f aca="false">(SUMPRODUCT(DCF_Base!$C$19:$L$19/(1+$A$26/100)^DCF_Base!$C$4:$L$4)+MAX(0,MIN(IF($A$26&gt;$C$22,DCF_Base!$L$19*(1+$C$22/100)/(($A$26-$C$22)/100),DCF_Base!$L$19*DCF_Base!$B$29),DCF_Base!$L$19*DCF_Base!$B$29))/(1+$A$26/100)^DCF_Base!$L$4+Assumptions!$B$5-Assumptions!$B$4)/Assumptions!$B$3*Assumptions!$B$10</f>
        <v>34.876825596193</v>
      </c>
      <c r="D26" s="0" t="n">
        <f aca="false">(SUMPRODUCT(DCF_Base!$C$19:$L$19/(1+$A$26/100)^DCF_Base!$C$4:$L$4)+MAX(0,MIN(IF($A$26&gt;$D$22,DCF_Base!$L$19*(1+$D$22/100)/(($A$26-$D$22)/100),DCF_Base!$L$19*DCF_Base!$B$29),DCF_Base!$L$19*DCF_Base!$B$29))/(1+$A$26/100)^DCF_Base!$L$4+Assumptions!$B$5-Assumptions!$B$4)/Assumptions!$B$3*Assumptions!$B$10</f>
        <v>35.6816010210011</v>
      </c>
      <c r="E26" s="0" t="n">
        <f aca="false">(SUMPRODUCT(DCF_Base!$C$19:$L$19/(1+$A$26/100)^DCF_Base!$C$4:$L$4)+MAX(0,MIN(IF($A$26&gt;$E$22,DCF_Base!$L$19*(1+$E$22/100)/(($A$26-$E$22)/100),DCF_Base!$L$19*DCF_Base!$B$29),DCF_Base!$L$19*DCF_Base!$B$29))/(1+$A$26/100)^DCF_Base!$L$4+Assumptions!$B$5-Assumptions!$B$4)/Assumptions!$B$3*Assumptions!$B$10</f>
        <v>36.5757959374546</v>
      </c>
      <c r="F26" s="0" t="n">
        <f aca="false">(SUMPRODUCT(DCF_Base!$C$19:$L$19/(1+$A$26/100)^DCF_Base!$C$4:$L$4)+MAX(0,MIN(IF($A$26&gt;$F$22,DCF_Base!$L$19*(1+$F$22/100)/(($A$26-$F$22)/100),DCF_Base!$L$19*DCF_Base!$B$29),DCF_Base!$L$19*DCF_Base!$B$29))/(1+$A$26/100)^DCF_Base!$L$4+Assumptions!$B$5-Assumptions!$B$4)/Assumptions!$B$3*Assumptions!$B$10</f>
        <v>37.4161794812572</v>
      </c>
    </row>
    <row r="27" customFormat="false" ht="15" hidden="false" customHeight="false" outlineLevel="0" collapsed="false">
      <c r="A27" s="3" t="n">
        <v>13</v>
      </c>
      <c r="B27" s="0" t="n">
        <f aca="false">(SUMPRODUCT(DCF_Base!$C$19:$L$19/(1+$A$27/100)^DCF_Base!$C$4:$L$4)+MAX(0,MIN(IF($A$27&gt;$B$22,DCF_Base!$L$19*(1+$B$22/100)/(($A$27-$B$22)/100),DCF_Base!$L$19*DCF_Base!$B$29),DCF_Base!$L$19*DCF_Base!$B$29))/(1+$A$27/100)^DCF_Base!$L$4+Assumptions!$B$5-Assumptions!$B$4)/Assumptions!$B$3*Assumptions!$B$10</f>
        <v>31.1449756718624</v>
      </c>
      <c r="C27" s="0" t="n">
        <f aca="false">(SUMPRODUCT(DCF_Base!$C$19:$L$19/(1+$A$27/100)^DCF_Base!$C$4:$L$4)+MAX(0,MIN(IF($A$27&gt;$C$22,DCF_Base!$L$19*(1+$C$22/100)/(($A$27-$C$22)/100),DCF_Base!$L$19*DCF_Base!$B$29),DCF_Base!$L$19*DCF_Base!$B$29))/(1+$A$27/100)^DCF_Base!$L$4+Assumptions!$B$5-Assumptions!$B$4)/Assumptions!$B$3*Assumptions!$B$10</f>
        <v>31.7028854825813</v>
      </c>
      <c r="D27" s="0" t="n">
        <f aca="false">(SUMPRODUCT(DCF_Base!$C$19:$L$19/(1+$A$27/100)^DCF_Base!$C$4:$L$4)+MAX(0,MIN(IF($A$27&gt;$D$22,DCF_Base!$L$19*(1+$D$22/100)/(($A$27-$D$22)/100),DCF_Base!$L$19*DCF_Base!$B$29),DCF_Base!$L$19*DCF_Base!$B$29))/(1+$A$27/100)^DCF_Base!$L$4+Assumptions!$B$5-Assumptions!$B$4)/Assumptions!$B$3*Assumptions!$B$10</f>
        <v>32.3139295609877</v>
      </c>
      <c r="E27" s="0" t="n">
        <f aca="false">(SUMPRODUCT(DCF_Base!$C$19:$L$19/(1+$A$27/100)^DCF_Base!$C$4:$L$4)+MAX(0,MIN(IF($A$27&gt;$E$22,DCF_Base!$L$19*(1+$E$22/100)/(($A$27-$E$22)/100),DCF_Base!$L$19*DCF_Base!$B$29),DCF_Base!$L$19*DCF_Base!$B$29))/(1+$A$27/100)^DCF_Base!$L$4+Assumptions!$B$5-Assumptions!$B$4)/Assumptions!$B$3*Assumptions!$B$10</f>
        <v>32.9860780472347</v>
      </c>
      <c r="F27" s="0" t="n">
        <f aca="false">(SUMPRODUCT(DCF_Base!$C$19:$L$19/(1+$A$27/100)^DCF_Base!$C$4:$L$4)+MAX(0,MIN(IF($A$27&gt;$F$22,DCF_Base!$L$19*(1+$F$22/100)/(($A$27-$F$22)/100),DCF_Base!$L$19*DCF_Base!$B$29),DCF_Base!$L$19*DCF_Base!$B$29))/(1+$A$27/100)^DCF_Base!$L$4+Assumptions!$B$5-Assumptions!$B$4)/Assumptions!$B$3*Assumptions!$B$10</f>
        <v>33.7289790057183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2026-10-24T19:01:39Z</dcterms:created>
  <dc:creator>openpyxl</dc:creator>
  <dc:description/>
  <dc:language>en-NZ</dc:language>
  <cp:lastModifiedBy/>
  <dcterms:modified xsi:type="dcterms:W3CDTF">2026-10-24T19:01:39Z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