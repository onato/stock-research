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00"/>
    <numFmt numFmtId="167" formatCode="0.0"/>
  </numFmts>
  <fonts count="5">
    <font>
      <name val="Calibri"/>
      <family val="2"/>
      <color theme="1"/>
      <sz val="11"/>
      <scheme val="minor"/>
    </font>
    <font>
      <b val="1"/>
    </font>
    <font>
      <color rgb="000000FF"/>
    </font>
    <font/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4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2" fillId="2" borderId="0" pivotButton="0" quotePrefix="0" xfId="0"/>
    <xf numFmtId="165" fontId="2" fillId="0" borderId="0" pivotButton="0" quotePrefix="0" xfId="0"/>
    <xf numFmtId="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0" fontId="2" fillId="2" borderId="0" pivotButton="0" quotePrefix="0" xfId="0"/>
    <xf numFmtId="164" fontId="4" fillId="0" borderId="0" pivotButton="0" quotePrefix="0" xfId="0"/>
    <xf numFmtId="164" fontId="1" fillId="0" borderId="0" pivotButton="0" quotePrefix="0" xfId="0"/>
    <xf numFmtId="166" fontId="4" fillId="0" borderId="0" pivotButton="0" quotePrefix="0" xfId="0"/>
    <xf numFmtId="165" fontId="4" fillId="0" borderId="0" pivotButton="0" quotePrefix="0" xfId="0"/>
    <xf numFmtId="167" fontId="0" fillId="0" borderId="0" pivotButton="0" quotePrefix="0" xfId="0"/>
    <xf numFmtId="4" fontId="0" fillId="0" borderId="0" pivotButton="0" quotePrefix="0" xfId="0"/>
    <xf numFmtId="4" fontId="1" fillId="3" borderId="0" pivotButton="0" quotePrefix="0" xfId="0"/>
    <xf numFmtId="164" fontId="3" fillId="0" borderId="0" pivotButton="0" quotePrefix="0" xfId="0"/>
    <xf numFmtId="4" fontId="4" fillId="0" borderId="0" pivotButton="0" quotePrefix="0" xfId="0"/>
    <xf numFmtId="167" fontId="4" fillId="0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Ansell Limited (ANN.AX) owner-FCF DCF model</t>
        </is>
      </c>
      <c r="B1" s="2" t="inlineStr"/>
    </row>
    <row r="2">
      <c r="A2" s="1" t="inlineStr">
        <is>
          <t>Version</t>
        </is>
      </c>
      <c r="B2" s="2" t="inlineStr">
        <is>
          <t>1.0, fresh build 2026-09-21; supersedes nothing (first valuation of this ticker)</t>
        </is>
      </c>
    </row>
    <row r="3">
      <c r="A3" s="1" t="inlineStr">
        <is>
          <t>Built by</t>
        </is>
      </c>
      <c r="B3" s="2" t="inlineStr">
        <is>
          <t>dcf-analyst agent (Claude Fable 5.1) on 2026-09-21 at the orchestrator's request as part of /research-stock ANN.AX</t>
        </is>
      </c>
    </row>
    <row r="4">
      <c r="A4" s="1" t="inlineStr">
        <is>
          <t>Currencies</t>
        </is>
      </c>
      <c r="B4" s="2" t="inlineStr">
        <is>
          <t>Statements and every flow in this workbook are USD millions. The ASX quote is AUD. Per-share values are computed in USD and converted at Assumptions!B10 (AUDUSD).</t>
        </is>
      </c>
    </row>
    <row r="5">
      <c r="A5" s="1" t="inlineStr">
        <is>
          <t>Price</t>
        </is>
      </c>
      <c r="B5" s="2" t="inlineStr">
        <is>
          <t>A$42.71 -- 2026-09-21T06:10:32Z ASX regular close</t>
        </is>
      </c>
    </row>
    <row r="6">
      <c r="A6" s="1" t="inlineStr">
        <is>
          <t>FX</t>
        </is>
      </c>
      <c r="B6" s="2" t="inlineStr">
        <is>
          <t>AUDUSD 0.7132 -- Yahoo AUDUSD=X 2026-09-21T11:08:08Z (no liquid dual listing for a parity check)</t>
        </is>
      </c>
    </row>
    <row r="7">
      <c r="A7" s="1" t="inlineStr">
        <is>
          <t>Balance sheet</t>
        </is>
      </c>
      <c r="B7" s="2" t="inlineStr">
        <is>
          <t>2026-06-30 FY26 Annual Report: cash 249.5, borrowings 657.2 (ex-lease), lease liabilities 99.4, NCI 30.9</t>
        </is>
      </c>
    </row>
    <row r="8">
      <c r="A8" s="1" t="inlineStr">
        <is>
          <t>Share count</t>
        </is>
      </c>
      <c r="B8" s="2" t="inlineStr">
        <is>
          <t>139.4m ordinary shares on issue at 30 June 2026 (FY26 five-year summary, after the $118.4m FY26 on-market buyback) plus 1.0m potential ordinary shares from the FY26 diluted-EPS note = 140.4m fully diluted. Held FLAT: SBC is fully expensed in the flows, and the on-market buyback plus treasury purchases are the cash mechanism that keeps it flat (charging both would double-count). The 143.8m in Metrics.csv is the FY26 weighted-average diluted denominator, not the year-end count.</t>
        </is>
      </c>
    </row>
    <row r="9">
      <c r="A9" s="1" t="inlineStr">
        <is>
          <t>Guidance</t>
        </is>
      </c>
      <c r="B9" s="2" t="inlineStr">
        <is>
          <t>FY26 Annual Report (year ended 30-Jun-2026, published Aug-2026): FY27 outlook is qualitative only -- constant-currency sales growth from higher volumes and FY26 pricing actions, earnings growth from commercial excellence and productivity; no EPS range given in the report.</t>
        </is>
      </c>
    </row>
    <row r="10">
      <c r="A10" s="1" t="inlineStr">
        <is>
          <t>Model</t>
        </is>
      </c>
      <c r="B10" s="2" t="inlineStr">
        <is>
          <t>Component-built owner FCF, 10-year horizon, end-year discounting, TV = MAX(0, MIN(Gordon, 15x FCF_10)), equity = EV - net debt - NCI.</t>
        </is>
      </c>
    </row>
    <row r="11">
      <c r="A11" s="1" t="inlineStr">
        <is>
          <t>SBC</t>
        </is>
      </c>
      <c r="B11" s="2" t="inlineStr">
        <is>
          <t>Expensed in the flows at 0.55% of revenue; share count held flat (charge once). Street memo adds the PV of SBC back.</t>
        </is>
      </c>
    </row>
    <row r="12">
      <c r="A12" s="1" t="inlineStr">
        <is>
          <t>Leases</t>
        </is>
      </c>
      <c r="B12" s="2" t="inlineStr">
        <is>
          <t>B: leases as operating cost. Lease principal ($23.4m, financing) and lease interest ($5.4m, financing) are deducted from the flows as lease_cost_pct 1.35% of revenue; lease liabilities ($99.4m) are EXCLUDED from net debt. D&amp;A for the cash-tax EBIT is ex right-of-use depreciation (79.7 - ~23.4 = ~56.3, 2.6% of revenue; the ROU depreciation charge is not broken out in the extracted leases note, so it is taken as equal to the principal repayment).</t>
        </is>
      </c>
    </row>
    <row r="13">
      <c r="A13" s="1" t="inlineStr">
        <is>
          <t>Interest income</t>
        </is>
      </c>
      <c r="B13" s="2" t="inlineStr">
        <is>
          <t>Stripped from the FY26 owner-FCF base ($4.4m) because the cash sits in the bridge. Forward flows are unlevered (built from EBITDA) so nothing further is needed.</t>
        </is>
      </c>
    </row>
    <row r="14">
      <c r="A14" s="1" t="inlineStr">
        <is>
          <t>NCI</t>
        </is>
      </c>
      <c r="B14" s="2" t="inlineStr">
        <is>
          <t>Flows are 100% consolidated; the $30.9m NCI book value is deducted once in the bridge.</t>
        </is>
      </c>
    </row>
    <row r="15">
      <c r="A15" s="1" t="inlineStr">
        <is>
          <t>WACC</t>
        </is>
      </c>
      <c r="B15" s="2" t="inlineStr">
        <is>
          <t>Built from the flows' currency (USD): risk-free 4.2% (UST 10y, Sep-2026), ERP 5.0%, beta 1.0 (global industrial/healthcare consumables) -&gt; cost of equity 9.2%; pre-tax cost of debt 5.2% (FY26 interest on borrowings $35.3m / ~$678m average gross debt) -&gt; 3.95% after tax at 24%; market weights E 87% / D 13% (market cap US$4.28bn vs $657m gross debt) -&gt; WACC 8.5%, rounded. Same rate in all three scenarios: cyclicality, tariff and destocking risk are priced in the scenario flows and weights, not in the discount rate (risk charged once).</t>
        </is>
      </c>
    </row>
    <row r="16">
      <c r="A16" s="1" t="inlineStr">
        <is>
          <t>Mid-cycle</t>
        </is>
      </c>
      <c r="B16" s="2" t="inlineStr">
        <is>
          <t>Y1 owner-FCF margin (~9.4%) is built from components at 3.2% capex and 20% WC absorption, not carried forward from FY26's 13.8% release-year print.</t>
        </is>
      </c>
    </row>
    <row r="17">
      <c r="A17" s="1" t="inlineStr">
        <is>
          <t>Scenario drivers</t>
        </is>
      </c>
      <c r="B17" s="2" t="inlineStr">
        <is>
          <t>Agent judgment, set 2026-09-21 from the FY26 Annual Report FY27 outlook and the FY19-FY26 margin range. Narratives on the Assumptions tab.</t>
        </is>
      </c>
    </row>
    <row r="18">
      <c r="A18" s="1" t="inlineStr">
        <is>
          <t>Refresh after next print</t>
        </is>
      </c>
      <c r="B18" s="2" t="inlineStr">
        <is>
          <t>Price + FX (Assumptions B9/B10), net debt and NCI (B6/B7), share count (B8), FY27 growth and margin driver year (DCF_* row 5/7 column C). Later-year drivers stay unless evidence moves them.</t>
        </is>
      </c>
    </row>
    <row r="19">
      <c r="A19" s="1" t="inlineStr">
        <is>
          <t>Row map (DCF tabs)</t>
        </is>
      </c>
      <c r="B19" s="2" t="inlineStr">
        <is>
          <t>5 growth | 6 revenue | 7 EBITDA margin | 8 EBITDA | 9 SBC% | 10 SBC | 11 lease cost | 12 owner EBITDA | 13 D&amp;A ex-ROU | 14 EBIT | 15 tax rate | 16 tax | 17 NOPAT | 18 +D&amp;A | 19 capex | 20 WC | 21 owner FCF | 22 DF | 23 PV | 28-43 valuation | 45-47 street memo</t>
        </is>
      </c>
    </row>
    <row r="20">
      <c r="A20" s="1" t="inlineStr">
        <is>
          <t>Cell colours</t>
        </is>
      </c>
      <c r="B20" s="2" t="inlineStr">
        <is>
          <t>Blue = hardcoded input; yellow fill = key lever (driver rows 5, 7, 9, 15); black = formula; green = cross-sheet link.</t>
        </is>
      </c>
    </row>
    <row r="21">
      <c r="A21" s="1" t="inlineStr">
        <is>
          <t>Staleness</t>
        </is>
      </c>
      <c r="B21" s="2" t="inlineStr">
        <is>
          <t>Every figure here goes stale: the price moves daily, the FX rate is not refreshed by scripts/refresh_price.py, and the balance sheet is as at 30-Jun-2026.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Ansell reported history, USD millions (FY26 Annual Report cash-flow statements; June year-end)</t>
        </is>
      </c>
    </row>
    <row r="3">
      <c r="A3" s="1" t="inlineStr">
        <is>
          <t>Line</t>
        </is>
      </c>
      <c r="B3" s="1" t="inlineStr">
        <is>
          <t>FY2016</t>
        </is>
      </c>
      <c r="C3" s="1" t="inlineStr">
        <is>
          <t>FY2017</t>
        </is>
      </c>
      <c r="D3" s="1" t="inlineStr">
        <is>
          <t>FY2018</t>
        </is>
      </c>
      <c r="E3" s="1" t="inlineStr">
        <is>
          <t>FY2019</t>
        </is>
      </c>
      <c r="F3" s="1" t="inlineStr">
        <is>
          <t>FY2020</t>
        </is>
      </c>
      <c r="G3" s="1" t="inlineStr">
        <is>
          <t>FY2021</t>
        </is>
      </c>
      <c r="H3" s="1" t="inlineStr">
        <is>
          <t>FY2022</t>
        </is>
      </c>
      <c r="I3" s="1" t="inlineStr">
        <is>
          <t>FY2023</t>
        </is>
      </c>
      <c r="J3" s="1" t="inlineStr">
        <is>
          <t>FY2024</t>
        </is>
      </c>
      <c r="K3" s="1" t="inlineStr">
        <is>
          <t>FY2025</t>
        </is>
      </c>
      <c r="L3" s="1" t="inlineStr">
        <is>
          <t>FY2026</t>
        </is>
      </c>
    </row>
    <row r="4">
      <c r="A4" t="inlineStr">
        <is>
          <t>Revenue</t>
        </is>
      </c>
      <c r="B4" s="3" t="n">
        <v>1572.8</v>
      </c>
      <c r="C4" s="3" t="n">
        <v>1374.5</v>
      </c>
      <c r="D4" s="3" t="n">
        <v>1489.8</v>
      </c>
      <c r="E4" s="3" t="n">
        <v>1499</v>
      </c>
      <c r="F4" s="3" t="n">
        <v>1613.7</v>
      </c>
      <c r="G4" s="3" t="n">
        <v>2026.9</v>
      </c>
      <c r="H4" s="3" t="n">
        <v>1952.1</v>
      </c>
      <c r="I4" s="3" t="n">
        <v>1655.1</v>
      </c>
      <c r="J4" s="3" t="n">
        <v>1619.3</v>
      </c>
      <c r="K4" s="3" t="n">
        <v>2003.3</v>
      </c>
      <c r="L4" s="3" t="n">
        <v>2140.2</v>
      </c>
    </row>
    <row r="5">
      <c r="A5" t="inlineStr">
        <is>
          <t>Net cash from operating activities (pre-interest-paid: Ansell books interest paid in financing)</t>
        </is>
      </c>
      <c r="B5" s="3" t="n">
        <v>232.3</v>
      </c>
      <c r="C5" s="3" t="n">
        <v>216.2</v>
      </c>
      <c r="D5" s="3" t="n">
        <v>153.6</v>
      </c>
      <c r="E5" s="3" t="n">
        <v>188.9</v>
      </c>
      <c r="F5" s="3" t="n">
        <v>290.9</v>
      </c>
      <c r="G5" s="3" t="n">
        <v>172.8</v>
      </c>
      <c r="H5" s="3" t="n">
        <v>222</v>
      </c>
      <c r="I5" s="3" t="n">
        <v>180.5</v>
      </c>
      <c r="J5" s="3" t="n">
        <v>276.3</v>
      </c>
      <c r="K5" s="3" t="n">
        <v>239.3</v>
      </c>
      <c r="L5" s="3" t="n">
        <v>388.6</v>
      </c>
    </row>
    <row r="6">
      <c r="A6" t="inlineStr">
        <is>
          <t>Capex (PPE + intangibles)</t>
        </is>
      </c>
      <c r="B6" s="3" t="n">
        <v>67.2</v>
      </c>
      <c r="C6" s="3" t="n">
        <v>51</v>
      </c>
      <c r="D6" s="3" t="n">
        <v>45.7</v>
      </c>
      <c r="E6" s="3" t="n">
        <v>43.6</v>
      </c>
      <c r="F6" s="3" t="n">
        <v>64.8</v>
      </c>
      <c r="G6" s="3" t="n">
        <v>80.40000000000001</v>
      </c>
      <c r="H6" s="3" t="n">
        <v>67.5</v>
      </c>
      <c r="I6" s="3" t="n">
        <v>67.2</v>
      </c>
      <c r="J6" s="3" t="n">
        <v>62.8</v>
      </c>
      <c r="K6" s="3" t="n">
        <v>69.3</v>
      </c>
      <c r="L6" s="3" t="n">
        <v>49</v>
      </c>
    </row>
    <row r="7">
      <c r="A7" t="inlineStr">
        <is>
          <t>Share-based payments expense</t>
        </is>
      </c>
      <c r="B7" s="3" t="n">
        <v>-2.2</v>
      </c>
      <c r="C7" s="3" t="n">
        <v>4.7</v>
      </c>
      <c r="D7" s="3" t="n">
        <v>10.4</v>
      </c>
      <c r="E7" s="3" t="n">
        <v>9.300000000000001</v>
      </c>
      <c r="F7" s="3" t="n">
        <v>10.3</v>
      </c>
      <c r="G7" s="3" t="n">
        <v>30.1</v>
      </c>
      <c r="H7" s="3" t="n">
        <v>-2.6</v>
      </c>
      <c r="I7" s="3" t="n">
        <v>-5.5</v>
      </c>
      <c r="J7" s="3" t="n">
        <v>6.2</v>
      </c>
      <c r="K7" s="3" t="n">
        <v>9.1</v>
      </c>
      <c r="L7" s="3" t="n">
        <v>11.6</v>
      </c>
    </row>
    <row r="8">
      <c r="A8" t="inlineStr">
        <is>
          <t>Interest received</t>
        </is>
      </c>
      <c r="B8" s="3" t="n">
        <v>4.1</v>
      </c>
      <c r="C8" s="3" t="n">
        <v>3.6</v>
      </c>
      <c r="D8" s="3" t="n">
        <v>7.6</v>
      </c>
      <c r="E8" s="3" t="n">
        <v>8.800000000000001</v>
      </c>
      <c r="F8" s="3" t="n">
        <v>5.3</v>
      </c>
      <c r="G8" s="3" t="n">
        <v>1.3</v>
      </c>
      <c r="H8" s="3" t="n">
        <v>0.2</v>
      </c>
      <c r="I8" s="3" t="n">
        <v>2.2</v>
      </c>
      <c r="J8" s="3" t="n">
        <v>4</v>
      </c>
      <c r="K8" s="3" t="n">
        <v>6.6</v>
      </c>
      <c r="L8" s="3" t="n">
        <v>4.4</v>
      </c>
    </row>
    <row r="9">
      <c r="A9" t="inlineStr">
        <is>
          <t>Lease principal repaid (financing, IFRS16 from FY20)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20.3</v>
      </c>
      <c r="G9" s="3" t="n">
        <v>20.8</v>
      </c>
      <c r="H9" s="3" t="n">
        <v>21.5</v>
      </c>
      <c r="I9" s="3" t="n">
        <v>20.5</v>
      </c>
      <c r="J9" s="3" t="n">
        <v>20.1</v>
      </c>
      <c r="K9" s="3" t="n">
        <v>20.1</v>
      </c>
      <c r="L9" s="3" t="n">
        <v>23.4</v>
      </c>
    </row>
    <row r="10">
      <c r="A10" t="inlineStr">
        <is>
          <t>Interest paid on lease liabilities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1.5</v>
      </c>
      <c r="G10" s="3" t="n">
        <v>1.7</v>
      </c>
      <c r="H10" s="3" t="n">
        <v>1.5</v>
      </c>
      <c r="I10" s="3" t="n">
        <v>1.8</v>
      </c>
      <c r="J10" s="3" t="n">
        <v>4</v>
      </c>
      <c r="K10" s="3" t="n">
        <v>4.8</v>
      </c>
      <c r="L10" s="3" t="n">
        <v>5.4</v>
      </c>
    </row>
    <row r="11">
      <c r="A11" t="inlineStr">
        <is>
          <t>Net profit after tax (reported)</t>
        </is>
      </c>
      <c r="B11" s="3" t="n">
        <v>161.9</v>
      </c>
      <c r="C11" s="3" t="n">
        <v>150.2</v>
      </c>
      <c r="D11" s="3" t="n">
        <v>486.2</v>
      </c>
      <c r="E11" s="3" t="n">
        <v>113.1</v>
      </c>
      <c r="F11" s="3" t="n">
        <v>160.1</v>
      </c>
      <c r="G11" s="3" t="n">
        <v>248.3</v>
      </c>
      <c r="H11" s="3" t="n">
        <v>159.8</v>
      </c>
      <c r="I11" s="3" t="n">
        <v>149.9</v>
      </c>
      <c r="J11" s="3" t="n">
        <v>77.5</v>
      </c>
      <c r="K11" s="3" t="n">
        <v>103.6</v>
      </c>
      <c r="L11" s="3" t="n">
        <v>209.6</v>
      </c>
    </row>
    <row r="12">
      <c r="A12" t="inlineStr">
        <is>
          <t>Income taxes paid</t>
        </is>
      </c>
      <c r="B12" s="3" t="n">
        <v>29.8</v>
      </c>
      <c r="C12" s="3" t="n">
        <v>35.8</v>
      </c>
      <c r="D12" s="3" t="n">
        <v>35.6</v>
      </c>
      <c r="E12" s="3" t="n">
        <v>25</v>
      </c>
      <c r="F12" s="3" t="n">
        <v>34.2</v>
      </c>
      <c r="G12" s="3" t="n">
        <v>67</v>
      </c>
      <c r="H12" s="3" t="n">
        <v>49.9</v>
      </c>
      <c r="I12" s="3" t="n">
        <v>39.8</v>
      </c>
      <c r="J12" s="3" t="n">
        <v>38.2</v>
      </c>
      <c r="K12" s="3" t="n">
        <v>45.4</v>
      </c>
      <c r="L12" s="3" t="n">
        <v>56.9</v>
      </c>
    </row>
    <row r="14">
      <c r="A14" s="1" t="inlineStr">
        <is>
          <t>Balance sheet 30-Jun-2026</t>
        </is>
      </c>
    </row>
    <row r="15">
      <c r="A15" s="4" t="inlineStr">
        <is>
          <t>Cash and cash equivalents</t>
        </is>
      </c>
      <c r="B15" s="5" t="n">
        <v>249.5</v>
      </c>
    </row>
    <row r="16">
      <c r="A16" s="4" t="inlineStr">
        <is>
          <t>Interest-bearing liabilities (51.4 current + 605.8 non-current)</t>
        </is>
      </c>
      <c r="B16" s="5" t="n">
        <v>657.2</v>
      </c>
    </row>
    <row r="17">
      <c r="A17" s="4" t="inlineStr">
        <is>
          <t>Lease liabilities (20.9 + 78.5) -- excluded from net debt, charged in flows</t>
        </is>
      </c>
      <c r="B17" s="5" t="n">
        <v>99.40000000000001</v>
      </c>
    </row>
    <row r="18">
      <c r="A18" s="4" t="inlineStr">
        <is>
          <t>Non-controlling interests</t>
        </is>
      </c>
      <c r="B18" s="5" t="n">
        <v>30.9</v>
      </c>
    </row>
    <row r="19">
      <c r="A19" s="4" t="inlineStr">
        <is>
          <t>Shares on issue 30-Jun-2026 (m)</t>
        </is>
      </c>
      <c r="B19" s="5" t="n">
        <v>139.4</v>
      </c>
    </row>
    <row r="20">
      <c r="A20" s="4" t="inlineStr">
        <is>
          <t>Potential ordinary shares (diluted-EPS note)</t>
        </is>
      </c>
      <c r="B20" s="5" t="n">
        <v>1</v>
      </c>
    </row>
    <row r="21">
      <c r="A21" s="4" t="inlineStr">
        <is>
          <t>FY26 on-market buyback ($m)</t>
        </is>
      </c>
      <c r="B21" s="5" t="n">
        <v>118.4</v>
      </c>
    </row>
    <row r="22">
      <c r="A22" s="4" t="inlineStr">
        <is>
          <t>FY26 treasury share purchases for employee plans ($m)</t>
        </is>
      </c>
      <c r="B22" s="5" t="n">
        <v>17.4</v>
      </c>
    </row>
    <row r="23">
      <c r="A23" s="4" t="inlineStr">
        <is>
          <t>FY26 Adjusted EBIT</t>
        </is>
      </c>
      <c r="B23" s="5" t="n">
        <v>321.9</v>
      </c>
    </row>
    <row r="24">
      <c r="A24" s="4" t="inlineStr">
        <is>
          <t>FY26 D&amp;A (75.5 dep + 4.2 amort)</t>
        </is>
      </c>
      <c r="B24" s="5" t="n">
        <v>79.7</v>
      </c>
    </row>
    <row r="25">
      <c r="A25" s="4" t="inlineStr">
        <is>
          <t>FY26 Adjusted effective tax rate</t>
        </is>
      </c>
      <c r="B25" s="5" t="n">
        <v>0.241</v>
      </c>
    </row>
    <row r="26">
      <c r="A26" s="4" t="inlineStr">
        <is>
          <t>FY26 dividends paid</t>
        </is>
      </c>
      <c r="B26" s="5" t="n">
        <v>78.8</v>
      </c>
    </row>
    <row r="27">
      <c r="A27" s="4" t="inlineStr">
        <is>
          <t>FY27 outlook</t>
        </is>
      </c>
      <c r="B27" s="5" t="inlineStr">
        <is>
          <t>Qualitative: constant-currency sales growth from volume and FY26 pricing; earnings growth from commercial excellence and productivity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6" customWidth="1" min="1" max="1"/>
    <col width="90" customWidth="1" min="2" max="2"/>
    <col width="60" customWidth="1" min="3" max="3"/>
  </cols>
  <sheetData>
    <row r="1">
      <c r="A1" s="1" t="inlineStr">
        <is>
          <t>Global inputs (blue = hardcoded)</t>
        </is>
      </c>
    </row>
    <row r="3">
      <c r="A3" t="inlineStr">
        <is>
          <t>WACC (USD, all scenarios)</t>
        </is>
      </c>
      <c r="B3" s="6" t="n">
        <v>0.08500000000000001</v>
      </c>
      <c r="C3" t="inlineStr">
        <is>
          <t>rf 4.2% + 1.0 x 5.0% ERP = 9.2% CoE; Kd 3.95% after tax; E 87% / D 13%</t>
        </is>
      </c>
    </row>
    <row r="4">
      <c r="A4" t="inlineStr">
        <is>
          <t>D&amp;A ex-ROU % of revenue</t>
        </is>
      </c>
      <c r="B4" s="7" t="n">
        <v>0.026</v>
      </c>
      <c r="C4" t="inlineStr">
        <is>
          <t>FY26 79.7 less ~23.4 ROU depreciation = 56.3 / 2140.2</t>
        </is>
      </c>
    </row>
    <row r="5">
      <c r="A5" t="inlineStr">
        <is>
          <t>Working-capital capture on revenue change</t>
        </is>
      </c>
      <c r="B5" s="7" t="n">
        <v>-0.2</v>
      </c>
      <c r="C5" t="inlineStr">
        <is>
          <t>Negative: manufacturer, net WC 24% of sales; growth consumes cash</t>
        </is>
      </c>
    </row>
    <row r="6">
      <c r="A6" t="inlineStr">
        <is>
          <t>Net debt (borrowings 657.2 - cash 249.5), USD m</t>
        </is>
      </c>
      <c r="B6" s="3" t="n">
        <v>407.7</v>
      </c>
      <c r="C6" t="inlineStr">
        <is>
          <t>30-Jun-2026, ex-lease</t>
        </is>
      </c>
    </row>
    <row r="7">
      <c r="A7" t="inlineStr">
        <is>
          <t>Non-controlling interests, USD m</t>
        </is>
      </c>
      <c r="B7" s="3" t="n">
        <v>30.9</v>
      </c>
      <c r="C7" t="inlineStr">
        <is>
          <t>30-Jun-2026 balance sheet</t>
        </is>
      </c>
    </row>
    <row r="8">
      <c r="A8" t="inlineStr">
        <is>
          <t>Fully diluted shares (m)</t>
        </is>
      </c>
      <c r="B8" s="3" t="n">
        <v>140.4</v>
      </c>
      <c r="C8" t="inlineStr">
        <is>
          <t>139.4 on issue + 1.0 potential; held flat</t>
        </is>
      </c>
    </row>
    <row r="9">
      <c r="A9" t="inlineStr">
        <is>
          <t>Share price, AUD</t>
        </is>
      </c>
      <c r="B9" s="8" t="n">
        <v>42.71</v>
      </c>
      <c r="C9" t="inlineStr">
        <is>
          <t>2026-09-21T06:10:32Z ASX regular close</t>
        </is>
      </c>
    </row>
    <row r="10">
      <c r="A10" t="inlineStr">
        <is>
          <t>AUDUSD</t>
        </is>
      </c>
      <c r="B10" s="9" t="n">
        <v>0.7131999999999999</v>
      </c>
      <c r="C10" t="inlineStr">
        <is>
          <t>Yahoo AUDUSD=X 2026-09-21T11:08Z; USD per-share / this = AUD</t>
        </is>
      </c>
    </row>
    <row r="11">
      <c r="A11" t="inlineStr">
        <is>
          <t>Terminal value cap (x FCF_10)</t>
        </is>
      </c>
      <c r="B11" s="10" t="n">
        <v>15</v>
      </c>
      <c r="C11" t="inlineStr">
        <is>
          <t>Cyclical industrial: 15x, not 20x</t>
        </is>
      </c>
    </row>
    <row r="12">
      <c r="A12" t="inlineStr">
        <is>
          <t>Hurdle rate for entry price</t>
        </is>
      </c>
      <c r="B12" s="7" t="n">
        <v>0.15</v>
      </c>
      <c r="C12" t="inlineStr">
        <is>
          <t>TV rebuilt at the hurdle</t>
        </is>
      </c>
    </row>
    <row r="13">
      <c r="A13" t="inlineStr">
        <is>
          <t>Lease cost % of revenue (principal + interest)</t>
        </is>
      </c>
      <c r="B13" s="7" t="n">
        <v>0.0135</v>
      </c>
      <c r="C13" t="inlineStr">
        <is>
          <t>FY26 23.4 + 5.4 = 28.8 / 2140.2</t>
        </is>
      </c>
    </row>
    <row r="14">
      <c r="A14" t="inlineStr">
        <is>
          <t>FY26 revenue, USD m</t>
        </is>
      </c>
      <c r="B14" s="3" t="n">
        <v>2140.2</v>
      </c>
      <c r="C14" t="inlineStr">
        <is>
          <t>FY26 Annual Report</t>
        </is>
      </c>
    </row>
    <row r="17">
      <c r="A17" s="1" t="inlineStr">
        <is>
          <t>Per-scenario</t>
        </is>
      </c>
      <c r="C17" s="1" t="inlineStr">
        <is>
          <t>Bear</t>
        </is>
      </c>
      <c r="D17" s="1" t="inlineStr">
        <is>
          <t>Base</t>
        </is>
      </c>
      <c r="E17" s="1" t="inlineStr">
        <is>
          <t>Bull</t>
        </is>
      </c>
    </row>
    <row r="18">
      <c r="A18" t="inlineStr">
        <is>
          <t>Terminal growth</t>
        </is>
      </c>
      <c r="C18" s="6" t="n">
        <v>0.02</v>
      </c>
      <c r="D18" s="6" t="n">
        <v>0.025</v>
      </c>
      <c r="E18" s="6" t="n">
        <v>0.03</v>
      </c>
    </row>
    <row r="19">
      <c r="A19" t="inlineStr">
        <is>
          <t>Probability weight</t>
        </is>
      </c>
      <c r="C19" s="6" t="n">
        <v>0.2</v>
      </c>
      <c r="D19" s="6" t="n">
        <v>0.5</v>
      </c>
      <c r="E19" s="6" t="n">
        <v>0.3</v>
      </c>
    </row>
    <row r="20">
      <c r="A20" t="inlineStr">
        <is>
          <t>Capex % of revenue</t>
        </is>
      </c>
      <c r="C20" s="6" t="n">
        <v>0.034</v>
      </c>
      <c r="D20" s="6" t="n">
        <v>0.032</v>
      </c>
      <c r="E20" s="6" t="n">
        <v>0.03</v>
      </c>
    </row>
    <row r="21">
      <c r="A21" t="inlineStr">
        <is>
          <t>Weights check (must be 100%)</t>
        </is>
      </c>
      <c r="C21" s="11">
        <f>SUM(C19:E19)</f>
        <v/>
      </c>
    </row>
    <row r="23">
      <c r="A23" s="1" t="inlineStr">
        <is>
          <t>Scenario narratives</t>
        </is>
      </c>
    </row>
    <row r="24" ht="120" customHeight="1">
      <c r="A24" s="1" t="inlineStr">
        <is>
          <t>Base</t>
        </is>
      </c>
      <c r="B24" s="2" t="inlineStr">
        <is>
          <t>FY27 delivers the qualitative guide -- constant-currency sales growth from volume plus FY26 pricing actions -- at ~5% (FY26 organic CC was 5.0%, FY25 7.7%), fading to 3% as the KBU cross-sell and US channel gains mature and to 2.5% by Y9-10. Adjusted EBITDA margin drifts from 18.8% to 19.2% (Adj EBIT ~15.0% -&gt; ~15.4%) as APIP footprint savings and the India surgical greenfield offset tariff and labour inflation; that is the top of Ansell's FY19-FY26 EBIT-margin range ex the COVID year, so no further re-rating is assumed. Capex normalises from FY26's 2.3% trough to 3.2% of sales; working capital absorbs 20c per dollar of growth (net WC is 24% of sales); cash tax 24% (adjusted ETR 24.1%). Count flat at 140.4m, funded by the ongoing buyback.</t>
        </is>
      </c>
    </row>
    <row r="25" ht="120" customHeight="1">
      <c r="A25" s="1" t="inlineStr">
        <is>
          <t>Bull</t>
        </is>
      </c>
      <c r="B25" s="2" t="inlineStr">
        <is>
          <t>US share gains and KBU cross-selling into scientific, cleanroom (FY26 +10%) and life-sciences verticals hold growth at 8% in FY27 fading to 3.5%; tariff pass-through sticks and mix shifts toward differentiated Industrial/surgical product, taking Adj EBITDA margin to 21% (Adj EBIT ~17%, a level Ansell has only touched in FY21's COVID year). Capex 3.0%, cash tax 23.5%, terminal growth 3%. This case needs both above-market growth and record margins simultaneously, which is why its weight is below the house default.</t>
        </is>
      </c>
    </row>
    <row r="26" ht="120" customHeight="1">
      <c r="A26" s="1" t="inlineStr">
        <is>
          <t>Bear</t>
        </is>
      </c>
      <c r="B26" s="2" t="inlineStr">
        <is>
          <t>A second destocking cycle or US recession repeats the FY23-24 pattern (revenue fell 20% from the FY21 peak to the FY24 trough, Adj EBIT margin 12%): FY27 revenue -2%, flat FY28, then 2-2.5% growth. US tariffs on Malaysian, Thai and Sri Lankan glove production are not fully passed through, and Chinese exam-glove price competition compresses Healthcare margins, so Adj EBITDA margin resets to 16.5% (Adj EBIT ~12.5-13%, the FY22-24 average) and stays there. Capex 3.4%, cash tax 25%, terminal growth 2%. The balance sheet (net debt/EBITDA ~1.0x) carries this case without a solvency question, which is why the bear weight is 20% and not higher.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ANN.AX owner-FCF DCF -- BEAR scenario (USD millions)</t>
        </is>
      </c>
    </row>
    <row r="3">
      <c r="A3" t="inlineStr">
        <is>
          <t>Year</t>
        </is>
      </c>
      <c r="B3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6" t="n">
        <v>-0.02</v>
      </c>
      <c r="D5" s="6" t="n">
        <v>0</v>
      </c>
      <c r="E5" s="6" t="n">
        <v>0.02</v>
      </c>
      <c r="F5" s="6" t="n">
        <v>0.025</v>
      </c>
      <c r="G5" s="6" t="n">
        <v>0.025</v>
      </c>
      <c r="H5" s="6" t="n">
        <v>0.025</v>
      </c>
      <c r="I5" s="6" t="n">
        <v>0.025</v>
      </c>
      <c r="J5" s="6" t="n">
        <v>0.02</v>
      </c>
      <c r="K5" s="6" t="n">
        <v>0.02</v>
      </c>
      <c r="L5" s="6" t="n">
        <v>0.02</v>
      </c>
    </row>
    <row r="6">
      <c r="A6" t="inlineStr">
        <is>
          <t>Revenue</t>
        </is>
      </c>
      <c r="B6" s="12">
        <f>Assumptions!$B$14</f>
        <v/>
      </c>
      <c r="C6" s="13">
        <f>B6*(1+C5)</f>
        <v/>
      </c>
      <c r="D6" s="13">
        <f>C6*(1+D5)</f>
        <v/>
      </c>
      <c r="E6" s="13">
        <f>D6*(1+E5)</f>
        <v/>
      </c>
      <c r="F6" s="13">
        <f>E6*(1+F5)</f>
        <v/>
      </c>
      <c r="G6" s="13">
        <f>F6*(1+G5)</f>
        <v/>
      </c>
      <c r="H6" s="13">
        <f>G6*(1+H5)</f>
        <v/>
      </c>
      <c r="I6" s="13">
        <f>H6*(1+I5)</f>
        <v/>
      </c>
      <c r="J6" s="13">
        <f>I6*(1+J5)</f>
        <v/>
      </c>
      <c r="K6" s="13">
        <f>J6*(1+K5)</f>
        <v/>
      </c>
      <c r="L6" s="13">
        <f>K6*(1+L5)</f>
        <v/>
      </c>
    </row>
    <row r="7">
      <c r="A7" t="inlineStr">
        <is>
          <t>Adj EBITDA margin (post-IFRS16)</t>
        </is>
      </c>
      <c r="C7" s="6" t="n">
        <v>0.175</v>
      </c>
      <c r="D7" s="6" t="n">
        <v>0.165</v>
      </c>
      <c r="E7" s="6" t="n">
        <v>0.165</v>
      </c>
      <c r="F7" s="6" t="n">
        <v>0.165</v>
      </c>
      <c r="G7" s="6" t="n">
        <v>0.165</v>
      </c>
      <c r="H7" s="6" t="n">
        <v>0.165</v>
      </c>
      <c r="I7" s="6" t="n">
        <v>0.165</v>
      </c>
      <c r="J7" s="6" t="n">
        <v>0.165</v>
      </c>
      <c r="K7" s="6" t="n">
        <v>0.165</v>
      </c>
      <c r="L7" s="6" t="n">
        <v>0.165</v>
      </c>
    </row>
    <row r="8">
      <c r="A8" t="inlineStr">
        <is>
          <t>Adjusted EBITDA</t>
        </is>
      </c>
      <c r="C8" s="13">
        <f>C6*C7</f>
        <v/>
      </c>
      <c r="D8" s="13">
        <f>D6*D7</f>
        <v/>
      </c>
      <c r="E8" s="13">
        <f>E6*E7</f>
        <v/>
      </c>
      <c r="F8" s="13">
        <f>F6*F7</f>
        <v/>
      </c>
      <c r="G8" s="13">
        <f>G6*G7</f>
        <v/>
      </c>
      <c r="H8" s="13">
        <f>H6*H7</f>
        <v/>
      </c>
      <c r="I8" s="13">
        <f>I6*I7</f>
        <v/>
      </c>
      <c r="J8" s="13">
        <f>J6*J7</f>
        <v/>
      </c>
      <c r="K8" s="13">
        <f>K6*K7</f>
        <v/>
      </c>
      <c r="L8" s="13">
        <f>L6*L7</f>
        <v/>
      </c>
    </row>
    <row r="9">
      <c r="A9" t="inlineStr">
        <is>
          <t>SBC % of revenue</t>
        </is>
      </c>
      <c r="C9" s="14" t="n">
        <v>0.005500000000000001</v>
      </c>
      <c r="D9" s="14" t="n">
        <v>0.005500000000000001</v>
      </c>
      <c r="E9" s="14" t="n">
        <v>0.005500000000000001</v>
      </c>
      <c r="F9" s="14" t="n">
        <v>0.005500000000000001</v>
      </c>
      <c r="G9" s="14" t="n">
        <v>0.005500000000000001</v>
      </c>
      <c r="H9" s="14" t="n">
        <v>0.005500000000000001</v>
      </c>
      <c r="I9" s="14" t="n">
        <v>0.005500000000000001</v>
      </c>
      <c r="J9" s="14" t="n">
        <v>0.005500000000000001</v>
      </c>
      <c r="K9" s="14" t="n">
        <v>0.005500000000000001</v>
      </c>
      <c r="L9" s="14" t="n">
        <v>0.005500000000000001</v>
      </c>
    </row>
    <row r="10">
      <c r="A10" t="inlineStr">
        <is>
          <t>SBC (expensed)</t>
        </is>
      </c>
      <c r="C10" s="13">
        <f>-C6*C9</f>
        <v/>
      </c>
      <c r="D10" s="13">
        <f>-D6*D9</f>
        <v/>
      </c>
      <c r="E10" s="13">
        <f>-E6*E9</f>
        <v/>
      </c>
      <c r="F10" s="13">
        <f>-F6*F9</f>
        <v/>
      </c>
      <c r="G10" s="13">
        <f>-G6*G9</f>
        <v/>
      </c>
      <c r="H10" s="13">
        <f>-H6*H9</f>
        <v/>
      </c>
      <c r="I10" s="13">
        <f>-I6*I9</f>
        <v/>
      </c>
      <c r="J10" s="13">
        <f>-J6*J9</f>
        <v/>
      </c>
      <c r="K10" s="13">
        <f>-K6*K9</f>
        <v/>
      </c>
      <c r="L10" s="13">
        <f>-L6*L9</f>
        <v/>
      </c>
    </row>
    <row r="11">
      <c r="A11" t="inlineStr">
        <is>
          <t>Lease cost (principal + interest)</t>
        </is>
      </c>
      <c r="C11" s="15">
        <f>-C6*Assumptions!$B$13</f>
        <v/>
      </c>
      <c r="D11" s="15">
        <f>-D6*Assumptions!$B$13</f>
        <v/>
      </c>
      <c r="E11" s="15">
        <f>-E6*Assumptions!$B$13</f>
        <v/>
      </c>
      <c r="F11" s="15">
        <f>-F6*Assumptions!$B$13</f>
        <v/>
      </c>
      <c r="G11" s="15">
        <f>-G6*Assumptions!$B$13</f>
        <v/>
      </c>
      <c r="H11" s="15">
        <f>-H6*Assumptions!$B$13</f>
        <v/>
      </c>
      <c r="I11" s="15">
        <f>-I6*Assumptions!$B$13</f>
        <v/>
      </c>
      <c r="J11" s="15">
        <f>-J6*Assumptions!$B$13</f>
        <v/>
      </c>
      <c r="K11" s="15">
        <f>-K6*Assumptions!$B$13</f>
        <v/>
      </c>
      <c r="L11" s="15">
        <f>-L6*Assumptions!$B$13</f>
        <v/>
      </c>
    </row>
    <row r="12">
      <c r="A12" t="inlineStr">
        <is>
          <t>Owner EBITDA</t>
        </is>
      </c>
      <c r="C12" s="13">
        <f>C8+C10+C11</f>
        <v/>
      </c>
      <c r="D12" s="13">
        <f>D8+D10+D11</f>
        <v/>
      </c>
      <c r="E12" s="13">
        <f>E8+E10+E11</f>
        <v/>
      </c>
      <c r="F12" s="13">
        <f>F8+F10+F11</f>
        <v/>
      </c>
      <c r="G12" s="13">
        <f>G8+G10+G11</f>
        <v/>
      </c>
      <c r="H12" s="13">
        <f>H8+H10+H11</f>
        <v/>
      </c>
      <c r="I12" s="13">
        <f>I8+I10+I11</f>
        <v/>
      </c>
      <c r="J12" s="13">
        <f>J8+J10+J11</f>
        <v/>
      </c>
      <c r="K12" s="13">
        <f>K8+K10+K11</f>
        <v/>
      </c>
      <c r="L12" s="13">
        <f>L8+L10+L11</f>
        <v/>
      </c>
    </row>
    <row r="13">
      <c r="A13" t="inlineStr">
        <is>
          <t>D&amp;A ex-ROU</t>
        </is>
      </c>
      <c r="C13" s="15">
        <f>-C6*Assumptions!$B$4</f>
        <v/>
      </c>
      <c r="D13" s="15">
        <f>-D6*Assumptions!$B$4</f>
        <v/>
      </c>
      <c r="E13" s="15">
        <f>-E6*Assumptions!$B$4</f>
        <v/>
      </c>
      <c r="F13" s="15">
        <f>-F6*Assumptions!$B$4</f>
        <v/>
      </c>
      <c r="G13" s="15">
        <f>-G6*Assumptions!$B$4</f>
        <v/>
      </c>
      <c r="H13" s="15">
        <f>-H6*Assumptions!$B$4</f>
        <v/>
      </c>
      <c r="I13" s="15">
        <f>-I6*Assumptions!$B$4</f>
        <v/>
      </c>
      <c r="J13" s="15">
        <f>-J6*Assumptions!$B$4</f>
        <v/>
      </c>
      <c r="K13" s="15">
        <f>-K6*Assumptions!$B$4</f>
        <v/>
      </c>
      <c r="L13" s="15">
        <f>-L6*Assumptions!$B$4</f>
        <v/>
      </c>
    </row>
    <row r="14">
      <c r="A14" t="inlineStr">
        <is>
          <t>EBIT (SBC and leases expensed)</t>
        </is>
      </c>
      <c r="C14" s="13">
        <f>C12+C13</f>
        <v/>
      </c>
      <c r="D14" s="13">
        <f>D12+D13</f>
        <v/>
      </c>
      <c r="E14" s="13">
        <f>E12+E13</f>
        <v/>
      </c>
      <c r="F14" s="13">
        <f>F12+F13</f>
        <v/>
      </c>
      <c r="G14" s="13">
        <f>G12+G13</f>
        <v/>
      </c>
      <c r="H14" s="13">
        <f>H12+H13</f>
        <v/>
      </c>
      <c r="I14" s="13">
        <f>I12+I13</f>
        <v/>
      </c>
      <c r="J14" s="13">
        <f>J12+J13</f>
        <v/>
      </c>
      <c r="K14" s="13">
        <f>K12+K13</f>
        <v/>
      </c>
      <c r="L14" s="13">
        <f>L12+L13</f>
        <v/>
      </c>
    </row>
    <row r="15">
      <c r="A15" t="inlineStr">
        <is>
          <t>Cash tax rate</t>
        </is>
      </c>
      <c r="C15" s="6" t="n">
        <v>0.25</v>
      </c>
      <c r="D15" s="6" t="n">
        <v>0.25</v>
      </c>
      <c r="E15" s="6" t="n">
        <v>0.25</v>
      </c>
      <c r="F15" s="6" t="n">
        <v>0.25</v>
      </c>
      <c r="G15" s="6" t="n">
        <v>0.25</v>
      </c>
      <c r="H15" s="6" t="n">
        <v>0.25</v>
      </c>
      <c r="I15" s="6" t="n">
        <v>0.25</v>
      </c>
      <c r="J15" s="6" t="n">
        <v>0.25</v>
      </c>
      <c r="K15" s="6" t="n">
        <v>0.25</v>
      </c>
      <c r="L15" s="6" t="n">
        <v>0.25</v>
      </c>
    </row>
    <row r="16">
      <c r="A16" t="inlineStr">
        <is>
          <t>Cash tax on max(0, EBIT)</t>
        </is>
      </c>
      <c r="C16" s="13">
        <f>-MAX(0,C14)*C15</f>
        <v/>
      </c>
      <c r="D16" s="13">
        <f>-MAX(0,D14)*D15</f>
        <v/>
      </c>
      <c r="E16" s="13">
        <f>-MAX(0,E14)*E15</f>
        <v/>
      </c>
      <c r="F16" s="13">
        <f>-MAX(0,F14)*F15</f>
        <v/>
      </c>
      <c r="G16" s="13">
        <f>-MAX(0,G14)*G15</f>
        <v/>
      </c>
      <c r="H16" s="13">
        <f>-MAX(0,H14)*H15</f>
        <v/>
      </c>
      <c r="I16" s="13">
        <f>-MAX(0,I14)*I15</f>
        <v/>
      </c>
      <c r="J16" s="13">
        <f>-MAX(0,J14)*J15</f>
        <v/>
      </c>
      <c r="K16" s="13">
        <f>-MAX(0,K14)*K15</f>
        <v/>
      </c>
      <c r="L16" s="13">
        <f>-MAX(0,L14)*L15</f>
        <v/>
      </c>
    </row>
    <row r="17">
      <c r="A17" t="inlineStr">
        <is>
          <t>NOPAT</t>
        </is>
      </c>
      <c r="C17" s="13">
        <f>C14+C16</f>
        <v/>
      </c>
      <c r="D17" s="13">
        <f>D14+D16</f>
        <v/>
      </c>
      <c r="E17" s="13">
        <f>E14+E16</f>
        <v/>
      </c>
      <c r="F17" s="13">
        <f>F14+F16</f>
        <v/>
      </c>
      <c r="G17" s="13">
        <f>G14+G16</f>
        <v/>
      </c>
      <c r="H17" s="13">
        <f>H14+H16</f>
        <v/>
      </c>
      <c r="I17" s="13">
        <f>I14+I16</f>
        <v/>
      </c>
      <c r="J17" s="13">
        <f>J14+J16</f>
        <v/>
      </c>
      <c r="K17" s="13">
        <f>K14+K16</f>
        <v/>
      </c>
      <c r="L17" s="13">
        <f>L14+L16</f>
        <v/>
      </c>
    </row>
    <row r="18">
      <c r="A18" t="inlineStr">
        <is>
          <t>Add back D&amp;A</t>
        </is>
      </c>
      <c r="C18" s="13">
        <f>-C13</f>
        <v/>
      </c>
      <c r="D18" s="13">
        <f>-D13</f>
        <v/>
      </c>
      <c r="E18" s="13">
        <f>-E13</f>
        <v/>
      </c>
      <c r="F18" s="13">
        <f>-F13</f>
        <v/>
      </c>
      <c r="G18" s="13">
        <f>-G13</f>
        <v/>
      </c>
      <c r="H18" s="13">
        <f>-H13</f>
        <v/>
      </c>
      <c r="I18" s="13">
        <f>-I13</f>
        <v/>
      </c>
      <c r="J18" s="13">
        <f>-J13</f>
        <v/>
      </c>
      <c r="K18" s="13">
        <f>-K13</f>
        <v/>
      </c>
      <c r="L18" s="13">
        <f>-L13</f>
        <v/>
      </c>
    </row>
    <row r="19">
      <c r="A19" t="inlineStr">
        <is>
          <t>Less capex</t>
        </is>
      </c>
      <c r="C19" s="15">
        <f>-C6*Assumptions!$C$20</f>
        <v/>
      </c>
      <c r="D19" s="15">
        <f>-D6*Assumptions!$C$20</f>
        <v/>
      </c>
      <c r="E19" s="15">
        <f>-E6*Assumptions!$C$20</f>
        <v/>
      </c>
      <c r="F19" s="15">
        <f>-F6*Assumptions!$C$20</f>
        <v/>
      </c>
      <c r="G19" s="15">
        <f>-G6*Assumptions!$C$20</f>
        <v/>
      </c>
      <c r="H19" s="15">
        <f>-H6*Assumptions!$C$20</f>
        <v/>
      </c>
      <c r="I19" s="15">
        <f>-I6*Assumptions!$C$20</f>
        <v/>
      </c>
      <c r="J19" s="15">
        <f>-J6*Assumptions!$C$20</f>
        <v/>
      </c>
      <c r="K19" s="15">
        <f>-K6*Assumptions!$C$20</f>
        <v/>
      </c>
      <c r="L19" s="15">
        <f>-L6*Assumptions!$C$20</f>
        <v/>
      </c>
    </row>
    <row r="20">
      <c r="A20" t="inlineStr">
        <is>
          <t>Working capital (on revenue change)</t>
        </is>
      </c>
      <c r="C20" s="15">
        <f>Assumptions!$B$5*(C6-B6)</f>
        <v/>
      </c>
      <c r="D20" s="15">
        <f>Assumptions!$B$5*(D6-C6)</f>
        <v/>
      </c>
      <c r="E20" s="15">
        <f>Assumptions!$B$5*(E6-D6)</f>
        <v/>
      </c>
      <c r="F20" s="15">
        <f>Assumptions!$B$5*(F6-E6)</f>
        <v/>
      </c>
      <c r="G20" s="15">
        <f>Assumptions!$B$5*(G6-F6)</f>
        <v/>
      </c>
      <c r="H20" s="15">
        <f>Assumptions!$B$5*(H6-G6)</f>
        <v/>
      </c>
      <c r="I20" s="15">
        <f>Assumptions!$B$5*(I6-H6)</f>
        <v/>
      </c>
      <c r="J20" s="15">
        <f>Assumptions!$B$5*(J6-I6)</f>
        <v/>
      </c>
      <c r="K20" s="15">
        <f>Assumptions!$B$5*(K6-J6)</f>
        <v/>
      </c>
      <c r="L20" s="15">
        <f>Assumptions!$B$5*(L6-K6)</f>
        <v/>
      </c>
    </row>
    <row r="21">
      <c r="A21" s="1" t="inlineStr">
        <is>
          <t>Unlevered owner FCF</t>
        </is>
      </c>
      <c r="C21" s="16">
        <f>C17+C18+C19+C20</f>
        <v/>
      </c>
      <c r="D21" s="16">
        <f>D17+D18+D19+D20</f>
        <v/>
      </c>
      <c r="E21" s="16">
        <f>E17+E18+E19+E20</f>
        <v/>
      </c>
      <c r="F21" s="16">
        <f>F17+F18+F19+F20</f>
        <v/>
      </c>
      <c r="G21" s="16">
        <f>G17+G18+G19+G20</f>
        <v/>
      </c>
      <c r="H21" s="16">
        <f>H17+H18+H19+H20</f>
        <v/>
      </c>
      <c r="I21" s="16">
        <f>I17+I18+I19+I20</f>
        <v/>
      </c>
      <c r="J21" s="16">
        <f>J17+J18+J19+J20</f>
        <v/>
      </c>
      <c r="K21" s="16">
        <f>K17+K18+K19+K20</f>
        <v/>
      </c>
      <c r="L21" s="16">
        <f>L17+L18+L19+L20</f>
        <v/>
      </c>
    </row>
    <row r="22">
      <c r="A22" t="inlineStr">
        <is>
          <t>Discount factor</t>
        </is>
      </c>
      <c r="C22" s="17">
        <f>1/(1+Assumptions!$B$3)^C4</f>
        <v/>
      </c>
      <c r="D22" s="17">
        <f>1/(1+Assumptions!$B$3)^D4</f>
        <v/>
      </c>
      <c r="E22" s="17">
        <f>1/(1+Assumptions!$B$3)^E4</f>
        <v/>
      </c>
      <c r="F22" s="17">
        <f>1/(1+Assumptions!$B$3)^F4</f>
        <v/>
      </c>
      <c r="G22" s="17">
        <f>1/(1+Assumptions!$B$3)^G4</f>
        <v/>
      </c>
      <c r="H22" s="17">
        <f>1/(1+Assumptions!$B$3)^H4</f>
        <v/>
      </c>
      <c r="I22" s="17">
        <f>1/(1+Assumptions!$B$3)^I4</f>
        <v/>
      </c>
      <c r="J22" s="17">
        <f>1/(1+Assumptions!$B$3)^J4</f>
        <v/>
      </c>
      <c r="K22" s="17">
        <f>1/(1+Assumptions!$B$3)^K4</f>
        <v/>
      </c>
      <c r="L22" s="17">
        <f>1/(1+Assumptions!$B$3)^L4</f>
        <v/>
      </c>
    </row>
    <row r="23">
      <c r="A23" t="inlineStr">
        <is>
          <t>PV of FCF</t>
        </is>
      </c>
      <c r="C23" s="13">
        <f>C21*C22</f>
        <v/>
      </c>
      <c r="D23" s="13">
        <f>D21*D22</f>
        <v/>
      </c>
      <c r="E23" s="13">
        <f>E21*E22</f>
        <v/>
      </c>
      <c r="F23" s="13">
        <f>F21*F22</f>
        <v/>
      </c>
      <c r="G23" s="13">
        <f>G21*G22</f>
        <v/>
      </c>
      <c r="H23" s="13">
        <f>H21*H22</f>
        <v/>
      </c>
      <c r="I23" s="13">
        <f>I21*I22</f>
        <v/>
      </c>
      <c r="J23" s="13">
        <f>J21*J22</f>
        <v/>
      </c>
      <c r="K23" s="13">
        <f>K21*K22</f>
        <v/>
      </c>
      <c r="L23" s="13">
        <f>L21*L22</f>
        <v/>
      </c>
    </row>
    <row r="25">
      <c r="A25" t="inlineStr">
        <is>
          <t>Memo: FCF before SBC (company-style)</t>
        </is>
      </c>
      <c r="C25" s="13">
        <f>C21-C10</f>
        <v/>
      </c>
      <c r="D25" s="13">
        <f>D21-D10</f>
        <v/>
      </c>
      <c r="E25" s="13">
        <f>E21-E10</f>
        <v/>
      </c>
      <c r="F25" s="13">
        <f>F21-F10</f>
        <v/>
      </c>
      <c r="G25" s="13">
        <f>G21-G10</f>
        <v/>
      </c>
      <c r="H25" s="13">
        <f>H21-H10</f>
        <v/>
      </c>
      <c r="I25" s="13">
        <f>I21-I10</f>
        <v/>
      </c>
      <c r="J25" s="13">
        <f>J21-J10</f>
        <v/>
      </c>
      <c r="K25" s="13">
        <f>K21-K10</f>
        <v/>
      </c>
      <c r="L25" s="13">
        <f>L21-L10</f>
        <v/>
      </c>
    </row>
    <row r="26">
      <c r="A26" t="inlineStr">
        <is>
          <t>Memo: owner-FCF margin</t>
        </is>
      </c>
      <c r="C26" s="11">
        <f>C21/C6</f>
        <v/>
      </c>
      <c r="D26" s="11">
        <f>D21/D6</f>
        <v/>
      </c>
      <c r="E26" s="11">
        <f>E21/E6</f>
        <v/>
      </c>
      <c r="F26" s="11">
        <f>F21/F6</f>
        <v/>
      </c>
      <c r="G26" s="11">
        <f>G21/G6</f>
        <v/>
      </c>
      <c r="H26" s="11">
        <f>H21/H6</f>
        <v/>
      </c>
      <c r="I26" s="11">
        <f>I21/I6</f>
        <v/>
      </c>
      <c r="J26" s="11">
        <f>J21/J6</f>
        <v/>
      </c>
      <c r="K26" s="11">
        <f>K21/K6</f>
        <v/>
      </c>
      <c r="L26" s="11">
        <f>L21/L6</f>
        <v/>
      </c>
    </row>
    <row r="28">
      <c r="A28" t="inlineStr">
        <is>
          <t>Sum of PV of FCF</t>
        </is>
      </c>
      <c r="B28" s="13">
        <f>SUM(C23:L23)</f>
        <v/>
      </c>
    </row>
    <row r="29">
      <c r="A29" t="inlineStr">
        <is>
          <t>Terminal growth</t>
        </is>
      </c>
      <c r="B29" s="18">
        <f>Assumptions!C18</f>
        <v/>
      </c>
    </row>
    <row r="30">
      <c r="A30" t="inlineStr">
        <is>
          <t>Terminal-year FCF x (1+g)</t>
        </is>
      </c>
      <c r="B30" s="13">
        <f>L21*(1+B29)</f>
        <v/>
      </c>
    </row>
    <row r="31">
      <c r="A31" t="inlineStr">
        <is>
          <t>Gordon TV</t>
        </is>
      </c>
      <c r="B31" s="13">
        <f>IF(Assumptions!B3&gt;B29,B30/(Assumptions!B3-B29),"n/a")</f>
        <v/>
      </c>
    </row>
    <row r="32">
      <c r="A32" t="inlineStr">
        <is>
          <t>Cap TV (cap x FCF_10)</t>
        </is>
      </c>
      <c r="B32" s="13">
        <f>Assumptions!B11*L21</f>
        <v/>
      </c>
    </row>
    <row r="33">
      <c r="A33" t="inlineStr">
        <is>
          <t>TV used = MAX(0, MIN(Gordon, cap))</t>
        </is>
      </c>
      <c r="B33" s="13">
        <f>MAX(0,MIN(B31,B32))</f>
        <v/>
      </c>
    </row>
    <row r="34">
      <c r="A34" t="inlineStr">
        <is>
          <t>Implied exit multiple (TV / FCF_10)</t>
        </is>
      </c>
      <c r="B34" s="19">
        <f>IF(L21&lt;&gt;0,B33/L21,"n/a")</f>
        <v/>
      </c>
    </row>
    <row r="35">
      <c r="A35" t="inlineStr">
        <is>
          <t>PV of TV</t>
        </is>
      </c>
      <c r="B35" s="13">
        <f>B33*L22</f>
        <v/>
      </c>
    </row>
    <row r="36">
      <c r="A36" t="inlineStr">
        <is>
          <t>Enterprise value</t>
        </is>
      </c>
      <c r="B36" s="13">
        <f>B28+B35</f>
        <v/>
      </c>
    </row>
    <row r="37">
      <c r="A37" t="inlineStr">
        <is>
          <t>Less net debt</t>
        </is>
      </c>
      <c r="B37" s="15">
        <f>-Assumptions!B6</f>
        <v/>
      </c>
    </row>
    <row r="38">
      <c r="A38" t="inlineStr">
        <is>
          <t>Less NCI</t>
        </is>
      </c>
      <c r="B38" s="15">
        <f>-Assumptions!B7</f>
        <v/>
      </c>
    </row>
    <row r="39">
      <c r="A39" t="inlineStr">
        <is>
          <t>Equity value</t>
        </is>
      </c>
      <c r="B39" s="13">
        <f>B36+B37+B38</f>
        <v/>
      </c>
    </row>
    <row r="40">
      <c r="A40" t="inlineStr">
        <is>
          <t>Fully diluted shares (m)</t>
        </is>
      </c>
      <c r="B40" s="15">
        <f>Assumptions!B8</f>
        <v/>
      </c>
    </row>
    <row r="41">
      <c r="A41" t="inlineStr">
        <is>
          <t>Value per share, USD</t>
        </is>
      </c>
      <c r="B41" s="20">
        <f>B39/B40</f>
        <v/>
      </c>
    </row>
    <row r="42">
      <c r="A42" t="inlineStr">
        <is>
          <t>Value per share, AUD</t>
        </is>
      </c>
      <c r="B42" s="21">
        <f>B41/Assumptions!B10</f>
        <v/>
      </c>
    </row>
    <row r="43">
      <c r="A43" t="inlineStr">
        <is>
          <t>Upside vs price</t>
        </is>
      </c>
      <c r="B43" s="11">
        <f>B42/Assumptions!B9-1</f>
        <v/>
      </c>
    </row>
    <row r="45">
      <c r="A45" t="inlineStr">
        <is>
          <t>Street memo: PV of explicit SBC</t>
        </is>
      </c>
      <c r="B45" s="13">
        <f>-NPV(Assumptions!B3,C10:L10)</f>
        <v/>
      </c>
    </row>
    <row r="46">
      <c r="A46" t="inlineStr">
        <is>
          <t>Street memo: PV of terminal SBC</t>
        </is>
      </c>
      <c r="B46" s="13">
        <f>IF(Assumptions!B3&gt;B29,-L10*(1+B29)/(Assumptions!B3-B29)*L22,0)</f>
        <v/>
      </c>
    </row>
    <row r="47">
      <c r="A47" t="inlineStr">
        <is>
          <t>Street value per share, AUD</t>
        </is>
      </c>
      <c r="B47" s="20">
        <f>(B39+B45+B46)/B40/Assumptions!B10</f>
        <v/>
      </c>
    </row>
    <row r="48">
      <c r="A48" t="inlineStr">
        <is>
          <t>Terminal % of EV</t>
        </is>
      </c>
      <c r="B48" s="11">
        <f>B35/B36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ANN.AX owner-FCF DCF -- BASE scenario (USD millions)</t>
        </is>
      </c>
    </row>
    <row r="3">
      <c r="A3" t="inlineStr">
        <is>
          <t>Year</t>
        </is>
      </c>
      <c r="B3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6" t="n">
        <v>0.05</v>
      </c>
      <c r="D5" s="6" t="n">
        <v>0.045</v>
      </c>
      <c r="E5" s="6" t="n">
        <v>0.04</v>
      </c>
      <c r="F5" s="6" t="n">
        <v>0.035</v>
      </c>
      <c r="G5" s="6" t="n">
        <v>0.03</v>
      </c>
      <c r="H5" s="6" t="n">
        <v>0.03</v>
      </c>
      <c r="I5" s="6" t="n">
        <v>0.03</v>
      </c>
      <c r="J5" s="6" t="n">
        <v>0.03</v>
      </c>
      <c r="K5" s="6" t="n">
        <v>0.025</v>
      </c>
      <c r="L5" s="6" t="n">
        <v>0.025</v>
      </c>
    </row>
    <row r="6">
      <c r="A6" t="inlineStr">
        <is>
          <t>Revenue</t>
        </is>
      </c>
      <c r="B6" s="12">
        <f>Assumptions!$B$14</f>
        <v/>
      </c>
      <c r="C6" s="13">
        <f>B6*(1+C5)</f>
        <v/>
      </c>
      <c r="D6" s="13">
        <f>C6*(1+D5)</f>
        <v/>
      </c>
      <c r="E6" s="13">
        <f>D6*(1+E5)</f>
        <v/>
      </c>
      <c r="F6" s="13">
        <f>E6*(1+F5)</f>
        <v/>
      </c>
      <c r="G6" s="13">
        <f>F6*(1+G5)</f>
        <v/>
      </c>
      <c r="H6" s="13">
        <f>G6*(1+H5)</f>
        <v/>
      </c>
      <c r="I6" s="13">
        <f>H6*(1+I5)</f>
        <v/>
      </c>
      <c r="J6" s="13">
        <f>I6*(1+J5)</f>
        <v/>
      </c>
      <c r="K6" s="13">
        <f>J6*(1+K5)</f>
        <v/>
      </c>
      <c r="L6" s="13">
        <f>K6*(1+L5)</f>
        <v/>
      </c>
    </row>
    <row r="7">
      <c r="A7" t="inlineStr">
        <is>
          <t>Adj EBITDA margin (post-IFRS16)</t>
        </is>
      </c>
      <c r="C7" s="6" t="n">
        <v>0.189</v>
      </c>
      <c r="D7" s="6" t="n">
        <v>0.19</v>
      </c>
      <c r="E7" s="6" t="n">
        <v>0.191</v>
      </c>
      <c r="F7" s="6" t="n">
        <v>0.192</v>
      </c>
      <c r="G7" s="6" t="n">
        <v>0.192</v>
      </c>
      <c r="H7" s="6" t="n">
        <v>0.192</v>
      </c>
      <c r="I7" s="6" t="n">
        <v>0.192</v>
      </c>
      <c r="J7" s="6" t="n">
        <v>0.192</v>
      </c>
      <c r="K7" s="6" t="n">
        <v>0.192</v>
      </c>
      <c r="L7" s="6" t="n">
        <v>0.192</v>
      </c>
    </row>
    <row r="8">
      <c r="A8" t="inlineStr">
        <is>
          <t>Adjusted EBITDA</t>
        </is>
      </c>
      <c r="C8" s="13">
        <f>C6*C7</f>
        <v/>
      </c>
      <c r="D8" s="13">
        <f>D6*D7</f>
        <v/>
      </c>
      <c r="E8" s="13">
        <f>E6*E7</f>
        <v/>
      </c>
      <c r="F8" s="13">
        <f>F6*F7</f>
        <v/>
      </c>
      <c r="G8" s="13">
        <f>G6*G7</f>
        <v/>
      </c>
      <c r="H8" s="13">
        <f>H6*H7</f>
        <v/>
      </c>
      <c r="I8" s="13">
        <f>I6*I7</f>
        <v/>
      </c>
      <c r="J8" s="13">
        <f>J6*J7</f>
        <v/>
      </c>
      <c r="K8" s="13">
        <f>K6*K7</f>
        <v/>
      </c>
      <c r="L8" s="13">
        <f>L6*L7</f>
        <v/>
      </c>
    </row>
    <row r="9">
      <c r="A9" t="inlineStr">
        <is>
          <t>SBC % of revenue</t>
        </is>
      </c>
      <c r="C9" s="14" t="n">
        <v>0.005500000000000001</v>
      </c>
      <c r="D9" s="14" t="n">
        <v>0.005500000000000001</v>
      </c>
      <c r="E9" s="14" t="n">
        <v>0.005500000000000001</v>
      </c>
      <c r="F9" s="14" t="n">
        <v>0.005500000000000001</v>
      </c>
      <c r="G9" s="14" t="n">
        <v>0.005500000000000001</v>
      </c>
      <c r="H9" s="14" t="n">
        <v>0.005500000000000001</v>
      </c>
      <c r="I9" s="14" t="n">
        <v>0.005500000000000001</v>
      </c>
      <c r="J9" s="14" t="n">
        <v>0.005500000000000001</v>
      </c>
      <c r="K9" s="14" t="n">
        <v>0.005500000000000001</v>
      </c>
      <c r="L9" s="14" t="n">
        <v>0.005500000000000001</v>
      </c>
    </row>
    <row r="10">
      <c r="A10" t="inlineStr">
        <is>
          <t>SBC (expensed)</t>
        </is>
      </c>
      <c r="C10" s="13">
        <f>-C6*C9</f>
        <v/>
      </c>
      <c r="D10" s="13">
        <f>-D6*D9</f>
        <v/>
      </c>
      <c r="E10" s="13">
        <f>-E6*E9</f>
        <v/>
      </c>
      <c r="F10" s="13">
        <f>-F6*F9</f>
        <v/>
      </c>
      <c r="G10" s="13">
        <f>-G6*G9</f>
        <v/>
      </c>
      <c r="H10" s="13">
        <f>-H6*H9</f>
        <v/>
      </c>
      <c r="I10" s="13">
        <f>-I6*I9</f>
        <v/>
      </c>
      <c r="J10" s="13">
        <f>-J6*J9</f>
        <v/>
      </c>
      <c r="K10" s="13">
        <f>-K6*K9</f>
        <v/>
      </c>
      <c r="L10" s="13">
        <f>-L6*L9</f>
        <v/>
      </c>
    </row>
    <row r="11">
      <c r="A11" t="inlineStr">
        <is>
          <t>Lease cost (principal + interest)</t>
        </is>
      </c>
      <c r="C11" s="15">
        <f>-C6*Assumptions!$B$13</f>
        <v/>
      </c>
      <c r="D11" s="15">
        <f>-D6*Assumptions!$B$13</f>
        <v/>
      </c>
      <c r="E11" s="15">
        <f>-E6*Assumptions!$B$13</f>
        <v/>
      </c>
      <c r="F11" s="15">
        <f>-F6*Assumptions!$B$13</f>
        <v/>
      </c>
      <c r="G11" s="15">
        <f>-G6*Assumptions!$B$13</f>
        <v/>
      </c>
      <c r="H11" s="15">
        <f>-H6*Assumptions!$B$13</f>
        <v/>
      </c>
      <c r="I11" s="15">
        <f>-I6*Assumptions!$B$13</f>
        <v/>
      </c>
      <c r="J11" s="15">
        <f>-J6*Assumptions!$B$13</f>
        <v/>
      </c>
      <c r="K11" s="15">
        <f>-K6*Assumptions!$B$13</f>
        <v/>
      </c>
      <c r="L11" s="15">
        <f>-L6*Assumptions!$B$13</f>
        <v/>
      </c>
    </row>
    <row r="12">
      <c r="A12" t="inlineStr">
        <is>
          <t>Owner EBITDA</t>
        </is>
      </c>
      <c r="C12" s="13">
        <f>C8+C10+C11</f>
        <v/>
      </c>
      <c r="D12" s="13">
        <f>D8+D10+D11</f>
        <v/>
      </c>
      <c r="E12" s="13">
        <f>E8+E10+E11</f>
        <v/>
      </c>
      <c r="F12" s="13">
        <f>F8+F10+F11</f>
        <v/>
      </c>
      <c r="G12" s="13">
        <f>G8+G10+G11</f>
        <v/>
      </c>
      <c r="H12" s="13">
        <f>H8+H10+H11</f>
        <v/>
      </c>
      <c r="I12" s="13">
        <f>I8+I10+I11</f>
        <v/>
      </c>
      <c r="J12" s="13">
        <f>J8+J10+J11</f>
        <v/>
      </c>
      <c r="K12" s="13">
        <f>K8+K10+K11</f>
        <v/>
      </c>
      <c r="L12" s="13">
        <f>L8+L10+L11</f>
        <v/>
      </c>
    </row>
    <row r="13">
      <c r="A13" t="inlineStr">
        <is>
          <t>D&amp;A ex-ROU</t>
        </is>
      </c>
      <c r="C13" s="15">
        <f>-C6*Assumptions!$B$4</f>
        <v/>
      </c>
      <c r="D13" s="15">
        <f>-D6*Assumptions!$B$4</f>
        <v/>
      </c>
      <c r="E13" s="15">
        <f>-E6*Assumptions!$B$4</f>
        <v/>
      </c>
      <c r="F13" s="15">
        <f>-F6*Assumptions!$B$4</f>
        <v/>
      </c>
      <c r="G13" s="15">
        <f>-G6*Assumptions!$B$4</f>
        <v/>
      </c>
      <c r="H13" s="15">
        <f>-H6*Assumptions!$B$4</f>
        <v/>
      </c>
      <c r="I13" s="15">
        <f>-I6*Assumptions!$B$4</f>
        <v/>
      </c>
      <c r="J13" s="15">
        <f>-J6*Assumptions!$B$4</f>
        <v/>
      </c>
      <c r="K13" s="15">
        <f>-K6*Assumptions!$B$4</f>
        <v/>
      </c>
      <c r="L13" s="15">
        <f>-L6*Assumptions!$B$4</f>
        <v/>
      </c>
    </row>
    <row r="14">
      <c r="A14" t="inlineStr">
        <is>
          <t>EBIT (SBC and leases expensed)</t>
        </is>
      </c>
      <c r="C14" s="13">
        <f>C12+C13</f>
        <v/>
      </c>
      <c r="D14" s="13">
        <f>D12+D13</f>
        <v/>
      </c>
      <c r="E14" s="13">
        <f>E12+E13</f>
        <v/>
      </c>
      <c r="F14" s="13">
        <f>F12+F13</f>
        <v/>
      </c>
      <c r="G14" s="13">
        <f>G12+G13</f>
        <v/>
      </c>
      <c r="H14" s="13">
        <f>H12+H13</f>
        <v/>
      </c>
      <c r="I14" s="13">
        <f>I12+I13</f>
        <v/>
      </c>
      <c r="J14" s="13">
        <f>J12+J13</f>
        <v/>
      </c>
      <c r="K14" s="13">
        <f>K12+K13</f>
        <v/>
      </c>
      <c r="L14" s="13">
        <f>L12+L13</f>
        <v/>
      </c>
    </row>
    <row r="15">
      <c r="A15" t="inlineStr">
        <is>
          <t>Cash tax rate</t>
        </is>
      </c>
      <c r="C15" s="6" t="n">
        <v>0.24</v>
      </c>
      <c r="D15" s="6" t="n">
        <v>0.24</v>
      </c>
      <c r="E15" s="6" t="n">
        <v>0.24</v>
      </c>
      <c r="F15" s="6" t="n">
        <v>0.24</v>
      </c>
      <c r="G15" s="6" t="n">
        <v>0.24</v>
      </c>
      <c r="H15" s="6" t="n">
        <v>0.24</v>
      </c>
      <c r="I15" s="6" t="n">
        <v>0.24</v>
      </c>
      <c r="J15" s="6" t="n">
        <v>0.24</v>
      </c>
      <c r="K15" s="6" t="n">
        <v>0.24</v>
      </c>
      <c r="L15" s="6" t="n">
        <v>0.24</v>
      </c>
    </row>
    <row r="16">
      <c r="A16" t="inlineStr">
        <is>
          <t>Cash tax on max(0, EBIT)</t>
        </is>
      </c>
      <c r="C16" s="13">
        <f>-MAX(0,C14)*C15</f>
        <v/>
      </c>
      <c r="D16" s="13">
        <f>-MAX(0,D14)*D15</f>
        <v/>
      </c>
      <c r="E16" s="13">
        <f>-MAX(0,E14)*E15</f>
        <v/>
      </c>
      <c r="F16" s="13">
        <f>-MAX(0,F14)*F15</f>
        <v/>
      </c>
      <c r="G16" s="13">
        <f>-MAX(0,G14)*G15</f>
        <v/>
      </c>
      <c r="H16" s="13">
        <f>-MAX(0,H14)*H15</f>
        <v/>
      </c>
      <c r="I16" s="13">
        <f>-MAX(0,I14)*I15</f>
        <v/>
      </c>
      <c r="J16" s="13">
        <f>-MAX(0,J14)*J15</f>
        <v/>
      </c>
      <c r="K16" s="13">
        <f>-MAX(0,K14)*K15</f>
        <v/>
      </c>
      <c r="L16" s="13">
        <f>-MAX(0,L14)*L15</f>
        <v/>
      </c>
    </row>
    <row r="17">
      <c r="A17" t="inlineStr">
        <is>
          <t>NOPAT</t>
        </is>
      </c>
      <c r="C17" s="13">
        <f>C14+C16</f>
        <v/>
      </c>
      <c r="D17" s="13">
        <f>D14+D16</f>
        <v/>
      </c>
      <c r="E17" s="13">
        <f>E14+E16</f>
        <v/>
      </c>
      <c r="F17" s="13">
        <f>F14+F16</f>
        <v/>
      </c>
      <c r="G17" s="13">
        <f>G14+G16</f>
        <v/>
      </c>
      <c r="H17" s="13">
        <f>H14+H16</f>
        <v/>
      </c>
      <c r="I17" s="13">
        <f>I14+I16</f>
        <v/>
      </c>
      <c r="J17" s="13">
        <f>J14+J16</f>
        <v/>
      </c>
      <c r="K17" s="13">
        <f>K14+K16</f>
        <v/>
      </c>
      <c r="L17" s="13">
        <f>L14+L16</f>
        <v/>
      </c>
    </row>
    <row r="18">
      <c r="A18" t="inlineStr">
        <is>
          <t>Add back D&amp;A</t>
        </is>
      </c>
      <c r="C18" s="13">
        <f>-C13</f>
        <v/>
      </c>
      <c r="D18" s="13">
        <f>-D13</f>
        <v/>
      </c>
      <c r="E18" s="13">
        <f>-E13</f>
        <v/>
      </c>
      <c r="F18" s="13">
        <f>-F13</f>
        <v/>
      </c>
      <c r="G18" s="13">
        <f>-G13</f>
        <v/>
      </c>
      <c r="H18" s="13">
        <f>-H13</f>
        <v/>
      </c>
      <c r="I18" s="13">
        <f>-I13</f>
        <v/>
      </c>
      <c r="J18" s="13">
        <f>-J13</f>
        <v/>
      </c>
      <c r="K18" s="13">
        <f>-K13</f>
        <v/>
      </c>
      <c r="L18" s="13">
        <f>-L13</f>
        <v/>
      </c>
    </row>
    <row r="19">
      <c r="A19" t="inlineStr">
        <is>
          <t>Less capex</t>
        </is>
      </c>
      <c r="C19" s="15">
        <f>-C6*Assumptions!$D$20</f>
        <v/>
      </c>
      <c r="D19" s="15">
        <f>-D6*Assumptions!$D$20</f>
        <v/>
      </c>
      <c r="E19" s="15">
        <f>-E6*Assumptions!$D$20</f>
        <v/>
      </c>
      <c r="F19" s="15">
        <f>-F6*Assumptions!$D$20</f>
        <v/>
      </c>
      <c r="G19" s="15">
        <f>-G6*Assumptions!$D$20</f>
        <v/>
      </c>
      <c r="H19" s="15">
        <f>-H6*Assumptions!$D$20</f>
        <v/>
      </c>
      <c r="I19" s="15">
        <f>-I6*Assumptions!$D$20</f>
        <v/>
      </c>
      <c r="J19" s="15">
        <f>-J6*Assumptions!$D$20</f>
        <v/>
      </c>
      <c r="K19" s="15">
        <f>-K6*Assumptions!$D$20</f>
        <v/>
      </c>
      <c r="L19" s="15">
        <f>-L6*Assumptions!$D$20</f>
        <v/>
      </c>
    </row>
    <row r="20">
      <c r="A20" t="inlineStr">
        <is>
          <t>Working capital (on revenue change)</t>
        </is>
      </c>
      <c r="C20" s="15">
        <f>Assumptions!$B$5*(C6-B6)</f>
        <v/>
      </c>
      <c r="D20" s="15">
        <f>Assumptions!$B$5*(D6-C6)</f>
        <v/>
      </c>
      <c r="E20" s="15">
        <f>Assumptions!$B$5*(E6-D6)</f>
        <v/>
      </c>
      <c r="F20" s="15">
        <f>Assumptions!$B$5*(F6-E6)</f>
        <v/>
      </c>
      <c r="G20" s="15">
        <f>Assumptions!$B$5*(G6-F6)</f>
        <v/>
      </c>
      <c r="H20" s="15">
        <f>Assumptions!$B$5*(H6-G6)</f>
        <v/>
      </c>
      <c r="I20" s="15">
        <f>Assumptions!$B$5*(I6-H6)</f>
        <v/>
      </c>
      <c r="J20" s="15">
        <f>Assumptions!$B$5*(J6-I6)</f>
        <v/>
      </c>
      <c r="K20" s="15">
        <f>Assumptions!$B$5*(K6-J6)</f>
        <v/>
      </c>
      <c r="L20" s="15">
        <f>Assumptions!$B$5*(L6-K6)</f>
        <v/>
      </c>
    </row>
    <row r="21">
      <c r="A21" s="1" t="inlineStr">
        <is>
          <t>Unlevered owner FCF</t>
        </is>
      </c>
      <c r="C21" s="16">
        <f>C17+C18+C19+C20</f>
        <v/>
      </c>
      <c r="D21" s="16">
        <f>D17+D18+D19+D20</f>
        <v/>
      </c>
      <c r="E21" s="16">
        <f>E17+E18+E19+E20</f>
        <v/>
      </c>
      <c r="F21" s="16">
        <f>F17+F18+F19+F20</f>
        <v/>
      </c>
      <c r="G21" s="16">
        <f>G17+G18+G19+G20</f>
        <v/>
      </c>
      <c r="H21" s="16">
        <f>H17+H18+H19+H20</f>
        <v/>
      </c>
      <c r="I21" s="16">
        <f>I17+I18+I19+I20</f>
        <v/>
      </c>
      <c r="J21" s="16">
        <f>J17+J18+J19+J20</f>
        <v/>
      </c>
      <c r="K21" s="16">
        <f>K17+K18+K19+K20</f>
        <v/>
      </c>
      <c r="L21" s="16">
        <f>L17+L18+L19+L20</f>
        <v/>
      </c>
    </row>
    <row r="22">
      <c r="A22" t="inlineStr">
        <is>
          <t>Discount factor</t>
        </is>
      </c>
      <c r="C22" s="17">
        <f>1/(1+Assumptions!$B$3)^C4</f>
        <v/>
      </c>
      <c r="D22" s="17">
        <f>1/(1+Assumptions!$B$3)^D4</f>
        <v/>
      </c>
      <c r="E22" s="17">
        <f>1/(1+Assumptions!$B$3)^E4</f>
        <v/>
      </c>
      <c r="F22" s="17">
        <f>1/(1+Assumptions!$B$3)^F4</f>
        <v/>
      </c>
      <c r="G22" s="17">
        <f>1/(1+Assumptions!$B$3)^G4</f>
        <v/>
      </c>
      <c r="H22" s="17">
        <f>1/(1+Assumptions!$B$3)^H4</f>
        <v/>
      </c>
      <c r="I22" s="17">
        <f>1/(1+Assumptions!$B$3)^I4</f>
        <v/>
      </c>
      <c r="J22" s="17">
        <f>1/(1+Assumptions!$B$3)^J4</f>
        <v/>
      </c>
      <c r="K22" s="17">
        <f>1/(1+Assumptions!$B$3)^K4</f>
        <v/>
      </c>
      <c r="L22" s="17">
        <f>1/(1+Assumptions!$B$3)^L4</f>
        <v/>
      </c>
    </row>
    <row r="23">
      <c r="A23" t="inlineStr">
        <is>
          <t>PV of FCF</t>
        </is>
      </c>
      <c r="C23" s="13">
        <f>C21*C22</f>
        <v/>
      </c>
      <c r="D23" s="13">
        <f>D21*D22</f>
        <v/>
      </c>
      <c r="E23" s="13">
        <f>E21*E22</f>
        <v/>
      </c>
      <c r="F23" s="13">
        <f>F21*F22</f>
        <v/>
      </c>
      <c r="G23" s="13">
        <f>G21*G22</f>
        <v/>
      </c>
      <c r="H23" s="13">
        <f>H21*H22</f>
        <v/>
      </c>
      <c r="I23" s="13">
        <f>I21*I22</f>
        <v/>
      </c>
      <c r="J23" s="13">
        <f>J21*J22</f>
        <v/>
      </c>
      <c r="K23" s="13">
        <f>K21*K22</f>
        <v/>
      </c>
      <c r="L23" s="13">
        <f>L21*L22</f>
        <v/>
      </c>
    </row>
    <row r="25">
      <c r="A25" t="inlineStr">
        <is>
          <t>Memo: FCF before SBC (company-style)</t>
        </is>
      </c>
      <c r="C25" s="13">
        <f>C21-C10</f>
        <v/>
      </c>
      <c r="D25" s="13">
        <f>D21-D10</f>
        <v/>
      </c>
      <c r="E25" s="13">
        <f>E21-E10</f>
        <v/>
      </c>
      <c r="F25" s="13">
        <f>F21-F10</f>
        <v/>
      </c>
      <c r="G25" s="13">
        <f>G21-G10</f>
        <v/>
      </c>
      <c r="H25" s="13">
        <f>H21-H10</f>
        <v/>
      </c>
      <c r="I25" s="13">
        <f>I21-I10</f>
        <v/>
      </c>
      <c r="J25" s="13">
        <f>J21-J10</f>
        <v/>
      </c>
      <c r="K25" s="13">
        <f>K21-K10</f>
        <v/>
      </c>
      <c r="L25" s="13">
        <f>L21-L10</f>
        <v/>
      </c>
    </row>
    <row r="26">
      <c r="A26" t="inlineStr">
        <is>
          <t>Memo: owner-FCF margin</t>
        </is>
      </c>
      <c r="C26" s="11">
        <f>C21/C6</f>
        <v/>
      </c>
      <c r="D26" s="11">
        <f>D21/D6</f>
        <v/>
      </c>
      <c r="E26" s="11">
        <f>E21/E6</f>
        <v/>
      </c>
      <c r="F26" s="11">
        <f>F21/F6</f>
        <v/>
      </c>
      <c r="G26" s="11">
        <f>G21/G6</f>
        <v/>
      </c>
      <c r="H26" s="11">
        <f>H21/H6</f>
        <v/>
      </c>
      <c r="I26" s="11">
        <f>I21/I6</f>
        <v/>
      </c>
      <c r="J26" s="11">
        <f>J21/J6</f>
        <v/>
      </c>
      <c r="K26" s="11">
        <f>K21/K6</f>
        <v/>
      </c>
      <c r="L26" s="11">
        <f>L21/L6</f>
        <v/>
      </c>
    </row>
    <row r="28">
      <c r="A28" t="inlineStr">
        <is>
          <t>Sum of PV of FCF</t>
        </is>
      </c>
      <c r="B28" s="13">
        <f>SUM(C23:L23)</f>
        <v/>
      </c>
    </row>
    <row r="29">
      <c r="A29" t="inlineStr">
        <is>
          <t>Terminal growth</t>
        </is>
      </c>
      <c r="B29" s="18">
        <f>Assumptions!D18</f>
        <v/>
      </c>
    </row>
    <row r="30">
      <c r="A30" t="inlineStr">
        <is>
          <t>Terminal-year FCF x (1+g)</t>
        </is>
      </c>
      <c r="B30" s="13">
        <f>L21*(1+B29)</f>
        <v/>
      </c>
    </row>
    <row r="31">
      <c r="A31" t="inlineStr">
        <is>
          <t>Gordon TV</t>
        </is>
      </c>
      <c r="B31" s="13">
        <f>IF(Assumptions!B3&gt;B29,B30/(Assumptions!B3-B29),"n/a")</f>
        <v/>
      </c>
    </row>
    <row r="32">
      <c r="A32" t="inlineStr">
        <is>
          <t>Cap TV (cap x FCF_10)</t>
        </is>
      </c>
      <c r="B32" s="13">
        <f>Assumptions!B11*L21</f>
        <v/>
      </c>
    </row>
    <row r="33">
      <c r="A33" t="inlineStr">
        <is>
          <t>TV used = MAX(0, MIN(Gordon, cap))</t>
        </is>
      </c>
      <c r="B33" s="13">
        <f>MAX(0,MIN(B31,B32))</f>
        <v/>
      </c>
    </row>
    <row r="34">
      <c r="A34" t="inlineStr">
        <is>
          <t>Implied exit multiple (TV / FCF_10)</t>
        </is>
      </c>
      <c r="B34" s="19">
        <f>IF(L21&lt;&gt;0,B33/L21,"n/a")</f>
        <v/>
      </c>
    </row>
    <row r="35">
      <c r="A35" t="inlineStr">
        <is>
          <t>PV of TV</t>
        </is>
      </c>
      <c r="B35" s="13">
        <f>B33*L22</f>
        <v/>
      </c>
    </row>
    <row r="36">
      <c r="A36" t="inlineStr">
        <is>
          <t>Enterprise value</t>
        </is>
      </c>
      <c r="B36" s="13">
        <f>B28+B35</f>
        <v/>
      </c>
    </row>
    <row r="37">
      <c r="A37" t="inlineStr">
        <is>
          <t>Less net debt</t>
        </is>
      </c>
      <c r="B37" s="15">
        <f>-Assumptions!B6</f>
        <v/>
      </c>
    </row>
    <row r="38">
      <c r="A38" t="inlineStr">
        <is>
          <t>Less NCI</t>
        </is>
      </c>
      <c r="B38" s="15">
        <f>-Assumptions!B7</f>
        <v/>
      </c>
    </row>
    <row r="39">
      <c r="A39" t="inlineStr">
        <is>
          <t>Equity value</t>
        </is>
      </c>
      <c r="B39" s="13">
        <f>B36+B37+B38</f>
        <v/>
      </c>
    </row>
    <row r="40">
      <c r="A40" t="inlineStr">
        <is>
          <t>Fully diluted shares (m)</t>
        </is>
      </c>
      <c r="B40" s="15">
        <f>Assumptions!B8</f>
        <v/>
      </c>
    </row>
    <row r="41">
      <c r="A41" t="inlineStr">
        <is>
          <t>Value per share, USD</t>
        </is>
      </c>
      <c r="B41" s="20">
        <f>B39/B40</f>
        <v/>
      </c>
    </row>
    <row r="42">
      <c r="A42" t="inlineStr">
        <is>
          <t>Value per share, AUD</t>
        </is>
      </c>
      <c r="B42" s="21">
        <f>B41/Assumptions!B10</f>
        <v/>
      </c>
    </row>
    <row r="43">
      <c r="A43" t="inlineStr">
        <is>
          <t>Upside vs price</t>
        </is>
      </c>
      <c r="B43" s="11">
        <f>B42/Assumptions!B9-1</f>
        <v/>
      </c>
    </row>
    <row r="45">
      <c r="A45" t="inlineStr">
        <is>
          <t>Street memo: PV of explicit SBC</t>
        </is>
      </c>
      <c r="B45" s="13">
        <f>-NPV(Assumptions!B3,C10:L10)</f>
        <v/>
      </c>
    </row>
    <row r="46">
      <c r="A46" t="inlineStr">
        <is>
          <t>Street memo: PV of terminal SBC</t>
        </is>
      </c>
      <c r="B46" s="13">
        <f>IF(Assumptions!B3&gt;B29,-L10*(1+B29)/(Assumptions!B3-B29)*L22,0)</f>
        <v/>
      </c>
    </row>
    <row r="47">
      <c r="A47" t="inlineStr">
        <is>
          <t>Street value per share, AUD</t>
        </is>
      </c>
      <c r="B47" s="20">
        <f>(B39+B45+B46)/B40/Assumptions!B10</f>
        <v/>
      </c>
    </row>
    <row r="48">
      <c r="A48" t="inlineStr">
        <is>
          <t>Terminal % of EV</t>
        </is>
      </c>
      <c r="B48" s="11">
        <f>B35/B36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ANN.AX owner-FCF DCF -- BULL scenario (USD millions)</t>
        </is>
      </c>
    </row>
    <row r="3">
      <c r="A3" t="inlineStr">
        <is>
          <t>Year</t>
        </is>
      </c>
      <c r="B3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6" t="n">
        <v>0.08</v>
      </c>
      <c r="D5" s="6" t="n">
        <v>0.07000000000000001</v>
      </c>
      <c r="E5" s="6" t="n">
        <v>0.06</v>
      </c>
      <c r="F5" s="6" t="n">
        <v>0.055</v>
      </c>
      <c r="G5" s="6" t="n">
        <v>0.05</v>
      </c>
      <c r="H5" s="6" t="n">
        <v>0.045</v>
      </c>
      <c r="I5" s="6" t="n">
        <v>0.04</v>
      </c>
      <c r="J5" s="6" t="n">
        <v>0.04</v>
      </c>
      <c r="K5" s="6" t="n">
        <v>0.035</v>
      </c>
      <c r="L5" s="6" t="n">
        <v>0.035</v>
      </c>
    </row>
    <row r="6">
      <c r="A6" t="inlineStr">
        <is>
          <t>Revenue</t>
        </is>
      </c>
      <c r="B6" s="12">
        <f>Assumptions!$B$14</f>
        <v/>
      </c>
      <c r="C6" s="13">
        <f>B6*(1+C5)</f>
        <v/>
      </c>
      <c r="D6" s="13">
        <f>C6*(1+D5)</f>
        <v/>
      </c>
      <c r="E6" s="13">
        <f>D6*(1+E5)</f>
        <v/>
      </c>
      <c r="F6" s="13">
        <f>E6*(1+F5)</f>
        <v/>
      </c>
      <c r="G6" s="13">
        <f>F6*(1+G5)</f>
        <v/>
      </c>
      <c r="H6" s="13">
        <f>G6*(1+H5)</f>
        <v/>
      </c>
      <c r="I6" s="13">
        <f>H6*(1+I5)</f>
        <v/>
      </c>
      <c r="J6" s="13">
        <f>I6*(1+J5)</f>
        <v/>
      </c>
      <c r="K6" s="13">
        <f>J6*(1+K5)</f>
        <v/>
      </c>
      <c r="L6" s="13">
        <f>K6*(1+L5)</f>
        <v/>
      </c>
    </row>
    <row r="7">
      <c r="A7" t="inlineStr">
        <is>
          <t>Adj EBITDA margin (post-IFRS16)</t>
        </is>
      </c>
      <c r="C7" s="6" t="n">
        <v>0.193</v>
      </c>
      <c r="D7" s="6" t="n">
        <v>0.198</v>
      </c>
      <c r="E7" s="6" t="n">
        <v>0.203</v>
      </c>
      <c r="F7" s="6" t="n">
        <v>0.207</v>
      </c>
      <c r="G7" s="6" t="n">
        <v>0.21</v>
      </c>
      <c r="H7" s="6" t="n">
        <v>0.21</v>
      </c>
      <c r="I7" s="6" t="n">
        <v>0.21</v>
      </c>
      <c r="J7" s="6" t="n">
        <v>0.21</v>
      </c>
      <c r="K7" s="6" t="n">
        <v>0.21</v>
      </c>
      <c r="L7" s="6" t="n">
        <v>0.21</v>
      </c>
    </row>
    <row r="8">
      <c r="A8" t="inlineStr">
        <is>
          <t>Adjusted EBITDA</t>
        </is>
      </c>
      <c r="C8" s="13">
        <f>C6*C7</f>
        <v/>
      </c>
      <c r="D8" s="13">
        <f>D6*D7</f>
        <v/>
      </c>
      <c r="E8" s="13">
        <f>E6*E7</f>
        <v/>
      </c>
      <c r="F8" s="13">
        <f>F6*F7</f>
        <v/>
      </c>
      <c r="G8" s="13">
        <f>G6*G7</f>
        <v/>
      </c>
      <c r="H8" s="13">
        <f>H6*H7</f>
        <v/>
      </c>
      <c r="I8" s="13">
        <f>I6*I7</f>
        <v/>
      </c>
      <c r="J8" s="13">
        <f>J6*J7</f>
        <v/>
      </c>
      <c r="K8" s="13">
        <f>K6*K7</f>
        <v/>
      </c>
      <c r="L8" s="13">
        <f>L6*L7</f>
        <v/>
      </c>
    </row>
    <row r="9">
      <c r="A9" t="inlineStr">
        <is>
          <t>SBC % of revenue</t>
        </is>
      </c>
      <c r="C9" s="14" t="n">
        <v>0.005500000000000001</v>
      </c>
      <c r="D9" s="14" t="n">
        <v>0.005500000000000001</v>
      </c>
      <c r="E9" s="14" t="n">
        <v>0.005500000000000001</v>
      </c>
      <c r="F9" s="14" t="n">
        <v>0.005500000000000001</v>
      </c>
      <c r="G9" s="14" t="n">
        <v>0.005500000000000001</v>
      </c>
      <c r="H9" s="14" t="n">
        <v>0.005500000000000001</v>
      </c>
      <c r="I9" s="14" t="n">
        <v>0.005500000000000001</v>
      </c>
      <c r="J9" s="14" t="n">
        <v>0.005500000000000001</v>
      </c>
      <c r="K9" s="14" t="n">
        <v>0.005500000000000001</v>
      </c>
      <c r="L9" s="14" t="n">
        <v>0.005500000000000001</v>
      </c>
    </row>
    <row r="10">
      <c r="A10" t="inlineStr">
        <is>
          <t>SBC (expensed)</t>
        </is>
      </c>
      <c r="C10" s="13">
        <f>-C6*C9</f>
        <v/>
      </c>
      <c r="D10" s="13">
        <f>-D6*D9</f>
        <v/>
      </c>
      <c r="E10" s="13">
        <f>-E6*E9</f>
        <v/>
      </c>
      <c r="F10" s="13">
        <f>-F6*F9</f>
        <v/>
      </c>
      <c r="G10" s="13">
        <f>-G6*G9</f>
        <v/>
      </c>
      <c r="H10" s="13">
        <f>-H6*H9</f>
        <v/>
      </c>
      <c r="I10" s="13">
        <f>-I6*I9</f>
        <v/>
      </c>
      <c r="J10" s="13">
        <f>-J6*J9</f>
        <v/>
      </c>
      <c r="K10" s="13">
        <f>-K6*K9</f>
        <v/>
      </c>
      <c r="L10" s="13">
        <f>-L6*L9</f>
        <v/>
      </c>
    </row>
    <row r="11">
      <c r="A11" t="inlineStr">
        <is>
          <t>Lease cost (principal + interest)</t>
        </is>
      </c>
      <c r="C11" s="15">
        <f>-C6*Assumptions!$B$13</f>
        <v/>
      </c>
      <c r="D11" s="15">
        <f>-D6*Assumptions!$B$13</f>
        <v/>
      </c>
      <c r="E11" s="15">
        <f>-E6*Assumptions!$B$13</f>
        <v/>
      </c>
      <c r="F11" s="15">
        <f>-F6*Assumptions!$B$13</f>
        <v/>
      </c>
      <c r="G11" s="15">
        <f>-G6*Assumptions!$B$13</f>
        <v/>
      </c>
      <c r="H11" s="15">
        <f>-H6*Assumptions!$B$13</f>
        <v/>
      </c>
      <c r="I11" s="15">
        <f>-I6*Assumptions!$B$13</f>
        <v/>
      </c>
      <c r="J11" s="15">
        <f>-J6*Assumptions!$B$13</f>
        <v/>
      </c>
      <c r="K11" s="15">
        <f>-K6*Assumptions!$B$13</f>
        <v/>
      </c>
      <c r="L11" s="15">
        <f>-L6*Assumptions!$B$13</f>
        <v/>
      </c>
    </row>
    <row r="12">
      <c r="A12" t="inlineStr">
        <is>
          <t>Owner EBITDA</t>
        </is>
      </c>
      <c r="C12" s="13">
        <f>C8+C10+C11</f>
        <v/>
      </c>
      <c r="D12" s="13">
        <f>D8+D10+D11</f>
        <v/>
      </c>
      <c r="E12" s="13">
        <f>E8+E10+E11</f>
        <v/>
      </c>
      <c r="F12" s="13">
        <f>F8+F10+F11</f>
        <v/>
      </c>
      <c r="G12" s="13">
        <f>G8+G10+G11</f>
        <v/>
      </c>
      <c r="H12" s="13">
        <f>H8+H10+H11</f>
        <v/>
      </c>
      <c r="I12" s="13">
        <f>I8+I10+I11</f>
        <v/>
      </c>
      <c r="J12" s="13">
        <f>J8+J10+J11</f>
        <v/>
      </c>
      <c r="K12" s="13">
        <f>K8+K10+K11</f>
        <v/>
      </c>
      <c r="L12" s="13">
        <f>L8+L10+L11</f>
        <v/>
      </c>
    </row>
    <row r="13">
      <c r="A13" t="inlineStr">
        <is>
          <t>D&amp;A ex-ROU</t>
        </is>
      </c>
      <c r="C13" s="15">
        <f>-C6*Assumptions!$B$4</f>
        <v/>
      </c>
      <c r="D13" s="15">
        <f>-D6*Assumptions!$B$4</f>
        <v/>
      </c>
      <c r="E13" s="15">
        <f>-E6*Assumptions!$B$4</f>
        <v/>
      </c>
      <c r="F13" s="15">
        <f>-F6*Assumptions!$B$4</f>
        <v/>
      </c>
      <c r="G13" s="15">
        <f>-G6*Assumptions!$B$4</f>
        <v/>
      </c>
      <c r="H13" s="15">
        <f>-H6*Assumptions!$B$4</f>
        <v/>
      </c>
      <c r="I13" s="15">
        <f>-I6*Assumptions!$B$4</f>
        <v/>
      </c>
      <c r="J13" s="15">
        <f>-J6*Assumptions!$B$4</f>
        <v/>
      </c>
      <c r="K13" s="15">
        <f>-K6*Assumptions!$B$4</f>
        <v/>
      </c>
      <c r="L13" s="15">
        <f>-L6*Assumptions!$B$4</f>
        <v/>
      </c>
    </row>
    <row r="14">
      <c r="A14" t="inlineStr">
        <is>
          <t>EBIT (SBC and leases expensed)</t>
        </is>
      </c>
      <c r="C14" s="13">
        <f>C12+C13</f>
        <v/>
      </c>
      <c r="D14" s="13">
        <f>D12+D13</f>
        <v/>
      </c>
      <c r="E14" s="13">
        <f>E12+E13</f>
        <v/>
      </c>
      <c r="F14" s="13">
        <f>F12+F13</f>
        <v/>
      </c>
      <c r="G14" s="13">
        <f>G12+G13</f>
        <v/>
      </c>
      <c r="H14" s="13">
        <f>H12+H13</f>
        <v/>
      </c>
      <c r="I14" s="13">
        <f>I12+I13</f>
        <v/>
      </c>
      <c r="J14" s="13">
        <f>J12+J13</f>
        <v/>
      </c>
      <c r="K14" s="13">
        <f>K12+K13</f>
        <v/>
      </c>
      <c r="L14" s="13">
        <f>L12+L13</f>
        <v/>
      </c>
    </row>
    <row r="15">
      <c r="A15" t="inlineStr">
        <is>
          <t>Cash tax rate</t>
        </is>
      </c>
      <c r="C15" s="6" t="n">
        <v>0.235</v>
      </c>
      <c r="D15" s="6" t="n">
        <v>0.235</v>
      </c>
      <c r="E15" s="6" t="n">
        <v>0.235</v>
      </c>
      <c r="F15" s="6" t="n">
        <v>0.235</v>
      </c>
      <c r="G15" s="6" t="n">
        <v>0.235</v>
      </c>
      <c r="H15" s="6" t="n">
        <v>0.235</v>
      </c>
      <c r="I15" s="6" t="n">
        <v>0.235</v>
      </c>
      <c r="J15" s="6" t="n">
        <v>0.235</v>
      </c>
      <c r="K15" s="6" t="n">
        <v>0.235</v>
      </c>
      <c r="L15" s="6" t="n">
        <v>0.235</v>
      </c>
    </row>
    <row r="16">
      <c r="A16" t="inlineStr">
        <is>
          <t>Cash tax on max(0, EBIT)</t>
        </is>
      </c>
      <c r="C16" s="13">
        <f>-MAX(0,C14)*C15</f>
        <v/>
      </c>
      <c r="D16" s="13">
        <f>-MAX(0,D14)*D15</f>
        <v/>
      </c>
      <c r="E16" s="13">
        <f>-MAX(0,E14)*E15</f>
        <v/>
      </c>
      <c r="F16" s="13">
        <f>-MAX(0,F14)*F15</f>
        <v/>
      </c>
      <c r="G16" s="13">
        <f>-MAX(0,G14)*G15</f>
        <v/>
      </c>
      <c r="H16" s="13">
        <f>-MAX(0,H14)*H15</f>
        <v/>
      </c>
      <c r="I16" s="13">
        <f>-MAX(0,I14)*I15</f>
        <v/>
      </c>
      <c r="J16" s="13">
        <f>-MAX(0,J14)*J15</f>
        <v/>
      </c>
      <c r="K16" s="13">
        <f>-MAX(0,K14)*K15</f>
        <v/>
      </c>
      <c r="L16" s="13">
        <f>-MAX(0,L14)*L15</f>
        <v/>
      </c>
    </row>
    <row r="17">
      <c r="A17" t="inlineStr">
        <is>
          <t>NOPAT</t>
        </is>
      </c>
      <c r="C17" s="13">
        <f>C14+C16</f>
        <v/>
      </c>
      <c r="D17" s="13">
        <f>D14+D16</f>
        <v/>
      </c>
      <c r="E17" s="13">
        <f>E14+E16</f>
        <v/>
      </c>
      <c r="F17" s="13">
        <f>F14+F16</f>
        <v/>
      </c>
      <c r="G17" s="13">
        <f>G14+G16</f>
        <v/>
      </c>
      <c r="H17" s="13">
        <f>H14+H16</f>
        <v/>
      </c>
      <c r="I17" s="13">
        <f>I14+I16</f>
        <v/>
      </c>
      <c r="J17" s="13">
        <f>J14+J16</f>
        <v/>
      </c>
      <c r="K17" s="13">
        <f>K14+K16</f>
        <v/>
      </c>
      <c r="L17" s="13">
        <f>L14+L16</f>
        <v/>
      </c>
    </row>
    <row r="18">
      <c r="A18" t="inlineStr">
        <is>
          <t>Add back D&amp;A</t>
        </is>
      </c>
      <c r="C18" s="13">
        <f>-C13</f>
        <v/>
      </c>
      <c r="D18" s="13">
        <f>-D13</f>
        <v/>
      </c>
      <c r="E18" s="13">
        <f>-E13</f>
        <v/>
      </c>
      <c r="F18" s="13">
        <f>-F13</f>
        <v/>
      </c>
      <c r="G18" s="13">
        <f>-G13</f>
        <v/>
      </c>
      <c r="H18" s="13">
        <f>-H13</f>
        <v/>
      </c>
      <c r="I18" s="13">
        <f>-I13</f>
        <v/>
      </c>
      <c r="J18" s="13">
        <f>-J13</f>
        <v/>
      </c>
      <c r="K18" s="13">
        <f>-K13</f>
        <v/>
      </c>
      <c r="L18" s="13">
        <f>-L13</f>
        <v/>
      </c>
    </row>
    <row r="19">
      <c r="A19" t="inlineStr">
        <is>
          <t>Less capex</t>
        </is>
      </c>
      <c r="C19" s="15">
        <f>-C6*Assumptions!$E$20</f>
        <v/>
      </c>
      <c r="D19" s="15">
        <f>-D6*Assumptions!$E$20</f>
        <v/>
      </c>
      <c r="E19" s="15">
        <f>-E6*Assumptions!$E$20</f>
        <v/>
      </c>
      <c r="F19" s="15">
        <f>-F6*Assumptions!$E$20</f>
        <v/>
      </c>
      <c r="G19" s="15">
        <f>-G6*Assumptions!$E$20</f>
        <v/>
      </c>
      <c r="H19" s="15">
        <f>-H6*Assumptions!$E$20</f>
        <v/>
      </c>
      <c r="I19" s="15">
        <f>-I6*Assumptions!$E$20</f>
        <v/>
      </c>
      <c r="J19" s="15">
        <f>-J6*Assumptions!$E$20</f>
        <v/>
      </c>
      <c r="K19" s="15">
        <f>-K6*Assumptions!$E$20</f>
        <v/>
      </c>
      <c r="L19" s="15">
        <f>-L6*Assumptions!$E$20</f>
        <v/>
      </c>
    </row>
    <row r="20">
      <c r="A20" t="inlineStr">
        <is>
          <t>Working capital (on revenue change)</t>
        </is>
      </c>
      <c r="C20" s="15">
        <f>Assumptions!$B$5*(C6-B6)</f>
        <v/>
      </c>
      <c r="D20" s="15">
        <f>Assumptions!$B$5*(D6-C6)</f>
        <v/>
      </c>
      <c r="E20" s="15">
        <f>Assumptions!$B$5*(E6-D6)</f>
        <v/>
      </c>
      <c r="F20" s="15">
        <f>Assumptions!$B$5*(F6-E6)</f>
        <v/>
      </c>
      <c r="G20" s="15">
        <f>Assumptions!$B$5*(G6-F6)</f>
        <v/>
      </c>
      <c r="H20" s="15">
        <f>Assumptions!$B$5*(H6-G6)</f>
        <v/>
      </c>
      <c r="I20" s="15">
        <f>Assumptions!$B$5*(I6-H6)</f>
        <v/>
      </c>
      <c r="J20" s="15">
        <f>Assumptions!$B$5*(J6-I6)</f>
        <v/>
      </c>
      <c r="K20" s="15">
        <f>Assumptions!$B$5*(K6-J6)</f>
        <v/>
      </c>
      <c r="L20" s="15">
        <f>Assumptions!$B$5*(L6-K6)</f>
        <v/>
      </c>
    </row>
    <row r="21">
      <c r="A21" s="1" t="inlineStr">
        <is>
          <t>Unlevered owner FCF</t>
        </is>
      </c>
      <c r="C21" s="16">
        <f>C17+C18+C19+C20</f>
        <v/>
      </c>
      <c r="D21" s="16">
        <f>D17+D18+D19+D20</f>
        <v/>
      </c>
      <c r="E21" s="16">
        <f>E17+E18+E19+E20</f>
        <v/>
      </c>
      <c r="F21" s="16">
        <f>F17+F18+F19+F20</f>
        <v/>
      </c>
      <c r="G21" s="16">
        <f>G17+G18+G19+G20</f>
        <v/>
      </c>
      <c r="H21" s="16">
        <f>H17+H18+H19+H20</f>
        <v/>
      </c>
      <c r="I21" s="16">
        <f>I17+I18+I19+I20</f>
        <v/>
      </c>
      <c r="J21" s="16">
        <f>J17+J18+J19+J20</f>
        <v/>
      </c>
      <c r="K21" s="16">
        <f>K17+K18+K19+K20</f>
        <v/>
      </c>
      <c r="L21" s="16">
        <f>L17+L18+L19+L20</f>
        <v/>
      </c>
    </row>
    <row r="22">
      <c r="A22" t="inlineStr">
        <is>
          <t>Discount factor</t>
        </is>
      </c>
      <c r="C22" s="17">
        <f>1/(1+Assumptions!$B$3)^C4</f>
        <v/>
      </c>
      <c r="D22" s="17">
        <f>1/(1+Assumptions!$B$3)^D4</f>
        <v/>
      </c>
      <c r="E22" s="17">
        <f>1/(1+Assumptions!$B$3)^E4</f>
        <v/>
      </c>
      <c r="F22" s="17">
        <f>1/(1+Assumptions!$B$3)^F4</f>
        <v/>
      </c>
      <c r="G22" s="17">
        <f>1/(1+Assumptions!$B$3)^G4</f>
        <v/>
      </c>
      <c r="H22" s="17">
        <f>1/(1+Assumptions!$B$3)^H4</f>
        <v/>
      </c>
      <c r="I22" s="17">
        <f>1/(1+Assumptions!$B$3)^I4</f>
        <v/>
      </c>
      <c r="J22" s="17">
        <f>1/(1+Assumptions!$B$3)^J4</f>
        <v/>
      </c>
      <c r="K22" s="17">
        <f>1/(1+Assumptions!$B$3)^K4</f>
        <v/>
      </c>
      <c r="L22" s="17">
        <f>1/(1+Assumptions!$B$3)^L4</f>
        <v/>
      </c>
    </row>
    <row r="23">
      <c r="A23" t="inlineStr">
        <is>
          <t>PV of FCF</t>
        </is>
      </c>
      <c r="C23" s="13">
        <f>C21*C22</f>
        <v/>
      </c>
      <c r="D23" s="13">
        <f>D21*D22</f>
        <v/>
      </c>
      <c r="E23" s="13">
        <f>E21*E22</f>
        <v/>
      </c>
      <c r="F23" s="13">
        <f>F21*F22</f>
        <v/>
      </c>
      <c r="G23" s="13">
        <f>G21*G22</f>
        <v/>
      </c>
      <c r="H23" s="13">
        <f>H21*H22</f>
        <v/>
      </c>
      <c r="I23" s="13">
        <f>I21*I22</f>
        <v/>
      </c>
      <c r="J23" s="13">
        <f>J21*J22</f>
        <v/>
      </c>
      <c r="K23" s="13">
        <f>K21*K22</f>
        <v/>
      </c>
      <c r="L23" s="13">
        <f>L21*L22</f>
        <v/>
      </c>
    </row>
    <row r="25">
      <c r="A25" t="inlineStr">
        <is>
          <t>Memo: FCF before SBC (company-style)</t>
        </is>
      </c>
      <c r="C25" s="13">
        <f>C21-C10</f>
        <v/>
      </c>
      <c r="D25" s="13">
        <f>D21-D10</f>
        <v/>
      </c>
      <c r="E25" s="13">
        <f>E21-E10</f>
        <v/>
      </c>
      <c r="F25" s="13">
        <f>F21-F10</f>
        <v/>
      </c>
      <c r="G25" s="13">
        <f>G21-G10</f>
        <v/>
      </c>
      <c r="H25" s="13">
        <f>H21-H10</f>
        <v/>
      </c>
      <c r="I25" s="13">
        <f>I21-I10</f>
        <v/>
      </c>
      <c r="J25" s="13">
        <f>J21-J10</f>
        <v/>
      </c>
      <c r="K25" s="13">
        <f>K21-K10</f>
        <v/>
      </c>
      <c r="L25" s="13">
        <f>L21-L10</f>
        <v/>
      </c>
    </row>
    <row r="26">
      <c r="A26" t="inlineStr">
        <is>
          <t>Memo: owner-FCF margin</t>
        </is>
      </c>
      <c r="C26" s="11">
        <f>C21/C6</f>
        <v/>
      </c>
      <c r="D26" s="11">
        <f>D21/D6</f>
        <v/>
      </c>
      <c r="E26" s="11">
        <f>E21/E6</f>
        <v/>
      </c>
      <c r="F26" s="11">
        <f>F21/F6</f>
        <v/>
      </c>
      <c r="G26" s="11">
        <f>G21/G6</f>
        <v/>
      </c>
      <c r="H26" s="11">
        <f>H21/H6</f>
        <v/>
      </c>
      <c r="I26" s="11">
        <f>I21/I6</f>
        <v/>
      </c>
      <c r="J26" s="11">
        <f>J21/J6</f>
        <v/>
      </c>
      <c r="K26" s="11">
        <f>K21/K6</f>
        <v/>
      </c>
      <c r="L26" s="11">
        <f>L21/L6</f>
        <v/>
      </c>
    </row>
    <row r="28">
      <c r="A28" t="inlineStr">
        <is>
          <t>Sum of PV of FCF</t>
        </is>
      </c>
      <c r="B28" s="13">
        <f>SUM(C23:L23)</f>
        <v/>
      </c>
    </row>
    <row r="29">
      <c r="A29" t="inlineStr">
        <is>
          <t>Terminal growth</t>
        </is>
      </c>
      <c r="B29" s="18">
        <f>Assumptions!E18</f>
        <v/>
      </c>
    </row>
    <row r="30">
      <c r="A30" t="inlineStr">
        <is>
          <t>Terminal-year FCF x (1+g)</t>
        </is>
      </c>
      <c r="B30" s="13">
        <f>L21*(1+B29)</f>
        <v/>
      </c>
    </row>
    <row r="31">
      <c r="A31" t="inlineStr">
        <is>
          <t>Gordon TV</t>
        </is>
      </c>
      <c r="B31" s="13">
        <f>IF(Assumptions!B3&gt;B29,B30/(Assumptions!B3-B29),"n/a")</f>
        <v/>
      </c>
    </row>
    <row r="32">
      <c r="A32" t="inlineStr">
        <is>
          <t>Cap TV (cap x FCF_10)</t>
        </is>
      </c>
      <c r="B32" s="13">
        <f>Assumptions!B11*L21</f>
        <v/>
      </c>
    </row>
    <row r="33">
      <c r="A33" t="inlineStr">
        <is>
          <t>TV used = MAX(0, MIN(Gordon, cap))</t>
        </is>
      </c>
      <c r="B33" s="13">
        <f>MAX(0,MIN(B31,B32))</f>
        <v/>
      </c>
    </row>
    <row r="34">
      <c r="A34" t="inlineStr">
        <is>
          <t>Implied exit multiple (TV / FCF_10)</t>
        </is>
      </c>
      <c r="B34" s="19">
        <f>IF(L21&lt;&gt;0,B33/L21,"n/a")</f>
        <v/>
      </c>
    </row>
    <row r="35">
      <c r="A35" t="inlineStr">
        <is>
          <t>PV of TV</t>
        </is>
      </c>
      <c r="B35" s="13">
        <f>B33*L22</f>
        <v/>
      </c>
    </row>
    <row r="36">
      <c r="A36" t="inlineStr">
        <is>
          <t>Enterprise value</t>
        </is>
      </c>
      <c r="B36" s="13">
        <f>B28+B35</f>
        <v/>
      </c>
    </row>
    <row r="37">
      <c r="A37" t="inlineStr">
        <is>
          <t>Less net debt</t>
        </is>
      </c>
      <c r="B37" s="15">
        <f>-Assumptions!B6</f>
        <v/>
      </c>
    </row>
    <row r="38">
      <c r="A38" t="inlineStr">
        <is>
          <t>Less NCI</t>
        </is>
      </c>
      <c r="B38" s="15">
        <f>-Assumptions!B7</f>
        <v/>
      </c>
    </row>
    <row r="39">
      <c r="A39" t="inlineStr">
        <is>
          <t>Equity value</t>
        </is>
      </c>
      <c r="B39" s="13">
        <f>B36+B37+B38</f>
        <v/>
      </c>
    </row>
    <row r="40">
      <c r="A40" t="inlineStr">
        <is>
          <t>Fully diluted shares (m)</t>
        </is>
      </c>
      <c r="B40" s="15">
        <f>Assumptions!B8</f>
        <v/>
      </c>
    </row>
    <row r="41">
      <c r="A41" t="inlineStr">
        <is>
          <t>Value per share, USD</t>
        </is>
      </c>
      <c r="B41" s="20">
        <f>B39/B40</f>
        <v/>
      </c>
    </row>
    <row r="42">
      <c r="A42" t="inlineStr">
        <is>
          <t>Value per share, AUD</t>
        </is>
      </c>
      <c r="B42" s="21">
        <f>B41/Assumptions!B10</f>
        <v/>
      </c>
    </row>
    <row r="43">
      <c r="A43" t="inlineStr">
        <is>
          <t>Upside vs price</t>
        </is>
      </c>
      <c r="B43" s="11">
        <f>B42/Assumptions!B9-1</f>
        <v/>
      </c>
    </row>
    <row r="45">
      <c r="A45" t="inlineStr">
        <is>
          <t>Street memo: PV of explicit SBC</t>
        </is>
      </c>
      <c r="B45" s="13">
        <f>-NPV(Assumptions!B3,C10:L10)</f>
        <v/>
      </c>
    </row>
    <row r="46">
      <c r="A46" t="inlineStr">
        <is>
          <t>Street memo: PV of terminal SBC</t>
        </is>
      </c>
      <c r="B46" s="13">
        <f>IF(Assumptions!B3&gt;B29,-L10*(1+B29)/(Assumptions!B3-B29)*L22,0)</f>
        <v/>
      </c>
    </row>
    <row r="47">
      <c r="A47" t="inlineStr">
        <is>
          <t>Street value per share, AUD</t>
        </is>
      </c>
      <c r="B47" s="20">
        <f>(B39+B45+B46)/B40/Assumptions!B10</f>
        <v/>
      </c>
    </row>
    <row r="48">
      <c r="A48" t="inlineStr">
        <is>
          <t>Terminal % of EV</t>
        </is>
      </c>
      <c r="B48" s="11">
        <f>B35/B36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Reported FCF reconciled to owner FCF (USD millions; links to Actuals)</t>
        </is>
      </c>
    </row>
    <row r="3">
      <c r="A3" s="1" t="inlineStr">
        <is>
          <t>Line</t>
        </is>
      </c>
      <c r="B3" s="1" t="inlineStr">
        <is>
          <t>FY2016</t>
        </is>
      </c>
      <c r="C3" s="1" t="inlineStr">
        <is>
          <t>FY2017</t>
        </is>
      </c>
      <c r="D3" s="1" t="inlineStr">
        <is>
          <t>FY2018</t>
        </is>
      </c>
      <c r="E3" s="1" t="inlineStr">
        <is>
          <t>FY2019</t>
        </is>
      </c>
      <c r="F3" s="1" t="inlineStr">
        <is>
          <t>FY2020</t>
        </is>
      </c>
      <c r="G3" s="1" t="inlineStr">
        <is>
          <t>FY2021</t>
        </is>
      </c>
      <c r="H3" s="1" t="inlineStr">
        <is>
          <t>FY2022</t>
        </is>
      </c>
      <c r="I3" s="1" t="inlineStr">
        <is>
          <t>FY2023</t>
        </is>
      </c>
      <c r="J3" s="1" t="inlineStr">
        <is>
          <t>FY2024</t>
        </is>
      </c>
      <c r="K3" s="1" t="inlineStr">
        <is>
          <t>FY2025</t>
        </is>
      </c>
      <c r="L3" s="1" t="inlineStr">
        <is>
          <t>FY2026</t>
        </is>
      </c>
    </row>
    <row r="4">
      <c r="A4" s="4" t="inlineStr">
        <is>
          <t>Free cash flow, company definition (OCF - capex)</t>
        </is>
      </c>
      <c r="B4" s="15">
        <f>Actuals!B5-Actuals!B6</f>
        <v/>
      </c>
      <c r="C4" s="15">
        <f>Actuals!C5-Actuals!C6</f>
        <v/>
      </c>
      <c r="D4" s="15">
        <f>Actuals!D5-Actuals!D6</f>
        <v/>
      </c>
      <c r="E4" s="15">
        <f>Actuals!E5-Actuals!E6</f>
        <v/>
      </c>
      <c r="F4" s="15">
        <f>Actuals!F5-Actuals!F6</f>
        <v/>
      </c>
      <c r="G4" s="15">
        <f>Actuals!G5-Actuals!G6</f>
        <v/>
      </c>
      <c r="H4" s="15">
        <f>Actuals!H5-Actuals!H6</f>
        <v/>
      </c>
      <c r="I4" s="15">
        <f>Actuals!I5-Actuals!I6</f>
        <v/>
      </c>
      <c r="J4" s="15">
        <f>Actuals!J5-Actuals!J6</f>
        <v/>
      </c>
      <c r="K4" s="15">
        <f>Actuals!K5-Actuals!K6</f>
        <v/>
      </c>
      <c r="L4" s="15">
        <f>Actuals!L5-Actuals!L6</f>
        <v/>
      </c>
    </row>
    <row r="5">
      <c r="A5" s="4" t="inlineStr">
        <is>
          <t>less: SBC</t>
        </is>
      </c>
      <c r="B5" s="15">
        <f>-Actuals!B7</f>
        <v/>
      </c>
      <c r="C5" s="15">
        <f>-Actuals!C7</f>
        <v/>
      </c>
      <c r="D5" s="15">
        <f>-Actuals!D7</f>
        <v/>
      </c>
      <c r="E5" s="15">
        <f>-Actuals!E7</f>
        <v/>
      </c>
      <c r="F5" s="15">
        <f>-Actuals!F7</f>
        <v/>
      </c>
      <c r="G5" s="15">
        <f>-Actuals!G7</f>
        <v/>
      </c>
      <c r="H5" s="15">
        <f>-Actuals!H7</f>
        <v/>
      </c>
      <c r="I5" s="15">
        <f>-Actuals!I7</f>
        <v/>
      </c>
      <c r="J5" s="15">
        <f>-Actuals!J7</f>
        <v/>
      </c>
      <c r="K5" s="15">
        <f>-Actuals!K7</f>
        <v/>
      </c>
      <c r="L5" s="15">
        <f>-Actuals!L7</f>
        <v/>
      </c>
    </row>
    <row r="6">
      <c r="A6" s="4" t="inlineStr">
        <is>
          <t>less: interest received</t>
        </is>
      </c>
      <c r="B6" s="15">
        <f>-Actuals!B8</f>
        <v/>
      </c>
      <c r="C6" s="15">
        <f>-Actuals!C8</f>
        <v/>
      </c>
      <c r="D6" s="15">
        <f>-Actuals!D8</f>
        <v/>
      </c>
      <c r="E6" s="15">
        <f>-Actuals!E8</f>
        <v/>
      </c>
      <c r="F6" s="15">
        <f>-Actuals!F8</f>
        <v/>
      </c>
      <c r="G6" s="15">
        <f>-Actuals!G8</f>
        <v/>
      </c>
      <c r="H6" s="15">
        <f>-Actuals!H8</f>
        <v/>
      </c>
      <c r="I6" s="15">
        <f>-Actuals!I8</f>
        <v/>
      </c>
      <c r="J6" s="15">
        <f>-Actuals!J8</f>
        <v/>
      </c>
      <c r="K6" s="15">
        <f>-Actuals!K8</f>
        <v/>
      </c>
      <c r="L6" s="15">
        <f>-Actuals!L8</f>
        <v/>
      </c>
    </row>
    <row r="7">
      <c r="A7" s="4" t="inlineStr">
        <is>
          <t>less: lease principal</t>
        </is>
      </c>
      <c r="B7" s="15">
        <f>-Actuals!B9</f>
        <v/>
      </c>
      <c r="C7" s="15">
        <f>-Actuals!C9</f>
        <v/>
      </c>
      <c r="D7" s="15">
        <f>-Actuals!D9</f>
        <v/>
      </c>
      <c r="E7" s="15">
        <f>-Actuals!E9</f>
        <v/>
      </c>
      <c r="F7" s="15">
        <f>-Actuals!F9</f>
        <v/>
      </c>
      <c r="G7" s="15">
        <f>-Actuals!G9</f>
        <v/>
      </c>
      <c r="H7" s="15">
        <f>-Actuals!H9</f>
        <v/>
      </c>
      <c r="I7" s="15">
        <f>-Actuals!I9</f>
        <v/>
      </c>
      <c r="J7" s="15">
        <f>-Actuals!J9</f>
        <v/>
      </c>
      <c r="K7" s="15">
        <f>-Actuals!K9</f>
        <v/>
      </c>
      <c r="L7" s="15">
        <f>-Actuals!L9</f>
        <v/>
      </c>
    </row>
    <row r="8">
      <c r="A8" s="4" t="inlineStr">
        <is>
          <t>less: lease interest</t>
        </is>
      </c>
      <c r="B8" s="15">
        <f>-Actuals!B10</f>
        <v/>
      </c>
      <c r="C8" s="15">
        <f>-Actuals!C10</f>
        <v/>
      </c>
      <c r="D8" s="15">
        <f>-Actuals!D10</f>
        <v/>
      </c>
      <c r="E8" s="15">
        <f>-Actuals!E10</f>
        <v/>
      </c>
      <c r="F8" s="15">
        <f>-Actuals!F10</f>
        <v/>
      </c>
      <c r="G8" s="15">
        <f>-Actuals!G10</f>
        <v/>
      </c>
      <c r="H8" s="15">
        <f>-Actuals!H10</f>
        <v/>
      </c>
      <c r="I8" s="15">
        <f>-Actuals!I10</f>
        <v/>
      </c>
      <c r="J8" s="15">
        <f>-Actuals!J10</f>
        <v/>
      </c>
      <c r="K8" s="15">
        <f>-Actuals!K10</f>
        <v/>
      </c>
      <c r="L8" s="15">
        <f>-Actuals!L10</f>
        <v/>
      </c>
    </row>
    <row r="9">
      <c r="A9" s="1" t="inlineStr">
        <is>
          <t>Owner FCF (sum of the above)</t>
        </is>
      </c>
      <c r="B9" s="22">
        <f>SUM(B4:B8)</f>
        <v/>
      </c>
      <c r="C9" s="22">
        <f>SUM(C4:C8)</f>
        <v/>
      </c>
      <c r="D9" s="22">
        <f>SUM(D4:D8)</f>
        <v/>
      </c>
      <c r="E9" s="22">
        <f>SUM(E4:E8)</f>
        <v/>
      </c>
      <c r="F9" s="22">
        <f>SUM(F4:F8)</f>
        <v/>
      </c>
      <c r="G9" s="22">
        <f>SUM(G4:G8)</f>
        <v/>
      </c>
      <c r="H9" s="22">
        <f>SUM(H4:H8)</f>
        <v/>
      </c>
      <c r="I9" s="22">
        <f>SUM(I4:I8)</f>
        <v/>
      </c>
      <c r="J9" s="22">
        <f>SUM(J4:J8)</f>
        <v/>
      </c>
      <c r="K9" s="22">
        <f>SUM(K4:K8)</f>
        <v/>
      </c>
      <c r="L9" s="22">
        <f>SUM(L4:L8)</f>
        <v/>
      </c>
    </row>
    <row r="10">
      <c r="A10" s="4" t="inlineStr">
        <is>
          <t>Reported FCF margin</t>
        </is>
      </c>
      <c r="B10" s="18">
        <f>B4/Actuals!B4</f>
        <v/>
      </c>
      <c r="C10" s="18">
        <f>C4/Actuals!C4</f>
        <v/>
      </c>
      <c r="D10" s="18">
        <f>D4/Actuals!D4</f>
        <v/>
      </c>
      <c r="E10" s="18">
        <f>E4/Actuals!E4</f>
        <v/>
      </c>
      <c r="F10" s="18">
        <f>F4/Actuals!F4</f>
        <v/>
      </c>
      <c r="G10" s="18">
        <f>G4/Actuals!G4</f>
        <v/>
      </c>
      <c r="H10" s="18">
        <f>H4/Actuals!H4</f>
        <v/>
      </c>
      <c r="I10" s="18">
        <f>I4/Actuals!I4</f>
        <v/>
      </c>
      <c r="J10" s="18">
        <f>J4/Actuals!J4</f>
        <v/>
      </c>
      <c r="K10" s="18">
        <f>K4/Actuals!K4</f>
        <v/>
      </c>
      <c r="L10" s="18">
        <f>L4/Actuals!L4</f>
        <v/>
      </c>
    </row>
    <row r="11">
      <c r="A11" s="1" t="inlineStr">
        <is>
          <t>Owner FCF margin</t>
        </is>
      </c>
      <c r="B11" s="18">
        <f>B9/Actuals!B4</f>
        <v/>
      </c>
      <c r="C11" s="18">
        <f>C9/Actuals!C4</f>
        <v/>
      </c>
      <c r="D11" s="18">
        <f>D9/Actuals!D4</f>
        <v/>
      </c>
      <c r="E11" s="18">
        <f>E9/Actuals!E4</f>
        <v/>
      </c>
      <c r="F11" s="18">
        <f>F9/Actuals!F4</f>
        <v/>
      </c>
      <c r="G11" s="18">
        <f>G9/Actuals!G4</f>
        <v/>
      </c>
      <c r="H11" s="18">
        <f>H9/Actuals!H4</f>
        <v/>
      </c>
      <c r="I11" s="18">
        <f>I9/Actuals!I4</f>
        <v/>
      </c>
      <c r="J11" s="18">
        <f>J9/Actuals!J4</f>
        <v/>
      </c>
      <c r="K11" s="18">
        <f>K9/Actuals!K4</f>
        <v/>
      </c>
      <c r="L11" s="18">
        <f>L9/Actuals!L4</f>
        <v/>
      </c>
    </row>
    <row r="12">
      <c r="A12" s="4" t="inlineStr">
        <is>
          <t>Memo: cash tax paid / NPAT (flag when far from ~0.3)</t>
        </is>
      </c>
      <c r="B12" s="18">
        <f>Actuals!B12/Actuals!B11</f>
        <v/>
      </c>
      <c r="C12" s="18">
        <f>Actuals!C12/Actuals!C11</f>
        <v/>
      </c>
      <c r="D12" s="18">
        <f>Actuals!D12/Actuals!D11</f>
        <v/>
      </c>
      <c r="E12" s="18">
        <f>Actuals!E12/Actuals!E11</f>
        <v/>
      </c>
      <c r="F12" s="18">
        <f>Actuals!F12/Actuals!F11</f>
        <v/>
      </c>
      <c r="G12" s="18">
        <f>Actuals!G12/Actuals!G11</f>
        <v/>
      </c>
      <c r="H12" s="18">
        <f>Actuals!H12/Actuals!H11</f>
        <v/>
      </c>
      <c r="I12" s="18">
        <f>Actuals!I12/Actuals!I11</f>
        <v/>
      </c>
      <c r="J12" s="18">
        <f>Actuals!J12/Actuals!J11</f>
        <v/>
      </c>
      <c r="K12" s="18">
        <f>Actuals!K12/Actuals!K11</f>
        <v/>
      </c>
      <c r="L12" s="18">
        <f>Actuals!L12/Actuals!L11</f>
        <v/>
      </c>
    </row>
    <row r="15">
      <c r="A15" s="1" t="inlineStr">
        <is>
          <t>Notes</t>
        </is>
      </c>
    </row>
    <row r="16">
      <c r="A16" t="inlineStr">
        <is>
          <t>FY2018 includes the part-year Sexual Wellness business (sold FY18); FY2021 SBC of 30.1 is the CEO-succession one-off; FY2024 is the destock-trough inventory release; FY2025 carries the KBU inventory build; FY2026 is a release year with capex at a decade-low 2.3% of sales.</t>
        </is>
      </c>
    </row>
    <row r="17">
      <c r="A17" t="inlineStr">
        <is>
          <t>Owner FCF FY2026 = 294.8 ties to the JSON's inputs.last_fcf. The DCF's Y1 owner FCF (~211) is the component-built normalized figure, deliberately below the FY26 print.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ANN.AX valuation summary (per-share values in AUD unless stated)</t>
        </is>
      </c>
    </row>
    <row r="3">
      <c r="A3" s="1" t="inlineStr">
        <is>
          <t>Scenario</t>
        </is>
      </c>
      <c r="B3" s="1" t="inlineStr">
        <is>
          <t>Value/share AUD</t>
        </is>
      </c>
      <c r="C3" s="1" t="inlineStr">
        <is>
          <t>Value/share USD</t>
        </is>
      </c>
      <c r="D3" s="1" t="inlineStr">
        <is>
          <t>Upside vs price</t>
        </is>
      </c>
      <c r="E3" s="1" t="inlineStr">
        <is>
          <t>Probability</t>
        </is>
      </c>
      <c r="F3" s="1" t="inlineStr">
        <is>
          <t>Street value AUD</t>
        </is>
      </c>
      <c r="G3" s="1" t="inlineStr">
        <is>
          <t>Terminal % of EV</t>
        </is>
      </c>
      <c r="H3" s="1" t="inlineStr">
        <is>
          <t>Exit multiple</t>
        </is>
      </c>
    </row>
    <row r="4">
      <c r="A4" t="inlineStr">
        <is>
          <t>Bear</t>
        </is>
      </c>
      <c r="B4" s="23">
        <f>DCF_Bear!B42</f>
        <v/>
      </c>
      <c r="C4" s="23">
        <f>DCF_Bear!B41</f>
        <v/>
      </c>
      <c r="D4" s="18">
        <f>DCF_Bear!B43</f>
        <v/>
      </c>
      <c r="E4" s="18">
        <f>Assumptions!C19</f>
        <v/>
      </c>
      <c r="F4" s="23">
        <f>DCF_Bear!B47</f>
        <v/>
      </c>
      <c r="G4" s="18">
        <f>DCF_Bear!B48</f>
        <v/>
      </c>
      <c r="H4" s="24">
        <f>DCF_Bear!B34</f>
        <v/>
      </c>
    </row>
    <row r="5">
      <c r="A5" t="inlineStr">
        <is>
          <t>Base</t>
        </is>
      </c>
      <c r="B5" s="23">
        <f>DCF_Base!B42</f>
        <v/>
      </c>
      <c r="C5" s="23">
        <f>DCF_Base!B41</f>
        <v/>
      </c>
      <c r="D5" s="18">
        <f>DCF_Base!B43</f>
        <v/>
      </c>
      <c r="E5" s="18">
        <f>Assumptions!D19</f>
        <v/>
      </c>
      <c r="F5" s="23">
        <f>DCF_Base!B47</f>
        <v/>
      </c>
      <c r="G5" s="18">
        <f>DCF_Base!B48</f>
        <v/>
      </c>
      <c r="H5" s="24">
        <f>DCF_Base!B34</f>
        <v/>
      </c>
    </row>
    <row r="6">
      <c r="A6" t="inlineStr">
        <is>
          <t>Bull</t>
        </is>
      </c>
      <c r="B6" s="23">
        <f>DCF_Bull!B42</f>
        <v/>
      </c>
      <c r="C6" s="23">
        <f>DCF_Bull!B41</f>
        <v/>
      </c>
      <c r="D6" s="18">
        <f>DCF_Bull!B43</f>
        <v/>
      </c>
      <c r="E6" s="18">
        <f>Assumptions!E19</f>
        <v/>
      </c>
      <c r="F6" s="23">
        <f>DCF_Bull!B47</f>
        <v/>
      </c>
      <c r="G6" s="18">
        <f>DCF_Bull!B48</f>
        <v/>
      </c>
      <c r="H6" s="24">
        <f>DCF_Bull!B34</f>
        <v/>
      </c>
    </row>
    <row r="8">
      <c r="A8" t="inlineStr">
        <is>
          <t>Probability-weighted value, AUD</t>
        </is>
      </c>
      <c r="B8" s="21">
        <f>SUMPRODUCT(B4:B6,E4:E6)</f>
        <v/>
      </c>
    </row>
    <row r="9">
      <c r="A9" t="inlineStr">
        <is>
          <t>Probability-weighted value, USD</t>
        </is>
      </c>
      <c r="B9" s="20">
        <f>SUMPRODUCT(C4:C6,E4:E6)</f>
        <v/>
      </c>
    </row>
    <row r="10">
      <c r="A10" t="inlineStr">
        <is>
          <t>Street weighted value, AUD</t>
        </is>
      </c>
      <c r="B10" s="20">
        <f>SUMPRODUCT(F4:F6,E4:E6)</f>
        <v/>
      </c>
    </row>
    <row r="11">
      <c r="A11" t="inlineStr">
        <is>
          <t>Current price, AUD</t>
        </is>
      </c>
      <c r="B11" s="23">
        <f>Assumptions!B9</f>
        <v/>
      </c>
    </row>
    <row r="12">
      <c r="A12" t="inlineStr">
        <is>
          <t>Margin of safety (1 - price/weighted)</t>
        </is>
      </c>
      <c r="B12" s="11">
        <f>1-B11/B8</f>
        <v/>
      </c>
    </row>
    <row r="13">
      <c r="A13" t="inlineStr">
        <is>
          <t>Band position (price - house)/(street - house)</t>
        </is>
      </c>
      <c r="B13" s="11">
        <f>IF(B10&lt;&gt;B8,(B11-B8)/(B10-B8),"n/a")</f>
        <v/>
      </c>
    </row>
    <row r="16">
      <c r="A16" s="1" t="inlineStr">
        <is>
          <t>15% hurdle entry prices, AUD (TV rebuilt at the hurdle)</t>
        </is>
      </c>
    </row>
    <row r="17">
      <c r="A17" s="1" t="inlineStr">
        <is>
          <t>Scenario</t>
        </is>
      </c>
      <c r="B17" s="1" t="inlineStr">
        <is>
          <t>House entry AUD</t>
        </is>
      </c>
      <c r="C17" s="1" t="inlineStr">
        <is>
          <t>Street entry AUD</t>
        </is>
      </c>
      <c r="D17" s="1" t="inlineStr">
        <is>
          <t>Probability</t>
        </is>
      </c>
    </row>
    <row r="18">
      <c r="A18" t="inlineStr">
        <is>
          <t>Bear</t>
        </is>
      </c>
      <c r="B18" s="20">
        <f>IF(Assumptions!$B$12&gt;Assumptions!$C$18,(NPV(Assumptions!$B$12,DCF_Bear!$C$21:$L$21)+MAX(0,MIN(DCF_Bear!$L$21*(1+Assumptions!$C$18)/(Assumptions!$B$12-Assumptions!$C$18),Assumptions!$B$11*DCF_Bear!$L$21))/(1+Assumptions!$B$12)^10-Assumptions!$B$6-Assumptions!$B$7)/Assumptions!$B$8/Assumptions!$B$10,"n/a")</f>
        <v/>
      </c>
      <c r="C18" s="20">
        <f>IF(Assumptions!$B$12&gt;Assumptions!$C$18,(NPV(Assumptions!$B$12,DCF_Bear!$C$21:$L$21)+MAX(0,MIN(DCF_Bear!$L$21*(1+Assumptions!$C$18)/(Assumptions!$B$12-Assumptions!$C$18),Assumptions!$B$11*DCF_Bear!$L$21))/(1+Assumptions!$B$12)^10-Assumptions!$B$6-Assumptions!$B$7-NPV(Assumptions!$B$12,DCF_Bear!$C$10:$L$10)+(-DCF_Bear!$L$10*(1+Assumptions!$C$18)/(Assumptions!$B$12-Assumptions!$C$18))/(1+Assumptions!$B$12)^10)/Assumptions!$B$8/Assumptions!$B$10,"n/a")</f>
        <v/>
      </c>
      <c r="D18" s="18">
        <f>Assumptions!C19</f>
        <v/>
      </c>
    </row>
    <row r="19">
      <c r="A19" t="inlineStr">
        <is>
          <t>Base</t>
        </is>
      </c>
      <c r="B19" s="20">
        <f>IF(Assumptions!$B$12&gt;Assumptions!$D$18,(NPV(Assumptions!$B$12,DCF_Base!$C$21:$L$21)+MAX(0,MIN(DCF_Base!$L$21*(1+Assumptions!$D$18)/(Assumptions!$B$12-Assumptions!$D$18),Assumptions!$B$11*DCF_Base!$L$21))/(1+Assumptions!$B$12)^10-Assumptions!$B$6-Assumptions!$B$7)/Assumptions!$B$8/Assumptions!$B$10,"n/a")</f>
        <v/>
      </c>
      <c r="C19" s="20">
        <f>IF(Assumptions!$B$12&gt;Assumptions!$D$18,(NPV(Assumptions!$B$12,DCF_Base!$C$21:$L$21)+MAX(0,MIN(DCF_Base!$L$21*(1+Assumptions!$D$18)/(Assumptions!$B$12-Assumptions!$D$18),Assumptions!$B$11*DCF_Base!$L$21))/(1+Assumptions!$B$12)^10-Assumptions!$B$6-Assumptions!$B$7-NPV(Assumptions!$B$12,DCF_Base!$C$10:$L$10)+(-DCF_Base!$L$10*(1+Assumptions!$D$18)/(Assumptions!$B$12-Assumptions!$D$18))/(1+Assumptions!$B$12)^10)/Assumptions!$B$8/Assumptions!$B$10,"n/a")</f>
        <v/>
      </c>
      <c r="D19" s="18">
        <f>Assumptions!D19</f>
        <v/>
      </c>
    </row>
    <row r="20">
      <c r="A20" t="inlineStr">
        <is>
          <t>Bull</t>
        </is>
      </c>
      <c r="B20" s="20">
        <f>IF(Assumptions!$B$12&gt;Assumptions!$E$18,(NPV(Assumptions!$B$12,DCF_Bull!$C$21:$L$21)+MAX(0,MIN(DCF_Bull!$L$21*(1+Assumptions!$E$18)/(Assumptions!$B$12-Assumptions!$E$18),Assumptions!$B$11*DCF_Bull!$L$21))/(1+Assumptions!$B$12)^10-Assumptions!$B$6-Assumptions!$B$7)/Assumptions!$B$8/Assumptions!$B$10,"n/a")</f>
        <v/>
      </c>
      <c r="C20" s="20">
        <f>IF(Assumptions!$B$12&gt;Assumptions!$E$18,(NPV(Assumptions!$B$12,DCF_Bull!$C$21:$L$21)+MAX(0,MIN(DCF_Bull!$L$21*(1+Assumptions!$E$18)/(Assumptions!$B$12-Assumptions!$E$18),Assumptions!$B$11*DCF_Bull!$L$21))/(1+Assumptions!$B$12)^10-Assumptions!$B$6-Assumptions!$B$7-NPV(Assumptions!$B$12,DCF_Bull!$C$10:$L$10)+(-DCF_Bull!$L$10*(1+Assumptions!$E$18)/(Assumptions!$B$12-Assumptions!$E$18))/(1+Assumptions!$B$12)^10)/Assumptions!$B$8/Assumptions!$B$10,"n/a")</f>
        <v/>
      </c>
      <c r="D20" s="18">
        <f>Assumptions!E19</f>
        <v/>
      </c>
    </row>
    <row r="21">
      <c r="A21" t="inlineStr">
        <is>
          <t>Weighted entry price (buy-below), AUD</t>
        </is>
      </c>
      <c r="B21" s="21">
        <f>SUMPRODUCT(B18:B20,D18:D20)</f>
        <v/>
      </c>
      <c r="C21" s="20">
        <f>SUMPRODUCT(C18:C20,D18:D20)</f>
        <v/>
      </c>
    </row>
    <row r="24">
      <c r="A24" s="1" t="inlineStr">
        <is>
          <t>Required-return table, base case, AUD (TV rebuilt at each rate)</t>
        </is>
      </c>
    </row>
    <row r="25">
      <c r="A25" s="1" t="inlineStr">
        <is>
          <t>Required return</t>
        </is>
      </c>
      <c r="B25" s="1" t="inlineStr">
        <is>
          <t>Value/share AUD</t>
        </is>
      </c>
    </row>
    <row r="26">
      <c r="A26" s="18">
        <f>Assumptions!$B$3</f>
        <v/>
      </c>
      <c r="B26" s="20">
        <f>IF($A$26&gt;Assumptions!$D$18,(NPV($A$26,DCF_Base!$C$21:$L$21)+MAX(0,MIN(DCF_Base!$L$21*(1+Assumptions!$D$18)/($A$26-Assumptions!$D$18),Assumptions!$B$11*DCF_Base!$L$21))/(1+$A$26)^10-Assumptions!$B$6-Assumptions!$B$7)/Assumptions!$B$8/Assumptions!$B$10,"n/a")</f>
        <v/>
      </c>
      <c r="C26" t="inlineStr">
        <is>
          <t>model WACC; must equal DCF_Base!B42</t>
        </is>
      </c>
    </row>
    <row r="27">
      <c r="A27" s="7" t="n">
        <v>0.09</v>
      </c>
      <c r="B27" s="20">
        <f>IF($A$27&gt;Assumptions!$D$18,(NPV($A$27,DCF_Base!$C$21:$L$21)+MAX(0,MIN(DCF_Base!$L$21*(1+Assumptions!$D$18)/($A$27-Assumptions!$D$18),Assumptions!$B$11*DCF_Base!$L$21))/(1+$A$27)^10-Assumptions!$B$6-Assumptions!$B$7)/Assumptions!$B$8/Assumptions!$B$10,"n/a")</f>
        <v/>
      </c>
    </row>
    <row r="28">
      <c r="A28" s="7" t="n">
        <v>0.1</v>
      </c>
      <c r="B28" s="20">
        <f>IF($A$28&gt;Assumptions!$D$18,(NPV($A$28,DCF_Base!$C$21:$L$21)+MAX(0,MIN(DCF_Base!$L$21*(1+Assumptions!$D$18)/($A$28-Assumptions!$D$18),Assumptions!$B$11*DCF_Base!$L$21))/(1+$A$28)^10-Assumptions!$B$6-Assumptions!$B$7)/Assumptions!$B$8/Assumptions!$B$10,"n/a")</f>
        <v/>
      </c>
    </row>
    <row r="29">
      <c r="A29" s="7" t="n">
        <v>0.11</v>
      </c>
      <c r="B29" s="20">
        <f>IF($A$29&gt;Assumptions!$D$18,(NPV($A$29,DCF_Base!$C$21:$L$21)+MAX(0,MIN(DCF_Base!$L$21*(1+Assumptions!$D$18)/($A$29-Assumptions!$D$18),Assumptions!$B$11*DCF_Base!$L$21))/(1+$A$29)^10-Assumptions!$B$6-Assumptions!$B$7)/Assumptions!$B$8/Assumptions!$B$10,"n/a")</f>
        <v/>
      </c>
    </row>
    <row r="30">
      <c r="A30" s="7" t="n">
        <v>0.12</v>
      </c>
      <c r="B30" s="20">
        <f>IF($A$30&gt;Assumptions!$D$18,(NPV($A$30,DCF_Base!$C$21:$L$21)+MAX(0,MIN(DCF_Base!$L$21*(1+Assumptions!$D$18)/($A$30-Assumptions!$D$18),Assumptions!$B$11*DCF_Base!$L$21))/(1+$A$30)^10-Assumptions!$B$6-Assumptions!$B$7)/Assumptions!$B$8/Assumptions!$B$10,"n/a")</f>
        <v/>
      </c>
    </row>
    <row r="31">
      <c r="A31" s="7" t="n">
        <v>0.15</v>
      </c>
      <c r="B31" s="20">
        <f>IF($A$31&gt;Assumptions!$D$18,(NPV($A$31,DCF_Base!$C$21:$L$21)+MAX(0,MIN(DCF_Base!$L$21*(1+Assumptions!$D$18)/($A$31-Assumptions!$D$18),Assumptions!$B$11*DCF_Base!$L$21))/(1+$A$31)^10-Assumptions!$B$6-Assumptions!$B$7)/Assumptions!$B$8/Assumptions!$B$10,"n/a")</f>
        <v/>
      </c>
      <c r="C31" t="inlineStr">
        <is>
          <t>must equal the base hurdle entry price in B19</t>
        </is>
      </c>
    </row>
    <row r="34">
      <c r="A34" s="1" t="inlineStr">
        <is>
          <t>Sensitivity, base case, AUD: rows WACC, columns terminal growth (TV rebuilt per cell)</t>
        </is>
      </c>
    </row>
    <row r="35">
      <c r="B35" s="7" t="n">
        <v>0.015</v>
      </c>
      <c r="C35" s="7" t="n">
        <v>0.02</v>
      </c>
      <c r="D35" s="7" t="n">
        <v>0.025</v>
      </c>
      <c r="E35" s="7" t="n">
        <v>0.03</v>
      </c>
      <c r="F35" s="7" t="n">
        <v>0.035</v>
      </c>
    </row>
    <row r="36">
      <c r="A36" s="7" t="n">
        <v>0.065</v>
      </c>
      <c r="B36" s="20">
        <f>IF($A36&gt;B$35,(NPV($A36,DCF_Base!$C$21:$L$21)+MAX(0,MIN(DCF_Base!$L$21*(1+B$35)/($A36-B$35),Assumptions!$B$11*DCF_Base!$L$21))/(1+$A36)^10-Assumptions!$B$6-Assumptions!$B$7)/Assumptions!$B$8/Assumptions!$B$10,"n/a")</f>
        <v/>
      </c>
      <c r="C36" s="20">
        <f>IF($A36&gt;C$35,(NPV($A36,DCF_Base!$C$21:$L$21)+MAX(0,MIN(DCF_Base!$L$21*(1+C$35)/($A36-C$35),Assumptions!$B$11*DCF_Base!$L$21))/(1+$A36)^10-Assumptions!$B$6-Assumptions!$B$7)/Assumptions!$B$8/Assumptions!$B$10,"n/a")</f>
        <v/>
      </c>
      <c r="D36" s="20">
        <f>IF($A36&gt;D$35,(NPV($A36,DCF_Base!$C$21:$L$21)+MAX(0,MIN(DCF_Base!$L$21*(1+D$35)/($A36-D$35),Assumptions!$B$11*DCF_Base!$L$21))/(1+$A36)^10-Assumptions!$B$6-Assumptions!$B$7)/Assumptions!$B$8/Assumptions!$B$10,"n/a")</f>
        <v/>
      </c>
      <c r="E36" s="20">
        <f>IF($A36&gt;E$35,(NPV($A36,DCF_Base!$C$21:$L$21)+MAX(0,MIN(DCF_Base!$L$21*(1+E$35)/($A36-E$35),Assumptions!$B$11*DCF_Base!$L$21))/(1+$A36)^10-Assumptions!$B$6-Assumptions!$B$7)/Assumptions!$B$8/Assumptions!$B$10,"n/a")</f>
        <v/>
      </c>
      <c r="F36" s="20">
        <f>IF($A36&gt;F$35,(NPV($A36,DCF_Base!$C$21:$L$21)+MAX(0,MIN(DCF_Base!$L$21*(1+F$35)/($A36-F$35),Assumptions!$B$11*DCF_Base!$L$21))/(1+$A36)^10-Assumptions!$B$6-Assumptions!$B$7)/Assumptions!$B$8/Assumptions!$B$10,"n/a")</f>
        <v/>
      </c>
    </row>
    <row r="37">
      <c r="A37" s="7" t="n">
        <v>0.075</v>
      </c>
      <c r="B37" s="20">
        <f>IF($A37&gt;B$35,(NPV($A37,DCF_Base!$C$21:$L$21)+MAX(0,MIN(DCF_Base!$L$21*(1+B$35)/($A37-B$35),Assumptions!$B$11*DCF_Base!$L$21))/(1+$A37)^10-Assumptions!$B$6-Assumptions!$B$7)/Assumptions!$B$8/Assumptions!$B$10,"n/a")</f>
        <v/>
      </c>
      <c r="C37" s="20">
        <f>IF($A37&gt;C$35,(NPV($A37,DCF_Base!$C$21:$L$21)+MAX(0,MIN(DCF_Base!$L$21*(1+C$35)/($A37-C$35),Assumptions!$B$11*DCF_Base!$L$21))/(1+$A37)^10-Assumptions!$B$6-Assumptions!$B$7)/Assumptions!$B$8/Assumptions!$B$10,"n/a")</f>
        <v/>
      </c>
      <c r="D37" s="20">
        <f>IF($A37&gt;D$35,(NPV($A37,DCF_Base!$C$21:$L$21)+MAX(0,MIN(DCF_Base!$L$21*(1+D$35)/($A37-D$35),Assumptions!$B$11*DCF_Base!$L$21))/(1+$A37)^10-Assumptions!$B$6-Assumptions!$B$7)/Assumptions!$B$8/Assumptions!$B$10,"n/a")</f>
        <v/>
      </c>
      <c r="E37" s="20">
        <f>IF($A37&gt;E$35,(NPV($A37,DCF_Base!$C$21:$L$21)+MAX(0,MIN(DCF_Base!$L$21*(1+E$35)/($A37-E$35),Assumptions!$B$11*DCF_Base!$L$21))/(1+$A37)^10-Assumptions!$B$6-Assumptions!$B$7)/Assumptions!$B$8/Assumptions!$B$10,"n/a")</f>
        <v/>
      </c>
      <c r="F37" s="20">
        <f>IF($A37&gt;F$35,(NPV($A37,DCF_Base!$C$21:$L$21)+MAX(0,MIN(DCF_Base!$L$21*(1+F$35)/($A37-F$35),Assumptions!$B$11*DCF_Base!$L$21))/(1+$A37)^10-Assumptions!$B$6-Assumptions!$B$7)/Assumptions!$B$8/Assumptions!$B$10,"n/a")</f>
        <v/>
      </c>
    </row>
    <row r="38">
      <c r="A38" s="7" t="n">
        <v>0.08500000000000001</v>
      </c>
      <c r="B38" s="20">
        <f>IF($A38&gt;B$35,(NPV($A38,DCF_Base!$C$21:$L$21)+MAX(0,MIN(DCF_Base!$L$21*(1+B$35)/($A38-B$35),Assumptions!$B$11*DCF_Base!$L$21))/(1+$A38)^10-Assumptions!$B$6-Assumptions!$B$7)/Assumptions!$B$8/Assumptions!$B$10,"n/a")</f>
        <v/>
      </c>
      <c r="C38" s="20">
        <f>IF($A38&gt;C$35,(NPV($A38,DCF_Base!$C$21:$L$21)+MAX(0,MIN(DCF_Base!$L$21*(1+C$35)/($A38-C$35),Assumptions!$B$11*DCF_Base!$L$21))/(1+$A38)^10-Assumptions!$B$6-Assumptions!$B$7)/Assumptions!$B$8/Assumptions!$B$10,"n/a")</f>
        <v/>
      </c>
      <c r="D38" s="25">
        <f>IF($A38&gt;D$35,(NPV($A38,DCF_Base!$C$21:$L$21)+MAX(0,MIN(DCF_Base!$L$21*(1+D$35)/($A38-D$35),Assumptions!$B$11*DCF_Base!$L$21))/(1+$A38)^10-Assumptions!$B$6-Assumptions!$B$7)/Assumptions!$B$8/Assumptions!$B$10,"n/a")</f>
        <v/>
      </c>
      <c r="E38" s="20">
        <f>IF($A38&gt;E$35,(NPV($A38,DCF_Base!$C$21:$L$21)+MAX(0,MIN(DCF_Base!$L$21*(1+E$35)/($A38-E$35),Assumptions!$B$11*DCF_Base!$L$21))/(1+$A38)^10-Assumptions!$B$6-Assumptions!$B$7)/Assumptions!$B$8/Assumptions!$B$10,"n/a")</f>
        <v/>
      </c>
      <c r="F38" s="20">
        <f>IF($A38&gt;F$35,(NPV($A38,DCF_Base!$C$21:$L$21)+MAX(0,MIN(DCF_Base!$L$21*(1+F$35)/($A38-F$35),Assumptions!$B$11*DCF_Base!$L$21))/(1+$A38)^10-Assumptions!$B$6-Assumptions!$B$7)/Assumptions!$B$8/Assumptions!$B$10,"n/a")</f>
        <v/>
      </c>
    </row>
    <row r="39">
      <c r="A39" s="7" t="n">
        <v>0.095</v>
      </c>
      <c r="B39" s="20">
        <f>IF($A39&gt;B$35,(NPV($A39,DCF_Base!$C$21:$L$21)+MAX(0,MIN(DCF_Base!$L$21*(1+B$35)/($A39-B$35),Assumptions!$B$11*DCF_Base!$L$21))/(1+$A39)^10-Assumptions!$B$6-Assumptions!$B$7)/Assumptions!$B$8/Assumptions!$B$10,"n/a")</f>
        <v/>
      </c>
      <c r="C39" s="20">
        <f>IF($A39&gt;C$35,(NPV($A39,DCF_Base!$C$21:$L$21)+MAX(0,MIN(DCF_Base!$L$21*(1+C$35)/($A39-C$35),Assumptions!$B$11*DCF_Base!$L$21))/(1+$A39)^10-Assumptions!$B$6-Assumptions!$B$7)/Assumptions!$B$8/Assumptions!$B$10,"n/a")</f>
        <v/>
      </c>
      <c r="D39" s="20">
        <f>IF($A39&gt;D$35,(NPV($A39,DCF_Base!$C$21:$L$21)+MAX(0,MIN(DCF_Base!$L$21*(1+D$35)/($A39-D$35),Assumptions!$B$11*DCF_Base!$L$21))/(1+$A39)^10-Assumptions!$B$6-Assumptions!$B$7)/Assumptions!$B$8/Assumptions!$B$10,"n/a")</f>
        <v/>
      </c>
      <c r="E39" s="20">
        <f>IF($A39&gt;E$35,(NPV($A39,DCF_Base!$C$21:$L$21)+MAX(0,MIN(DCF_Base!$L$21*(1+E$35)/($A39-E$35),Assumptions!$B$11*DCF_Base!$L$21))/(1+$A39)^10-Assumptions!$B$6-Assumptions!$B$7)/Assumptions!$B$8/Assumptions!$B$10,"n/a")</f>
        <v/>
      </c>
      <c r="F39" s="20">
        <f>IF($A39&gt;F$35,(NPV($A39,DCF_Base!$C$21:$L$21)+MAX(0,MIN(DCF_Base!$L$21*(1+F$35)/($A39-F$35),Assumptions!$B$11*DCF_Base!$L$21))/(1+$A39)^10-Assumptions!$B$6-Assumptions!$B$7)/Assumptions!$B$8/Assumptions!$B$10,"n/a")</f>
        <v/>
      </c>
    </row>
    <row r="40">
      <c r="A40" s="7" t="n">
        <v>0.105</v>
      </c>
      <c r="B40" s="20">
        <f>IF($A40&gt;B$35,(NPV($A40,DCF_Base!$C$21:$L$21)+MAX(0,MIN(DCF_Base!$L$21*(1+B$35)/($A40-B$35),Assumptions!$B$11*DCF_Base!$L$21))/(1+$A40)^10-Assumptions!$B$6-Assumptions!$B$7)/Assumptions!$B$8/Assumptions!$B$10,"n/a")</f>
        <v/>
      </c>
      <c r="C40" s="20">
        <f>IF($A40&gt;C$35,(NPV($A40,DCF_Base!$C$21:$L$21)+MAX(0,MIN(DCF_Base!$L$21*(1+C$35)/($A40-C$35),Assumptions!$B$11*DCF_Base!$L$21))/(1+$A40)^10-Assumptions!$B$6-Assumptions!$B$7)/Assumptions!$B$8/Assumptions!$B$10,"n/a")</f>
        <v/>
      </c>
      <c r="D40" s="20">
        <f>IF($A40&gt;D$35,(NPV($A40,DCF_Base!$C$21:$L$21)+MAX(0,MIN(DCF_Base!$L$21*(1+D$35)/($A40-D$35),Assumptions!$B$11*DCF_Base!$L$21))/(1+$A40)^10-Assumptions!$B$6-Assumptions!$B$7)/Assumptions!$B$8/Assumptions!$B$10,"n/a")</f>
        <v/>
      </c>
      <c r="E40" s="20">
        <f>IF($A40&gt;E$35,(NPV($A40,DCF_Base!$C$21:$L$21)+MAX(0,MIN(DCF_Base!$L$21*(1+E$35)/($A40-E$35),Assumptions!$B$11*DCF_Base!$L$21))/(1+$A40)^10-Assumptions!$B$6-Assumptions!$B$7)/Assumptions!$B$8/Assumptions!$B$10,"n/a")</f>
        <v/>
      </c>
      <c r="F40" s="20">
        <f>IF($A40&gt;F$35,(NPV($A40,DCF_Base!$C$21:$L$21)+MAX(0,MIN(DCF_Base!$L$21*(1+F$35)/($A40-F$35),Assumptions!$B$11*DCF_Base!$L$21))/(1+$A40)^10-Assumptions!$B$6-Assumptions!$B$7)/Assumptions!$B$8/Assumptions!$B$10,"n/a")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2026-09-21T11:21:23Z</dcterms:created>
  <dcterms:modified xmlns:dcterms="http://purl.org/dc/terms/" xmlns:xsi="http://www.w3.org/2001/XMLSchema-instance" xsi:type="dcterms:W3CDTF">2026-09-21T11:21:23Z</dcterms:modified>
</cp:coreProperties>
</file>