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<sst xmlns="http://schemas.openxmlformats.org/spreadsheetml/2006/main" count="389" uniqueCount="185">
  <si>
    <t xml:space="preserve">Ticker</t>
  </si>
  <si>
    <t xml:space="preserve">BMO.TO</t>
  </si>
  <si>
    <t xml:space="preserve">Company</t>
  </si>
  <si>
    <t xml:space="preserve">Bank of Montreal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</si>
  <si>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</si>
  <si>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</si>
  <si>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</si>
  <si>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</si>
  <si>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(Yahoo Finance chart API, TSX BMO.TO, CAD)</t>
  </si>
  <si>
    <t xml:space="preserve">Balance sheet date</t>
  </si>
  <si>
    <t xml:space="preserve">2026-07-31</t>
  </si>
  <si>
    <t xml:space="preserve">Model</t>
  </si>
  <si>
    <t xml:space="preserve">Bank FCFE at cost of equity (engine route), net_debt = 0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</si>
  <si>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</si>
  <si>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</si>
  <si>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</si>
  <si>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</si>
  <si>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</si>
  <si>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</si>
  <si>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</si>
  <si>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</si>
  <si>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2026-10-10T06:45:07Z</t>
  </si>
  <si>
    <t xml:space="preserve">Drivers file</t>
  </si>
  <si>
    <t xml:space="preserve">BMO.TO_Drivers.json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</si>
  <si>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</si>
  <si>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</si>
  <si>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</si>
  <si>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what common shareholders can take out: adjusted net income to common less the earnings that must be retained to hold CET1 at ~13% as the balance sheet grows, discounted at the CAD cost of equity. Deposits and wholesale funding are operating funding, so there is no net-debt deduction; preferred/AT1 distributions and NCI are removed inside the flow. On this home-market listing flows, bridge, discount rate and quote are all CAD, so the per-share result compares directly with the TSX price with no currency conversion -- the cleaner form of the same valuation carried on the NYSE line BMO.
key_risks_to_valuation: Credit cycle: PCL is ~7.7% of revenue at 0.43% of loans; a 0.8% year (bear) takes ~C$2.6B pre-tax out of one year's earnings.; Fee-cycle peak: Capital Markets and Wealth are posting 15-20%+ revenue growth on strong markets; a reversal hits the year-1 growth and margin directly.; Adjusted vs reported: the model uses adjusted earnings; BMO has booked recurring 'one-off' charges (Bank of the West integration, branch sale, C$1.0B goodwill charge on Transportation Finance). If such charges recur, adjusted overstates owner earnings.; Divestiture pro forma: the ~2% revenue / ~3% NI removed and the +50bp CET1 credited are management's estimates; final amounts depend on closing adjustments and FX.; FX (earnings, not quote): no translation enters the per-share value on this CAD listing, but roughly a third of earnings are USD-denominated, so a stronger CAD lowers reported CAD earnings and the FY0 base.; Terminal value carries most of the value; the 14x FCFE cap and 3% CAD nominal terminal growth drive it.</t>
  </si>
  <si>
    <t xml:space="preserve">Data sources</t>
  </si>
  <si>
    <t xml:space="preserve">price: Yahoo Finance chart API at inputs.price_as_of (TSX BMO.TO, CAD); NYSE BMO and CADUSD=X fetched only for the parity check; 52-week range 168.92-259.20 CAD
financials: BMO Q3-2026 Report to Shareholders (Aug 25, 2026; BMO.TO_Quarterly_Q3-2026.txt: Tables 1-2 reported and adjusted results, share data, CET1, RWA; Corporate Events: divestitures and pro forma impact; balance sheet: preferred and other equity 7,706, goodwill 16,086, intangibles 5,158); FY2025 Annual Report (adjusted results table, medium-term objectives, share-based payments); BMO.TO_Metrics.csv / BMO.TO.duckdb kpis for history (NII, non-interest revenue, BVPS, CET1, efficiency, ROE) -- identical to the BMO (NYSE) folder's data.
qualitative: BMO.TO_Analysis.json (2026-10-10): March-2026 Investor Day targets (adjusted ROE 15% by end-FY2027, ROTCE 18%+, EPS growth 7-10%, operating leverage 2%+, payout 40-50%), USMCA/credit risk framing, Moneris sale to Francisco Partners, Euroz Hartleys acquisition. Sibling valuation: research/BMO/Reports/BMO_Drivers.json (2026-10-04).</t>
  </si>
  <si>
    <t xml:space="preserve">Scenario narrative: bear</t>
  </si>
  <si>
    <t xml:space="preserve">USMCA renegotiation fails, broad U.S. tariffs return and Canada enters recession in 2027-28: unemployment rises past 8%, unsecured consumer and commercial losses push PCL to ~0.8% of loans, Canadian housing softens on mortgage renewals at higher rates, and U.S. Banking returns stay at 7-8%. No solvency or funding case (CET1 13%, TLAC 29%, LCR 125%), but earnings power resets lower and the market prices BMO like a sub-par Big Six bank.</t>
  </si>
  <si>
    <t xml:space="preserve">Scenario narrative: base</t>
  </si>
  <si>
    <t xml:space="preserve">BMO executes the March-2026 Investor Day plan: 4-6% revenue growth led by Capital Markets and Wealth (AUM C$604B, +30% YoY) plus steady commercial loan growth in both countries, 2%+ operating leverage taking adjusted efficiency to ~53%, credit near through-cycle (PCL ~0.43-0.45%). Lower-return pieces (Transportation/Vendor Finance, 138 U.S. branches, Moneris) are sold and the capital recycled into buybacks. Adjusted ROE reaches ~15% and ROTCE ~18.5-19% by FY2028, then plateaus; CET1 is run at ~13%.</t>
  </si>
  <si>
    <t xml:space="preserve">Scenario narrative: bull</t>
  </si>
  <si>
    <t xml:space="preserve">U.S. Banking finally closes the ROE gap to Canadian P&amp;C after the portfolio clean-up, Capital Markets and Wealth sustain double-digit fee growth, and Canadian rate cuts reignite mortgage and commercial lending. Efficiency reaches ~51-52%, ROTCE ~20-21%, and BMO earns a premium among the Big Six.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</si>
  <si>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</si>
  <si>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</si>
  <si>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</si>
  <si>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</si>
  <si>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</si>
  <si>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</si>
  <si>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</si>
  <si>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</si>
  <si>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</si>
  <si>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</si>
  <si>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</si>
  <si>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</si>
  <si>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</si>
  <si>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</si>
  <si>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</si>
  <si>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</si>
  <si>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</si>
  <si>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</si>
  <si>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</si>
  <si>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</si>
  <si>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</si>
  <si>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</si>
  <si>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</si>
  <si>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</si>
  <si>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</si>
  <si>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</si>
  <si>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</si>
  <si>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AUM</t>
  </si>
  <si>
    <t xml:space="preserve">BasicEPS</t>
  </si>
  <si>
    <t xml:space="preserve">BookValuePerShare</t>
  </si>
  <si>
    <t xml:space="preserve">CET1Ratio</t>
  </si>
  <si>
    <t xml:space="preserve">CreditImpairmentCharge</t>
  </si>
  <si>
    <t xml:space="preserve">Deposits</t>
  </si>
  <si>
    <t xml:space="preserve">EfficiencyRatio</t>
  </si>
  <si>
    <t xml:space="preserve">NetInterestIncome</t>
  </si>
  <si>
    <t xml:space="preserve">NetInterestMargin</t>
  </si>
  <si>
    <t xml:space="preserve">NetLoans</t>
  </si>
  <si>
    <t xml:space="preserve">NonInterestIncome</t>
  </si>
  <si>
    <t xml:space="preserve">ROE</t>
  </si>
  <si>
    <t xml:space="preserve">RiskWeightedAssets</t>
  </si>
  <si>
    <t xml:space="preserve">TotalCommonEquity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</si>
  <si>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</si>
  <si>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</si>
  <si>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</si>
  <si>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</si>
  <si>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</si>
  <si>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</si>
  <si>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</si>
  <si>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</si>
  <si>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</si>
  <si>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</si>
  <si>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</si>
  <si>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</si>
  <si>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</si>
  <si>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</si>
  <si>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</si>
  <si>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</si>
  <si>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</si>
  <si>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</si>
  <si>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</si>
  <si>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</si>
  <si>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</si>
  <si>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</si>
  <si>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</si>
  <si>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</si>
  <si>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2026-07-31 (adjusted basis, pro forma for announced divestitures)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</si>
  <si>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</si>
  <si>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</si>
  <si>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</si>
  <si>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</si>
  <si>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</si>
  <si>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</si>
  <si>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</si>
  <si>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</si>
  <si>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</si>
  <si>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</si>
  <si>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</si>
  <si>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</si>
  <si>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</si>
  <si>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</si>
  <si>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</si>
  <si>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</si>
  <si>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</si>
  <si>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</si>
  <si>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</si>
  <si>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</si>
  <si>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</si>
  <si>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</si>
  <si>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</si>
  <si>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</si>
  <si>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</si>
  <si>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</si>
  <si>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</si>
  <si>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</si>
  <si>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BMO.TO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</si>
  <si>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</si>
  <si>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</si>
  <si>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</si>
  <si>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</si>
  <si>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</si>
  <si>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</si>
  <si>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</si>
  <si>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</si>
  <si>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</si>
  <si>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</si>
  <si>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</si>
  <si>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</si>
  <si>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</si>
  <si>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</si>
  <si>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</si>
  <si>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</si>
  <si>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</si>
  <si>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</si>
  <si>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</si>
  <si>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</si>
  <si>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</si>
  <si>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</si>
  <si>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</si>
  <si>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</si>
  <si>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</si>
  <si>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</si>
  <si>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</si>
  <si>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</si>
  <si>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</si>
  <si>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</si>
  <si>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BMO.TO owner-FCF component DCF: base case (millions, CAD)</t>
  </si>
  <si>
    <t xml:space="preserve">BMO.TO owner-FCF component DCF: bull case (millions, CAD)</t>
  </si>
  <si>
    <t xml:space="preserve">BMO.TO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</si>
  <si>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</si>
  <si>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</si>
  <si>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</si>
  <si>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</si>
  <si>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</si>
  <si>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</si>
  <si>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</si>
  <si>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</si>
  <si>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</si>
  <si>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</si>
  <si>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</si>
  <si>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</si>
  <si>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</si>
  <si>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</si>
  <si>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</si>
  <si>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9.75%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</si>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</sst>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232.1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  <c r="AO1" s="2" t="s">
        <v>75</v>
      </c>
      <c r="AP1" s="2" t="s">
        <v>76</v>
      </c>
    </row>
    <row r="2" customFormat="false" ht="15" hidden="false" customHeight="false" outlineLevel="0" collapsed="false">
      <c r="A2" s="0" t="s">
        <v>77</v>
      </c>
      <c r="B2" s="0" t="n">
        <v>13718</v>
      </c>
      <c r="I2" s="0" t="n">
        <v>3266</v>
      </c>
      <c r="J2" s="0" t="n">
        <v>23.8</v>
      </c>
      <c r="L2" s="0" t="n">
        <v>572</v>
      </c>
      <c r="M2" s="0" t="n">
        <v>369</v>
      </c>
      <c r="P2" s="0" t="n">
        <v>477423</v>
      </c>
      <c r="T2" s="0" t="n">
        <v>593.555</v>
      </c>
      <c r="V2" s="0" t="n">
        <v>2.8</v>
      </c>
      <c r="AA2" s="0" t="s">
        <v>17</v>
      </c>
      <c r="AB2" s="0" t="s">
        <v>14</v>
      </c>
      <c r="AE2" s="0" t="n">
        <v>39.53</v>
      </c>
      <c r="AG2" s="0" t="n">
        <v>857</v>
      </c>
      <c r="AH2" s="0" t="n">
        <v>302932</v>
      </c>
      <c r="AJ2" s="0" t="n">
        <v>7079</v>
      </c>
      <c r="AK2" s="0" t="n">
        <v>2.05</v>
      </c>
      <c r="AL2" s="0" t="n">
        <v>206498</v>
      </c>
      <c r="AM2" s="0" t="n">
        <v>6639</v>
      </c>
      <c r="AN2" s="0" t="n">
        <v>14.3</v>
      </c>
    </row>
    <row r="3" customFormat="false" ht="15" hidden="false" customHeight="false" outlineLevel="0" collapsed="false">
      <c r="A3" s="0" t="s">
        <v>78</v>
      </c>
      <c r="B3" s="0" t="n">
        <v>16130</v>
      </c>
      <c r="I3" s="0" t="n">
        <v>4189</v>
      </c>
      <c r="J3" s="0" t="n">
        <v>26</v>
      </c>
      <c r="K3" s="0" t="n">
        <v>6.1</v>
      </c>
      <c r="L3" s="0" t="n">
        <v>10258</v>
      </c>
      <c r="O3" s="0" t="n">
        <v>30090</v>
      </c>
      <c r="P3" s="0" t="n">
        <v>525449</v>
      </c>
      <c r="Q3" s="0" t="n">
        <v>495359</v>
      </c>
      <c r="R3" s="0" t="n">
        <v>4093</v>
      </c>
      <c r="S3" s="0" t="n">
        <v>19941</v>
      </c>
      <c r="T3" s="0" t="n">
        <v>648.615</v>
      </c>
      <c r="V3" s="0" t="n">
        <v>2.82</v>
      </c>
      <c r="AA3" s="0" t="s">
        <v>17</v>
      </c>
      <c r="AB3" s="0" t="s">
        <v>14</v>
      </c>
      <c r="AE3" s="0" t="n">
        <v>40.25</v>
      </c>
      <c r="AG3" s="0" t="n">
        <v>764</v>
      </c>
      <c r="AI3" s="0" t="n">
        <v>63.1</v>
      </c>
      <c r="AJ3" s="0" t="n">
        <v>8808</v>
      </c>
      <c r="AK3" s="0" t="n">
        <v>1.9</v>
      </c>
      <c r="AM3" s="0" t="n">
        <v>7322</v>
      </c>
      <c r="AN3" s="0" t="n">
        <v>15.5</v>
      </c>
    </row>
    <row r="4" customFormat="false" ht="15" hidden="false" customHeight="false" outlineLevel="0" collapsed="false">
      <c r="A4" s="0" t="s">
        <v>79</v>
      </c>
      <c r="B4" s="0" t="n">
        <v>16263</v>
      </c>
      <c r="I4" s="0" t="n">
        <v>4248</v>
      </c>
      <c r="J4" s="0" t="n">
        <v>26.1</v>
      </c>
      <c r="K4" s="0" t="n">
        <v>6.17</v>
      </c>
      <c r="L4" s="0" t="n">
        <v>11433</v>
      </c>
      <c r="O4" s="0" t="n">
        <v>31481</v>
      </c>
      <c r="P4" s="0" t="n">
        <v>537299</v>
      </c>
      <c r="Q4" s="0" t="n">
        <v>505818</v>
      </c>
      <c r="R4" s="0" t="n">
        <v>3996</v>
      </c>
      <c r="S4" s="0" t="n">
        <v>26083</v>
      </c>
      <c r="T4" s="0" t="n">
        <v>649.806</v>
      </c>
      <c r="V4" s="0" t="n">
        <v>2.94</v>
      </c>
      <c r="AA4" s="0" t="s">
        <v>17</v>
      </c>
      <c r="AB4" s="0" t="s">
        <v>14</v>
      </c>
      <c r="AE4" s="0" t="n">
        <v>43.69</v>
      </c>
      <c r="AG4" s="0" t="n">
        <v>587</v>
      </c>
      <c r="AI4" s="0" t="n">
        <v>62</v>
      </c>
      <c r="AJ4" s="0" t="n">
        <v>8545</v>
      </c>
      <c r="AK4" s="0" t="n">
        <v>1.75</v>
      </c>
      <c r="AM4" s="0" t="n">
        <v>7718</v>
      </c>
      <c r="AN4" s="0" t="n">
        <v>15</v>
      </c>
    </row>
    <row r="5" customFormat="false" ht="15" hidden="false" customHeight="false" outlineLevel="0" collapsed="false">
      <c r="A5" s="0" t="s">
        <v>80</v>
      </c>
      <c r="B5" s="0" t="n">
        <v>16718</v>
      </c>
      <c r="I5" s="0" t="n">
        <v>4333</v>
      </c>
      <c r="J5" s="0" t="n">
        <v>25.9</v>
      </c>
      <c r="K5" s="0" t="n">
        <v>6.41</v>
      </c>
      <c r="L5" s="0" t="n">
        <v>-2927</v>
      </c>
      <c r="M5" s="0" t="n">
        <v>355</v>
      </c>
      <c r="O5" s="0" t="n">
        <v>35404</v>
      </c>
      <c r="P5" s="0" t="n">
        <v>588659</v>
      </c>
      <c r="Q5" s="0" t="n">
        <v>553255</v>
      </c>
      <c r="R5" s="0" t="n">
        <v>4913</v>
      </c>
      <c r="S5" s="0" t="n">
        <v>28386</v>
      </c>
      <c r="T5" s="0" t="n">
        <v>648.475</v>
      </c>
      <c r="V5" s="0" t="n">
        <v>3.08</v>
      </c>
      <c r="AA5" s="0" t="s">
        <v>17</v>
      </c>
      <c r="AB5" s="0" t="s">
        <v>14</v>
      </c>
      <c r="AE5" s="0" t="n">
        <v>48.18</v>
      </c>
      <c r="AG5" s="0" t="n">
        <v>561</v>
      </c>
      <c r="AJ5" s="0" t="n">
        <v>8461</v>
      </c>
      <c r="AK5" s="0" t="n">
        <v>1.57</v>
      </c>
      <c r="AM5" s="0" t="n">
        <v>8257</v>
      </c>
      <c r="AN5" s="0" t="n">
        <v>14</v>
      </c>
    </row>
    <row r="6" customFormat="false" ht="15" hidden="false" customHeight="false" outlineLevel="0" collapsed="false">
      <c r="A6" s="0" t="s">
        <v>81</v>
      </c>
      <c r="B6" s="0" t="n">
        <v>19389</v>
      </c>
      <c r="I6" s="0" t="n">
        <v>4405</v>
      </c>
      <c r="J6" s="0" t="n">
        <v>22.7</v>
      </c>
      <c r="K6" s="0" t="n">
        <v>6.57</v>
      </c>
      <c r="L6" s="0" t="n">
        <v>2333</v>
      </c>
      <c r="O6" s="0" t="n">
        <v>39913</v>
      </c>
      <c r="P6" s="0" t="n">
        <v>641881</v>
      </c>
      <c r="Q6" s="0" t="n">
        <v>601968</v>
      </c>
      <c r="R6" s="0" t="n">
        <v>4416</v>
      </c>
      <c r="S6" s="0" t="n">
        <v>40295</v>
      </c>
      <c r="T6" s="0" t="n">
        <v>647.162</v>
      </c>
      <c r="V6" s="0" t="n">
        <v>3.24</v>
      </c>
      <c r="AA6" s="0" t="s">
        <v>17</v>
      </c>
      <c r="AB6" s="0" t="s">
        <v>14</v>
      </c>
      <c r="AE6" s="0" t="n">
        <v>56.31</v>
      </c>
      <c r="AG6" s="0" t="n">
        <v>612</v>
      </c>
      <c r="AJ6" s="0" t="n">
        <v>8970</v>
      </c>
      <c r="AK6" s="0" t="n">
        <v>1.51</v>
      </c>
      <c r="AM6" s="0" t="n">
        <v>10419</v>
      </c>
      <c r="AN6" s="0" t="n">
        <v>12.5</v>
      </c>
    </row>
    <row r="7" customFormat="false" ht="15" hidden="false" customHeight="false" outlineLevel="0" collapsed="false">
      <c r="A7" s="0" t="s">
        <v>82</v>
      </c>
      <c r="B7" s="0" t="n">
        <v>21087</v>
      </c>
      <c r="I7" s="0" t="n">
        <v>4631</v>
      </c>
      <c r="J7" s="0" t="n">
        <v>22</v>
      </c>
      <c r="K7" s="0" t="n">
        <v>6.92</v>
      </c>
      <c r="L7" s="0" t="n">
        <v>-2648</v>
      </c>
      <c r="O7" s="0" t="n">
        <v>42328</v>
      </c>
      <c r="P7" s="0" t="n">
        <v>687935</v>
      </c>
      <c r="Q7" s="0" t="n">
        <v>645607</v>
      </c>
      <c r="R7" s="0" t="n">
        <v>4439</v>
      </c>
      <c r="S7" s="0" t="n">
        <v>31653</v>
      </c>
      <c r="T7" s="0" t="n">
        <v>646.148</v>
      </c>
      <c r="V7" s="0" t="n">
        <v>3.4</v>
      </c>
      <c r="AA7" s="0" t="s">
        <v>17</v>
      </c>
      <c r="AB7" s="0" t="s">
        <v>14</v>
      </c>
      <c r="AE7" s="0" t="n">
        <v>59.56</v>
      </c>
      <c r="AG7" s="0" t="n">
        <v>815</v>
      </c>
      <c r="AJ7" s="0" t="n">
        <v>9872</v>
      </c>
      <c r="AK7" s="0" t="n">
        <v>1.59</v>
      </c>
      <c r="AM7" s="0" t="n">
        <v>11215</v>
      </c>
      <c r="AN7" s="0" t="n">
        <v>12.1</v>
      </c>
    </row>
    <row r="8" customFormat="false" ht="15" hidden="false" customHeight="false" outlineLevel="0" collapsed="false">
      <c r="A8" s="0" t="s">
        <v>83</v>
      </c>
      <c r="B8" s="0" t="n">
        <v>22260</v>
      </c>
      <c r="I8" s="0" t="n">
        <v>5350</v>
      </c>
      <c r="J8" s="0" t="n">
        <v>24</v>
      </c>
      <c r="K8" s="0" t="n">
        <v>7.92</v>
      </c>
      <c r="L8" s="0" t="n">
        <v>2908</v>
      </c>
      <c r="O8" s="0" t="n">
        <v>44354</v>
      </c>
      <c r="P8" s="0" t="n">
        <v>709580</v>
      </c>
      <c r="Q8" s="0" t="n">
        <v>665226</v>
      </c>
      <c r="R8" s="0" t="n">
        <v>5029</v>
      </c>
      <c r="S8" s="0" t="n">
        <v>32599</v>
      </c>
      <c r="V8" s="0" t="n">
        <v>3.56</v>
      </c>
      <c r="AA8" s="0" t="s">
        <v>17</v>
      </c>
      <c r="AB8" s="0" t="s">
        <v>14</v>
      </c>
      <c r="AE8" s="0" t="n">
        <v>61.92</v>
      </c>
      <c r="AF8" s="0" t="n">
        <v>11.4</v>
      </c>
      <c r="AG8" s="0" t="n">
        <v>774</v>
      </c>
      <c r="AH8" s="0" t="n">
        <v>483488</v>
      </c>
      <c r="AJ8" s="0" t="n">
        <v>10007</v>
      </c>
      <c r="AK8" s="0" t="n">
        <v>1.55</v>
      </c>
      <c r="AL8" s="0" t="n">
        <v>378218</v>
      </c>
      <c r="AM8" s="0" t="n">
        <v>12253</v>
      </c>
      <c r="AN8" s="0" t="n">
        <v>13.3</v>
      </c>
      <c r="AP8" s="0" t="n">
        <v>40114</v>
      </c>
    </row>
    <row r="9" customFormat="false" ht="15" hidden="false" customHeight="false" outlineLevel="0" collapsed="false">
      <c r="A9" s="0" t="s">
        <v>84</v>
      </c>
      <c r="B9" s="0" t="n">
        <v>23037</v>
      </c>
      <c r="I9" s="0" t="n">
        <v>5450</v>
      </c>
      <c r="J9" s="0" t="n">
        <v>23.7</v>
      </c>
      <c r="K9" s="0" t="n">
        <v>8.17</v>
      </c>
      <c r="L9" s="0" t="n">
        <v>17912</v>
      </c>
      <c r="O9" s="0" t="n">
        <v>45727</v>
      </c>
      <c r="P9" s="0" t="n">
        <v>774048</v>
      </c>
      <c r="Q9" s="0" t="n">
        <v>728321</v>
      </c>
      <c r="R9" s="0" t="n">
        <v>6782</v>
      </c>
      <c r="S9" s="0" t="n">
        <v>42142</v>
      </c>
      <c r="T9" s="0" t="n">
        <v>644.9</v>
      </c>
      <c r="V9" s="0" t="n">
        <v>3.78</v>
      </c>
      <c r="AA9" s="0" t="s">
        <v>17</v>
      </c>
      <c r="AB9" s="0" t="s">
        <v>14</v>
      </c>
      <c r="AE9" s="0" t="n">
        <v>64.73</v>
      </c>
      <c r="AF9" s="0" t="n">
        <v>11.3</v>
      </c>
      <c r="AG9" s="0" t="n">
        <v>662</v>
      </c>
      <c r="AH9" s="0" t="n">
        <v>522051</v>
      </c>
      <c r="AJ9" s="0" t="n">
        <v>10313</v>
      </c>
      <c r="AK9" s="0" t="n">
        <v>1.51</v>
      </c>
      <c r="AL9" s="0" t="n">
        <v>402576</v>
      </c>
      <c r="AM9" s="0" t="n">
        <v>12724</v>
      </c>
      <c r="AN9" s="0" t="n">
        <v>13.2</v>
      </c>
      <c r="AP9" s="0" t="n">
        <v>41387</v>
      </c>
    </row>
    <row r="10" customFormat="false" ht="15" hidden="false" customHeight="false" outlineLevel="0" collapsed="false">
      <c r="A10" s="0" t="s">
        <v>85</v>
      </c>
      <c r="B10" s="0" t="n">
        <v>25483</v>
      </c>
      <c r="I10" s="0" t="n">
        <v>5758</v>
      </c>
      <c r="J10" s="0" t="n">
        <v>22.6</v>
      </c>
      <c r="K10" s="0" t="n">
        <v>8.66</v>
      </c>
      <c r="L10" s="0" t="n">
        <v>29303</v>
      </c>
      <c r="O10" s="0" t="n">
        <v>51076</v>
      </c>
      <c r="P10" s="0" t="n">
        <v>852195</v>
      </c>
      <c r="Q10" s="0" t="n">
        <v>801119</v>
      </c>
      <c r="R10" s="0" t="n">
        <v>6995</v>
      </c>
      <c r="S10" s="0" t="n">
        <v>48803</v>
      </c>
      <c r="T10" s="0" t="n">
        <v>640.4</v>
      </c>
      <c r="V10" s="0" t="n">
        <v>4.06</v>
      </c>
      <c r="AA10" s="0" t="s">
        <v>17</v>
      </c>
      <c r="AB10" s="0" t="s">
        <v>14</v>
      </c>
      <c r="AE10" s="0" t="n">
        <v>71.54</v>
      </c>
      <c r="AF10" s="0" t="n">
        <v>11.4</v>
      </c>
      <c r="AG10" s="0" t="n">
        <v>872</v>
      </c>
      <c r="AH10" s="0" t="n">
        <v>568143</v>
      </c>
      <c r="AJ10" s="0" t="n">
        <v>12888</v>
      </c>
      <c r="AK10" s="0" t="n">
        <v>1.7</v>
      </c>
      <c r="AL10" s="0" t="n">
        <v>449687</v>
      </c>
      <c r="AM10" s="0" t="n">
        <v>12595</v>
      </c>
      <c r="AN10" s="0" t="n">
        <v>12.6</v>
      </c>
      <c r="AP10" s="0" t="n">
        <v>45728</v>
      </c>
    </row>
    <row r="11" customFormat="false" ht="15" hidden="false" customHeight="false" outlineLevel="0" collapsed="false">
      <c r="A11" s="0" t="s">
        <v>86</v>
      </c>
      <c r="B11" s="0" t="n">
        <v>25186</v>
      </c>
      <c r="I11" s="0" t="n">
        <v>5097</v>
      </c>
      <c r="J11" s="0" t="n">
        <v>20.2</v>
      </c>
      <c r="K11" s="0" t="n">
        <v>7.55</v>
      </c>
      <c r="L11" s="0" t="n">
        <v>50836</v>
      </c>
      <c r="O11" s="0" t="n">
        <v>56593</v>
      </c>
      <c r="P11" s="0" t="n">
        <v>949261</v>
      </c>
      <c r="Q11" s="0" t="n">
        <v>892668</v>
      </c>
      <c r="R11" s="0" t="n">
        <v>8416</v>
      </c>
      <c r="S11" s="0" t="n">
        <v>57408</v>
      </c>
      <c r="T11" s="0" t="n">
        <v>642.1</v>
      </c>
      <c r="V11" s="0" t="n">
        <v>4.24</v>
      </c>
      <c r="AA11" s="0" t="s">
        <v>17</v>
      </c>
      <c r="AB11" s="0" t="s">
        <v>14</v>
      </c>
      <c r="AE11" s="0" t="n">
        <v>77.4</v>
      </c>
      <c r="AF11" s="0" t="n">
        <v>11.9</v>
      </c>
      <c r="AG11" s="0" t="n">
        <v>2953</v>
      </c>
      <c r="AH11" s="0" t="n">
        <v>659034</v>
      </c>
      <c r="AJ11" s="0" t="n">
        <v>13971</v>
      </c>
      <c r="AK11" s="0" t="n">
        <v>1.64</v>
      </c>
      <c r="AL11" s="0" t="n">
        <v>458497</v>
      </c>
      <c r="AM11" s="0" t="n">
        <v>11215</v>
      </c>
      <c r="AN11" s="0" t="n">
        <v>10.1</v>
      </c>
      <c r="AP11" s="0" t="n">
        <v>49995</v>
      </c>
    </row>
    <row r="12" customFormat="false" ht="15" hidden="false" customHeight="false" outlineLevel="0" collapsed="false">
      <c r="A12" s="0" t="s">
        <v>87</v>
      </c>
      <c r="B12" s="0" t="n">
        <v>27186</v>
      </c>
      <c r="I12" s="0" t="n">
        <v>7754</v>
      </c>
      <c r="J12" s="0" t="n">
        <v>28.5</v>
      </c>
      <c r="K12" s="0" t="n">
        <v>11.58</v>
      </c>
      <c r="L12" s="0" t="n">
        <v>44049</v>
      </c>
      <c r="O12" s="0" t="n">
        <v>57523</v>
      </c>
      <c r="P12" s="0" t="n">
        <v>988175</v>
      </c>
      <c r="Q12" s="0" t="n">
        <v>930652</v>
      </c>
      <c r="R12" s="0" t="n">
        <v>6893</v>
      </c>
      <c r="S12" s="0" t="n">
        <v>93261</v>
      </c>
      <c r="T12" s="0" t="n">
        <v>648.7</v>
      </c>
      <c r="V12" s="0" t="n">
        <v>4.24</v>
      </c>
      <c r="AA12" s="0" t="s">
        <v>17</v>
      </c>
      <c r="AB12" s="0" t="s">
        <v>14</v>
      </c>
      <c r="AC12" s="0" t="n">
        <v>523270</v>
      </c>
      <c r="AD12" s="0" t="n">
        <v>11.6</v>
      </c>
      <c r="AE12" s="0" t="n">
        <v>80.18</v>
      </c>
      <c r="AF12" s="0" t="n">
        <v>13.7</v>
      </c>
      <c r="AG12" s="0" t="n">
        <v>20</v>
      </c>
      <c r="AH12" s="0" t="n">
        <v>685631</v>
      </c>
      <c r="AJ12" s="0" t="n">
        <v>14310</v>
      </c>
      <c r="AK12" s="0" t="n">
        <v>1.59</v>
      </c>
      <c r="AL12" s="0" t="n">
        <v>472283</v>
      </c>
      <c r="AM12" s="0" t="n">
        <v>12876</v>
      </c>
      <c r="AN12" s="0" t="n">
        <v>14.9</v>
      </c>
      <c r="AO12" s="0" t="n">
        <v>325433</v>
      </c>
      <c r="AP12" s="0" t="n">
        <v>51965</v>
      </c>
    </row>
    <row r="13" customFormat="false" ht="15" hidden="false" customHeight="false" outlineLevel="0" collapsed="false">
      <c r="A13" s="0" t="s">
        <v>88</v>
      </c>
      <c r="B13" s="0" t="n">
        <v>33710</v>
      </c>
      <c r="I13" s="0" t="n">
        <v>13537</v>
      </c>
      <c r="J13" s="0" t="n">
        <v>40.2</v>
      </c>
      <c r="K13" s="0" t="n">
        <v>19.99</v>
      </c>
      <c r="L13" s="0" t="n">
        <v>4957</v>
      </c>
      <c r="O13" s="0" t="n">
        <v>71038</v>
      </c>
      <c r="P13" s="0" t="n">
        <v>1139199</v>
      </c>
      <c r="Q13" s="0" t="n">
        <v>1068161</v>
      </c>
      <c r="R13" s="0" t="n">
        <v>8150</v>
      </c>
      <c r="S13" s="0" t="n">
        <v>87466</v>
      </c>
      <c r="T13" s="0" t="n">
        <v>665.7</v>
      </c>
      <c r="V13" s="0" t="n">
        <v>5.44</v>
      </c>
      <c r="AA13" s="0" t="s">
        <v>17</v>
      </c>
      <c r="AB13" s="0" t="s">
        <v>14</v>
      </c>
      <c r="AC13" s="0" t="n">
        <v>305462</v>
      </c>
      <c r="AD13" s="0" t="n">
        <v>20.04</v>
      </c>
      <c r="AE13" s="0" t="n">
        <v>95.6</v>
      </c>
      <c r="AF13" s="0" t="n">
        <v>16.7</v>
      </c>
      <c r="AH13" s="0" t="n">
        <v>769478</v>
      </c>
      <c r="AI13" s="0" t="n">
        <v>48</v>
      </c>
      <c r="AJ13" s="0" t="n">
        <v>15885</v>
      </c>
      <c r="AK13" s="0" t="n">
        <v>1.62</v>
      </c>
      <c r="AL13" s="0" t="n">
        <v>564574</v>
      </c>
      <c r="AM13" s="0" t="n">
        <v>17825</v>
      </c>
      <c r="AN13" s="0" t="n">
        <v>22.9</v>
      </c>
      <c r="AO13" s="0" t="n">
        <v>363997</v>
      </c>
      <c r="AP13" s="0" t="n">
        <v>64730</v>
      </c>
    </row>
    <row r="14" customFormat="false" ht="15" hidden="false" customHeight="false" outlineLevel="0" collapsed="false">
      <c r="A14" s="0" t="s">
        <v>89</v>
      </c>
      <c r="B14" s="0" t="n">
        <v>31199</v>
      </c>
      <c r="I14" s="0" t="n">
        <v>4377</v>
      </c>
      <c r="J14" s="0" t="n">
        <v>14</v>
      </c>
      <c r="K14" s="0" t="n">
        <v>5.68</v>
      </c>
      <c r="L14" s="0" t="n">
        <v>9591</v>
      </c>
      <c r="O14" s="0" t="n">
        <v>77037</v>
      </c>
      <c r="P14" s="0" t="n">
        <v>1293276</v>
      </c>
      <c r="Q14" s="0" t="n">
        <v>1216239</v>
      </c>
      <c r="R14" s="0" t="n">
        <v>8228</v>
      </c>
      <c r="S14" s="0" t="n">
        <v>77934</v>
      </c>
      <c r="T14" s="0" t="n">
        <v>710.5</v>
      </c>
      <c r="V14" s="0" t="n">
        <v>5.8</v>
      </c>
      <c r="AA14" s="0" t="s">
        <v>17</v>
      </c>
      <c r="AB14" s="0" t="s">
        <v>14</v>
      </c>
      <c r="AC14" s="0" t="n">
        <v>332947</v>
      </c>
      <c r="AD14" s="0" t="n">
        <v>5.69</v>
      </c>
      <c r="AE14" s="0" t="n">
        <v>97.17</v>
      </c>
      <c r="AF14" s="0" t="n">
        <v>12.5</v>
      </c>
      <c r="AH14" s="0" t="n">
        <v>909676</v>
      </c>
      <c r="AI14" s="0" t="n">
        <v>68</v>
      </c>
      <c r="AJ14" s="0" t="n">
        <v>18681</v>
      </c>
      <c r="AK14" s="0" t="n">
        <v>1.63</v>
      </c>
      <c r="AL14" s="0" t="n">
        <v>664589</v>
      </c>
      <c r="AM14" s="0" t="n">
        <v>12518</v>
      </c>
      <c r="AN14" s="0" t="n">
        <v>6</v>
      </c>
      <c r="AO14" s="0" t="n">
        <v>424197</v>
      </c>
      <c r="AP14" s="0" t="n">
        <v>70051</v>
      </c>
    </row>
    <row r="15" customFormat="false" ht="15" hidden="false" customHeight="false" outlineLevel="0" collapsed="false">
      <c r="A15" s="0" t="s">
        <v>90</v>
      </c>
      <c r="B15" s="0" t="n">
        <v>32795</v>
      </c>
      <c r="I15" s="0" t="n">
        <v>7327</v>
      </c>
      <c r="J15" s="0" t="n">
        <v>22.3</v>
      </c>
      <c r="K15" s="0" t="n">
        <v>9.51</v>
      </c>
      <c r="L15" s="0" t="n">
        <v>29030</v>
      </c>
      <c r="O15" s="0" t="n">
        <v>84286</v>
      </c>
      <c r="P15" s="0" t="n">
        <v>1409647</v>
      </c>
      <c r="Q15" s="0" t="n">
        <v>1325361</v>
      </c>
      <c r="R15" s="0" t="n">
        <v>8377</v>
      </c>
      <c r="S15" s="0" t="n">
        <v>65098</v>
      </c>
      <c r="T15" s="0" t="n">
        <v>728.5</v>
      </c>
      <c r="V15" s="0" t="n">
        <v>6.12</v>
      </c>
      <c r="AA15" s="0" t="s">
        <v>17</v>
      </c>
      <c r="AB15" s="0" t="s">
        <v>14</v>
      </c>
      <c r="AC15" s="0" t="n">
        <v>422701</v>
      </c>
      <c r="AD15" s="0" t="n">
        <v>9.52</v>
      </c>
      <c r="AE15" s="0" t="n">
        <v>104.4</v>
      </c>
      <c r="AF15" s="0" t="n">
        <v>13.6</v>
      </c>
      <c r="AH15" s="0" t="n">
        <v>982440</v>
      </c>
      <c r="AI15" s="0" t="n">
        <v>59.5</v>
      </c>
      <c r="AJ15" s="0" t="n">
        <v>19468</v>
      </c>
      <c r="AK15" s="0" t="n">
        <v>1.57</v>
      </c>
      <c r="AL15" s="0" t="n">
        <v>678375</v>
      </c>
      <c r="AM15" s="0" t="n">
        <v>13327</v>
      </c>
      <c r="AN15" s="0" t="n">
        <v>9.7</v>
      </c>
      <c r="AO15" s="0" t="n">
        <v>420838</v>
      </c>
      <c r="AP15" s="0" t="n">
        <v>76163</v>
      </c>
    </row>
    <row r="16" customFormat="false" ht="15" hidden="false" customHeight="false" outlineLevel="0" collapsed="false">
      <c r="A16" s="0" t="s">
        <v>91</v>
      </c>
      <c r="B16" s="0" t="n">
        <v>36274</v>
      </c>
      <c r="I16" s="0" t="n">
        <v>8725</v>
      </c>
      <c r="J16" s="0" t="n">
        <v>24.1</v>
      </c>
      <c r="K16" s="0" t="n">
        <v>11.44</v>
      </c>
      <c r="L16" s="0" t="n">
        <v>10240</v>
      </c>
      <c r="O16" s="0" t="n">
        <v>88100</v>
      </c>
      <c r="P16" s="0" t="n">
        <v>1476802</v>
      </c>
      <c r="Q16" s="0" t="n">
        <v>1388702</v>
      </c>
      <c r="R16" s="0" t="n">
        <v>8500</v>
      </c>
      <c r="S16" s="0" t="n">
        <v>67484</v>
      </c>
      <c r="T16" s="0" t="n">
        <v>723.3</v>
      </c>
      <c r="AA16" s="0" t="s">
        <v>17</v>
      </c>
      <c r="AB16" s="0" t="s">
        <v>14</v>
      </c>
      <c r="AC16" s="0" t="n">
        <v>506661</v>
      </c>
      <c r="AD16" s="0" t="n">
        <v>11.46</v>
      </c>
      <c r="AE16" s="0" t="n">
        <v>111.57</v>
      </c>
      <c r="AF16" s="0" t="n">
        <v>13.3</v>
      </c>
      <c r="AH16" s="0" t="n">
        <v>976202</v>
      </c>
      <c r="AI16" s="0" t="n">
        <v>58.2</v>
      </c>
      <c r="AJ16" s="0" t="n">
        <v>21487</v>
      </c>
      <c r="AK16" s="0" t="n">
        <v>1.65</v>
      </c>
      <c r="AL16" s="0" t="n">
        <v>677872</v>
      </c>
      <c r="AM16" s="0" t="n">
        <v>14787</v>
      </c>
      <c r="AN16" s="0" t="n">
        <v>10.6</v>
      </c>
      <c r="AO16" s="0" t="n">
        <v>437945</v>
      </c>
      <c r="AP16" s="0" t="n">
        <v>79095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92</v>
      </c>
      <c r="B1" s="2" t="s">
        <v>93</v>
      </c>
    </row>
    <row r="2" customFormat="false" ht="15" hidden="false" customHeight="false" outlineLevel="0" collapsed="false">
      <c r="A2" s="0" t="s">
        <v>94</v>
      </c>
      <c r="B2" s="3" t="n">
        <v>232.1</v>
      </c>
    </row>
    <row r="3" customFormat="false" ht="15" hidden="false" customHeight="false" outlineLevel="0" collapsed="false">
      <c r="A3" s="0" t="s">
        <v>95</v>
      </c>
      <c r="B3" s="3" t="n">
        <v>699.4</v>
      </c>
    </row>
    <row r="4" customFormat="false" ht="15" hidden="false" customHeight="false" outlineLevel="0" collapsed="false">
      <c r="A4" s="0" t="s">
        <v>96</v>
      </c>
      <c r="B4" s="3" t="n">
        <v>0</v>
      </c>
    </row>
    <row r="5" customFormat="false" ht="15" hidden="false" customHeight="false" outlineLevel="0" collapsed="false">
      <c r="A5" s="0" t="s">
        <v>97</v>
      </c>
      <c r="B5" s="3" t="n">
        <v>2200</v>
      </c>
    </row>
    <row r="6" customFormat="false" ht="15" hidden="false" customHeight="false" outlineLevel="0" collapsed="false">
      <c r="A6" s="0" t="s">
        <v>98</v>
      </c>
      <c r="B6" s="3" t="n">
        <v>15</v>
      </c>
    </row>
    <row r="7" customFormat="false" ht="15" hidden="false" customHeight="false" outlineLevel="0" collapsed="false">
      <c r="A7" s="0" t="s">
        <v>99</v>
      </c>
      <c r="B7" s="3" t="n">
        <v>37940</v>
      </c>
    </row>
    <row r="8" customFormat="false" ht="15" hidden="false" customHeight="false" outlineLevel="0" collapsed="false">
      <c r="A8" s="0" t="s">
        <v>100</v>
      </c>
      <c r="B8" s="3" t="s">
        <v>101</v>
      </c>
    </row>
    <row r="9" customFormat="false" ht="15" hidden="false" customHeight="false" outlineLevel="0" collapsed="false">
      <c r="A9" s="0" t="s">
        <v>102</v>
      </c>
      <c r="B9" s="3" t="s">
        <v>103</v>
      </c>
    </row>
    <row r="10" customFormat="false" ht="15" hidden="false" customHeight="false" outlineLevel="0" collapsed="false">
      <c r="A10" s="0" t="s">
        <v>104</v>
      </c>
      <c r="B10" s="3" t="n">
        <v>1</v>
      </c>
    </row>
    <row r="12" customFormat="false" ht="15" hidden="false" customHeight="false" outlineLevel="0" collapsed="false">
      <c r="A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113</v>
      </c>
      <c r="K12" s="2" t="s">
        <v>114</v>
      </c>
      <c r="L12" s="2" t="s">
        <v>115</v>
      </c>
    </row>
    <row r="13" customFormat="false" ht="15" hidden="false" customHeight="false" outlineLevel="0" collapsed="false">
      <c r="A13" s="0" t="s">
        <v>116</v>
      </c>
      <c r="C13" s="3" t="n">
        <v>3</v>
      </c>
      <c r="D13" s="3" t="n">
        <v>0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117</v>
      </c>
      <c r="C14" s="3" t="n">
        <v>34</v>
      </c>
      <c r="D14" s="3" t="n">
        <v>28.5</v>
      </c>
      <c r="E14" s="3" t="n">
        <v>31</v>
      </c>
      <c r="F14" s="3" t="n">
        <v>33</v>
      </c>
      <c r="G14" s="3" t="n">
        <v>33.5</v>
      </c>
      <c r="H14" s="3" t="n">
        <v>33.5</v>
      </c>
      <c r="I14" s="3" t="n">
        <v>33.5</v>
      </c>
      <c r="J14" s="3" t="n">
        <v>33.5</v>
      </c>
      <c r="K14" s="3" t="n">
        <v>33.5</v>
      </c>
      <c r="L14" s="3" t="n">
        <v>33.5</v>
      </c>
    </row>
    <row r="15" customFormat="false" ht="15" hidden="false" customHeight="false" outlineLevel="0" collapsed="false">
      <c r="A15" s="0" t="s">
        <v>118</v>
      </c>
      <c r="C15" s="3" t="n">
        <v>0.13</v>
      </c>
      <c r="D15" s="3" t="n">
        <v>0.13</v>
      </c>
      <c r="E15" s="3" t="n">
        <v>0.13</v>
      </c>
      <c r="F15" s="3" t="n">
        <v>0.13</v>
      </c>
      <c r="G15" s="3" t="n">
        <v>0.13</v>
      </c>
      <c r="H15" s="3" t="n">
        <v>0.13</v>
      </c>
      <c r="I15" s="3" t="n">
        <v>0.13</v>
      </c>
      <c r="J15" s="3" t="n">
        <v>0.13</v>
      </c>
      <c r="K15" s="3" t="n">
        <v>0.13</v>
      </c>
      <c r="L15" s="3" t="n">
        <v>0.13</v>
      </c>
    </row>
    <row r="16" customFormat="false" ht="15" hidden="false" customHeight="false" outlineLevel="0" collapsed="false">
      <c r="A16" s="0" t="s">
        <v>119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120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121</v>
      </c>
      <c r="C18" s="3" t="n">
        <v>4.42</v>
      </c>
      <c r="D18" s="3" t="n">
        <v>0</v>
      </c>
      <c r="E18" s="3" t="n">
        <v>2.98</v>
      </c>
      <c r="F18" s="3" t="n">
        <v>4.42</v>
      </c>
      <c r="G18" s="3" t="n">
        <v>4.42</v>
      </c>
      <c r="H18" s="3" t="n">
        <v>4.42</v>
      </c>
      <c r="I18" s="3" t="n">
        <v>4.42</v>
      </c>
      <c r="J18" s="3" t="n">
        <v>3.7</v>
      </c>
      <c r="K18" s="3" t="n">
        <v>3.7</v>
      </c>
      <c r="L18" s="3" t="n">
        <v>3.7</v>
      </c>
    </row>
    <row r="19" customFormat="false" ht="15" hidden="false" customHeight="false" outlineLevel="0" collapsed="false">
      <c r="A19" s="0" t="s">
        <v>122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123</v>
      </c>
      <c r="B20" s="3" t="n">
        <v>10.25</v>
      </c>
    </row>
    <row r="21" customFormat="false" ht="15" hidden="false" customHeight="false" outlineLevel="0" collapsed="false">
      <c r="A21" s="0" t="s">
        <v>124</v>
      </c>
      <c r="B21" s="3" t="n">
        <v>2.5</v>
      </c>
    </row>
    <row r="22" customFormat="false" ht="15" hidden="false" customHeight="false" outlineLevel="0" collapsed="false">
      <c r="A22" s="0" t="s">
        <v>125</v>
      </c>
      <c r="B22" s="3" t="n">
        <v>11</v>
      </c>
    </row>
    <row r="23" customFormat="false" ht="15" hidden="false" customHeight="false" outlineLevel="0" collapsed="false">
      <c r="A23" s="0" t="s">
        <v>126</v>
      </c>
      <c r="B23" s="3" t="n">
        <v>0</v>
      </c>
    </row>
    <row r="24" customFormat="false" ht="15" hidden="false" customHeight="false" outlineLevel="0" collapsed="false">
      <c r="A24" s="0" t="s">
        <v>127</v>
      </c>
      <c r="B24" s="3" t="n">
        <v>0.25</v>
      </c>
    </row>
    <row r="26" customFormat="false" ht="15" hidden="false" customHeight="false" outlineLevel="0" collapsed="false">
      <c r="A26" s="2" t="s">
        <v>128</v>
      </c>
      <c r="C26" s="2" t="s">
        <v>106</v>
      </c>
      <c r="D26" s="2" t="s">
        <v>107</v>
      </c>
      <c r="E26" s="2" t="s">
        <v>108</v>
      </c>
      <c r="F26" s="2" t="s">
        <v>109</v>
      </c>
      <c r="G26" s="2" t="s">
        <v>110</v>
      </c>
      <c r="H26" s="2" t="s">
        <v>111</v>
      </c>
      <c r="I26" s="2" t="s">
        <v>112</v>
      </c>
      <c r="J26" s="2" t="s">
        <v>113</v>
      </c>
      <c r="K26" s="2" t="s">
        <v>114</v>
      </c>
      <c r="L26" s="2" t="s">
        <v>115</v>
      </c>
    </row>
    <row r="27" customFormat="false" ht="15" hidden="false" customHeight="false" outlineLevel="0" collapsed="false">
      <c r="A27" s="0" t="s">
        <v>116</v>
      </c>
      <c r="C27" s="3" t="n">
        <v>5.5</v>
      </c>
      <c r="D27" s="3" t="n">
        <v>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117</v>
      </c>
      <c r="C28" s="3" t="n">
        <v>35.3</v>
      </c>
      <c r="D28" s="3" t="n">
        <v>36</v>
      </c>
      <c r="E28" s="3" t="n">
        <v>36.5</v>
      </c>
      <c r="F28" s="3" t="n">
        <v>36.8</v>
      </c>
      <c r="G28" s="3" t="n">
        <v>36.8</v>
      </c>
      <c r="H28" s="3" t="n">
        <v>36.8</v>
      </c>
      <c r="I28" s="3" t="n">
        <v>36.8</v>
      </c>
      <c r="J28" s="3" t="n">
        <v>36.8</v>
      </c>
      <c r="K28" s="3" t="n">
        <v>36.8</v>
      </c>
      <c r="L28" s="3" t="n">
        <v>36.8</v>
      </c>
    </row>
    <row r="29" customFormat="false" ht="15" hidden="false" customHeight="false" outlineLevel="0" collapsed="false">
      <c r="A29" s="0" t="s">
        <v>118</v>
      </c>
      <c r="C29" s="3" t="n">
        <v>0.13</v>
      </c>
      <c r="D29" s="3" t="n">
        <v>0.13</v>
      </c>
      <c r="E29" s="3" t="n">
        <v>0.13</v>
      </c>
      <c r="F29" s="3" t="n">
        <v>0.13</v>
      </c>
      <c r="G29" s="3" t="n">
        <v>0.13</v>
      </c>
      <c r="H29" s="3" t="n">
        <v>0.13</v>
      </c>
      <c r="I29" s="3" t="n">
        <v>0.13</v>
      </c>
      <c r="J29" s="3" t="n">
        <v>0.13</v>
      </c>
      <c r="K29" s="3" t="n">
        <v>0.13</v>
      </c>
      <c r="L29" s="3" t="n">
        <v>0.13</v>
      </c>
    </row>
    <row r="30" customFormat="false" ht="15" hidden="false" customHeight="false" outlineLevel="0" collapsed="false">
      <c r="A30" s="0" t="s">
        <v>119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120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121</v>
      </c>
      <c r="C32" s="3" t="n">
        <v>7.91</v>
      </c>
      <c r="D32" s="3" t="n">
        <v>7.23</v>
      </c>
      <c r="E32" s="3" t="n">
        <v>7.23</v>
      </c>
      <c r="F32" s="3" t="n">
        <v>6.54</v>
      </c>
      <c r="G32" s="3" t="n">
        <v>6.54</v>
      </c>
      <c r="H32" s="3" t="n">
        <v>5.84</v>
      </c>
      <c r="I32" s="3" t="n">
        <v>5.84</v>
      </c>
      <c r="J32" s="3" t="n">
        <v>5.13</v>
      </c>
      <c r="K32" s="3" t="n">
        <v>5.13</v>
      </c>
      <c r="L32" s="3" t="n">
        <v>4.42</v>
      </c>
    </row>
    <row r="33" customFormat="false" ht="15" hidden="false" customHeight="false" outlineLevel="0" collapsed="false">
      <c r="A33" s="0" t="s">
        <v>122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123</v>
      </c>
      <c r="B34" s="3" t="n">
        <v>9.75</v>
      </c>
    </row>
    <row r="35" customFormat="false" ht="15" hidden="false" customHeight="false" outlineLevel="0" collapsed="false">
      <c r="A35" s="0" t="s">
        <v>124</v>
      </c>
      <c r="B35" s="3" t="n">
        <v>3</v>
      </c>
    </row>
    <row r="36" customFormat="false" ht="15" hidden="false" customHeight="false" outlineLevel="0" collapsed="false">
      <c r="A36" s="0" t="s">
        <v>125</v>
      </c>
      <c r="B36" s="3" t="n">
        <v>14</v>
      </c>
    </row>
    <row r="37" customFormat="false" ht="15" hidden="false" customHeight="false" outlineLevel="0" collapsed="false">
      <c r="A37" s="0" t="s">
        <v>126</v>
      </c>
      <c r="B37" s="3" t="n">
        <v>0</v>
      </c>
    </row>
    <row r="38" customFormat="false" ht="15" hidden="false" customHeight="false" outlineLevel="0" collapsed="false">
      <c r="A38" s="0" t="s">
        <v>127</v>
      </c>
      <c r="B38" s="3" t="n">
        <v>0.5</v>
      </c>
    </row>
    <row r="40" customFormat="false" ht="15" hidden="false" customHeight="false" outlineLevel="0" collapsed="false">
      <c r="A40" s="2" t="s">
        <v>129</v>
      </c>
      <c r="C40" s="2" t="s">
        <v>106</v>
      </c>
      <c r="D40" s="2" t="s">
        <v>107</v>
      </c>
      <c r="E40" s="2" t="s">
        <v>108</v>
      </c>
      <c r="F40" s="2" t="s">
        <v>109</v>
      </c>
      <c r="G40" s="2" t="s">
        <v>110</v>
      </c>
      <c r="H40" s="2" t="s">
        <v>111</v>
      </c>
      <c r="I40" s="2" t="s">
        <v>112</v>
      </c>
      <c r="J40" s="2" t="s">
        <v>113</v>
      </c>
      <c r="K40" s="2" t="s">
        <v>114</v>
      </c>
      <c r="L40" s="2" t="s">
        <v>115</v>
      </c>
    </row>
    <row r="41" customFormat="false" ht="15" hidden="false" customHeight="false" outlineLevel="0" collapsed="false">
      <c r="A41" s="0" t="s">
        <v>116</v>
      </c>
      <c r="C41" s="3" t="n">
        <v>7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4.5</v>
      </c>
      <c r="J41" s="3" t="n">
        <v>4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117</v>
      </c>
      <c r="C42" s="3" t="n">
        <v>36</v>
      </c>
      <c r="D42" s="3" t="n">
        <v>37.2</v>
      </c>
      <c r="E42" s="3" t="n">
        <v>38</v>
      </c>
      <c r="F42" s="3" t="n">
        <v>38.5</v>
      </c>
      <c r="G42" s="3" t="n">
        <v>38.5</v>
      </c>
      <c r="H42" s="3" t="n">
        <v>38.5</v>
      </c>
      <c r="I42" s="3" t="n">
        <v>38.5</v>
      </c>
      <c r="J42" s="3" t="n">
        <v>38.5</v>
      </c>
      <c r="K42" s="3" t="n">
        <v>38.5</v>
      </c>
      <c r="L42" s="3" t="n">
        <v>38.5</v>
      </c>
    </row>
    <row r="43" customFormat="false" ht="15" hidden="false" customHeight="false" outlineLevel="0" collapsed="false">
      <c r="A43" s="0" t="s">
        <v>118</v>
      </c>
      <c r="C43" s="3" t="n">
        <v>0.13</v>
      </c>
      <c r="D43" s="3" t="n">
        <v>0.13</v>
      </c>
      <c r="E43" s="3" t="n">
        <v>0.13</v>
      </c>
      <c r="F43" s="3" t="n">
        <v>0.13</v>
      </c>
      <c r="G43" s="3" t="n">
        <v>0.13</v>
      </c>
      <c r="H43" s="3" t="n">
        <v>0.13</v>
      </c>
      <c r="I43" s="3" t="n">
        <v>0.13</v>
      </c>
      <c r="J43" s="3" t="n">
        <v>0.13</v>
      </c>
      <c r="K43" s="3" t="n">
        <v>0.13</v>
      </c>
      <c r="L43" s="3" t="n">
        <v>0.13</v>
      </c>
    </row>
    <row r="44" customFormat="false" ht="15" hidden="false" customHeight="false" outlineLevel="0" collapsed="false">
      <c r="A44" s="0" t="s">
        <v>119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120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121</v>
      </c>
      <c r="C46" s="3" t="n">
        <v>9.93</v>
      </c>
      <c r="D46" s="3" t="n">
        <v>9.26</v>
      </c>
      <c r="E46" s="3" t="n">
        <v>8.59</v>
      </c>
      <c r="F46" s="3" t="n">
        <v>7.91</v>
      </c>
      <c r="G46" s="3" t="n">
        <v>7.23</v>
      </c>
      <c r="H46" s="3" t="n">
        <v>6.54</v>
      </c>
      <c r="I46" s="3" t="n">
        <v>6.54</v>
      </c>
      <c r="J46" s="3" t="n">
        <v>5.84</v>
      </c>
      <c r="K46" s="3" t="n">
        <v>5.84</v>
      </c>
      <c r="L46" s="3" t="n">
        <v>5.13</v>
      </c>
    </row>
    <row r="47" customFormat="false" ht="15" hidden="false" customHeight="false" outlineLevel="0" collapsed="false">
      <c r="A47" s="0" t="s">
        <v>122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123</v>
      </c>
      <c r="B48" s="3" t="n">
        <v>9.5</v>
      </c>
    </row>
    <row r="49" customFormat="false" ht="15" hidden="false" customHeight="false" outlineLevel="0" collapsed="false">
      <c r="A49" s="0" t="s">
        <v>124</v>
      </c>
      <c r="B49" s="3" t="n">
        <v>3.5</v>
      </c>
    </row>
    <row r="50" customFormat="false" ht="15" hidden="false" customHeight="false" outlineLevel="0" collapsed="false">
      <c r="A50" s="0" t="s">
        <v>125</v>
      </c>
      <c r="B50" s="3" t="n">
        <v>15</v>
      </c>
    </row>
    <row r="51" customFormat="false" ht="15" hidden="false" customHeight="false" outlineLevel="0" collapsed="false">
      <c r="A51" s="0" t="s">
        <v>126</v>
      </c>
      <c r="B51" s="3" t="n">
        <v>0</v>
      </c>
    </row>
    <row r="52" customFormat="false" ht="15" hidden="false" customHeight="false" outlineLevel="0" collapsed="false">
      <c r="A52" s="0" t="s">
        <v>127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130</v>
      </c>
    </row>
    <row r="3" customFormat="false" ht="15" hidden="false" customHeight="false" outlineLevel="0" collapsed="false">
      <c r="A3" s="0" t="s">
        <v>131</v>
      </c>
      <c r="B3" s="0" t="s">
        <v>101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</row>
    <row r="4" customFormat="false" ht="15" hidden="false" customHeight="false" outlineLevel="0" collapsed="false">
      <c r="A4" s="0" t="s">
        <v>132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116</v>
      </c>
      <c r="C5" s="4" t="n">
        <f aca="false">Assumptions!C13</f>
        <v>3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37940</v>
      </c>
      <c r="C6" s="0" t="n">
        <f aca="false">B6*(1+C5/100)</f>
        <v>39078.2</v>
      </c>
      <c r="D6" s="0" t="n">
        <f aca="false">C6*(1+D5/100)</f>
        <v>39078.2</v>
      </c>
      <c r="E6" s="0" t="n">
        <f aca="false">D6*(1+E5/100)</f>
        <v>39859.764</v>
      </c>
      <c r="F6" s="0" t="n">
        <f aca="false">E6*(1+F5/100)</f>
        <v>41055.55692</v>
      </c>
      <c r="G6" s="0" t="n">
        <f aca="false">F6*(1+G5/100)</f>
        <v>42287.2236276</v>
      </c>
      <c r="H6" s="0" t="n">
        <f aca="false">G6*(1+H5/100)</f>
        <v>43555.840336428</v>
      </c>
      <c r="I6" s="0" t="n">
        <f aca="false">H6*(1+I5/100)</f>
        <v>44862.5155465208</v>
      </c>
      <c r="J6" s="0" t="n">
        <f aca="false">I6*(1+J5/100)</f>
        <v>45984.0784351839</v>
      </c>
      <c r="K6" s="0" t="n">
        <f aca="false">J6*(1+K5/100)</f>
        <v>47133.6803960635</v>
      </c>
      <c r="L6" s="0" t="n">
        <f aca="false">K6*(1+L5/100)</f>
        <v>48312.022405965</v>
      </c>
    </row>
    <row r="7" customFormat="false" ht="15" hidden="false" customHeight="false" outlineLevel="0" collapsed="false">
      <c r="A7" s="0" t="s">
        <v>117</v>
      </c>
      <c r="C7" s="4" t="n">
        <f aca="false">Assumptions!C14</f>
        <v>34</v>
      </c>
      <c r="D7" s="4" t="n">
        <f aca="false">Assumptions!D14</f>
        <v>28.5</v>
      </c>
      <c r="E7" s="4" t="n">
        <f aca="false">Assumptions!E14</f>
        <v>31</v>
      </c>
      <c r="F7" s="4" t="n">
        <f aca="false">Assumptions!F14</f>
        <v>33</v>
      </c>
      <c r="G7" s="4" t="n">
        <f aca="false">Assumptions!G14</f>
        <v>33.5</v>
      </c>
      <c r="H7" s="4" t="n">
        <f aca="false">Assumptions!H14</f>
        <v>33.5</v>
      </c>
      <c r="I7" s="4" t="n">
        <f aca="false">Assumptions!I14</f>
        <v>33.5</v>
      </c>
      <c r="J7" s="4" t="n">
        <f aca="false">Assumptions!J14</f>
        <v>33.5</v>
      </c>
      <c r="K7" s="4" t="n">
        <f aca="false">Assumptions!K14</f>
        <v>33.5</v>
      </c>
      <c r="L7" s="4" t="n">
        <f aca="false">Assumptions!L14</f>
        <v>33.5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13286.588</v>
      </c>
      <c r="D8" s="0" t="n">
        <f aca="false">D6*D7/100</f>
        <v>11137.287</v>
      </c>
      <c r="E8" s="0" t="n">
        <f aca="false">E6*E7/100</f>
        <v>12356.52684</v>
      </c>
      <c r="F8" s="0" t="n">
        <f aca="false">F6*F7/100</f>
        <v>13548.3337836</v>
      </c>
      <c r="G8" s="0" t="n">
        <f aca="false">G6*G7/100</f>
        <v>14166.219915246</v>
      </c>
      <c r="H8" s="0" t="n">
        <f aca="false">H6*H7/100</f>
        <v>14591.2065127034</v>
      </c>
      <c r="I8" s="0" t="n">
        <f aca="false">I6*I7/100</f>
        <v>15028.9427080845</v>
      </c>
      <c r="J8" s="0" t="n">
        <f aca="false">J6*J7/100</f>
        <v>15404.6662757866</v>
      </c>
      <c r="K8" s="0" t="n">
        <f aca="false">K6*K7/100</f>
        <v>15789.7829326813</v>
      </c>
      <c r="L8" s="0" t="n">
        <f aca="false">L6*L7/100</f>
        <v>16184.5275059983</v>
      </c>
    </row>
    <row r="9" customFormat="false" ht="15" hidden="false" customHeight="false" outlineLevel="0" collapsed="false">
      <c r="A9" s="0" t="s">
        <v>118</v>
      </c>
      <c r="C9" s="4" t="n">
        <f aca="false">Assumptions!C15</f>
        <v>0.13</v>
      </c>
      <c r="D9" s="4" t="n">
        <f aca="false">Assumptions!D15</f>
        <v>0.13</v>
      </c>
      <c r="E9" s="4" t="n">
        <f aca="false">Assumptions!E15</f>
        <v>0.13</v>
      </c>
      <c r="F9" s="4" t="n">
        <f aca="false">Assumptions!F15</f>
        <v>0.13</v>
      </c>
      <c r="G9" s="4" t="n">
        <f aca="false">Assumptions!G15</f>
        <v>0.13</v>
      </c>
      <c r="H9" s="4" t="n">
        <f aca="false">Assumptions!H15</f>
        <v>0.13</v>
      </c>
      <c r="I9" s="4" t="n">
        <f aca="false">Assumptions!I15</f>
        <v>0.13</v>
      </c>
      <c r="J9" s="4" t="n">
        <f aca="false">Assumptions!J15</f>
        <v>0.13</v>
      </c>
      <c r="K9" s="4" t="n">
        <f aca="false">Assumptions!K15</f>
        <v>0.13</v>
      </c>
      <c r="L9" s="4" t="n">
        <f aca="false">Assumptions!L15</f>
        <v>0.13</v>
      </c>
    </row>
    <row r="10" customFormat="false" ht="15" hidden="false" customHeight="false" outlineLevel="0" collapsed="false">
      <c r="A10" s="0" t="s">
        <v>133</v>
      </c>
      <c r="C10" s="0" t="n">
        <f aca="false">-C6*C9/100</f>
        <v>-50.80166</v>
      </c>
      <c r="D10" s="0" t="n">
        <f aca="false">-D6*D9/100</f>
        <v>-50.80166</v>
      </c>
      <c r="E10" s="0" t="n">
        <f aca="false">-E6*E9/100</f>
        <v>-51.8176932</v>
      </c>
      <c r="F10" s="0" t="n">
        <f aca="false">-F6*F9/100</f>
        <v>-53.372223996</v>
      </c>
      <c r="G10" s="0" t="n">
        <f aca="false">-G6*G9/100</f>
        <v>-54.97339071588</v>
      </c>
      <c r="H10" s="0" t="n">
        <f aca="false">-H6*H9/100</f>
        <v>-56.6225924373564</v>
      </c>
      <c r="I10" s="0" t="n">
        <f aca="false">-I6*I9/100</f>
        <v>-58.3212702104771</v>
      </c>
      <c r="J10" s="0" t="n">
        <f aca="false">-J6*J9/100</f>
        <v>-59.779301965739</v>
      </c>
      <c r="K10" s="0" t="n">
        <f aca="false">-K6*K9/100</f>
        <v>-61.2737845148825</v>
      </c>
      <c r="L10" s="0" t="n">
        <f aca="false">-L6*L9/100</f>
        <v>-62.8056291277545</v>
      </c>
    </row>
    <row r="11" customFormat="false" ht="15" hidden="false" customHeight="false" outlineLevel="0" collapsed="false">
      <c r="A11" s="0" t="s">
        <v>134</v>
      </c>
      <c r="C11" s="0" t="n">
        <f aca="false">C8+C10+C24</f>
        <v>13235.78634</v>
      </c>
      <c r="D11" s="0" t="n">
        <f aca="false">D8+D10+D24</f>
        <v>11086.48534</v>
      </c>
      <c r="E11" s="0" t="n">
        <f aca="false">E8+E10+E24</f>
        <v>12304.7091468</v>
      </c>
      <c r="F11" s="0" t="n">
        <f aca="false">F8+F10+F24</f>
        <v>13494.961559604</v>
      </c>
      <c r="G11" s="0" t="n">
        <f aca="false">G8+G10+G24</f>
        <v>14111.2465245301</v>
      </c>
      <c r="H11" s="0" t="n">
        <f aca="false">H8+H10+H24</f>
        <v>14534.583920266</v>
      </c>
      <c r="I11" s="0" t="n">
        <f aca="false">I8+I10+I24</f>
        <v>14970.621437874</v>
      </c>
      <c r="J11" s="0" t="n">
        <f aca="false">J8+J10+J24</f>
        <v>15344.8869738209</v>
      </c>
      <c r="K11" s="0" t="n">
        <f aca="false">K8+K10+K24</f>
        <v>15728.5091481664</v>
      </c>
      <c r="L11" s="0" t="n">
        <f aca="false">L8+L10+L24</f>
        <v>16121.7218768705</v>
      </c>
    </row>
    <row r="12" customFormat="false" ht="15" hidden="false" customHeight="false" outlineLevel="0" collapsed="false">
      <c r="A12" s="0" t="s">
        <v>135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136</v>
      </c>
      <c r="C13" s="0" t="n">
        <f aca="false">C11+C12</f>
        <v>13235.78634</v>
      </c>
      <c r="D13" s="0" t="n">
        <f aca="false">D11+D12</f>
        <v>11086.48534</v>
      </c>
      <c r="E13" s="0" t="n">
        <f aca="false">E11+E12</f>
        <v>12304.7091468</v>
      </c>
      <c r="F13" s="0" t="n">
        <f aca="false">F11+F12</f>
        <v>13494.961559604</v>
      </c>
      <c r="G13" s="0" t="n">
        <f aca="false">G11+G12</f>
        <v>14111.2465245301</v>
      </c>
      <c r="H13" s="0" t="n">
        <f aca="false">H11+H12</f>
        <v>14534.583920266</v>
      </c>
      <c r="I13" s="0" t="n">
        <f aca="false">I11+I12</f>
        <v>14970.621437874</v>
      </c>
      <c r="J13" s="0" t="n">
        <f aca="false">J11+J12</f>
        <v>15344.8869738209</v>
      </c>
      <c r="K13" s="0" t="n">
        <f aca="false">K11+K12</f>
        <v>15728.5091481664</v>
      </c>
      <c r="L13" s="0" t="n">
        <f aca="false">L11+L12</f>
        <v>16121.7218768705</v>
      </c>
    </row>
    <row r="14" customFormat="false" ht="15" hidden="false" customHeight="false" outlineLevel="0" collapsed="false">
      <c r="A14" s="0" t="s">
        <v>122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137</v>
      </c>
      <c r="C15" s="0" t="n">
        <f aca="false">C13-MAX(0,C13)*C14/100</f>
        <v>9993.0186867</v>
      </c>
      <c r="D15" s="0" t="n">
        <f aca="false">D13-MAX(0,D13)*D14/100</f>
        <v>8370.2964317</v>
      </c>
      <c r="E15" s="0" t="n">
        <f aca="false">E13-MAX(0,E13)*E14/100</f>
        <v>9290.055405834</v>
      </c>
      <c r="F15" s="0" t="n">
        <f aca="false">F13-MAX(0,F13)*F14/100</f>
        <v>10188.695977501</v>
      </c>
      <c r="G15" s="0" t="n">
        <f aca="false">G13-MAX(0,G13)*G14/100</f>
        <v>10653.9911260202</v>
      </c>
      <c r="H15" s="0" t="n">
        <f aca="false">H13-MAX(0,H13)*H14/100</f>
        <v>10973.6108598008</v>
      </c>
      <c r="I15" s="0" t="n">
        <f aca="false">I13-MAX(0,I13)*I14/100</f>
        <v>11302.8191855949</v>
      </c>
      <c r="J15" s="0" t="n">
        <f aca="false">J13-MAX(0,J13)*J14/100</f>
        <v>11585.3896652347</v>
      </c>
      <c r="K15" s="0" t="n">
        <f aca="false">K13-MAX(0,K13)*K14/100</f>
        <v>11875.0244068656</v>
      </c>
      <c r="L15" s="0" t="n">
        <f aca="false">L13-MAX(0,L13)*L14/100</f>
        <v>12171.9000170373</v>
      </c>
    </row>
    <row r="16" customFormat="false" ht="15" hidden="false" customHeight="false" outlineLevel="0" collapsed="false">
      <c r="A16" s="0" t="s">
        <v>138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139</v>
      </c>
      <c r="C17" s="4" t="n">
        <f aca="false">-C6*Assumptions!C18/100</f>
        <v>-1727.25644</v>
      </c>
      <c r="D17" s="4" t="n">
        <f aca="false">-D6*Assumptions!D18/100</f>
        <v>-0</v>
      </c>
      <c r="E17" s="4" t="n">
        <f aca="false">-E6*Assumptions!E18/100</f>
        <v>-1187.8209672</v>
      </c>
      <c r="F17" s="4" t="n">
        <f aca="false">-F6*Assumptions!F18/100</f>
        <v>-1814.655615864</v>
      </c>
      <c r="G17" s="4" t="n">
        <f aca="false">-G6*Assumptions!G18/100</f>
        <v>-1869.09528433992</v>
      </c>
      <c r="H17" s="4" t="n">
        <f aca="false">-H6*Assumptions!H18/100</f>
        <v>-1925.16814287012</v>
      </c>
      <c r="I17" s="4" t="n">
        <f aca="false">-I6*Assumptions!I18/100</f>
        <v>-1982.92318715622</v>
      </c>
      <c r="J17" s="4" t="n">
        <f aca="false">-J6*Assumptions!J18/100</f>
        <v>-1701.4109021018</v>
      </c>
      <c r="K17" s="4" t="n">
        <f aca="false">-K6*Assumptions!K18/100</f>
        <v>-1743.94617465435</v>
      </c>
      <c r="L17" s="4" t="n">
        <f aca="false">-L6*Assumptions!L18/100</f>
        <v>-1787.54482902071</v>
      </c>
    </row>
    <row r="18" customFormat="false" ht="15" hidden="false" customHeight="false" outlineLevel="0" collapsed="false">
      <c r="A18" s="0" t="s">
        <v>140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141</v>
      </c>
      <c r="C19" s="0" t="n">
        <f aca="false">C15+C16+C17+C18</f>
        <v>8265.7622467</v>
      </c>
      <c r="D19" s="0" t="n">
        <f aca="false">D15+D16+D17+D18</f>
        <v>8370.2964317</v>
      </c>
      <c r="E19" s="0" t="n">
        <f aca="false">E15+E16+E17+E18</f>
        <v>8102.234438634</v>
      </c>
      <c r="F19" s="0" t="n">
        <f aca="false">F15+F16+F17+F18</f>
        <v>8374.04036163702</v>
      </c>
      <c r="G19" s="0" t="n">
        <f aca="false">G15+G16+G17+G18</f>
        <v>8784.89584168032</v>
      </c>
      <c r="H19" s="0" t="n">
        <f aca="false">H15+H16+H17+H18</f>
        <v>9048.44271693073</v>
      </c>
      <c r="I19" s="0" t="n">
        <f aca="false">I15+I16+I17+I18</f>
        <v>9319.89599843866</v>
      </c>
      <c r="J19" s="0" t="n">
        <f aca="false">J15+J16+J17+J18</f>
        <v>9883.97876313294</v>
      </c>
      <c r="K19" s="0" t="n">
        <f aca="false">K15+K16+K17+K18</f>
        <v>10131.0782322113</v>
      </c>
      <c r="L19" s="0" t="n">
        <f aca="false">L15+L16+L17+L18</f>
        <v>10384.3551880165</v>
      </c>
    </row>
    <row r="20" customFormat="false" ht="15" hidden="false" customHeight="false" outlineLevel="0" collapsed="false">
      <c r="A20" s="0" t="s">
        <v>142</v>
      </c>
      <c r="C20" s="0" t="n">
        <f aca="false">1/(1+$B$27/100)^C4</f>
        <v>0.90702947845805</v>
      </c>
      <c r="D20" s="0" t="n">
        <f aca="false">1/(1+$B$27/100)^D4</f>
        <v>0.822702474791882</v>
      </c>
      <c r="E20" s="0" t="n">
        <f aca="false">1/(1+$B$27/100)^E4</f>
        <v>0.746215396636628</v>
      </c>
      <c r="F20" s="0" t="n">
        <f aca="false">1/(1+$B$27/100)^F4</f>
        <v>0.676839362028687</v>
      </c>
      <c r="G20" s="0" t="n">
        <f aca="false">1/(1+$B$27/100)^G4</f>
        <v>0.613913253540759</v>
      </c>
      <c r="H20" s="0" t="n">
        <f aca="false">1/(1+$B$27/100)^H4</f>
        <v>0.55683741817756</v>
      </c>
      <c r="I20" s="0" t="n">
        <f aca="false">1/(1+$B$27/100)^I4</f>
        <v>0.505067952995519</v>
      </c>
      <c r="J20" s="0" t="n">
        <f aca="false">1/(1+$B$27/100)^J4</f>
        <v>0.4581115219914</v>
      </c>
      <c r="K20" s="0" t="n">
        <f aca="false">1/(1+$B$27/100)^K4</f>
        <v>0.415520654867483</v>
      </c>
      <c r="L20" s="0" t="n">
        <f aca="false">1/(1+$B$27/100)^L4</f>
        <v>0.376889482873001</v>
      </c>
    </row>
    <row r="21" customFormat="false" ht="15" hidden="false" customHeight="false" outlineLevel="0" collapsed="false">
      <c r="A21" s="0" t="s">
        <v>143</v>
      </c>
      <c r="C21" s="0" t="n">
        <f aca="false">C19*C20</f>
        <v>7497.29001968254</v>
      </c>
      <c r="D21" s="0" t="n">
        <f aca="false">D19*D20</f>
        <v>6886.26358910125</v>
      </c>
      <c r="E21" s="0" t="n">
        <f aca="false">E19*E20</f>
        <v>6046.01208526821</v>
      </c>
      <c r="F21" s="0" t="n">
        <f aca="false">F19*F20</f>
        <v>5667.88013597288</v>
      </c>
      <c r="G21" s="0" t="n">
        <f aca="false">G19*G20</f>
        <v>5393.16398818265</v>
      </c>
      <c r="H21" s="0" t="n">
        <f aca="false">H19*H20</f>
        <v>5038.51148102325</v>
      </c>
      <c r="I21" s="0" t="n">
        <f aca="false">I19*I20</f>
        <v>4707.18079406254</v>
      </c>
      <c r="J21" s="0" t="n">
        <f aca="false">J19*J20</f>
        <v>4527.96455450951</v>
      </c>
      <c r="K21" s="0" t="n">
        <f aca="false">K19*K20</f>
        <v>4209.67226156213</v>
      </c>
      <c r="L21" s="0" t="n">
        <f aca="false">L19*L20</f>
        <v>3913.75425678112</v>
      </c>
    </row>
    <row r="23" customFormat="false" ht="15" hidden="false" customHeight="false" outlineLevel="0" collapsed="false">
      <c r="A23" s="0" t="s">
        <v>119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144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145</v>
      </c>
    </row>
    <row r="27" customFormat="false" ht="15" hidden="false" customHeight="false" outlineLevel="0" collapsed="false">
      <c r="A27" s="0" t="s">
        <v>123</v>
      </c>
      <c r="B27" s="4" t="n">
        <f aca="false">Assumptions!$B$20</f>
        <v>10.25</v>
      </c>
    </row>
    <row r="28" customFormat="false" ht="15" hidden="false" customHeight="false" outlineLevel="0" collapsed="false">
      <c r="A28" s="0" t="s">
        <v>124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125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146</v>
      </c>
      <c r="B30" s="0" t="n">
        <f aca="false">SUM(C21:L21)</f>
        <v>53887.6931661461</v>
      </c>
    </row>
    <row r="31" customFormat="false" ht="15" hidden="false" customHeight="false" outlineLevel="0" collapsed="false">
      <c r="A31" s="0" t="s">
        <v>147</v>
      </c>
      <c r="B31" s="0" t="n">
        <f aca="false">L19</f>
        <v>10384.3551880165</v>
      </c>
    </row>
    <row r="32" customFormat="false" ht="15" hidden="false" customHeight="false" outlineLevel="0" collapsed="false">
      <c r="A32" s="0" t="s">
        <v>148</v>
      </c>
      <c r="B32" s="0" t="n">
        <f aca="false">IF(B27&gt;B28,B31*(1+B28/100)/((B27-B28)/100),B31*B29)</f>
        <v>137341.471841509</v>
      </c>
    </row>
    <row r="33" customFormat="false" ht="15" hidden="false" customHeight="false" outlineLevel="0" collapsed="false">
      <c r="A33" s="0" t="s">
        <v>149</v>
      </c>
      <c r="B33" s="0" t="n">
        <f aca="false">B31*B29</f>
        <v>114227.907068182</v>
      </c>
    </row>
    <row r="34" customFormat="false" ht="15" hidden="false" customHeight="false" outlineLevel="0" collapsed="false">
      <c r="A34" s="0" t="s">
        <v>150</v>
      </c>
      <c r="B34" s="0" t="n">
        <f aca="false">MAX(0,MIN(B32,B33))</f>
        <v>114227.907068182</v>
      </c>
    </row>
    <row r="35" customFormat="false" ht="15" hidden="false" customHeight="false" outlineLevel="0" collapsed="false">
      <c r="A35" s="0" t="s">
        <v>151</v>
      </c>
      <c r="B35" s="0" t="n">
        <f aca="false">B34/(1+B27/100)^L4</f>
        <v>43051.2968245923</v>
      </c>
    </row>
    <row r="36" customFormat="false" ht="15" hidden="false" customHeight="false" outlineLevel="0" collapsed="false">
      <c r="A36" s="0" t="s">
        <v>152</v>
      </c>
      <c r="B36" s="0" t="n">
        <f aca="false">B30+B35</f>
        <v>96938.9899907383</v>
      </c>
    </row>
    <row r="37" customFormat="false" ht="15" hidden="false" customHeight="false" outlineLevel="0" collapsed="false">
      <c r="A37" s="0" t="s">
        <v>153</v>
      </c>
      <c r="B37" s="0" t="n">
        <f aca="false">B36+Assumptions!$B$5-Assumptions!$B$4</f>
        <v>99138.9899907383</v>
      </c>
    </row>
    <row r="38" customFormat="false" ht="15" hidden="false" customHeight="false" outlineLevel="0" collapsed="false">
      <c r="A38" s="0" t="s">
        <v>154</v>
      </c>
      <c r="B38" s="0" t="n">
        <f aca="false">B37/Assumptions!$B$3*Assumptions!$B$10</f>
        <v>141.748627381668</v>
      </c>
    </row>
    <row r="39" customFormat="false" ht="15" hidden="false" customHeight="false" outlineLevel="0" collapsed="false">
      <c r="A39" s="0" t="s">
        <v>155</v>
      </c>
      <c r="B39" s="4" t="n">
        <f aca="false">B38/Assumptions!$B$2-1</f>
        <v>-0.389277779484413</v>
      </c>
    </row>
    <row r="41" customFormat="false" ht="15" hidden="false" customHeight="false" outlineLevel="0" collapsed="false">
      <c r="A41" s="0" t="s">
        <v>156</v>
      </c>
      <c r="B41" s="0" t="n">
        <f aca="false">SUMPRODUCT(-C10:L10/(1+$B$27/100)^C4:L4)</f>
        <v>333.916404159286</v>
      </c>
    </row>
    <row r="42" customFormat="false" ht="15" hidden="false" customHeight="false" outlineLevel="0" collapsed="false">
      <c r="A42" s="0" t="s">
        <v>157</v>
      </c>
      <c r="B42" s="0" t="n">
        <f aca="false">IF(B27&gt;B28,-L10*(1+B28/100)/((B27-B28)/100),-L10*20)/(1+B27/100)^L4</f>
        <v>313.065169168512</v>
      </c>
    </row>
    <row r="43" customFormat="false" ht="15" hidden="false" customHeight="false" outlineLevel="0" collapsed="false">
      <c r="A43" s="0" t="s">
        <v>158</v>
      </c>
      <c r="B43" s="0" t="n">
        <f aca="false">(B37+B41+B42)/Assumptions!$B$3*Assumptions!$B$10</f>
        <v>142.673679674101</v>
      </c>
    </row>
    <row r="45" customFormat="false" ht="15" hidden="false" customHeight="false" outlineLevel="0" collapsed="false">
      <c r="A45" s="0" t="s">
        <v>98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159</v>
      </c>
      <c r="B46" s="0" t="n">
        <f aca="false">MAX(0,MIN(IF(B45&gt;B28,B31*(1+B28/100)/((B45-B28)/100),B31*B29),B31*B29))</f>
        <v>85151.7125417356</v>
      </c>
    </row>
    <row r="47" customFormat="false" ht="15" hidden="false" customHeight="false" outlineLevel="0" collapsed="false">
      <c r="A47" s="0" t="s">
        <v>160</v>
      </c>
      <c r="B47" s="0" t="n">
        <f aca="false">(SUMPRODUCT(C19:L19/(1+B45/100)^C4:L4)+B46/(1+B45/100)^L4+Assumptions!$B$5-Assumptions!$B$4)/Assumptions!$B$3*Assumptions!$B$10</f>
        <v>96.2843331271766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161</v>
      </c>
    </row>
    <row r="3" customFormat="false" ht="15" hidden="false" customHeight="false" outlineLevel="0" collapsed="false">
      <c r="A3" s="0" t="s">
        <v>131</v>
      </c>
      <c r="B3" s="0" t="s">
        <v>101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</row>
    <row r="4" customFormat="false" ht="15" hidden="false" customHeight="false" outlineLevel="0" collapsed="false">
      <c r="A4" s="0" t="s">
        <v>132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116</v>
      </c>
      <c r="C5" s="4" t="n">
        <f aca="false">Assumptions!C27</f>
        <v>5.5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37940</v>
      </c>
      <c r="C6" s="0" t="n">
        <f aca="false">B6*(1+C5/100)</f>
        <v>40026.7</v>
      </c>
      <c r="D6" s="0" t="n">
        <f aca="false">C6*(1+D5/100)</f>
        <v>42028.035</v>
      </c>
      <c r="E6" s="0" t="n">
        <f aca="false">D6*(1+E5/100)</f>
        <v>44129.43675</v>
      </c>
      <c r="F6" s="0" t="n">
        <f aca="false">E6*(1+F5/100)</f>
        <v>46115.26140375</v>
      </c>
      <c r="G6" s="0" t="n">
        <f aca="false">F6*(1+G5/100)</f>
        <v>48190.4481669187</v>
      </c>
      <c r="H6" s="0" t="n">
        <f aca="false">G6*(1+H5/100)</f>
        <v>50118.0660935955</v>
      </c>
      <c r="I6" s="0" t="n">
        <f aca="false">H6*(1+I5/100)</f>
        <v>52122.7887373393</v>
      </c>
      <c r="J6" s="0" t="n">
        <f aca="false">I6*(1+J5/100)</f>
        <v>53947.0863431462</v>
      </c>
      <c r="K6" s="0" t="n">
        <f aca="false">J6*(1+K5/100)</f>
        <v>55835.2343651563</v>
      </c>
      <c r="L6" s="0" t="n">
        <f aca="false">K6*(1+L5/100)</f>
        <v>57510.291396111</v>
      </c>
    </row>
    <row r="7" customFormat="false" ht="15" hidden="false" customHeight="false" outlineLevel="0" collapsed="false">
      <c r="A7" s="0" t="s">
        <v>117</v>
      </c>
      <c r="C7" s="4" t="n">
        <f aca="false">Assumptions!C28</f>
        <v>35.3</v>
      </c>
      <c r="D7" s="4" t="n">
        <f aca="false">Assumptions!D28</f>
        <v>36</v>
      </c>
      <c r="E7" s="4" t="n">
        <f aca="false">Assumptions!E28</f>
        <v>36.5</v>
      </c>
      <c r="F7" s="4" t="n">
        <f aca="false">Assumptions!F28</f>
        <v>36.8</v>
      </c>
      <c r="G7" s="4" t="n">
        <f aca="false">Assumptions!G28</f>
        <v>36.8</v>
      </c>
      <c r="H7" s="4" t="n">
        <f aca="false">Assumptions!H28</f>
        <v>36.8</v>
      </c>
      <c r="I7" s="4" t="n">
        <f aca="false">Assumptions!I28</f>
        <v>36.8</v>
      </c>
      <c r="J7" s="4" t="n">
        <f aca="false">Assumptions!J28</f>
        <v>36.8</v>
      </c>
      <c r="K7" s="4" t="n">
        <f aca="false">Assumptions!K28</f>
        <v>36.8</v>
      </c>
      <c r="L7" s="4" t="n">
        <f aca="false">Assumptions!L28</f>
        <v>36.8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14129.4251</v>
      </c>
      <c r="D8" s="0" t="n">
        <f aca="false">D6*D7/100</f>
        <v>15130.0926</v>
      </c>
      <c r="E8" s="0" t="n">
        <f aca="false">E6*E7/100</f>
        <v>16107.24441375</v>
      </c>
      <c r="F8" s="0" t="n">
        <f aca="false">F6*F7/100</f>
        <v>16970.41619658</v>
      </c>
      <c r="G8" s="0" t="n">
        <f aca="false">G6*G7/100</f>
        <v>17734.0849254261</v>
      </c>
      <c r="H8" s="0" t="n">
        <f aca="false">H6*H7/100</f>
        <v>18443.4483224431</v>
      </c>
      <c r="I8" s="0" t="n">
        <f aca="false">I6*I7/100</f>
        <v>19181.1862553409</v>
      </c>
      <c r="J8" s="0" t="n">
        <f aca="false">J6*J7/100</f>
        <v>19852.5277742778</v>
      </c>
      <c r="K8" s="0" t="n">
        <f aca="false">K6*K7/100</f>
        <v>20547.3662463775</v>
      </c>
      <c r="L8" s="0" t="n">
        <f aca="false">L6*L7/100</f>
        <v>21163.7872337688</v>
      </c>
    </row>
    <row r="9" customFormat="false" ht="15" hidden="false" customHeight="false" outlineLevel="0" collapsed="false">
      <c r="A9" s="0" t="s">
        <v>118</v>
      </c>
      <c r="C9" s="4" t="n">
        <f aca="false">Assumptions!C29</f>
        <v>0.13</v>
      </c>
      <c r="D9" s="4" t="n">
        <f aca="false">Assumptions!D29</f>
        <v>0.13</v>
      </c>
      <c r="E9" s="4" t="n">
        <f aca="false">Assumptions!E29</f>
        <v>0.13</v>
      </c>
      <c r="F9" s="4" t="n">
        <f aca="false">Assumptions!F29</f>
        <v>0.13</v>
      </c>
      <c r="G9" s="4" t="n">
        <f aca="false">Assumptions!G29</f>
        <v>0.13</v>
      </c>
      <c r="H9" s="4" t="n">
        <f aca="false">Assumptions!H29</f>
        <v>0.13</v>
      </c>
      <c r="I9" s="4" t="n">
        <f aca="false">Assumptions!I29</f>
        <v>0.13</v>
      </c>
      <c r="J9" s="4" t="n">
        <f aca="false">Assumptions!J29</f>
        <v>0.13</v>
      </c>
      <c r="K9" s="4" t="n">
        <f aca="false">Assumptions!K29</f>
        <v>0.13</v>
      </c>
      <c r="L9" s="4" t="n">
        <f aca="false">Assumptions!L29</f>
        <v>0.13</v>
      </c>
    </row>
    <row r="10" customFormat="false" ht="15" hidden="false" customHeight="false" outlineLevel="0" collapsed="false">
      <c r="A10" s="0" t="s">
        <v>133</v>
      </c>
      <c r="C10" s="0" t="n">
        <f aca="false">-C6*C9/100</f>
        <v>-52.03471</v>
      </c>
      <c r="D10" s="0" t="n">
        <f aca="false">-D6*D9/100</f>
        <v>-54.6364455</v>
      </c>
      <c r="E10" s="0" t="n">
        <f aca="false">-E6*E9/100</f>
        <v>-57.368267775</v>
      </c>
      <c r="F10" s="0" t="n">
        <f aca="false">-F6*F9/100</f>
        <v>-59.949839824875</v>
      </c>
      <c r="G10" s="0" t="n">
        <f aca="false">-G6*G9/100</f>
        <v>-62.6475826169944</v>
      </c>
      <c r="H10" s="0" t="n">
        <f aca="false">-H6*H9/100</f>
        <v>-65.1534859216742</v>
      </c>
      <c r="I10" s="0" t="n">
        <f aca="false">-I6*I9/100</f>
        <v>-67.7596253585411</v>
      </c>
      <c r="J10" s="0" t="n">
        <f aca="false">-J6*J9/100</f>
        <v>-70.1312122460901</v>
      </c>
      <c r="K10" s="0" t="n">
        <f aca="false">-K6*K9/100</f>
        <v>-72.5858046747032</v>
      </c>
      <c r="L10" s="0" t="n">
        <f aca="false">-L6*L9/100</f>
        <v>-74.7633788149443</v>
      </c>
    </row>
    <row r="11" customFormat="false" ht="15" hidden="false" customHeight="false" outlineLevel="0" collapsed="false">
      <c r="A11" s="0" t="s">
        <v>134</v>
      </c>
      <c r="C11" s="0" t="n">
        <f aca="false">C8+C10+C24</f>
        <v>14077.39039</v>
      </c>
      <c r="D11" s="0" t="n">
        <f aca="false">D8+D10+D24</f>
        <v>15075.4561545</v>
      </c>
      <c r="E11" s="0" t="n">
        <f aca="false">E8+E10+E24</f>
        <v>16049.876145975</v>
      </c>
      <c r="F11" s="0" t="n">
        <f aca="false">F8+F10+F24</f>
        <v>16910.4663567551</v>
      </c>
      <c r="G11" s="0" t="n">
        <f aca="false">G8+G10+G24</f>
        <v>17671.4373428091</v>
      </c>
      <c r="H11" s="0" t="n">
        <f aca="false">H8+H10+H24</f>
        <v>18378.2948365215</v>
      </c>
      <c r="I11" s="0" t="n">
        <f aca="false">I8+I10+I24</f>
        <v>19113.4266299823</v>
      </c>
      <c r="J11" s="0" t="n">
        <f aca="false">J8+J10+J24</f>
        <v>19782.3965620317</v>
      </c>
      <c r="K11" s="0" t="n">
        <f aca="false">K8+K10+K24</f>
        <v>20474.7804417028</v>
      </c>
      <c r="L11" s="0" t="n">
        <f aca="false">L8+L10+L24</f>
        <v>21089.0238549539</v>
      </c>
    </row>
    <row r="12" customFormat="false" ht="15" hidden="false" customHeight="false" outlineLevel="0" collapsed="false">
      <c r="A12" s="0" t="s">
        <v>135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136</v>
      </c>
      <c r="C13" s="0" t="n">
        <f aca="false">C11+C12</f>
        <v>14077.39039</v>
      </c>
      <c r="D13" s="0" t="n">
        <f aca="false">D11+D12</f>
        <v>15075.4561545</v>
      </c>
      <c r="E13" s="0" t="n">
        <f aca="false">E11+E12</f>
        <v>16049.876145975</v>
      </c>
      <c r="F13" s="0" t="n">
        <f aca="false">F11+F12</f>
        <v>16910.4663567551</v>
      </c>
      <c r="G13" s="0" t="n">
        <f aca="false">G11+G12</f>
        <v>17671.4373428091</v>
      </c>
      <c r="H13" s="0" t="n">
        <f aca="false">H11+H12</f>
        <v>18378.2948365215</v>
      </c>
      <c r="I13" s="0" t="n">
        <f aca="false">I11+I12</f>
        <v>19113.4266299823</v>
      </c>
      <c r="J13" s="0" t="n">
        <f aca="false">J11+J12</f>
        <v>19782.3965620317</v>
      </c>
      <c r="K13" s="0" t="n">
        <f aca="false">K11+K12</f>
        <v>20474.7804417028</v>
      </c>
      <c r="L13" s="0" t="n">
        <f aca="false">L11+L12</f>
        <v>21089.0238549539</v>
      </c>
    </row>
    <row r="14" customFormat="false" ht="15" hidden="false" customHeight="false" outlineLevel="0" collapsed="false">
      <c r="A14" s="0" t="s">
        <v>122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137</v>
      </c>
      <c r="C15" s="0" t="n">
        <f aca="false">C13-MAX(0,C13)*C14/100</f>
        <v>10628.42974445</v>
      </c>
      <c r="D15" s="0" t="n">
        <f aca="false">D13-MAX(0,D13)*D14/100</f>
        <v>11381.9693966475</v>
      </c>
      <c r="E15" s="0" t="n">
        <f aca="false">E13-MAX(0,E13)*E14/100</f>
        <v>12117.6564902111</v>
      </c>
      <c r="F15" s="0" t="n">
        <f aca="false">F13-MAX(0,F13)*F14/100</f>
        <v>12767.4020993501</v>
      </c>
      <c r="G15" s="0" t="n">
        <f aca="false">G13-MAX(0,G13)*G14/100</f>
        <v>13341.9351938209</v>
      </c>
      <c r="H15" s="0" t="n">
        <f aca="false">H13-MAX(0,H13)*H14/100</f>
        <v>13875.6126015737</v>
      </c>
      <c r="I15" s="0" t="n">
        <f aca="false">I13-MAX(0,I13)*I14/100</f>
        <v>14430.6371056367</v>
      </c>
      <c r="J15" s="0" t="n">
        <f aca="false">J13-MAX(0,J13)*J14/100</f>
        <v>14935.7094043339</v>
      </c>
      <c r="K15" s="0" t="n">
        <f aca="false">K13-MAX(0,K13)*K14/100</f>
        <v>15458.4592334856</v>
      </c>
      <c r="L15" s="0" t="n">
        <f aca="false">L13-MAX(0,L13)*L14/100</f>
        <v>15922.2130104902</v>
      </c>
    </row>
    <row r="16" customFormat="false" ht="15" hidden="false" customHeight="false" outlineLevel="0" collapsed="false">
      <c r="A16" s="0" t="s">
        <v>138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139</v>
      </c>
      <c r="C17" s="4" t="n">
        <f aca="false">-C6*Assumptions!C32/100</f>
        <v>-3166.11197</v>
      </c>
      <c r="D17" s="4" t="n">
        <f aca="false">-D6*Assumptions!D32/100</f>
        <v>-3038.6269305</v>
      </c>
      <c r="E17" s="4" t="n">
        <f aca="false">-E6*Assumptions!E32/100</f>
        <v>-3190.558277025</v>
      </c>
      <c r="F17" s="4" t="n">
        <f aca="false">-F6*Assumptions!F32/100</f>
        <v>-3015.93809580525</v>
      </c>
      <c r="G17" s="4" t="n">
        <f aca="false">-G6*Assumptions!G32/100</f>
        <v>-3151.65531011649</v>
      </c>
      <c r="H17" s="4" t="n">
        <f aca="false">-H6*Assumptions!H32/100</f>
        <v>-2926.89505986598</v>
      </c>
      <c r="I17" s="4" t="n">
        <f aca="false">-I6*Assumptions!I32/100</f>
        <v>-3043.97086226062</v>
      </c>
      <c r="J17" s="4" t="n">
        <f aca="false">-J6*Assumptions!J32/100</f>
        <v>-2767.4855294034</v>
      </c>
      <c r="K17" s="4" t="n">
        <f aca="false">-K6*Assumptions!K32/100</f>
        <v>-2864.34752293252</v>
      </c>
      <c r="L17" s="4" t="n">
        <f aca="false">-L6*Assumptions!L32/100</f>
        <v>-2541.95487970811</v>
      </c>
    </row>
    <row r="18" customFormat="false" ht="15" hidden="false" customHeight="false" outlineLevel="0" collapsed="false">
      <c r="A18" s="0" t="s">
        <v>140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141</v>
      </c>
      <c r="C19" s="0" t="n">
        <f aca="false">C15+C16+C17+C18</f>
        <v>7462.31777445</v>
      </c>
      <c r="D19" s="0" t="n">
        <f aca="false">D15+D16+D17+D18</f>
        <v>8343.3424661475</v>
      </c>
      <c r="E19" s="0" t="n">
        <f aca="false">E15+E16+E17+E18</f>
        <v>8927.09821318612</v>
      </c>
      <c r="F19" s="0" t="n">
        <f aca="false">F15+F16+F17+F18</f>
        <v>9751.46400354487</v>
      </c>
      <c r="G19" s="0" t="n">
        <f aca="false">G15+G16+G17+G18</f>
        <v>10190.2798837044</v>
      </c>
      <c r="H19" s="0" t="n">
        <f aca="false">H15+H16+H17+H18</f>
        <v>10948.7175417077</v>
      </c>
      <c r="I19" s="0" t="n">
        <f aca="false">I15+I16+I17+I18</f>
        <v>11386.666243376</v>
      </c>
      <c r="J19" s="0" t="n">
        <f aca="false">J15+J16+J17+J18</f>
        <v>12168.2238749305</v>
      </c>
      <c r="K19" s="0" t="n">
        <f aca="false">K15+K16+K17+K18</f>
        <v>12594.1117105531</v>
      </c>
      <c r="L19" s="0" t="n">
        <f aca="false">L15+L16+L17+L18</f>
        <v>13380.2581307821</v>
      </c>
    </row>
    <row r="20" customFormat="false" ht="15" hidden="false" customHeight="false" outlineLevel="0" collapsed="false">
      <c r="A20" s="0" t="s">
        <v>142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143</v>
      </c>
      <c r="C21" s="0" t="n">
        <f aca="false">C19*C20</f>
        <v>6799.37838218679</v>
      </c>
      <c r="D21" s="0" t="n">
        <f aca="false">D19*D20</f>
        <v>6926.77390934875</v>
      </c>
      <c r="E21" s="0" t="n">
        <f aca="false">E19*E20</f>
        <v>6752.99963166166</v>
      </c>
      <c r="F21" s="0" t="n">
        <f aca="false">F19*F20</f>
        <v>6721.27564119397</v>
      </c>
      <c r="G21" s="0" t="n">
        <f aca="false">G19*G20</f>
        <v>6399.75676086351</v>
      </c>
      <c r="H21" s="0" t="n">
        <f aca="false">H19*H20</f>
        <v>6265.21643300985</v>
      </c>
      <c r="I21" s="0" t="n">
        <f aca="false">I19*I20</f>
        <v>5936.9704695492</v>
      </c>
      <c r="J21" s="0" t="n">
        <f aca="false">J19*J20</f>
        <v>5780.8401437599</v>
      </c>
      <c r="K21" s="0" t="n">
        <f aca="false">K19*K20</f>
        <v>5451.6351241836</v>
      </c>
      <c r="L21" s="0" t="n">
        <f aca="false">L19*L20</f>
        <v>5277.39015730269</v>
      </c>
    </row>
    <row r="23" customFormat="false" ht="15" hidden="false" customHeight="false" outlineLevel="0" collapsed="false">
      <c r="A23" s="0" t="s">
        <v>119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144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145</v>
      </c>
    </row>
    <row r="27" customFormat="false" ht="15" hidden="false" customHeight="false" outlineLevel="0" collapsed="false">
      <c r="A27" s="0" t="s">
        <v>123</v>
      </c>
      <c r="B27" s="4" t="n">
        <f aca="false">Assumptions!$B$34</f>
        <v>9.75</v>
      </c>
    </row>
    <row r="28" customFormat="false" ht="15" hidden="false" customHeight="false" outlineLevel="0" collapsed="false">
      <c r="A28" s="0" t="s">
        <v>124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125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146</v>
      </c>
      <c r="B30" s="0" t="n">
        <f aca="false">SUM(C21:L21)</f>
        <v>62312.2366530599</v>
      </c>
    </row>
    <row r="31" customFormat="false" ht="15" hidden="false" customHeight="false" outlineLevel="0" collapsed="false">
      <c r="A31" s="0" t="s">
        <v>147</v>
      </c>
      <c r="B31" s="0" t="n">
        <f aca="false">L19</f>
        <v>13380.2581307821</v>
      </c>
    </row>
    <row r="32" customFormat="false" ht="15" hidden="false" customHeight="false" outlineLevel="0" collapsed="false">
      <c r="A32" s="0" t="s">
        <v>148</v>
      </c>
      <c r="B32" s="0" t="n">
        <f aca="false">IF(B27&gt;B28,B31*(1+B28/100)/((B27-B28)/100),B31*B29)</f>
        <v>204172.827773416</v>
      </c>
    </row>
    <row r="33" customFormat="false" ht="15" hidden="false" customHeight="false" outlineLevel="0" collapsed="false">
      <c r="A33" s="0" t="s">
        <v>149</v>
      </c>
      <c r="B33" s="0" t="n">
        <f aca="false">B31*B29</f>
        <v>187323.613830949</v>
      </c>
    </row>
    <row r="34" customFormat="false" ht="15" hidden="false" customHeight="false" outlineLevel="0" collapsed="false">
      <c r="A34" s="0" t="s">
        <v>150</v>
      </c>
      <c r="B34" s="0" t="n">
        <f aca="false">MAX(0,MIN(B32,B33))</f>
        <v>187323.613830949</v>
      </c>
    </row>
    <row r="35" customFormat="false" ht="15" hidden="false" customHeight="false" outlineLevel="0" collapsed="false">
      <c r="A35" s="0" t="s">
        <v>151</v>
      </c>
      <c r="B35" s="0" t="n">
        <f aca="false">B34/(1+B27/100)^L4</f>
        <v>73883.4622022377</v>
      </c>
    </row>
    <row r="36" customFormat="false" ht="15" hidden="false" customHeight="false" outlineLevel="0" collapsed="false">
      <c r="A36" s="0" t="s">
        <v>152</v>
      </c>
      <c r="B36" s="0" t="n">
        <f aca="false">B30+B35</f>
        <v>136195.698855298</v>
      </c>
    </row>
    <row r="37" customFormat="false" ht="15" hidden="false" customHeight="false" outlineLevel="0" collapsed="false">
      <c r="A37" s="0" t="s">
        <v>153</v>
      </c>
      <c r="B37" s="0" t="n">
        <f aca="false">B36+Assumptions!$B$5-Assumptions!$B$4</f>
        <v>138395.698855298</v>
      </c>
    </row>
    <row r="38" customFormat="false" ht="15" hidden="false" customHeight="false" outlineLevel="0" collapsed="false">
      <c r="A38" s="0" t="s">
        <v>154</v>
      </c>
      <c r="B38" s="0" t="n">
        <f aca="false">B37/Assumptions!$B$3*Assumptions!$B$10</f>
        <v>197.877750722473</v>
      </c>
    </row>
    <row r="39" customFormat="false" ht="15" hidden="false" customHeight="false" outlineLevel="0" collapsed="false">
      <c r="A39" s="0" t="s">
        <v>155</v>
      </c>
      <c r="B39" s="4" t="n">
        <f aca="false">B38/Assumptions!$B$2-1</f>
        <v>-0.147446140790724</v>
      </c>
    </row>
    <row r="41" customFormat="false" ht="15" hidden="false" customHeight="false" outlineLevel="0" collapsed="false">
      <c r="A41" s="0" t="s">
        <v>156</v>
      </c>
      <c r="B41" s="0" t="n">
        <f aca="false">SUMPRODUCT(-C10:L10/(1+$B$27/100)^C4:L4)</f>
        <v>383.672667603912</v>
      </c>
    </row>
    <row r="42" customFormat="false" ht="15" hidden="false" customHeight="false" outlineLevel="0" collapsed="false">
      <c r="A42" s="0" t="s">
        <v>157</v>
      </c>
      <c r="B42" s="0" t="n">
        <f aca="false">IF(B27&gt;B28,-L10*(1+B28/100)/((B27-B28)/100),-L10*20)/(1+B27/100)^L4</f>
        <v>449.963289582406</v>
      </c>
    </row>
    <row r="43" customFormat="false" ht="15" hidden="false" customHeight="false" outlineLevel="0" collapsed="false">
      <c r="A43" s="0" t="s">
        <v>158</v>
      </c>
      <c r="B43" s="0" t="n">
        <f aca="false">(B37+B41+B42)/Assumptions!$B$3*Assumptions!$B$10</f>
        <v>199.069680887166</v>
      </c>
    </row>
    <row r="45" customFormat="false" ht="15" hidden="false" customHeight="false" outlineLevel="0" collapsed="false">
      <c r="A45" s="0" t="s">
        <v>98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159</v>
      </c>
      <c r="B46" s="0" t="n">
        <f aca="false">MAX(0,MIN(IF(B45&gt;B28,B31*(1+B28/100)/((B45-B28)/100),B31*B29),B31*B29))</f>
        <v>114847.215622546</v>
      </c>
    </row>
    <row r="47" customFormat="false" ht="15" hidden="false" customHeight="false" outlineLevel="0" collapsed="false">
      <c r="A47" s="0" t="s">
        <v>160</v>
      </c>
      <c r="B47" s="0" t="n">
        <f aca="false">(SUMPRODUCT(C19:L19/(1+B45/100)^C4:L4)+B46/(1+B45/100)^L4+Assumptions!$B$5-Assumptions!$B$4)/Assumptions!$B$3*Assumptions!$B$10</f>
        <v>114.065013014484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162</v>
      </c>
    </row>
    <row r="3" customFormat="false" ht="15" hidden="false" customHeight="false" outlineLevel="0" collapsed="false">
      <c r="A3" s="0" t="s">
        <v>131</v>
      </c>
      <c r="B3" s="0" t="s">
        <v>101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</row>
    <row r="4" customFormat="false" ht="15" hidden="false" customHeight="false" outlineLevel="0" collapsed="false">
      <c r="A4" s="0" t="s">
        <v>132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116</v>
      </c>
      <c r="C5" s="4" t="n">
        <f aca="false">Assumptions!C41</f>
        <v>7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37940</v>
      </c>
      <c r="C6" s="0" t="n">
        <f aca="false">B6*(1+C5/100)</f>
        <v>40595.8</v>
      </c>
      <c r="D6" s="0" t="n">
        <f aca="false">C6*(1+D5/100)</f>
        <v>43234.527</v>
      </c>
      <c r="E6" s="0" t="n">
        <f aca="false">D6*(1+E5/100)</f>
        <v>45828.59862</v>
      </c>
      <c r="F6" s="0" t="n">
        <f aca="false">E6*(1+F5/100)</f>
        <v>48349.1715441</v>
      </c>
      <c r="G6" s="0" t="n">
        <f aca="false">F6*(1+G5/100)</f>
        <v>50766.630121305</v>
      </c>
      <c r="H6" s="0" t="n">
        <f aca="false">G6*(1+H5/100)</f>
        <v>53051.1284767637</v>
      </c>
      <c r="I6" s="0" t="n">
        <f aca="false">H6*(1+I5/100)</f>
        <v>55438.4292582181</v>
      </c>
      <c r="J6" s="0" t="n">
        <f aca="false">I6*(1+J5/100)</f>
        <v>57655.9664285468</v>
      </c>
      <c r="K6" s="0" t="n">
        <f aca="false">J6*(1+K5/100)</f>
        <v>59962.2050856887</v>
      </c>
      <c r="L6" s="0" t="n">
        <f aca="false">K6*(1+L5/100)</f>
        <v>62060.8822636878</v>
      </c>
    </row>
    <row r="7" customFormat="false" ht="15" hidden="false" customHeight="false" outlineLevel="0" collapsed="false">
      <c r="A7" s="0" t="s">
        <v>117</v>
      </c>
      <c r="C7" s="4" t="n">
        <f aca="false">Assumptions!C42</f>
        <v>36</v>
      </c>
      <c r="D7" s="4" t="n">
        <f aca="false">Assumptions!D42</f>
        <v>37.2</v>
      </c>
      <c r="E7" s="4" t="n">
        <f aca="false">Assumptions!E42</f>
        <v>38</v>
      </c>
      <c r="F7" s="4" t="n">
        <f aca="false">Assumptions!F42</f>
        <v>38.5</v>
      </c>
      <c r="G7" s="4" t="n">
        <f aca="false">Assumptions!G42</f>
        <v>38.5</v>
      </c>
      <c r="H7" s="4" t="n">
        <f aca="false">Assumptions!H42</f>
        <v>38.5</v>
      </c>
      <c r="I7" s="4" t="n">
        <f aca="false">Assumptions!I42</f>
        <v>38.5</v>
      </c>
      <c r="J7" s="4" t="n">
        <f aca="false">Assumptions!J42</f>
        <v>38.5</v>
      </c>
      <c r="K7" s="4" t="n">
        <f aca="false">Assumptions!K42</f>
        <v>38.5</v>
      </c>
      <c r="L7" s="4" t="n">
        <f aca="false">Assumptions!L42</f>
        <v>38.5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14614.488</v>
      </c>
      <c r="D8" s="0" t="n">
        <f aca="false">D6*D7/100</f>
        <v>16083.244044</v>
      </c>
      <c r="E8" s="0" t="n">
        <f aca="false">E6*E7/100</f>
        <v>17414.8674756</v>
      </c>
      <c r="F8" s="0" t="n">
        <f aca="false">F6*F7/100</f>
        <v>18614.4310444785</v>
      </c>
      <c r="G8" s="0" t="n">
        <f aca="false">G6*G7/100</f>
        <v>19545.1525967024</v>
      </c>
      <c r="H8" s="0" t="n">
        <f aca="false">H6*H7/100</f>
        <v>20424.684463554</v>
      </c>
      <c r="I8" s="0" t="n">
        <f aca="false">I6*I7/100</f>
        <v>21343.795264414</v>
      </c>
      <c r="J8" s="0" t="n">
        <f aca="false">J6*J7/100</f>
        <v>22197.5470749905</v>
      </c>
      <c r="K8" s="0" t="n">
        <f aca="false">K6*K7/100</f>
        <v>23085.4489579901</v>
      </c>
      <c r="L8" s="0" t="n">
        <f aca="false">L6*L7/100</f>
        <v>23893.4396715198</v>
      </c>
    </row>
    <row r="9" customFormat="false" ht="15" hidden="false" customHeight="false" outlineLevel="0" collapsed="false">
      <c r="A9" s="0" t="s">
        <v>118</v>
      </c>
      <c r="C9" s="4" t="n">
        <f aca="false">Assumptions!C43</f>
        <v>0.13</v>
      </c>
      <c r="D9" s="4" t="n">
        <f aca="false">Assumptions!D43</f>
        <v>0.13</v>
      </c>
      <c r="E9" s="4" t="n">
        <f aca="false">Assumptions!E43</f>
        <v>0.13</v>
      </c>
      <c r="F9" s="4" t="n">
        <f aca="false">Assumptions!F43</f>
        <v>0.13</v>
      </c>
      <c r="G9" s="4" t="n">
        <f aca="false">Assumptions!G43</f>
        <v>0.13</v>
      </c>
      <c r="H9" s="4" t="n">
        <f aca="false">Assumptions!H43</f>
        <v>0.13</v>
      </c>
      <c r="I9" s="4" t="n">
        <f aca="false">Assumptions!I43</f>
        <v>0.13</v>
      </c>
      <c r="J9" s="4" t="n">
        <f aca="false">Assumptions!J43</f>
        <v>0.13</v>
      </c>
      <c r="K9" s="4" t="n">
        <f aca="false">Assumptions!K43</f>
        <v>0.13</v>
      </c>
      <c r="L9" s="4" t="n">
        <f aca="false">Assumptions!L43</f>
        <v>0.13</v>
      </c>
    </row>
    <row r="10" customFormat="false" ht="15" hidden="false" customHeight="false" outlineLevel="0" collapsed="false">
      <c r="A10" s="0" t="s">
        <v>133</v>
      </c>
      <c r="C10" s="0" t="n">
        <f aca="false">-C6*C9/100</f>
        <v>-52.77454</v>
      </c>
      <c r="D10" s="0" t="n">
        <f aca="false">-D6*D9/100</f>
        <v>-56.2048851</v>
      </c>
      <c r="E10" s="0" t="n">
        <f aca="false">-E6*E9/100</f>
        <v>-59.577178206</v>
      </c>
      <c r="F10" s="0" t="n">
        <f aca="false">-F6*F9/100</f>
        <v>-62.85392300733</v>
      </c>
      <c r="G10" s="0" t="n">
        <f aca="false">-G6*G9/100</f>
        <v>-65.9966191576965</v>
      </c>
      <c r="H10" s="0" t="n">
        <f aca="false">-H6*H9/100</f>
        <v>-68.9664670197929</v>
      </c>
      <c r="I10" s="0" t="n">
        <f aca="false">-I6*I9/100</f>
        <v>-72.0699580356835</v>
      </c>
      <c r="J10" s="0" t="n">
        <f aca="false">-J6*J9/100</f>
        <v>-74.9527563571109</v>
      </c>
      <c r="K10" s="0" t="n">
        <f aca="false">-K6*K9/100</f>
        <v>-77.9508666113953</v>
      </c>
      <c r="L10" s="0" t="n">
        <f aca="false">-L6*L9/100</f>
        <v>-80.6791469427942</v>
      </c>
    </row>
    <row r="11" customFormat="false" ht="15" hidden="false" customHeight="false" outlineLevel="0" collapsed="false">
      <c r="A11" s="0" t="s">
        <v>134</v>
      </c>
      <c r="C11" s="0" t="n">
        <f aca="false">C8+C10+C24</f>
        <v>14561.71346</v>
      </c>
      <c r="D11" s="0" t="n">
        <f aca="false">D8+D10+D24</f>
        <v>16027.0391589</v>
      </c>
      <c r="E11" s="0" t="n">
        <f aca="false">E8+E10+E24</f>
        <v>17355.290297394</v>
      </c>
      <c r="F11" s="0" t="n">
        <f aca="false">F8+F10+F24</f>
        <v>18551.5771214712</v>
      </c>
      <c r="G11" s="0" t="n">
        <f aca="false">G8+G10+G24</f>
        <v>19479.1559775447</v>
      </c>
      <c r="H11" s="0" t="n">
        <f aca="false">H8+H10+H24</f>
        <v>20355.7179965342</v>
      </c>
      <c r="I11" s="0" t="n">
        <f aca="false">I8+I10+I24</f>
        <v>21271.7253063783</v>
      </c>
      <c r="J11" s="0" t="n">
        <f aca="false">J8+J10+J24</f>
        <v>22122.5943186334</v>
      </c>
      <c r="K11" s="0" t="n">
        <f aca="false">K8+K10+K24</f>
        <v>23007.4980913788</v>
      </c>
      <c r="L11" s="0" t="n">
        <f aca="false">L8+L10+L24</f>
        <v>23812.760524577</v>
      </c>
    </row>
    <row r="12" customFormat="false" ht="15" hidden="false" customHeight="false" outlineLevel="0" collapsed="false">
      <c r="A12" s="0" t="s">
        <v>135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136</v>
      </c>
      <c r="C13" s="0" t="n">
        <f aca="false">C11+C12</f>
        <v>14561.71346</v>
      </c>
      <c r="D13" s="0" t="n">
        <f aca="false">D11+D12</f>
        <v>16027.0391589</v>
      </c>
      <c r="E13" s="0" t="n">
        <f aca="false">E11+E12</f>
        <v>17355.290297394</v>
      </c>
      <c r="F13" s="0" t="n">
        <f aca="false">F11+F12</f>
        <v>18551.5771214712</v>
      </c>
      <c r="G13" s="0" t="n">
        <f aca="false">G11+G12</f>
        <v>19479.1559775447</v>
      </c>
      <c r="H13" s="0" t="n">
        <f aca="false">H11+H12</f>
        <v>20355.7179965342</v>
      </c>
      <c r="I13" s="0" t="n">
        <f aca="false">I11+I12</f>
        <v>21271.7253063783</v>
      </c>
      <c r="J13" s="0" t="n">
        <f aca="false">J11+J12</f>
        <v>22122.5943186334</v>
      </c>
      <c r="K13" s="0" t="n">
        <f aca="false">K11+K12</f>
        <v>23007.4980913788</v>
      </c>
      <c r="L13" s="0" t="n">
        <f aca="false">L11+L12</f>
        <v>23812.760524577</v>
      </c>
    </row>
    <row r="14" customFormat="false" ht="15" hidden="false" customHeight="false" outlineLevel="0" collapsed="false">
      <c r="A14" s="0" t="s">
        <v>122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137</v>
      </c>
      <c r="C15" s="0" t="n">
        <f aca="false">C13-MAX(0,C13)*C14/100</f>
        <v>10994.0936623</v>
      </c>
      <c r="D15" s="0" t="n">
        <f aca="false">D13-MAX(0,D13)*D14/100</f>
        <v>12100.4145649695</v>
      </c>
      <c r="E15" s="0" t="n">
        <f aca="false">E13-MAX(0,E13)*E14/100</f>
        <v>13103.2441745325</v>
      </c>
      <c r="F15" s="0" t="n">
        <f aca="false">F13-MAX(0,F13)*F14/100</f>
        <v>14006.4407267107</v>
      </c>
      <c r="G15" s="0" t="n">
        <f aca="false">G13-MAX(0,G13)*G14/100</f>
        <v>14706.7627630463</v>
      </c>
      <c r="H15" s="0" t="n">
        <f aca="false">H13-MAX(0,H13)*H14/100</f>
        <v>15368.5670873834</v>
      </c>
      <c r="I15" s="0" t="n">
        <f aca="false">I13-MAX(0,I13)*I14/100</f>
        <v>16060.1526063156</v>
      </c>
      <c r="J15" s="0" t="n">
        <f aca="false">J13-MAX(0,J13)*J14/100</f>
        <v>16702.5587105682</v>
      </c>
      <c r="K15" s="0" t="n">
        <f aca="false">K13-MAX(0,K13)*K14/100</f>
        <v>17370.661058991</v>
      </c>
      <c r="L15" s="0" t="n">
        <f aca="false">L13-MAX(0,L13)*L14/100</f>
        <v>17978.6341960556</v>
      </c>
    </row>
    <row r="16" customFormat="false" ht="15" hidden="false" customHeight="false" outlineLevel="0" collapsed="false">
      <c r="A16" s="0" t="s">
        <v>138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139</v>
      </c>
      <c r="C17" s="4" t="n">
        <f aca="false">-C6*Assumptions!C46/100</f>
        <v>-4031.16294</v>
      </c>
      <c r="D17" s="4" t="n">
        <f aca="false">-D6*Assumptions!D46/100</f>
        <v>-4003.5172002</v>
      </c>
      <c r="E17" s="4" t="n">
        <f aca="false">-E6*Assumptions!E46/100</f>
        <v>-3936.676621458</v>
      </c>
      <c r="F17" s="4" t="n">
        <f aca="false">-F6*Assumptions!F46/100</f>
        <v>-3824.41946913831</v>
      </c>
      <c r="G17" s="4" t="n">
        <f aca="false">-G6*Assumptions!G46/100</f>
        <v>-3670.42735777035</v>
      </c>
      <c r="H17" s="4" t="n">
        <f aca="false">-H6*Assumptions!H46/100</f>
        <v>-3469.54380238035</v>
      </c>
      <c r="I17" s="4" t="n">
        <f aca="false">-I6*Assumptions!I46/100</f>
        <v>-3625.67327348746</v>
      </c>
      <c r="J17" s="4" t="n">
        <f aca="false">-J6*Assumptions!J46/100</f>
        <v>-3367.10843942713</v>
      </c>
      <c r="K17" s="4" t="n">
        <f aca="false">-K6*Assumptions!K46/100</f>
        <v>-3501.79277700422</v>
      </c>
      <c r="L17" s="4" t="n">
        <f aca="false">-L6*Assumptions!L46/100</f>
        <v>-3183.72326012718</v>
      </c>
    </row>
    <row r="18" customFormat="false" ht="15" hidden="false" customHeight="false" outlineLevel="0" collapsed="false">
      <c r="A18" s="0" t="s">
        <v>140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141</v>
      </c>
      <c r="C19" s="0" t="n">
        <f aca="false">C15+C16+C17+C18</f>
        <v>6962.9307223</v>
      </c>
      <c r="D19" s="0" t="n">
        <f aca="false">D15+D16+D17+D18</f>
        <v>8096.8973647695</v>
      </c>
      <c r="E19" s="0" t="n">
        <f aca="false">E15+E16+E17+E18</f>
        <v>9166.56755307447</v>
      </c>
      <c r="F19" s="0" t="n">
        <f aca="false">F15+F16+F17+F18</f>
        <v>10182.0212575724</v>
      </c>
      <c r="G19" s="0" t="n">
        <f aca="false">G15+G16+G17+G18</f>
        <v>11036.3354052759</v>
      </c>
      <c r="H19" s="0" t="n">
        <f aca="false">H15+H16+H17+H18</f>
        <v>11899.023285003</v>
      </c>
      <c r="I19" s="0" t="n">
        <f aca="false">I15+I16+I17+I18</f>
        <v>12434.4793328281</v>
      </c>
      <c r="J19" s="0" t="n">
        <f aca="false">J15+J16+J17+J18</f>
        <v>13335.4502711411</v>
      </c>
      <c r="K19" s="0" t="n">
        <f aca="false">K15+K16+K17+K18</f>
        <v>13868.8682819867</v>
      </c>
      <c r="L19" s="0" t="n">
        <f aca="false">L15+L16+L17+L18</f>
        <v>14794.9109359285</v>
      </c>
    </row>
    <row r="20" customFormat="false" ht="15" hidden="false" customHeight="false" outlineLevel="0" collapsed="false">
      <c r="A20" s="0" t="s">
        <v>142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143</v>
      </c>
      <c r="C21" s="0" t="n">
        <f aca="false">C19*C20</f>
        <v>6358.84084228311</v>
      </c>
      <c r="D21" s="0" t="n">
        <f aca="false">D19*D20</f>
        <v>6752.90120286858</v>
      </c>
      <c r="E21" s="0" t="n">
        <f aca="false">E19*E20</f>
        <v>6981.7514805928</v>
      </c>
      <c r="F21" s="0" t="n">
        <f aca="false">F19*F20</f>
        <v>7082.35224247133</v>
      </c>
      <c r="G21" s="0" t="n">
        <f aca="false">G19*G20</f>
        <v>7010.58557276097</v>
      </c>
      <c r="H21" s="0" t="n">
        <f aca="false">H19*H20</f>
        <v>6902.82080407942</v>
      </c>
      <c r="I21" s="0" t="n">
        <f aca="false">I19*I20</f>
        <v>6587.62350708949</v>
      </c>
      <c r="J21" s="0" t="n">
        <f aca="false">J19*J20</f>
        <v>6452.00552786988</v>
      </c>
      <c r="K21" s="0" t="n">
        <f aca="false">K19*K20</f>
        <v>6127.93219085358</v>
      </c>
      <c r="L21" s="0" t="n">
        <f aca="false">L19*L20</f>
        <v>5969.95645419369</v>
      </c>
    </row>
    <row r="23" customFormat="false" ht="15" hidden="false" customHeight="false" outlineLevel="0" collapsed="false">
      <c r="A23" s="0" t="s">
        <v>119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144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145</v>
      </c>
    </row>
    <row r="27" customFormat="false" ht="15" hidden="false" customHeight="false" outlineLevel="0" collapsed="false">
      <c r="A27" s="0" t="s">
        <v>123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124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125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146</v>
      </c>
      <c r="B30" s="0" t="n">
        <f aca="false">SUM(C21:L21)</f>
        <v>66226.7698250629</v>
      </c>
    </row>
    <row r="31" customFormat="false" ht="15" hidden="false" customHeight="false" outlineLevel="0" collapsed="false">
      <c r="A31" s="0" t="s">
        <v>147</v>
      </c>
      <c r="B31" s="0" t="n">
        <f aca="false">L19</f>
        <v>14794.9109359285</v>
      </c>
    </row>
    <row r="32" customFormat="false" ht="15" hidden="false" customHeight="false" outlineLevel="0" collapsed="false">
      <c r="A32" s="0" t="s">
        <v>148</v>
      </c>
      <c r="B32" s="0" t="n">
        <f aca="false">IF(B27&gt;B28,B31*(1+B28/100)/((B27-B28)/100),B31*B29)</f>
        <v>255212.213644766</v>
      </c>
    </row>
    <row r="33" customFormat="false" ht="15" hidden="false" customHeight="false" outlineLevel="0" collapsed="false">
      <c r="A33" s="0" t="s">
        <v>149</v>
      </c>
      <c r="B33" s="0" t="n">
        <f aca="false">B31*B29</f>
        <v>221923.664038927</v>
      </c>
    </row>
    <row r="34" customFormat="false" ht="15" hidden="false" customHeight="false" outlineLevel="0" collapsed="false">
      <c r="A34" s="0" t="s">
        <v>150</v>
      </c>
      <c r="B34" s="0" t="n">
        <f aca="false">MAX(0,MIN(B32,B33))</f>
        <v>221923.664038927</v>
      </c>
    </row>
    <row r="35" customFormat="false" ht="15" hidden="false" customHeight="false" outlineLevel="0" collapsed="false">
      <c r="A35" s="0" t="s">
        <v>151</v>
      </c>
      <c r="B35" s="0" t="n">
        <f aca="false">B34/(1+B27/100)^L4</f>
        <v>89549.3468129053</v>
      </c>
    </row>
    <row r="36" customFormat="false" ht="15" hidden="false" customHeight="false" outlineLevel="0" collapsed="false">
      <c r="A36" s="0" t="s">
        <v>152</v>
      </c>
      <c r="B36" s="0" t="n">
        <f aca="false">B30+B35</f>
        <v>155776.116637968</v>
      </c>
    </row>
    <row r="37" customFormat="false" ht="15" hidden="false" customHeight="false" outlineLevel="0" collapsed="false">
      <c r="A37" s="0" t="s">
        <v>153</v>
      </c>
      <c r="B37" s="0" t="n">
        <f aca="false">B36+Assumptions!$B$5-Assumptions!$B$4</f>
        <v>157976.116637968</v>
      </c>
    </row>
    <row r="38" customFormat="false" ht="15" hidden="false" customHeight="false" outlineLevel="0" collapsed="false">
      <c r="A38" s="0" t="s">
        <v>154</v>
      </c>
      <c r="B38" s="0" t="n">
        <f aca="false">B37/Assumptions!$B$3*Assumptions!$B$10</f>
        <v>225.873772716569</v>
      </c>
    </row>
    <row r="39" customFormat="false" ht="15" hidden="false" customHeight="false" outlineLevel="0" collapsed="false">
      <c r="A39" s="0" t="s">
        <v>155</v>
      </c>
      <c r="B39" s="4" t="n">
        <f aca="false">B38/Assumptions!$B$2-1</f>
        <v>-0.026825623797636</v>
      </c>
    </row>
    <row r="41" customFormat="false" ht="15" hidden="false" customHeight="false" outlineLevel="0" collapsed="false">
      <c r="A41" s="0" t="s">
        <v>156</v>
      </c>
      <c r="B41" s="0" t="n">
        <f aca="false">SUMPRODUCT(-C10:L10/(1+$B$27/100)^C4:L4)</f>
        <v>407.542892876511</v>
      </c>
    </row>
    <row r="42" customFormat="false" ht="15" hidden="false" customHeight="false" outlineLevel="0" collapsed="false">
      <c r="A42" s="0" t="s">
        <v>157</v>
      </c>
      <c r="B42" s="0" t="n">
        <f aca="false">IF(B27&gt;B28,-L10*(1+B28/100)/((B27-B28)/100),-L10*20)/(1+B27/100)^L4</f>
        <v>561.576861304077</v>
      </c>
    </row>
    <row r="43" customFormat="false" ht="15" hidden="false" customHeight="false" outlineLevel="0" collapsed="false">
      <c r="A43" s="0" t="s">
        <v>158</v>
      </c>
      <c r="B43" s="0" t="n">
        <f aca="false">(B37+B41+B42)/Assumptions!$B$3*Assumptions!$B$10</f>
        <v>227.25941720353</v>
      </c>
    </row>
    <row r="45" customFormat="false" ht="15" hidden="false" customHeight="false" outlineLevel="0" collapsed="false">
      <c r="A45" s="0" t="s">
        <v>98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159</v>
      </c>
      <c r="B46" s="0" t="n">
        <f aca="false">MAX(0,MIN(IF(B45&gt;B28,B31*(1+B28/100)/((B45-B28)/100),B31*B29),B31*B29))</f>
        <v>133154.198423356</v>
      </c>
    </row>
    <row r="47" customFormat="false" ht="15" hidden="false" customHeight="false" outlineLevel="0" collapsed="false">
      <c r="A47" s="0" t="s">
        <v>160</v>
      </c>
      <c r="B47" s="0" t="n">
        <f aca="false">(SUMPRODUCT(C19:L19/(1+B45/100)^C4:L4)+B46/(1+B45/100)^L4+Assumptions!$B$5-Assumptions!$B$4)/Assumptions!$B$3*Assumptions!$B$10</f>
        <v>123.540627400559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163</v>
      </c>
    </row>
    <row r="3" customFormat="false" ht="15" hidden="false" customHeight="false" outlineLevel="0" collapsed="false">
      <c r="A3" s="2" t="s">
        <v>164</v>
      </c>
      <c r="B3" s="2" t="s">
        <v>165</v>
      </c>
      <c r="C3" s="2" t="s">
        <v>155</v>
      </c>
      <c r="D3" s="2" t="s">
        <v>166</v>
      </c>
      <c r="E3" s="2" t="s">
        <v>158</v>
      </c>
      <c r="F3" s="2" t="s">
        <v>167</v>
      </c>
    </row>
    <row r="4" customFormat="false" ht="15" hidden="false" customHeight="false" outlineLevel="0" collapsed="false">
      <c r="A4" s="0" t="s">
        <v>168</v>
      </c>
      <c r="B4" s="4" t="n">
        <f aca="false">DCF_Bear!$B$38</f>
        <v>141.748627381668</v>
      </c>
      <c r="C4" s="0" t="n">
        <f aca="false">B4/Assumptions!$B$2-1</f>
        <v>-0.389277779484413</v>
      </c>
      <c r="D4" s="4" t="n">
        <f aca="false">Assumptions!$B$24</f>
        <v>0.25</v>
      </c>
      <c r="E4" s="4" t="n">
        <f aca="false">DCF_Bear!$B$43</f>
        <v>142.673679674101</v>
      </c>
      <c r="F4" s="4" t="n">
        <f aca="false">DCF_Bear!$B$47</f>
        <v>96.2843331271766</v>
      </c>
    </row>
    <row r="5" customFormat="false" ht="15" hidden="false" customHeight="false" outlineLevel="0" collapsed="false">
      <c r="A5" s="0" t="s">
        <v>169</v>
      </c>
      <c r="B5" s="4" t="n">
        <f aca="false">DCF_Base!$B$38</f>
        <v>197.877750722473</v>
      </c>
      <c r="C5" s="0" t="n">
        <f aca="false">B5/Assumptions!$B$2-1</f>
        <v>-0.147446140790724</v>
      </c>
      <c r="D5" s="4" t="n">
        <f aca="false">Assumptions!$B$38</f>
        <v>0.5</v>
      </c>
      <c r="E5" s="4" t="n">
        <f aca="false">DCF_Base!$B$43</f>
        <v>199.069680887166</v>
      </c>
      <c r="F5" s="4" t="n">
        <f aca="false">DCF_Base!$B$47</f>
        <v>114.065013014484</v>
      </c>
    </row>
    <row r="6" customFormat="false" ht="15" hidden="false" customHeight="false" outlineLevel="0" collapsed="false">
      <c r="A6" s="0" t="s">
        <v>170</v>
      </c>
      <c r="B6" s="4" t="n">
        <f aca="false">DCF_Bull!$B$38</f>
        <v>225.873772716569</v>
      </c>
      <c r="C6" s="0" t="n">
        <f aca="false">B6/Assumptions!$B$2-1</f>
        <v>-0.026825623797636</v>
      </c>
      <c r="D6" s="4" t="n">
        <f aca="false">Assumptions!$B$52</f>
        <v>0.25</v>
      </c>
      <c r="E6" s="4" t="n">
        <f aca="false">DCF_Bull!$B$43</f>
        <v>227.25941720353</v>
      </c>
      <c r="F6" s="4" t="n">
        <f aca="false">DCF_Bull!$B$47</f>
        <v>123.540627400559</v>
      </c>
    </row>
    <row r="8" customFormat="false" ht="15" hidden="false" customHeight="false" outlineLevel="0" collapsed="false">
      <c r="A8" s="0" t="s">
        <v>171</v>
      </c>
      <c r="B8" s="0" t="n">
        <f aca="false">SUMPRODUCT(B4:B6,D4:D6)</f>
        <v>190.844475385796</v>
      </c>
    </row>
    <row r="9" customFormat="false" ht="15" hidden="false" customHeight="false" outlineLevel="0" collapsed="false">
      <c r="A9" s="0" t="s">
        <v>172</v>
      </c>
      <c r="B9" s="0" t="n">
        <f aca="false">SUMPRODUCT(E4:E6,D4:D6)</f>
        <v>192.018114662991</v>
      </c>
    </row>
    <row r="10" customFormat="false" ht="15" hidden="false" customHeight="false" outlineLevel="0" collapsed="false">
      <c r="A10" s="0" t="s">
        <v>173</v>
      </c>
      <c r="B10" s="0" t="n">
        <f aca="false">1-Assumptions!$B$2/B8</f>
        <v>-0.216173533610578</v>
      </c>
    </row>
    <row r="11" customFormat="false" ht="15" hidden="false" customHeight="false" outlineLevel="0" collapsed="false">
      <c r="A11" s="0" t="s">
        <v>174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175</v>
      </c>
      <c r="B12" s="0" t="n">
        <f aca="false">SUMPRODUCT(F4:F6,D4:D6)</f>
        <v>111.988746639176</v>
      </c>
    </row>
    <row r="14" customFormat="false" ht="15" hidden="false" customHeight="false" outlineLevel="0" collapsed="false">
      <c r="A14" s="2" t="s">
        <v>176</v>
      </c>
      <c r="C14" s="0" t="s">
        <v>177</v>
      </c>
    </row>
    <row r="15" customFormat="false" ht="15" hidden="false" customHeight="false" outlineLevel="0" collapsed="false">
      <c r="A15" s="0" t="s">
        <v>178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208.657927534854</v>
      </c>
      <c r="C15" s="3" t="n">
        <v>9</v>
      </c>
    </row>
    <row r="16" customFormat="false" ht="15" hidden="false" customHeight="false" outlineLevel="0" collapsed="false">
      <c r="A16" s="0" t="s">
        <v>179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197.877750722473</v>
      </c>
      <c r="C16" s="3" t="n">
        <v>9.75</v>
      </c>
    </row>
    <row r="17" customFormat="false" ht="15" hidden="false" customHeight="false" outlineLevel="0" collapsed="false">
      <c r="A17" s="0" t="s">
        <v>180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194.445538566255</v>
      </c>
      <c r="C17" s="3" t="n">
        <v>10</v>
      </c>
    </row>
    <row r="18" customFormat="false" ht="15" hidden="false" customHeight="false" outlineLevel="0" collapsed="false">
      <c r="A18" s="0" t="s">
        <v>181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173.888913301937</v>
      </c>
      <c r="C18" s="3" t="n">
        <v>11</v>
      </c>
    </row>
    <row r="19" customFormat="false" ht="15" hidden="false" customHeight="false" outlineLevel="0" collapsed="false">
      <c r="A19" s="0" t="s">
        <v>182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153.865008993158</v>
      </c>
      <c r="C19" s="3" t="n">
        <v>12</v>
      </c>
    </row>
    <row r="20" customFormat="false" ht="15" hidden="false" customHeight="false" outlineLevel="0" collapsed="false">
      <c r="A20" s="0" t="s">
        <v>183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114.065013014484</v>
      </c>
      <c r="C20" s="3" t="n">
        <v>15</v>
      </c>
    </row>
    <row r="22" customFormat="false" ht="15" hidden="false" customHeight="false" outlineLevel="0" collapsed="false">
      <c r="A22" s="2" t="s">
        <v>184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228.369691810428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228.369691810428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228.369691810428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228.369691810428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228.369691810428</v>
      </c>
    </row>
    <row r="25" customFormat="false" ht="15" hidden="false" customHeight="false" outlineLevel="0" collapsed="false">
      <c r="A25" s="3" t="n">
        <v>8.75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212.419673297113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212.419673297113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212.419673297113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212.419673297113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212.419673297113</v>
      </c>
    </row>
    <row r="26" customFormat="false" ht="15" hidden="false" customHeight="false" outlineLevel="0" collapsed="false">
      <c r="A26" s="3" t="n">
        <v>9.75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191.54918595775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197.877750722473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197.877750722473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197.877750722473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197.877750722473</v>
      </c>
    </row>
    <row r="27" customFormat="false" ht="15" hidden="false" customHeight="false" outlineLevel="0" collapsed="false">
      <c r="A27" s="3" t="n">
        <v>10.75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168.458648981078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173.744966590669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179.713389698271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184.603993734523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184.603993734523</v>
      </c>
    </row>
    <row r="28" customFormat="false" ht="15" hidden="false" customHeight="false" outlineLevel="0" collapsed="false">
      <c r="A28" s="3" t="n">
        <v>11.75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150.18531255401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154.087739067071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158.436157181625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163.311656279761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168.816252035721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2026-10-10T06:45:07Z</dcterms:created>
  <dc:creator>openpyxl</dc:creator>
  <dc:description/>
  <dc:language>en-NZ</dc:language>
  <cp:lastModifiedBy/>
  <dcterms:modified xsi:type="dcterms:W3CDTF">2026-10-10T06:45:07Z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