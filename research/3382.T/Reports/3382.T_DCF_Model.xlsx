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<sst xmlns="http://schemas.openxmlformats.org/spreadsheetml/2006/main" count="373" uniqueCount="176">
  <si>
    <t xml:space="preserve">Ticker</t>
  </si>
  <si>
    <t xml:space="preserve">3382.T</t>
  </si>
  <si>
    <t xml:space="preserve">Company</t>
  </si>
  <si>
    <t xml:space="preserve">Seven &amp; i Holdings Co., Ltd.</t>
  </si>
  <si>
    <t xml:space="preserve">Valuation date</t>
  </si>
  <si>
    <t xml:space="preserve">2026-10-26</t>
  </si>
  <si>
    <t xml:space="preserve">Current price</t>
  </si>
  <si>
    <t xml:space="preserve">Price as of</t>
  </si>
  <si>
    <t xml:space="preserve">2026-10-26T06:30:00Z (TSE regular close, 15:30 JST)</t>
  </si>
  <si>
    <t xml:space="preserve">Balance sheet date</t>
  </si>
  <si>
    <t xml:space="preserve">2026-05-31</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</si>
  <si>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</si>
  <si>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</si>
  <si>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</si>
  <si>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</si>
  <si>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</si>
  <si>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</si>
  <si>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</si>
  <si>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</si>
  <si>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</si>
  <si>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</si>
  <si>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2026-10-26T08:20:19Z</t>
  </si>
  <si>
    <t xml:space="preserve">Drivers file</t>
  </si>
  <si>
    <t xml:space="preserve">3382.T_Drivers.json</t>
  </si>
  <si>
    <t xml:space="preserve">Convention</t>
  </si>
  <si>
    <t xml:space="preserve">Percents stored as percents; formulas divide by 100. Blue = input, green = link, black = formula.</t>
  </si>
  <si>
    <t xml:space="preserve">Methodology</t>
  </si>
  <si>
    <t xml:space="preserve">summary: A defensive, cash-generative franchisor/retailer discounted at a JPY-built 6.5% WACC with the terminal value capped at 13-17x owner FCF rather than left to Gordon. Buybacks are value-neutral (flat share count, SBC expensed); value comes from whether the North American estate stops shrinking and the margin recovers. A 15% hurdle on a 6.5%-WACC asset necessarily puts the entry price well below intrinsic value.
key_risks_to_valuation: North American merchandise same-store sales stay negative and the store-closure program does not lift SEI's margin; Fuel margin normalisation: FY2027 guidance was raised on Q1 fuel margins, which are not a recurring driver; Yen strength: c. 80% of revenue and most of EBITDA are USD-denominated; guidance assumes USD/JPY 157; Domestic convenience-store operating income continues its three-year decline as Japan's population shrinks; Net debt JPY1.6trn plus JPY1.6trn of operating lease obligations; the remaining c. JPY1.4trn buyback commitment is funded from FCF and asset sales; Q1 cash is seasonally flattered by c. JPY150bn of franchisee/settlement deposits; the Aug 2026 balance sheet was not yet extracted; Sale-and-leaseback proceeds (c. JPY130-145bn/yr) are excluded from FCF: conservative, but a change in that practice would change capex intensity</t>
  </si>
  <si>
    <t xml:space="preserve">Data sources</t>
  </si>
  <si>
    <t xml:space="preserve">price: Yahoo Finance chart API at inputs.price_as_of; 52-week range 1811-2417
financials: 3382.T_Metrics.csv (core_metrics from the FY2016-FY2026 yuho/annual reports and the Q1 FY2027 tanshin, 31 May 2026); FY2027 guidance from the Q1 FY2027 tanshin (July 2026 revision, maintained at the October 2026 Q2 release per the Analysis JSON)
qualitative: 3382.T_Analysis.json (2026-10-26)</t>
  </si>
  <si>
    <t xml:space="preserve">Scenario narrative: bear</t>
  </si>
  <si>
    <t xml:space="preserve">Structural US share loss and demographic decline in Japan outrun the self-help; revenue shrinks FY2028-29, margins compress to 8.2% while capex to defend the estate stays at 4% of revenue, and the stock trades at 13x a shrinking cash flow.</t>
  </si>
  <si>
    <t xml:space="preserve">Scenario narrative: base</t>
  </si>
  <si>
    <t xml:space="preserve">Post-restructuring Seven &amp; i is a pure convenience-store operator earning c. JPY425bn of operating income on JPY10.4trn of revenue, 80% of it in North America. The base case takes the FY2027 guidance at face value, lets the North Star closures lift the EBITDA margin 40bp over five years, grows revenue 2% nominal thereafter, and caps the terminal at 15x owner FCF (below today's c. 16x). The axes that matter are US merchandise comps, fuel margin, and whether domestic CVS profit has bottomed.</t>
  </si>
  <si>
    <t xml:space="preserve">Scenario narrative: bull</t>
  </si>
  <si>
    <t xml:space="preserve">US turnaround delivers positive comps and a 10%+ EBITDA margin, Japan's premium food investments reaccelerate domestic CVS profit, Europe becomes a fourth pillar, and a North American IPO plus the JPY2trn buyback re-rate the equity to 17x.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</si>
  <si>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</si>
  <si>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</si>
  <si>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</si>
  <si>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</si>
  <si>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</si>
  <si>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</si>
  <si>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</si>
  <si>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</si>
  <si>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</si>
  <si>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</si>
  <si>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</si>
  <si>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</si>
  <si>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</si>
  <si>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</si>
  <si>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</si>
  <si>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</si>
  <si>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</si>
  <si>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</si>
  <si>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</si>
  <si>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</si>
  <si>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</si>
  <si>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</si>
  <si>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</si>
  <si>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</si>
  <si>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</si>
  <si>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</si>
  <si>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</si>
  <si>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</si>
  <si>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</si>
  <si>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NonControllingInterests</t>
  </si>
  <si>
    <t xml:space="preserve">OrdinaryProfit</t>
  </si>
  <si>
    <t xml:space="preserve">SegmentOperatingProfitOthers</t>
  </si>
  <si>
    <t xml:space="preserve">SegmentOperatingProfitOverseas</t>
  </si>
  <si>
    <t xml:space="preserve">SegmentRevenueDepartmentStore</t>
  </si>
  <si>
    <t xml:space="preserve">SegmentRevenueNorthAmerica</t>
  </si>
  <si>
    <t xml:space="preserve">SegmentRevenueOthers</t>
  </si>
  <si>
    <t xml:space="preserve">SegmentRevenueOverseas</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</si>
  <si>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</si>
  <si>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</si>
  <si>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</si>
  <si>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</si>
  <si>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</si>
  <si>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</si>
  <si>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</si>
  <si>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</si>
  <si>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</si>
  <si>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</si>
  <si>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</si>
  <si>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</si>
  <si>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</si>
  <si>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</si>
  <si>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</si>
  <si>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</si>
  <si>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</si>
  <si>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</si>
  <si>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</si>
  <si>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</si>
  <si>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</si>
  <si>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</si>
  <si>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</si>
  <si>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</si>
  <si>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</si>
  <si>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</si>
  <si>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</si>
  <si>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</si>
  <si>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</si>
  <si>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</si>
  <si>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</si>
  <si>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</si>
  <si>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</si>
  <si>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</si>
  <si>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</si>
  <si>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</si>
  <si>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</si>
  <si>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</si>
  <si>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</si>
  <si>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</si>
  <si>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</si>
  <si>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</si>
  <si>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</si>
  <si>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</si>
  <si>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</si>
  <si>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</si>
  <si>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</si>
  <si>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</si>
  <si>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3382.T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</si>
  <si>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</si>
  <si>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</si>
  <si>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</si>
  <si>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</si>
  <si>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</si>
  <si>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</si>
  <si>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</si>
  <si>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</si>
  <si>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</si>
  <si>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</si>
  <si>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</si>
  <si>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</si>
  <si>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</si>
  <si>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</si>
  <si>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</si>
  <si>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</si>
  <si>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</si>
  <si>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</si>
  <si>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</si>
  <si>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</si>
  <si>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</si>
  <si>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</si>
  <si>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</si>
  <si>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</si>
  <si>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</si>
  <si>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</si>
  <si>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</si>
  <si>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</si>
  <si>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</si>
  <si>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</si>
  <si>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3382.T owner-FCF component DCF: base case (millions, JPY)</t>
  </si>
  <si>
    <t xml:space="preserve">3382.T owner-FCF component DCF: bull case (millions, JPY)</t>
  </si>
  <si>
    <t xml:space="preserve">3382.T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</si>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</sst>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2136.5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c r="AK1" s="2" t="s">
        <v>71</v>
      </c>
      <c r="AL1" s="2" t="s">
        <v>72</v>
      </c>
    </row>
    <row r="2" customFormat="false" ht="15" hidden="false" customHeight="false" outlineLevel="0" collapsed="false">
      <c r="A2" s="0" t="s">
        <v>73</v>
      </c>
      <c r="B2" s="0" t="n">
        <v>6045704</v>
      </c>
      <c r="C2" s="0" t="n">
        <v>3803968</v>
      </c>
      <c r="D2" s="0" t="n">
        <v>2241736</v>
      </c>
      <c r="E2" s="0" t="n">
        <v>37.1</v>
      </c>
      <c r="F2" s="0" t="n">
        <v>352320</v>
      </c>
      <c r="G2" s="0" t="n">
        <v>5.8</v>
      </c>
      <c r="H2" s="0" t="n">
        <v>570941</v>
      </c>
      <c r="I2" s="0" t="n">
        <v>160930</v>
      </c>
      <c r="J2" s="0" t="n">
        <v>2.7</v>
      </c>
      <c r="K2" s="0" t="n">
        <v>60.67</v>
      </c>
      <c r="L2" s="0" t="n">
        <v>488973</v>
      </c>
      <c r="M2" s="0" t="n">
        <v>347438</v>
      </c>
      <c r="N2" s="0" t="n">
        <v>141535</v>
      </c>
      <c r="O2" s="0" t="n">
        <v>2372275</v>
      </c>
      <c r="P2" s="0" t="n">
        <v>5441691</v>
      </c>
      <c r="Q2" s="0" t="n">
        <v>2936508</v>
      </c>
      <c r="R2" s="0" t="n">
        <v>1032969</v>
      </c>
      <c r="S2" s="0" t="n">
        <v>1147086</v>
      </c>
      <c r="T2" s="0" t="n">
        <v>2652.4</v>
      </c>
      <c r="AA2" s="0" t="s">
        <v>17</v>
      </c>
      <c r="AB2" s="0" t="s">
        <v>14</v>
      </c>
      <c r="AC2" s="0" t="n">
        <v>42937</v>
      </c>
      <c r="AD2" s="0" t="n">
        <v>304501</v>
      </c>
      <c r="AE2" s="0" t="n">
        <v>129912</v>
      </c>
    </row>
    <row r="3" customFormat="false" ht="15" hidden="false" customHeight="false" outlineLevel="0" collapsed="false">
      <c r="A3" s="0" t="s">
        <v>74</v>
      </c>
      <c r="B3" s="0" t="n">
        <v>5835689</v>
      </c>
      <c r="C3" s="0" t="n">
        <v>3602039</v>
      </c>
      <c r="D3" s="0" t="n">
        <v>2233650</v>
      </c>
      <c r="E3" s="0" t="n">
        <v>38.3</v>
      </c>
      <c r="F3" s="0" t="n">
        <v>364573</v>
      </c>
      <c r="G3" s="0" t="n">
        <v>6.2</v>
      </c>
      <c r="H3" s="0" t="n">
        <v>627514</v>
      </c>
      <c r="I3" s="0" t="n">
        <v>96750</v>
      </c>
      <c r="J3" s="0" t="n">
        <v>1.7</v>
      </c>
      <c r="K3" s="0" t="n">
        <v>36.47</v>
      </c>
      <c r="L3" s="0" t="n">
        <v>512523</v>
      </c>
      <c r="M3" s="0" t="n">
        <v>348436</v>
      </c>
      <c r="N3" s="0" t="n">
        <v>164087</v>
      </c>
      <c r="O3" s="0" t="n">
        <v>2336058</v>
      </c>
      <c r="P3" s="0" t="n">
        <v>5508888</v>
      </c>
      <c r="Q3" s="0" t="n">
        <v>3033082</v>
      </c>
      <c r="R3" s="0" t="n">
        <v>1048487</v>
      </c>
      <c r="S3" s="0" t="n">
        <v>1209497</v>
      </c>
      <c r="T3" s="0" t="n">
        <v>2652.64</v>
      </c>
      <c r="AA3" s="0" t="s">
        <v>17</v>
      </c>
      <c r="AB3" s="0" t="s">
        <v>14</v>
      </c>
      <c r="AC3" s="0" t="n">
        <v>27347</v>
      </c>
      <c r="AD3" s="0" t="n">
        <v>321089</v>
      </c>
      <c r="AE3" s="0" t="n">
        <v>137154</v>
      </c>
    </row>
    <row r="4" customFormat="false" ht="15" hidden="false" customHeight="false" outlineLevel="0" collapsed="false">
      <c r="A4" s="0" t="s">
        <v>75</v>
      </c>
      <c r="B4" s="0" t="n">
        <v>6037815</v>
      </c>
      <c r="C4" s="0" t="n">
        <v>3773221</v>
      </c>
      <c r="D4" s="0" t="n">
        <v>2264594</v>
      </c>
      <c r="E4" s="0" t="n">
        <v>37.5</v>
      </c>
      <c r="F4" s="0" t="n">
        <v>391657</v>
      </c>
      <c r="G4" s="0" t="n">
        <v>6.5</v>
      </c>
      <c r="H4" s="0" t="n">
        <v>621444</v>
      </c>
      <c r="I4" s="0" t="n">
        <v>181150</v>
      </c>
      <c r="J4" s="0" t="n">
        <v>3</v>
      </c>
      <c r="K4" s="0" t="n">
        <v>68.27</v>
      </c>
      <c r="L4" s="0" t="n">
        <v>498306</v>
      </c>
      <c r="M4" s="0" t="n">
        <v>311288</v>
      </c>
      <c r="N4" s="0" t="n">
        <v>187018</v>
      </c>
      <c r="O4" s="0" t="n">
        <v>2427265</v>
      </c>
      <c r="P4" s="0" t="n">
        <v>5494950</v>
      </c>
      <c r="Q4" s="0" t="n">
        <v>2919607</v>
      </c>
      <c r="R4" s="0" t="n">
        <v>983059</v>
      </c>
      <c r="S4" s="0" t="n">
        <v>1300383</v>
      </c>
      <c r="T4" s="0" t="n">
        <v>2653.59</v>
      </c>
      <c r="AA4" s="0" t="s">
        <v>17</v>
      </c>
      <c r="AB4" s="0" t="s">
        <v>14</v>
      </c>
      <c r="AC4" s="0" t="n">
        <v>33375</v>
      </c>
      <c r="AD4" s="0" t="n">
        <v>277913</v>
      </c>
      <c r="AE4" s="0" t="n">
        <v>145454</v>
      </c>
    </row>
    <row r="5" customFormat="false" ht="15" hidden="false" customHeight="false" outlineLevel="0" collapsed="false">
      <c r="A5" s="0" t="s">
        <v>76</v>
      </c>
      <c r="B5" s="0" t="n">
        <v>6791215</v>
      </c>
      <c r="C5" s="0" t="n">
        <v>4411816</v>
      </c>
      <c r="D5" s="0" t="n">
        <v>2379399</v>
      </c>
      <c r="E5" s="0" t="n">
        <v>35</v>
      </c>
      <c r="F5" s="0" t="n">
        <v>411596</v>
      </c>
      <c r="G5" s="0" t="n">
        <v>6.1</v>
      </c>
      <c r="H5" s="0" t="n">
        <v>659808</v>
      </c>
      <c r="I5" s="0" t="n">
        <v>203004</v>
      </c>
      <c r="J5" s="0" t="n">
        <v>3</v>
      </c>
      <c r="K5" s="0" t="n">
        <v>76.5</v>
      </c>
      <c r="L5" s="0" t="n">
        <v>577979</v>
      </c>
      <c r="M5" s="0" t="n">
        <v>511534</v>
      </c>
      <c r="N5" s="0" t="n">
        <v>66445</v>
      </c>
      <c r="O5" s="0" t="n">
        <v>2521396</v>
      </c>
      <c r="P5" s="0" t="n">
        <v>5795302</v>
      </c>
      <c r="Q5" s="0" t="n">
        <v>3122816</v>
      </c>
      <c r="R5" s="0" t="n">
        <v>1105187</v>
      </c>
      <c r="S5" s="0" t="n">
        <v>1303610</v>
      </c>
      <c r="T5" s="0" t="n">
        <v>2653.7</v>
      </c>
      <c r="AA5" s="0" t="s">
        <v>17</v>
      </c>
      <c r="AB5" s="0" t="s">
        <v>14</v>
      </c>
      <c r="AC5" s="0" t="n">
        <v>33083</v>
      </c>
      <c r="AD5" s="0" t="n">
        <v>478451</v>
      </c>
      <c r="AE5" s="0" t="n">
        <v>148285</v>
      </c>
    </row>
    <row r="6" customFormat="false" ht="15" hidden="false" customHeight="false" outlineLevel="0" collapsed="false">
      <c r="A6" s="0" t="s">
        <v>77</v>
      </c>
      <c r="B6" s="0" t="n">
        <v>6644359</v>
      </c>
      <c r="C6" s="0" t="n">
        <v>4239583</v>
      </c>
      <c r="D6" s="0" t="n">
        <v>2404776</v>
      </c>
      <c r="E6" s="0" t="n">
        <v>36.2</v>
      </c>
      <c r="F6" s="0" t="n">
        <v>424266</v>
      </c>
      <c r="G6" s="0" t="n">
        <v>6.4</v>
      </c>
      <c r="H6" s="0" t="n">
        <v>674315</v>
      </c>
      <c r="I6" s="0" t="n">
        <v>218185</v>
      </c>
      <c r="J6" s="0" t="n">
        <v>3.3</v>
      </c>
      <c r="K6" s="0" t="n">
        <v>82.32</v>
      </c>
      <c r="L6" s="0" t="n">
        <v>576670</v>
      </c>
      <c r="M6" s="0" t="n">
        <v>339342</v>
      </c>
      <c r="N6" s="0" t="n">
        <v>237328</v>
      </c>
      <c r="O6" s="0" t="n">
        <v>2601596</v>
      </c>
      <c r="P6" s="0" t="n">
        <v>5996887</v>
      </c>
      <c r="Q6" s="0" t="n">
        <v>3239665</v>
      </c>
      <c r="R6" s="0" t="n">
        <v>982959</v>
      </c>
      <c r="S6" s="0" t="n">
        <v>1354856</v>
      </c>
      <c r="T6" s="0" t="n">
        <v>2650.53</v>
      </c>
      <c r="AA6" s="0" t="s">
        <v>17</v>
      </c>
      <c r="AB6" s="0" t="s">
        <v>14</v>
      </c>
      <c r="AC6" s="0" t="n">
        <v>41649</v>
      </c>
      <c r="AD6" s="0" t="n">
        <v>297693</v>
      </c>
      <c r="AE6" s="0" t="n">
        <v>155295</v>
      </c>
    </row>
    <row r="7" customFormat="false" ht="15" hidden="false" customHeight="false" outlineLevel="0" collapsed="false">
      <c r="A7" s="0" t="s">
        <v>78</v>
      </c>
      <c r="B7" s="0" t="n">
        <v>5766718</v>
      </c>
      <c r="C7" s="0" t="n">
        <v>3480026</v>
      </c>
      <c r="D7" s="0" t="n">
        <v>2286692</v>
      </c>
      <c r="E7" s="0" t="n">
        <v>39.7</v>
      </c>
      <c r="F7" s="0" t="n">
        <v>366329</v>
      </c>
      <c r="G7" s="0" t="n">
        <v>6.4</v>
      </c>
      <c r="H7" s="0" t="n">
        <v>626873</v>
      </c>
      <c r="I7" s="0" t="n">
        <v>179262</v>
      </c>
      <c r="J7" s="0" t="n">
        <v>3.1</v>
      </c>
      <c r="K7" s="0" t="n">
        <v>67.68</v>
      </c>
      <c r="L7" s="0" t="n">
        <v>539995</v>
      </c>
      <c r="M7" s="0" t="n">
        <v>349831</v>
      </c>
      <c r="N7" s="0" t="n">
        <v>190164</v>
      </c>
      <c r="O7" s="0" t="n">
        <v>2668927</v>
      </c>
      <c r="P7" s="0" t="n">
        <v>6946832</v>
      </c>
      <c r="Q7" s="0" t="n">
        <v>4115497</v>
      </c>
      <c r="R7" s="0" t="n">
        <v>1761209</v>
      </c>
      <c r="S7" s="0" t="n">
        <v>2183837</v>
      </c>
      <c r="T7" s="0" t="n">
        <v>2648.78</v>
      </c>
      <c r="AA7" s="0" t="s">
        <v>17</v>
      </c>
      <c r="AB7" s="0" t="s">
        <v>14</v>
      </c>
      <c r="AC7" s="0" t="n">
        <v>51972</v>
      </c>
      <c r="AD7" s="0" t="n">
        <v>297859</v>
      </c>
      <c r="AE7" s="0" t="n">
        <v>162352</v>
      </c>
      <c r="AH7" s="0" t="n">
        <v>98664</v>
      </c>
      <c r="AI7" s="0" t="n">
        <v>684660</v>
      </c>
      <c r="AL7" s="0" t="n">
        <v>2253355</v>
      </c>
    </row>
    <row r="8" customFormat="false" ht="15" hidden="false" customHeight="false" outlineLevel="0" collapsed="false">
      <c r="A8" s="0" t="s">
        <v>79</v>
      </c>
      <c r="B8" s="0" t="n">
        <v>8749752</v>
      </c>
      <c r="C8" s="0" t="n">
        <v>6017373</v>
      </c>
      <c r="D8" s="0" t="n">
        <v>2732379</v>
      </c>
      <c r="E8" s="0" t="n">
        <v>31.2</v>
      </c>
      <c r="F8" s="0" t="n">
        <v>387653</v>
      </c>
      <c r="G8" s="0" t="n">
        <v>4.4</v>
      </c>
      <c r="H8" s="0" t="n">
        <v>751490</v>
      </c>
      <c r="I8" s="0" t="n">
        <v>210774</v>
      </c>
      <c r="J8" s="0" t="n">
        <v>2.4</v>
      </c>
      <c r="K8" s="0" t="n">
        <v>79.56</v>
      </c>
      <c r="L8" s="0" t="n">
        <v>736476</v>
      </c>
      <c r="M8" s="0" t="n">
        <v>424431</v>
      </c>
      <c r="N8" s="0" t="n">
        <v>312045</v>
      </c>
      <c r="O8" s="0" t="n">
        <v>2980957</v>
      </c>
      <c r="P8" s="0" t="n">
        <v>8739279</v>
      </c>
      <c r="Q8" s="0" t="n">
        <v>5591546</v>
      </c>
      <c r="R8" s="0" t="n">
        <v>2898731</v>
      </c>
      <c r="S8" s="0" t="n">
        <v>1414890</v>
      </c>
      <c r="T8" s="0" t="n">
        <v>2649.2</v>
      </c>
      <c r="AA8" s="0" t="s">
        <v>17</v>
      </c>
      <c r="AB8" s="0" t="s">
        <v>14</v>
      </c>
      <c r="AC8" s="0" t="n">
        <v>86926</v>
      </c>
      <c r="AD8" s="0" t="n">
        <v>337505</v>
      </c>
      <c r="AE8" s="0" t="n">
        <v>166719</v>
      </c>
      <c r="AF8" s="0" t="n">
        <v>358571</v>
      </c>
      <c r="AH8" s="0" t="n">
        <v>159866</v>
      </c>
      <c r="AL8" s="0" t="n">
        <v>5194327</v>
      </c>
    </row>
    <row r="9" customFormat="false" ht="15" hidden="false" customHeight="false" outlineLevel="0" collapsed="false">
      <c r="A9" s="0" t="s">
        <v>80</v>
      </c>
      <c r="B9" s="0" t="n">
        <v>11811303</v>
      </c>
      <c r="C9" s="0" t="n">
        <v>8503618</v>
      </c>
      <c r="D9" s="0" t="n">
        <v>3307685</v>
      </c>
      <c r="E9" s="0" t="n">
        <v>28</v>
      </c>
      <c r="F9" s="0" t="n">
        <v>506521</v>
      </c>
      <c r="G9" s="0" t="n">
        <v>4.3</v>
      </c>
      <c r="H9" s="0" t="n">
        <v>995318</v>
      </c>
      <c r="I9" s="0" t="n">
        <v>280976</v>
      </c>
      <c r="J9" s="0" t="n">
        <v>2.4</v>
      </c>
      <c r="K9" s="0" t="n">
        <v>106.05</v>
      </c>
      <c r="L9" s="0" t="n">
        <v>928476</v>
      </c>
      <c r="M9" s="0" t="n">
        <v>410889</v>
      </c>
      <c r="N9" s="0" t="n">
        <v>517587</v>
      </c>
      <c r="O9" s="0" t="n">
        <v>3474547</v>
      </c>
      <c r="P9" s="0" t="n">
        <v>10550956</v>
      </c>
      <c r="Q9" s="0" t="n">
        <v>6902794</v>
      </c>
      <c r="R9" s="0" t="n">
        <v>2975794</v>
      </c>
      <c r="S9" s="0" t="n">
        <v>1674787</v>
      </c>
      <c r="T9" s="0" t="n">
        <v>2649.47</v>
      </c>
      <c r="AA9" s="0" t="s">
        <v>17</v>
      </c>
      <c r="AB9" s="0" t="s">
        <v>14</v>
      </c>
      <c r="AC9" s="0" t="n">
        <v>105672</v>
      </c>
      <c r="AD9" s="0" t="n">
        <v>305217</v>
      </c>
      <c r="AE9" s="0" t="n">
        <v>173565</v>
      </c>
      <c r="AF9" s="0" t="n">
        <v>475887</v>
      </c>
      <c r="AG9" s="0" t="n">
        <v>2593</v>
      </c>
      <c r="AH9" s="0" t="n">
        <v>289703</v>
      </c>
      <c r="AK9" s="0" t="n">
        <v>488304</v>
      </c>
      <c r="AL9" s="0" t="n">
        <v>8846163</v>
      </c>
    </row>
    <row r="10" customFormat="false" ht="15" hidden="false" customHeight="false" outlineLevel="0" collapsed="false">
      <c r="A10" s="0" t="s">
        <v>81</v>
      </c>
      <c r="B10" s="0" t="n">
        <v>11471753</v>
      </c>
      <c r="C10" s="0" t="n">
        <v>8060919</v>
      </c>
      <c r="D10" s="0" t="n">
        <v>3410834</v>
      </c>
      <c r="E10" s="0" t="n">
        <v>29.7</v>
      </c>
      <c r="F10" s="0" t="n">
        <v>534248</v>
      </c>
      <c r="G10" s="0" t="n">
        <v>4.7</v>
      </c>
      <c r="H10" s="0" t="n">
        <v>1054949</v>
      </c>
      <c r="I10" s="0" t="n">
        <v>224623</v>
      </c>
      <c r="J10" s="0" t="n">
        <v>2</v>
      </c>
      <c r="K10" s="0" t="n">
        <v>84.88</v>
      </c>
      <c r="L10" s="0" t="n">
        <v>673015</v>
      </c>
      <c r="M10" s="0" t="n">
        <v>457641</v>
      </c>
      <c r="N10" s="0" t="n">
        <v>215374</v>
      </c>
      <c r="O10" s="0" t="n">
        <v>3716523</v>
      </c>
      <c r="P10" s="0" t="n">
        <v>10592117</v>
      </c>
      <c r="Q10" s="0" t="n">
        <v>6691492</v>
      </c>
      <c r="R10" s="0" t="n">
        <v>2738652</v>
      </c>
      <c r="S10" s="0" t="n">
        <v>1562493</v>
      </c>
      <c r="T10" s="0" t="n">
        <v>2646.36</v>
      </c>
      <c r="AA10" s="0" t="s">
        <v>17</v>
      </c>
      <c r="AB10" s="0" t="s">
        <v>14</v>
      </c>
      <c r="AC10" s="0" t="n">
        <v>120202</v>
      </c>
      <c r="AD10" s="0" t="n">
        <v>337439</v>
      </c>
      <c r="AE10" s="0" t="n">
        <v>184041</v>
      </c>
      <c r="AF10" s="0" t="n">
        <v>507086</v>
      </c>
      <c r="AG10" s="0" t="n">
        <v>2688</v>
      </c>
      <c r="AH10" s="0" t="n">
        <v>301628</v>
      </c>
      <c r="AK10" s="0" t="n">
        <v>411305</v>
      </c>
      <c r="AL10" s="0" t="n">
        <v>8516939</v>
      </c>
    </row>
    <row r="11" customFormat="false" ht="15" hidden="false" customHeight="false" outlineLevel="0" collapsed="false">
      <c r="A11" s="0" t="s">
        <v>82</v>
      </c>
      <c r="B11" s="0" t="n">
        <v>11972762</v>
      </c>
      <c r="C11" s="0" t="n">
        <v>8485841</v>
      </c>
      <c r="D11" s="0" t="n">
        <v>3486921</v>
      </c>
      <c r="E11" s="0" t="n">
        <v>29.1</v>
      </c>
      <c r="F11" s="0" t="n">
        <v>420991</v>
      </c>
      <c r="G11" s="0" t="n">
        <v>3.5</v>
      </c>
      <c r="H11" s="0" t="n">
        <v>995793</v>
      </c>
      <c r="I11" s="0" t="n">
        <v>173068</v>
      </c>
      <c r="J11" s="0" t="n">
        <v>1.4</v>
      </c>
      <c r="K11" s="0" t="n">
        <v>66.62</v>
      </c>
      <c r="L11" s="0" t="n">
        <v>876458</v>
      </c>
      <c r="M11" s="0" t="n">
        <v>539017</v>
      </c>
      <c r="N11" s="0" t="n">
        <v>337441</v>
      </c>
      <c r="O11" s="0" t="n">
        <v>4030211</v>
      </c>
      <c r="P11" s="0" t="n">
        <v>11386111</v>
      </c>
      <c r="Q11" s="0" t="n">
        <v>7168665</v>
      </c>
      <c r="R11" s="0" t="n">
        <v>2694729</v>
      </c>
      <c r="S11" s="0" t="n">
        <v>1349820</v>
      </c>
      <c r="T11" s="0" t="n">
        <v>2597.84</v>
      </c>
      <c r="AA11" s="0" t="s">
        <v>17</v>
      </c>
      <c r="AB11" s="0" t="s">
        <v>14</v>
      </c>
      <c r="AC11" s="0" t="n">
        <v>108151</v>
      </c>
      <c r="AD11" s="0" t="n">
        <v>430866</v>
      </c>
      <c r="AE11" s="0" t="n">
        <v>187154</v>
      </c>
      <c r="AF11" s="0" t="n">
        <v>374586</v>
      </c>
      <c r="AG11" s="0" t="n">
        <v>5779</v>
      </c>
      <c r="AH11" s="0" t="n">
        <v>216248</v>
      </c>
      <c r="AJ11" s="0" t="n">
        <v>8715080</v>
      </c>
      <c r="AK11" s="0" t="n">
        <v>320914</v>
      </c>
      <c r="AL11" s="0" t="n">
        <v>9170782</v>
      </c>
    </row>
    <row r="12" customFormat="false" ht="15" hidden="false" customHeight="false" outlineLevel="0" collapsed="false">
      <c r="A12" s="0" t="s">
        <v>83</v>
      </c>
      <c r="B12" s="0" t="n">
        <v>10430269</v>
      </c>
      <c r="C12" s="0" t="n">
        <v>7300236</v>
      </c>
      <c r="D12" s="0" t="n">
        <v>3130033</v>
      </c>
      <c r="E12" s="0" t="n">
        <v>30</v>
      </c>
      <c r="F12" s="0" t="n">
        <v>422993</v>
      </c>
      <c r="G12" s="0" t="n">
        <v>4.1</v>
      </c>
      <c r="H12" s="0" t="n">
        <v>942892</v>
      </c>
      <c r="I12" s="0" t="n">
        <v>292760</v>
      </c>
      <c r="J12" s="0" t="n">
        <v>2.8</v>
      </c>
      <c r="K12" s="0" t="n">
        <v>118.81</v>
      </c>
      <c r="L12" s="0" t="n">
        <v>666736</v>
      </c>
      <c r="M12" s="0" t="n">
        <v>404323</v>
      </c>
      <c r="N12" s="0" t="n">
        <v>262413</v>
      </c>
      <c r="O12" s="0" t="n">
        <v>3620227</v>
      </c>
      <c r="P12" s="0" t="n">
        <v>9142957</v>
      </c>
      <c r="Q12" s="0" t="n">
        <v>5494762</v>
      </c>
      <c r="R12" s="0" t="n">
        <v>2230016</v>
      </c>
      <c r="S12" s="0" t="n">
        <v>426146</v>
      </c>
      <c r="T12" s="0" t="n">
        <v>2464.1</v>
      </c>
      <c r="AA12" s="0" t="s">
        <v>17</v>
      </c>
      <c r="AB12" s="0" t="s">
        <v>14</v>
      </c>
      <c r="AC12" s="0" t="n">
        <v>70705</v>
      </c>
      <c r="AD12" s="0" t="n">
        <v>333618</v>
      </c>
      <c r="AE12" s="0" t="n">
        <v>27743</v>
      </c>
      <c r="AF12" s="0" t="n">
        <v>377411</v>
      </c>
      <c r="AG12" s="0" t="n">
        <v>6979</v>
      </c>
      <c r="AH12" s="0" t="n">
        <v>222223</v>
      </c>
      <c r="AJ12" s="0" t="n">
        <v>7963291</v>
      </c>
      <c r="AK12" s="0" t="n">
        <v>179716</v>
      </c>
      <c r="AL12" s="0" t="n">
        <v>8556832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84</v>
      </c>
      <c r="B1" s="2" t="s">
        <v>85</v>
      </c>
    </row>
    <row r="2" customFormat="false" ht="15" hidden="false" customHeight="false" outlineLevel="0" collapsed="false">
      <c r="A2" s="0" t="s">
        <v>86</v>
      </c>
      <c r="B2" s="3" t="n">
        <v>2136.5</v>
      </c>
    </row>
    <row r="3" customFormat="false" ht="15" hidden="false" customHeight="false" outlineLevel="0" collapsed="false">
      <c r="A3" s="0" t="s">
        <v>87</v>
      </c>
      <c r="B3" s="3" t="n">
        <v>2311.74</v>
      </c>
    </row>
    <row r="4" customFormat="false" ht="15" hidden="false" customHeight="false" outlineLevel="0" collapsed="false">
      <c r="A4" s="0" t="s">
        <v>88</v>
      </c>
      <c r="B4" s="3" t="n">
        <v>1617565</v>
      </c>
    </row>
    <row r="5" customFormat="false" ht="15" hidden="false" customHeight="false" outlineLevel="0" collapsed="false">
      <c r="A5" s="0" t="s">
        <v>89</v>
      </c>
      <c r="B5" s="3" t="n">
        <v>329367</v>
      </c>
    </row>
    <row r="6" customFormat="false" ht="15" hidden="false" customHeight="false" outlineLevel="0" collapsed="false">
      <c r="A6" s="0" t="s">
        <v>90</v>
      </c>
      <c r="B6" s="3" t="n">
        <v>15</v>
      </c>
    </row>
    <row r="7" customFormat="false" ht="15" hidden="false" customHeight="false" outlineLevel="0" collapsed="false">
      <c r="A7" s="0" t="s">
        <v>91</v>
      </c>
      <c r="B7" s="3" t="n">
        <v>10430269</v>
      </c>
    </row>
    <row r="8" customFormat="false" ht="15" hidden="false" customHeight="false" outlineLevel="0" collapsed="false">
      <c r="A8" s="0" t="s">
        <v>92</v>
      </c>
      <c r="B8" s="3" t="s">
        <v>83</v>
      </c>
    </row>
    <row r="9" customFormat="false" ht="15" hidden="false" customHeight="false" outlineLevel="0" collapsed="false">
      <c r="A9" s="0" t="s">
        <v>93</v>
      </c>
      <c r="B9" s="3" t="s">
        <v>94</v>
      </c>
    </row>
    <row r="10" customFormat="false" ht="15" hidden="false" customHeight="false" outlineLevel="0" collapsed="false">
      <c r="A10" s="0" t="s">
        <v>95</v>
      </c>
      <c r="B10" s="3" t="n">
        <v>1</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0</v>
      </c>
      <c r="D13" s="3" t="n">
        <v>-1</v>
      </c>
      <c r="E13" s="3" t="n">
        <v>-0.5</v>
      </c>
      <c r="F13" s="3" t="n">
        <v>0</v>
      </c>
      <c r="G13" s="3" t="n">
        <v>0.5</v>
      </c>
      <c r="H13" s="3" t="n">
        <v>1</v>
      </c>
      <c r="I13" s="3" t="n">
        <v>1</v>
      </c>
      <c r="J13" s="3" t="n">
        <v>1</v>
      </c>
      <c r="K13" s="3" t="n">
        <v>1</v>
      </c>
      <c r="L13" s="3" t="n">
        <v>1</v>
      </c>
    </row>
    <row r="14" customFormat="false" ht="15" hidden="false" customHeight="false" outlineLevel="0" collapsed="false">
      <c r="A14" s="0" t="s">
        <v>108</v>
      </c>
      <c r="C14" s="3" t="n">
        <v>8.8</v>
      </c>
      <c r="D14" s="3" t="n">
        <v>8.5</v>
      </c>
      <c r="E14" s="3" t="n">
        <v>8.3</v>
      </c>
      <c r="F14" s="3" t="n">
        <v>8.2</v>
      </c>
      <c r="G14" s="3" t="n">
        <v>8.2</v>
      </c>
      <c r="H14" s="3" t="n">
        <v>8.2</v>
      </c>
      <c r="I14" s="3" t="n">
        <v>8.2</v>
      </c>
      <c r="J14" s="3" t="n">
        <v>8.2</v>
      </c>
      <c r="K14" s="3" t="n">
        <v>8.2</v>
      </c>
      <c r="L14" s="3" t="n">
        <v>8.2</v>
      </c>
    </row>
    <row r="15" customFormat="false" ht="15" hidden="false" customHeight="false" outlineLevel="0" collapsed="false">
      <c r="A15" s="0" t="s">
        <v>109</v>
      </c>
      <c r="C15" s="3" t="n">
        <v>0.01</v>
      </c>
      <c r="D15" s="3" t="n">
        <v>0.01</v>
      </c>
      <c r="E15" s="3" t="n">
        <v>0.01</v>
      </c>
      <c r="F15" s="3" t="n">
        <v>0.01</v>
      </c>
      <c r="G15" s="3" t="n">
        <v>0.01</v>
      </c>
      <c r="H15" s="3" t="n">
        <v>0.01</v>
      </c>
      <c r="I15" s="3" t="n">
        <v>0.01</v>
      </c>
      <c r="J15" s="3" t="n">
        <v>0.01</v>
      </c>
      <c r="K15" s="3" t="n">
        <v>0.01</v>
      </c>
      <c r="L15" s="3" t="n">
        <v>0.01</v>
      </c>
    </row>
    <row r="16" customFormat="false" ht="15" hidden="false" customHeight="false" outlineLevel="0" collapsed="false">
      <c r="A16" s="0" t="s">
        <v>110</v>
      </c>
      <c r="C16" s="3" t="n">
        <v>0.12</v>
      </c>
      <c r="D16" s="3" t="n">
        <v>0.12</v>
      </c>
      <c r="E16" s="3" t="n">
        <v>0.12</v>
      </c>
      <c r="F16" s="3" t="n">
        <v>0.12</v>
      </c>
      <c r="G16" s="3" t="n">
        <v>0.12</v>
      </c>
      <c r="H16" s="3" t="n">
        <v>0.12</v>
      </c>
      <c r="I16" s="3" t="n">
        <v>0.12</v>
      </c>
      <c r="J16" s="3" t="n">
        <v>0.12</v>
      </c>
      <c r="K16" s="3" t="n">
        <v>0.12</v>
      </c>
      <c r="L16" s="3" t="n">
        <v>0.12</v>
      </c>
    </row>
    <row r="17" customFormat="false" ht="15" hidden="false" customHeight="false" outlineLevel="0" collapsed="false">
      <c r="A17" s="0" t="s">
        <v>111</v>
      </c>
      <c r="C17" s="3" t="n">
        <v>4.82</v>
      </c>
      <c r="D17" s="3" t="n">
        <v>4.8</v>
      </c>
      <c r="E17" s="3" t="n">
        <v>4.8</v>
      </c>
      <c r="F17" s="3" t="n">
        <v>4.8</v>
      </c>
      <c r="G17" s="3" t="n">
        <v>4.8</v>
      </c>
      <c r="H17" s="3" t="n">
        <v>4.8</v>
      </c>
      <c r="I17" s="3" t="n">
        <v>4.8</v>
      </c>
      <c r="J17" s="3" t="n">
        <v>4.8</v>
      </c>
      <c r="K17" s="3" t="n">
        <v>4.8</v>
      </c>
      <c r="L17" s="3" t="n">
        <v>4.8</v>
      </c>
    </row>
    <row r="18" customFormat="false" ht="15" hidden="false" customHeight="false" outlineLevel="0" collapsed="false">
      <c r="A18" s="0" t="s">
        <v>112</v>
      </c>
      <c r="C18" s="3" t="n">
        <v>4</v>
      </c>
      <c r="D18" s="3" t="n">
        <v>4</v>
      </c>
      <c r="E18" s="3" t="n">
        <v>4</v>
      </c>
      <c r="F18" s="3" t="n">
        <v>4</v>
      </c>
      <c r="G18" s="3" t="n">
        <v>4</v>
      </c>
      <c r="H18" s="3" t="n">
        <v>4</v>
      </c>
      <c r="I18" s="3" t="n">
        <v>4</v>
      </c>
      <c r="J18" s="3" t="n">
        <v>4</v>
      </c>
      <c r="K18" s="3" t="n">
        <v>4</v>
      </c>
      <c r="L18" s="3" t="n">
        <v>4</v>
      </c>
    </row>
    <row r="19" customFormat="false" ht="15" hidden="false" customHeight="false" outlineLevel="0" collapsed="false">
      <c r="A19" s="0" t="s">
        <v>113</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114</v>
      </c>
      <c r="B20" s="3" t="n">
        <v>6.5</v>
      </c>
    </row>
    <row r="21" customFormat="false" ht="15" hidden="false" customHeight="false" outlineLevel="0" collapsed="false">
      <c r="A21" s="0" t="s">
        <v>115</v>
      </c>
      <c r="B21" s="3" t="n">
        <v>1</v>
      </c>
    </row>
    <row r="22" customFormat="false" ht="15" hidden="false" customHeight="false" outlineLevel="0" collapsed="false">
      <c r="A22" s="0" t="s">
        <v>116</v>
      </c>
      <c r="B22" s="3" t="n">
        <v>13</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0</v>
      </c>
      <c r="D27" s="3" t="n">
        <v>2</v>
      </c>
      <c r="E27" s="3" t="n">
        <v>2</v>
      </c>
      <c r="F27" s="3" t="n">
        <v>2</v>
      </c>
      <c r="G27" s="3" t="n">
        <v>2</v>
      </c>
      <c r="H27" s="3" t="n">
        <v>2</v>
      </c>
      <c r="I27" s="3" t="n">
        <v>2</v>
      </c>
      <c r="J27" s="3" t="n">
        <v>2</v>
      </c>
      <c r="K27" s="3" t="n">
        <v>2</v>
      </c>
      <c r="L27" s="3" t="n">
        <v>2</v>
      </c>
    </row>
    <row r="28" customFormat="false" ht="15" hidden="false" customHeight="false" outlineLevel="0" collapsed="false">
      <c r="A28" s="0" t="s">
        <v>108</v>
      </c>
      <c r="C28" s="3" t="n">
        <v>8.9</v>
      </c>
      <c r="D28" s="3" t="n">
        <v>9</v>
      </c>
      <c r="E28" s="3" t="n">
        <v>9.1</v>
      </c>
      <c r="F28" s="3" t="n">
        <v>9.2</v>
      </c>
      <c r="G28" s="3" t="n">
        <v>9.3</v>
      </c>
      <c r="H28" s="3" t="n">
        <v>9.3</v>
      </c>
      <c r="I28" s="3" t="n">
        <v>9.3</v>
      </c>
      <c r="J28" s="3" t="n">
        <v>9.3</v>
      </c>
      <c r="K28" s="3" t="n">
        <v>9.3</v>
      </c>
      <c r="L28" s="3" t="n">
        <v>9.3</v>
      </c>
    </row>
    <row r="29" customFormat="false" ht="15" hidden="false" customHeight="false" outlineLevel="0" collapsed="false">
      <c r="A29" s="0" t="s">
        <v>109</v>
      </c>
      <c r="C29" s="3" t="n">
        <v>0.01</v>
      </c>
      <c r="D29" s="3" t="n">
        <v>0.01</v>
      </c>
      <c r="E29" s="3" t="n">
        <v>0.01</v>
      </c>
      <c r="F29" s="3" t="n">
        <v>0.01</v>
      </c>
      <c r="G29" s="3" t="n">
        <v>0.01</v>
      </c>
      <c r="H29" s="3" t="n">
        <v>0.01</v>
      </c>
      <c r="I29" s="3" t="n">
        <v>0.01</v>
      </c>
      <c r="J29" s="3" t="n">
        <v>0.01</v>
      </c>
      <c r="K29" s="3" t="n">
        <v>0.01</v>
      </c>
      <c r="L29" s="3" t="n">
        <v>0.01</v>
      </c>
    </row>
    <row r="30" customFormat="false" ht="15" hidden="false" customHeight="false" outlineLevel="0" collapsed="false">
      <c r="A30" s="0" t="s">
        <v>110</v>
      </c>
      <c r="C30" s="3" t="n">
        <v>0.12</v>
      </c>
      <c r="D30" s="3" t="n">
        <v>0.12</v>
      </c>
      <c r="E30" s="3" t="n">
        <v>0.12</v>
      </c>
      <c r="F30" s="3" t="n">
        <v>0.12</v>
      </c>
      <c r="G30" s="3" t="n">
        <v>0.12</v>
      </c>
      <c r="H30" s="3" t="n">
        <v>0.12</v>
      </c>
      <c r="I30" s="3" t="n">
        <v>0.12</v>
      </c>
      <c r="J30" s="3" t="n">
        <v>0.12</v>
      </c>
      <c r="K30" s="3" t="n">
        <v>0.12</v>
      </c>
      <c r="L30" s="3" t="n">
        <v>0.12</v>
      </c>
    </row>
    <row r="31" customFormat="false" ht="15" hidden="false" customHeight="false" outlineLevel="0" collapsed="false">
      <c r="A31" s="0" t="s">
        <v>111</v>
      </c>
      <c r="C31" s="3" t="n">
        <v>4.82</v>
      </c>
      <c r="D31" s="3" t="n">
        <v>4.8</v>
      </c>
      <c r="E31" s="3" t="n">
        <v>4.75</v>
      </c>
      <c r="F31" s="3" t="n">
        <v>4.7</v>
      </c>
      <c r="G31" s="3" t="n">
        <v>4.7</v>
      </c>
      <c r="H31" s="3" t="n">
        <v>4.7</v>
      </c>
      <c r="I31" s="3" t="n">
        <v>4.7</v>
      </c>
      <c r="J31" s="3" t="n">
        <v>4.7</v>
      </c>
      <c r="K31" s="3" t="n">
        <v>4.7</v>
      </c>
      <c r="L31" s="3" t="n">
        <v>4.7</v>
      </c>
    </row>
    <row r="32" customFormat="false" ht="15" hidden="false" customHeight="false" outlineLevel="0" collapsed="false">
      <c r="A32" s="0" t="s">
        <v>112</v>
      </c>
      <c r="C32" s="3" t="n">
        <v>3.9</v>
      </c>
      <c r="D32" s="3" t="n">
        <v>3.9</v>
      </c>
      <c r="E32" s="3" t="n">
        <v>3.8</v>
      </c>
      <c r="F32" s="3" t="n">
        <v>3.8</v>
      </c>
      <c r="G32" s="3" t="n">
        <v>3.7</v>
      </c>
      <c r="H32" s="3" t="n">
        <v>3.7</v>
      </c>
      <c r="I32" s="3" t="n">
        <v>3.7</v>
      </c>
      <c r="J32" s="3" t="n">
        <v>3.7</v>
      </c>
      <c r="K32" s="3" t="n">
        <v>3.7</v>
      </c>
      <c r="L32" s="3" t="n">
        <v>3.7</v>
      </c>
    </row>
    <row r="33" customFormat="false" ht="15" hidden="false" customHeight="false" outlineLevel="0" collapsed="false">
      <c r="A33" s="0" t="s">
        <v>113</v>
      </c>
      <c r="C33" s="3" t="n">
        <v>29</v>
      </c>
      <c r="D33" s="3" t="n">
        <v>29</v>
      </c>
      <c r="E33" s="3" t="n">
        <v>29</v>
      </c>
      <c r="F33" s="3" t="n">
        <v>29</v>
      </c>
      <c r="G33" s="3" t="n">
        <v>29</v>
      </c>
      <c r="H33" s="3" t="n">
        <v>29</v>
      </c>
      <c r="I33" s="3" t="n">
        <v>29</v>
      </c>
      <c r="J33" s="3" t="n">
        <v>29</v>
      </c>
      <c r="K33" s="3" t="n">
        <v>29</v>
      </c>
      <c r="L33" s="3" t="n">
        <v>29</v>
      </c>
    </row>
    <row r="34" customFormat="false" ht="15" hidden="false" customHeight="false" outlineLevel="0" collapsed="false">
      <c r="A34" s="0" t="s">
        <v>114</v>
      </c>
      <c r="B34" s="3" t="n">
        <v>6.5</v>
      </c>
    </row>
    <row r="35" customFormat="false" ht="15" hidden="false" customHeight="false" outlineLevel="0" collapsed="false">
      <c r="A35" s="0" t="s">
        <v>115</v>
      </c>
      <c r="B35" s="3" t="n">
        <v>1.5</v>
      </c>
    </row>
    <row r="36" customFormat="false" ht="15" hidden="false" customHeight="false" outlineLevel="0" collapsed="false">
      <c r="A36" s="0" t="s">
        <v>116</v>
      </c>
      <c r="B36" s="3" t="n">
        <v>15</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0.5</v>
      </c>
      <c r="D41" s="3" t="n">
        <v>3</v>
      </c>
      <c r="E41" s="3" t="n">
        <v>3.5</v>
      </c>
      <c r="F41" s="3" t="n">
        <v>3.5</v>
      </c>
      <c r="G41" s="3" t="n">
        <v>3</v>
      </c>
      <c r="H41" s="3" t="n">
        <v>3</v>
      </c>
      <c r="I41" s="3" t="n">
        <v>2.5</v>
      </c>
      <c r="J41" s="3" t="n">
        <v>2.5</v>
      </c>
      <c r="K41" s="3" t="n">
        <v>2.5</v>
      </c>
      <c r="L41" s="3" t="n">
        <v>2.5</v>
      </c>
    </row>
    <row r="42" customFormat="false" ht="15" hidden="false" customHeight="false" outlineLevel="0" collapsed="false">
      <c r="A42" s="0" t="s">
        <v>108</v>
      </c>
      <c r="C42" s="3" t="n">
        <v>9</v>
      </c>
      <c r="D42" s="3" t="n">
        <v>9.3</v>
      </c>
      <c r="E42" s="3" t="n">
        <v>9.6</v>
      </c>
      <c r="F42" s="3" t="n">
        <v>9.9</v>
      </c>
      <c r="G42" s="3" t="n">
        <v>10.1</v>
      </c>
      <c r="H42" s="3" t="n">
        <v>10.2</v>
      </c>
      <c r="I42" s="3" t="n">
        <v>10.2</v>
      </c>
      <c r="J42" s="3" t="n">
        <v>10.2</v>
      </c>
      <c r="K42" s="3" t="n">
        <v>10.2</v>
      </c>
      <c r="L42" s="3" t="n">
        <v>10.2</v>
      </c>
    </row>
    <row r="43" customFormat="false" ht="15" hidden="false" customHeight="false" outlineLevel="0" collapsed="false">
      <c r="A43" s="0" t="s">
        <v>109</v>
      </c>
      <c r="C43" s="3" t="n">
        <v>0.01</v>
      </c>
      <c r="D43" s="3" t="n">
        <v>0.01</v>
      </c>
      <c r="E43" s="3" t="n">
        <v>0.01</v>
      </c>
      <c r="F43" s="3" t="n">
        <v>0.01</v>
      </c>
      <c r="G43" s="3" t="n">
        <v>0.01</v>
      </c>
      <c r="H43" s="3" t="n">
        <v>0.01</v>
      </c>
      <c r="I43" s="3" t="n">
        <v>0.01</v>
      </c>
      <c r="J43" s="3" t="n">
        <v>0.01</v>
      </c>
      <c r="K43" s="3" t="n">
        <v>0.01</v>
      </c>
      <c r="L43" s="3" t="n">
        <v>0.01</v>
      </c>
    </row>
    <row r="44" customFormat="false" ht="15" hidden="false" customHeight="false" outlineLevel="0" collapsed="false">
      <c r="A44" s="0" t="s">
        <v>110</v>
      </c>
      <c r="C44" s="3" t="n">
        <v>0.12</v>
      </c>
      <c r="D44" s="3" t="n">
        <v>0.12</v>
      </c>
      <c r="E44" s="3" t="n">
        <v>0.12</v>
      </c>
      <c r="F44" s="3" t="n">
        <v>0.12</v>
      </c>
      <c r="G44" s="3" t="n">
        <v>0.12</v>
      </c>
      <c r="H44" s="3" t="n">
        <v>0.12</v>
      </c>
      <c r="I44" s="3" t="n">
        <v>0.12</v>
      </c>
      <c r="J44" s="3" t="n">
        <v>0.12</v>
      </c>
      <c r="K44" s="3" t="n">
        <v>0.12</v>
      </c>
      <c r="L44" s="3" t="n">
        <v>0.12</v>
      </c>
    </row>
    <row r="45" customFormat="false" ht="15" hidden="false" customHeight="false" outlineLevel="0" collapsed="false">
      <c r="A45" s="0" t="s">
        <v>111</v>
      </c>
      <c r="C45" s="3" t="n">
        <v>4.8</v>
      </c>
      <c r="D45" s="3" t="n">
        <v>4.75</v>
      </c>
      <c r="E45" s="3" t="n">
        <v>4.7</v>
      </c>
      <c r="F45" s="3" t="n">
        <v>4.65</v>
      </c>
      <c r="G45" s="3" t="n">
        <v>4.6</v>
      </c>
      <c r="H45" s="3" t="n">
        <v>4.55</v>
      </c>
      <c r="I45" s="3" t="n">
        <v>4.5</v>
      </c>
      <c r="J45" s="3" t="n">
        <v>4.5</v>
      </c>
      <c r="K45" s="3" t="n">
        <v>4.5</v>
      </c>
      <c r="L45" s="3" t="n">
        <v>4.5</v>
      </c>
    </row>
    <row r="46" customFormat="false" ht="15" hidden="false" customHeight="false" outlineLevel="0" collapsed="false">
      <c r="A46" s="0" t="s">
        <v>112</v>
      </c>
      <c r="C46" s="3" t="n">
        <v>3.8</v>
      </c>
      <c r="D46" s="3" t="n">
        <v>3.8</v>
      </c>
      <c r="E46" s="3" t="n">
        <v>3.7</v>
      </c>
      <c r="F46" s="3" t="n">
        <v>3.6</v>
      </c>
      <c r="G46" s="3" t="n">
        <v>3.5</v>
      </c>
      <c r="H46" s="3" t="n">
        <v>3.5</v>
      </c>
      <c r="I46" s="3" t="n">
        <v>3.5</v>
      </c>
      <c r="J46" s="3" t="n">
        <v>3.5</v>
      </c>
      <c r="K46" s="3" t="n">
        <v>3.5</v>
      </c>
      <c r="L46" s="3" t="n">
        <v>3.5</v>
      </c>
    </row>
    <row r="47" customFormat="false" ht="15" hidden="false" customHeight="false" outlineLevel="0" collapsed="false">
      <c r="A47" s="0" t="s">
        <v>113</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114</v>
      </c>
      <c r="B48" s="3" t="n">
        <v>6.5</v>
      </c>
    </row>
    <row r="49" customFormat="false" ht="15" hidden="false" customHeight="false" outlineLevel="0" collapsed="false">
      <c r="A49" s="0" t="s">
        <v>115</v>
      </c>
      <c r="B49" s="3" t="n">
        <v>2</v>
      </c>
    </row>
    <row r="50" customFormat="false" ht="15" hidden="false" customHeight="false" outlineLevel="0" collapsed="false">
      <c r="A50" s="0" t="s">
        <v>116</v>
      </c>
      <c r="B50" s="3" t="n">
        <v>17</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0</v>
      </c>
      <c r="D5" s="4" t="n">
        <f aca="false">Assumptions!D13</f>
        <v>-1</v>
      </c>
      <c r="E5" s="4" t="n">
        <f aca="false">Assumptions!E13</f>
        <v>-0.5</v>
      </c>
      <c r="F5" s="4" t="n">
        <f aca="false">Assumptions!F13</f>
        <v>0</v>
      </c>
      <c r="G5" s="4" t="n">
        <f aca="false">Assumptions!G13</f>
        <v>0.5</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10430269</v>
      </c>
      <c r="C6" s="0" t="n">
        <f aca="false">B6*(1+C5/100)</f>
        <v>10430269</v>
      </c>
      <c r="D6" s="0" t="n">
        <f aca="false">C6*(1+D5/100)</f>
        <v>10325966.31</v>
      </c>
      <c r="E6" s="0" t="n">
        <f aca="false">D6*(1+E5/100)</f>
        <v>10274336.47845</v>
      </c>
      <c r="F6" s="0" t="n">
        <f aca="false">E6*(1+F5/100)</f>
        <v>10274336.47845</v>
      </c>
      <c r="G6" s="0" t="n">
        <f aca="false">F6*(1+G5/100)</f>
        <v>10325708.1608423</v>
      </c>
      <c r="H6" s="0" t="n">
        <f aca="false">G6*(1+H5/100)</f>
        <v>10428965.2424507</v>
      </c>
      <c r="I6" s="0" t="n">
        <f aca="false">H6*(1+I5/100)</f>
        <v>10533254.8948752</v>
      </c>
      <c r="J6" s="0" t="n">
        <f aca="false">I6*(1+J5/100)</f>
        <v>10638587.4438239</v>
      </c>
      <c r="K6" s="0" t="n">
        <f aca="false">J6*(1+K5/100)</f>
        <v>10744973.3182622</v>
      </c>
      <c r="L6" s="0" t="n">
        <f aca="false">K6*(1+L5/100)</f>
        <v>10852423.0514448</v>
      </c>
    </row>
    <row r="7" customFormat="false" ht="15" hidden="false" customHeight="false" outlineLevel="0" collapsed="false">
      <c r="A7" s="0" t="s">
        <v>108</v>
      </c>
      <c r="C7" s="4" t="n">
        <f aca="false">Assumptions!C14</f>
        <v>8.8</v>
      </c>
      <c r="D7" s="4" t="n">
        <f aca="false">Assumptions!D14</f>
        <v>8.5</v>
      </c>
      <c r="E7" s="4" t="n">
        <f aca="false">Assumptions!E14</f>
        <v>8.3</v>
      </c>
      <c r="F7" s="4" t="n">
        <f aca="false">Assumptions!F14</f>
        <v>8.2</v>
      </c>
      <c r="G7" s="4" t="n">
        <f aca="false">Assumptions!G14</f>
        <v>8.2</v>
      </c>
      <c r="H7" s="4" t="n">
        <f aca="false">Assumptions!H14</f>
        <v>8.2</v>
      </c>
      <c r="I7" s="4" t="n">
        <f aca="false">Assumptions!I14</f>
        <v>8.2</v>
      </c>
      <c r="J7" s="4" t="n">
        <f aca="false">Assumptions!J14</f>
        <v>8.2</v>
      </c>
      <c r="K7" s="4" t="n">
        <f aca="false">Assumptions!K14</f>
        <v>8.2</v>
      </c>
      <c r="L7" s="4" t="n">
        <f aca="false">Assumptions!L14</f>
        <v>8.2</v>
      </c>
    </row>
    <row r="8" customFormat="false" ht="15" hidden="false" customHeight="false" outlineLevel="0" collapsed="false">
      <c r="A8" s="0" t="s">
        <v>43</v>
      </c>
      <c r="C8" s="0" t="n">
        <f aca="false">C6*C7/100</f>
        <v>917863.672</v>
      </c>
      <c r="D8" s="0" t="n">
        <f aca="false">D6*D7/100</f>
        <v>877707.13635</v>
      </c>
      <c r="E8" s="0" t="n">
        <f aca="false">E6*E7/100</f>
        <v>852769.92771135</v>
      </c>
      <c r="F8" s="0" t="n">
        <f aca="false">F6*F7/100</f>
        <v>842495.5912329</v>
      </c>
      <c r="G8" s="0" t="n">
        <f aca="false">G6*G7/100</f>
        <v>846708.069189064</v>
      </c>
      <c r="H8" s="0" t="n">
        <f aca="false">H6*H7/100</f>
        <v>855175.149880955</v>
      </c>
      <c r="I8" s="0" t="n">
        <f aca="false">I6*I7/100</f>
        <v>863726.901379765</v>
      </c>
      <c r="J8" s="0" t="n">
        <f aca="false">J6*J7/100</f>
        <v>872364.170393562</v>
      </c>
      <c r="K8" s="0" t="n">
        <f aca="false">K6*K7/100</f>
        <v>881087.812097498</v>
      </c>
      <c r="L8" s="0" t="n">
        <f aca="false">L6*L7/100</f>
        <v>889898.690218473</v>
      </c>
    </row>
    <row r="9" customFormat="false" ht="15" hidden="false" customHeight="false" outlineLevel="0" collapsed="false">
      <c r="A9" s="0" t="s">
        <v>109</v>
      </c>
      <c r="C9" s="4" t="n">
        <f aca="false">Assumptions!C15</f>
        <v>0.01</v>
      </c>
      <c r="D9" s="4" t="n">
        <f aca="false">Assumptions!D15</f>
        <v>0.01</v>
      </c>
      <c r="E9" s="4" t="n">
        <f aca="false">Assumptions!E15</f>
        <v>0.01</v>
      </c>
      <c r="F9" s="4" t="n">
        <f aca="false">Assumptions!F15</f>
        <v>0.01</v>
      </c>
      <c r="G9" s="4" t="n">
        <f aca="false">Assumptions!G15</f>
        <v>0.01</v>
      </c>
      <c r="H9" s="4" t="n">
        <f aca="false">Assumptions!H15</f>
        <v>0.01</v>
      </c>
      <c r="I9" s="4" t="n">
        <f aca="false">Assumptions!I15</f>
        <v>0.01</v>
      </c>
      <c r="J9" s="4" t="n">
        <f aca="false">Assumptions!J15</f>
        <v>0.01</v>
      </c>
      <c r="K9" s="4" t="n">
        <f aca="false">Assumptions!K15</f>
        <v>0.01</v>
      </c>
      <c r="L9" s="4" t="n">
        <f aca="false">Assumptions!L15</f>
        <v>0.01</v>
      </c>
    </row>
    <row r="10" customFormat="false" ht="15" hidden="false" customHeight="false" outlineLevel="0" collapsed="false">
      <c r="A10" s="0" t="s">
        <v>124</v>
      </c>
      <c r="C10" s="0" t="n">
        <f aca="false">-C6*C9/100</f>
        <v>-1043.0269</v>
      </c>
      <c r="D10" s="0" t="n">
        <f aca="false">-D6*D9/100</f>
        <v>-1032.596631</v>
      </c>
      <c r="E10" s="0" t="n">
        <f aca="false">-E6*E9/100</f>
        <v>-1027.433647845</v>
      </c>
      <c r="F10" s="0" t="n">
        <f aca="false">-F6*F9/100</f>
        <v>-1027.433647845</v>
      </c>
      <c r="G10" s="0" t="n">
        <f aca="false">-G6*G9/100</f>
        <v>-1032.57081608423</v>
      </c>
      <c r="H10" s="0" t="n">
        <f aca="false">-H6*H9/100</f>
        <v>-1042.89652424507</v>
      </c>
      <c r="I10" s="0" t="n">
        <f aca="false">-I6*I9/100</f>
        <v>-1053.32548948752</v>
      </c>
      <c r="J10" s="0" t="n">
        <f aca="false">-J6*J9/100</f>
        <v>-1063.85874438239</v>
      </c>
      <c r="K10" s="0" t="n">
        <f aca="false">-K6*K9/100</f>
        <v>-1074.49733182622</v>
      </c>
      <c r="L10" s="0" t="n">
        <f aca="false">-L6*L9/100</f>
        <v>-1085.24230514448</v>
      </c>
    </row>
    <row r="11" customFormat="false" ht="15" hidden="false" customHeight="false" outlineLevel="0" collapsed="false">
      <c r="A11" s="0" t="s">
        <v>125</v>
      </c>
      <c r="C11" s="0" t="n">
        <f aca="false">C8+C10+C24</f>
        <v>904304.3223</v>
      </c>
      <c r="D11" s="0" t="n">
        <f aca="false">D8+D10+D24</f>
        <v>864283.380147</v>
      </c>
      <c r="E11" s="0" t="n">
        <f aca="false">E8+E10+E24</f>
        <v>839413.290289365</v>
      </c>
      <c r="F11" s="0" t="n">
        <f aca="false">F8+F10+F24</f>
        <v>829138.953810915</v>
      </c>
      <c r="G11" s="0" t="n">
        <f aca="false">G8+G10+G24</f>
        <v>833284.648579969</v>
      </c>
      <c r="H11" s="0" t="n">
        <f aca="false">H8+H10+H24</f>
        <v>841617.495065769</v>
      </c>
      <c r="I11" s="0" t="n">
        <f aca="false">I8+I10+I24</f>
        <v>850033.670016427</v>
      </c>
      <c r="J11" s="0" t="n">
        <f aca="false">J8+J10+J24</f>
        <v>858534.006716591</v>
      </c>
      <c r="K11" s="0" t="n">
        <f aca="false">K8+K10+K24</f>
        <v>867119.346783757</v>
      </c>
      <c r="L11" s="0" t="n">
        <f aca="false">L8+L10+L24</f>
        <v>875790.540251595</v>
      </c>
    </row>
    <row r="12" customFormat="false" ht="15" hidden="false" customHeight="false" outlineLevel="0" collapsed="false">
      <c r="A12" s="0" t="s">
        <v>126</v>
      </c>
      <c r="C12" s="4" t="n">
        <f aca="false">-C6*Assumptions!C17/100</f>
        <v>-502738.9658</v>
      </c>
      <c r="D12" s="4" t="n">
        <f aca="false">-D6*Assumptions!D17/100</f>
        <v>-495646.38288</v>
      </c>
      <c r="E12" s="4" t="n">
        <f aca="false">-E6*Assumptions!E17/100</f>
        <v>-493168.1509656</v>
      </c>
      <c r="F12" s="4" t="n">
        <f aca="false">-F6*Assumptions!F17/100</f>
        <v>-493168.1509656</v>
      </c>
      <c r="G12" s="4" t="n">
        <f aca="false">-G6*Assumptions!G17/100</f>
        <v>-495633.991720428</v>
      </c>
      <c r="H12" s="4" t="n">
        <f aca="false">-H6*Assumptions!H17/100</f>
        <v>-500590.331637632</v>
      </c>
      <c r="I12" s="4" t="n">
        <f aca="false">-I6*Assumptions!I17/100</f>
        <v>-505596.234954009</v>
      </c>
      <c r="J12" s="4" t="n">
        <f aca="false">-J6*Assumptions!J17/100</f>
        <v>-510652.197303549</v>
      </c>
      <c r="K12" s="4" t="n">
        <f aca="false">-K6*Assumptions!K17/100</f>
        <v>-515758.719276584</v>
      </c>
      <c r="L12" s="4" t="n">
        <f aca="false">-L6*Assumptions!L17/100</f>
        <v>-520916.30646935</v>
      </c>
    </row>
    <row r="13" customFormat="false" ht="15" hidden="false" customHeight="false" outlineLevel="0" collapsed="false">
      <c r="A13" s="0" t="s">
        <v>127</v>
      </c>
      <c r="C13" s="0" t="n">
        <f aca="false">C11+C12</f>
        <v>401565.3565</v>
      </c>
      <c r="D13" s="0" t="n">
        <f aca="false">D11+D12</f>
        <v>368636.997267</v>
      </c>
      <c r="E13" s="0" t="n">
        <f aca="false">E11+E12</f>
        <v>346245.139323765</v>
      </c>
      <c r="F13" s="0" t="n">
        <f aca="false">F11+F12</f>
        <v>335970.802845315</v>
      </c>
      <c r="G13" s="0" t="n">
        <f aca="false">G11+G12</f>
        <v>337650.656859541</v>
      </c>
      <c r="H13" s="0" t="n">
        <f aca="false">H11+H12</f>
        <v>341027.163428137</v>
      </c>
      <c r="I13" s="0" t="n">
        <f aca="false">I11+I12</f>
        <v>344437.435062418</v>
      </c>
      <c r="J13" s="0" t="n">
        <f aca="false">J11+J12</f>
        <v>347881.809413042</v>
      </c>
      <c r="K13" s="0" t="n">
        <f aca="false">K11+K12</f>
        <v>351360.627507173</v>
      </c>
      <c r="L13" s="0" t="n">
        <f aca="false">L11+L12</f>
        <v>354874.233782245</v>
      </c>
    </row>
    <row r="14" customFormat="false" ht="15" hidden="false" customHeight="false" outlineLevel="0" collapsed="false">
      <c r="A14" s="0" t="s">
        <v>113</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128</v>
      </c>
      <c r="C15" s="0" t="n">
        <f aca="false">C13-MAX(0,C13)*C14/100</f>
        <v>285111.403115</v>
      </c>
      <c r="D15" s="0" t="n">
        <f aca="false">D13-MAX(0,D13)*D14/100</f>
        <v>261732.26805957</v>
      </c>
      <c r="E15" s="0" t="n">
        <f aca="false">E13-MAX(0,E13)*E14/100</f>
        <v>245834.048919873</v>
      </c>
      <c r="F15" s="0" t="n">
        <f aca="false">F13-MAX(0,F13)*F14/100</f>
        <v>238539.270020174</v>
      </c>
      <c r="G15" s="0" t="n">
        <f aca="false">G13-MAX(0,G13)*G14/100</f>
        <v>239731.966370274</v>
      </c>
      <c r="H15" s="0" t="n">
        <f aca="false">H13-MAX(0,H13)*H14/100</f>
        <v>242129.286033977</v>
      </c>
      <c r="I15" s="0" t="n">
        <f aca="false">I13-MAX(0,I13)*I14/100</f>
        <v>244550.578894317</v>
      </c>
      <c r="J15" s="0" t="n">
        <f aca="false">J13-MAX(0,J13)*J14/100</f>
        <v>246996.08468326</v>
      </c>
      <c r="K15" s="0" t="n">
        <f aca="false">K13-MAX(0,K13)*K14/100</f>
        <v>249466.045530093</v>
      </c>
      <c r="L15" s="0" t="n">
        <f aca="false">L13-MAX(0,L13)*L14/100</f>
        <v>251960.705985394</v>
      </c>
    </row>
    <row r="16" customFormat="false" ht="15" hidden="false" customHeight="false" outlineLevel="0" collapsed="false">
      <c r="A16" s="0" t="s">
        <v>129</v>
      </c>
      <c r="C16" s="0" t="n">
        <f aca="false">-C12</f>
        <v>502738.9658</v>
      </c>
      <c r="D16" s="0" t="n">
        <f aca="false">-D12</f>
        <v>495646.38288</v>
      </c>
      <c r="E16" s="0" t="n">
        <f aca="false">-E12</f>
        <v>493168.1509656</v>
      </c>
      <c r="F16" s="0" t="n">
        <f aca="false">-F12</f>
        <v>493168.1509656</v>
      </c>
      <c r="G16" s="0" t="n">
        <f aca="false">-G12</f>
        <v>495633.991720428</v>
      </c>
      <c r="H16" s="0" t="n">
        <f aca="false">-H12</f>
        <v>500590.331637632</v>
      </c>
      <c r="I16" s="0" t="n">
        <f aca="false">-I12</f>
        <v>505596.234954009</v>
      </c>
      <c r="J16" s="0" t="n">
        <f aca="false">-J12</f>
        <v>510652.197303549</v>
      </c>
      <c r="K16" s="0" t="n">
        <f aca="false">-K12</f>
        <v>515758.719276584</v>
      </c>
      <c r="L16" s="0" t="n">
        <f aca="false">-L12</f>
        <v>520916.30646935</v>
      </c>
    </row>
    <row r="17" customFormat="false" ht="15" hidden="false" customHeight="false" outlineLevel="0" collapsed="false">
      <c r="A17" s="0" t="s">
        <v>130</v>
      </c>
      <c r="C17" s="4" t="n">
        <f aca="false">-C6*Assumptions!C18/100</f>
        <v>-417210.76</v>
      </c>
      <c r="D17" s="4" t="n">
        <f aca="false">-D6*Assumptions!D18/100</f>
        <v>-413038.6524</v>
      </c>
      <c r="E17" s="4" t="n">
        <f aca="false">-E6*Assumptions!E18/100</f>
        <v>-410973.459138</v>
      </c>
      <c r="F17" s="4" t="n">
        <f aca="false">-F6*Assumptions!F18/100</f>
        <v>-410973.459138</v>
      </c>
      <c r="G17" s="4" t="n">
        <f aca="false">-G6*Assumptions!G18/100</f>
        <v>-413028.32643369</v>
      </c>
      <c r="H17" s="4" t="n">
        <f aca="false">-H6*Assumptions!H18/100</f>
        <v>-417158.609698027</v>
      </c>
      <c r="I17" s="4" t="n">
        <f aca="false">-I6*Assumptions!I18/100</f>
        <v>-421330.195795007</v>
      </c>
      <c r="J17" s="4" t="n">
        <f aca="false">-J6*Assumptions!J18/100</f>
        <v>-425543.497752957</v>
      </c>
      <c r="K17" s="4" t="n">
        <f aca="false">-K6*Assumptions!K18/100</f>
        <v>-429798.932730487</v>
      </c>
      <c r="L17" s="4" t="n">
        <f aca="false">-L6*Assumptions!L18/100</f>
        <v>-434096.922057792</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370639.608915</v>
      </c>
      <c r="D19" s="0" t="n">
        <f aca="false">D15+D16+D17+D18</f>
        <v>344339.99853957</v>
      </c>
      <c r="E19" s="0" t="n">
        <f aca="false">E15+E16+E17+E18</f>
        <v>328028.740747473</v>
      </c>
      <c r="F19" s="0" t="n">
        <f aca="false">F15+F16+F17+F18</f>
        <v>320733.961847774</v>
      </c>
      <c r="G19" s="0" t="n">
        <f aca="false">G15+G16+G17+G18</f>
        <v>322337.631657012</v>
      </c>
      <c r="H19" s="0" t="n">
        <f aca="false">H15+H16+H17+H18</f>
        <v>325561.007973583</v>
      </c>
      <c r="I19" s="0" t="n">
        <f aca="false">I15+I16+I17+I18</f>
        <v>328816.618053318</v>
      </c>
      <c r="J19" s="0" t="n">
        <f aca="false">J15+J16+J17+J18</f>
        <v>332104.784233852</v>
      </c>
      <c r="K19" s="0" t="n">
        <f aca="false">K15+K16+K17+K18</f>
        <v>335425.83207619</v>
      </c>
      <c r="L19" s="0" t="n">
        <f aca="false">L15+L16+L17+L18</f>
        <v>338780.090396952</v>
      </c>
    </row>
    <row r="20" customFormat="false" ht="15" hidden="false" customHeight="false" outlineLevel="0" collapsed="false">
      <c r="A20" s="0" t="s">
        <v>133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134</v>
      </c>
      <c r="C21" s="0" t="n">
        <f aca="false">C19*C20</f>
        <v>348018.412126761</v>
      </c>
      <c r="D21" s="0" t="n">
        <f aca="false">D19*D20</f>
        <v>303590.55614148</v>
      </c>
      <c r="E21" s="0" t="n">
        <f aca="false">E19*E20</f>
        <v>271558.295113071</v>
      </c>
      <c r="F21" s="0" t="n">
        <f aca="false">F19*F20</f>
        <v>249313.914578452</v>
      </c>
      <c r="G21" s="0" t="n">
        <f aca="false">G19*G20</f>
        <v>235268.060236004</v>
      </c>
      <c r="H21" s="0" t="n">
        <f aca="false">H19*H20</f>
        <v>223118.066514895</v>
      </c>
      <c r="I21" s="0" t="n">
        <f aca="false">I19*I20</f>
        <v>211595.537258258</v>
      </c>
      <c r="J21" s="0" t="n">
        <f aca="false">J19*J20</f>
        <v>200668.068197972</v>
      </c>
      <c r="K21" s="0" t="n">
        <f aca="false">K19*K20</f>
        <v>190304.928525776</v>
      </c>
      <c r="L21" s="0" t="n">
        <f aca="false">L19*L20</f>
        <v>180476.974470455</v>
      </c>
    </row>
    <row r="23" customFormat="false" ht="15" hidden="false" customHeight="false" outlineLevel="0" collapsed="false">
      <c r="A23" s="0" t="s">
        <v>110</v>
      </c>
      <c r="C23" s="4" t="n">
        <f aca="false">Assumptions!C16</f>
        <v>0.12</v>
      </c>
      <c r="D23" s="4" t="n">
        <f aca="false">Assumptions!D16</f>
        <v>0.12</v>
      </c>
      <c r="E23" s="4" t="n">
        <f aca="false">Assumptions!E16</f>
        <v>0.12</v>
      </c>
      <c r="F23" s="4" t="n">
        <f aca="false">Assumptions!F16</f>
        <v>0.12</v>
      </c>
      <c r="G23" s="4" t="n">
        <f aca="false">Assumptions!G16</f>
        <v>0.12</v>
      </c>
      <c r="H23" s="4" t="n">
        <f aca="false">Assumptions!H16</f>
        <v>0.12</v>
      </c>
      <c r="I23" s="4" t="n">
        <f aca="false">Assumptions!I16</f>
        <v>0.12</v>
      </c>
      <c r="J23" s="4" t="n">
        <f aca="false">Assumptions!J16</f>
        <v>0.12</v>
      </c>
      <c r="K23" s="4" t="n">
        <f aca="false">Assumptions!K16</f>
        <v>0.12</v>
      </c>
      <c r="L23" s="4" t="n">
        <f aca="false">Assumptions!L16</f>
        <v>0.12</v>
      </c>
    </row>
    <row r="24" customFormat="false" ht="15" hidden="false" customHeight="false" outlineLevel="0" collapsed="false">
      <c r="A24" s="0" t="s">
        <v>135</v>
      </c>
      <c r="C24" s="0" t="n">
        <f aca="false">-C6*C23/100</f>
        <v>-12516.3228</v>
      </c>
      <c r="D24" s="0" t="n">
        <f aca="false">-D6*D23/100</f>
        <v>-12391.159572</v>
      </c>
      <c r="E24" s="0" t="n">
        <f aca="false">-E6*E23/100</f>
        <v>-12329.20377414</v>
      </c>
      <c r="F24" s="0" t="n">
        <f aca="false">-F6*F23/100</f>
        <v>-12329.20377414</v>
      </c>
      <c r="G24" s="0" t="n">
        <f aca="false">-G6*G23/100</f>
        <v>-12390.8497930107</v>
      </c>
      <c r="H24" s="0" t="n">
        <f aca="false">-H6*H23/100</f>
        <v>-12514.7582909408</v>
      </c>
      <c r="I24" s="0" t="n">
        <f aca="false">-I6*I23/100</f>
        <v>-12639.9058738502</v>
      </c>
      <c r="J24" s="0" t="n">
        <f aca="false">-J6*J23/100</f>
        <v>-12766.3049325887</v>
      </c>
      <c r="K24" s="0" t="n">
        <f aca="false">-K6*K23/100</f>
        <v>-12893.9679819146</v>
      </c>
      <c r="L24" s="0" t="n">
        <f aca="false">-L6*L23/100</f>
        <v>-13022.9076617337</v>
      </c>
    </row>
    <row r="26" customFormat="false" ht="15" hidden="false" customHeight="false" outlineLevel="0" collapsed="false">
      <c r="A26" s="2" t="s">
        <v>136</v>
      </c>
    </row>
    <row r="27" customFormat="false" ht="15" hidden="false" customHeight="false" outlineLevel="0" collapsed="false">
      <c r="A27" s="0" t="s">
        <v>114</v>
      </c>
      <c r="B27" s="4" t="n">
        <f aca="false">Assumptions!$B$20</f>
        <v>6.5</v>
      </c>
    </row>
    <row r="28" customFormat="false" ht="15" hidden="false" customHeight="false" outlineLevel="0" collapsed="false">
      <c r="A28" s="0" t="s">
        <v>115</v>
      </c>
      <c r="B28" s="4" t="n">
        <f aca="false">Assumptions!$B$21</f>
        <v>1</v>
      </c>
    </row>
    <row r="29" customFormat="false" ht="15" hidden="false" customHeight="false" outlineLevel="0" collapsed="false">
      <c r="A29" s="0" t="s">
        <v>116</v>
      </c>
      <c r="B29" s="4" t="n">
        <f aca="false">Assumptions!$B$22</f>
        <v>13</v>
      </c>
    </row>
    <row r="30" customFormat="false" ht="15" hidden="false" customHeight="false" outlineLevel="0" collapsed="false">
      <c r="A30" s="0" t="s">
        <v>137</v>
      </c>
      <c r="B30" s="0" t="n">
        <f aca="false">SUM(C21:L21)</f>
        <v>2413912.81316312</v>
      </c>
    </row>
    <row r="31" customFormat="false" ht="15" hidden="false" customHeight="false" outlineLevel="0" collapsed="false">
      <c r="A31" s="0" t="s">
        <v>138</v>
      </c>
      <c r="B31" s="0" t="n">
        <f aca="false">L19</f>
        <v>338780.090396952</v>
      </c>
    </row>
    <row r="32" customFormat="false" ht="15" hidden="false" customHeight="false" outlineLevel="0" collapsed="false">
      <c r="A32" s="0" t="s">
        <v>139</v>
      </c>
      <c r="B32" s="0" t="n">
        <f aca="false">IF(B27&gt;B28,B31*(1+B28/100)/((B27-B28)/100),B31*B29)</f>
        <v>6221234.38728948</v>
      </c>
    </row>
    <row r="33" customFormat="false" ht="15" hidden="false" customHeight="false" outlineLevel="0" collapsed="false">
      <c r="A33" s="0" t="s">
        <v>140</v>
      </c>
      <c r="B33" s="0" t="n">
        <f aca="false">B31*B29</f>
        <v>4404141.17516038</v>
      </c>
    </row>
    <row r="34" customFormat="false" ht="15" hidden="false" customHeight="false" outlineLevel="0" collapsed="false">
      <c r="A34" s="0" t="s">
        <v>141</v>
      </c>
      <c r="B34" s="0" t="n">
        <f aca="false">MAX(0,MIN(B32,B33))</f>
        <v>4404141.17516038</v>
      </c>
    </row>
    <row r="35" customFormat="false" ht="15" hidden="false" customHeight="false" outlineLevel="0" collapsed="false">
      <c r="A35" s="0" t="s">
        <v>142</v>
      </c>
      <c r="B35" s="0" t="n">
        <f aca="false">B34/(1+B27/100)^L4</f>
        <v>2346200.66811591</v>
      </c>
    </row>
    <row r="36" customFormat="false" ht="15" hidden="false" customHeight="false" outlineLevel="0" collapsed="false">
      <c r="A36" s="0" t="s">
        <v>143</v>
      </c>
      <c r="B36" s="0" t="n">
        <f aca="false">B30+B35</f>
        <v>4760113.48127903</v>
      </c>
    </row>
    <row r="37" customFormat="false" ht="15" hidden="false" customHeight="false" outlineLevel="0" collapsed="false">
      <c r="A37" s="0" t="s">
        <v>144</v>
      </c>
      <c r="B37" s="0" t="n">
        <f aca="false">B36+Assumptions!$B$5-Assumptions!$B$4</f>
        <v>3471915.48127903</v>
      </c>
    </row>
    <row r="38" customFormat="false" ht="15" hidden="false" customHeight="false" outlineLevel="0" collapsed="false">
      <c r="A38" s="0" t="s">
        <v>145</v>
      </c>
      <c r="B38" s="0" t="n">
        <f aca="false">B37/Assumptions!$B$3*Assumptions!$B$10</f>
        <v>1501.86244183128</v>
      </c>
    </row>
    <row r="39" customFormat="false" ht="15" hidden="false" customHeight="false" outlineLevel="0" collapsed="false">
      <c r="A39" s="0" t="s">
        <v>146</v>
      </c>
      <c r="B39" s="4" t="n">
        <f aca="false">B38/Assumptions!$B$2-1</f>
        <v>-0.297045428583536</v>
      </c>
    </row>
    <row r="41" customFormat="false" ht="15" hidden="false" customHeight="false" outlineLevel="0" collapsed="false">
      <c r="A41" s="0" t="s">
        <v>147</v>
      </c>
      <c r="B41" s="0" t="n">
        <f aca="false">SUMPRODUCT(-C10:L10/(1+$B$27/100)^C4:L4)</f>
        <v>7515.7550104713</v>
      </c>
    </row>
    <row r="42" customFormat="false" ht="15" hidden="false" customHeight="false" outlineLevel="0" collapsed="false">
      <c r="A42" s="0" t="s">
        <v>148</v>
      </c>
      <c r="B42" s="0" t="n">
        <f aca="false">IF(B27&gt;B28,-L10*(1+B28/100)/((B27-B28)/100),-L10*20)/(1+B27/100)^L4</f>
        <v>10616.6945292139</v>
      </c>
    </row>
    <row r="43" customFormat="false" ht="15" hidden="false" customHeight="false" outlineLevel="0" collapsed="false">
      <c r="A43" s="0" t="s">
        <v>149</v>
      </c>
      <c r="B43" s="0" t="n">
        <f aca="false">(B37+B41+B42)/Assumptions!$B$3*Assumptions!$B$10</f>
        <v>1509.7060788924</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2444056.36643515</v>
      </c>
    </row>
    <row r="47" customFormat="false" ht="15" hidden="false" customHeight="false" outlineLevel="0" collapsed="false">
      <c r="A47" s="0" t="s">
        <v>151</v>
      </c>
      <c r="B47" s="0" t="n">
        <f aca="false">(SUMPRODUCT(C19:L19/(1+B45/100)^C4:L4)+B46/(1+B45/100)^L4+Assumptions!$B$5-Assumptions!$B$4)/Assumptions!$B$3*Assumptions!$B$10</f>
        <v>436.876146564347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0</v>
      </c>
      <c r="D5" s="4" t="n">
        <f aca="false">Assumptions!D27</f>
        <v>2</v>
      </c>
      <c r="E5" s="4" t="n">
        <f aca="false">Assumptions!E27</f>
        <v>2</v>
      </c>
      <c r="F5" s="4" t="n">
        <f aca="false">Assumptions!F27</f>
        <v>2</v>
      </c>
      <c r="G5" s="4" t="n">
        <f aca="false">Assumptions!G27</f>
        <v>2</v>
      </c>
      <c r="H5" s="4" t="n">
        <f aca="false">Assumptions!H27</f>
        <v>2</v>
      </c>
      <c r="I5" s="4" t="n">
        <f aca="false">Assumptions!I27</f>
        <v>2</v>
      </c>
      <c r="J5" s="4" t="n">
        <f aca="false">Assumptions!J27</f>
        <v>2</v>
      </c>
      <c r="K5" s="4" t="n">
        <f aca="false">Assumptions!K27</f>
        <v>2</v>
      </c>
      <c r="L5" s="4" t="n">
        <f aca="false">Assumptions!L27</f>
        <v>2</v>
      </c>
    </row>
    <row r="6" customFormat="false" ht="15" hidden="false" customHeight="false" outlineLevel="0" collapsed="false">
      <c r="A6" s="0" t="s">
        <v>37</v>
      </c>
      <c r="B6" s="3" t="n">
        <v>10430269</v>
      </c>
      <c r="C6" s="0" t="n">
        <f aca="false">B6*(1+C5/100)</f>
        <v>10430269</v>
      </c>
      <c r="D6" s="0" t="n">
        <f aca="false">C6*(1+D5/100)</f>
        <v>10638874.38</v>
      </c>
      <c r="E6" s="0" t="n">
        <f aca="false">D6*(1+E5/100)</f>
        <v>10851651.8676</v>
      </c>
      <c r="F6" s="0" t="n">
        <f aca="false">E6*(1+F5/100)</f>
        <v>11068684.904952</v>
      </c>
      <c r="G6" s="0" t="n">
        <f aca="false">F6*(1+G5/100)</f>
        <v>11290058.603051</v>
      </c>
      <c r="H6" s="0" t="n">
        <f aca="false">G6*(1+H5/100)</f>
        <v>11515859.7751121</v>
      </c>
      <c r="I6" s="0" t="n">
        <f aca="false">H6*(1+I5/100)</f>
        <v>11746176.9706143</v>
      </c>
      <c r="J6" s="0" t="n">
        <f aca="false">I6*(1+J5/100)</f>
        <v>11981100.5100266</v>
      </c>
      <c r="K6" s="0" t="n">
        <f aca="false">J6*(1+K5/100)</f>
        <v>12220722.5202271</v>
      </c>
      <c r="L6" s="0" t="n">
        <f aca="false">K6*(1+L5/100)</f>
        <v>12465136.9706317</v>
      </c>
    </row>
    <row r="7" customFormat="false" ht="15" hidden="false" customHeight="false" outlineLevel="0" collapsed="false">
      <c r="A7" s="0" t="s">
        <v>108</v>
      </c>
      <c r="C7" s="4" t="n">
        <f aca="false">Assumptions!C28</f>
        <v>8.9</v>
      </c>
      <c r="D7" s="4" t="n">
        <f aca="false">Assumptions!D28</f>
        <v>9</v>
      </c>
      <c r="E7" s="4" t="n">
        <f aca="false">Assumptions!E28</f>
        <v>9.1</v>
      </c>
      <c r="F7" s="4" t="n">
        <f aca="false">Assumptions!F28</f>
        <v>9.2</v>
      </c>
      <c r="G7" s="4" t="n">
        <f aca="false">Assumptions!G28</f>
        <v>9.3</v>
      </c>
      <c r="H7" s="4" t="n">
        <f aca="false">Assumptions!H28</f>
        <v>9.3</v>
      </c>
      <c r="I7" s="4" t="n">
        <f aca="false">Assumptions!I28</f>
        <v>9.3</v>
      </c>
      <c r="J7" s="4" t="n">
        <f aca="false">Assumptions!J28</f>
        <v>9.3</v>
      </c>
      <c r="K7" s="4" t="n">
        <f aca="false">Assumptions!K28</f>
        <v>9.3</v>
      </c>
      <c r="L7" s="4" t="n">
        <f aca="false">Assumptions!L28</f>
        <v>9.3</v>
      </c>
    </row>
    <row r="8" customFormat="false" ht="15" hidden="false" customHeight="false" outlineLevel="0" collapsed="false">
      <c r="A8" s="0" t="s">
        <v>43</v>
      </c>
      <c r="C8" s="0" t="n">
        <f aca="false">C6*C7/100</f>
        <v>928293.941</v>
      </c>
      <c r="D8" s="0" t="n">
        <f aca="false">D6*D7/100</f>
        <v>957498.6942</v>
      </c>
      <c r="E8" s="0" t="n">
        <f aca="false">E6*E7/100</f>
        <v>987500.3199516</v>
      </c>
      <c r="F8" s="0" t="n">
        <f aca="false">F6*F7/100</f>
        <v>1018319.01125558</v>
      </c>
      <c r="G8" s="0" t="n">
        <f aca="false">G6*G7/100</f>
        <v>1049975.45008375</v>
      </c>
      <c r="H8" s="0" t="n">
        <f aca="false">H6*H7/100</f>
        <v>1070974.95908542</v>
      </c>
      <c r="I8" s="0" t="n">
        <f aca="false">I6*I7/100</f>
        <v>1092394.45826713</v>
      </c>
      <c r="J8" s="0" t="n">
        <f aca="false">J6*J7/100</f>
        <v>1114242.34743247</v>
      </c>
      <c r="K8" s="0" t="n">
        <f aca="false">K6*K7/100</f>
        <v>1136527.19438112</v>
      </c>
      <c r="L8" s="0" t="n">
        <f aca="false">L6*L7/100</f>
        <v>1159257.73826875</v>
      </c>
    </row>
    <row r="9" customFormat="false" ht="15" hidden="false" customHeight="false" outlineLevel="0" collapsed="false">
      <c r="A9" s="0" t="s">
        <v>109</v>
      </c>
      <c r="C9" s="4" t="n">
        <f aca="false">Assumptions!C29</f>
        <v>0.01</v>
      </c>
      <c r="D9" s="4" t="n">
        <f aca="false">Assumptions!D29</f>
        <v>0.01</v>
      </c>
      <c r="E9" s="4" t="n">
        <f aca="false">Assumptions!E29</f>
        <v>0.01</v>
      </c>
      <c r="F9" s="4" t="n">
        <f aca="false">Assumptions!F29</f>
        <v>0.01</v>
      </c>
      <c r="G9" s="4" t="n">
        <f aca="false">Assumptions!G29</f>
        <v>0.01</v>
      </c>
      <c r="H9" s="4" t="n">
        <f aca="false">Assumptions!H29</f>
        <v>0.01</v>
      </c>
      <c r="I9" s="4" t="n">
        <f aca="false">Assumptions!I29</f>
        <v>0.01</v>
      </c>
      <c r="J9" s="4" t="n">
        <f aca="false">Assumptions!J29</f>
        <v>0.01</v>
      </c>
      <c r="K9" s="4" t="n">
        <f aca="false">Assumptions!K29</f>
        <v>0.01</v>
      </c>
      <c r="L9" s="4" t="n">
        <f aca="false">Assumptions!L29</f>
        <v>0.01</v>
      </c>
    </row>
    <row r="10" customFormat="false" ht="15" hidden="false" customHeight="false" outlineLevel="0" collapsed="false">
      <c r="A10" s="0" t="s">
        <v>124</v>
      </c>
      <c r="C10" s="0" t="n">
        <f aca="false">-C6*C9/100</f>
        <v>-1043.0269</v>
      </c>
      <c r="D10" s="0" t="n">
        <f aca="false">-D6*D9/100</f>
        <v>-1063.887438</v>
      </c>
      <c r="E10" s="0" t="n">
        <f aca="false">-E6*E9/100</f>
        <v>-1085.16518676</v>
      </c>
      <c r="F10" s="0" t="n">
        <f aca="false">-F6*F9/100</f>
        <v>-1106.8684904952</v>
      </c>
      <c r="G10" s="0" t="n">
        <f aca="false">-G6*G9/100</f>
        <v>-1129.0058603051</v>
      </c>
      <c r="H10" s="0" t="n">
        <f aca="false">-H6*H9/100</f>
        <v>-1151.58597751121</v>
      </c>
      <c r="I10" s="0" t="n">
        <f aca="false">-I6*I9/100</f>
        <v>-1174.61769706143</v>
      </c>
      <c r="J10" s="0" t="n">
        <f aca="false">-J6*J9/100</f>
        <v>-1198.11005100266</v>
      </c>
      <c r="K10" s="0" t="n">
        <f aca="false">-K6*K9/100</f>
        <v>-1222.07225202271</v>
      </c>
      <c r="L10" s="0" t="n">
        <f aca="false">-L6*L9/100</f>
        <v>-1246.51369706317</v>
      </c>
    </row>
    <row r="11" customFormat="false" ht="15" hidden="false" customHeight="false" outlineLevel="0" collapsed="false">
      <c r="A11" s="0" t="s">
        <v>125</v>
      </c>
      <c r="C11" s="0" t="n">
        <f aca="false">C8+C10+C24</f>
        <v>914734.5913</v>
      </c>
      <c r="D11" s="0" t="n">
        <f aca="false">D8+D10+D24</f>
        <v>943668.157506</v>
      </c>
      <c r="E11" s="0" t="n">
        <f aca="false">E8+E10+E24</f>
        <v>973393.17252372</v>
      </c>
      <c r="F11" s="0" t="n">
        <f aca="false">F8+F10+F24</f>
        <v>1003929.72087915</v>
      </c>
      <c r="G11" s="0" t="n">
        <f aca="false">G8+G10+G24</f>
        <v>1035298.37389978</v>
      </c>
      <c r="H11" s="0" t="n">
        <f aca="false">H8+H10+H24</f>
        <v>1056004.34137778</v>
      </c>
      <c r="I11" s="0" t="n">
        <f aca="false">I8+I10+I24</f>
        <v>1077124.42820533</v>
      </c>
      <c r="J11" s="0" t="n">
        <f aca="false">J8+J10+J24</f>
        <v>1098666.91676944</v>
      </c>
      <c r="K11" s="0" t="n">
        <f aca="false">K8+K10+K24</f>
        <v>1120640.25510483</v>
      </c>
      <c r="L11" s="0" t="n">
        <f aca="false">L8+L10+L24</f>
        <v>1143053.06020692</v>
      </c>
    </row>
    <row r="12" customFormat="false" ht="15" hidden="false" customHeight="false" outlineLevel="0" collapsed="false">
      <c r="A12" s="0" t="s">
        <v>126</v>
      </c>
      <c r="C12" s="4" t="n">
        <f aca="false">-C6*Assumptions!C31/100</f>
        <v>-502738.9658</v>
      </c>
      <c r="D12" s="4" t="n">
        <f aca="false">-D6*Assumptions!D31/100</f>
        <v>-510665.97024</v>
      </c>
      <c r="E12" s="4" t="n">
        <f aca="false">-E6*Assumptions!E31/100</f>
        <v>-515453.463711</v>
      </c>
      <c r="F12" s="4" t="n">
        <f aca="false">-F6*Assumptions!F31/100</f>
        <v>-520228.190532744</v>
      </c>
      <c r="G12" s="4" t="n">
        <f aca="false">-G6*Assumptions!G31/100</f>
        <v>-530632.754343399</v>
      </c>
      <c r="H12" s="4" t="n">
        <f aca="false">-H6*Assumptions!H31/100</f>
        <v>-541245.409430267</v>
      </c>
      <c r="I12" s="4" t="n">
        <f aca="false">-I6*Assumptions!I31/100</f>
        <v>-552070.317618872</v>
      </c>
      <c r="J12" s="4" t="n">
        <f aca="false">-J6*Assumptions!J31/100</f>
        <v>-563111.72397125</v>
      </c>
      <c r="K12" s="4" t="n">
        <f aca="false">-K6*Assumptions!K31/100</f>
        <v>-574373.958450675</v>
      </c>
      <c r="L12" s="4" t="n">
        <f aca="false">-L6*Assumptions!L31/100</f>
        <v>-585861.437619688</v>
      </c>
    </row>
    <row r="13" customFormat="false" ht="15" hidden="false" customHeight="false" outlineLevel="0" collapsed="false">
      <c r="A13" s="0" t="s">
        <v>127</v>
      </c>
      <c r="C13" s="0" t="n">
        <f aca="false">C11+C12</f>
        <v>411995.6255</v>
      </c>
      <c r="D13" s="0" t="n">
        <f aca="false">D11+D12</f>
        <v>433002.187266</v>
      </c>
      <c r="E13" s="0" t="n">
        <f aca="false">E11+E12</f>
        <v>457939.70881272</v>
      </c>
      <c r="F13" s="0" t="n">
        <f aca="false">F11+F12</f>
        <v>483701.530346402</v>
      </c>
      <c r="G13" s="0" t="n">
        <f aca="false">G11+G12</f>
        <v>504665.619556382</v>
      </c>
      <c r="H13" s="0" t="n">
        <f aca="false">H11+H12</f>
        <v>514758.931947509</v>
      </c>
      <c r="I13" s="0" t="n">
        <f aca="false">I11+I12</f>
        <v>525054.110586459</v>
      </c>
      <c r="J13" s="0" t="n">
        <f aca="false">J11+J12</f>
        <v>535555.192798189</v>
      </c>
      <c r="K13" s="0" t="n">
        <f aca="false">K11+K12</f>
        <v>546266.296654152</v>
      </c>
      <c r="L13" s="0" t="n">
        <f aca="false">L11+L12</f>
        <v>557191.622587236</v>
      </c>
    </row>
    <row r="14" customFormat="false" ht="15" hidden="false" customHeight="false" outlineLevel="0" collapsed="false">
      <c r="A14" s="0" t="s">
        <v>113</v>
      </c>
      <c r="C14" s="4" t="n">
        <f aca="false">Assumptions!C33</f>
        <v>29</v>
      </c>
      <c r="D14" s="4" t="n">
        <f aca="false">Assumptions!D33</f>
        <v>29</v>
      </c>
      <c r="E14" s="4" t="n">
        <f aca="false">Assumptions!E33</f>
        <v>29</v>
      </c>
      <c r="F14" s="4" t="n">
        <f aca="false">Assumptions!F33</f>
        <v>29</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128</v>
      </c>
      <c r="C15" s="0" t="n">
        <f aca="false">C13-MAX(0,C13)*C14/100</f>
        <v>292516.894105</v>
      </c>
      <c r="D15" s="0" t="n">
        <f aca="false">D13-MAX(0,D13)*D14/100</f>
        <v>307431.55295886</v>
      </c>
      <c r="E15" s="0" t="n">
        <f aca="false">E13-MAX(0,E13)*E14/100</f>
        <v>325137.193257031</v>
      </c>
      <c r="F15" s="0" t="n">
        <f aca="false">F13-MAX(0,F13)*F14/100</f>
        <v>343428.086545946</v>
      </c>
      <c r="G15" s="0" t="n">
        <f aca="false">G13-MAX(0,G13)*G14/100</f>
        <v>358312.589885031</v>
      </c>
      <c r="H15" s="0" t="n">
        <f aca="false">H13-MAX(0,H13)*H14/100</f>
        <v>365478.841682731</v>
      </c>
      <c r="I15" s="0" t="n">
        <f aca="false">I13-MAX(0,I13)*I14/100</f>
        <v>372788.418516386</v>
      </c>
      <c r="J15" s="0" t="n">
        <f aca="false">J13-MAX(0,J13)*J14/100</f>
        <v>380244.186886714</v>
      </c>
      <c r="K15" s="0" t="n">
        <f aca="false">K13-MAX(0,K13)*K14/100</f>
        <v>387849.070624448</v>
      </c>
      <c r="L15" s="0" t="n">
        <f aca="false">L13-MAX(0,L13)*L14/100</f>
        <v>395606.052036937</v>
      </c>
    </row>
    <row r="16" customFormat="false" ht="15" hidden="false" customHeight="false" outlineLevel="0" collapsed="false">
      <c r="A16" s="0" t="s">
        <v>129</v>
      </c>
      <c r="C16" s="0" t="n">
        <f aca="false">-C12</f>
        <v>502738.9658</v>
      </c>
      <c r="D16" s="0" t="n">
        <f aca="false">-D12</f>
        <v>510665.97024</v>
      </c>
      <c r="E16" s="0" t="n">
        <f aca="false">-E12</f>
        <v>515453.463711</v>
      </c>
      <c r="F16" s="0" t="n">
        <f aca="false">-F12</f>
        <v>520228.190532744</v>
      </c>
      <c r="G16" s="0" t="n">
        <f aca="false">-G12</f>
        <v>530632.754343399</v>
      </c>
      <c r="H16" s="0" t="n">
        <f aca="false">-H12</f>
        <v>541245.409430267</v>
      </c>
      <c r="I16" s="0" t="n">
        <f aca="false">-I12</f>
        <v>552070.317618872</v>
      </c>
      <c r="J16" s="0" t="n">
        <f aca="false">-J12</f>
        <v>563111.72397125</v>
      </c>
      <c r="K16" s="0" t="n">
        <f aca="false">-K12</f>
        <v>574373.958450675</v>
      </c>
      <c r="L16" s="0" t="n">
        <f aca="false">-L12</f>
        <v>585861.437619688</v>
      </c>
    </row>
    <row r="17" customFormat="false" ht="15" hidden="false" customHeight="false" outlineLevel="0" collapsed="false">
      <c r="A17" s="0" t="s">
        <v>130</v>
      </c>
      <c r="C17" s="4" t="n">
        <f aca="false">-C6*Assumptions!C32/100</f>
        <v>-406780.491</v>
      </c>
      <c r="D17" s="4" t="n">
        <f aca="false">-D6*Assumptions!D32/100</f>
        <v>-414916.10082</v>
      </c>
      <c r="E17" s="4" t="n">
        <f aca="false">-E6*Assumptions!E32/100</f>
        <v>-412362.7709688</v>
      </c>
      <c r="F17" s="4" t="n">
        <f aca="false">-F6*Assumptions!F32/100</f>
        <v>-420610.026388176</v>
      </c>
      <c r="G17" s="4" t="n">
        <f aca="false">-G6*Assumptions!G32/100</f>
        <v>-417732.168312889</v>
      </c>
      <c r="H17" s="4" t="n">
        <f aca="false">-H6*Assumptions!H32/100</f>
        <v>-426086.811679146</v>
      </c>
      <c r="I17" s="4" t="n">
        <f aca="false">-I6*Assumptions!I32/100</f>
        <v>-434608.547912729</v>
      </c>
      <c r="J17" s="4" t="n">
        <f aca="false">-J6*Assumptions!J32/100</f>
        <v>-443300.718870984</v>
      </c>
      <c r="K17" s="4" t="n">
        <f aca="false">-K6*Assumptions!K32/100</f>
        <v>-452166.733248404</v>
      </c>
      <c r="L17" s="4" t="n">
        <f aca="false">-L6*Assumptions!L32/100</f>
        <v>-461210.067913372</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388475.368905</v>
      </c>
      <c r="D19" s="0" t="n">
        <f aca="false">D15+D16+D17+D18</f>
        <v>403181.42237886</v>
      </c>
      <c r="E19" s="0" t="n">
        <f aca="false">E15+E16+E17+E18</f>
        <v>428227.885999231</v>
      </c>
      <c r="F19" s="0" t="n">
        <f aca="false">F15+F16+F17+F18</f>
        <v>443046.250690514</v>
      </c>
      <c r="G19" s="0" t="n">
        <f aca="false">G15+G16+G17+G18</f>
        <v>471213.175915541</v>
      </c>
      <c r="H19" s="0" t="n">
        <f aca="false">H15+H16+H17+H18</f>
        <v>480637.439433852</v>
      </c>
      <c r="I19" s="0" t="n">
        <f aca="false">I15+I16+I17+I18</f>
        <v>490250.188222529</v>
      </c>
      <c r="J19" s="0" t="n">
        <f aca="false">J15+J16+J17+J18</f>
        <v>500055.19198698</v>
      </c>
      <c r="K19" s="0" t="n">
        <f aca="false">K15+K16+K17+K18</f>
        <v>510056.295826719</v>
      </c>
      <c r="L19" s="0" t="n">
        <f aca="false">L15+L16+L17+L18</f>
        <v>520257.421743254</v>
      </c>
    </row>
    <row r="20" customFormat="false" ht="15" hidden="false" customHeight="false" outlineLevel="0" collapsed="false">
      <c r="A20" s="0" t="s">
        <v>133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134</v>
      </c>
      <c r="C21" s="0" t="n">
        <f aca="false">C19*C20</f>
        <v>364765.604605634</v>
      </c>
      <c r="D21" s="0" t="n">
        <f aca="false">D19*D20</f>
        <v>355468.643680804</v>
      </c>
      <c r="E21" s="0" t="n">
        <f aca="false">E19*E20</f>
        <v>354508.066509174</v>
      </c>
      <c r="F21" s="0" t="n">
        <f aca="false">F19*F20</f>
        <v>344390.08099611</v>
      </c>
      <c r="G21" s="0" t="n">
        <f aca="false">G19*G20</f>
        <v>343929.467016931</v>
      </c>
      <c r="H21" s="0" t="n">
        <f aca="false">H19*H20</f>
        <v>329397.236016216</v>
      </c>
      <c r="I21" s="0" t="n">
        <f aca="false">I19*I20</f>
        <v>315479.042945108</v>
      </c>
      <c r="J21" s="0" t="n">
        <f aca="false">J19*J20</f>
        <v>302148.942538977</v>
      </c>
      <c r="K21" s="0" t="n">
        <f aca="false">K19*K20</f>
        <v>289382.085811978</v>
      </c>
      <c r="L21" s="0" t="n">
        <f aca="false">L19*L20</f>
        <v>277154.673735415</v>
      </c>
    </row>
    <row r="23" customFormat="false" ht="15" hidden="false" customHeight="false" outlineLevel="0" collapsed="false">
      <c r="A23" s="0" t="s">
        <v>110</v>
      </c>
      <c r="C23" s="4" t="n">
        <f aca="false">Assumptions!C30</f>
        <v>0.12</v>
      </c>
      <c r="D23" s="4" t="n">
        <f aca="false">Assumptions!D30</f>
        <v>0.12</v>
      </c>
      <c r="E23" s="4" t="n">
        <f aca="false">Assumptions!E30</f>
        <v>0.12</v>
      </c>
      <c r="F23" s="4" t="n">
        <f aca="false">Assumptions!F30</f>
        <v>0.12</v>
      </c>
      <c r="G23" s="4" t="n">
        <f aca="false">Assumptions!G30</f>
        <v>0.12</v>
      </c>
      <c r="H23" s="4" t="n">
        <f aca="false">Assumptions!H30</f>
        <v>0.12</v>
      </c>
      <c r="I23" s="4" t="n">
        <f aca="false">Assumptions!I30</f>
        <v>0.12</v>
      </c>
      <c r="J23" s="4" t="n">
        <f aca="false">Assumptions!J30</f>
        <v>0.12</v>
      </c>
      <c r="K23" s="4" t="n">
        <f aca="false">Assumptions!K30</f>
        <v>0.12</v>
      </c>
      <c r="L23" s="4" t="n">
        <f aca="false">Assumptions!L30</f>
        <v>0.12</v>
      </c>
    </row>
    <row r="24" customFormat="false" ht="15" hidden="false" customHeight="false" outlineLevel="0" collapsed="false">
      <c r="A24" s="0" t="s">
        <v>135</v>
      </c>
      <c r="C24" s="0" t="n">
        <f aca="false">-C6*C23/100</f>
        <v>-12516.3228</v>
      </c>
      <c r="D24" s="0" t="n">
        <f aca="false">-D6*D23/100</f>
        <v>-12766.649256</v>
      </c>
      <c r="E24" s="0" t="n">
        <f aca="false">-E6*E23/100</f>
        <v>-13021.98224112</v>
      </c>
      <c r="F24" s="0" t="n">
        <f aca="false">-F6*F23/100</f>
        <v>-13282.4218859424</v>
      </c>
      <c r="G24" s="0" t="n">
        <f aca="false">-G6*G23/100</f>
        <v>-13548.0703236612</v>
      </c>
      <c r="H24" s="0" t="n">
        <f aca="false">-H6*H23/100</f>
        <v>-13819.0317301345</v>
      </c>
      <c r="I24" s="0" t="n">
        <f aca="false">-I6*I23/100</f>
        <v>-14095.4123647372</v>
      </c>
      <c r="J24" s="0" t="n">
        <f aca="false">-J6*J23/100</f>
        <v>-14377.3206120319</v>
      </c>
      <c r="K24" s="0" t="n">
        <f aca="false">-K6*K23/100</f>
        <v>-14664.8670242725</v>
      </c>
      <c r="L24" s="0" t="n">
        <f aca="false">-L6*L23/100</f>
        <v>-14958.164364758</v>
      </c>
    </row>
    <row r="26" customFormat="false" ht="15" hidden="false" customHeight="false" outlineLevel="0" collapsed="false">
      <c r="A26" s="2" t="s">
        <v>136</v>
      </c>
    </row>
    <row r="27" customFormat="false" ht="15" hidden="false" customHeight="false" outlineLevel="0" collapsed="false">
      <c r="A27" s="0" t="s">
        <v>114</v>
      </c>
      <c r="B27" s="4" t="n">
        <f aca="false">Assumptions!$B$34</f>
        <v>6.5</v>
      </c>
    </row>
    <row r="28" customFormat="false" ht="15" hidden="false" customHeight="false" outlineLevel="0" collapsed="false">
      <c r="A28" s="0" t="s">
        <v>115</v>
      </c>
      <c r="B28" s="4" t="n">
        <f aca="false">Assumptions!$B$35</f>
        <v>1.5</v>
      </c>
    </row>
    <row r="29" customFormat="false" ht="15" hidden="false" customHeight="false" outlineLevel="0" collapsed="false">
      <c r="A29" s="0" t="s">
        <v>116</v>
      </c>
      <c r="B29" s="4" t="n">
        <f aca="false">Assumptions!$B$36</f>
        <v>15</v>
      </c>
    </row>
    <row r="30" customFormat="false" ht="15" hidden="false" customHeight="false" outlineLevel="0" collapsed="false">
      <c r="A30" s="0" t="s">
        <v>137</v>
      </c>
      <c r="B30" s="0" t="n">
        <f aca="false">SUM(C21:L21)</f>
        <v>3276623.84385635</v>
      </c>
    </row>
    <row r="31" customFormat="false" ht="15" hidden="false" customHeight="false" outlineLevel="0" collapsed="false">
      <c r="A31" s="0" t="s">
        <v>138</v>
      </c>
      <c r="B31" s="0" t="n">
        <f aca="false">L19</f>
        <v>520257.421743254</v>
      </c>
    </row>
    <row r="32" customFormat="false" ht="15" hidden="false" customHeight="false" outlineLevel="0" collapsed="false">
      <c r="A32" s="0" t="s">
        <v>139</v>
      </c>
      <c r="B32" s="0" t="n">
        <f aca="false">IF(B27&gt;B28,B31*(1+B28/100)/((B27-B28)/100),B31*B29)</f>
        <v>10561225.6613881</v>
      </c>
    </row>
    <row r="33" customFormat="false" ht="15" hidden="false" customHeight="false" outlineLevel="0" collapsed="false">
      <c r="A33" s="0" t="s">
        <v>140</v>
      </c>
      <c r="B33" s="0" t="n">
        <f aca="false">B31*B29</f>
        <v>7803861.32614881</v>
      </c>
    </row>
    <row r="34" customFormat="false" ht="15" hidden="false" customHeight="false" outlineLevel="0" collapsed="false">
      <c r="A34" s="0" t="s">
        <v>141</v>
      </c>
      <c r="B34" s="0" t="n">
        <f aca="false">MAX(0,MIN(B32,B33))</f>
        <v>7803861.32614881</v>
      </c>
    </row>
    <row r="35" customFormat="false" ht="15" hidden="false" customHeight="false" outlineLevel="0" collapsed="false">
      <c r="A35" s="0" t="s">
        <v>142</v>
      </c>
      <c r="B35" s="0" t="n">
        <f aca="false">B34/(1+B27/100)^L4</f>
        <v>4157320.10603123</v>
      </c>
    </row>
    <row r="36" customFormat="false" ht="15" hidden="false" customHeight="false" outlineLevel="0" collapsed="false">
      <c r="A36" s="0" t="s">
        <v>143</v>
      </c>
      <c r="B36" s="0" t="n">
        <f aca="false">B30+B35</f>
        <v>7433943.94988758</v>
      </c>
    </row>
    <row r="37" customFormat="false" ht="15" hidden="false" customHeight="false" outlineLevel="0" collapsed="false">
      <c r="A37" s="0" t="s">
        <v>144</v>
      </c>
      <c r="B37" s="0" t="n">
        <f aca="false">B36+Assumptions!$B$5-Assumptions!$B$4</f>
        <v>6145745.94988758</v>
      </c>
    </row>
    <row r="38" customFormat="false" ht="15" hidden="false" customHeight="false" outlineLevel="0" collapsed="false">
      <c r="A38" s="0" t="s">
        <v>145</v>
      </c>
      <c r="B38" s="0" t="n">
        <f aca="false">B37/Assumptions!$B$3*Assumptions!$B$10</f>
        <v>2658.49358054434</v>
      </c>
    </row>
    <row r="39" customFormat="false" ht="15" hidden="false" customHeight="false" outlineLevel="0" collapsed="false">
      <c r="A39" s="0" t="s">
        <v>146</v>
      </c>
      <c r="B39" s="4" t="n">
        <f aca="false">B38/Assumptions!$B$2-1</f>
        <v>0.244321825670181</v>
      </c>
    </row>
    <row r="41" customFormat="false" ht="15" hidden="false" customHeight="false" outlineLevel="0" collapsed="false">
      <c r="A41" s="0" t="s">
        <v>147</v>
      </c>
      <c r="B41" s="0" t="n">
        <f aca="false">SUMPRODUCT(-C10:L10/(1+$B$27/100)^C4:L4)</f>
        <v>8126.56875422961</v>
      </c>
    </row>
    <row r="42" customFormat="false" ht="15" hidden="false" customHeight="false" outlineLevel="0" collapsed="false">
      <c r="A42" s="0" t="s">
        <v>148</v>
      </c>
      <c r="B42" s="0" t="n">
        <f aca="false">IF(B27&gt;B28,-L10*(1+B28/100)/((B27-B28)/100),-L10*20)/(1+B27/100)^L4</f>
        <v>13480.2210911875</v>
      </c>
    </row>
    <row r="43" customFormat="false" ht="15" hidden="false" customHeight="false" outlineLevel="0" collapsed="false">
      <c r="A43" s="0" t="s">
        <v>149</v>
      </c>
      <c r="B43" s="0" t="n">
        <f aca="false">(B37+B41+B42)/Assumptions!$B$3*Assumptions!$B$10</f>
        <v>2667.84012896476</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3911565.05977335</v>
      </c>
    </row>
    <row r="47" customFormat="false" ht="15" hidden="false" customHeight="false" outlineLevel="0" collapsed="false">
      <c r="A47" s="0" t="s">
        <v>151</v>
      </c>
      <c r="B47" s="0" t="n">
        <f aca="false">(SUMPRODUCT(C19:L19/(1+B45/100)^C4:L4)+B46/(1+B45/100)^L4+Assumptions!$B$5-Assumptions!$B$4)/Assumptions!$B$3*Assumptions!$B$10</f>
        <v>830.395904174997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83</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0.5</v>
      </c>
      <c r="D5" s="4" t="n">
        <f aca="false">Assumptions!D41</f>
        <v>3</v>
      </c>
      <c r="E5" s="4" t="n">
        <f aca="false">Assumptions!E41</f>
        <v>3.5</v>
      </c>
      <c r="F5" s="4" t="n">
        <f aca="false">Assumptions!F41</f>
        <v>3.5</v>
      </c>
      <c r="G5" s="4" t="n">
        <f aca="false">Assumptions!G41</f>
        <v>3</v>
      </c>
      <c r="H5" s="4" t="n">
        <f aca="false">Assumptions!H41</f>
        <v>3</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37</v>
      </c>
      <c r="B6" s="3" t="n">
        <v>10430269</v>
      </c>
      <c r="C6" s="0" t="n">
        <f aca="false">B6*(1+C5/100)</f>
        <v>10482420.345</v>
      </c>
      <c r="D6" s="0" t="n">
        <f aca="false">C6*(1+D5/100)</f>
        <v>10796892.95535</v>
      </c>
      <c r="E6" s="0" t="n">
        <f aca="false">D6*(1+E5/100)</f>
        <v>11174784.2087872</v>
      </c>
      <c r="F6" s="0" t="n">
        <f aca="false">E6*(1+F5/100)</f>
        <v>11565901.6560948</v>
      </c>
      <c r="G6" s="0" t="n">
        <f aca="false">F6*(1+G5/100)</f>
        <v>11912878.7057776</v>
      </c>
      <c r="H6" s="0" t="n">
        <f aca="false">G6*(1+H5/100)</f>
        <v>12270265.066951</v>
      </c>
      <c r="I6" s="0" t="n">
        <f aca="false">H6*(1+I5/100)</f>
        <v>12577021.6936247</v>
      </c>
      <c r="J6" s="0" t="n">
        <f aca="false">I6*(1+J5/100)</f>
        <v>12891447.2359654</v>
      </c>
      <c r="K6" s="0" t="n">
        <f aca="false">J6*(1+K5/100)</f>
        <v>13213733.4168645</v>
      </c>
      <c r="L6" s="0" t="n">
        <f aca="false">K6*(1+L5/100)</f>
        <v>13544076.7522861</v>
      </c>
    </row>
    <row r="7" customFormat="false" ht="15" hidden="false" customHeight="false" outlineLevel="0" collapsed="false">
      <c r="A7" s="0" t="s">
        <v>108</v>
      </c>
      <c r="C7" s="4" t="n">
        <f aca="false">Assumptions!C42</f>
        <v>9</v>
      </c>
      <c r="D7" s="4" t="n">
        <f aca="false">Assumptions!D42</f>
        <v>9.3</v>
      </c>
      <c r="E7" s="4" t="n">
        <f aca="false">Assumptions!E42</f>
        <v>9.6</v>
      </c>
      <c r="F7" s="4" t="n">
        <f aca="false">Assumptions!F42</f>
        <v>9.9</v>
      </c>
      <c r="G7" s="4" t="n">
        <f aca="false">Assumptions!G42</f>
        <v>10.1</v>
      </c>
      <c r="H7" s="4" t="n">
        <f aca="false">Assumptions!H42</f>
        <v>10.2</v>
      </c>
      <c r="I7" s="4" t="n">
        <f aca="false">Assumptions!I42</f>
        <v>10.2</v>
      </c>
      <c r="J7" s="4" t="n">
        <f aca="false">Assumptions!J42</f>
        <v>10.2</v>
      </c>
      <c r="K7" s="4" t="n">
        <f aca="false">Assumptions!K42</f>
        <v>10.2</v>
      </c>
      <c r="L7" s="4" t="n">
        <f aca="false">Assumptions!L42</f>
        <v>10.2</v>
      </c>
    </row>
    <row r="8" customFormat="false" ht="15" hidden="false" customHeight="false" outlineLevel="0" collapsed="false">
      <c r="A8" s="0" t="s">
        <v>43</v>
      </c>
      <c r="C8" s="0" t="n">
        <f aca="false">C6*C7/100</f>
        <v>943417.83105</v>
      </c>
      <c r="D8" s="0" t="n">
        <f aca="false">D6*D7/100</f>
        <v>1004111.04484755</v>
      </c>
      <c r="E8" s="0" t="n">
        <f aca="false">E6*E7/100</f>
        <v>1072779.28404358</v>
      </c>
      <c r="F8" s="0" t="n">
        <f aca="false">F6*F7/100</f>
        <v>1145024.26395339</v>
      </c>
      <c r="G8" s="0" t="n">
        <f aca="false">G6*G7/100</f>
        <v>1203200.74928354</v>
      </c>
      <c r="H8" s="0" t="n">
        <f aca="false">H6*H7/100</f>
        <v>1251567.036829</v>
      </c>
      <c r="I8" s="0" t="n">
        <f aca="false">I6*I7/100</f>
        <v>1282856.21274972</v>
      </c>
      <c r="J8" s="0" t="n">
        <f aca="false">J6*J7/100</f>
        <v>1314927.61806847</v>
      </c>
      <c r="K8" s="0" t="n">
        <f aca="false">K6*K7/100</f>
        <v>1347800.80852018</v>
      </c>
      <c r="L8" s="0" t="n">
        <f aca="false">L6*L7/100</f>
        <v>1381495.82873318</v>
      </c>
    </row>
    <row r="9" customFormat="false" ht="15" hidden="false" customHeight="false" outlineLevel="0" collapsed="false">
      <c r="A9" s="0" t="s">
        <v>109</v>
      </c>
      <c r="C9" s="4" t="n">
        <f aca="false">Assumptions!C43</f>
        <v>0.01</v>
      </c>
      <c r="D9" s="4" t="n">
        <f aca="false">Assumptions!D43</f>
        <v>0.01</v>
      </c>
      <c r="E9" s="4" t="n">
        <f aca="false">Assumptions!E43</f>
        <v>0.01</v>
      </c>
      <c r="F9" s="4" t="n">
        <f aca="false">Assumptions!F43</f>
        <v>0.01</v>
      </c>
      <c r="G9" s="4" t="n">
        <f aca="false">Assumptions!G43</f>
        <v>0.01</v>
      </c>
      <c r="H9" s="4" t="n">
        <f aca="false">Assumptions!H43</f>
        <v>0.01</v>
      </c>
      <c r="I9" s="4" t="n">
        <f aca="false">Assumptions!I43</f>
        <v>0.01</v>
      </c>
      <c r="J9" s="4" t="n">
        <f aca="false">Assumptions!J43</f>
        <v>0.01</v>
      </c>
      <c r="K9" s="4" t="n">
        <f aca="false">Assumptions!K43</f>
        <v>0.01</v>
      </c>
      <c r="L9" s="4" t="n">
        <f aca="false">Assumptions!L43</f>
        <v>0.01</v>
      </c>
    </row>
    <row r="10" customFormat="false" ht="15" hidden="false" customHeight="false" outlineLevel="0" collapsed="false">
      <c r="A10" s="0" t="s">
        <v>124</v>
      </c>
      <c r="C10" s="0" t="n">
        <f aca="false">-C6*C9/100</f>
        <v>-1048.2420345</v>
      </c>
      <c r="D10" s="0" t="n">
        <f aca="false">-D6*D9/100</f>
        <v>-1079.689295535</v>
      </c>
      <c r="E10" s="0" t="n">
        <f aca="false">-E6*E9/100</f>
        <v>-1117.47842087872</v>
      </c>
      <c r="F10" s="0" t="n">
        <f aca="false">-F6*F9/100</f>
        <v>-1156.59016560948</v>
      </c>
      <c r="G10" s="0" t="n">
        <f aca="false">-G6*G9/100</f>
        <v>-1191.28787057776</v>
      </c>
      <c r="H10" s="0" t="n">
        <f aca="false">-H6*H9/100</f>
        <v>-1227.0265066951</v>
      </c>
      <c r="I10" s="0" t="n">
        <f aca="false">-I6*I9/100</f>
        <v>-1257.70216936247</v>
      </c>
      <c r="J10" s="0" t="n">
        <f aca="false">-J6*J9/100</f>
        <v>-1289.14472359654</v>
      </c>
      <c r="K10" s="0" t="n">
        <f aca="false">-K6*K9/100</f>
        <v>-1321.37334168645</v>
      </c>
      <c r="L10" s="0" t="n">
        <f aca="false">-L6*L9/100</f>
        <v>-1354.40767522861</v>
      </c>
    </row>
    <row r="11" customFormat="false" ht="15" hidden="false" customHeight="false" outlineLevel="0" collapsed="false">
      <c r="A11" s="0" t="s">
        <v>125</v>
      </c>
      <c r="C11" s="0" t="n">
        <f aca="false">C8+C10+C24</f>
        <v>929790.6846015</v>
      </c>
      <c r="D11" s="0" t="n">
        <f aca="false">D8+D10+D24</f>
        <v>990075.084005595</v>
      </c>
      <c r="E11" s="0" t="n">
        <f aca="false">E8+E10+E24</f>
        <v>1058252.06457215</v>
      </c>
      <c r="F11" s="0" t="n">
        <f aca="false">F8+F10+F24</f>
        <v>1129988.59180046</v>
      </c>
      <c r="G11" s="0" t="n">
        <f aca="false">G8+G10+G24</f>
        <v>1187714.00696603</v>
      </c>
      <c r="H11" s="0" t="n">
        <f aca="false">H8+H10+H24</f>
        <v>1235615.69224196</v>
      </c>
      <c r="I11" s="0" t="n">
        <f aca="false">I8+I10+I24</f>
        <v>1266506.08454801</v>
      </c>
      <c r="J11" s="0" t="n">
        <f aca="false">J8+J10+J24</f>
        <v>1298168.73666171</v>
      </c>
      <c r="K11" s="0" t="n">
        <f aca="false">K8+K10+K24</f>
        <v>1330622.95507826</v>
      </c>
      <c r="L11" s="0" t="n">
        <f aca="false">L8+L10+L24</f>
        <v>1363888.52895521</v>
      </c>
    </row>
    <row r="12" customFormat="false" ht="15" hidden="false" customHeight="false" outlineLevel="0" collapsed="false">
      <c r="A12" s="0" t="s">
        <v>126</v>
      </c>
      <c r="C12" s="4" t="n">
        <f aca="false">-C6*Assumptions!C45/100</f>
        <v>-503156.17656</v>
      </c>
      <c r="D12" s="4" t="n">
        <f aca="false">-D6*Assumptions!D45/100</f>
        <v>-512852.415379125</v>
      </c>
      <c r="E12" s="4" t="n">
        <f aca="false">-E6*Assumptions!E45/100</f>
        <v>-525214.857813001</v>
      </c>
      <c r="F12" s="4" t="n">
        <f aca="false">-F6*Assumptions!F45/100</f>
        <v>-537814.427008408</v>
      </c>
      <c r="G12" s="4" t="n">
        <f aca="false">-G6*Assumptions!G45/100</f>
        <v>-547992.420465772</v>
      </c>
      <c r="H12" s="4" t="n">
        <f aca="false">-H6*Assumptions!H45/100</f>
        <v>-558297.060546269</v>
      </c>
      <c r="I12" s="4" t="n">
        <f aca="false">-I6*Assumptions!I45/100</f>
        <v>-565965.976213114</v>
      </c>
      <c r="J12" s="4" t="n">
        <f aca="false">-J6*Assumptions!J45/100</f>
        <v>-580115.125618442</v>
      </c>
      <c r="K12" s="4" t="n">
        <f aca="false">-K6*Assumptions!K45/100</f>
        <v>-594618.003758902</v>
      </c>
      <c r="L12" s="4" t="n">
        <f aca="false">-L6*Assumptions!L45/100</f>
        <v>-609483.453852875</v>
      </c>
    </row>
    <row r="13" customFormat="false" ht="15" hidden="false" customHeight="false" outlineLevel="0" collapsed="false">
      <c r="A13" s="0" t="s">
        <v>127</v>
      </c>
      <c r="C13" s="0" t="n">
        <f aca="false">C11+C12</f>
        <v>426634.5080415</v>
      </c>
      <c r="D13" s="0" t="n">
        <f aca="false">D11+D12</f>
        <v>477222.66862647</v>
      </c>
      <c r="E13" s="0" t="n">
        <f aca="false">E11+E12</f>
        <v>533037.206759152</v>
      </c>
      <c r="F13" s="0" t="n">
        <f aca="false">F11+F12</f>
        <v>592174.164792054</v>
      </c>
      <c r="G13" s="0" t="n">
        <f aca="false">G11+G12</f>
        <v>639721.58650026</v>
      </c>
      <c r="H13" s="0" t="n">
        <f aca="false">H11+H12</f>
        <v>677318.631695694</v>
      </c>
      <c r="I13" s="0" t="n">
        <f aca="false">I11+I12</f>
        <v>700540.108334899</v>
      </c>
      <c r="J13" s="0" t="n">
        <f aca="false">J11+J12</f>
        <v>718053.611043271</v>
      </c>
      <c r="K13" s="0" t="n">
        <f aca="false">K11+K12</f>
        <v>736004.951319353</v>
      </c>
      <c r="L13" s="0" t="n">
        <f aca="false">L11+L12</f>
        <v>754405.075102337</v>
      </c>
    </row>
    <row r="14" customFormat="false" ht="15" hidden="false" customHeight="false" outlineLevel="0" collapsed="false">
      <c r="A14" s="0" t="s">
        <v>113</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128</v>
      </c>
      <c r="C15" s="0" t="n">
        <f aca="false">C13-MAX(0,C13)*C14/100</f>
        <v>302910.500709465</v>
      </c>
      <c r="D15" s="0" t="n">
        <f aca="false">D13-MAX(0,D13)*D14/100</f>
        <v>338828.094724794</v>
      </c>
      <c r="E15" s="0" t="n">
        <f aca="false">E13-MAX(0,E13)*E14/100</f>
        <v>378456.416798998</v>
      </c>
      <c r="F15" s="0" t="n">
        <f aca="false">F13-MAX(0,F13)*F14/100</f>
        <v>420443.657002358</v>
      </c>
      <c r="G15" s="0" t="n">
        <f aca="false">G13-MAX(0,G13)*G14/100</f>
        <v>454202.326415184</v>
      </c>
      <c r="H15" s="0" t="n">
        <f aca="false">H13-MAX(0,H13)*H14/100</f>
        <v>480896.228503943</v>
      </c>
      <c r="I15" s="0" t="n">
        <f aca="false">I13-MAX(0,I13)*I14/100</f>
        <v>497383.476917778</v>
      </c>
      <c r="J15" s="0" t="n">
        <f aca="false">J13-MAX(0,J13)*J14/100</f>
        <v>509818.063840722</v>
      </c>
      <c r="K15" s="0" t="n">
        <f aca="false">K13-MAX(0,K13)*K14/100</f>
        <v>522563.51543674</v>
      </c>
      <c r="L15" s="0" t="n">
        <f aca="false">L13-MAX(0,L13)*L14/100</f>
        <v>535627.603322659</v>
      </c>
    </row>
    <row r="16" customFormat="false" ht="15" hidden="false" customHeight="false" outlineLevel="0" collapsed="false">
      <c r="A16" s="0" t="s">
        <v>129</v>
      </c>
      <c r="C16" s="0" t="n">
        <f aca="false">-C12</f>
        <v>503156.17656</v>
      </c>
      <c r="D16" s="0" t="n">
        <f aca="false">-D12</f>
        <v>512852.415379125</v>
      </c>
      <c r="E16" s="0" t="n">
        <f aca="false">-E12</f>
        <v>525214.857813001</v>
      </c>
      <c r="F16" s="0" t="n">
        <f aca="false">-F12</f>
        <v>537814.427008408</v>
      </c>
      <c r="G16" s="0" t="n">
        <f aca="false">-G12</f>
        <v>547992.420465772</v>
      </c>
      <c r="H16" s="0" t="n">
        <f aca="false">-H12</f>
        <v>558297.060546269</v>
      </c>
      <c r="I16" s="0" t="n">
        <f aca="false">-I12</f>
        <v>565965.976213114</v>
      </c>
      <c r="J16" s="0" t="n">
        <f aca="false">-J12</f>
        <v>580115.125618442</v>
      </c>
      <c r="K16" s="0" t="n">
        <f aca="false">-K12</f>
        <v>594618.003758902</v>
      </c>
      <c r="L16" s="0" t="n">
        <f aca="false">-L12</f>
        <v>609483.453852875</v>
      </c>
    </row>
    <row r="17" customFormat="false" ht="15" hidden="false" customHeight="false" outlineLevel="0" collapsed="false">
      <c r="A17" s="0" t="s">
        <v>130</v>
      </c>
      <c r="C17" s="4" t="n">
        <f aca="false">-C6*Assumptions!C46/100</f>
        <v>-398331.97311</v>
      </c>
      <c r="D17" s="4" t="n">
        <f aca="false">-D6*Assumptions!D46/100</f>
        <v>-410281.9323033</v>
      </c>
      <c r="E17" s="4" t="n">
        <f aca="false">-E6*Assumptions!E46/100</f>
        <v>-413467.015725128</v>
      </c>
      <c r="F17" s="4" t="n">
        <f aca="false">-F6*Assumptions!F46/100</f>
        <v>-416372.459619413</v>
      </c>
      <c r="G17" s="4" t="n">
        <f aca="false">-G6*Assumptions!G46/100</f>
        <v>-416950.754702218</v>
      </c>
      <c r="H17" s="4" t="n">
        <f aca="false">-H6*Assumptions!H46/100</f>
        <v>-429459.277343284</v>
      </c>
      <c r="I17" s="4" t="n">
        <f aca="false">-I6*Assumptions!I46/100</f>
        <v>-440195.759276866</v>
      </c>
      <c r="J17" s="4" t="n">
        <f aca="false">-J6*Assumptions!J46/100</f>
        <v>-451200.653258788</v>
      </c>
      <c r="K17" s="4" t="n">
        <f aca="false">-K6*Assumptions!K46/100</f>
        <v>-462480.669590257</v>
      </c>
      <c r="L17" s="4" t="n">
        <f aca="false">-L6*Assumptions!L46/100</f>
        <v>-474042.686330014</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407734.704159465</v>
      </c>
      <c r="D19" s="0" t="n">
        <f aca="false">D15+D16+D17+D18</f>
        <v>441398.577800619</v>
      </c>
      <c r="E19" s="0" t="n">
        <f aca="false">E15+E16+E17+E18</f>
        <v>490204.25888687</v>
      </c>
      <c r="F19" s="0" t="n">
        <f aca="false">F15+F16+F17+F18</f>
        <v>541885.624391354</v>
      </c>
      <c r="G19" s="0" t="n">
        <f aca="false">G15+G16+G17+G18</f>
        <v>585243.992178738</v>
      </c>
      <c r="H19" s="0" t="n">
        <f aca="false">H15+H16+H17+H18</f>
        <v>609734.011706928</v>
      </c>
      <c r="I19" s="0" t="n">
        <f aca="false">I15+I16+I17+I18</f>
        <v>623153.693854025</v>
      </c>
      <c r="J19" s="0" t="n">
        <f aca="false">J15+J16+J17+J18</f>
        <v>638732.536200376</v>
      </c>
      <c r="K19" s="0" t="n">
        <f aca="false">K15+K16+K17+K18</f>
        <v>654700.849605385</v>
      </c>
      <c r="L19" s="0" t="n">
        <f aca="false">L15+L16+L17+L18</f>
        <v>671068.37084552</v>
      </c>
    </row>
    <row r="20" customFormat="false" ht="15" hidden="false" customHeight="false" outlineLevel="0" collapsed="false">
      <c r="A20" s="0" t="s">
        <v>133</v>
      </c>
      <c r="C20" s="0" t="n">
        <f aca="false">1/(1+$B$27/100)^C4</f>
        <v>0.938967136150235</v>
      </c>
      <c r="D20" s="0" t="n">
        <f aca="false">1/(1+$B$27/100)^D4</f>
        <v>0.881659282770174</v>
      </c>
      <c r="E20" s="0" t="n">
        <f aca="false">1/(1+$B$27/100)^E4</f>
        <v>0.82784909180298</v>
      </c>
      <c r="F20" s="0" t="n">
        <f aca="false">1/(1+$B$27/100)^F4</f>
        <v>0.777323090894817</v>
      </c>
      <c r="G20" s="0" t="n">
        <f aca="false">1/(1+$B$27/100)^G4</f>
        <v>0.729880836520955</v>
      </c>
      <c r="H20" s="0" t="n">
        <f aca="false">1/(1+$B$27/100)^H4</f>
        <v>0.685334118799019</v>
      </c>
      <c r="I20" s="0" t="n">
        <f aca="false">1/(1+$B$27/100)^I4</f>
        <v>0.643506214834759</v>
      </c>
      <c r="J20" s="0" t="n">
        <f aca="false">1/(1+$B$27/100)^J4</f>
        <v>0.604231187638272</v>
      </c>
      <c r="K20" s="0" t="n">
        <f aca="false">1/(1+$B$27/100)^K4</f>
        <v>0.567353227829363</v>
      </c>
      <c r="L20" s="0" t="n">
        <f aca="false">1/(1+$B$27/100)^L4</f>
        <v>0.532726035520529</v>
      </c>
    </row>
    <row r="21" customFormat="false" ht="15" hidden="false" customHeight="false" outlineLevel="0" collapsed="false">
      <c r="A21" s="0" t="s">
        <v>134</v>
      </c>
      <c r="C21" s="0" t="n">
        <f aca="false">C19*C20</f>
        <v>382849.487473676</v>
      </c>
      <c r="D21" s="0" t="n">
        <f aca="false">D19*D20</f>
        <v>389163.153519468</v>
      </c>
      <c r="E21" s="0" t="n">
        <f aca="false">E19*E20</f>
        <v>405815.150517448</v>
      </c>
      <c r="F21" s="0" t="n">
        <f aca="false">F19*F20</f>
        <v>421220.208463355</v>
      </c>
      <c r="G21" s="0" t="n">
        <f aca="false">G19*G20</f>
        <v>427158.374580281</v>
      </c>
      <c r="H21" s="0" t="n">
        <f aca="false">H19*H20</f>
        <v>417871.521614958</v>
      </c>
      <c r="I21" s="0" t="n">
        <f aca="false">I19*I20</f>
        <v>401003.274792302</v>
      </c>
      <c r="J21" s="0" t="n">
        <f aca="false">J19*J20</f>
        <v>385942.118931559</v>
      </c>
      <c r="K21" s="0" t="n">
        <f aca="false">K19*K20</f>
        <v>371446.640286242</v>
      </c>
      <c r="L21" s="0" t="n">
        <f aca="false">L19*L20</f>
        <v>357495.592763754</v>
      </c>
    </row>
    <row r="23" customFormat="false" ht="15" hidden="false" customHeight="false" outlineLevel="0" collapsed="false">
      <c r="A23" s="0" t="s">
        <v>110</v>
      </c>
      <c r="C23" s="4" t="n">
        <f aca="false">Assumptions!C44</f>
        <v>0.12</v>
      </c>
      <c r="D23" s="4" t="n">
        <f aca="false">Assumptions!D44</f>
        <v>0.12</v>
      </c>
      <c r="E23" s="4" t="n">
        <f aca="false">Assumptions!E44</f>
        <v>0.12</v>
      </c>
      <c r="F23" s="4" t="n">
        <f aca="false">Assumptions!F44</f>
        <v>0.12</v>
      </c>
      <c r="G23" s="4" t="n">
        <f aca="false">Assumptions!G44</f>
        <v>0.12</v>
      </c>
      <c r="H23" s="4" t="n">
        <f aca="false">Assumptions!H44</f>
        <v>0.12</v>
      </c>
      <c r="I23" s="4" t="n">
        <f aca="false">Assumptions!I44</f>
        <v>0.12</v>
      </c>
      <c r="J23" s="4" t="n">
        <f aca="false">Assumptions!J44</f>
        <v>0.12</v>
      </c>
      <c r="K23" s="4" t="n">
        <f aca="false">Assumptions!K44</f>
        <v>0.12</v>
      </c>
      <c r="L23" s="4" t="n">
        <f aca="false">Assumptions!L44</f>
        <v>0.12</v>
      </c>
    </row>
    <row r="24" customFormat="false" ht="15" hidden="false" customHeight="false" outlineLevel="0" collapsed="false">
      <c r="A24" s="0" t="s">
        <v>135</v>
      </c>
      <c r="C24" s="0" t="n">
        <f aca="false">-C6*C23/100</f>
        <v>-12578.904414</v>
      </c>
      <c r="D24" s="0" t="n">
        <f aca="false">-D6*D23/100</f>
        <v>-12956.27154642</v>
      </c>
      <c r="E24" s="0" t="n">
        <f aca="false">-E6*E23/100</f>
        <v>-13409.7410505447</v>
      </c>
      <c r="F24" s="0" t="n">
        <f aca="false">-F6*F23/100</f>
        <v>-13879.0819873138</v>
      </c>
      <c r="G24" s="0" t="n">
        <f aca="false">-G6*G23/100</f>
        <v>-14295.4544469332</v>
      </c>
      <c r="H24" s="0" t="n">
        <f aca="false">-H6*H23/100</f>
        <v>-14724.3180803412</v>
      </c>
      <c r="I24" s="0" t="n">
        <f aca="false">-I6*I23/100</f>
        <v>-15092.4260323497</v>
      </c>
      <c r="J24" s="0" t="n">
        <f aca="false">-J6*J23/100</f>
        <v>-15469.7366831584</v>
      </c>
      <c r="K24" s="0" t="n">
        <f aca="false">-K6*K23/100</f>
        <v>-15856.4801002374</v>
      </c>
      <c r="L24" s="0" t="n">
        <f aca="false">-L6*L23/100</f>
        <v>-16252.8921027433</v>
      </c>
    </row>
    <row r="26" customFormat="false" ht="15" hidden="false" customHeight="false" outlineLevel="0" collapsed="false">
      <c r="A26" s="2" t="s">
        <v>136</v>
      </c>
    </row>
    <row r="27" customFormat="false" ht="15" hidden="false" customHeight="false" outlineLevel="0" collapsed="false">
      <c r="A27" s="0" t="s">
        <v>114</v>
      </c>
      <c r="B27" s="4" t="n">
        <f aca="false">Assumptions!$B$48</f>
        <v>6.5</v>
      </c>
    </row>
    <row r="28" customFormat="false" ht="15" hidden="false" customHeight="false" outlineLevel="0" collapsed="false">
      <c r="A28" s="0" t="s">
        <v>115</v>
      </c>
      <c r="B28" s="4" t="n">
        <f aca="false">Assumptions!$B$49</f>
        <v>2</v>
      </c>
    </row>
    <row r="29" customFormat="false" ht="15" hidden="false" customHeight="false" outlineLevel="0" collapsed="false">
      <c r="A29" s="0" t="s">
        <v>116</v>
      </c>
      <c r="B29" s="4" t="n">
        <f aca="false">Assumptions!$B$50</f>
        <v>17</v>
      </c>
    </row>
    <row r="30" customFormat="false" ht="15" hidden="false" customHeight="false" outlineLevel="0" collapsed="false">
      <c r="A30" s="0" t="s">
        <v>137</v>
      </c>
      <c r="B30" s="0" t="n">
        <f aca="false">SUM(C21:L21)</f>
        <v>3959965.52294304</v>
      </c>
    </row>
    <row r="31" customFormat="false" ht="15" hidden="false" customHeight="false" outlineLevel="0" collapsed="false">
      <c r="A31" s="0" t="s">
        <v>138</v>
      </c>
      <c r="B31" s="0" t="n">
        <f aca="false">L19</f>
        <v>671068.37084552</v>
      </c>
    </row>
    <row r="32" customFormat="false" ht="15" hidden="false" customHeight="false" outlineLevel="0" collapsed="false">
      <c r="A32" s="0" t="s">
        <v>139</v>
      </c>
      <c r="B32" s="0" t="n">
        <f aca="false">IF(B27&gt;B28,B31*(1+B28/100)/((B27-B28)/100),B31*B29)</f>
        <v>15210883.0724985</v>
      </c>
    </row>
    <row r="33" customFormat="false" ht="15" hidden="false" customHeight="false" outlineLevel="0" collapsed="false">
      <c r="A33" s="0" t="s">
        <v>140</v>
      </c>
      <c r="B33" s="0" t="n">
        <f aca="false">B31*B29</f>
        <v>11408162.3043738</v>
      </c>
    </row>
    <row r="34" customFormat="false" ht="15" hidden="false" customHeight="false" outlineLevel="0" collapsed="false">
      <c r="A34" s="0" t="s">
        <v>141</v>
      </c>
      <c r="B34" s="0" t="n">
        <f aca="false">MAX(0,MIN(B32,B33))</f>
        <v>11408162.3043738</v>
      </c>
    </row>
    <row r="35" customFormat="false" ht="15" hidden="false" customHeight="false" outlineLevel="0" collapsed="false">
      <c r="A35" s="0" t="s">
        <v>142</v>
      </c>
      <c r="B35" s="0" t="n">
        <f aca="false">B34/(1+B27/100)^L4</f>
        <v>6077425.07698382</v>
      </c>
    </row>
    <row r="36" customFormat="false" ht="15" hidden="false" customHeight="false" outlineLevel="0" collapsed="false">
      <c r="A36" s="0" t="s">
        <v>143</v>
      </c>
      <c r="B36" s="0" t="n">
        <f aca="false">B30+B35</f>
        <v>10037390.5999269</v>
      </c>
    </row>
    <row r="37" customFormat="false" ht="15" hidden="false" customHeight="false" outlineLevel="0" collapsed="false">
      <c r="A37" s="0" t="s">
        <v>144</v>
      </c>
      <c r="B37" s="0" t="n">
        <f aca="false">B36+Assumptions!$B$5-Assumptions!$B$4</f>
        <v>8749192.59992686</v>
      </c>
    </row>
    <row r="38" customFormat="false" ht="15" hidden="false" customHeight="false" outlineLevel="0" collapsed="false">
      <c r="A38" s="0" t="s">
        <v>145</v>
      </c>
      <c r="B38" s="0" t="n">
        <f aca="false">B37/Assumptions!$B$3*Assumptions!$B$10</f>
        <v>3784.67846727005</v>
      </c>
    </row>
    <row r="39" customFormat="false" ht="15" hidden="false" customHeight="false" outlineLevel="0" collapsed="false">
      <c r="A39" s="0" t="s">
        <v>146</v>
      </c>
      <c r="B39" s="4" t="n">
        <f aca="false">B38/Assumptions!$B$2-1</f>
        <v>0.771438552431569</v>
      </c>
    </row>
    <row r="41" customFormat="false" ht="15" hidden="false" customHeight="false" outlineLevel="0" collapsed="false">
      <c r="A41" s="0" t="s">
        <v>147</v>
      </c>
      <c r="B41" s="0" t="n">
        <f aca="false">SUMPRODUCT(-C10:L10/(1+$B$27/100)^C4:L4)</f>
        <v>8530.24623817911</v>
      </c>
    </row>
    <row r="42" customFormat="false" ht="15" hidden="false" customHeight="false" outlineLevel="0" collapsed="false">
      <c r="A42" s="0" t="s">
        <v>148</v>
      </c>
      <c r="B42" s="0" t="n">
        <f aca="false">IF(B27&gt;B28,-L10*(1+B28/100)/((B27-B28)/100),-L10*20)/(1+B27/100)^L4</f>
        <v>16354.6399095372</v>
      </c>
    </row>
    <row r="43" customFormat="false" ht="15" hidden="false" customHeight="false" outlineLevel="0" collapsed="false">
      <c r="A43" s="0" t="s">
        <v>149</v>
      </c>
      <c r="B43" s="0" t="n">
        <f aca="false">(B37+B41+B42)/Assumptions!$B$3*Assumptions!$B$10</f>
        <v>3795.44303687896</v>
      </c>
    </row>
    <row r="45" customFormat="false" ht="15" hidden="false" customHeight="false" outlineLevel="0" collapsed="false">
      <c r="A45" s="0" t="s">
        <v>90</v>
      </c>
      <c r="B45" s="4" t="n">
        <f aca="false">Assumptions!$B$6</f>
        <v>15</v>
      </c>
    </row>
    <row r="46" customFormat="false" ht="15" hidden="false" customHeight="false" outlineLevel="0" collapsed="false">
      <c r="A46" s="0" t="s">
        <v>150</v>
      </c>
      <c r="B46" s="0" t="n">
        <f aca="false">MAX(0,MIN(IF(B45&gt;B28,B31*(1+B28/100)/((B45-B28)/100),B31*B29),B31*B29))</f>
        <v>5265305.67894177</v>
      </c>
    </row>
    <row r="47" customFormat="false" ht="15" hidden="false" customHeight="false" outlineLevel="0" collapsed="false">
      <c r="A47" s="0" t="s">
        <v>151</v>
      </c>
      <c r="B47" s="0" t="n">
        <f aca="false">(SUMPRODUCT(C19:L19/(1+B45/100)^C4:L4)+B46/(1+B45/100)^L4+Assumptions!$B$5-Assumptions!$B$4)/Assumptions!$B$3*Assumptions!$B$10</f>
        <v>1160.76565120738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1501.86244183128</v>
      </c>
      <c r="C4" s="0" t="n">
        <f aca="false">B4/Assumptions!$B$2-1</f>
        <v>-0.297045428583536</v>
      </c>
      <c r="D4" s="4" t="n">
        <f aca="false">Assumptions!$B$24</f>
        <v>0.25</v>
      </c>
      <c r="E4" s="4" t="n">
        <f aca="false">DCF_Bear!$B$43</f>
        <v>1509.7060788924</v>
      </c>
      <c r="F4" s="4" t="n">
        <f aca="false">DCF_Bear!$B$47</f>
        <v>436.876146564347</v>
      </c>
    </row>
    <row r="5" customFormat="false" ht="15" hidden="false" customHeight="false" outlineLevel="0" collapsed="false">
      <c r="A5" s="0" t="s">
        <v>160</v>
      </c>
      <c r="B5" s="4" t="n">
        <f aca="false">DCF_Base!$B$38</f>
        <v>2658.49358054434</v>
      </c>
      <c r="C5" s="0" t="n">
        <f aca="false">B5/Assumptions!$B$2-1</f>
        <v>0.244321825670181</v>
      </c>
      <c r="D5" s="4" t="n">
        <f aca="false">Assumptions!$B$38</f>
        <v>0.5</v>
      </c>
      <c r="E5" s="4" t="n">
        <f aca="false">DCF_Base!$B$43</f>
        <v>2667.84012896476</v>
      </c>
      <c r="F5" s="4" t="n">
        <f aca="false">DCF_Base!$B$47</f>
        <v>830.395904174997</v>
      </c>
    </row>
    <row r="6" customFormat="false" ht="15" hidden="false" customHeight="false" outlineLevel="0" collapsed="false">
      <c r="A6" s="0" t="s">
        <v>161</v>
      </c>
      <c r="B6" s="4" t="n">
        <f aca="false">DCF_Bull!$B$38</f>
        <v>3784.67846727005</v>
      </c>
      <c r="C6" s="0" t="n">
        <f aca="false">B6/Assumptions!$B$2-1</f>
        <v>0.771438552431569</v>
      </c>
      <c r="D6" s="4" t="n">
        <f aca="false">Assumptions!$B$52</f>
        <v>0.25</v>
      </c>
      <c r="E6" s="4" t="n">
        <f aca="false">DCF_Bull!$B$43</f>
        <v>3795.44303687896</v>
      </c>
      <c r="F6" s="4" t="n">
        <f aca="false">DCF_Bull!$B$47</f>
        <v>1160.76565120738</v>
      </c>
    </row>
    <row r="8" customFormat="false" ht="15" hidden="false" customHeight="false" outlineLevel="0" collapsed="false">
      <c r="A8" s="0" t="s">
        <v>162</v>
      </c>
      <c r="B8" s="0" t="n">
        <f aca="false">SUMPRODUCT(B4:B6,D4:D6)</f>
        <v>2650.8820175475</v>
      </c>
    </row>
    <row r="9" customFormat="false" ht="15" hidden="false" customHeight="false" outlineLevel="0" collapsed="false">
      <c r="A9" s="0" t="s">
        <v>163</v>
      </c>
      <c r="B9" s="0" t="n">
        <f aca="false">SUMPRODUCT(E4:E6,D4:D6)</f>
        <v>2660.20734342522</v>
      </c>
    </row>
    <row r="10" customFormat="false" ht="15" hidden="false" customHeight="false" outlineLevel="0" collapsed="false">
      <c r="A10" s="0" t="s">
        <v>164</v>
      </c>
      <c r="B10" s="0" t="n">
        <f aca="false">1-Assumptions!$B$2/B8</f>
        <v>0.194041837449782</v>
      </c>
    </row>
    <row r="11" customFormat="false" ht="15" hidden="false" customHeight="false" outlineLevel="0" collapsed="false">
      <c r="A11" s="0" t="s">
        <v>165</v>
      </c>
      <c r="B11" s="0" t="str">
        <f aca="false">IF(ABS(B9-B8)&gt;0.01*ABS(B8),(Assumptions!$B$2-B8)/(B9-B8)*100,"n/a")</f>
        <v>n/a</v>
      </c>
    </row>
    <row r="12" customFormat="false" ht="15" hidden="false" customHeight="false" outlineLevel="0" collapsed="false">
      <c r="A12" s="0" t="s">
        <v>166</v>
      </c>
      <c r="B12" s="0" t="n">
        <f aca="false">SUMPRODUCT(F4:F6,D4:D6)</f>
        <v>814.60840153043</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2658.49358054434</v>
      </c>
      <c r="C15" s="3" t="n">
        <v>6.5</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1986.72843212083</v>
      </c>
      <c r="C16" s="3" t="n">
        <v>9</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1679.83259852804</v>
      </c>
      <c r="C17" s="3" t="n">
        <v>10</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1437.85988729948</v>
      </c>
      <c r="C18" s="3" t="n">
        <v>11</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1242.24334385157</v>
      </c>
      <c r="C19" s="3" t="n">
        <v>12</v>
      </c>
    </row>
    <row r="20" customFormat="false" ht="15" hidden="false" customHeight="false" outlineLevel="0" collapsed="false">
      <c r="A20" s="0" t="s">
        <v>174</v>
      </c>
      <c r="B20" s="0" t="n">
        <f aca="false">(SUMPRODUCT(DCF_Base!$C$19:$L$19/(1+$C$20/100)^DCF_Base!$C$4:$L$4)+MAX(0,MIN(IF($C$20&gt;DCF_Base!$B$28,DCF_Base!$L$19*(1+DCF_Base!$B$28/100)/(($C$20-DCF_Base!$B$28)/100),DCF_Base!$L$19*DCF_Base!$B$29),DCF_Base!$L$19*DCF_Base!$B$29))/(1+$C$20/100)^DCF_Base!$L$4+Assumptions!$B$5-Assumptions!$B$4)/Assumptions!$B$3*Assumptions!$B$10</f>
        <v>830.395904174997</v>
      </c>
      <c r="C20" s="3" t="n">
        <v>15</v>
      </c>
    </row>
    <row r="22" customFormat="false" ht="15" hidden="false" customHeight="false" outlineLevel="0" collapsed="false">
      <c r="A22" s="2" t="s">
        <v>175</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4.5</v>
      </c>
      <c r="B24" s="0" t="n">
        <f aca="false">(SUMPRODUCT(DCF_Base!$C$19:$L$19/(1+$A$24/100)^DCF_Base!$C$4:$L$4)+MAX(0,MIN(IF($A$24&gt;$B$23,DCF_Base!$L$19*(1+$B$23/100)/(($A$24-$B$23)/100),DCF_Base!$L$19*DCF_Base!$B$29),DCF_Base!$L$19*DCF_Base!$B$29))/(1+$A$24/100)^DCF_Base!$L$4+Assumptions!$B$5-Assumptions!$B$4)/Assumptions!$B$3*Assumptions!$B$10</f>
        <v>3184.59944080661</v>
      </c>
      <c r="C24" s="0" t="n">
        <f aca="false">(SUMPRODUCT(DCF_Base!$C$19:$L$19/(1+$A$24/100)^DCF_Base!$C$4:$L$4)+MAX(0,MIN(IF($A$24&gt;$C$23,DCF_Base!$L$19*(1+$C$23/100)/(($A$24-$C$23)/100),DCF_Base!$L$19*DCF_Base!$B$29),DCF_Base!$L$19*DCF_Base!$B$29))/(1+$A$24/100)^DCF_Base!$L$4+Assumptions!$B$5-Assumptions!$B$4)/Assumptions!$B$3*Assumptions!$B$10</f>
        <v>3184.59944080661</v>
      </c>
      <c r="D24" s="0" t="n">
        <f aca="false">(SUMPRODUCT(DCF_Base!$C$19:$L$19/(1+$A$24/100)^DCF_Base!$C$4:$L$4)+MAX(0,MIN(IF($A$24&gt;$D$23,DCF_Base!$L$19*(1+$D$23/100)/(($A$24-$D$23)/100),DCF_Base!$L$19*DCF_Base!$B$29),DCF_Base!$L$19*DCF_Base!$B$29))/(1+$A$24/100)^DCF_Base!$L$4+Assumptions!$B$5-Assumptions!$B$4)/Assumptions!$B$3*Assumptions!$B$10</f>
        <v>3184.59944080661</v>
      </c>
      <c r="E24" s="0" t="n">
        <f aca="false">(SUMPRODUCT(DCF_Base!$C$19:$L$19/(1+$A$24/100)^DCF_Base!$C$4:$L$4)+MAX(0,MIN(IF($A$24&gt;$E$23,DCF_Base!$L$19*(1+$E$23/100)/(($A$24-$E$23)/100),DCF_Base!$L$19*DCF_Base!$B$29),DCF_Base!$L$19*DCF_Base!$B$29))/(1+$A$24/100)^DCF_Base!$L$4+Assumptions!$B$5-Assumptions!$B$4)/Assumptions!$B$3*Assumptions!$B$10</f>
        <v>3184.59944080661</v>
      </c>
      <c r="F24" s="0" t="n">
        <f aca="false">(SUMPRODUCT(DCF_Base!$C$19:$L$19/(1+$A$24/100)^DCF_Base!$C$4:$L$4)+MAX(0,MIN(IF($A$24&gt;$F$23,DCF_Base!$L$19*(1+$F$23/100)/(($A$24-$F$23)/100),DCF_Base!$L$19*DCF_Base!$B$29),DCF_Base!$L$19*DCF_Base!$B$29))/(1+$A$24/100)^DCF_Base!$L$4+Assumptions!$B$5-Assumptions!$B$4)/Assumptions!$B$3*Assumptions!$B$10</f>
        <v>3184.59944080661</v>
      </c>
    </row>
    <row r="25" customFormat="false" ht="15" hidden="false" customHeight="false" outlineLevel="0" collapsed="false">
      <c r="A25" s="3" t="n">
        <v>5.5</v>
      </c>
      <c r="B25" s="0" t="n">
        <f aca="false">(SUMPRODUCT(DCF_Base!$C$19:$L$19/(1+$A$25/100)^DCF_Base!$C$4:$L$4)+MAX(0,MIN(IF($A$25&gt;$B$23,DCF_Base!$L$19*(1+$B$23/100)/(($A$25-$B$23)/100),DCF_Base!$L$19*DCF_Base!$B$29),DCF_Base!$L$19*DCF_Base!$B$29))/(1+$A$25/100)^DCF_Base!$L$4+Assumptions!$B$5-Assumptions!$B$4)/Assumptions!$B$3*Assumptions!$B$10</f>
        <v>2908.96725380036</v>
      </c>
      <c r="C25" s="0" t="n">
        <f aca="false">(SUMPRODUCT(DCF_Base!$C$19:$L$19/(1+$A$25/100)^DCF_Base!$C$4:$L$4)+MAX(0,MIN(IF($A$25&gt;$C$23,DCF_Base!$L$19*(1+$C$23/100)/(($A$25-$C$23)/100),DCF_Base!$L$19*DCF_Base!$B$29),DCF_Base!$L$19*DCF_Base!$B$29))/(1+$A$25/100)^DCF_Base!$L$4+Assumptions!$B$5-Assumptions!$B$4)/Assumptions!$B$3*Assumptions!$B$10</f>
        <v>2908.96725380036</v>
      </c>
      <c r="D25" s="0" t="n">
        <f aca="false">(SUMPRODUCT(DCF_Base!$C$19:$L$19/(1+$A$25/100)^DCF_Base!$C$4:$L$4)+MAX(0,MIN(IF($A$25&gt;$D$23,DCF_Base!$L$19*(1+$D$23/100)/(($A$25-$D$23)/100),DCF_Base!$L$19*DCF_Base!$B$29),DCF_Base!$L$19*DCF_Base!$B$29))/(1+$A$25/100)^DCF_Base!$L$4+Assumptions!$B$5-Assumptions!$B$4)/Assumptions!$B$3*Assumptions!$B$10</f>
        <v>2908.96725380036</v>
      </c>
      <c r="E25" s="0" t="n">
        <f aca="false">(SUMPRODUCT(DCF_Base!$C$19:$L$19/(1+$A$25/100)^DCF_Base!$C$4:$L$4)+MAX(0,MIN(IF($A$25&gt;$E$23,DCF_Base!$L$19*(1+$E$23/100)/(($A$25-$E$23)/100),DCF_Base!$L$19*DCF_Base!$B$29),DCF_Base!$L$19*DCF_Base!$B$29))/(1+$A$25/100)^DCF_Base!$L$4+Assumptions!$B$5-Assumptions!$B$4)/Assumptions!$B$3*Assumptions!$B$10</f>
        <v>2908.96725380036</v>
      </c>
      <c r="F25" s="0" t="n">
        <f aca="false">(SUMPRODUCT(DCF_Base!$C$19:$L$19/(1+$A$25/100)^DCF_Base!$C$4:$L$4)+MAX(0,MIN(IF($A$25&gt;$F$23,DCF_Base!$L$19*(1+$F$23/100)/(($A$25-$F$23)/100),DCF_Base!$L$19*DCF_Base!$B$29),DCF_Base!$L$19*DCF_Base!$B$29))/(1+$A$25/100)^DCF_Base!$L$4+Assumptions!$B$5-Assumptions!$B$4)/Assumptions!$B$3*Assumptions!$B$10</f>
        <v>2908.96725380036</v>
      </c>
    </row>
    <row r="26" customFormat="false" ht="15" hidden="false" customHeight="false" outlineLevel="0" collapsed="false">
      <c r="A26" s="3" t="n">
        <v>6.5</v>
      </c>
      <c r="B26" s="0" t="n">
        <f aca="false">(SUMPRODUCT(DCF_Base!$C$19:$L$19/(1+$A$26/100)^DCF_Base!$C$4:$L$4)+MAX(0,MIN(IF($A$26&gt;$B$23,DCF_Base!$L$19*(1+$B$23/100)/(($A$26-$B$23)/100),DCF_Base!$L$19*DCF_Base!$B$29),DCF_Base!$L$19*DCF_Base!$B$29))/(1+$A$26/100)^DCF_Base!$L$4+Assumptions!$B$5-Assumptions!$B$4)/Assumptions!$B$3*Assumptions!$B$10</f>
        <v>2658.49358054434</v>
      </c>
      <c r="C26" s="0" t="n">
        <f aca="false">(SUMPRODUCT(DCF_Base!$C$19:$L$19/(1+$A$26/100)^DCF_Base!$C$4:$L$4)+MAX(0,MIN(IF($A$26&gt;$C$23,DCF_Base!$L$19*(1+$C$23/100)/(($A$26-$C$23)/100),DCF_Base!$L$19*DCF_Base!$B$29),DCF_Base!$L$19*DCF_Base!$B$29))/(1+$A$26/100)^DCF_Base!$L$4+Assumptions!$B$5-Assumptions!$B$4)/Assumptions!$B$3*Assumptions!$B$10</f>
        <v>2658.49358054434</v>
      </c>
      <c r="D26" s="0" t="n">
        <f aca="false">(SUMPRODUCT(DCF_Base!$C$19:$L$19/(1+$A$26/100)^DCF_Base!$C$4:$L$4)+MAX(0,MIN(IF($A$26&gt;$D$23,DCF_Base!$L$19*(1+$D$23/100)/(($A$26-$D$23)/100),DCF_Base!$L$19*DCF_Base!$B$29),DCF_Base!$L$19*DCF_Base!$B$29))/(1+$A$26/100)^DCF_Base!$L$4+Assumptions!$B$5-Assumptions!$B$4)/Assumptions!$B$3*Assumptions!$B$10</f>
        <v>2658.49358054434</v>
      </c>
      <c r="E26" s="0" t="n">
        <f aca="false">(SUMPRODUCT(DCF_Base!$C$19:$L$19/(1+$A$26/100)^DCF_Base!$C$4:$L$4)+MAX(0,MIN(IF($A$26&gt;$E$23,DCF_Base!$L$19*(1+$E$23/100)/(($A$26-$E$23)/100),DCF_Base!$L$19*DCF_Base!$B$29),DCF_Base!$L$19*DCF_Base!$B$29))/(1+$A$26/100)^DCF_Base!$L$4+Assumptions!$B$5-Assumptions!$B$4)/Assumptions!$B$3*Assumptions!$B$10</f>
        <v>2658.49358054434</v>
      </c>
      <c r="F26" s="0" t="n">
        <f aca="false">(SUMPRODUCT(DCF_Base!$C$19:$L$19/(1+$A$26/100)^DCF_Base!$C$4:$L$4)+MAX(0,MIN(IF($A$26&gt;$F$23,DCF_Base!$L$19*(1+$F$23/100)/(($A$26-$F$23)/100),DCF_Base!$L$19*DCF_Base!$B$29),DCF_Base!$L$19*DCF_Base!$B$29))/(1+$A$26/100)^DCF_Base!$L$4+Assumptions!$B$5-Assumptions!$B$4)/Assumptions!$B$3*Assumptions!$B$10</f>
        <v>2658.49358054434</v>
      </c>
    </row>
    <row r="27" customFormat="false" ht="15" hidden="false" customHeight="false" outlineLevel="0" collapsed="false">
      <c r="A27" s="3" t="n">
        <v>7.5</v>
      </c>
      <c r="B27" s="0" t="n">
        <f aca="false">(SUMPRODUCT(DCF_Base!$C$19:$L$19/(1+$A$27/100)^DCF_Base!$C$4:$L$4)+MAX(0,MIN(IF($A$27&gt;$B$23,DCF_Base!$L$19*(1+$B$23/100)/(($A$27-$B$23)/100),DCF_Base!$L$19*DCF_Base!$B$29),DCF_Base!$L$19*DCF_Base!$B$29))/(1+$A$27/100)^DCF_Base!$L$4+Assumptions!$B$5-Assumptions!$B$4)/Assumptions!$B$3*Assumptions!$B$10</f>
        <v>2360.40400502391</v>
      </c>
      <c r="C27" s="0" t="n">
        <f aca="false">(SUMPRODUCT(DCF_Base!$C$19:$L$19/(1+$A$27/100)^DCF_Base!$C$4:$L$4)+MAX(0,MIN(IF($A$27&gt;$C$23,DCF_Base!$L$19*(1+$C$23/100)/(($A$27-$C$23)/100),DCF_Base!$L$19*DCF_Base!$B$29),DCF_Base!$L$19*DCF_Base!$B$29))/(1+$A$27/100)^DCF_Base!$L$4+Assumptions!$B$5-Assumptions!$B$4)/Assumptions!$B$3*Assumptions!$B$10</f>
        <v>2430.59948176599</v>
      </c>
      <c r="D27" s="0" t="n">
        <f aca="false">(SUMPRODUCT(DCF_Base!$C$19:$L$19/(1+$A$27/100)^DCF_Base!$C$4:$L$4)+MAX(0,MIN(IF($A$27&gt;$D$23,DCF_Base!$L$19*(1+$D$23/100)/(($A$27-$D$23)/100),DCF_Base!$L$19*DCF_Base!$B$29),DCF_Base!$L$19*DCF_Base!$B$29))/(1+$A$27/100)^DCF_Base!$L$4+Assumptions!$B$5-Assumptions!$B$4)/Assumptions!$B$3*Assumptions!$B$10</f>
        <v>2430.59948176599</v>
      </c>
      <c r="E27" s="0" t="n">
        <f aca="false">(SUMPRODUCT(DCF_Base!$C$19:$L$19/(1+$A$27/100)^DCF_Base!$C$4:$L$4)+MAX(0,MIN(IF($A$27&gt;$E$23,DCF_Base!$L$19*(1+$E$23/100)/(($A$27-$E$23)/100),DCF_Base!$L$19*DCF_Base!$B$29),DCF_Base!$L$19*DCF_Base!$B$29))/(1+$A$27/100)^DCF_Base!$L$4+Assumptions!$B$5-Assumptions!$B$4)/Assumptions!$B$3*Assumptions!$B$10</f>
        <v>2430.59948176599</v>
      </c>
      <c r="F27" s="0" t="n">
        <f aca="false">(SUMPRODUCT(DCF_Base!$C$19:$L$19/(1+$A$27/100)^DCF_Base!$C$4:$L$4)+MAX(0,MIN(IF($A$27&gt;$F$23,DCF_Base!$L$19*(1+$F$23/100)/(($A$27-$F$23)/100),DCF_Base!$L$19*DCF_Base!$B$29),DCF_Base!$L$19*DCF_Base!$B$29))/(1+$A$27/100)^DCF_Base!$L$4+Assumptions!$B$5-Assumptions!$B$4)/Assumptions!$B$3*Assumptions!$B$10</f>
        <v>2430.59948176599</v>
      </c>
    </row>
    <row r="28" customFormat="false" ht="15" hidden="false" customHeight="false" outlineLevel="0" collapsed="false">
      <c r="A28" s="3" t="n">
        <v>8.5</v>
      </c>
      <c r="B28" s="0" t="n">
        <f aca="false">(SUMPRODUCT(DCF_Base!$C$19:$L$19/(1+$A$28/100)^DCF_Base!$C$4:$L$4)+MAX(0,MIN(IF($A$28&gt;$B$23,DCF_Base!$L$19*(1+$B$23/100)/(($A$28-$B$23)/100),DCF_Base!$L$19*DCF_Base!$B$29),DCF_Base!$L$19*DCF_Base!$B$29))/(1+$A$28/100)^DCF_Base!$L$4+Assumptions!$B$5-Assumptions!$B$4)/Assumptions!$B$3*Assumptions!$B$10</f>
        <v>1980.37460284929</v>
      </c>
      <c r="C28" s="0" t="n">
        <f aca="false">(SUMPRODUCT(DCF_Base!$C$19:$L$19/(1+$A$28/100)^DCF_Base!$C$4:$L$4)+MAX(0,MIN(IF($A$28&gt;$C$23,DCF_Base!$L$19*(1+$C$23/100)/(($A$28-$C$23)/100),DCF_Base!$L$19*DCF_Base!$B$29),DCF_Base!$L$19*DCF_Base!$B$29))/(1+$A$28/100)^DCF_Base!$L$4+Assumptions!$B$5-Assumptions!$B$4)/Assumptions!$B$3*Assumptions!$B$10</f>
        <v>2070.37209486338</v>
      </c>
      <c r="D28" s="0" t="n">
        <f aca="false">(SUMPRODUCT(DCF_Base!$C$19:$L$19/(1+$A$28/100)^DCF_Base!$C$4:$L$4)+MAX(0,MIN(IF($A$28&gt;$D$23,DCF_Base!$L$19*(1+$D$23/100)/(($A$28-$D$23)/100),DCF_Base!$L$19*DCF_Base!$B$29),DCF_Base!$L$19*DCF_Base!$B$29))/(1+$A$28/100)^DCF_Base!$L$4+Assumptions!$B$5-Assumptions!$B$4)/Assumptions!$B$3*Assumptions!$B$10</f>
        <v>2173.22637145091</v>
      </c>
      <c r="E28" s="0" t="n">
        <f aca="false">(SUMPRODUCT(DCF_Base!$C$19:$L$19/(1+$A$28/100)^DCF_Base!$C$4:$L$4)+MAX(0,MIN(IF($A$28&gt;$E$23,DCF_Base!$L$19*(1+$E$23/100)/(($A$28-$E$23)/100),DCF_Base!$L$19*DCF_Base!$B$29),DCF_Base!$L$19*DCF_Base!$B$29))/(1+$A$28/100)^DCF_Base!$L$4+Assumptions!$B$5-Assumptions!$B$4)/Assumptions!$B$3*Assumptions!$B$10</f>
        <v>2222.99456979972</v>
      </c>
      <c r="F28" s="0" t="n">
        <f aca="false">(SUMPRODUCT(DCF_Base!$C$19:$L$19/(1+$A$28/100)^DCF_Base!$C$4:$L$4)+MAX(0,MIN(IF($A$28&gt;$F$23,DCF_Base!$L$19*(1+$F$23/100)/(($A$28-$F$23)/100),DCF_Base!$L$19*DCF_Base!$B$29),DCF_Base!$L$19*DCF_Base!$B$29))/(1+$A$28/100)^DCF_Base!$L$4+Assumptions!$B$5-Assumptions!$B$4)/Assumptions!$B$3*Assumptions!$B$10</f>
        <v>2222.99456979972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2026-10-26T08:20:19Z</dcterms:created>
  <dc:creator>openpyxl</dc:creator>
  <dc:description/>
  <dc:language>en-NZ</dc:language>
  <cp:lastModifiedBy/>
  <dcterms:modified xsi:type="dcterms:W3CDTF">2026-10-26T08:20:19Z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