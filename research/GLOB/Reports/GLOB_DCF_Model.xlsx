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<sst xmlns="http://schemas.openxmlformats.org/spreadsheetml/2006/main" count="372" uniqueCount="174">
  <si>
    <t xml:space="preserve">Ticker</t>
  </si>
  <si>
    <t xml:space="preserve">GLOB</t>
  </si>
  <si>
    <t xml:space="preserve">Company</t>
  </si>
  <si>
    <t xml:space="preserve">Globant S.A.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</si>
  <si>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</si>
  <si>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</si>
  <si>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</si>
  <si>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</si>
  <si>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</si>
  <si>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</si>
  <si>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</si>
  <si>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</si>
  <si>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</si>
  <si>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</si>
  <si>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</si>
  <si>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</si>
  <si>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</si>
  <si>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</si>
  <si>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</si>
  <si>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</si>
  <si>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</si>
  <si>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2026-10-03T22:27:48Z</t>
  </si>
  <si>
    <t xml:space="preserve">Drivers file</t>
  </si>
  <si>
    <t xml:space="preserve">GLOB_Drivers.json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</si>
  <si>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</si>
  <si>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</si>
  <si>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</si>
  <si>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basis: owner FCF with SBC fully expensed, IFRS-16 lease cash charged in the flows (lease liabilities out of net debt), debt-like acquisition liabilities and NCI deducted in the bridge. The valuation is a trough-to-mid-cycle margin normalisation on flat-to-modest growth; recurring Business Optimization Costs are treated as a real cost of running a people-intensive services business through AI deflation, not as a one-off.
key_risks_to_valuation: GenAI reduces billable hours faster than AI Pods replace them (bear axis); Business Optimization Costs prove permanent at &gt;1% of revenue; Securities class action re 2023 LatAm-pivot disclosures -- no provision disclosed; settlement or credibility discount not in the bridge; Working-capital drain (DSO ~90 days and lengthening) keeps realised owner FCF below the component build, as it did FY21-25; LatAm currency appreciation against a USD revenue base compresses margins; Resumed large M&amp;A (historically $250M+/yr) would consume FCF the base case assumes is free</t>
  </si>
  <si>
    <t xml:space="preserve">Data sources</t>
  </si>
  <si>
    <t xml:space="preserve">price: Yahoo Finance chart API at inputs.price_as_of; 52-week range 27.56-72.10
financials: GLOB_Metrics.csv (core_metrics); 20-F FY2025 cash-flow statement (lines 9594-9678) for SBC, lease principal/interest, capex, tax paid, repurchases; 6-K Q2-2026 for balance sheet at 30-Jun-2026, diluted shares, BOC and non-IFRS reconciliation; 6-K Q4-2025 for FY2025 adjusted op profit reconciliation
qualitative: GLOB_Analysis.json (2026-10-04): FY2026 guidance as of the Q2-2026 call (13-Aug-2026), Glob.AI ARR, class action, customer counts</t>
  </si>
  <si>
    <t xml:space="preserve">Scenario narrative: bear</t>
  </si>
  <si>
    <t xml:space="preserve">The staff-augmentation model is structurally deflated by GenAI faster than AI Pods can backfill; revenue declines into FY27, customer count and $1M+ accounts keep shrinking, BOC recurs every year, LatAm FX keeps compressing margin, and the securities class action over the 2023 LatAm-pivot disclosures caps the multiple and may cost a settlement.</t>
  </si>
  <si>
    <t xml:space="preserve">Scenario narrative: base</t>
  </si>
  <si>
    <t xml:space="preserve">Globant is a mid-cap digital-engineering firm in an AI-driven transition. Base assumes FY26 at guidance midpoint, a flat-to-low-growth FY27 while time-and-materials revenue is cannibalised by output-priced AI Pods, then mid-single-digit growth with margins recovering to ~18.5% EBITDA (pre-SBC, IFRS-16), below the FY22-24 peak because restructuring is treated as a recurring cost after two consecutive annual 'one-time' programmes.</t>
  </si>
  <si>
    <t xml:space="preserve">Scenario narrative: bull</t>
  </si>
  <si>
    <t xml:space="preserve">AI Pods / Glob.AI becomes a real second engine (ARR $20.6M Q4-25 -&gt; $52.8M Q2-26 -&gt; $110M+ exit-26 guide), carrying ~10pp higher gross margin; wallet-share gains in top accounts and the opening of the platform to non-clients re-accelerate growth to ~9% by FY28-29, and margins exceed the prior peak as headcount productivity (rev/employee +9.7% YoY) holds.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</si>
  <si>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</si>
  <si>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</si>
  <si>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</si>
  <si>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</si>
  <si>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</si>
  <si>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</si>
  <si>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</si>
  <si>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</si>
  <si>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</si>
  <si>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</si>
  <si>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</si>
  <si>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</si>
  <si>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</si>
  <si>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</si>
  <si>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</si>
  <si>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</si>
  <si>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</si>
  <si>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</si>
  <si>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</si>
  <si>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</si>
  <si>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</si>
  <si>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</si>
  <si>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</si>
  <si>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</si>
  <si>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</si>
  <si>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</si>
  <si>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</si>
  <si>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</si>
  <si>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AdjustedEPS</t>
  </si>
  <si>
    <t xml:space="preserve">AdjustedNetIncome</t>
  </si>
  <si>
    <t xml:space="preserve">BasicEPS</t>
  </si>
  <si>
    <t xml:space="preserve">Customers</t>
  </si>
  <si>
    <t xml:space="preserve">ProfitForPeriodTotal</t>
  </si>
  <si>
    <t xml:space="preserve">SharesDiluted</t>
  </si>
  <si>
    <t xml:space="preserve">FY2014</t>
  </si>
  <si>
    <t xml:space="preserve">thousands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</si>
  <si>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</si>
  <si>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</si>
  <si>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</si>
  <si>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</si>
  <si>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</si>
  <si>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</si>
  <si>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</si>
  <si>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</si>
  <si>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</si>
  <si>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</si>
  <si>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</si>
  <si>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</si>
  <si>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</si>
  <si>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</si>
  <si>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</si>
  <si>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</si>
  <si>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</si>
  <si>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</si>
  <si>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</si>
  <si>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</si>
  <si>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</si>
  <si>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</si>
  <si>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</si>
  <si>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</si>
  <si>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</si>
  <si>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</si>
  <si>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</si>
  <si>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</si>
  <si>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</si>
  <si>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</si>
  <si>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</si>
  <si>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</si>
  <si>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</si>
  <si>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</si>
  <si>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</si>
  <si>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</si>
  <si>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</si>
  <si>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</si>
  <si>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</si>
  <si>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</si>
  <si>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</si>
  <si>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</si>
  <si>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</si>
  <si>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</si>
  <si>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</si>
  <si>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</si>
  <si>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</si>
  <si>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</si>
  <si>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GLOB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</si>
  <si>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</si>
  <si>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</si>
  <si>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</si>
  <si>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</si>
  <si>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</si>
  <si>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</si>
  <si>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</si>
  <si>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</si>
  <si>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</si>
  <si>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</si>
  <si>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</si>
  <si>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</si>
  <si>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</si>
  <si>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</si>
  <si>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</si>
  <si>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</si>
  <si>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</si>
  <si>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</si>
  <si>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</si>
  <si>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</si>
  <si>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</si>
  <si>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</si>
  <si>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</si>
  <si>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</si>
  <si>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</si>
  <si>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</si>
  <si>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</si>
  <si>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</si>
  <si>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</si>
  <si>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</si>
  <si>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GLOB owner-FCF component DCF: base case (millions, USD)</t>
  </si>
  <si>
    <t xml:space="preserve">GLOB owner-FCF component DCF: bull case (millions, USD)</t>
  </si>
  <si>
    <t xml:space="preserve">GLOB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</si>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</sst>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199605</v>
      </c>
      <c r="C2" s="0" t="n">
        <v>121693</v>
      </c>
      <c r="D2" s="0" t="n">
        <v>77912</v>
      </c>
      <c r="E2" s="0" t="n">
        <v>39</v>
      </c>
      <c r="F2" s="0" t="n">
        <v>22129</v>
      </c>
      <c r="G2" s="0" t="n">
        <v>11.1</v>
      </c>
      <c r="H2" s="0" t="n">
        <v>30163</v>
      </c>
      <c r="I2" s="0" t="n">
        <v>25201</v>
      </c>
      <c r="J2" s="0" t="n">
        <v>12.6</v>
      </c>
      <c r="K2" s="0" t="n">
        <v>0.79</v>
      </c>
      <c r="L2" s="0" t="n">
        <v>14296</v>
      </c>
      <c r="M2" s="0" t="n">
        <v>13872</v>
      </c>
      <c r="N2" s="0" t="n">
        <v>424</v>
      </c>
      <c r="O2" s="0" t="n">
        <v>127479</v>
      </c>
      <c r="P2" s="0" t="n">
        <v>161125</v>
      </c>
      <c r="Q2" s="0" t="n">
        <v>33646</v>
      </c>
      <c r="R2" s="0" t="n">
        <v>1285</v>
      </c>
      <c r="S2" s="0" t="n">
        <v>62179</v>
      </c>
      <c r="T2" s="0" t="n">
        <v>31867</v>
      </c>
      <c r="U2" s="0" t="n">
        <v>617</v>
      </c>
      <c r="V2" s="0" t="n">
        <v>0</v>
      </c>
      <c r="AA2" s="0" t="s">
        <v>71</v>
      </c>
      <c r="AB2" s="0" t="s">
        <v>14</v>
      </c>
      <c r="AF2" s="0" t="n">
        <v>0.81</v>
      </c>
      <c r="AH2" s="0" t="n">
        <v>25263</v>
      </c>
      <c r="AI2" s="0" t="n">
        <v>31867</v>
      </c>
    </row>
    <row r="3" customFormat="false" ht="15" hidden="false" customHeight="false" outlineLevel="0" collapsed="false">
      <c r="A3" s="0" t="s">
        <v>72</v>
      </c>
      <c r="B3" s="0" t="n">
        <v>253796</v>
      </c>
      <c r="C3" s="0" t="n">
        <v>160292</v>
      </c>
      <c r="D3" s="0" t="n">
        <v>93504</v>
      </c>
      <c r="E3" s="0" t="n">
        <v>36.8</v>
      </c>
      <c r="F3" s="0" t="n">
        <v>23730</v>
      </c>
      <c r="G3" s="0" t="n">
        <v>9.4</v>
      </c>
      <c r="H3" s="0" t="n">
        <v>33031</v>
      </c>
      <c r="I3" s="0" t="n">
        <v>31653</v>
      </c>
      <c r="J3" s="0" t="n">
        <v>12.5</v>
      </c>
      <c r="K3" s="0" t="n">
        <v>0.9</v>
      </c>
      <c r="L3" s="0" t="n">
        <v>-5315</v>
      </c>
      <c r="M3" s="0" t="n">
        <v>17817</v>
      </c>
      <c r="N3" s="0" t="n">
        <v>-23132</v>
      </c>
      <c r="O3" s="0" t="n">
        <v>160135</v>
      </c>
      <c r="P3" s="0" t="n">
        <v>222889</v>
      </c>
      <c r="Q3" s="0" t="n">
        <v>62704</v>
      </c>
      <c r="R3" s="0" t="n">
        <v>548</v>
      </c>
      <c r="S3" s="0" t="n">
        <v>62380</v>
      </c>
      <c r="T3" s="0" t="n">
        <v>35013</v>
      </c>
      <c r="U3" s="0" t="n">
        <v>2382</v>
      </c>
      <c r="V3" s="0" t="n">
        <v>0</v>
      </c>
      <c r="AA3" s="0" t="s">
        <v>71</v>
      </c>
      <c r="AB3" s="0" t="s">
        <v>14</v>
      </c>
      <c r="AF3" s="0" t="n">
        <v>0.93</v>
      </c>
      <c r="AH3" s="0" t="n">
        <v>31620</v>
      </c>
      <c r="AI3" s="0" t="n">
        <v>35013</v>
      </c>
    </row>
    <row r="4" customFormat="false" ht="15" hidden="false" customHeight="false" outlineLevel="0" collapsed="false">
      <c r="A4" s="0" t="s">
        <v>73</v>
      </c>
      <c r="B4" s="0" t="n">
        <v>322856</v>
      </c>
      <c r="C4" s="0" t="n">
        <v>191395</v>
      </c>
      <c r="D4" s="0" t="n">
        <v>131461</v>
      </c>
      <c r="E4" s="0" t="n">
        <v>40.7</v>
      </c>
      <c r="F4" s="0" t="n">
        <v>49572</v>
      </c>
      <c r="G4" s="0" t="n">
        <v>15.4</v>
      </c>
      <c r="H4" s="0" t="n">
        <v>60490</v>
      </c>
      <c r="I4" s="0" t="n">
        <v>35876</v>
      </c>
      <c r="J4" s="0" t="n">
        <v>11.1</v>
      </c>
      <c r="K4" s="0" t="n">
        <v>1.01</v>
      </c>
      <c r="L4" s="0" t="n">
        <v>31480</v>
      </c>
      <c r="M4" s="0" t="n">
        <v>24034</v>
      </c>
      <c r="N4" s="0" t="n">
        <v>7446</v>
      </c>
      <c r="O4" s="0" t="n">
        <v>208524</v>
      </c>
      <c r="P4" s="0" t="n">
        <v>284748</v>
      </c>
      <c r="Q4" s="0" t="n">
        <v>76188</v>
      </c>
      <c r="R4" s="0" t="n">
        <v>217</v>
      </c>
      <c r="S4" s="0" t="n">
        <v>59887</v>
      </c>
      <c r="T4" s="0" t="n">
        <v>35413</v>
      </c>
      <c r="U4" s="0" t="n">
        <v>3620</v>
      </c>
      <c r="V4" s="0" t="n">
        <v>0</v>
      </c>
      <c r="AA4" s="0" t="s">
        <v>71</v>
      </c>
      <c r="AB4" s="0" t="s">
        <v>14</v>
      </c>
      <c r="AF4" s="0" t="n">
        <v>1.04</v>
      </c>
      <c r="AH4" s="0" t="n">
        <v>35862</v>
      </c>
      <c r="AI4" s="0" t="n">
        <v>35413</v>
      </c>
    </row>
    <row r="5" customFormat="false" ht="15" hidden="false" customHeight="false" outlineLevel="0" collapsed="false">
      <c r="A5" s="0" t="s">
        <v>74</v>
      </c>
      <c r="B5" s="0" t="n">
        <v>413439</v>
      </c>
      <c r="C5" s="0" t="n">
        <v>263171</v>
      </c>
      <c r="D5" s="0" t="n">
        <v>150268</v>
      </c>
      <c r="E5" s="0" t="n">
        <v>36.3</v>
      </c>
      <c r="F5" s="0" t="n">
        <v>33166</v>
      </c>
      <c r="G5" s="0" t="n">
        <v>8</v>
      </c>
      <c r="H5" s="0" t="n">
        <v>49294</v>
      </c>
      <c r="I5" s="0" t="n">
        <v>30539</v>
      </c>
      <c r="J5" s="0" t="n">
        <v>7.4</v>
      </c>
      <c r="K5" s="0" t="n">
        <v>0.84</v>
      </c>
      <c r="L5" s="0" t="n">
        <v>42989</v>
      </c>
      <c r="M5" s="0" t="n">
        <v>28052</v>
      </c>
      <c r="N5" s="0" t="n">
        <v>14937</v>
      </c>
      <c r="O5" s="0" t="n">
        <v>263404</v>
      </c>
      <c r="P5" s="0" t="n">
        <v>357177</v>
      </c>
      <c r="Q5" s="0" t="n">
        <v>93813</v>
      </c>
      <c r="R5" s="0" t="n">
        <v>6011</v>
      </c>
      <c r="S5" s="0" t="n">
        <v>60672</v>
      </c>
      <c r="T5" s="0" t="n">
        <v>36094</v>
      </c>
      <c r="U5" s="0" t="n">
        <v>12865</v>
      </c>
      <c r="V5" s="0" t="n">
        <v>0</v>
      </c>
      <c r="AA5" s="0" t="s">
        <v>71</v>
      </c>
      <c r="AB5" s="0" t="s">
        <v>14</v>
      </c>
      <c r="AF5" s="0" t="n">
        <v>0.87</v>
      </c>
      <c r="AH5" s="0" t="n">
        <v>30463</v>
      </c>
      <c r="AI5" s="0" t="n">
        <v>36094</v>
      </c>
    </row>
    <row r="6" customFormat="false" ht="15" hidden="false" customHeight="false" outlineLevel="0" collapsed="false">
      <c r="A6" s="0" t="s">
        <v>75</v>
      </c>
      <c r="B6" s="0" t="n">
        <v>522310</v>
      </c>
      <c r="C6" s="0" t="n">
        <v>318554</v>
      </c>
      <c r="D6" s="0" t="n">
        <v>203756</v>
      </c>
      <c r="E6" s="0" t="n">
        <v>39</v>
      </c>
      <c r="F6" s="0" t="n">
        <v>66794</v>
      </c>
      <c r="G6" s="0" t="n">
        <v>12.8</v>
      </c>
      <c r="H6" s="0" t="n">
        <v>87337</v>
      </c>
      <c r="I6" s="0" t="n">
        <v>51677</v>
      </c>
      <c r="J6" s="0" t="n">
        <v>9.9</v>
      </c>
      <c r="K6" s="0" t="n">
        <v>1.41</v>
      </c>
      <c r="L6" s="0" t="n">
        <v>67197</v>
      </c>
      <c r="M6" s="0" t="n">
        <v>28882</v>
      </c>
      <c r="N6" s="0" t="n">
        <v>38315</v>
      </c>
      <c r="O6" s="0" t="n">
        <v>337916</v>
      </c>
      <c r="P6" s="0" t="n">
        <v>437099</v>
      </c>
      <c r="Q6" s="0" t="n">
        <v>99183</v>
      </c>
      <c r="R6" s="0" t="n">
        <v>0</v>
      </c>
      <c r="S6" s="0" t="n">
        <v>86241</v>
      </c>
      <c r="T6" s="0" t="n">
        <v>36685</v>
      </c>
      <c r="U6" s="0" t="n">
        <v>10551</v>
      </c>
      <c r="V6" s="0" t="n">
        <v>0</v>
      </c>
      <c r="AA6" s="0" t="s">
        <v>71</v>
      </c>
      <c r="AB6" s="0" t="s">
        <v>14</v>
      </c>
      <c r="AF6" s="0" t="n">
        <v>1.45</v>
      </c>
      <c r="AH6" s="0" t="n">
        <v>51596</v>
      </c>
      <c r="AI6" s="0" t="n">
        <v>36685</v>
      </c>
    </row>
    <row r="7" customFormat="false" ht="15" hidden="false" customHeight="false" outlineLevel="0" collapsed="false">
      <c r="A7" s="0" t="s">
        <v>76</v>
      </c>
      <c r="B7" s="0" t="n">
        <v>659325</v>
      </c>
      <c r="C7" s="0" t="n">
        <v>405164</v>
      </c>
      <c r="D7" s="0" t="n">
        <v>254161</v>
      </c>
      <c r="E7" s="0" t="n">
        <v>38.5</v>
      </c>
      <c r="F7" s="0" t="n">
        <v>80735</v>
      </c>
      <c r="G7" s="0" t="n">
        <v>12.2</v>
      </c>
      <c r="H7" s="0" t="n">
        <v>119574</v>
      </c>
      <c r="I7" s="0" t="n">
        <v>54015</v>
      </c>
      <c r="J7" s="0" t="n">
        <v>8.2</v>
      </c>
      <c r="K7" s="0" t="n">
        <v>1.43</v>
      </c>
      <c r="L7" s="0" t="n">
        <v>79709</v>
      </c>
      <c r="M7" s="0" t="n">
        <v>31992</v>
      </c>
      <c r="N7" s="0" t="n">
        <v>47717</v>
      </c>
      <c r="O7" s="0" t="n">
        <v>438714</v>
      </c>
      <c r="P7" s="0" t="n">
        <v>687764</v>
      </c>
      <c r="Q7" s="0" t="n">
        <v>249050</v>
      </c>
      <c r="R7" s="0" t="n">
        <v>51386</v>
      </c>
      <c r="S7" s="0" t="n">
        <v>82501</v>
      </c>
      <c r="T7" s="0" t="n">
        <v>37674</v>
      </c>
      <c r="U7" s="0" t="n">
        <v>15357</v>
      </c>
      <c r="V7" s="0" t="n">
        <v>0</v>
      </c>
      <c r="AA7" s="0" t="s">
        <v>71</v>
      </c>
      <c r="AB7" s="0" t="s">
        <v>14</v>
      </c>
      <c r="AF7" s="0" t="n">
        <v>1.48</v>
      </c>
      <c r="AH7" s="0" t="n">
        <v>54015</v>
      </c>
      <c r="AI7" s="0" t="n">
        <v>37674</v>
      </c>
    </row>
    <row r="8" customFormat="false" ht="15" hidden="false" customHeight="false" outlineLevel="0" collapsed="false">
      <c r="A8" s="0" t="s">
        <v>77</v>
      </c>
      <c r="B8" s="0" t="n">
        <v>814139</v>
      </c>
      <c r="C8" s="0" t="n">
        <v>509812</v>
      </c>
      <c r="D8" s="0" t="n">
        <v>304327</v>
      </c>
      <c r="E8" s="0" t="n">
        <v>37.4</v>
      </c>
      <c r="F8" s="0" t="n">
        <v>83942</v>
      </c>
      <c r="G8" s="0" t="n">
        <v>10.3</v>
      </c>
      <c r="H8" s="0" t="n">
        <v>132422</v>
      </c>
      <c r="I8" s="0" t="n">
        <v>54217</v>
      </c>
      <c r="J8" s="0" t="n">
        <v>6.7</v>
      </c>
      <c r="K8" s="0" t="n">
        <v>1.37</v>
      </c>
      <c r="L8" s="0" t="n">
        <v>99872</v>
      </c>
      <c r="M8" s="0" t="n">
        <v>53462</v>
      </c>
      <c r="N8" s="0" t="n">
        <v>46410</v>
      </c>
      <c r="O8" s="0" t="n">
        <v>879939</v>
      </c>
      <c r="P8" s="0" t="n">
        <v>1288767</v>
      </c>
      <c r="Q8" s="0" t="n">
        <v>408828</v>
      </c>
      <c r="R8" s="0" t="n">
        <v>25968</v>
      </c>
      <c r="S8" s="0" t="n">
        <v>298223</v>
      </c>
      <c r="T8" s="0" t="n">
        <v>39717</v>
      </c>
      <c r="U8" s="0" t="n">
        <v>22423</v>
      </c>
      <c r="V8" s="0" t="n">
        <v>0</v>
      </c>
      <c r="AA8" s="0" t="s">
        <v>71</v>
      </c>
      <c r="AB8" s="0" t="s">
        <v>14</v>
      </c>
      <c r="AC8" s="0" t="n">
        <v>123981</v>
      </c>
      <c r="AD8" s="0" t="n">
        <v>2.28</v>
      </c>
      <c r="AE8" s="0" t="n">
        <v>90586</v>
      </c>
      <c r="AF8" s="0" t="n">
        <v>1.41</v>
      </c>
      <c r="AH8" s="0" t="n">
        <v>54217</v>
      </c>
      <c r="AI8" s="0" t="n">
        <v>39717</v>
      </c>
    </row>
    <row r="9" customFormat="false" ht="15" hidden="false" customHeight="false" outlineLevel="0" collapsed="false">
      <c r="A9" s="0" t="s">
        <v>78</v>
      </c>
      <c r="B9" s="0" t="n">
        <v>1297078</v>
      </c>
      <c r="C9" s="0" t="n">
        <v>802090</v>
      </c>
      <c r="D9" s="0" t="n">
        <v>494988</v>
      </c>
      <c r="E9" s="0" t="n">
        <v>38.2</v>
      </c>
      <c r="F9" s="0" t="n">
        <v>144433</v>
      </c>
      <c r="G9" s="0" t="n">
        <v>11.1</v>
      </c>
      <c r="H9" s="0" t="n">
        <v>224719</v>
      </c>
      <c r="I9" s="0" t="n">
        <v>96065</v>
      </c>
      <c r="J9" s="0" t="n">
        <v>7.4</v>
      </c>
      <c r="K9" s="0" t="n">
        <v>2.28</v>
      </c>
      <c r="L9" s="0" t="n">
        <v>178974</v>
      </c>
      <c r="M9" s="0" t="n">
        <v>77634</v>
      </c>
      <c r="N9" s="0" t="n">
        <v>101340</v>
      </c>
      <c r="O9" s="0" t="n">
        <v>1305375</v>
      </c>
      <c r="P9" s="0" t="n">
        <v>1890237</v>
      </c>
      <c r="Q9" s="0" t="n">
        <v>581924</v>
      </c>
      <c r="R9" s="0" t="n">
        <v>12240</v>
      </c>
      <c r="S9" s="0" t="n">
        <v>460385</v>
      </c>
      <c r="T9" s="0" t="n">
        <v>42076</v>
      </c>
      <c r="U9" s="0" t="n">
        <v>37031</v>
      </c>
      <c r="V9" s="0" t="n">
        <v>0</v>
      </c>
      <c r="AA9" s="0" t="s">
        <v>71</v>
      </c>
      <c r="AB9" s="0" t="s">
        <v>14</v>
      </c>
      <c r="AC9" s="0" t="n">
        <v>214331</v>
      </c>
      <c r="AD9" s="0" t="n">
        <v>3.76</v>
      </c>
      <c r="AE9" s="0" t="n">
        <v>158409</v>
      </c>
      <c r="AF9" s="0" t="n">
        <v>2.35</v>
      </c>
      <c r="AH9" s="0" t="n">
        <v>96355</v>
      </c>
      <c r="AI9" s="0" t="n">
        <v>42076</v>
      </c>
    </row>
    <row r="10" customFormat="false" ht="15" hidden="false" customHeight="false" outlineLevel="0" collapsed="false">
      <c r="A10" s="0" t="s">
        <v>79</v>
      </c>
      <c r="B10" s="0" t="n">
        <v>1780243</v>
      </c>
      <c r="C10" s="0" t="n">
        <v>1110848</v>
      </c>
      <c r="D10" s="0" t="n">
        <v>669395</v>
      </c>
      <c r="E10" s="0" t="n">
        <v>37.6</v>
      </c>
      <c r="F10" s="0" t="n">
        <v>206707</v>
      </c>
      <c r="G10" s="0" t="n">
        <v>11.6</v>
      </c>
      <c r="H10" s="0" t="n">
        <v>314640</v>
      </c>
      <c r="I10" s="0" t="n">
        <v>148891</v>
      </c>
      <c r="J10" s="0" t="n">
        <v>8.4</v>
      </c>
      <c r="K10" s="0" t="n">
        <v>3.47</v>
      </c>
      <c r="L10" s="0" t="n">
        <v>197524</v>
      </c>
      <c r="M10" s="0" t="n">
        <v>95430</v>
      </c>
      <c r="N10" s="0" t="n">
        <v>102094</v>
      </c>
      <c r="O10" s="0" t="n">
        <v>1507553</v>
      </c>
      <c r="P10" s="0" t="n">
        <v>2199460</v>
      </c>
      <c r="Q10" s="0" t="n">
        <v>643047</v>
      </c>
      <c r="R10" s="0" t="n">
        <v>3699</v>
      </c>
      <c r="S10" s="0" t="n">
        <v>340865</v>
      </c>
      <c r="T10" s="0" t="n">
        <v>42855</v>
      </c>
      <c r="U10" s="0" t="n">
        <v>60251</v>
      </c>
      <c r="V10" s="0" t="n">
        <v>0</v>
      </c>
      <c r="AA10" s="0" t="s">
        <v>71</v>
      </c>
      <c r="AB10" s="0" t="s">
        <v>14</v>
      </c>
      <c r="AC10" s="0" t="n">
        <v>289376</v>
      </c>
      <c r="AD10" s="0" t="n">
        <v>5.08</v>
      </c>
      <c r="AE10" s="0" t="n">
        <v>217723</v>
      </c>
      <c r="AF10" s="0" t="n">
        <v>3.55</v>
      </c>
      <c r="AH10" s="0" t="n">
        <v>149479</v>
      </c>
      <c r="AI10" s="0" t="n">
        <v>42855</v>
      </c>
    </row>
    <row r="11" customFormat="false" ht="15" hidden="false" customHeight="false" outlineLevel="0" collapsed="false">
      <c r="A11" s="0" t="s">
        <v>80</v>
      </c>
      <c r="B11" s="0" t="n">
        <v>2095939</v>
      </c>
      <c r="C11" s="0" t="n">
        <v>1340178</v>
      </c>
      <c r="D11" s="0" t="n">
        <v>755761</v>
      </c>
      <c r="E11" s="0" t="n">
        <v>36.1</v>
      </c>
      <c r="F11" s="0" t="n">
        <v>198962</v>
      </c>
      <c r="G11" s="0" t="n">
        <v>9.5</v>
      </c>
      <c r="H11" s="0" t="n">
        <v>338823</v>
      </c>
      <c r="I11" s="0" t="n">
        <v>158538</v>
      </c>
      <c r="J11" s="0" t="n">
        <v>7.6</v>
      </c>
      <c r="K11" s="0" t="n">
        <v>3.64</v>
      </c>
      <c r="L11" s="0" t="n">
        <v>318524</v>
      </c>
      <c r="M11" s="0" t="n">
        <v>126801</v>
      </c>
      <c r="N11" s="0" t="n">
        <v>191723</v>
      </c>
      <c r="O11" s="0" t="n">
        <v>1729664</v>
      </c>
      <c r="P11" s="0" t="n">
        <v>2735355</v>
      </c>
      <c r="Q11" s="0" t="n">
        <v>948739</v>
      </c>
      <c r="R11" s="0" t="n">
        <v>159107</v>
      </c>
      <c r="S11" s="0" t="n">
        <v>323293</v>
      </c>
      <c r="T11" s="0" t="n">
        <v>43594</v>
      </c>
      <c r="U11" s="0" t="n">
        <v>72941</v>
      </c>
      <c r="V11" s="0" t="n">
        <v>0</v>
      </c>
      <c r="AA11" s="0" t="s">
        <v>71</v>
      </c>
      <c r="AB11" s="0" t="s">
        <v>14</v>
      </c>
      <c r="AC11" s="0" t="n">
        <v>318126</v>
      </c>
      <c r="AD11" s="0" t="n">
        <v>5.74</v>
      </c>
      <c r="AE11" s="0" t="n">
        <v>250118</v>
      </c>
      <c r="AF11" s="0" t="n">
        <v>3.72</v>
      </c>
      <c r="AH11" s="0" t="n">
        <v>158508</v>
      </c>
      <c r="AI11" s="0" t="n">
        <v>43594</v>
      </c>
    </row>
    <row r="12" customFormat="false" ht="15" hidden="false" customHeight="false" outlineLevel="0" collapsed="false">
      <c r="A12" s="0" t="s">
        <v>81</v>
      </c>
      <c r="B12" s="0" t="n">
        <v>2415689</v>
      </c>
      <c r="C12" s="0" t="n">
        <v>1552322</v>
      </c>
      <c r="D12" s="0" t="n">
        <v>863367</v>
      </c>
      <c r="E12" s="0" t="n">
        <v>35.7</v>
      </c>
      <c r="F12" s="0" t="n">
        <v>225418</v>
      </c>
      <c r="G12" s="0" t="n">
        <v>9.3</v>
      </c>
      <c r="H12" s="0" t="n">
        <v>388149</v>
      </c>
      <c r="I12" s="0" t="n">
        <v>165732</v>
      </c>
      <c r="J12" s="0" t="n">
        <v>6.9</v>
      </c>
      <c r="K12" s="0" t="n">
        <v>3.72</v>
      </c>
      <c r="L12" s="0" t="n">
        <v>248727</v>
      </c>
      <c r="M12" s="0" t="n">
        <v>113622</v>
      </c>
      <c r="N12" s="0" t="n">
        <v>135105</v>
      </c>
      <c r="O12" s="0" t="n">
        <v>1963931</v>
      </c>
      <c r="P12" s="0" t="n">
        <v>3166845</v>
      </c>
      <c r="Q12" s="0" t="n">
        <v>1133496</v>
      </c>
      <c r="R12" s="0" t="n">
        <v>292536</v>
      </c>
      <c r="S12" s="0" t="n">
        <v>156085</v>
      </c>
      <c r="T12" s="0" t="n">
        <v>44589</v>
      </c>
      <c r="U12" s="0" t="n">
        <v>81796</v>
      </c>
      <c r="V12" s="0" t="n">
        <v>0</v>
      </c>
      <c r="AA12" s="0" t="s">
        <v>71</v>
      </c>
      <c r="AB12" s="0" t="s">
        <v>14</v>
      </c>
      <c r="AC12" s="0" t="n">
        <v>371419</v>
      </c>
      <c r="AD12" s="0" t="n">
        <v>6.4</v>
      </c>
      <c r="AE12" s="0" t="n">
        <v>285426</v>
      </c>
      <c r="AF12" s="0" t="n">
        <v>3.82</v>
      </c>
      <c r="AH12" s="0" t="n">
        <v>169003</v>
      </c>
      <c r="AI12" s="0" t="n">
        <v>44589</v>
      </c>
    </row>
    <row r="13" customFormat="false" ht="15" hidden="false" customHeight="false" outlineLevel="0" collapsed="false">
      <c r="A13" s="0" t="s">
        <v>82</v>
      </c>
      <c r="B13" s="0" t="n">
        <v>2454877</v>
      </c>
      <c r="C13" s="0" t="n">
        <v>1595586</v>
      </c>
      <c r="D13" s="0" t="n">
        <v>859291</v>
      </c>
      <c r="E13" s="0" t="n">
        <v>35</v>
      </c>
      <c r="F13" s="0" t="n">
        <v>171732</v>
      </c>
      <c r="G13" s="0" t="n">
        <v>7</v>
      </c>
      <c r="H13" s="0" t="n">
        <v>359514</v>
      </c>
      <c r="I13" s="0" t="n">
        <v>102918</v>
      </c>
      <c r="J13" s="0" t="n">
        <v>4.2</v>
      </c>
      <c r="K13" s="0" t="n">
        <v>2.29</v>
      </c>
      <c r="L13" s="0" t="n">
        <v>301176</v>
      </c>
      <c r="M13" s="0" t="n">
        <v>89485</v>
      </c>
      <c r="N13" s="0" t="n">
        <v>211691</v>
      </c>
      <c r="O13" s="0" t="n">
        <v>2093601</v>
      </c>
      <c r="P13" s="0" t="n">
        <v>3318235</v>
      </c>
      <c r="Q13" s="0" t="n">
        <v>1156599</v>
      </c>
      <c r="R13" s="0" t="n">
        <v>366706</v>
      </c>
      <c r="S13" s="0" t="n">
        <v>250336</v>
      </c>
      <c r="T13" s="0" t="n">
        <v>45005</v>
      </c>
      <c r="U13" s="0" t="n">
        <v>75679</v>
      </c>
      <c r="V13" s="0" t="n">
        <v>0</v>
      </c>
      <c r="AA13" s="0" t="s">
        <v>71</v>
      </c>
      <c r="AB13" s="0" t="s">
        <v>14</v>
      </c>
      <c r="AC13" s="0" t="n">
        <v>373272</v>
      </c>
      <c r="AD13" s="0" t="n">
        <v>6.14</v>
      </c>
      <c r="AE13" s="0" t="n">
        <v>276231</v>
      </c>
      <c r="AF13" s="0" t="n">
        <v>2.33</v>
      </c>
      <c r="AH13" s="0" t="n">
        <v>103956</v>
      </c>
      <c r="AI13" s="0" t="n">
        <v>45005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35.1</v>
      </c>
    </row>
    <row r="3" customFormat="false" ht="15" hidden="false" customHeight="false" outlineLevel="0" collapsed="false">
      <c r="A3" s="0" t="s">
        <v>86</v>
      </c>
      <c r="B3" s="3" t="n">
        <v>43.4</v>
      </c>
    </row>
    <row r="4" customFormat="false" ht="15" hidden="false" customHeight="false" outlineLevel="0" collapsed="false">
      <c r="A4" s="0" t="s">
        <v>87</v>
      </c>
      <c r="B4" s="3" t="n">
        <v>250.6</v>
      </c>
    </row>
    <row r="5" customFormat="false" ht="15" hidden="false" customHeight="false" outlineLevel="0" collapsed="false">
      <c r="A5" s="0" t="s">
        <v>88</v>
      </c>
      <c r="B5" s="3" t="n">
        <v>-208.365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2454.877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-1.1</v>
      </c>
      <c r="D13" s="3" t="n">
        <v>-5</v>
      </c>
      <c r="E13" s="3" t="n">
        <v>-2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15.6</v>
      </c>
      <c r="D14" s="3" t="n">
        <v>14.5</v>
      </c>
      <c r="E14" s="3" t="n">
        <v>14.5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108</v>
      </c>
      <c r="C15" s="3" t="n">
        <v>3.1</v>
      </c>
      <c r="D15" s="3" t="n">
        <v>3.1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109</v>
      </c>
      <c r="C16" s="3" t="n">
        <v>1.35</v>
      </c>
      <c r="D16" s="3" t="n">
        <v>1.35</v>
      </c>
      <c r="E16" s="3" t="n">
        <v>1.35</v>
      </c>
      <c r="F16" s="3" t="n">
        <v>1.35</v>
      </c>
      <c r="G16" s="3" t="n">
        <v>1.35</v>
      </c>
      <c r="H16" s="3" t="n">
        <v>1.35</v>
      </c>
      <c r="I16" s="3" t="n">
        <v>1.35</v>
      </c>
      <c r="J16" s="3" t="n">
        <v>1.35</v>
      </c>
      <c r="K16" s="3" t="n">
        <v>1.35</v>
      </c>
      <c r="L16" s="3" t="n">
        <v>1.35</v>
      </c>
    </row>
    <row r="17" customFormat="false" ht="15" hidden="false" customHeight="false" outlineLevel="0" collapsed="false">
      <c r="A17" s="0" t="s">
        <v>110</v>
      </c>
      <c r="C17" s="3" t="n">
        <v>4.5</v>
      </c>
      <c r="D17" s="3" t="n">
        <v>4.5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111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112</v>
      </c>
      <c r="C19" s="3" t="n">
        <v>30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-30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-0.4</v>
      </c>
      <c r="D27" s="3" t="n">
        <v>2</v>
      </c>
      <c r="E27" s="3" t="n">
        <v>4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16</v>
      </c>
      <c r="D28" s="3" t="n">
        <v>17.3</v>
      </c>
      <c r="E28" s="3" t="n">
        <v>17.8</v>
      </c>
      <c r="F28" s="3" t="n">
        <v>18.2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108</v>
      </c>
      <c r="C29" s="3" t="n">
        <v>3</v>
      </c>
      <c r="D29" s="3" t="n">
        <v>3</v>
      </c>
      <c r="E29" s="3" t="n">
        <v>3</v>
      </c>
      <c r="F29" s="3" t="n">
        <v>2.9</v>
      </c>
      <c r="G29" s="3" t="n">
        <v>2.9</v>
      </c>
      <c r="H29" s="3" t="n">
        <v>2.8</v>
      </c>
      <c r="I29" s="3" t="n">
        <v>2.8</v>
      </c>
      <c r="J29" s="3" t="n">
        <v>2.8</v>
      </c>
      <c r="K29" s="3" t="n">
        <v>2.8</v>
      </c>
      <c r="L29" s="3" t="n">
        <v>2.8</v>
      </c>
    </row>
    <row r="30" customFormat="false" ht="15" hidden="false" customHeight="false" outlineLevel="0" collapsed="false">
      <c r="A30" s="0" t="s">
        <v>109</v>
      </c>
      <c r="C30" s="3" t="n">
        <v>1.3</v>
      </c>
      <c r="D30" s="3" t="n">
        <v>1.25</v>
      </c>
      <c r="E30" s="3" t="n">
        <v>1.25</v>
      </c>
      <c r="F30" s="3" t="n">
        <v>1.25</v>
      </c>
      <c r="G30" s="3" t="n">
        <v>1.25</v>
      </c>
      <c r="H30" s="3" t="n">
        <v>1.25</v>
      </c>
      <c r="I30" s="3" t="n">
        <v>1.25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110</v>
      </c>
      <c r="C31" s="3" t="n">
        <v>4.5</v>
      </c>
      <c r="D31" s="3" t="n">
        <v>4.5</v>
      </c>
      <c r="E31" s="3" t="n">
        <v>4.5</v>
      </c>
      <c r="F31" s="3" t="n">
        <v>4.5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111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112</v>
      </c>
      <c r="C33" s="3" t="n">
        <v>30</v>
      </c>
      <c r="D33" s="3" t="n">
        <v>28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-30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0.3</v>
      </c>
      <c r="D41" s="3" t="n">
        <v>6</v>
      </c>
      <c r="E41" s="3" t="n">
        <v>9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16.3</v>
      </c>
      <c r="D42" s="3" t="n">
        <v>18</v>
      </c>
      <c r="E42" s="3" t="n">
        <v>19</v>
      </c>
      <c r="F42" s="3" t="n">
        <v>19.8</v>
      </c>
      <c r="G42" s="3" t="n">
        <v>20.3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108</v>
      </c>
      <c r="C43" s="3" t="n">
        <v>3</v>
      </c>
      <c r="D43" s="3" t="n">
        <v>3</v>
      </c>
      <c r="E43" s="3" t="n">
        <v>2.9</v>
      </c>
      <c r="F43" s="3" t="n">
        <v>2.9</v>
      </c>
      <c r="G43" s="3" t="n">
        <v>2.8</v>
      </c>
      <c r="H43" s="3" t="n">
        <v>2.8</v>
      </c>
      <c r="I43" s="3" t="n">
        <v>2.8</v>
      </c>
      <c r="J43" s="3" t="n">
        <v>2.8</v>
      </c>
      <c r="K43" s="3" t="n">
        <v>2.8</v>
      </c>
      <c r="L43" s="3" t="n">
        <v>2.8</v>
      </c>
    </row>
    <row r="44" customFormat="false" ht="15" hidden="false" customHeight="false" outlineLevel="0" collapsed="false">
      <c r="A44" s="0" t="s">
        <v>109</v>
      </c>
      <c r="C44" s="3" t="n">
        <v>1.3</v>
      </c>
      <c r="D44" s="3" t="n">
        <v>1.2</v>
      </c>
      <c r="E44" s="3" t="n">
        <v>1.2</v>
      </c>
      <c r="F44" s="3" t="n">
        <v>1.2</v>
      </c>
      <c r="G44" s="3" t="n">
        <v>1.2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110</v>
      </c>
      <c r="C45" s="3" t="n">
        <v>4.5</v>
      </c>
      <c r="D45" s="3" t="n">
        <v>4.5</v>
      </c>
      <c r="E45" s="3" t="n">
        <v>4.5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111</v>
      </c>
      <c r="C46" s="3" t="n">
        <v>3.5</v>
      </c>
      <c r="D46" s="3" t="n">
        <v>3.5</v>
      </c>
      <c r="E46" s="3" t="n">
        <v>3.5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112</v>
      </c>
      <c r="C47" s="3" t="n">
        <v>30</v>
      </c>
      <c r="D47" s="3" t="n">
        <v>27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-30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-1.1</v>
      </c>
      <c r="D5" s="4" t="n">
        <f aca="false">Assumptions!D13</f>
        <v>-5</v>
      </c>
      <c r="E5" s="4" t="n">
        <f aca="false">Assumptions!E13</f>
        <v>-2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2454.877</v>
      </c>
      <c r="C6" s="0" t="n">
        <f aca="false">B6*(1+C5/100)</f>
        <v>2427.873353</v>
      </c>
      <c r="D6" s="0" t="n">
        <f aca="false">C6*(1+D5/100)</f>
        <v>2306.47968535</v>
      </c>
      <c r="E6" s="0" t="n">
        <f aca="false">D6*(1+E5/100)</f>
        <v>2260.350091643</v>
      </c>
      <c r="F6" s="0" t="n">
        <f aca="false">E6*(1+F5/100)</f>
        <v>2282.95359255943</v>
      </c>
      <c r="G6" s="0" t="n">
        <f aca="false">F6*(1+G5/100)</f>
        <v>2328.61266441062</v>
      </c>
      <c r="H6" s="0" t="n">
        <f aca="false">G6*(1+H5/100)</f>
        <v>2375.18491769883</v>
      </c>
      <c r="I6" s="0" t="n">
        <f aca="false">H6*(1+I5/100)</f>
        <v>2422.68861605281</v>
      </c>
      <c r="J6" s="0" t="n">
        <f aca="false">I6*(1+J5/100)</f>
        <v>2471.14238837386</v>
      </c>
      <c r="K6" s="0" t="n">
        <f aca="false">J6*(1+K5/100)</f>
        <v>2520.56523614134</v>
      </c>
      <c r="L6" s="0" t="n">
        <f aca="false">K6*(1+L5/100)</f>
        <v>2570.97654086417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15.6</v>
      </c>
      <c r="D7" s="4" t="n">
        <f aca="false">Assumptions!D14</f>
        <v>14.5</v>
      </c>
      <c r="E7" s="4" t="n">
        <f aca="false">Assumptions!E14</f>
        <v>14.5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378.748243068</v>
      </c>
      <c r="D8" s="0" t="n">
        <f aca="false">D6*D7/100</f>
        <v>334.43955437575</v>
      </c>
      <c r="E8" s="0" t="n">
        <f aca="false">E6*E7/100</f>
        <v>327.750763288235</v>
      </c>
      <c r="F8" s="0" t="n">
        <f aca="false">F6*F7/100</f>
        <v>342.443038883915</v>
      </c>
      <c r="G8" s="0" t="n">
        <f aca="false">G6*G7/100</f>
        <v>349.291899661593</v>
      </c>
      <c r="H8" s="0" t="n">
        <f aca="false">H6*H7/100</f>
        <v>356.277737654825</v>
      </c>
      <c r="I8" s="0" t="n">
        <f aca="false">I6*I7/100</f>
        <v>363.403292407921</v>
      </c>
      <c r="J8" s="0" t="n">
        <f aca="false">J6*J7/100</f>
        <v>370.67135825608</v>
      </c>
      <c r="K8" s="0" t="n">
        <f aca="false">K6*K7/100</f>
        <v>378.084785421201</v>
      </c>
      <c r="L8" s="0" t="n">
        <f aca="false">L6*L7/100</f>
        <v>385.646481129625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3.1</v>
      </c>
      <c r="D9" s="4" t="n">
        <f aca="false">Assumptions!D15</f>
        <v>3.1</v>
      </c>
      <c r="E9" s="4" t="n">
        <f aca="false">Assumptions!E15</f>
        <v>3</v>
      </c>
      <c r="F9" s="4" t="n">
        <f aca="false">Assumptions!F15</f>
        <v>3</v>
      </c>
      <c r="G9" s="4" t="n">
        <f aca="false">Assumptions!G15</f>
        <v>3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-75.264073943</v>
      </c>
      <c r="D10" s="0" t="n">
        <f aca="false">-D6*D9/100</f>
        <v>-71.50087024585</v>
      </c>
      <c r="E10" s="0" t="n">
        <f aca="false">-E6*E9/100</f>
        <v>-67.81050274929</v>
      </c>
      <c r="F10" s="0" t="n">
        <f aca="false">-F6*F9/100</f>
        <v>-68.4886077767829</v>
      </c>
      <c r="G10" s="0" t="n">
        <f aca="false">-G6*G9/100</f>
        <v>-69.8583799323186</v>
      </c>
      <c r="H10" s="0" t="n">
        <f aca="false">-H6*H9/100</f>
        <v>-71.255547530965</v>
      </c>
      <c r="I10" s="0" t="n">
        <f aca="false">-I6*I9/100</f>
        <v>-72.6806584815842</v>
      </c>
      <c r="J10" s="0" t="n">
        <f aca="false">-J6*J9/100</f>
        <v>-74.1342716512159</v>
      </c>
      <c r="K10" s="0" t="n">
        <f aca="false">-K6*K9/100</f>
        <v>-75.6169570842402</v>
      </c>
      <c r="L10" s="0" t="n">
        <f aca="false">-L6*L9/100</f>
        <v>-77.1292962259251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270.7078788595</v>
      </c>
      <c r="D11" s="0" t="n">
        <f aca="false">D8+D10+D24</f>
        <v>231.801208377675</v>
      </c>
      <c r="E11" s="0" t="n">
        <f aca="false">E8+E10+E24</f>
        <v>229.425534301765</v>
      </c>
      <c r="F11" s="0" t="n">
        <f aca="false">F8+F10+F24</f>
        <v>243.134557607579</v>
      </c>
      <c r="G11" s="0" t="n">
        <f aca="false">G8+G10+G24</f>
        <v>247.997248759731</v>
      </c>
      <c r="H11" s="0" t="n">
        <f aca="false">H8+H10+H24</f>
        <v>252.957193734925</v>
      </c>
      <c r="I11" s="0" t="n">
        <f aca="false">I8+I10+I24</f>
        <v>258.016337609624</v>
      </c>
      <c r="J11" s="0" t="n">
        <f aca="false">J8+J10+J24</f>
        <v>263.176664361817</v>
      </c>
      <c r="K11" s="0" t="n">
        <f aca="false">K8+K10+K24</f>
        <v>268.440197649053</v>
      </c>
      <c r="L11" s="0" t="n">
        <f aca="false">L8+L10+L24</f>
        <v>273.809001602034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-109.254300885</v>
      </c>
      <c r="D12" s="4" t="n">
        <f aca="false">-D6*Assumptions!D17/100</f>
        <v>-103.79158584075</v>
      </c>
      <c r="E12" s="4" t="n">
        <f aca="false">-E6*Assumptions!E17/100</f>
        <v>-101.715754123935</v>
      </c>
      <c r="F12" s="4" t="n">
        <f aca="false">-F6*Assumptions!F17/100</f>
        <v>-102.732911665174</v>
      </c>
      <c r="G12" s="4" t="n">
        <f aca="false">-G6*Assumptions!G17/100</f>
        <v>-104.787569898478</v>
      </c>
      <c r="H12" s="4" t="n">
        <f aca="false">-H6*Assumptions!H17/100</f>
        <v>-106.883321296447</v>
      </c>
      <c r="I12" s="4" t="n">
        <f aca="false">-I6*Assumptions!I17/100</f>
        <v>-109.020987722376</v>
      </c>
      <c r="J12" s="4" t="n">
        <f aca="false">-J6*Assumptions!J17/100</f>
        <v>-111.201407476824</v>
      </c>
      <c r="K12" s="4" t="n">
        <f aca="false">-K6*Assumptions!K17/100</f>
        <v>-113.42543562636</v>
      </c>
      <c r="L12" s="4" t="n">
        <f aca="false">-L6*Assumptions!L17/100</f>
        <v>-115.693944338888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161.4535779745</v>
      </c>
      <c r="D13" s="0" t="n">
        <f aca="false">D11+D12</f>
        <v>128.009622536925</v>
      </c>
      <c r="E13" s="0" t="n">
        <f aca="false">E11+E12</f>
        <v>127.70978017783</v>
      </c>
      <c r="F13" s="0" t="n">
        <f aca="false">F11+F12</f>
        <v>140.401645942405</v>
      </c>
      <c r="G13" s="0" t="n">
        <f aca="false">G11+G12</f>
        <v>143.209678861253</v>
      </c>
      <c r="H13" s="0" t="n">
        <f aca="false">H11+H12</f>
        <v>146.073872438478</v>
      </c>
      <c r="I13" s="0" t="n">
        <f aca="false">I11+I12</f>
        <v>148.995349887248</v>
      </c>
      <c r="J13" s="0" t="n">
        <f aca="false">J11+J12</f>
        <v>151.975256884993</v>
      </c>
      <c r="K13" s="0" t="n">
        <f aca="false">K11+K12</f>
        <v>155.014762022692</v>
      </c>
      <c r="L13" s="0" t="n">
        <f aca="false">L11+L12</f>
        <v>158.115057263146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30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113.01750458215</v>
      </c>
      <c r="D15" s="0" t="n">
        <f aca="false">D13-MAX(0,D13)*D14/100</f>
        <v>92.166928226586</v>
      </c>
      <c r="E15" s="0" t="n">
        <f aca="false">E13-MAX(0,E13)*E14/100</f>
        <v>91.9510417280372</v>
      </c>
      <c r="F15" s="0" t="n">
        <f aca="false">F13-MAX(0,F13)*F14/100</f>
        <v>101.089185078532</v>
      </c>
      <c r="G15" s="0" t="n">
        <f aca="false">G13-MAX(0,G13)*G14/100</f>
        <v>103.110968780102</v>
      </c>
      <c r="H15" s="0" t="n">
        <f aca="false">H13-MAX(0,H13)*H14/100</f>
        <v>105.173188155704</v>
      </c>
      <c r="I15" s="0" t="n">
        <f aca="false">I13-MAX(0,I13)*I14/100</f>
        <v>107.276651918818</v>
      </c>
      <c r="J15" s="0" t="n">
        <f aca="false">J13-MAX(0,J13)*J14/100</f>
        <v>109.422184957195</v>
      </c>
      <c r="K15" s="0" t="n">
        <f aca="false">K13-MAX(0,K13)*K14/100</f>
        <v>111.610628656339</v>
      </c>
      <c r="L15" s="0" t="n">
        <f aca="false">L13-MAX(0,L13)*L14/100</f>
        <v>113.842841229465</v>
      </c>
    </row>
    <row r="16" customFormat="false" ht="15" hidden="false" customHeight="false" outlineLevel="0" collapsed="false">
      <c r="A16" s="0" t="s">
        <v>128</v>
      </c>
      <c r="C16" s="0" t="n">
        <f aca="false">-C12</f>
        <v>109.254300885</v>
      </c>
      <c r="D16" s="0" t="n">
        <f aca="false">-D12</f>
        <v>103.79158584075</v>
      </c>
      <c r="E16" s="0" t="n">
        <f aca="false">-E12</f>
        <v>101.715754123935</v>
      </c>
      <c r="F16" s="0" t="n">
        <f aca="false">-F12</f>
        <v>102.732911665174</v>
      </c>
      <c r="G16" s="0" t="n">
        <f aca="false">-G12</f>
        <v>104.787569898478</v>
      </c>
      <c r="H16" s="0" t="n">
        <f aca="false">-H12</f>
        <v>106.883321296447</v>
      </c>
      <c r="I16" s="0" t="n">
        <f aca="false">-I12</f>
        <v>109.020987722376</v>
      </c>
      <c r="J16" s="0" t="n">
        <f aca="false">-J12</f>
        <v>111.201407476824</v>
      </c>
      <c r="K16" s="0" t="n">
        <f aca="false">-K12</f>
        <v>113.42543562636</v>
      </c>
      <c r="L16" s="0" t="n">
        <f aca="false">-L12</f>
        <v>115.693944338888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-84.975567355</v>
      </c>
      <c r="D17" s="4" t="n">
        <f aca="false">-D6*Assumptions!D18/100</f>
        <v>-80.72678898725</v>
      </c>
      <c r="E17" s="4" t="n">
        <f aca="false">-E6*Assumptions!E18/100</f>
        <v>-79.112253207505</v>
      </c>
      <c r="F17" s="4" t="n">
        <f aca="false">-F6*Assumptions!F18/100</f>
        <v>-79.9033757395801</v>
      </c>
      <c r="G17" s="4" t="n">
        <f aca="false">-G6*Assumptions!G18/100</f>
        <v>-81.5014432543717</v>
      </c>
      <c r="H17" s="4" t="n">
        <f aca="false">-H6*Assumptions!H18/100</f>
        <v>-83.1314721194591</v>
      </c>
      <c r="I17" s="4" t="n">
        <f aca="false">-I6*Assumptions!I18/100</f>
        <v>-84.7941015618483</v>
      </c>
      <c r="J17" s="4" t="n">
        <f aca="false">-J6*Assumptions!J18/100</f>
        <v>-86.4899835930852</v>
      </c>
      <c r="K17" s="4" t="n">
        <f aca="false">-K6*Assumptions!K18/100</f>
        <v>-88.2197832649469</v>
      </c>
      <c r="L17" s="4" t="n">
        <f aca="false">-L6*Assumptions!L18/100</f>
        <v>-89.9841789302459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8.1010941</v>
      </c>
      <c r="D18" s="4" t="n">
        <f aca="false">(D6-C6)*Assumptions!$B$23/100</f>
        <v>36.4181002950001</v>
      </c>
      <c r="E18" s="4" t="n">
        <f aca="false">(E6-D6)*Assumptions!$B$23/100</f>
        <v>13.8388781121</v>
      </c>
      <c r="F18" s="4" t="n">
        <f aca="false">(F6-E6)*Assumptions!$B$23/100</f>
        <v>-6.78105027492907</v>
      </c>
      <c r="G18" s="4" t="n">
        <f aca="false">(G6-F6)*Assumptions!$B$23/100</f>
        <v>-13.6977215553567</v>
      </c>
      <c r="H18" s="4" t="n">
        <f aca="false">(H6-G6)*Assumptions!$B$23/100</f>
        <v>-13.9716759864637</v>
      </c>
      <c r="I18" s="4" t="n">
        <f aca="false">(I6-H6)*Assumptions!$B$23/100</f>
        <v>-14.251109506193</v>
      </c>
      <c r="J18" s="4" t="n">
        <f aca="false">(J6-I6)*Assumptions!$B$23/100</f>
        <v>-14.5361316963168</v>
      </c>
      <c r="K18" s="4" t="n">
        <f aca="false">(K6-J6)*Assumptions!$B$23/100</f>
        <v>-14.8268543302432</v>
      </c>
      <c r="L18" s="4" t="n">
        <f aca="false">(L6-K6)*Assumptions!$B$23/100</f>
        <v>-15.1233914168481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145.39733221215</v>
      </c>
      <c r="D19" s="0" t="n">
        <f aca="false">D15+D16+D17+D18</f>
        <v>151.649825375086</v>
      </c>
      <c r="E19" s="0" t="n">
        <f aca="false">E15+E16+E17+E18</f>
        <v>128.393420756567</v>
      </c>
      <c r="F19" s="0" t="n">
        <f aca="false">F15+F16+F17+F18</f>
        <v>117.137670729197</v>
      </c>
      <c r="G19" s="0" t="n">
        <f aca="false">G15+G16+G17+G18</f>
        <v>112.699373868852</v>
      </c>
      <c r="H19" s="0" t="n">
        <f aca="false">H15+H16+H17+H18</f>
        <v>114.953361346229</v>
      </c>
      <c r="I19" s="0" t="n">
        <f aca="false">I15+I16+I17+I18</f>
        <v>117.252428573153</v>
      </c>
      <c r="J19" s="0" t="n">
        <f aca="false">J15+J16+J17+J18</f>
        <v>119.597477144617</v>
      </c>
      <c r="K19" s="0" t="n">
        <f aca="false">K15+K16+K17+K18</f>
        <v>121.989426687509</v>
      </c>
      <c r="L19" s="0" t="n">
        <f aca="false">L15+L16+L17+L18</f>
        <v>124.429215221259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132.179392920136</v>
      </c>
      <c r="D21" s="0" t="n">
        <f aca="false">D19*D20</f>
        <v>125.330434194286</v>
      </c>
      <c r="E21" s="0" t="n">
        <f aca="false">E19*E20</f>
        <v>96.4638773527928</v>
      </c>
      <c r="F21" s="0" t="n">
        <f aca="false">F19*F20</f>
        <v>80.0066052381646</v>
      </c>
      <c r="G21" s="0" t="n">
        <f aca="false">G19*G20</f>
        <v>69.9774443305858</v>
      </c>
      <c r="H21" s="0" t="n">
        <f aca="false">H19*H20</f>
        <v>64.8881756519977</v>
      </c>
      <c r="I21" s="0" t="n">
        <f aca="false">I19*I20</f>
        <v>60.1690356045797</v>
      </c>
      <c r="J21" s="0" t="n">
        <f aca="false">J19*J20</f>
        <v>55.7931057424285</v>
      </c>
      <c r="K21" s="0" t="n">
        <f aca="false">K19*K20</f>
        <v>51.7354253247973</v>
      </c>
      <c r="L21" s="0" t="n">
        <f aca="false">L19*L20</f>
        <v>47.9728489375393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1.35</v>
      </c>
      <c r="D23" s="4" t="n">
        <f aca="false">Assumptions!D16</f>
        <v>1.35</v>
      </c>
      <c r="E23" s="4" t="n">
        <f aca="false">Assumptions!E16</f>
        <v>1.35</v>
      </c>
      <c r="F23" s="4" t="n">
        <f aca="false">Assumptions!F16</f>
        <v>1.35</v>
      </c>
      <c r="G23" s="4" t="n">
        <f aca="false">Assumptions!G16</f>
        <v>1.35</v>
      </c>
      <c r="H23" s="4" t="n">
        <f aca="false">Assumptions!H16</f>
        <v>1.35</v>
      </c>
      <c r="I23" s="4" t="n">
        <f aca="false">Assumptions!I16</f>
        <v>1.35</v>
      </c>
      <c r="J23" s="4" t="n">
        <f aca="false">Assumptions!J16</f>
        <v>1.35</v>
      </c>
      <c r="K23" s="4" t="n">
        <f aca="false">Assumptions!K16</f>
        <v>1.35</v>
      </c>
      <c r="L23" s="4" t="n">
        <f aca="false">Assumptions!L16</f>
        <v>1.35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-32.7762902655</v>
      </c>
      <c r="D24" s="0" t="n">
        <f aca="false">-D6*D23/100</f>
        <v>-31.137475752225</v>
      </c>
      <c r="E24" s="0" t="n">
        <f aca="false">-E6*E23/100</f>
        <v>-30.5147262371805</v>
      </c>
      <c r="F24" s="0" t="n">
        <f aca="false">-F6*F23/100</f>
        <v>-30.8198734995523</v>
      </c>
      <c r="G24" s="0" t="n">
        <f aca="false">-G6*G23/100</f>
        <v>-31.4362709695434</v>
      </c>
      <c r="H24" s="0" t="n">
        <f aca="false">-H6*H23/100</f>
        <v>-32.0649963889342</v>
      </c>
      <c r="I24" s="0" t="n">
        <f aca="false">-I6*I23/100</f>
        <v>-32.7062963167129</v>
      </c>
      <c r="J24" s="0" t="n">
        <f aca="false">-J6*J23/100</f>
        <v>-33.3604222430472</v>
      </c>
      <c r="K24" s="0" t="n">
        <f aca="false">-K6*K23/100</f>
        <v>-34.0276306879081</v>
      </c>
      <c r="L24" s="0" t="n">
        <f aca="false">-L6*L23/100</f>
        <v>-34.7081833016663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784.516345297308</v>
      </c>
    </row>
    <row r="31" customFormat="false" ht="15" hidden="false" customHeight="false" outlineLevel="0" collapsed="false">
      <c r="A31" s="0" t="s">
        <v>137</v>
      </c>
      <c r="B31" s="0" t="n">
        <f aca="false">L19</f>
        <v>124.429215221259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1586.47249407105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1244.29215221259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1244.29215221259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479.728489375393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1264.2448346727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805.279834672701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18.5548349002927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-0.471372225062887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442.524154151519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379.142702873681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37.4872509607811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976.290765582186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9.88927301208365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-0.4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2454.877</v>
      </c>
      <c r="C6" s="0" t="n">
        <f aca="false">B6*(1+C5/100)</f>
        <v>2445.057492</v>
      </c>
      <c r="D6" s="0" t="n">
        <f aca="false">C6*(1+D5/100)</f>
        <v>2493.95864184</v>
      </c>
      <c r="E6" s="0" t="n">
        <f aca="false">D6*(1+E5/100)</f>
        <v>2593.7169875136</v>
      </c>
      <c r="F6" s="0" t="n">
        <f aca="false">E6*(1+F5/100)</f>
        <v>2723.40283688928</v>
      </c>
      <c r="G6" s="0" t="n">
        <f aca="false">F6*(1+G5/100)</f>
        <v>2859.57297873374</v>
      </c>
      <c r="H6" s="0" t="n">
        <f aca="false">G6*(1+H5/100)</f>
        <v>2988.25376277676</v>
      </c>
      <c r="I6" s="0" t="n">
        <f aca="false">H6*(1+I5/100)</f>
        <v>3107.78391328783</v>
      </c>
      <c r="J6" s="0" t="n">
        <f aca="false">I6*(1+J5/100)</f>
        <v>3216.55635025291</v>
      </c>
      <c r="K6" s="0" t="n">
        <f aca="false">J6*(1+K5/100)</f>
        <v>3313.05304076049</v>
      </c>
      <c r="L6" s="0" t="n">
        <f aca="false">K6*(1+L5/100)</f>
        <v>3395.87936677951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16</v>
      </c>
      <c r="D7" s="4" t="n">
        <f aca="false">Assumptions!D28</f>
        <v>17.3</v>
      </c>
      <c r="E7" s="4" t="n">
        <f aca="false">Assumptions!E28</f>
        <v>17.8</v>
      </c>
      <c r="F7" s="4" t="n">
        <f aca="false">Assumptions!F28</f>
        <v>18.2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391.20919872</v>
      </c>
      <c r="D8" s="0" t="n">
        <f aca="false">D6*D7/100</f>
        <v>431.45484503832</v>
      </c>
      <c r="E8" s="0" t="n">
        <f aca="false">E6*E7/100</f>
        <v>461.681623777421</v>
      </c>
      <c r="F8" s="0" t="n">
        <f aca="false">F6*F7/100</f>
        <v>495.659316313849</v>
      </c>
      <c r="G8" s="0" t="n">
        <f aca="false">G6*G7/100</f>
        <v>529.021001065743</v>
      </c>
      <c r="H8" s="0" t="n">
        <f aca="false">H6*H7/100</f>
        <v>552.826946113701</v>
      </c>
      <c r="I8" s="0" t="n">
        <f aca="false">I6*I7/100</f>
        <v>574.940023958249</v>
      </c>
      <c r="J8" s="0" t="n">
        <f aca="false">J6*J7/100</f>
        <v>595.062924796788</v>
      </c>
      <c r="K8" s="0" t="n">
        <f aca="false">K6*K7/100</f>
        <v>612.914812540691</v>
      </c>
      <c r="L8" s="0" t="n">
        <f aca="false">L6*L7/100</f>
        <v>628.237682854209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3</v>
      </c>
      <c r="F9" s="4" t="n">
        <f aca="false">Assumptions!F29</f>
        <v>2.9</v>
      </c>
      <c r="G9" s="4" t="n">
        <f aca="false">Assumptions!G29</f>
        <v>2.9</v>
      </c>
      <c r="H9" s="4" t="n">
        <f aca="false">Assumptions!H29</f>
        <v>2.8</v>
      </c>
      <c r="I9" s="4" t="n">
        <f aca="false">Assumptions!I29</f>
        <v>2.8</v>
      </c>
      <c r="J9" s="4" t="n">
        <f aca="false">Assumptions!J29</f>
        <v>2.8</v>
      </c>
      <c r="K9" s="4" t="n">
        <f aca="false">Assumptions!K29</f>
        <v>2.8</v>
      </c>
      <c r="L9" s="4" t="n">
        <f aca="false">Assumptions!L29</f>
        <v>2.8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-73.35172476</v>
      </c>
      <c r="D10" s="0" t="n">
        <f aca="false">-D6*D9/100</f>
        <v>-74.8187592552</v>
      </c>
      <c r="E10" s="0" t="n">
        <f aca="false">-E6*E9/100</f>
        <v>-77.811509625408</v>
      </c>
      <c r="F10" s="0" t="n">
        <f aca="false">-F6*F9/100</f>
        <v>-78.9786822697891</v>
      </c>
      <c r="G10" s="0" t="n">
        <f aca="false">-G6*G9/100</f>
        <v>-82.9276163832786</v>
      </c>
      <c r="H10" s="0" t="n">
        <f aca="false">-H6*H9/100</f>
        <v>-83.6711053577494</v>
      </c>
      <c r="I10" s="0" t="n">
        <f aca="false">-I6*I9/100</f>
        <v>-87.0179495720593</v>
      </c>
      <c r="J10" s="0" t="n">
        <f aca="false">-J6*J9/100</f>
        <v>-90.0635778070814</v>
      </c>
      <c r="K10" s="0" t="n">
        <f aca="false">-K6*K9/100</f>
        <v>-92.7654851412938</v>
      </c>
      <c r="L10" s="0" t="n">
        <f aca="false">-L6*L9/100</f>
        <v>-95.0846222698262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286.071726564</v>
      </c>
      <c r="D11" s="0" t="n">
        <f aca="false">D8+D10+D24</f>
        <v>325.46160276012</v>
      </c>
      <c r="E11" s="0" t="n">
        <f aca="false">E8+E10+E24</f>
        <v>351.448651808093</v>
      </c>
      <c r="F11" s="0" t="n">
        <f aca="false">F8+F10+F24</f>
        <v>382.638098582944</v>
      </c>
      <c r="G11" s="0" t="n">
        <f aca="false">G8+G10+G24</f>
        <v>410.348722448292</v>
      </c>
      <c r="H11" s="0" t="n">
        <f aca="false">H8+H10+H24</f>
        <v>431.802668721242</v>
      </c>
      <c r="I11" s="0" t="n">
        <f aca="false">I8+I10+I24</f>
        <v>449.074775470092</v>
      </c>
      <c r="J11" s="0" t="n">
        <f aca="false">J8+J10+J24</f>
        <v>464.792392611545</v>
      </c>
      <c r="K11" s="0" t="n">
        <f aca="false">K8+K10+K24</f>
        <v>478.736164389891</v>
      </c>
      <c r="L11" s="0" t="n">
        <f aca="false">L8+L10+L24</f>
        <v>490.704568499639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-110.02758714</v>
      </c>
      <c r="D12" s="4" t="n">
        <f aca="false">-D6*Assumptions!D31/100</f>
        <v>-112.2281388828</v>
      </c>
      <c r="E12" s="4" t="n">
        <f aca="false">-E6*Assumptions!E31/100</f>
        <v>-116.717264438112</v>
      </c>
      <c r="F12" s="4" t="n">
        <f aca="false">-F6*Assumptions!F31/100</f>
        <v>-122.553127660018</v>
      </c>
      <c r="G12" s="4" t="n">
        <f aca="false">-G6*Assumptions!G31/100</f>
        <v>-128.680784043019</v>
      </c>
      <c r="H12" s="4" t="n">
        <f aca="false">-H6*Assumptions!H31/100</f>
        <v>-134.471419324954</v>
      </c>
      <c r="I12" s="4" t="n">
        <f aca="false">-I6*Assumptions!I31/100</f>
        <v>-139.850276097952</v>
      </c>
      <c r="J12" s="4" t="n">
        <f aca="false">-J6*Assumptions!J31/100</f>
        <v>-144.745035761381</v>
      </c>
      <c r="K12" s="4" t="n">
        <f aca="false">-K6*Assumptions!K31/100</f>
        <v>-149.087386834222</v>
      </c>
      <c r="L12" s="4" t="n">
        <f aca="false">-L6*Assumptions!L31/100</f>
        <v>-152.814571505078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176.044139424</v>
      </c>
      <c r="D13" s="0" t="n">
        <f aca="false">D11+D12</f>
        <v>213.23346387732</v>
      </c>
      <c r="E13" s="0" t="n">
        <f aca="false">E11+E12</f>
        <v>234.731387369981</v>
      </c>
      <c r="F13" s="0" t="n">
        <f aca="false">F11+F12</f>
        <v>260.084970922926</v>
      </c>
      <c r="G13" s="0" t="n">
        <f aca="false">G11+G12</f>
        <v>281.667938405274</v>
      </c>
      <c r="H13" s="0" t="n">
        <f aca="false">H11+H12</f>
        <v>297.331249396288</v>
      </c>
      <c r="I13" s="0" t="n">
        <f aca="false">I11+I12</f>
        <v>309.224499372139</v>
      </c>
      <c r="J13" s="0" t="n">
        <f aca="false">J11+J12</f>
        <v>320.047356850164</v>
      </c>
      <c r="K13" s="0" t="n">
        <f aca="false">K11+K12</f>
        <v>329.648777555669</v>
      </c>
      <c r="L13" s="0" t="n">
        <f aca="false">L11+L12</f>
        <v>337.889996994561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30</v>
      </c>
      <c r="D14" s="4" t="n">
        <f aca="false">Assumptions!D33</f>
        <v>28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123.2308975968</v>
      </c>
      <c r="D15" s="0" t="n">
        <f aca="false">D13-MAX(0,D13)*D14/100</f>
        <v>153.52809399167</v>
      </c>
      <c r="E15" s="0" t="n">
        <f aca="false">E13-MAX(0,E13)*E14/100</f>
        <v>171.353912780086</v>
      </c>
      <c r="F15" s="0" t="n">
        <f aca="false">F13-MAX(0,F13)*F14/100</f>
        <v>189.862028773736</v>
      </c>
      <c r="G15" s="0" t="n">
        <f aca="false">G13-MAX(0,G13)*G14/100</f>
        <v>205.61759503585</v>
      </c>
      <c r="H15" s="0" t="n">
        <f aca="false">H13-MAX(0,H13)*H14/100</f>
        <v>217.05181205929</v>
      </c>
      <c r="I15" s="0" t="n">
        <f aca="false">I13-MAX(0,I13)*I14/100</f>
        <v>225.733884541662</v>
      </c>
      <c r="J15" s="0" t="n">
        <f aca="false">J13-MAX(0,J13)*J14/100</f>
        <v>233.63457050062</v>
      </c>
      <c r="K15" s="0" t="n">
        <f aca="false">K13-MAX(0,K13)*K14/100</f>
        <v>240.643607615639</v>
      </c>
      <c r="L15" s="0" t="n">
        <f aca="false">L13-MAX(0,L13)*L14/100</f>
        <v>246.659697806029</v>
      </c>
    </row>
    <row r="16" customFormat="false" ht="15" hidden="false" customHeight="false" outlineLevel="0" collapsed="false">
      <c r="A16" s="0" t="s">
        <v>128</v>
      </c>
      <c r="C16" s="0" t="n">
        <f aca="false">-C12</f>
        <v>110.02758714</v>
      </c>
      <c r="D16" s="0" t="n">
        <f aca="false">-D12</f>
        <v>112.2281388828</v>
      </c>
      <c r="E16" s="0" t="n">
        <f aca="false">-E12</f>
        <v>116.717264438112</v>
      </c>
      <c r="F16" s="0" t="n">
        <f aca="false">-F12</f>
        <v>122.553127660018</v>
      </c>
      <c r="G16" s="0" t="n">
        <f aca="false">-G12</f>
        <v>128.680784043019</v>
      </c>
      <c r="H16" s="0" t="n">
        <f aca="false">-H12</f>
        <v>134.471419324954</v>
      </c>
      <c r="I16" s="0" t="n">
        <f aca="false">-I12</f>
        <v>139.850276097952</v>
      </c>
      <c r="J16" s="0" t="n">
        <f aca="false">-J12</f>
        <v>144.745035761381</v>
      </c>
      <c r="K16" s="0" t="n">
        <f aca="false">-K12</f>
        <v>149.087386834222</v>
      </c>
      <c r="L16" s="0" t="n">
        <f aca="false">-L12</f>
        <v>152.814571505078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-85.57701222</v>
      </c>
      <c r="D17" s="4" t="n">
        <f aca="false">-D6*Assumptions!D32/100</f>
        <v>-87.2885524644</v>
      </c>
      <c r="E17" s="4" t="n">
        <f aca="false">-E6*Assumptions!E32/100</f>
        <v>-90.780094562976</v>
      </c>
      <c r="F17" s="4" t="n">
        <f aca="false">-F6*Assumptions!F32/100</f>
        <v>-95.3190992911248</v>
      </c>
      <c r="G17" s="4" t="n">
        <f aca="false">-G6*Assumptions!G32/100</f>
        <v>-100.085054255681</v>
      </c>
      <c r="H17" s="4" t="n">
        <f aca="false">-H6*Assumptions!H32/100</f>
        <v>-104.588881697187</v>
      </c>
      <c r="I17" s="4" t="n">
        <f aca="false">-I6*Assumptions!I32/100</f>
        <v>-108.772436965074</v>
      </c>
      <c r="J17" s="4" t="n">
        <f aca="false">-J6*Assumptions!J32/100</f>
        <v>-112.579472258852</v>
      </c>
      <c r="K17" s="4" t="n">
        <f aca="false">-K6*Assumptions!K32/100</f>
        <v>-115.956856426617</v>
      </c>
      <c r="L17" s="4" t="n">
        <f aca="false">-L6*Assumptions!L32/100</f>
        <v>-118.855777837283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2.94585240000001</v>
      </c>
      <c r="D18" s="4" t="n">
        <f aca="false">(D6-C6)*Assumptions!$B$37/100</f>
        <v>-14.670344952</v>
      </c>
      <c r="E18" s="4" t="n">
        <f aca="false">(E6-D6)*Assumptions!$B$37/100</f>
        <v>-29.9275037020801</v>
      </c>
      <c r="F18" s="4" t="n">
        <f aca="false">(F6-E6)*Assumptions!$B$37/100</f>
        <v>-38.905754812704</v>
      </c>
      <c r="G18" s="4" t="n">
        <f aca="false">(G6-F6)*Assumptions!$B$37/100</f>
        <v>-40.8510425533392</v>
      </c>
      <c r="H18" s="4" t="n">
        <f aca="false">(H6-G6)*Assumptions!$B$37/100</f>
        <v>-38.6042352129055</v>
      </c>
      <c r="I18" s="4" t="n">
        <f aca="false">(I6-H6)*Assumptions!$B$37/100</f>
        <v>-35.8590451533212</v>
      </c>
      <c r="J18" s="4" t="n">
        <f aca="false">(J6-I6)*Assumptions!$B$37/100</f>
        <v>-32.6317310895222</v>
      </c>
      <c r="K18" s="4" t="n">
        <f aca="false">(K6-J6)*Assumptions!$B$37/100</f>
        <v>-28.9490071522761</v>
      </c>
      <c r="L18" s="4" t="n">
        <f aca="false">(L6-K6)*Assumptions!$B$37/100</f>
        <v>-24.8478978057036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150.6273249168</v>
      </c>
      <c r="D19" s="0" t="n">
        <f aca="false">D15+D16+D17+D18</f>
        <v>163.79733545807</v>
      </c>
      <c r="E19" s="0" t="n">
        <f aca="false">E15+E16+E17+E18</f>
        <v>167.363578953142</v>
      </c>
      <c r="F19" s="0" t="n">
        <f aca="false">F15+F16+F17+F18</f>
        <v>178.190302329925</v>
      </c>
      <c r="G19" s="0" t="n">
        <f aca="false">G15+G16+G17+G18</f>
        <v>193.362282269848</v>
      </c>
      <c r="H19" s="0" t="n">
        <f aca="false">H15+H16+H17+H18</f>
        <v>208.330114474152</v>
      </c>
      <c r="I19" s="0" t="n">
        <f aca="false">I15+I16+I17+I18</f>
        <v>220.952678521219</v>
      </c>
      <c r="J19" s="0" t="n">
        <f aca="false">J15+J16+J17+J18</f>
        <v>233.168402913627</v>
      </c>
      <c r="K19" s="0" t="n">
        <f aca="false">K15+K16+K17+K18</f>
        <v>244.825130870967</v>
      </c>
      <c r="L19" s="0" t="n">
        <f aca="false">L15+L16+L17+L18</f>
        <v>255.770593668121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136.933931742545</v>
      </c>
      <c r="D21" s="0" t="n">
        <f aca="false">D19*D20</f>
        <v>135.369698725678</v>
      </c>
      <c r="E21" s="0" t="n">
        <f aca="false">E19*E20</f>
        <v>125.742733999355</v>
      </c>
      <c r="F21" s="0" t="n">
        <f aca="false">F19*F20</f>
        <v>121.706374106909</v>
      </c>
      <c r="G21" s="0" t="n">
        <f aca="false">G19*G20</f>
        <v>120.062764136732</v>
      </c>
      <c r="H21" s="0" t="n">
        <f aca="false">H19*H20</f>
        <v>117.596918465778</v>
      </c>
      <c r="I21" s="0" t="n">
        <f aca="false">I19*I20</f>
        <v>113.383660727983</v>
      </c>
      <c r="J21" s="0" t="n">
        <f aca="false">J19*J20</f>
        <v>108.774780790924</v>
      </c>
      <c r="K21" s="0" t="n">
        <f aca="false">K19*K20</f>
        <v>103.829754920109</v>
      </c>
      <c r="L21" s="0" t="n">
        <f aca="false">L19*L20</f>
        <v>98.6106360221514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1.3</v>
      </c>
      <c r="D23" s="4" t="n">
        <f aca="false">Assumptions!D30</f>
        <v>1.25</v>
      </c>
      <c r="E23" s="4" t="n">
        <f aca="false">Assumptions!E30</f>
        <v>1.25</v>
      </c>
      <c r="F23" s="4" t="n">
        <f aca="false">Assumptions!F30</f>
        <v>1.25</v>
      </c>
      <c r="G23" s="4" t="n">
        <f aca="false">Assumptions!G30</f>
        <v>1.25</v>
      </c>
      <c r="H23" s="4" t="n">
        <f aca="false">Assumptions!H30</f>
        <v>1.25</v>
      </c>
      <c r="I23" s="4" t="n">
        <f aca="false">Assumptions!I30</f>
        <v>1.25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-31.785747396</v>
      </c>
      <c r="D24" s="0" t="n">
        <f aca="false">-D6*D23/100</f>
        <v>-31.174483023</v>
      </c>
      <c r="E24" s="0" t="n">
        <f aca="false">-E6*E23/100</f>
        <v>-32.42146234392</v>
      </c>
      <c r="F24" s="0" t="n">
        <f aca="false">-F6*F23/100</f>
        <v>-34.042535461116</v>
      </c>
      <c r="G24" s="0" t="n">
        <f aca="false">-G6*G23/100</f>
        <v>-35.7446622341718</v>
      </c>
      <c r="H24" s="0" t="n">
        <f aca="false">-H6*H23/100</f>
        <v>-37.3531720347095</v>
      </c>
      <c r="I24" s="0" t="n">
        <f aca="false">-I6*I23/100</f>
        <v>-38.8472989160979</v>
      </c>
      <c r="J24" s="0" t="n">
        <f aca="false">-J6*J23/100</f>
        <v>-40.2069543781613</v>
      </c>
      <c r="K24" s="0" t="n">
        <f aca="false">-K6*K23/100</f>
        <v>-41.4131630095062</v>
      </c>
      <c r="L24" s="0" t="n">
        <f aca="false">-L6*L23/100</f>
        <v>-42.4484920847438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1182.01125363816</v>
      </c>
    </row>
    <row r="31" customFormat="false" ht="15" hidden="false" customHeight="false" outlineLevel="0" collapsed="false">
      <c r="A31" s="0" t="s">
        <v>137</v>
      </c>
      <c r="B31" s="0" t="n">
        <f aca="false">L19</f>
        <v>255.770593668121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3495.53144679765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3069.24712401745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3069.24712401745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1183.32763226582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2365.33888590398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1906.37388590398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43.9256655738245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0.251443463641723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502.313346325197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501.009586602335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67.0437055030303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2097.31886807859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23.1457744138657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0.3</v>
      </c>
      <c r="D5" s="4" t="n">
        <f aca="false">Assumptions!D41</f>
        <v>6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2454.877</v>
      </c>
      <c r="C6" s="0" t="n">
        <f aca="false">B6*(1+C5/100)</f>
        <v>2462.241631</v>
      </c>
      <c r="D6" s="0" t="n">
        <f aca="false">C6*(1+D5/100)</f>
        <v>2609.97612886</v>
      </c>
      <c r="E6" s="0" t="n">
        <f aca="false">D6*(1+E5/100)</f>
        <v>2844.8739804574</v>
      </c>
      <c r="F6" s="0" t="n">
        <f aca="false">E6*(1+F5/100)</f>
        <v>3100.91263869857</v>
      </c>
      <c r="G6" s="0" t="n">
        <f aca="false">F6*(1+G5/100)</f>
        <v>3348.98564979445</v>
      </c>
      <c r="H6" s="0" t="n">
        <f aca="false">G6*(1+H5/100)</f>
        <v>3583.41464528006</v>
      </c>
      <c r="I6" s="0" t="n">
        <f aca="false">H6*(1+I5/100)</f>
        <v>3798.41952399687</v>
      </c>
      <c r="J6" s="0" t="n">
        <f aca="false">I6*(1+J5/100)</f>
        <v>3988.34050019671</v>
      </c>
      <c r="K6" s="0" t="n">
        <f aca="false">J6*(1+K5/100)</f>
        <v>4147.87412020458</v>
      </c>
      <c r="L6" s="0" t="n">
        <f aca="false">K6*(1+L5/100)</f>
        <v>4272.31034381072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16.3</v>
      </c>
      <c r="D7" s="4" t="n">
        <f aca="false">Assumptions!D42</f>
        <v>18</v>
      </c>
      <c r="E7" s="4" t="n">
        <f aca="false">Assumptions!E42</f>
        <v>19</v>
      </c>
      <c r="F7" s="4" t="n">
        <f aca="false">Assumptions!F42</f>
        <v>19.8</v>
      </c>
      <c r="G7" s="4" t="n">
        <f aca="false">Assumptions!G42</f>
        <v>20.3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401.345385853</v>
      </c>
      <c r="D8" s="0" t="n">
        <f aca="false">D6*D7/100</f>
        <v>469.7957031948</v>
      </c>
      <c r="E8" s="0" t="n">
        <f aca="false">E6*E7/100</f>
        <v>540.526056286906</v>
      </c>
      <c r="F8" s="0" t="n">
        <f aca="false">F6*F7/100</f>
        <v>613.980702462316</v>
      </c>
      <c r="G8" s="0" t="n">
        <f aca="false">G6*G7/100</f>
        <v>679.844086908274</v>
      </c>
      <c r="H8" s="0" t="n">
        <f aca="false">H6*H7/100</f>
        <v>734.600002282413</v>
      </c>
      <c r="I8" s="0" t="n">
        <f aca="false">I6*I7/100</f>
        <v>778.676002419358</v>
      </c>
      <c r="J8" s="0" t="n">
        <f aca="false">J6*J7/100</f>
        <v>817.609802540326</v>
      </c>
      <c r="K8" s="0" t="n">
        <f aca="false">K6*K7/100</f>
        <v>850.314194641939</v>
      </c>
      <c r="L8" s="0" t="n">
        <f aca="false">L6*L7/100</f>
        <v>875.823620481197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3</v>
      </c>
      <c r="D9" s="4" t="n">
        <f aca="false">Assumptions!D43</f>
        <v>3</v>
      </c>
      <c r="E9" s="4" t="n">
        <f aca="false">Assumptions!E43</f>
        <v>2.9</v>
      </c>
      <c r="F9" s="4" t="n">
        <f aca="false">Assumptions!F43</f>
        <v>2.9</v>
      </c>
      <c r="G9" s="4" t="n">
        <f aca="false">Assumptions!G43</f>
        <v>2.8</v>
      </c>
      <c r="H9" s="4" t="n">
        <f aca="false">Assumptions!H43</f>
        <v>2.8</v>
      </c>
      <c r="I9" s="4" t="n">
        <f aca="false">Assumptions!I43</f>
        <v>2.8</v>
      </c>
      <c r="J9" s="4" t="n">
        <f aca="false">Assumptions!J43</f>
        <v>2.8</v>
      </c>
      <c r="K9" s="4" t="n">
        <f aca="false">Assumptions!K43</f>
        <v>2.8</v>
      </c>
      <c r="L9" s="4" t="n">
        <f aca="false">Assumptions!L43</f>
        <v>2.8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-73.86724893</v>
      </c>
      <c r="D10" s="0" t="n">
        <f aca="false">-D6*D9/100</f>
        <v>-78.2992838658</v>
      </c>
      <c r="E10" s="0" t="n">
        <f aca="false">-E6*E9/100</f>
        <v>-82.5013454332646</v>
      </c>
      <c r="F10" s="0" t="n">
        <f aca="false">-F6*F9/100</f>
        <v>-89.9264665222584</v>
      </c>
      <c r="G10" s="0" t="n">
        <f aca="false">-G6*G9/100</f>
        <v>-93.7715981942447</v>
      </c>
      <c r="H10" s="0" t="n">
        <f aca="false">-H6*H9/100</f>
        <v>-100.335610067842</v>
      </c>
      <c r="I10" s="0" t="n">
        <f aca="false">-I6*I9/100</f>
        <v>-106.355746671912</v>
      </c>
      <c r="J10" s="0" t="n">
        <f aca="false">-J6*J9/100</f>
        <v>-111.673534005508</v>
      </c>
      <c r="K10" s="0" t="n">
        <f aca="false">-K6*K9/100</f>
        <v>-116.140475365728</v>
      </c>
      <c r="L10" s="0" t="n">
        <f aca="false">-L6*L9/100</f>
        <v>-119.6246896267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295.46899572</v>
      </c>
      <c r="D11" s="0" t="n">
        <f aca="false">D8+D10+D24</f>
        <v>360.17670578268</v>
      </c>
      <c r="E11" s="0" t="n">
        <f aca="false">E8+E10+E24</f>
        <v>423.886223088153</v>
      </c>
      <c r="F11" s="0" t="n">
        <f aca="false">F8+F10+F24</f>
        <v>486.843284275675</v>
      </c>
      <c r="G11" s="0" t="n">
        <f aca="false">G8+G10+G24</f>
        <v>545.884660916496</v>
      </c>
      <c r="H11" s="0" t="n">
        <f aca="false">H8+H10+H24</f>
        <v>591.263416471211</v>
      </c>
      <c r="I11" s="0" t="n">
        <f aca="false">I8+I10+I24</f>
        <v>626.739221459483</v>
      </c>
      <c r="J11" s="0" t="n">
        <f aca="false">J8+J10+J24</f>
        <v>658.076182532457</v>
      </c>
      <c r="K11" s="0" t="n">
        <f aca="false">K8+K10+K24</f>
        <v>684.399229833756</v>
      </c>
      <c r="L11" s="0" t="n">
        <f aca="false">L8+L10+L24</f>
        <v>704.931206728768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-110.800873395</v>
      </c>
      <c r="D12" s="4" t="n">
        <f aca="false">-D6*Assumptions!D45/100</f>
        <v>-117.4489257987</v>
      </c>
      <c r="E12" s="4" t="n">
        <f aca="false">-E6*Assumptions!E45/100</f>
        <v>-128.019329120583</v>
      </c>
      <c r="F12" s="4" t="n">
        <f aca="false">-F6*Assumptions!F45/100</f>
        <v>-139.541068741435</v>
      </c>
      <c r="G12" s="4" t="n">
        <f aca="false">-G6*Assumptions!G45/100</f>
        <v>-150.70435424075</v>
      </c>
      <c r="H12" s="4" t="n">
        <f aca="false">-H6*Assumptions!H45/100</f>
        <v>-161.253659037603</v>
      </c>
      <c r="I12" s="4" t="n">
        <f aca="false">-I6*Assumptions!I45/100</f>
        <v>-170.928878579859</v>
      </c>
      <c r="J12" s="4" t="n">
        <f aca="false">-J6*Assumptions!J45/100</f>
        <v>-179.475322508852</v>
      </c>
      <c r="K12" s="4" t="n">
        <f aca="false">-K6*Assumptions!K45/100</f>
        <v>-186.654335409206</v>
      </c>
      <c r="L12" s="4" t="n">
        <f aca="false">-L6*Assumptions!L45/100</f>
        <v>-192.253965471482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184.668122325</v>
      </c>
      <c r="D13" s="0" t="n">
        <f aca="false">D11+D12</f>
        <v>242.72777998398</v>
      </c>
      <c r="E13" s="0" t="n">
        <f aca="false">E11+E12</f>
        <v>295.86689396757</v>
      </c>
      <c r="F13" s="0" t="n">
        <f aca="false">F11+F12</f>
        <v>347.30221553424</v>
      </c>
      <c r="G13" s="0" t="n">
        <f aca="false">G11+G12</f>
        <v>395.180306675745</v>
      </c>
      <c r="H13" s="0" t="n">
        <f aca="false">H11+H12</f>
        <v>430.009757433608</v>
      </c>
      <c r="I13" s="0" t="n">
        <f aca="false">I11+I12</f>
        <v>455.810342879624</v>
      </c>
      <c r="J13" s="0" t="n">
        <f aca="false">J11+J12</f>
        <v>478.600860023605</v>
      </c>
      <c r="K13" s="0" t="n">
        <f aca="false">K11+K12</f>
        <v>497.74489442455</v>
      </c>
      <c r="L13" s="0" t="n">
        <f aca="false">L11+L12</f>
        <v>512.677241257286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30</v>
      </c>
      <c r="D14" s="4" t="n">
        <f aca="false">Assumptions!D47</f>
        <v>27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129.2676856275</v>
      </c>
      <c r="D15" s="0" t="n">
        <f aca="false">D13-MAX(0,D13)*D14/100</f>
        <v>177.191279388305</v>
      </c>
      <c r="E15" s="0" t="n">
        <f aca="false">E13-MAX(0,E13)*E14/100</f>
        <v>218.941501536002</v>
      </c>
      <c r="F15" s="0" t="n">
        <f aca="false">F13-MAX(0,F13)*F14/100</f>
        <v>257.003639495337</v>
      </c>
      <c r="G15" s="0" t="n">
        <f aca="false">G13-MAX(0,G13)*G14/100</f>
        <v>292.433426940052</v>
      </c>
      <c r="H15" s="0" t="n">
        <f aca="false">H13-MAX(0,H13)*H14/100</f>
        <v>318.20722050087</v>
      </c>
      <c r="I15" s="0" t="n">
        <f aca="false">I13-MAX(0,I13)*I14/100</f>
        <v>337.299653730922</v>
      </c>
      <c r="J15" s="0" t="n">
        <f aca="false">J13-MAX(0,J13)*J14/100</f>
        <v>354.164636417468</v>
      </c>
      <c r="K15" s="0" t="n">
        <f aca="false">K13-MAX(0,K13)*K14/100</f>
        <v>368.331221874167</v>
      </c>
      <c r="L15" s="0" t="n">
        <f aca="false">L13-MAX(0,L13)*L14/100</f>
        <v>379.381158530392</v>
      </c>
    </row>
    <row r="16" customFormat="false" ht="15" hidden="false" customHeight="false" outlineLevel="0" collapsed="false">
      <c r="A16" s="0" t="s">
        <v>128</v>
      </c>
      <c r="C16" s="0" t="n">
        <f aca="false">-C12</f>
        <v>110.800873395</v>
      </c>
      <c r="D16" s="0" t="n">
        <f aca="false">-D12</f>
        <v>117.4489257987</v>
      </c>
      <c r="E16" s="0" t="n">
        <f aca="false">-E12</f>
        <v>128.019329120583</v>
      </c>
      <c r="F16" s="0" t="n">
        <f aca="false">-F12</f>
        <v>139.541068741435</v>
      </c>
      <c r="G16" s="0" t="n">
        <f aca="false">-G12</f>
        <v>150.70435424075</v>
      </c>
      <c r="H16" s="0" t="n">
        <f aca="false">-H12</f>
        <v>161.253659037603</v>
      </c>
      <c r="I16" s="0" t="n">
        <f aca="false">-I12</f>
        <v>170.928878579859</v>
      </c>
      <c r="J16" s="0" t="n">
        <f aca="false">-J12</f>
        <v>179.475322508852</v>
      </c>
      <c r="K16" s="0" t="n">
        <f aca="false">-K12</f>
        <v>186.654335409206</v>
      </c>
      <c r="L16" s="0" t="n">
        <f aca="false">-L12</f>
        <v>192.253965471482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-86.178457085</v>
      </c>
      <c r="D17" s="4" t="n">
        <f aca="false">-D6*Assumptions!D46/100</f>
        <v>-91.3491645101</v>
      </c>
      <c r="E17" s="4" t="n">
        <f aca="false">-E6*Assumptions!E46/100</f>
        <v>-99.570589316009</v>
      </c>
      <c r="F17" s="4" t="n">
        <f aca="false">-F6*Assumptions!F46/100</f>
        <v>-108.53194235445</v>
      </c>
      <c r="G17" s="4" t="n">
        <f aca="false">-G6*Assumptions!G46/100</f>
        <v>-117.214497742806</v>
      </c>
      <c r="H17" s="4" t="n">
        <f aca="false">-H6*Assumptions!H46/100</f>
        <v>-125.419512584802</v>
      </c>
      <c r="I17" s="4" t="n">
        <f aca="false">-I6*Assumptions!I46/100</f>
        <v>-132.94468333989</v>
      </c>
      <c r="J17" s="4" t="n">
        <f aca="false">-J6*Assumptions!J46/100</f>
        <v>-139.591917506885</v>
      </c>
      <c r="K17" s="4" t="n">
        <f aca="false">-K6*Assumptions!K46/100</f>
        <v>-145.17559420716</v>
      </c>
      <c r="L17" s="4" t="n">
        <f aca="false">-L6*Assumptions!L46/100</f>
        <v>-149.530862033375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-2.20938929999998</v>
      </c>
      <c r="D18" s="4" t="n">
        <f aca="false">(D6-C6)*Assumptions!$B$51/100</f>
        <v>-44.320349358</v>
      </c>
      <c r="E18" s="4" t="n">
        <f aca="false">(E6-D6)*Assumptions!$B$51/100</f>
        <v>-70.4693554792201</v>
      </c>
      <c r="F18" s="4" t="n">
        <f aca="false">(F6-E6)*Assumptions!$B$51/100</f>
        <v>-76.8115974723498</v>
      </c>
      <c r="G18" s="4" t="n">
        <f aca="false">(G6-F6)*Assumptions!$B$51/100</f>
        <v>-74.4219033287657</v>
      </c>
      <c r="H18" s="4" t="n">
        <f aca="false">(H6-G6)*Assumptions!$B$51/100</f>
        <v>-70.3286986456835</v>
      </c>
      <c r="I18" s="4" t="n">
        <f aca="false">(I6-H6)*Assumptions!$B$51/100</f>
        <v>-64.5014636150412</v>
      </c>
      <c r="J18" s="4" t="n">
        <f aca="false">(J6-I6)*Assumptions!$B$51/100</f>
        <v>-56.9762928599531</v>
      </c>
      <c r="K18" s="4" t="n">
        <f aca="false">(K6-J6)*Assumptions!$B$51/100</f>
        <v>-47.8600860023605</v>
      </c>
      <c r="L18" s="4" t="n">
        <f aca="false">(L6-K6)*Assumptions!$B$51/100</f>
        <v>-37.3308670818414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151.6807126375</v>
      </c>
      <c r="D19" s="0" t="n">
        <f aca="false">D15+D16+D17+D18</f>
        <v>158.970691318905</v>
      </c>
      <c r="E19" s="0" t="n">
        <f aca="false">E15+E16+E17+E18</f>
        <v>176.920885861355</v>
      </c>
      <c r="F19" s="0" t="n">
        <f aca="false">F15+F16+F17+F18</f>
        <v>211.201168409973</v>
      </c>
      <c r="G19" s="0" t="n">
        <f aca="false">G15+G16+G17+G18</f>
        <v>251.50138010923</v>
      </c>
      <c r="H19" s="0" t="n">
        <f aca="false">H15+H16+H17+H18</f>
        <v>283.712668307987</v>
      </c>
      <c r="I19" s="0" t="n">
        <f aca="false">I15+I16+I17+I18</f>
        <v>310.782385355849</v>
      </c>
      <c r="J19" s="0" t="n">
        <f aca="false">J15+J16+J17+J18</f>
        <v>337.071748559482</v>
      </c>
      <c r="K19" s="0" t="n">
        <f aca="false">K15+K16+K17+K18</f>
        <v>361.949877073852</v>
      </c>
      <c r="L19" s="0" t="n">
        <f aca="false">L15+L16+L17+L18</f>
        <v>384.773394886657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137.891556943182</v>
      </c>
      <c r="D21" s="0" t="n">
        <f aca="false">D19*D20</f>
        <v>131.380736627195</v>
      </c>
      <c r="E21" s="0" t="n">
        <f aca="false">E19*E20</f>
        <v>132.923280136255</v>
      </c>
      <c r="F21" s="0" t="n">
        <f aca="false">F19*F20</f>
        <v>144.253239812836</v>
      </c>
      <c r="G21" s="0" t="n">
        <f aca="false">G19*G20</f>
        <v>156.162569688627</v>
      </c>
      <c r="H21" s="0" t="n">
        <f aca="false">H19*H20</f>
        <v>160.148404885853</v>
      </c>
      <c r="I21" s="0" t="n">
        <f aca="false">I19*I20</f>
        <v>159.480504048458</v>
      </c>
      <c r="J21" s="0" t="n">
        <f aca="false">J19*J20</f>
        <v>157.246458363198</v>
      </c>
      <c r="K21" s="0" t="n">
        <f aca="false">K19*K20</f>
        <v>153.502080837234</v>
      </c>
      <c r="L21" s="0" t="n">
        <f aca="false">L19*L20</f>
        <v>148.34680034957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1.3</v>
      </c>
      <c r="D23" s="4" t="n">
        <f aca="false">Assumptions!D44</f>
        <v>1.2</v>
      </c>
      <c r="E23" s="4" t="n">
        <f aca="false">Assumptions!E44</f>
        <v>1.2</v>
      </c>
      <c r="F23" s="4" t="n">
        <f aca="false">Assumptions!F44</f>
        <v>1.2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-32.009141203</v>
      </c>
      <c r="D24" s="0" t="n">
        <f aca="false">-D6*D23/100</f>
        <v>-31.31971354632</v>
      </c>
      <c r="E24" s="0" t="n">
        <f aca="false">-E6*E23/100</f>
        <v>-34.1384877654888</v>
      </c>
      <c r="F24" s="0" t="n">
        <f aca="false">-F6*F23/100</f>
        <v>-37.2109516643828</v>
      </c>
      <c r="G24" s="0" t="n">
        <f aca="false">-G6*G23/100</f>
        <v>-40.1878277975334</v>
      </c>
      <c r="H24" s="0" t="n">
        <f aca="false">-H6*H23/100</f>
        <v>-43.0009757433608</v>
      </c>
      <c r="I24" s="0" t="n">
        <f aca="false">-I6*I23/100</f>
        <v>-45.5810342879624</v>
      </c>
      <c r="J24" s="0" t="n">
        <f aca="false">-J6*J23/100</f>
        <v>-47.8600860023605</v>
      </c>
      <c r="K24" s="0" t="n">
        <f aca="false">-K6*K23/100</f>
        <v>-49.774489442455</v>
      </c>
      <c r="L24" s="0" t="n">
        <f aca="false">-L6*L23/100</f>
        <v>-51.2677241257286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1481.33563169241</v>
      </c>
    </row>
    <row r="31" customFormat="false" ht="15" hidden="false" customHeight="false" outlineLevel="0" collapsed="false">
      <c r="A31" s="0" t="s">
        <v>137</v>
      </c>
      <c r="B31" s="0" t="n">
        <f aca="false">L19</f>
        <v>384.773394886657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5258.56973011765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5386.8275284132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5258.56973011765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2027.40627144412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3508.74190313653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3049.77690313653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70.2713572151274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1.00203296909195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572.17852388672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630.313449920751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97.9785455517051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3155.14183807059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34.1668738776433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18.5548349002927</v>
      </c>
      <c r="C4" s="0" t="n">
        <f aca="false">B4/Assumptions!$B$2-1</f>
        <v>-0.471372225062887</v>
      </c>
      <c r="D4" s="4" t="n">
        <f aca="false">Assumptions!$B$24</f>
        <v>0.3</v>
      </c>
      <c r="E4" s="4" t="n">
        <f aca="false">DCF_Bear!$B$43</f>
        <v>37.4872509607811</v>
      </c>
      <c r="F4" s="4" t="n">
        <f aca="false">DCF_Bear!$B$47</f>
        <v>9.88927301208365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43.9256655738245</v>
      </c>
      <c r="C5" s="0" t="n">
        <f aca="false">B5/Assumptions!$B$2-1</f>
        <v>0.251443463641723</v>
      </c>
      <c r="D5" s="4" t="n">
        <f aca="false">Assumptions!$B$38</f>
        <v>0.5</v>
      </c>
      <c r="E5" s="4" t="n">
        <f aca="false">DCF_Base!$B$43</f>
        <v>67.0437055030303</v>
      </c>
      <c r="F5" s="4" t="n">
        <f aca="false">DCF_Base!$B$47</f>
        <v>23.1457744138657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70.2713572151274</v>
      </c>
      <c r="C6" s="0" t="n">
        <f aca="false">B6/Assumptions!$B$2-1</f>
        <v>1.00203296909195</v>
      </c>
      <c r="D6" s="4" t="n">
        <f aca="false">Assumptions!$B$52</f>
        <v>0.2</v>
      </c>
      <c r="E6" s="4" t="n">
        <f aca="false">DCF_Bull!$B$43</f>
        <v>97.9785455517051</v>
      </c>
      <c r="F6" s="4" t="n">
        <f aca="false">DCF_Bull!$B$47</f>
        <v>34.1668738776433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41.5835547000255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64.3637371500905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0.155916317082472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-28.4613817919927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21.3730438860866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47.8707015104856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43.9256655738245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40.320128034021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34.7240075493093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23.1457744138657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52.1923562016598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52.1923562016598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52.1923562016598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52.1923562016598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52.1923562016598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47.8707015104856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47.8707015104856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47.8707015104856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47.8707015104856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47.8707015104856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43.7920106049682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43.9256655738245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43.9256655738245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43.9256655738245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43.9256655738245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37.5891544341895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38.9364347434397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40.320128034021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40.320128034021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40.320128034021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32.5934867733553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33.6054841419335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34.7240075493093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35.9668113352825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37.0209752608848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2026-10-03T22:27:48Z</dcterms:created>
  <dc:creator>openpyxl</dc:creator>
  <dc:description/>
  <dc:language>en-NZ</dc:language>
  <cp:lastModifiedBy/>
  <dcterms:modified xsi:type="dcterms:W3CDTF">2026-10-03T22:27:48Z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