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<sst xmlns="http://schemas.openxmlformats.org/spreadsheetml/2006/main" count="393" uniqueCount="178">
  <si>
    <t xml:space="preserve">Ticker</t>
  </si>
  <si>
    <t xml:space="preserve">5333.T</t>
  </si>
  <si>
    <t xml:space="preserve">Company</t>
  </si>
  <si>
    <t xml:space="preserve">NGK Corporation (formerly NGK Insulators, Ltd.)</t>
  </si>
  <si>
    <t xml:space="preserve">Valuation date</t>
  </si>
  <si>
    <t xml:space="preserve">2026-10-31</t>
  </si>
  <si>
    <t xml:space="preserve">Current price</t>
  </si>
  <si>
    <t xml:space="preserve">Price as of</t>
  </si>
  <si>
    <t xml:space="preserve">2026-10-30T06:30:00Z regular close (TSE)</t>
  </si>
  <si>
    <t xml:space="preserve">Balance sheet date</t>
  </si>
  <si>
    <t xml:space="preserve">2026-03-31</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</si>
  <si>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</si>
  <si>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</si>
  <si>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</si>
  <si>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</si>
  <si>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</si>
  <si>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</si>
  <si>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</si>
  <si>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</si>
  <si>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</si>
  <si>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</si>
  <si>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2026-10-31T08:59:43Z</t>
  </si>
  <si>
    <t xml:space="preserve">Drivers file</t>
  </si>
  <si>
    <t xml:space="preserve">5333.T_Drivers.json</t>
  </si>
  <si>
    <t xml:space="preserve">Convention</t>
  </si>
  <si>
    <t xml:space="preserve">Percents stored as percents; formulas divide by 100. Blue = input, green = link, black = formula.</t>
  </si>
  <si>
    <t xml:space="preserve">Methodology</t>
  </si>
  <si>
    <t xml:space="preserve">summary: A cash-rich ceramics duopolist in a shrinking automotive market, re-rated by the market in 2025-26 as an AI semiconductor-equipment supplier (52-week range JPY2,588-7,894 against a price now in the middle of it). The house value is driven by three things: how fast Digital Society grows into the JPY450bn capex plan, how slowly the Environment franchise erodes under EV penetration, and the JPY163bn of cash and securities on the balance sheet. Owner FCF strips interest/dividend income and the FY2026 inventory release; the forward FCF margin is built from guidance-anchored components, not carried flat. Terminal value is capped at 15x FCF because the business is cyclical and both end markets are capital-intensive.
key_risks_to_valuation: Semiconductor capex cycle turning after the JPY450bn capex plan is committed (new Komaki plant opens October 2029); EV penetration eroding automotive substrate/filter volumes faster than sensor and GPF mix offsets (58% of sales); Yen strengthening toward the JPY140/USD the company's own FY2030 plan assumes; FY2026 sales and operating income benefited by JPY5.3bn/JPY0.1bn from FX; Energy and raw-material cost inflation (JPY8.8bn FY2027 headwind guided, Middle East energy prices); Execution risk on NV1000 new businesses, given the NAS battery history (FY2012 JPY61.1bn charge, FY2026 JPY20bn exit charge); Terminal value is ~55-60% of enterprise value and bound by the 15x cap, so the valuation is sensitive to the mature-margin assumption</t>
  </si>
  <si>
    <t xml:space="preserve">Data sources</t>
  </si>
  <si>
    <t xml:space="preserve">price: Yahoo Finance chart API at inputs.price_as_of (TSE regular close); 52-week range 2,588-7,894
financials: research/5333.T/Reports/5333.T_Metrics.csv (core_metrics, FY2007-FY2026); FY2026 annual report (balance sheet, income statement, cash flow statement, notes 3.c, 4, 7, 18, 19) and FY2026 results presentation (FY2027 forecast, FY2027-FY2031 capex plan, FY2031 targets) in research/5333.T/Extracted/
qualitative: research/5333.T/Reports/5333.T_Analysis.json</t>
  </si>
  <si>
    <t xml:space="preserve">Scenario narrative: bear</t>
  </si>
  <si>
    <t xml:space="preserve">Both cyclical end markets turn within the forecast window. A semiconductor capex downturn in FY2029 cuts Digital Society revenue just as the capacity committed in 2027-2029 comes online, dropping utilisation and margins; concurrently EV penetration (company's own forecast: 30-34% of new vehicles by 2030) erodes substrate and filter volumes faster than sensor mix can offset, and the tariff-driven pull-forward in FY2026 auto demand reverses. Energy and raw-material costs flagged by management (Middle East) stay elevated. Revenue dips 2% in FY2029 and only reaches ~JPY760bn by FY2031; EBITDA margin troughs at 19.5% and settles at 21.5%. The NV1000 new businesses, like NAS before them, do not reach scale. Terminal growth 1%.</t>
  </si>
  <si>
    <t xml:space="preserve">Scenario narrative: base</t>
  </si>
  <si>
    <t xml:space="preserve">Two engines pulling in opposite directions. Digital Society (semiconductor-equipment ceramics, electrostatic chucks, AlN heaters, HICERAM Carrier for AI packaging) keeps compounding high-single to low-double digits on AI-driven fab capex, taking the segment from JPY205bn toward JPY320-330bn by FY2031, while Environment (58% of sales) treads water: honeycomb and DPF/GPF unit volumes fall with EV penetration but EU7/Tier-3/China-7 sensor and GPF content and pricing hold the segment's revenue roughly flat. Insulators grow mid-single digits on grid and data-centre investment; the NAS battery wind-down removes a loss-maker. Group revenue grows 6% in FY2027 per guidance and decelerates to 2% by Y9; EBITDA margin edges from 23.5% to 24.5% as the mix shifts. The JPY450bn five-year capex plan (new Komaki semiconductor-ceramics plant from October 2029) holds owner FCF near JPY65-70bn through Y5 before it rises to ~JPY100bn once capex normalises to ~9.5% of sales. Terminal value is capped at 15x FCF (cyclical industrial); Gordon at 8%/2% would exceed it.</t>
  </si>
  <si>
    <t xml:space="preserve">Scenario narrative: bull</t>
  </si>
  <si>
    <t xml:space="preserve">The AI semiconductor capex supercycle runs for the full decade, NGK's qualified positions in etch/deposition chamber ceramics and HICERAM Carrier translate directly into share, and the Komaki plant is filled on opening. Emissions regulation keeps sensor and filter content rising fast enough that the Environment segment grows despite EV share gains, and the yen stays near JPY150/USD rather than strengthening to the JPY140 assumed in the plan. Revenue ~JPY950bn by FY2031 (above the JPY900bn target), EBITDA margin 26.5% (operating margin ~17.5%), terminal growth 2.5%.</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</si>
  <si>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</si>
  <si>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</si>
  <si>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</si>
  <si>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</si>
  <si>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</si>
  <si>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</si>
  <si>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</si>
  <si>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</si>
  <si>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</si>
  <si>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</si>
  <si>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</si>
  <si>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</si>
  <si>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</si>
  <si>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</si>
  <si>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</si>
  <si>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</si>
  <si>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</si>
  <si>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</si>
  <si>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</si>
  <si>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</si>
  <si>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</si>
  <si>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</si>
  <si>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</si>
  <si>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</si>
  <si>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</si>
  <si>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</si>
  <si>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</si>
  <si>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CapexIntangibles</t>
  </si>
  <si>
    <t xml:space="preserve">CapexPPE</t>
  </si>
  <si>
    <t xml:space="preserve">EPSBasic</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</si>
  <si>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</si>
  <si>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</si>
  <si>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</si>
  <si>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</si>
  <si>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</si>
  <si>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</si>
  <si>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</si>
  <si>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</si>
  <si>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</si>
  <si>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</si>
  <si>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</si>
  <si>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</si>
  <si>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</si>
  <si>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</si>
  <si>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</si>
  <si>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</si>
  <si>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</si>
  <si>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</si>
  <si>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</si>
  <si>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</si>
  <si>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</si>
  <si>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</si>
  <si>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</si>
  <si>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</si>
  <si>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</si>
  <si>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</si>
  <si>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</si>
  <si>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</si>
  <si>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</si>
  <si>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</si>
  <si>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</si>
  <si>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</si>
  <si>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</si>
  <si>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</si>
  <si>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</si>
  <si>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</si>
  <si>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</si>
  <si>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</si>
  <si>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</si>
  <si>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</si>
  <si>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</si>
  <si>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</si>
  <si>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</si>
  <si>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</si>
  <si>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</si>
  <si>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</si>
  <si>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</si>
  <si>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</si>
  <si>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</si>
  <si>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</si>
  <si>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</si>
  <si>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</si>
  <si>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</si>
  <si>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</si>
  <si>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</si>
  <si>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</si>
  <si>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</si>
  <si>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5333.T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</si>
  <si>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</si>
  <si>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</si>
  <si>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</si>
  <si>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</si>
  <si>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</si>
  <si>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</si>
  <si>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</si>
  <si>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</si>
  <si>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</si>
  <si>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</si>
  <si>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</si>
  <si>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</si>
  <si>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</si>
  <si>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</si>
  <si>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</si>
  <si>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</si>
  <si>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</si>
  <si>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</si>
  <si>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</si>
  <si>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</si>
  <si>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</si>
  <si>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</si>
  <si>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</si>
  <si>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</si>
  <si>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</si>
  <si>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</si>
  <si>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</si>
  <si>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</si>
  <si>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</si>
  <si>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</si>
  <si>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5333.T owner-FCF component DCF: base case (millions, JPY)</t>
  </si>
  <si>
    <t xml:space="preserve">5333.T owner-FCF component DCF: bull case (millions, JPY)</t>
  </si>
  <si>
    <t xml:space="preserve">5333.T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</si>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</sst>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4613</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row>
    <row r="2" customFormat="false" ht="15" hidden="false" customHeight="false" outlineLevel="0" collapsed="false">
      <c r="A2" s="0" t="s">
        <v>66</v>
      </c>
      <c r="B2" s="0" t="n">
        <v>320120</v>
      </c>
      <c r="C2" s="0" t="n">
        <v>217499</v>
      </c>
      <c r="D2" s="0" t="n">
        <v>102621</v>
      </c>
      <c r="E2" s="0" t="n">
        <v>32.057</v>
      </c>
      <c r="F2" s="0" t="n">
        <v>52017</v>
      </c>
      <c r="G2" s="0" t="n">
        <v>16.2492</v>
      </c>
      <c r="H2" s="0" t="n">
        <v>75797</v>
      </c>
      <c r="I2" s="0" t="n">
        <v>29413</v>
      </c>
      <c r="J2" s="0" t="n">
        <v>9.1881</v>
      </c>
      <c r="K2" s="0" t="n">
        <v>87.16</v>
      </c>
      <c r="L2" s="0" t="n">
        <v>38300</v>
      </c>
      <c r="M2" s="0" t="n">
        <v>24191</v>
      </c>
      <c r="N2" s="0" t="n">
        <v>14109</v>
      </c>
      <c r="O2" s="0" t="n">
        <v>285001</v>
      </c>
      <c r="P2" s="0" t="n">
        <v>514806</v>
      </c>
      <c r="Q2" s="0" t="n">
        <v>210460</v>
      </c>
      <c r="R2" s="0" t="n">
        <v>87607</v>
      </c>
      <c r="S2" s="0" t="n">
        <v>91855</v>
      </c>
      <c r="T2" s="0" t="n">
        <v>337.4598</v>
      </c>
      <c r="V2" s="0" t="n">
        <v>16</v>
      </c>
      <c r="AA2" s="0" t="s">
        <v>17</v>
      </c>
      <c r="AB2" s="0" t="s">
        <v>14</v>
      </c>
      <c r="AC2" s="0" t="n">
        <v>646</v>
      </c>
      <c r="AD2" s="0" t="n">
        <v>23545</v>
      </c>
      <c r="AE2" s="0" t="n">
        <v>87.23</v>
      </c>
    </row>
    <row r="3" customFormat="false" ht="15" hidden="false" customHeight="false" outlineLevel="0" collapsed="false">
      <c r="A3" s="0" t="s">
        <v>67</v>
      </c>
      <c r="B3" s="0" t="n">
        <v>364888</v>
      </c>
      <c r="C3" s="0" t="n">
        <v>241746</v>
      </c>
      <c r="D3" s="0" t="n">
        <v>123142</v>
      </c>
      <c r="E3" s="0" t="n">
        <v>33.7479</v>
      </c>
      <c r="F3" s="0" t="n">
        <v>69377</v>
      </c>
      <c r="G3" s="0" t="n">
        <v>19.0132</v>
      </c>
      <c r="H3" s="0" t="n">
        <v>95637</v>
      </c>
      <c r="I3" s="0" t="n">
        <v>45951</v>
      </c>
      <c r="J3" s="0" t="n">
        <v>12.5932</v>
      </c>
      <c r="K3" s="0" t="n">
        <v>136.22</v>
      </c>
      <c r="L3" s="0" t="n">
        <v>66659</v>
      </c>
      <c r="M3" s="0" t="n">
        <v>21027</v>
      </c>
      <c r="N3" s="0" t="n">
        <v>45632</v>
      </c>
      <c r="O3" s="0" t="n">
        <v>318054</v>
      </c>
      <c r="P3" s="0" t="n">
        <v>557390</v>
      </c>
      <c r="Q3" s="0" t="n">
        <v>219876</v>
      </c>
      <c r="R3" s="0" t="n">
        <v>85889</v>
      </c>
      <c r="S3" s="0" t="n">
        <v>132771</v>
      </c>
      <c r="T3" s="0" t="n">
        <v>337.3293</v>
      </c>
      <c r="V3" s="0" t="n">
        <v>22</v>
      </c>
      <c r="AA3" s="0" t="s">
        <v>17</v>
      </c>
      <c r="AB3" s="0" t="s">
        <v>14</v>
      </c>
      <c r="AC3" s="0" t="n">
        <v>738</v>
      </c>
      <c r="AD3" s="0" t="n">
        <v>20289</v>
      </c>
      <c r="AE3" s="0" t="n">
        <v>136.36</v>
      </c>
    </row>
    <row r="4" customFormat="false" ht="15" hidden="false" customHeight="false" outlineLevel="0" collapsed="false">
      <c r="A4" s="0" t="s">
        <v>68</v>
      </c>
      <c r="B4" s="0" t="n">
        <v>273211</v>
      </c>
      <c r="C4" s="0" t="n">
        <v>192523</v>
      </c>
      <c r="D4" s="0" t="n">
        <v>80688</v>
      </c>
      <c r="E4" s="0" t="n">
        <v>29.5332</v>
      </c>
      <c r="F4" s="0" t="n">
        <v>32809</v>
      </c>
      <c r="G4" s="0" t="n">
        <v>12.0087</v>
      </c>
      <c r="H4" s="0" t="n">
        <v>59047</v>
      </c>
      <c r="I4" s="0" t="n">
        <v>24468</v>
      </c>
      <c r="J4" s="0" t="n">
        <v>8.9557</v>
      </c>
      <c r="K4" s="0" t="n">
        <v>73.57</v>
      </c>
      <c r="L4" s="0" t="n">
        <v>32672</v>
      </c>
      <c r="M4" s="0" t="n">
        <v>29991</v>
      </c>
      <c r="N4" s="0" t="n">
        <v>2681</v>
      </c>
      <c r="O4" s="0" t="n">
        <v>283863</v>
      </c>
      <c r="P4" s="0" t="n">
        <v>444203</v>
      </c>
      <c r="Q4" s="0" t="n">
        <v>142779</v>
      </c>
      <c r="R4" s="0" t="n">
        <v>59853</v>
      </c>
      <c r="S4" s="0" t="n">
        <v>82087</v>
      </c>
      <c r="T4" s="0" t="n">
        <v>332.5812</v>
      </c>
      <c r="V4" s="0" t="n">
        <v>22</v>
      </c>
      <c r="AA4" s="0" t="s">
        <v>17</v>
      </c>
      <c r="AB4" s="0" t="s">
        <v>14</v>
      </c>
      <c r="AC4" s="0" t="n">
        <v>666</v>
      </c>
      <c r="AD4" s="0" t="n">
        <v>29325</v>
      </c>
      <c r="AE4" s="0" t="n">
        <v>73.66</v>
      </c>
    </row>
    <row r="5" customFormat="false" ht="15" hidden="false" customHeight="false" outlineLevel="0" collapsed="false">
      <c r="A5" s="0" t="s">
        <v>69</v>
      </c>
      <c r="B5" s="0" t="n">
        <v>235489</v>
      </c>
      <c r="C5" s="0" t="n">
        <v>168717</v>
      </c>
      <c r="D5" s="0" t="n">
        <v>66772</v>
      </c>
      <c r="E5" s="0" t="n">
        <v>28.3546</v>
      </c>
      <c r="F5" s="0" t="n">
        <v>23452</v>
      </c>
      <c r="G5" s="0" t="n">
        <v>9.9589</v>
      </c>
      <c r="H5" s="0" t="n">
        <v>42385</v>
      </c>
      <c r="I5" s="0" t="n">
        <v>17808</v>
      </c>
      <c r="J5" s="0" t="n">
        <v>7.5621</v>
      </c>
      <c r="K5" s="0" t="n">
        <v>54.44</v>
      </c>
      <c r="L5" s="0" t="n">
        <v>44375</v>
      </c>
      <c r="M5" s="0" t="n">
        <v>20523</v>
      </c>
      <c r="N5" s="0" t="n">
        <v>23852</v>
      </c>
      <c r="O5" s="0" t="n">
        <v>302969</v>
      </c>
      <c r="P5" s="0" t="n">
        <v>475847</v>
      </c>
      <c r="Q5" s="0" t="n">
        <v>156375</v>
      </c>
      <c r="R5" s="0" t="n">
        <v>69500</v>
      </c>
      <c r="S5" s="0" t="n">
        <v>112132</v>
      </c>
      <c r="T5" s="0" t="n">
        <v>327.1124</v>
      </c>
      <c r="V5" s="0" t="n">
        <v>16</v>
      </c>
      <c r="AA5" s="0" t="s">
        <v>17</v>
      </c>
      <c r="AB5" s="0" t="s">
        <v>14</v>
      </c>
      <c r="AC5" s="0" t="n">
        <v>813</v>
      </c>
      <c r="AD5" s="0" t="n">
        <v>19710</v>
      </c>
      <c r="AE5" s="0" t="n">
        <v>54.51</v>
      </c>
    </row>
    <row r="6" customFormat="false" ht="15" hidden="false" customHeight="false" outlineLevel="0" collapsed="false">
      <c r="A6" s="0" t="s">
        <v>70</v>
      </c>
      <c r="B6" s="0" t="n">
        <v>239363</v>
      </c>
      <c r="C6" s="0" t="n">
        <v>160749</v>
      </c>
      <c r="D6" s="0" t="n">
        <v>78614</v>
      </c>
      <c r="E6" s="0" t="n">
        <v>32.843</v>
      </c>
      <c r="F6" s="0" t="n">
        <v>32157</v>
      </c>
      <c r="G6" s="0" t="n">
        <v>13.4344</v>
      </c>
      <c r="H6" s="0" t="n">
        <v>51199</v>
      </c>
      <c r="I6" s="0" t="n">
        <v>24463</v>
      </c>
      <c r="J6" s="0" t="n">
        <v>10.22</v>
      </c>
      <c r="K6" s="0" t="n">
        <v>74.8</v>
      </c>
      <c r="L6" s="0" t="n">
        <v>36650</v>
      </c>
      <c r="M6" s="0" t="n">
        <v>24531</v>
      </c>
      <c r="N6" s="0" t="n">
        <v>12119</v>
      </c>
      <c r="O6" s="0" t="n">
        <v>307366</v>
      </c>
      <c r="P6" s="0" t="n">
        <v>479384</v>
      </c>
      <c r="Q6" s="0" t="n">
        <v>155848</v>
      </c>
      <c r="R6" s="0" t="n">
        <v>67452</v>
      </c>
      <c r="S6" s="0" t="n">
        <v>91216</v>
      </c>
      <c r="T6" s="0" t="n">
        <v>327.0455</v>
      </c>
      <c r="V6" s="0" t="n">
        <v>20</v>
      </c>
      <c r="AA6" s="0" t="s">
        <v>17</v>
      </c>
      <c r="AB6" s="0" t="s">
        <v>14</v>
      </c>
      <c r="AC6" s="0" t="n">
        <v>599</v>
      </c>
      <c r="AD6" s="0" t="n">
        <v>23932</v>
      </c>
      <c r="AE6" s="0" t="n">
        <v>74.91</v>
      </c>
    </row>
    <row r="7" customFormat="false" ht="15" hidden="false" customHeight="false" outlineLevel="0" collapsed="false">
      <c r="A7" s="0" t="s">
        <v>71</v>
      </c>
      <c r="B7" s="0" t="n">
        <v>247819</v>
      </c>
      <c r="C7" s="0" t="n">
        <v>171778</v>
      </c>
      <c r="D7" s="0" t="n">
        <v>76041</v>
      </c>
      <c r="E7" s="0" t="n">
        <v>30.6841</v>
      </c>
      <c r="F7" s="0" t="n">
        <v>26054</v>
      </c>
      <c r="G7" s="0" t="n">
        <v>10.5133</v>
      </c>
      <c r="H7" s="0" t="n">
        <v>44978</v>
      </c>
      <c r="I7" s="0" t="n">
        <v>-35609</v>
      </c>
      <c r="J7" s="0" t="n">
        <v>-14.369</v>
      </c>
      <c r="K7" s="0" t="n">
        <v>-109.06</v>
      </c>
      <c r="L7" s="0" t="n">
        <v>13851</v>
      </c>
      <c r="M7" s="0" t="n">
        <v>29202</v>
      </c>
      <c r="N7" s="0" t="n">
        <v>-15351</v>
      </c>
      <c r="O7" s="0" t="n">
        <v>254750</v>
      </c>
      <c r="P7" s="0" t="n">
        <v>523214</v>
      </c>
      <c r="Q7" s="0" t="n">
        <v>258770</v>
      </c>
      <c r="R7" s="0" t="n">
        <v>129625</v>
      </c>
      <c r="S7" s="0" t="n">
        <v>116127</v>
      </c>
      <c r="T7" s="0" t="n">
        <v>326.5083</v>
      </c>
      <c r="V7" s="0" t="n">
        <v>20</v>
      </c>
      <c r="AA7" s="0" t="s">
        <v>17</v>
      </c>
      <c r="AB7" s="0" t="s">
        <v>14</v>
      </c>
      <c r="AC7" s="0" t="n">
        <v>1435</v>
      </c>
      <c r="AD7" s="0" t="n">
        <v>27767</v>
      </c>
      <c r="AE7" s="0" t="n">
        <v>-109.06</v>
      </c>
    </row>
    <row r="8" customFormat="false" ht="15" hidden="false" customHeight="false" outlineLevel="0" collapsed="false">
      <c r="A8" s="0" t="s">
        <v>72</v>
      </c>
      <c r="B8" s="0" t="n">
        <v>252789</v>
      </c>
      <c r="C8" s="0" t="n">
        <v>178052</v>
      </c>
      <c r="D8" s="0" t="n">
        <v>74737</v>
      </c>
      <c r="E8" s="0" t="n">
        <v>29.565</v>
      </c>
      <c r="F8" s="0" t="n">
        <v>20696</v>
      </c>
      <c r="G8" s="0" t="n">
        <v>8.1871</v>
      </c>
      <c r="H8" s="0" t="n">
        <v>40785</v>
      </c>
      <c r="I8" s="0" t="n">
        <v>11422</v>
      </c>
      <c r="J8" s="0" t="n">
        <v>4.5184</v>
      </c>
      <c r="K8" s="0" t="n">
        <v>34.92</v>
      </c>
      <c r="L8" s="0" t="n">
        <v>3680</v>
      </c>
      <c r="M8" s="0" t="n">
        <v>32275</v>
      </c>
      <c r="N8" s="0" t="n">
        <v>-28595</v>
      </c>
      <c r="O8" s="0" t="n">
        <v>293412</v>
      </c>
      <c r="P8" s="0" t="n">
        <v>563030</v>
      </c>
      <c r="Q8" s="0" t="n">
        <v>259957</v>
      </c>
      <c r="R8" s="0" t="n">
        <v>153816</v>
      </c>
      <c r="S8" s="0" t="n">
        <v>121278</v>
      </c>
      <c r="T8" s="0" t="n">
        <v>327.0905</v>
      </c>
      <c r="V8" s="0" t="n">
        <v>20</v>
      </c>
      <c r="AA8" s="0" t="s">
        <v>17</v>
      </c>
      <c r="AB8" s="0" t="s">
        <v>14</v>
      </c>
      <c r="AC8" s="0" t="n">
        <v>1085</v>
      </c>
      <c r="AD8" s="0" t="n">
        <v>31190</v>
      </c>
      <c r="AE8" s="0" t="n">
        <v>34.98</v>
      </c>
    </row>
    <row r="9" customFormat="false" ht="15" hidden="false" customHeight="false" outlineLevel="0" collapsed="false">
      <c r="A9" s="0" t="s">
        <v>73</v>
      </c>
      <c r="B9" s="0" t="n">
        <v>308671</v>
      </c>
      <c r="C9" s="0" t="n">
        <v>208052</v>
      </c>
      <c r="D9" s="0" t="n">
        <v>100619</v>
      </c>
      <c r="E9" s="0" t="n">
        <v>32.5975</v>
      </c>
      <c r="F9" s="0" t="n">
        <v>44252</v>
      </c>
      <c r="G9" s="0" t="n">
        <v>14.3363</v>
      </c>
      <c r="H9" s="0" t="n">
        <v>64146</v>
      </c>
      <c r="I9" s="0" t="n">
        <v>27045</v>
      </c>
      <c r="J9" s="0" t="n">
        <v>8.7618</v>
      </c>
      <c r="K9" s="0" t="n">
        <v>82.67</v>
      </c>
      <c r="L9" s="0" t="n">
        <v>32648</v>
      </c>
      <c r="M9" s="0" t="n">
        <v>27996</v>
      </c>
      <c r="N9" s="0" t="n">
        <v>4652</v>
      </c>
      <c r="O9" s="0" t="n">
        <v>334280</v>
      </c>
      <c r="P9" s="0" t="n">
        <v>614220</v>
      </c>
      <c r="Q9" s="0" t="n">
        <v>269767</v>
      </c>
      <c r="R9" s="0" t="n">
        <v>167296</v>
      </c>
      <c r="S9" s="0" t="n">
        <v>149868</v>
      </c>
      <c r="T9" s="0" t="n">
        <v>327.13</v>
      </c>
      <c r="V9" s="0" t="n">
        <v>22</v>
      </c>
      <c r="AA9" s="0" t="s">
        <v>17</v>
      </c>
      <c r="AB9" s="0" t="s">
        <v>14</v>
      </c>
      <c r="AD9" s="0" t="n">
        <v>27996</v>
      </c>
      <c r="AE9" s="0" t="n">
        <v>82.82</v>
      </c>
    </row>
    <row r="10" customFormat="false" ht="15" hidden="false" customHeight="false" outlineLevel="0" collapsed="false">
      <c r="A10" s="0" t="s">
        <v>74</v>
      </c>
      <c r="B10" s="0" t="n">
        <v>378665</v>
      </c>
      <c r="C10" s="0" t="n">
        <v>254387</v>
      </c>
      <c r="D10" s="0" t="n">
        <v>124278</v>
      </c>
      <c r="E10" s="0" t="n">
        <v>32.82</v>
      </c>
      <c r="F10" s="0" t="n">
        <v>61577</v>
      </c>
      <c r="G10" s="0" t="n">
        <v>16.2616</v>
      </c>
      <c r="H10" s="0" t="n">
        <v>87109</v>
      </c>
      <c r="I10" s="0" t="n">
        <v>41505</v>
      </c>
      <c r="J10" s="0" t="n">
        <v>10.9609</v>
      </c>
      <c r="K10" s="0" t="n">
        <v>126.87</v>
      </c>
      <c r="L10" s="0" t="n">
        <v>73002</v>
      </c>
      <c r="M10" s="0" t="n">
        <v>30262</v>
      </c>
      <c r="N10" s="0" t="n">
        <v>42740</v>
      </c>
      <c r="O10" s="0" t="n">
        <v>392941</v>
      </c>
      <c r="P10" s="0" t="n">
        <v>702234</v>
      </c>
      <c r="Q10" s="0" t="n">
        <v>298233</v>
      </c>
      <c r="R10" s="0" t="n">
        <v>156203</v>
      </c>
      <c r="S10" s="0" t="n">
        <v>168063</v>
      </c>
      <c r="T10" s="0" t="n">
        <v>327.151</v>
      </c>
      <c r="V10" s="0" t="n">
        <v>28</v>
      </c>
      <c r="AA10" s="0" t="s">
        <v>17</v>
      </c>
      <c r="AB10" s="0" t="s">
        <v>14</v>
      </c>
      <c r="AD10" s="0" t="n">
        <v>30262</v>
      </c>
      <c r="AE10" s="0" t="n">
        <v>127.11</v>
      </c>
    </row>
    <row r="11" customFormat="false" ht="15" hidden="false" customHeight="false" outlineLevel="0" collapsed="false">
      <c r="A11" s="0" t="s">
        <v>75</v>
      </c>
      <c r="B11" s="0" t="n">
        <v>435798</v>
      </c>
      <c r="C11" s="0" t="n">
        <v>289266</v>
      </c>
      <c r="D11" s="0" t="n">
        <v>146532</v>
      </c>
      <c r="E11" s="0" t="n">
        <v>33.6238</v>
      </c>
      <c r="F11" s="0" t="n">
        <v>80898</v>
      </c>
      <c r="G11" s="0" t="n">
        <v>18.5632</v>
      </c>
      <c r="H11" s="0" t="n">
        <v>108264</v>
      </c>
      <c r="I11" s="0" t="n">
        <v>53316</v>
      </c>
      <c r="J11" s="0" t="n">
        <v>12.2341</v>
      </c>
      <c r="K11" s="0" t="n">
        <v>162.97</v>
      </c>
      <c r="L11" s="0" t="n">
        <v>59445</v>
      </c>
      <c r="M11" s="0" t="n">
        <v>42694</v>
      </c>
      <c r="N11" s="0" t="n">
        <v>16751</v>
      </c>
      <c r="O11" s="0" t="n">
        <v>407620</v>
      </c>
      <c r="P11" s="0" t="n">
        <v>711897</v>
      </c>
      <c r="Q11" s="0" t="n">
        <v>293924</v>
      </c>
      <c r="R11" s="0" t="n">
        <v>163973</v>
      </c>
      <c r="S11" s="0" t="n">
        <v>167780</v>
      </c>
      <c r="T11" s="0" t="n">
        <v>327.148</v>
      </c>
      <c r="V11" s="0" t="n">
        <v>38</v>
      </c>
      <c r="AA11" s="0" t="s">
        <v>17</v>
      </c>
      <c r="AB11" s="0" t="s">
        <v>14</v>
      </c>
      <c r="AD11" s="0" t="n">
        <v>42694</v>
      </c>
      <c r="AE11" s="0" t="n">
        <v>163.28</v>
      </c>
    </row>
    <row r="12" customFormat="false" ht="15" hidden="false" customHeight="false" outlineLevel="0" collapsed="false">
      <c r="A12" s="0" t="s">
        <v>76</v>
      </c>
      <c r="B12" s="0" t="n">
        <v>401267</v>
      </c>
      <c r="C12" s="0" t="n">
        <v>272435</v>
      </c>
      <c r="D12" s="0" t="n">
        <v>128832</v>
      </c>
      <c r="E12" s="0" t="n">
        <v>32.1063</v>
      </c>
      <c r="F12" s="0" t="n">
        <v>63213</v>
      </c>
      <c r="G12" s="0" t="n">
        <v>15.7534</v>
      </c>
      <c r="H12" s="0" t="n">
        <v>89828</v>
      </c>
      <c r="I12" s="0" t="n">
        <v>36379</v>
      </c>
      <c r="J12" s="0" t="n">
        <v>9.066</v>
      </c>
      <c r="K12" s="0" t="n">
        <v>112.51</v>
      </c>
      <c r="L12" s="0" t="n">
        <v>80172</v>
      </c>
      <c r="M12" s="0" t="n">
        <v>59361</v>
      </c>
      <c r="N12" s="0" t="n">
        <v>20811</v>
      </c>
      <c r="O12" s="0" t="n">
        <v>417640</v>
      </c>
      <c r="P12" s="0" t="n">
        <v>759434</v>
      </c>
      <c r="Q12" s="0" t="n">
        <v>331841</v>
      </c>
      <c r="R12" s="0" t="n">
        <v>174150</v>
      </c>
      <c r="S12" s="0" t="n">
        <v>190806</v>
      </c>
      <c r="T12" s="0" t="n">
        <v>323.333</v>
      </c>
      <c r="V12" s="0" t="n">
        <v>40</v>
      </c>
      <c r="AA12" s="0" t="s">
        <v>17</v>
      </c>
      <c r="AB12" s="0" t="s">
        <v>14</v>
      </c>
      <c r="AD12" s="0" t="n">
        <v>59361</v>
      </c>
      <c r="AE12" s="0" t="n">
        <v>112.71</v>
      </c>
    </row>
    <row r="13" customFormat="false" ht="15" hidden="false" customHeight="false" outlineLevel="0" collapsed="false">
      <c r="A13" s="0" t="s">
        <v>77</v>
      </c>
      <c r="B13" s="0" t="n">
        <v>451125</v>
      </c>
      <c r="C13" s="0" t="n">
        <v>312107</v>
      </c>
      <c r="D13" s="0" t="n">
        <v>139018</v>
      </c>
      <c r="E13" s="0" t="n">
        <v>30.8158</v>
      </c>
      <c r="F13" s="0" t="n">
        <v>70027</v>
      </c>
      <c r="G13" s="0" t="n">
        <v>15.5227</v>
      </c>
      <c r="H13" s="0" t="n">
        <v>100343</v>
      </c>
      <c r="I13" s="0" t="n">
        <v>45814</v>
      </c>
      <c r="J13" s="0" t="n">
        <v>10.1555</v>
      </c>
      <c r="K13" s="0" t="n">
        <v>142.18</v>
      </c>
      <c r="L13" s="0" t="n">
        <v>50554</v>
      </c>
      <c r="M13" s="0" t="n">
        <v>67062</v>
      </c>
      <c r="N13" s="0" t="n">
        <v>-16508</v>
      </c>
      <c r="O13" s="0" t="n">
        <v>461841</v>
      </c>
      <c r="P13" s="0" t="n">
        <v>836335</v>
      </c>
      <c r="Q13" s="0" t="n">
        <v>363472</v>
      </c>
      <c r="R13" s="0" t="n">
        <v>211574</v>
      </c>
      <c r="S13" s="0" t="n">
        <v>202357</v>
      </c>
      <c r="T13" s="0" t="n">
        <v>322.237</v>
      </c>
      <c r="V13" s="0" t="n">
        <v>44</v>
      </c>
      <c r="AA13" s="0" t="s">
        <v>17</v>
      </c>
      <c r="AB13" s="0" t="s">
        <v>14</v>
      </c>
      <c r="AD13" s="0" t="n">
        <v>67062</v>
      </c>
      <c r="AE13" s="0" t="n">
        <v>142.42</v>
      </c>
    </row>
    <row r="14" customFormat="false" ht="15" hidden="false" customHeight="false" outlineLevel="0" collapsed="false">
      <c r="A14" s="0" t="s">
        <v>78</v>
      </c>
      <c r="B14" s="0" t="n">
        <v>463505</v>
      </c>
      <c r="C14" s="0" t="n">
        <v>323224</v>
      </c>
      <c r="D14" s="0" t="n">
        <v>140281</v>
      </c>
      <c r="E14" s="0" t="n">
        <v>30.2653</v>
      </c>
      <c r="F14" s="0" t="n">
        <v>64706</v>
      </c>
      <c r="G14" s="0" t="n">
        <v>13.9602</v>
      </c>
      <c r="H14" s="0" t="n">
        <v>100435</v>
      </c>
      <c r="I14" s="0" t="n">
        <v>35507</v>
      </c>
      <c r="J14" s="0" t="n">
        <v>7.6605</v>
      </c>
      <c r="K14" s="0" t="n">
        <v>110.17</v>
      </c>
      <c r="L14" s="0" t="n">
        <v>61225</v>
      </c>
      <c r="M14" s="0" t="n">
        <v>102826</v>
      </c>
      <c r="N14" s="0" t="n">
        <v>-41601</v>
      </c>
      <c r="O14" s="0" t="n">
        <v>478439</v>
      </c>
      <c r="P14" s="0" t="n">
        <v>863636</v>
      </c>
      <c r="Q14" s="0" t="n">
        <v>374391</v>
      </c>
      <c r="R14" s="0" t="n">
        <v>229423</v>
      </c>
      <c r="S14" s="0" t="n">
        <v>164162</v>
      </c>
      <c r="T14" s="0" t="n">
        <v>322.296</v>
      </c>
      <c r="V14" s="0" t="n">
        <v>50</v>
      </c>
      <c r="AA14" s="0" t="s">
        <v>17</v>
      </c>
      <c r="AB14" s="0" t="s">
        <v>14</v>
      </c>
      <c r="AD14" s="0" t="n">
        <v>102826</v>
      </c>
      <c r="AE14" s="0" t="n">
        <v>110.35</v>
      </c>
    </row>
    <row r="15" customFormat="false" ht="15" hidden="false" customHeight="false" outlineLevel="0" collapsed="false">
      <c r="A15" s="0" t="s">
        <v>79</v>
      </c>
      <c r="B15" s="0" t="n">
        <v>441956</v>
      </c>
      <c r="C15" s="0" t="n">
        <v>313459</v>
      </c>
      <c r="D15" s="0" t="n">
        <v>128497</v>
      </c>
      <c r="E15" s="0" t="n">
        <v>29.0746</v>
      </c>
      <c r="F15" s="0" t="n">
        <v>55001</v>
      </c>
      <c r="G15" s="0" t="n">
        <v>12.4449</v>
      </c>
      <c r="H15" s="0" t="n">
        <v>94581</v>
      </c>
      <c r="I15" s="0" t="n">
        <v>27135</v>
      </c>
      <c r="J15" s="0" t="n">
        <v>6.1398</v>
      </c>
      <c r="K15" s="0" t="n">
        <v>84.6</v>
      </c>
      <c r="L15" s="0" t="n">
        <v>53201</v>
      </c>
      <c r="M15" s="0" t="n">
        <v>95372</v>
      </c>
      <c r="N15" s="0" t="n">
        <v>-42171</v>
      </c>
      <c r="O15" s="0" t="n">
        <v>459381</v>
      </c>
      <c r="P15" s="0" t="n">
        <v>833086</v>
      </c>
      <c r="Q15" s="0" t="n">
        <v>363967</v>
      </c>
      <c r="R15" s="0" t="n">
        <v>234400</v>
      </c>
      <c r="S15" s="0" t="n">
        <v>111177</v>
      </c>
      <c r="T15" s="0" t="n">
        <v>320.762</v>
      </c>
      <c r="V15" s="0" t="n">
        <v>50</v>
      </c>
      <c r="AA15" s="0" t="s">
        <v>17</v>
      </c>
      <c r="AB15" s="0" t="s">
        <v>14</v>
      </c>
      <c r="AC15" s="0" t="n">
        <v>1573</v>
      </c>
      <c r="AD15" s="0" t="n">
        <v>93799</v>
      </c>
      <c r="AE15" s="0" t="n">
        <v>84.73</v>
      </c>
    </row>
    <row r="16" customFormat="false" ht="15" hidden="false" customHeight="false" outlineLevel="0" collapsed="false">
      <c r="A16" s="0" t="s">
        <v>80</v>
      </c>
      <c r="B16" s="0" t="n">
        <v>452044</v>
      </c>
      <c r="C16" s="0" t="n">
        <v>329062</v>
      </c>
      <c r="D16" s="0" t="n">
        <v>122982</v>
      </c>
      <c r="E16" s="0" t="n">
        <v>27.2058</v>
      </c>
      <c r="F16" s="0" t="n">
        <v>50824</v>
      </c>
      <c r="G16" s="0" t="n">
        <v>11.2432</v>
      </c>
      <c r="H16" s="0" t="n">
        <v>95767</v>
      </c>
      <c r="I16" s="0" t="n">
        <v>38496</v>
      </c>
      <c r="J16" s="0" t="n">
        <v>8.516</v>
      </c>
      <c r="K16" s="0" t="n">
        <v>121.42</v>
      </c>
      <c r="L16" s="0" t="n">
        <v>85642</v>
      </c>
      <c r="M16" s="0" t="n">
        <v>53343</v>
      </c>
      <c r="N16" s="0" t="n">
        <v>32299</v>
      </c>
      <c r="O16" s="0" t="n">
        <v>512875</v>
      </c>
      <c r="P16" s="0" t="n">
        <v>908967</v>
      </c>
      <c r="Q16" s="0" t="n">
        <v>391075</v>
      </c>
      <c r="R16" s="0" t="n">
        <v>264244</v>
      </c>
      <c r="S16" s="0" t="n">
        <v>166362</v>
      </c>
      <c r="T16" s="0" t="n">
        <v>317.049</v>
      </c>
      <c r="V16" s="0" t="n">
        <v>30</v>
      </c>
      <c r="AA16" s="0" t="s">
        <v>17</v>
      </c>
      <c r="AB16" s="0" t="s">
        <v>14</v>
      </c>
      <c r="AC16" s="0" t="n">
        <v>2503</v>
      </c>
      <c r="AD16" s="0" t="n">
        <v>50840</v>
      </c>
      <c r="AE16" s="0" t="n">
        <v>121.61</v>
      </c>
    </row>
    <row r="17" customFormat="false" ht="15" hidden="false" customHeight="false" outlineLevel="0" collapsed="false">
      <c r="A17" s="0" t="s">
        <v>81</v>
      </c>
      <c r="B17" s="0" t="n">
        <v>510439</v>
      </c>
      <c r="C17" s="0" t="n">
        <v>347748</v>
      </c>
      <c r="D17" s="0" t="n">
        <v>162691</v>
      </c>
      <c r="E17" s="0" t="n">
        <v>31.8728</v>
      </c>
      <c r="F17" s="0" t="n">
        <v>83528</v>
      </c>
      <c r="G17" s="0" t="n">
        <v>16.364</v>
      </c>
      <c r="H17" s="0" t="n">
        <v>132799</v>
      </c>
      <c r="I17" s="0" t="n">
        <v>70852</v>
      </c>
      <c r="J17" s="0" t="n">
        <v>13.8806</v>
      </c>
      <c r="K17" s="0" t="n">
        <v>226.17</v>
      </c>
      <c r="L17" s="0" t="n">
        <v>94831</v>
      </c>
      <c r="M17" s="0" t="n">
        <v>37428</v>
      </c>
      <c r="N17" s="0" t="n">
        <v>57403</v>
      </c>
      <c r="O17" s="0" t="n">
        <v>584088</v>
      </c>
      <c r="P17" s="0" t="n">
        <v>982833</v>
      </c>
      <c r="Q17" s="0" t="n">
        <v>393239</v>
      </c>
      <c r="R17" s="0" t="n">
        <v>252351</v>
      </c>
      <c r="S17" s="0" t="n">
        <v>185641</v>
      </c>
      <c r="T17" s="0" t="n">
        <v>313.2688</v>
      </c>
      <c r="V17" s="0" t="n">
        <v>63</v>
      </c>
      <c r="AA17" s="0" t="s">
        <v>17</v>
      </c>
      <c r="AB17" s="0" t="s">
        <v>14</v>
      </c>
      <c r="AC17" s="0" t="n">
        <v>2202</v>
      </c>
      <c r="AD17" s="0" t="n">
        <v>35226</v>
      </c>
      <c r="AE17" s="0" t="n">
        <v>226.56</v>
      </c>
    </row>
    <row r="18" customFormat="false" ht="15" hidden="false" customHeight="false" outlineLevel="0" collapsed="false">
      <c r="A18" s="0" t="s">
        <v>82</v>
      </c>
      <c r="B18" s="0" t="n">
        <v>559240</v>
      </c>
      <c r="C18" s="0" t="n">
        <v>405463</v>
      </c>
      <c r="D18" s="0" t="n">
        <v>153777</v>
      </c>
      <c r="E18" s="0" t="n">
        <v>27.4975</v>
      </c>
      <c r="F18" s="0" t="n">
        <v>66761</v>
      </c>
      <c r="G18" s="0" t="n">
        <v>11.9378</v>
      </c>
      <c r="H18" s="0" t="n">
        <v>120490</v>
      </c>
      <c r="I18" s="0" t="n">
        <v>55049</v>
      </c>
      <c r="J18" s="0" t="n">
        <v>9.8435</v>
      </c>
      <c r="K18" s="0" t="n">
        <v>177.17</v>
      </c>
      <c r="L18" s="0" t="n">
        <v>97949</v>
      </c>
      <c r="M18" s="0" t="n">
        <v>43153</v>
      </c>
      <c r="N18" s="0" t="n">
        <v>54796</v>
      </c>
      <c r="O18" s="0" t="n">
        <v>636330</v>
      </c>
      <c r="P18" s="0" t="n">
        <v>1029168</v>
      </c>
      <c r="Q18" s="0" t="n">
        <v>386722</v>
      </c>
      <c r="R18" s="0" t="n">
        <v>253358</v>
      </c>
      <c r="S18" s="0" t="n">
        <v>214710</v>
      </c>
      <c r="T18" s="0" t="n">
        <v>310.7129</v>
      </c>
      <c r="V18" s="0" t="n">
        <v>66</v>
      </c>
      <c r="AA18" s="0" t="s">
        <v>17</v>
      </c>
      <c r="AB18" s="0" t="s">
        <v>14</v>
      </c>
      <c r="AC18" s="0" t="n">
        <v>2896</v>
      </c>
      <c r="AD18" s="0" t="n">
        <v>40257</v>
      </c>
      <c r="AE18" s="0" t="n">
        <v>177.47</v>
      </c>
    </row>
    <row r="19" customFormat="false" ht="15" hidden="false" customHeight="false" outlineLevel="0" collapsed="false">
      <c r="A19" s="0" t="s">
        <v>83</v>
      </c>
      <c r="B19" s="0" t="n">
        <v>578914</v>
      </c>
      <c r="C19" s="0" t="n">
        <v>423060</v>
      </c>
      <c r="D19" s="0" t="n">
        <v>155854</v>
      </c>
      <c r="E19" s="0" t="n">
        <v>26.9218</v>
      </c>
      <c r="F19" s="0" t="n">
        <v>66398</v>
      </c>
      <c r="G19" s="0" t="n">
        <v>11.4694</v>
      </c>
      <c r="H19" s="0" t="n">
        <v>123205</v>
      </c>
      <c r="I19" s="0" t="n">
        <v>40563</v>
      </c>
      <c r="J19" s="0" t="n">
        <v>7.0067</v>
      </c>
      <c r="K19" s="0" t="n">
        <v>133.42</v>
      </c>
      <c r="L19" s="0" t="n">
        <v>99159</v>
      </c>
      <c r="M19" s="0" t="n">
        <v>45136</v>
      </c>
      <c r="N19" s="0" t="n">
        <v>54023</v>
      </c>
      <c r="O19" s="0" t="n">
        <v>696279</v>
      </c>
      <c r="P19" s="0" t="n">
        <v>1127577</v>
      </c>
      <c r="Q19" s="0" t="n">
        <v>424351</v>
      </c>
      <c r="R19" s="0" t="n">
        <v>259327</v>
      </c>
      <c r="S19" s="0" t="n">
        <v>242673</v>
      </c>
      <c r="T19" s="0" t="n">
        <v>304.013</v>
      </c>
      <c r="V19" s="0" t="n">
        <v>58</v>
      </c>
      <c r="AA19" s="0" t="s">
        <v>17</v>
      </c>
      <c r="AB19" s="0" t="s">
        <v>14</v>
      </c>
      <c r="AC19" s="0" t="n">
        <v>2324</v>
      </c>
      <c r="AD19" s="0" t="n">
        <v>42812</v>
      </c>
      <c r="AE19" s="0" t="n">
        <v>133.65</v>
      </c>
    </row>
    <row r="20" customFormat="false" ht="15" hidden="false" customHeight="false" outlineLevel="0" collapsed="false">
      <c r="A20" s="0" t="s">
        <v>84</v>
      </c>
      <c r="B20" s="0" t="n">
        <v>619513</v>
      </c>
      <c r="C20" s="0" t="n">
        <v>443540</v>
      </c>
      <c r="D20" s="0" t="n">
        <v>175973</v>
      </c>
      <c r="E20" s="0" t="n">
        <v>28.4051</v>
      </c>
      <c r="F20" s="0" t="n">
        <v>81242</v>
      </c>
      <c r="G20" s="0" t="n">
        <v>13.1138</v>
      </c>
      <c r="H20" s="0" t="n">
        <v>138495</v>
      </c>
      <c r="I20" s="0" t="n">
        <v>54933</v>
      </c>
      <c r="J20" s="0" t="n">
        <v>8.8671</v>
      </c>
      <c r="K20" s="0" t="n">
        <v>185.66</v>
      </c>
      <c r="L20" s="0" t="n">
        <v>96658</v>
      </c>
      <c r="M20" s="0" t="n">
        <v>43749</v>
      </c>
      <c r="N20" s="0" t="n">
        <v>52909</v>
      </c>
      <c r="O20" s="0" t="n">
        <v>720581</v>
      </c>
      <c r="P20" s="0" t="n">
        <v>1142986</v>
      </c>
      <c r="Q20" s="0" t="n">
        <v>415480</v>
      </c>
      <c r="R20" s="0" t="n">
        <v>252243</v>
      </c>
      <c r="S20" s="0" t="n">
        <v>263869</v>
      </c>
      <c r="T20" s="0" t="n">
        <v>295.878</v>
      </c>
      <c r="U20" s="0" t="n">
        <v>264</v>
      </c>
      <c r="V20" s="0" t="n">
        <v>60</v>
      </c>
      <c r="AA20" s="0" t="s">
        <v>17</v>
      </c>
      <c r="AB20" s="0" t="s">
        <v>14</v>
      </c>
      <c r="AC20" s="0" t="n">
        <v>1950</v>
      </c>
      <c r="AD20" s="0" t="n">
        <v>41799</v>
      </c>
      <c r="AE20" s="0" t="n">
        <v>185.96</v>
      </c>
    </row>
    <row r="21" customFormat="false" ht="15" hidden="false" customHeight="false" outlineLevel="0" collapsed="false">
      <c r="A21" s="0" t="s">
        <v>85</v>
      </c>
      <c r="B21" s="0" t="n">
        <v>670125</v>
      </c>
      <c r="C21" s="0" t="n">
        <v>474963</v>
      </c>
      <c r="D21" s="0" t="n">
        <v>195162</v>
      </c>
      <c r="E21" s="0" t="n">
        <v>29.1232</v>
      </c>
      <c r="F21" s="0" t="n">
        <v>94998</v>
      </c>
      <c r="G21" s="0" t="n">
        <v>14.1762</v>
      </c>
      <c r="H21" s="0" t="n">
        <v>152486</v>
      </c>
      <c r="I21" s="0" t="n">
        <v>59937</v>
      </c>
      <c r="J21" s="0" t="n">
        <v>8.9442</v>
      </c>
      <c r="K21" s="0" t="n">
        <v>206.02</v>
      </c>
      <c r="L21" s="0" t="n">
        <v>137990</v>
      </c>
      <c r="M21" s="0" t="n">
        <v>55471</v>
      </c>
      <c r="N21" s="0" t="n">
        <v>82519</v>
      </c>
      <c r="O21" s="0" t="n">
        <v>809238</v>
      </c>
      <c r="P21" s="0" t="n">
        <v>1243331</v>
      </c>
      <c r="Q21" s="0" t="n">
        <v>425978</v>
      </c>
      <c r="R21" s="0" t="n">
        <v>244636</v>
      </c>
      <c r="S21" s="0" t="n">
        <v>322922</v>
      </c>
      <c r="T21" s="0" t="n">
        <v>290.93</v>
      </c>
      <c r="U21" s="0" t="n">
        <v>406</v>
      </c>
      <c r="V21" s="0" t="n">
        <v>80</v>
      </c>
      <c r="AA21" s="0" t="s">
        <v>17</v>
      </c>
      <c r="AB21" s="0" t="s">
        <v>14</v>
      </c>
      <c r="AC21" s="0" t="n">
        <v>2282</v>
      </c>
      <c r="AD21" s="0" t="n">
        <v>53189</v>
      </c>
      <c r="AE21" s="0" t="n">
        <v>206.32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86</v>
      </c>
      <c r="B1" s="2" t="s">
        <v>87</v>
      </c>
    </row>
    <row r="2" customFormat="false" ht="15" hidden="false" customHeight="false" outlineLevel="0" collapsed="false">
      <c r="A2" s="0" t="s">
        <v>88</v>
      </c>
      <c r="B2" s="3" t="n">
        <v>4613</v>
      </c>
    </row>
    <row r="3" customFormat="false" ht="15" hidden="false" customHeight="false" outlineLevel="0" collapsed="false">
      <c r="A3" s="0" t="s">
        <v>89</v>
      </c>
      <c r="B3" s="3" t="n">
        <v>284.68</v>
      </c>
    </row>
    <row r="4" customFormat="false" ht="15" hidden="false" customHeight="false" outlineLevel="0" collapsed="false">
      <c r="A4" s="0" t="s">
        <v>90</v>
      </c>
      <c r="B4" s="3" t="n">
        <v>-78286</v>
      </c>
    </row>
    <row r="5" customFormat="false" ht="15" hidden="false" customHeight="false" outlineLevel="0" collapsed="false">
      <c r="A5" s="0" t="s">
        <v>91</v>
      </c>
      <c r="B5" s="3" t="n">
        <v>13876</v>
      </c>
    </row>
    <row r="6" customFormat="false" ht="15" hidden="false" customHeight="false" outlineLevel="0" collapsed="false">
      <c r="A6" s="0" t="s">
        <v>92</v>
      </c>
      <c r="B6" s="3" t="n">
        <v>15</v>
      </c>
    </row>
    <row r="7" customFormat="false" ht="15" hidden="false" customHeight="false" outlineLevel="0" collapsed="false">
      <c r="A7" s="0" t="s">
        <v>93</v>
      </c>
      <c r="B7" s="3" t="n">
        <v>670125</v>
      </c>
    </row>
    <row r="8" customFormat="false" ht="15" hidden="false" customHeight="false" outlineLevel="0" collapsed="false">
      <c r="A8" s="0" t="s">
        <v>94</v>
      </c>
      <c r="B8" s="3" t="s">
        <v>85</v>
      </c>
    </row>
    <row r="9" customFormat="false" ht="15" hidden="false" customHeight="false" outlineLevel="0" collapsed="false">
      <c r="A9" s="0" t="s">
        <v>95</v>
      </c>
      <c r="B9" s="3" t="s">
        <v>96</v>
      </c>
    </row>
    <row r="10" customFormat="false" ht="15" hidden="false" customHeight="false" outlineLevel="0" collapsed="false">
      <c r="A10" s="0" t="s">
        <v>97</v>
      </c>
      <c r="B10" s="3" t="n">
        <v>1</v>
      </c>
    </row>
    <row r="12" customFormat="false" ht="15" hidden="false" customHeight="false" outlineLevel="0" collapsed="false">
      <c r="A12" s="2" t="s">
        <v>98</v>
      </c>
      <c r="C12" s="2" t="s">
        <v>99</v>
      </c>
      <c r="D12" s="2" t="s">
        <v>100</v>
      </c>
      <c r="E12" s="2" t="s">
        <v>101</v>
      </c>
      <c r="F12" s="2" t="s">
        <v>102</v>
      </c>
      <c r="G12" s="2" t="s">
        <v>103</v>
      </c>
      <c r="H12" s="2" t="s">
        <v>104</v>
      </c>
      <c r="I12" s="2" t="s">
        <v>105</v>
      </c>
      <c r="J12" s="2" t="s">
        <v>106</v>
      </c>
      <c r="K12" s="2" t="s">
        <v>107</v>
      </c>
      <c r="L12" s="2" t="s">
        <v>108</v>
      </c>
    </row>
    <row r="13" customFormat="false" ht="15" hidden="false" customHeight="false" outlineLevel="0" collapsed="false">
      <c r="A13" s="0" t="s">
        <v>109</v>
      </c>
      <c r="C13" s="3" t="n">
        <v>3</v>
      </c>
      <c r="D13" s="3" t="n">
        <v>1</v>
      </c>
      <c r="E13" s="3" t="n">
        <v>-2</v>
      </c>
      <c r="F13" s="3" t="n">
        <v>0</v>
      </c>
      <c r="G13" s="3" t="n">
        <v>2</v>
      </c>
      <c r="H13" s="3" t="n">
        <v>2</v>
      </c>
      <c r="I13" s="3" t="n">
        <v>1.5</v>
      </c>
      <c r="J13" s="3" t="n">
        <v>1.5</v>
      </c>
      <c r="K13" s="3" t="n">
        <v>1</v>
      </c>
      <c r="L13" s="3" t="n">
        <v>1</v>
      </c>
    </row>
    <row r="14" customFormat="false" ht="15" hidden="false" customHeight="false" outlineLevel="0" collapsed="false">
      <c r="A14" s="0" t="s">
        <v>110</v>
      </c>
      <c r="C14" s="3" t="n">
        <v>22.5</v>
      </c>
      <c r="D14" s="3" t="n">
        <v>21.5</v>
      </c>
      <c r="E14" s="3" t="n">
        <v>19.5</v>
      </c>
      <c r="F14" s="3" t="n">
        <v>20</v>
      </c>
      <c r="G14" s="3" t="n">
        <v>21</v>
      </c>
      <c r="H14" s="3" t="n">
        <v>21.5</v>
      </c>
      <c r="I14" s="3" t="n">
        <v>21.5</v>
      </c>
      <c r="J14" s="3" t="n">
        <v>21.5</v>
      </c>
      <c r="K14" s="3" t="n">
        <v>21.5</v>
      </c>
      <c r="L14" s="3" t="n">
        <v>21.5</v>
      </c>
    </row>
    <row r="15" customFormat="false" ht="15" hidden="false" customHeight="false" outlineLevel="0" collapsed="false">
      <c r="A15" s="0" t="s">
        <v>111</v>
      </c>
      <c r="C15" s="3" t="n">
        <v>0.06</v>
      </c>
      <c r="D15" s="3" t="n">
        <v>0.06</v>
      </c>
      <c r="E15" s="3" t="n">
        <v>0.06</v>
      </c>
      <c r="F15" s="3" t="n">
        <v>0.06</v>
      </c>
      <c r="G15" s="3" t="n">
        <v>0.06</v>
      </c>
      <c r="H15" s="3" t="n">
        <v>0.06</v>
      </c>
      <c r="I15" s="3" t="n">
        <v>0.06</v>
      </c>
      <c r="J15" s="3" t="n">
        <v>0.06</v>
      </c>
      <c r="K15" s="3" t="n">
        <v>0.06</v>
      </c>
      <c r="L15" s="3" t="n">
        <v>0.06</v>
      </c>
    </row>
    <row r="16" customFormat="false" ht="15" hidden="false" customHeight="false" outlineLevel="0" collapsed="false">
      <c r="A16" s="0" t="s">
        <v>112</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113</v>
      </c>
      <c r="C17" s="3" t="n">
        <v>8.5</v>
      </c>
      <c r="D17" s="3" t="n">
        <v>8.8</v>
      </c>
      <c r="E17" s="3" t="n">
        <v>9.3</v>
      </c>
      <c r="F17" s="3" t="n">
        <v>9.5</v>
      </c>
      <c r="G17" s="3" t="n">
        <v>9.5</v>
      </c>
      <c r="H17" s="3" t="n">
        <v>9.5</v>
      </c>
      <c r="I17" s="3" t="n">
        <v>9.5</v>
      </c>
      <c r="J17" s="3" t="n">
        <v>9.5</v>
      </c>
      <c r="K17" s="3" t="n">
        <v>9.5</v>
      </c>
      <c r="L17" s="3" t="n">
        <v>9.5</v>
      </c>
    </row>
    <row r="18" customFormat="false" ht="15" hidden="false" customHeight="false" outlineLevel="0" collapsed="false">
      <c r="A18" s="0" t="s">
        <v>114</v>
      </c>
      <c r="C18" s="3" t="n">
        <v>8.7</v>
      </c>
      <c r="D18" s="3" t="n">
        <v>10.5</v>
      </c>
      <c r="E18" s="3" t="n">
        <v>11</v>
      </c>
      <c r="F18" s="3" t="n">
        <v>9.5</v>
      </c>
      <c r="G18" s="3" t="n">
        <v>9</v>
      </c>
      <c r="H18" s="3" t="n">
        <v>9</v>
      </c>
      <c r="I18" s="3" t="n">
        <v>9</v>
      </c>
      <c r="J18" s="3" t="n">
        <v>9</v>
      </c>
      <c r="K18" s="3" t="n">
        <v>9</v>
      </c>
      <c r="L18" s="3" t="n">
        <v>9</v>
      </c>
    </row>
    <row r="19" customFormat="false" ht="15" hidden="false" customHeight="false" outlineLevel="0" collapsed="false">
      <c r="A19" s="0" t="s">
        <v>115</v>
      </c>
      <c r="C19" s="3" t="n">
        <v>29</v>
      </c>
      <c r="D19" s="3" t="n">
        <v>29</v>
      </c>
      <c r="E19" s="3" t="n">
        <v>29</v>
      </c>
      <c r="F19" s="3" t="n">
        <v>29</v>
      </c>
      <c r="G19" s="3" t="n">
        <v>29</v>
      </c>
      <c r="H19" s="3" t="n">
        <v>29</v>
      </c>
      <c r="I19" s="3" t="n">
        <v>29</v>
      </c>
      <c r="J19" s="3" t="n">
        <v>29</v>
      </c>
      <c r="K19" s="3" t="n">
        <v>29</v>
      </c>
      <c r="L19" s="3" t="n">
        <v>29</v>
      </c>
    </row>
    <row r="20" customFormat="false" ht="15" hidden="false" customHeight="false" outlineLevel="0" collapsed="false">
      <c r="A20" s="0" t="s">
        <v>116</v>
      </c>
      <c r="B20" s="3" t="n">
        <v>8</v>
      </c>
    </row>
    <row r="21" customFormat="false" ht="15" hidden="false" customHeight="false" outlineLevel="0" collapsed="false">
      <c r="A21" s="0" t="s">
        <v>117</v>
      </c>
      <c r="B21" s="3" t="n">
        <v>1</v>
      </c>
    </row>
    <row r="22" customFormat="false" ht="15" hidden="false" customHeight="false" outlineLevel="0" collapsed="false">
      <c r="A22" s="0" t="s">
        <v>118</v>
      </c>
      <c r="B22" s="3" t="n">
        <v>15</v>
      </c>
    </row>
    <row r="23" customFormat="false" ht="15" hidden="false" customHeight="false" outlineLevel="0" collapsed="false">
      <c r="A23" s="0" t="s">
        <v>119</v>
      </c>
      <c r="B23" s="3" t="n">
        <v>-15</v>
      </c>
    </row>
    <row r="24" customFormat="false" ht="15" hidden="false" customHeight="false" outlineLevel="0" collapsed="false">
      <c r="A24" s="0" t="s">
        <v>120</v>
      </c>
      <c r="B24" s="3" t="n">
        <v>0.25</v>
      </c>
    </row>
    <row r="26" customFormat="false" ht="15" hidden="false" customHeight="false" outlineLevel="0" collapsed="false">
      <c r="A26" s="2" t="s">
        <v>121</v>
      </c>
      <c r="C26" s="2" t="s">
        <v>99</v>
      </c>
      <c r="D26" s="2" t="s">
        <v>100</v>
      </c>
      <c r="E26" s="2" t="s">
        <v>101</v>
      </c>
      <c r="F26" s="2" t="s">
        <v>102</v>
      </c>
      <c r="G26" s="2" t="s">
        <v>103</v>
      </c>
      <c r="H26" s="2" t="s">
        <v>104</v>
      </c>
      <c r="I26" s="2" t="s">
        <v>105</v>
      </c>
      <c r="J26" s="2" t="s">
        <v>106</v>
      </c>
      <c r="K26" s="2" t="s">
        <v>107</v>
      </c>
      <c r="L26" s="2" t="s">
        <v>108</v>
      </c>
    </row>
    <row r="27" customFormat="false" ht="15" hidden="false" customHeight="false" outlineLevel="0" collapsed="false">
      <c r="A27" s="0" t="s">
        <v>109</v>
      </c>
      <c r="C27" s="3" t="n">
        <v>6</v>
      </c>
      <c r="D27" s="3" t="n">
        <v>5.5</v>
      </c>
      <c r="E27" s="3" t="n">
        <v>5</v>
      </c>
      <c r="F27" s="3" t="n">
        <v>4.5</v>
      </c>
      <c r="G27" s="3" t="n">
        <v>4</v>
      </c>
      <c r="H27" s="3" t="n">
        <v>3.5</v>
      </c>
      <c r="I27" s="3" t="n">
        <v>3</v>
      </c>
      <c r="J27" s="3" t="n">
        <v>2.5</v>
      </c>
      <c r="K27" s="3" t="n">
        <v>2</v>
      </c>
      <c r="L27" s="3" t="n">
        <v>2</v>
      </c>
    </row>
    <row r="28" customFormat="false" ht="15" hidden="false" customHeight="false" outlineLevel="0" collapsed="false">
      <c r="A28" s="0" t="s">
        <v>110</v>
      </c>
      <c r="C28" s="3" t="n">
        <v>23.5</v>
      </c>
      <c r="D28" s="3" t="n">
        <v>23.8</v>
      </c>
      <c r="E28" s="3" t="n">
        <v>24</v>
      </c>
      <c r="F28" s="3" t="n">
        <v>24.2</v>
      </c>
      <c r="G28" s="3" t="n">
        <v>24.5</v>
      </c>
      <c r="H28" s="3" t="n">
        <v>24.5</v>
      </c>
      <c r="I28" s="3" t="n">
        <v>24.5</v>
      </c>
      <c r="J28" s="3" t="n">
        <v>24.5</v>
      </c>
      <c r="K28" s="3" t="n">
        <v>24.5</v>
      </c>
      <c r="L28" s="3" t="n">
        <v>24.5</v>
      </c>
    </row>
    <row r="29" customFormat="false" ht="15" hidden="false" customHeight="false" outlineLevel="0" collapsed="false">
      <c r="A29" s="0" t="s">
        <v>111</v>
      </c>
      <c r="C29" s="3" t="n">
        <v>0.06</v>
      </c>
      <c r="D29" s="3" t="n">
        <v>0.06</v>
      </c>
      <c r="E29" s="3" t="n">
        <v>0.06</v>
      </c>
      <c r="F29" s="3" t="n">
        <v>0.06</v>
      </c>
      <c r="G29" s="3" t="n">
        <v>0.06</v>
      </c>
      <c r="H29" s="3" t="n">
        <v>0.06</v>
      </c>
      <c r="I29" s="3" t="n">
        <v>0.06</v>
      </c>
      <c r="J29" s="3" t="n">
        <v>0.06</v>
      </c>
      <c r="K29" s="3" t="n">
        <v>0.06</v>
      </c>
      <c r="L29" s="3" t="n">
        <v>0.06</v>
      </c>
    </row>
    <row r="30" customFormat="false" ht="15" hidden="false" customHeight="false" outlineLevel="0" collapsed="false">
      <c r="A30" s="0" t="s">
        <v>112</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113</v>
      </c>
      <c r="C31" s="3" t="n">
        <v>8.5</v>
      </c>
      <c r="D31" s="3" t="n">
        <v>8.5</v>
      </c>
      <c r="E31" s="3" t="n">
        <v>8.7</v>
      </c>
      <c r="F31" s="3" t="n">
        <v>8.9</v>
      </c>
      <c r="G31" s="3" t="n">
        <v>9</v>
      </c>
      <c r="H31" s="3" t="n">
        <v>9</v>
      </c>
      <c r="I31" s="3" t="n">
        <v>9</v>
      </c>
      <c r="J31" s="3" t="n">
        <v>9</v>
      </c>
      <c r="K31" s="3" t="n">
        <v>9</v>
      </c>
      <c r="L31" s="3" t="n">
        <v>9</v>
      </c>
    </row>
    <row r="32" customFormat="false" ht="15" hidden="false" customHeight="false" outlineLevel="0" collapsed="false">
      <c r="A32" s="0" t="s">
        <v>114</v>
      </c>
      <c r="C32" s="3" t="n">
        <v>8.7</v>
      </c>
      <c r="D32" s="3" t="n">
        <v>10.5</v>
      </c>
      <c r="E32" s="3" t="n">
        <v>12</v>
      </c>
      <c r="F32" s="3" t="n">
        <v>12</v>
      </c>
      <c r="G32" s="3" t="n">
        <v>11</v>
      </c>
      <c r="H32" s="3" t="n">
        <v>10</v>
      </c>
      <c r="I32" s="3" t="n">
        <v>9.5</v>
      </c>
      <c r="J32" s="3" t="n">
        <v>9.5</v>
      </c>
      <c r="K32" s="3" t="n">
        <v>9.5</v>
      </c>
      <c r="L32" s="3" t="n">
        <v>9.5</v>
      </c>
    </row>
    <row r="33" customFormat="false" ht="15" hidden="false" customHeight="false" outlineLevel="0" collapsed="false">
      <c r="A33" s="0" t="s">
        <v>115</v>
      </c>
      <c r="C33" s="3" t="n">
        <v>29</v>
      </c>
      <c r="D33" s="3" t="n">
        <v>29</v>
      </c>
      <c r="E33" s="3" t="n">
        <v>29</v>
      </c>
      <c r="F33" s="3" t="n">
        <v>29</v>
      </c>
      <c r="G33" s="3" t="n">
        <v>29</v>
      </c>
      <c r="H33" s="3" t="n">
        <v>29</v>
      </c>
      <c r="I33" s="3" t="n">
        <v>29</v>
      </c>
      <c r="J33" s="3" t="n">
        <v>29</v>
      </c>
      <c r="K33" s="3" t="n">
        <v>29</v>
      </c>
      <c r="L33" s="3" t="n">
        <v>29</v>
      </c>
    </row>
    <row r="34" customFormat="false" ht="15" hidden="false" customHeight="false" outlineLevel="0" collapsed="false">
      <c r="A34" s="0" t="s">
        <v>116</v>
      </c>
      <c r="B34" s="3" t="n">
        <v>8</v>
      </c>
    </row>
    <row r="35" customFormat="false" ht="15" hidden="false" customHeight="false" outlineLevel="0" collapsed="false">
      <c r="A35" s="0" t="s">
        <v>117</v>
      </c>
      <c r="B35" s="3" t="n">
        <v>2</v>
      </c>
    </row>
    <row r="36" customFormat="false" ht="15" hidden="false" customHeight="false" outlineLevel="0" collapsed="false">
      <c r="A36" s="0" t="s">
        <v>118</v>
      </c>
      <c r="B36" s="3" t="n">
        <v>15</v>
      </c>
    </row>
    <row r="37" customFormat="false" ht="15" hidden="false" customHeight="false" outlineLevel="0" collapsed="false">
      <c r="A37" s="0" t="s">
        <v>119</v>
      </c>
      <c r="B37" s="3" t="n">
        <v>-20</v>
      </c>
    </row>
    <row r="38" customFormat="false" ht="15" hidden="false" customHeight="false" outlineLevel="0" collapsed="false">
      <c r="A38" s="0" t="s">
        <v>120</v>
      </c>
      <c r="B38" s="3" t="n">
        <v>0.5</v>
      </c>
    </row>
    <row r="40" customFormat="false" ht="15" hidden="false" customHeight="false" outlineLevel="0" collapsed="false">
      <c r="A40" s="2" t="s">
        <v>122</v>
      </c>
      <c r="C40" s="2" t="s">
        <v>99</v>
      </c>
      <c r="D40" s="2" t="s">
        <v>100</v>
      </c>
      <c r="E40" s="2" t="s">
        <v>101</v>
      </c>
      <c r="F40" s="2" t="s">
        <v>102</v>
      </c>
      <c r="G40" s="2" t="s">
        <v>103</v>
      </c>
      <c r="H40" s="2" t="s">
        <v>104</v>
      </c>
      <c r="I40" s="2" t="s">
        <v>105</v>
      </c>
      <c r="J40" s="2" t="s">
        <v>106</v>
      </c>
      <c r="K40" s="2" t="s">
        <v>107</v>
      </c>
      <c r="L40" s="2" t="s">
        <v>108</v>
      </c>
    </row>
    <row r="41" customFormat="false" ht="15" hidden="false" customHeight="false" outlineLevel="0" collapsed="false">
      <c r="A41" s="0" t="s">
        <v>109</v>
      </c>
      <c r="C41" s="3" t="n">
        <v>7</v>
      </c>
      <c r="D41" s="3" t="n">
        <v>8</v>
      </c>
      <c r="E41" s="3" t="n">
        <v>8</v>
      </c>
      <c r="F41" s="3" t="n">
        <v>7</v>
      </c>
      <c r="G41" s="3" t="n">
        <v>6</v>
      </c>
      <c r="H41" s="3" t="n">
        <v>5</v>
      </c>
      <c r="I41" s="3" t="n">
        <v>4</v>
      </c>
      <c r="J41" s="3" t="n">
        <v>3.5</v>
      </c>
      <c r="K41" s="3" t="n">
        <v>3</v>
      </c>
      <c r="L41" s="3" t="n">
        <v>2.5</v>
      </c>
    </row>
    <row r="42" customFormat="false" ht="15" hidden="false" customHeight="false" outlineLevel="0" collapsed="false">
      <c r="A42" s="0" t="s">
        <v>110</v>
      </c>
      <c r="C42" s="3" t="n">
        <v>23.8</v>
      </c>
      <c r="D42" s="3" t="n">
        <v>24.5</v>
      </c>
      <c r="E42" s="3" t="n">
        <v>25.2</v>
      </c>
      <c r="F42" s="3" t="n">
        <v>25.8</v>
      </c>
      <c r="G42" s="3" t="n">
        <v>26.2</v>
      </c>
      <c r="H42" s="3" t="n">
        <v>26.5</v>
      </c>
      <c r="I42" s="3" t="n">
        <v>26.5</v>
      </c>
      <c r="J42" s="3" t="n">
        <v>26.5</v>
      </c>
      <c r="K42" s="3" t="n">
        <v>26.5</v>
      </c>
      <c r="L42" s="3" t="n">
        <v>26.5</v>
      </c>
    </row>
    <row r="43" customFormat="false" ht="15" hidden="false" customHeight="false" outlineLevel="0" collapsed="false">
      <c r="A43" s="0" t="s">
        <v>111</v>
      </c>
      <c r="C43" s="3" t="n">
        <v>0.06</v>
      </c>
      <c r="D43" s="3" t="n">
        <v>0.06</v>
      </c>
      <c r="E43" s="3" t="n">
        <v>0.06</v>
      </c>
      <c r="F43" s="3" t="n">
        <v>0.06</v>
      </c>
      <c r="G43" s="3" t="n">
        <v>0.06</v>
      </c>
      <c r="H43" s="3" t="n">
        <v>0.06</v>
      </c>
      <c r="I43" s="3" t="n">
        <v>0.06</v>
      </c>
      <c r="J43" s="3" t="n">
        <v>0.06</v>
      </c>
      <c r="K43" s="3" t="n">
        <v>0.06</v>
      </c>
      <c r="L43" s="3" t="n">
        <v>0.06</v>
      </c>
    </row>
    <row r="44" customFormat="false" ht="15" hidden="false" customHeight="false" outlineLevel="0" collapsed="false">
      <c r="A44" s="0" t="s">
        <v>112</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113</v>
      </c>
      <c r="C45" s="3" t="n">
        <v>8.5</v>
      </c>
      <c r="D45" s="3" t="n">
        <v>8.5</v>
      </c>
      <c r="E45" s="3" t="n">
        <v>8.6</v>
      </c>
      <c r="F45" s="3" t="n">
        <v>8.8</v>
      </c>
      <c r="G45" s="3" t="n">
        <v>9</v>
      </c>
      <c r="H45" s="3" t="n">
        <v>9</v>
      </c>
      <c r="I45" s="3" t="n">
        <v>9</v>
      </c>
      <c r="J45" s="3" t="n">
        <v>9</v>
      </c>
      <c r="K45" s="3" t="n">
        <v>9</v>
      </c>
      <c r="L45" s="3" t="n">
        <v>9</v>
      </c>
    </row>
    <row r="46" customFormat="false" ht="15" hidden="false" customHeight="false" outlineLevel="0" collapsed="false">
      <c r="A46" s="0" t="s">
        <v>114</v>
      </c>
      <c r="C46" s="3" t="n">
        <v>8.7</v>
      </c>
      <c r="D46" s="3" t="n">
        <v>10.5</v>
      </c>
      <c r="E46" s="3" t="n">
        <v>12</v>
      </c>
      <c r="F46" s="3" t="n">
        <v>12</v>
      </c>
      <c r="G46" s="3" t="n">
        <v>11</v>
      </c>
      <c r="H46" s="3" t="n">
        <v>10</v>
      </c>
      <c r="I46" s="3" t="n">
        <v>9.5</v>
      </c>
      <c r="J46" s="3" t="n">
        <v>9.5</v>
      </c>
      <c r="K46" s="3" t="n">
        <v>9.5</v>
      </c>
      <c r="L46" s="3" t="n">
        <v>9.5</v>
      </c>
    </row>
    <row r="47" customFormat="false" ht="15" hidden="false" customHeight="false" outlineLevel="0" collapsed="false">
      <c r="A47" s="0" t="s">
        <v>115</v>
      </c>
      <c r="C47" s="3" t="n">
        <v>29</v>
      </c>
      <c r="D47" s="3" t="n">
        <v>29</v>
      </c>
      <c r="E47" s="3" t="n">
        <v>29</v>
      </c>
      <c r="F47" s="3" t="n">
        <v>29</v>
      </c>
      <c r="G47" s="3" t="n">
        <v>29</v>
      </c>
      <c r="H47" s="3" t="n">
        <v>29</v>
      </c>
      <c r="I47" s="3" t="n">
        <v>29</v>
      </c>
      <c r="J47" s="3" t="n">
        <v>29</v>
      </c>
      <c r="K47" s="3" t="n">
        <v>29</v>
      </c>
      <c r="L47" s="3" t="n">
        <v>29</v>
      </c>
    </row>
    <row r="48" customFormat="false" ht="15" hidden="false" customHeight="false" outlineLevel="0" collapsed="false">
      <c r="A48" s="0" t="s">
        <v>116</v>
      </c>
      <c r="B48" s="3" t="n">
        <v>8</v>
      </c>
    </row>
    <row r="49" customFormat="false" ht="15" hidden="false" customHeight="false" outlineLevel="0" collapsed="false">
      <c r="A49" s="0" t="s">
        <v>117</v>
      </c>
      <c r="B49" s="3" t="n">
        <v>2.5</v>
      </c>
    </row>
    <row r="50" customFormat="false" ht="15" hidden="false" customHeight="false" outlineLevel="0" collapsed="false">
      <c r="A50" s="0" t="s">
        <v>118</v>
      </c>
      <c r="B50" s="3" t="n">
        <v>15</v>
      </c>
    </row>
    <row r="51" customFormat="false" ht="15" hidden="false" customHeight="false" outlineLevel="0" collapsed="false">
      <c r="A51" s="0" t="s">
        <v>119</v>
      </c>
      <c r="B51" s="3" t="n">
        <v>-25</v>
      </c>
    </row>
    <row r="52" customFormat="false" ht="15" hidden="false" customHeight="false" outlineLevel="0" collapsed="false">
      <c r="A52" s="0" t="s">
        <v>120</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123</v>
      </c>
    </row>
    <row r="3" customFormat="false" ht="15" hidden="false" customHeight="false" outlineLevel="0" collapsed="false">
      <c r="A3" s="0" t="s">
        <v>124</v>
      </c>
      <c r="B3" s="0" t="s">
        <v>85</v>
      </c>
      <c r="C3" s="2" t="s">
        <v>99</v>
      </c>
      <c r="D3" s="2" t="s">
        <v>100</v>
      </c>
      <c r="E3" s="2" t="s">
        <v>101</v>
      </c>
      <c r="F3" s="2" t="s">
        <v>102</v>
      </c>
      <c r="G3" s="2" t="s">
        <v>103</v>
      </c>
      <c r="H3" s="2" t="s">
        <v>104</v>
      </c>
      <c r="I3" s="2" t="s">
        <v>105</v>
      </c>
      <c r="J3" s="2" t="s">
        <v>106</v>
      </c>
      <c r="K3" s="2" t="s">
        <v>107</v>
      </c>
      <c r="L3" s="2" t="s">
        <v>108</v>
      </c>
    </row>
    <row r="4" customFormat="false" ht="15" hidden="false" customHeight="false" outlineLevel="0" collapsed="false">
      <c r="A4" s="0" t="s">
        <v>125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109</v>
      </c>
      <c r="C5" s="4" t="n">
        <f aca="false">Assumptions!C13</f>
        <v>3</v>
      </c>
      <c r="D5" s="4" t="n">
        <f aca="false">Assumptions!D13</f>
        <v>1</v>
      </c>
      <c r="E5" s="4" t="n">
        <f aca="false">Assumptions!E13</f>
        <v>-2</v>
      </c>
      <c r="F5" s="4" t="n">
        <f aca="false">Assumptions!F13</f>
        <v>0</v>
      </c>
      <c r="G5" s="4" t="n">
        <f aca="false">Assumptions!G13</f>
        <v>2</v>
      </c>
      <c r="H5" s="4" t="n">
        <f aca="false">Assumptions!H13</f>
        <v>2</v>
      </c>
      <c r="I5" s="4" t="n">
        <f aca="false">Assumptions!I13</f>
        <v>1.5</v>
      </c>
      <c r="J5" s="4" t="n">
        <f aca="false">Assumptions!J13</f>
        <v>1.5</v>
      </c>
      <c r="K5" s="4" t="n">
        <f aca="false">Assumptions!K13</f>
        <v>1</v>
      </c>
      <c r="L5" s="4" t="n">
        <f aca="false">Assumptions!L13</f>
        <v>1</v>
      </c>
    </row>
    <row r="6" customFormat="false" ht="15" hidden="false" customHeight="false" outlineLevel="0" collapsed="false">
      <c r="A6" s="0" t="s">
        <v>37</v>
      </c>
      <c r="B6" s="3" t="n">
        <v>670125</v>
      </c>
      <c r="C6" s="0" t="n">
        <f aca="false">B6*(1+C5/100)</f>
        <v>690228.75</v>
      </c>
      <c r="D6" s="0" t="n">
        <f aca="false">C6*(1+D5/100)</f>
        <v>697131.0375</v>
      </c>
      <c r="E6" s="0" t="n">
        <f aca="false">D6*(1+E5/100)</f>
        <v>683188.41675</v>
      </c>
      <c r="F6" s="0" t="n">
        <f aca="false">E6*(1+F5/100)</f>
        <v>683188.41675</v>
      </c>
      <c r="G6" s="0" t="n">
        <f aca="false">F6*(1+G5/100)</f>
        <v>696852.185085</v>
      </c>
      <c r="H6" s="0" t="n">
        <f aca="false">G6*(1+H5/100)</f>
        <v>710789.2287867</v>
      </c>
      <c r="I6" s="0" t="n">
        <f aca="false">H6*(1+I5/100)</f>
        <v>721451.067218501</v>
      </c>
      <c r="J6" s="0" t="n">
        <f aca="false">I6*(1+J5/100)</f>
        <v>732272.833226778</v>
      </c>
      <c r="K6" s="0" t="n">
        <f aca="false">J6*(1+K5/100)</f>
        <v>739595.561559046</v>
      </c>
      <c r="L6" s="0" t="n">
        <f aca="false">K6*(1+L5/100)</f>
        <v>746991.517174636</v>
      </c>
    </row>
    <row r="7" customFormat="false" ht="15" hidden="false" customHeight="false" outlineLevel="0" collapsed="false">
      <c r="A7" s="0" t="s">
        <v>110</v>
      </c>
      <c r="C7" s="4" t="n">
        <f aca="false">Assumptions!C14</f>
        <v>22.5</v>
      </c>
      <c r="D7" s="4" t="n">
        <f aca="false">Assumptions!D14</f>
        <v>21.5</v>
      </c>
      <c r="E7" s="4" t="n">
        <f aca="false">Assumptions!E14</f>
        <v>19.5</v>
      </c>
      <c r="F7" s="4" t="n">
        <f aca="false">Assumptions!F14</f>
        <v>20</v>
      </c>
      <c r="G7" s="4" t="n">
        <f aca="false">Assumptions!G14</f>
        <v>21</v>
      </c>
      <c r="H7" s="4" t="n">
        <f aca="false">Assumptions!H14</f>
        <v>21.5</v>
      </c>
      <c r="I7" s="4" t="n">
        <f aca="false">Assumptions!I14</f>
        <v>21.5</v>
      </c>
      <c r="J7" s="4" t="n">
        <f aca="false">Assumptions!J14</f>
        <v>21.5</v>
      </c>
      <c r="K7" s="4" t="n">
        <f aca="false">Assumptions!K14</f>
        <v>21.5</v>
      </c>
      <c r="L7" s="4" t="n">
        <f aca="false">Assumptions!L14</f>
        <v>21.5</v>
      </c>
    </row>
    <row r="8" customFormat="false" ht="15" hidden="false" customHeight="false" outlineLevel="0" collapsed="false">
      <c r="A8" s="0" t="s">
        <v>43</v>
      </c>
      <c r="C8" s="0" t="n">
        <f aca="false">C6*C7/100</f>
        <v>155301.46875</v>
      </c>
      <c r="D8" s="0" t="n">
        <f aca="false">D6*D7/100</f>
        <v>149883.1730625</v>
      </c>
      <c r="E8" s="0" t="n">
        <f aca="false">E6*E7/100</f>
        <v>133221.74126625</v>
      </c>
      <c r="F8" s="0" t="n">
        <f aca="false">F6*F7/100</f>
        <v>136637.68335</v>
      </c>
      <c r="G8" s="0" t="n">
        <f aca="false">G6*G7/100</f>
        <v>146338.95886785</v>
      </c>
      <c r="H8" s="0" t="n">
        <f aca="false">H6*H7/100</f>
        <v>152819.684189141</v>
      </c>
      <c r="I8" s="0" t="n">
        <f aca="false">I6*I7/100</f>
        <v>155111.979451978</v>
      </c>
      <c r="J8" s="0" t="n">
        <f aca="false">J6*J7/100</f>
        <v>157438.659143757</v>
      </c>
      <c r="K8" s="0" t="n">
        <f aca="false">K6*K7/100</f>
        <v>159013.045735195</v>
      </c>
      <c r="L8" s="0" t="n">
        <f aca="false">L6*L7/100</f>
        <v>160603.176192547</v>
      </c>
    </row>
    <row r="9" customFormat="false" ht="15" hidden="false" customHeight="false" outlineLevel="0" collapsed="false">
      <c r="A9" s="0" t="s">
        <v>111</v>
      </c>
      <c r="C9" s="4" t="n">
        <f aca="false">Assumptions!C15</f>
        <v>0.06</v>
      </c>
      <c r="D9" s="4" t="n">
        <f aca="false">Assumptions!D15</f>
        <v>0.06</v>
      </c>
      <c r="E9" s="4" t="n">
        <f aca="false">Assumptions!E15</f>
        <v>0.06</v>
      </c>
      <c r="F9" s="4" t="n">
        <f aca="false">Assumptions!F15</f>
        <v>0.06</v>
      </c>
      <c r="G9" s="4" t="n">
        <f aca="false">Assumptions!G15</f>
        <v>0.06</v>
      </c>
      <c r="H9" s="4" t="n">
        <f aca="false">Assumptions!H15</f>
        <v>0.06</v>
      </c>
      <c r="I9" s="4" t="n">
        <f aca="false">Assumptions!I15</f>
        <v>0.06</v>
      </c>
      <c r="J9" s="4" t="n">
        <f aca="false">Assumptions!J15</f>
        <v>0.06</v>
      </c>
      <c r="K9" s="4" t="n">
        <f aca="false">Assumptions!K15</f>
        <v>0.06</v>
      </c>
      <c r="L9" s="4" t="n">
        <f aca="false">Assumptions!L15</f>
        <v>0.06</v>
      </c>
    </row>
    <row r="10" customFormat="false" ht="15" hidden="false" customHeight="false" outlineLevel="0" collapsed="false">
      <c r="A10" s="0" t="s">
        <v>126</v>
      </c>
      <c r="C10" s="0" t="n">
        <f aca="false">-C6*C9/100</f>
        <v>-414.13725</v>
      </c>
      <c r="D10" s="0" t="n">
        <f aca="false">-D6*D9/100</f>
        <v>-418.2786225</v>
      </c>
      <c r="E10" s="0" t="n">
        <f aca="false">-E6*E9/100</f>
        <v>-409.91305005</v>
      </c>
      <c r="F10" s="0" t="n">
        <f aca="false">-F6*F9/100</f>
        <v>-409.91305005</v>
      </c>
      <c r="G10" s="0" t="n">
        <f aca="false">-G6*G9/100</f>
        <v>-418.111311051</v>
      </c>
      <c r="H10" s="0" t="n">
        <f aca="false">-H6*H9/100</f>
        <v>-426.47353727202</v>
      </c>
      <c r="I10" s="0" t="n">
        <f aca="false">-I6*I9/100</f>
        <v>-432.8706403311</v>
      </c>
      <c r="J10" s="0" t="n">
        <f aca="false">-J6*J9/100</f>
        <v>-439.363699936067</v>
      </c>
      <c r="K10" s="0" t="n">
        <f aca="false">-K6*K9/100</f>
        <v>-443.757336935428</v>
      </c>
      <c r="L10" s="0" t="n">
        <f aca="false">-L6*L9/100</f>
        <v>-448.194910304782</v>
      </c>
    </row>
    <row r="11" customFormat="false" ht="15" hidden="false" customHeight="false" outlineLevel="0" collapsed="false">
      <c r="A11" s="0" t="s">
        <v>127</v>
      </c>
      <c r="C11" s="0" t="n">
        <f aca="false">C8+C10+C24</f>
        <v>154887.3315</v>
      </c>
      <c r="D11" s="0" t="n">
        <f aca="false">D8+D10+D24</f>
        <v>149464.89444</v>
      </c>
      <c r="E11" s="0" t="n">
        <f aca="false">E8+E10+E24</f>
        <v>132811.8282162</v>
      </c>
      <c r="F11" s="0" t="n">
        <f aca="false">F8+F10+F24</f>
        <v>136227.77029995</v>
      </c>
      <c r="G11" s="0" t="n">
        <f aca="false">G8+G10+G24</f>
        <v>145920.847556799</v>
      </c>
      <c r="H11" s="0" t="n">
        <f aca="false">H8+H10+H24</f>
        <v>152393.210651869</v>
      </c>
      <c r="I11" s="0" t="n">
        <f aca="false">I8+I10+I24</f>
        <v>154679.108811647</v>
      </c>
      <c r="J11" s="0" t="n">
        <f aca="false">J8+J10+J24</f>
        <v>156999.295443821</v>
      </c>
      <c r="K11" s="0" t="n">
        <f aca="false">K8+K10+K24</f>
        <v>158569.288398259</v>
      </c>
      <c r="L11" s="0" t="n">
        <f aca="false">L8+L10+L24</f>
        <v>160154.981282242</v>
      </c>
    </row>
    <row r="12" customFormat="false" ht="15" hidden="false" customHeight="false" outlineLevel="0" collapsed="false">
      <c r="A12" s="0" t="s">
        <v>128</v>
      </c>
      <c r="C12" s="4" t="n">
        <f aca="false">-C6*Assumptions!C17/100</f>
        <v>-58669.44375</v>
      </c>
      <c r="D12" s="4" t="n">
        <f aca="false">-D6*Assumptions!D17/100</f>
        <v>-61347.5313</v>
      </c>
      <c r="E12" s="4" t="n">
        <f aca="false">-E6*Assumptions!E17/100</f>
        <v>-63536.52275775</v>
      </c>
      <c r="F12" s="4" t="n">
        <f aca="false">-F6*Assumptions!F17/100</f>
        <v>-64902.89959125</v>
      </c>
      <c r="G12" s="4" t="n">
        <f aca="false">-G6*Assumptions!G17/100</f>
        <v>-66200.957583075</v>
      </c>
      <c r="H12" s="4" t="n">
        <f aca="false">-H6*Assumptions!H17/100</f>
        <v>-67524.9767347365</v>
      </c>
      <c r="I12" s="4" t="n">
        <f aca="false">-I6*Assumptions!I17/100</f>
        <v>-68537.8513857576</v>
      </c>
      <c r="J12" s="4" t="n">
        <f aca="false">-J6*Assumptions!J17/100</f>
        <v>-69565.9191565439</v>
      </c>
      <c r="K12" s="4" t="n">
        <f aca="false">-K6*Assumptions!K17/100</f>
        <v>-70261.5783481094</v>
      </c>
      <c r="L12" s="4" t="n">
        <f aca="false">-L6*Assumptions!L17/100</f>
        <v>-70964.1941315904</v>
      </c>
    </row>
    <row r="13" customFormat="false" ht="15" hidden="false" customHeight="false" outlineLevel="0" collapsed="false">
      <c r="A13" s="0" t="s">
        <v>129</v>
      </c>
      <c r="C13" s="0" t="n">
        <f aca="false">C11+C12</f>
        <v>96217.88775</v>
      </c>
      <c r="D13" s="0" t="n">
        <f aca="false">D11+D12</f>
        <v>88117.36314</v>
      </c>
      <c r="E13" s="0" t="n">
        <f aca="false">E11+E12</f>
        <v>69275.30545845</v>
      </c>
      <c r="F13" s="0" t="n">
        <f aca="false">F11+F12</f>
        <v>71324.8707087</v>
      </c>
      <c r="G13" s="0" t="n">
        <f aca="false">G11+G12</f>
        <v>79719.889973724</v>
      </c>
      <c r="H13" s="0" t="n">
        <f aca="false">H11+H12</f>
        <v>84868.233917132</v>
      </c>
      <c r="I13" s="0" t="n">
        <f aca="false">I11+I12</f>
        <v>86141.257425889</v>
      </c>
      <c r="J13" s="0" t="n">
        <f aca="false">J11+J12</f>
        <v>87433.3762872773</v>
      </c>
      <c r="K13" s="0" t="n">
        <f aca="false">K11+K12</f>
        <v>88307.7100501501</v>
      </c>
      <c r="L13" s="0" t="n">
        <f aca="false">L11+L12</f>
        <v>89190.7871506516</v>
      </c>
    </row>
    <row r="14" customFormat="false" ht="15" hidden="false" customHeight="false" outlineLevel="0" collapsed="false">
      <c r="A14" s="0" t="s">
        <v>115</v>
      </c>
      <c r="C14" s="4" t="n">
        <f aca="false">Assumptions!C19</f>
        <v>29</v>
      </c>
      <c r="D14" s="4" t="n">
        <f aca="false">Assumptions!D19</f>
        <v>29</v>
      </c>
      <c r="E14" s="4" t="n">
        <f aca="false">Assumptions!E19</f>
        <v>29</v>
      </c>
      <c r="F14" s="4" t="n">
        <f aca="false">Assumptions!F19</f>
        <v>29</v>
      </c>
      <c r="G14" s="4" t="n">
        <f aca="false">Assumptions!G19</f>
        <v>29</v>
      </c>
      <c r="H14" s="4" t="n">
        <f aca="false">Assumptions!H19</f>
        <v>29</v>
      </c>
      <c r="I14" s="4" t="n">
        <f aca="false">Assumptions!I19</f>
        <v>29</v>
      </c>
      <c r="J14" s="4" t="n">
        <f aca="false">Assumptions!J19</f>
        <v>29</v>
      </c>
      <c r="K14" s="4" t="n">
        <f aca="false">Assumptions!K19</f>
        <v>29</v>
      </c>
      <c r="L14" s="4" t="n">
        <f aca="false">Assumptions!L19</f>
        <v>29</v>
      </c>
    </row>
    <row r="15" customFormat="false" ht="15" hidden="false" customHeight="false" outlineLevel="0" collapsed="false">
      <c r="A15" s="0" t="s">
        <v>130</v>
      </c>
      <c r="C15" s="0" t="n">
        <f aca="false">C13-MAX(0,C13)*C14/100</f>
        <v>68314.7003025</v>
      </c>
      <c r="D15" s="0" t="n">
        <f aca="false">D13-MAX(0,D13)*D14/100</f>
        <v>62563.3278294</v>
      </c>
      <c r="E15" s="0" t="n">
        <f aca="false">E13-MAX(0,E13)*E14/100</f>
        <v>49185.4668754995</v>
      </c>
      <c r="F15" s="0" t="n">
        <f aca="false">F13-MAX(0,F13)*F14/100</f>
        <v>50640.658203177</v>
      </c>
      <c r="G15" s="0" t="n">
        <f aca="false">G13-MAX(0,G13)*G14/100</f>
        <v>56601.1218813441</v>
      </c>
      <c r="H15" s="0" t="n">
        <f aca="false">H13-MAX(0,H13)*H14/100</f>
        <v>60256.4460811637</v>
      </c>
      <c r="I15" s="0" t="n">
        <f aca="false">I13-MAX(0,I13)*I14/100</f>
        <v>61160.2927723812</v>
      </c>
      <c r="J15" s="0" t="n">
        <f aca="false">J13-MAX(0,J13)*J14/100</f>
        <v>62077.6971639669</v>
      </c>
      <c r="K15" s="0" t="n">
        <f aca="false">K13-MAX(0,K13)*K14/100</f>
        <v>62698.4741356065</v>
      </c>
      <c r="L15" s="0" t="n">
        <f aca="false">L13-MAX(0,L13)*L14/100</f>
        <v>63325.4588769626</v>
      </c>
    </row>
    <row r="16" customFormat="false" ht="15" hidden="false" customHeight="false" outlineLevel="0" collapsed="false">
      <c r="A16" s="0" t="s">
        <v>131</v>
      </c>
      <c r="C16" s="0" t="n">
        <f aca="false">-C12</f>
        <v>58669.44375</v>
      </c>
      <c r="D16" s="0" t="n">
        <f aca="false">-D12</f>
        <v>61347.5313</v>
      </c>
      <c r="E16" s="0" t="n">
        <f aca="false">-E12</f>
        <v>63536.52275775</v>
      </c>
      <c r="F16" s="0" t="n">
        <f aca="false">-F12</f>
        <v>64902.89959125</v>
      </c>
      <c r="G16" s="0" t="n">
        <f aca="false">-G12</f>
        <v>66200.957583075</v>
      </c>
      <c r="H16" s="0" t="n">
        <f aca="false">-H12</f>
        <v>67524.9767347365</v>
      </c>
      <c r="I16" s="0" t="n">
        <f aca="false">-I12</f>
        <v>68537.8513857576</v>
      </c>
      <c r="J16" s="0" t="n">
        <f aca="false">-J12</f>
        <v>69565.9191565439</v>
      </c>
      <c r="K16" s="0" t="n">
        <f aca="false">-K12</f>
        <v>70261.5783481094</v>
      </c>
      <c r="L16" s="0" t="n">
        <f aca="false">-L12</f>
        <v>70964.1941315904</v>
      </c>
    </row>
    <row r="17" customFormat="false" ht="15" hidden="false" customHeight="false" outlineLevel="0" collapsed="false">
      <c r="A17" s="0" t="s">
        <v>132</v>
      </c>
      <c r="C17" s="4" t="n">
        <f aca="false">-C6*Assumptions!C18/100</f>
        <v>-60049.90125</v>
      </c>
      <c r="D17" s="4" t="n">
        <f aca="false">-D6*Assumptions!D18/100</f>
        <v>-73198.7589375</v>
      </c>
      <c r="E17" s="4" t="n">
        <f aca="false">-E6*Assumptions!E18/100</f>
        <v>-75150.7258425</v>
      </c>
      <c r="F17" s="4" t="n">
        <f aca="false">-F6*Assumptions!F18/100</f>
        <v>-64902.89959125</v>
      </c>
      <c r="G17" s="4" t="n">
        <f aca="false">-G6*Assumptions!G18/100</f>
        <v>-62716.69665765</v>
      </c>
      <c r="H17" s="4" t="n">
        <f aca="false">-H6*Assumptions!H18/100</f>
        <v>-63971.030590803</v>
      </c>
      <c r="I17" s="4" t="n">
        <f aca="false">-I6*Assumptions!I18/100</f>
        <v>-64930.596049665</v>
      </c>
      <c r="J17" s="4" t="n">
        <f aca="false">-J6*Assumptions!J18/100</f>
        <v>-65904.55499041</v>
      </c>
      <c r="K17" s="4" t="n">
        <f aca="false">-K6*Assumptions!K18/100</f>
        <v>-66563.6005403141</v>
      </c>
      <c r="L17" s="4" t="n">
        <f aca="false">-L6*Assumptions!L18/100</f>
        <v>-67229.2365457173</v>
      </c>
    </row>
    <row r="18" customFormat="false" ht="15" hidden="false" customHeight="false" outlineLevel="0" collapsed="false">
      <c r="A18" s="0" t="s">
        <v>133</v>
      </c>
      <c r="C18" s="4" t="n">
        <f aca="false">(C6-B6)*Assumptions!$B$23/100</f>
        <v>-3015.5625</v>
      </c>
      <c r="D18" s="4" t="n">
        <f aca="false">(D6-C6)*Assumptions!$B$23/100</f>
        <v>-1035.343125</v>
      </c>
      <c r="E18" s="4" t="n">
        <f aca="false">(E6-D6)*Assumptions!$B$23/100</f>
        <v>2091.3931125</v>
      </c>
      <c r="F18" s="4" t="n">
        <f aca="false">(F6-E6)*Assumptions!$B$23/100</f>
        <v>-0</v>
      </c>
      <c r="G18" s="4" t="n">
        <f aca="false">(G6-F6)*Assumptions!$B$23/100</f>
        <v>-2049.56525025</v>
      </c>
      <c r="H18" s="4" t="n">
        <f aca="false">(H6-G6)*Assumptions!$B$23/100</f>
        <v>-2090.55655525501</v>
      </c>
      <c r="I18" s="4" t="n">
        <f aca="false">(I6-H6)*Assumptions!$B$23/100</f>
        <v>-1599.27576477007</v>
      </c>
      <c r="J18" s="4" t="n">
        <f aca="false">(J6-I6)*Assumptions!$B$23/100</f>
        <v>-1623.26490124161</v>
      </c>
      <c r="K18" s="4" t="n">
        <f aca="false">(K6-J6)*Assumptions!$B$23/100</f>
        <v>-1098.40924984018</v>
      </c>
      <c r="L18" s="4" t="n">
        <f aca="false">(L6-K6)*Assumptions!$B$23/100</f>
        <v>-1109.39334233857</v>
      </c>
    </row>
    <row r="19" customFormat="false" ht="15" hidden="false" customHeight="false" outlineLevel="0" collapsed="false">
      <c r="A19" s="0" t="s">
        <v>134</v>
      </c>
      <c r="C19" s="0" t="n">
        <f aca="false">C15+C16+C17+C18</f>
        <v>63918.6803025</v>
      </c>
      <c r="D19" s="0" t="n">
        <f aca="false">D15+D16+D17+D18</f>
        <v>49676.7570669</v>
      </c>
      <c r="E19" s="0" t="n">
        <f aca="false">E15+E16+E17+E18</f>
        <v>39662.6569032495</v>
      </c>
      <c r="F19" s="0" t="n">
        <f aca="false">F15+F16+F17+F18</f>
        <v>50640.658203177</v>
      </c>
      <c r="G19" s="0" t="n">
        <f aca="false">G15+G16+G17+G18</f>
        <v>58035.817556519</v>
      </c>
      <c r="H19" s="0" t="n">
        <f aca="false">H15+H16+H17+H18</f>
        <v>61719.8356698422</v>
      </c>
      <c r="I19" s="0" t="n">
        <f aca="false">I15+I16+I17+I18</f>
        <v>63168.2723437036</v>
      </c>
      <c r="J19" s="0" t="n">
        <f aca="false">J15+J16+J17+J18</f>
        <v>64115.7964288591</v>
      </c>
      <c r="K19" s="0" t="n">
        <f aca="false">K15+K16+K17+K18</f>
        <v>65298.0426935616</v>
      </c>
      <c r="L19" s="0" t="n">
        <f aca="false">L15+L16+L17+L18</f>
        <v>65951.0231204972</v>
      </c>
    </row>
    <row r="20" customFormat="false" ht="15" hidden="false" customHeight="false" outlineLevel="0" collapsed="false">
      <c r="A20" s="0" t="s">
        <v>135</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136</v>
      </c>
      <c r="C21" s="0" t="n">
        <f aca="false">C19*C20</f>
        <v>59183.9632430555</v>
      </c>
      <c r="D21" s="0" t="n">
        <f aca="false">D19*D20</f>
        <v>42589.8123001543</v>
      </c>
      <c r="E21" s="0" t="n">
        <f aca="false">E19*E20</f>
        <v>31485.4958143207</v>
      </c>
      <c r="F21" s="0" t="n">
        <f aca="false">F19*F20</f>
        <v>37222.3955445967</v>
      </c>
      <c r="G21" s="0" t="n">
        <f aca="false">G19*G20</f>
        <v>39498.2022550833</v>
      </c>
      <c r="H21" s="0" t="n">
        <f aca="false">H19*H20</f>
        <v>38893.965815351</v>
      </c>
      <c r="I21" s="0" t="n">
        <f aca="false">I19*I20</f>
        <v>36858.0801978537</v>
      </c>
      <c r="J21" s="0" t="n">
        <f aca="false">J19*J20</f>
        <v>34639.7698155755</v>
      </c>
      <c r="K21" s="0" t="n">
        <f aca="false">K19*K20</f>
        <v>32665.2784131601</v>
      </c>
      <c r="L21" s="0" t="n">
        <f aca="false">L19*L20</f>
        <v>30548.0844419368</v>
      </c>
    </row>
    <row r="23" customFormat="false" ht="15" hidden="false" customHeight="false" outlineLevel="0" collapsed="false">
      <c r="A23" s="0" t="s">
        <v>112</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138</v>
      </c>
    </row>
    <row r="27" customFormat="false" ht="15" hidden="false" customHeight="false" outlineLevel="0" collapsed="false">
      <c r="A27" s="0" t="s">
        <v>116</v>
      </c>
      <c r="B27" s="4" t="n">
        <f aca="false">Assumptions!$B$20</f>
        <v>8</v>
      </c>
    </row>
    <row r="28" customFormat="false" ht="15" hidden="false" customHeight="false" outlineLevel="0" collapsed="false">
      <c r="A28" s="0" t="s">
        <v>117</v>
      </c>
      <c r="B28" s="4" t="n">
        <f aca="false">Assumptions!$B$21</f>
        <v>1</v>
      </c>
    </row>
    <row r="29" customFormat="false" ht="15" hidden="false" customHeight="false" outlineLevel="0" collapsed="false">
      <c r="A29" s="0" t="s">
        <v>118</v>
      </c>
      <c r="B29" s="4" t="n">
        <f aca="false">Assumptions!$B$22</f>
        <v>15</v>
      </c>
    </row>
    <row r="30" customFormat="false" ht="15" hidden="false" customHeight="false" outlineLevel="0" collapsed="false">
      <c r="A30" s="0" t="s">
        <v>139</v>
      </c>
      <c r="B30" s="0" t="n">
        <f aca="false">SUM(C21:L21)</f>
        <v>383585.047841088</v>
      </c>
    </row>
    <row r="31" customFormat="false" ht="15" hidden="false" customHeight="false" outlineLevel="0" collapsed="false">
      <c r="A31" s="0" t="s">
        <v>140</v>
      </c>
      <c r="B31" s="0" t="n">
        <f aca="false">L19</f>
        <v>65951.0231204972</v>
      </c>
    </row>
    <row r="32" customFormat="false" ht="15" hidden="false" customHeight="false" outlineLevel="0" collapsed="false">
      <c r="A32" s="0" t="s">
        <v>141</v>
      </c>
      <c r="B32" s="0" t="n">
        <f aca="false">IF(B27&gt;B28,B31*(1+B28/100)/((B27-B28)/100),B31*B29)</f>
        <v>951579.04788146</v>
      </c>
    </row>
    <row r="33" customFormat="false" ht="15" hidden="false" customHeight="false" outlineLevel="0" collapsed="false">
      <c r="A33" s="0" t="s">
        <v>142</v>
      </c>
      <c r="B33" s="0" t="n">
        <f aca="false">B31*B29</f>
        <v>989265.346807458</v>
      </c>
    </row>
    <row r="34" customFormat="false" ht="15" hidden="false" customHeight="false" outlineLevel="0" collapsed="false">
      <c r="A34" s="0" t="s">
        <v>143</v>
      </c>
      <c r="B34" s="0" t="n">
        <f aca="false">MAX(0,MIN(B32,B33))</f>
        <v>951579.04788146</v>
      </c>
    </row>
    <row r="35" customFormat="false" ht="15" hidden="false" customHeight="false" outlineLevel="0" collapsed="false">
      <c r="A35" s="0" t="s">
        <v>144</v>
      </c>
      <c r="B35" s="0" t="n">
        <f aca="false">B34/(1+B27/100)^L4</f>
        <v>440765.218376516</v>
      </c>
    </row>
    <row r="36" customFormat="false" ht="15" hidden="false" customHeight="false" outlineLevel="0" collapsed="false">
      <c r="A36" s="0" t="s">
        <v>145</v>
      </c>
      <c r="B36" s="0" t="n">
        <f aca="false">B30+B35</f>
        <v>824350.266217604</v>
      </c>
    </row>
    <row r="37" customFormat="false" ht="15" hidden="false" customHeight="false" outlineLevel="0" collapsed="false">
      <c r="A37" s="0" t="s">
        <v>146</v>
      </c>
      <c r="B37" s="0" t="n">
        <f aca="false">B36+Assumptions!$B$5-Assumptions!$B$4</f>
        <v>916512.266217604</v>
      </c>
    </row>
    <row r="38" customFormat="false" ht="15" hidden="false" customHeight="false" outlineLevel="0" collapsed="false">
      <c r="A38" s="0" t="s">
        <v>147</v>
      </c>
      <c r="B38" s="0" t="n">
        <f aca="false">B37/Assumptions!$B$3*Assumptions!$B$10</f>
        <v>3219.4473311002</v>
      </c>
    </row>
    <row r="39" customFormat="false" ht="15" hidden="false" customHeight="false" outlineLevel="0" collapsed="false">
      <c r="A39" s="0" t="s">
        <v>148</v>
      </c>
      <c r="B39" s="4" t="n">
        <f aca="false">B38/Assumptions!$B$2-1</f>
        <v>-0.302092492716194</v>
      </c>
    </row>
    <row r="41" customFormat="false" ht="15" hidden="false" customHeight="false" outlineLevel="0" collapsed="false">
      <c r="A41" s="0" t="s">
        <v>149</v>
      </c>
      <c r="B41" s="0" t="n">
        <f aca="false">SUMPRODUCT(-C10:L10/(1+$B$27/100)^C4:L4)</f>
        <v>2841.61815445388</v>
      </c>
    </row>
    <row r="42" customFormat="false" ht="15" hidden="false" customHeight="false" outlineLevel="0" collapsed="false">
      <c r="A42" s="0" t="s">
        <v>150</v>
      </c>
      <c r="B42" s="0" t="n">
        <f aca="false">IF(B27&gt;B28,-L10*(1+B28/100)/((B27-B28)/100),-L10*20)/(1+B27/100)^L4</f>
        <v>2995.38533549047</v>
      </c>
    </row>
    <row r="43" customFormat="false" ht="15" hidden="false" customHeight="false" outlineLevel="0" collapsed="false">
      <c r="A43" s="0" t="s">
        <v>151</v>
      </c>
      <c r="B43" s="0" t="n">
        <f aca="false">(B37+B41+B42)/Assumptions!$B$3*Assumptions!$B$10</f>
        <v>3239.95106683837</v>
      </c>
    </row>
    <row r="45" customFormat="false" ht="15" hidden="false" customHeight="false" outlineLevel="0" collapsed="false">
      <c r="A45" s="0" t="s">
        <v>92</v>
      </c>
      <c r="B45" s="4" t="n">
        <f aca="false">Assumptions!$B$6</f>
        <v>15</v>
      </c>
    </row>
    <row r="46" customFormat="false" ht="15" hidden="false" customHeight="false" outlineLevel="0" collapsed="false">
      <c r="A46" s="0" t="s">
        <v>152</v>
      </c>
      <c r="B46" s="0" t="n">
        <f aca="false">MAX(0,MIN(IF(B45&gt;B28,B31*(1+B28/100)/((B45-B28)/100),B31*B29),B31*B29))</f>
        <v>475789.52394073</v>
      </c>
    </row>
    <row r="47" customFormat="false" ht="15" hidden="false" customHeight="false" outlineLevel="0" collapsed="false">
      <c r="A47" s="0" t="s">
        <v>153</v>
      </c>
      <c r="B47" s="0" t="n">
        <f aca="false">(SUMPRODUCT(C19:L19/(1+B45/100)^C4:L4)+B46/(1+B45/100)^L4+Assumptions!$B$5-Assumptions!$B$4)/Assumptions!$B$3*Assumptions!$B$10</f>
        <v>1731.96182465964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154</v>
      </c>
    </row>
    <row r="3" customFormat="false" ht="15" hidden="false" customHeight="false" outlineLevel="0" collapsed="false">
      <c r="A3" s="0" t="s">
        <v>124</v>
      </c>
      <c r="B3" s="0" t="s">
        <v>85</v>
      </c>
      <c r="C3" s="2" t="s">
        <v>99</v>
      </c>
      <c r="D3" s="2" t="s">
        <v>100</v>
      </c>
      <c r="E3" s="2" t="s">
        <v>101</v>
      </c>
      <c r="F3" s="2" t="s">
        <v>102</v>
      </c>
      <c r="G3" s="2" t="s">
        <v>103</v>
      </c>
      <c r="H3" s="2" t="s">
        <v>104</v>
      </c>
      <c r="I3" s="2" t="s">
        <v>105</v>
      </c>
      <c r="J3" s="2" t="s">
        <v>106</v>
      </c>
      <c r="K3" s="2" t="s">
        <v>107</v>
      </c>
      <c r="L3" s="2" t="s">
        <v>108</v>
      </c>
    </row>
    <row r="4" customFormat="false" ht="15" hidden="false" customHeight="false" outlineLevel="0" collapsed="false">
      <c r="A4" s="0" t="s">
        <v>125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109</v>
      </c>
      <c r="C5" s="4" t="n">
        <f aca="false">Assumptions!C27</f>
        <v>6</v>
      </c>
      <c r="D5" s="4" t="n">
        <f aca="false">Assumptions!D27</f>
        <v>5.5</v>
      </c>
      <c r="E5" s="4" t="n">
        <f aca="false">Assumptions!E27</f>
        <v>5</v>
      </c>
      <c r="F5" s="4" t="n">
        <f aca="false">Assumptions!F27</f>
        <v>4.5</v>
      </c>
      <c r="G5" s="4" t="n">
        <f aca="false">Assumptions!G27</f>
        <v>4</v>
      </c>
      <c r="H5" s="4" t="n">
        <f aca="false">Assumptions!H27</f>
        <v>3.5</v>
      </c>
      <c r="I5" s="4" t="n">
        <f aca="false">Assumptions!I27</f>
        <v>3</v>
      </c>
      <c r="J5" s="4" t="n">
        <f aca="false">Assumptions!J27</f>
        <v>2.5</v>
      </c>
      <c r="K5" s="4" t="n">
        <f aca="false">Assumptions!K27</f>
        <v>2</v>
      </c>
      <c r="L5" s="4" t="n">
        <f aca="false">Assumptions!L27</f>
        <v>2</v>
      </c>
    </row>
    <row r="6" customFormat="false" ht="15" hidden="false" customHeight="false" outlineLevel="0" collapsed="false">
      <c r="A6" s="0" t="s">
        <v>37</v>
      </c>
      <c r="B6" s="3" t="n">
        <v>670125</v>
      </c>
      <c r="C6" s="0" t="n">
        <f aca="false">B6*(1+C5/100)</f>
        <v>710332.5</v>
      </c>
      <c r="D6" s="0" t="n">
        <f aca="false">C6*(1+D5/100)</f>
        <v>749400.7875</v>
      </c>
      <c r="E6" s="0" t="n">
        <f aca="false">D6*(1+E5/100)</f>
        <v>786870.826875</v>
      </c>
      <c r="F6" s="0" t="n">
        <f aca="false">E6*(1+F5/100)</f>
        <v>822280.014084375</v>
      </c>
      <c r="G6" s="0" t="n">
        <f aca="false">F6*(1+G5/100)</f>
        <v>855171.21464775</v>
      </c>
      <c r="H6" s="0" t="n">
        <f aca="false">G6*(1+H5/100)</f>
        <v>885102.207160421</v>
      </c>
      <c r="I6" s="0" t="n">
        <f aca="false">H6*(1+I5/100)</f>
        <v>911655.273375234</v>
      </c>
      <c r="J6" s="0" t="n">
        <f aca="false">I6*(1+J5/100)</f>
        <v>934446.655209615</v>
      </c>
      <c r="K6" s="0" t="n">
        <f aca="false">J6*(1+K5/100)</f>
        <v>953135.588313807</v>
      </c>
      <c r="L6" s="0" t="n">
        <f aca="false">K6*(1+L5/100)</f>
        <v>972198.300080083</v>
      </c>
    </row>
    <row r="7" customFormat="false" ht="15" hidden="false" customHeight="false" outlineLevel="0" collapsed="false">
      <c r="A7" s="0" t="s">
        <v>110</v>
      </c>
      <c r="C7" s="4" t="n">
        <f aca="false">Assumptions!C28</f>
        <v>23.5</v>
      </c>
      <c r="D7" s="4" t="n">
        <f aca="false">Assumptions!D28</f>
        <v>23.8</v>
      </c>
      <c r="E7" s="4" t="n">
        <f aca="false">Assumptions!E28</f>
        <v>24</v>
      </c>
      <c r="F7" s="4" t="n">
        <f aca="false">Assumptions!F28</f>
        <v>24.2</v>
      </c>
      <c r="G7" s="4" t="n">
        <f aca="false">Assumptions!G28</f>
        <v>24.5</v>
      </c>
      <c r="H7" s="4" t="n">
        <f aca="false">Assumptions!H28</f>
        <v>24.5</v>
      </c>
      <c r="I7" s="4" t="n">
        <f aca="false">Assumptions!I28</f>
        <v>24.5</v>
      </c>
      <c r="J7" s="4" t="n">
        <f aca="false">Assumptions!J28</f>
        <v>24.5</v>
      </c>
      <c r="K7" s="4" t="n">
        <f aca="false">Assumptions!K28</f>
        <v>24.5</v>
      </c>
      <c r="L7" s="4" t="n">
        <f aca="false">Assumptions!L28</f>
        <v>24.5</v>
      </c>
    </row>
    <row r="8" customFormat="false" ht="15" hidden="false" customHeight="false" outlineLevel="0" collapsed="false">
      <c r="A8" s="0" t="s">
        <v>43</v>
      </c>
      <c r="C8" s="0" t="n">
        <f aca="false">C6*C7/100</f>
        <v>166928.1375</v>
      </c>
      <c r="D8" s="0" t="n">
        <f aca="false">D6*D7/100</f>
        <v>178357.387425</v>
      </c>
      <c r="E8" s="0" t="n">
        <f aca="false">E6*E7/100</f>
        <v>188848.99845</v>
      </c>
      <c r="F8" s="0" t="n">
        <f aca="false">F6*F7/100</f>
        <v>198991.763408419</v>
      </c>
      <c r="G8" s="0" t="n">
        <f aca="false">G6*G7/100</f>
        <v>209516.947588699</v>
      </c>
      <c r="H8" s="0" t="n">
        <f aca="false">H6*H7/100</f>
        <v>216850.040754303</v>
      </c>
      <c r="I8" s="0" t="n">
        <f aca="false">I6*I7/100</f>
        <v>223355.541976932</v>
      </c>
      <c r="J8" s="0" t="n">
        <f aca="false">J6*J7/100</f>
        <v>228939.430526356</v>
      </c>
      <c r="K8" s="0" t="n">
        <f aca="false">K6*K7/100</f>
        <v>233518.219136883</v>
      </c>
      <c r="L8" s="0" t="n">
        <f aca="false">L6*L7/100</f>
        <v>238188.58351962</v>
      </c>
    </row>
    <row r="9" customFormat="false" ht="15" hidden="false" customHeight="false" outlineLevel="0" collapsed="false">
      <c r="A9" s="0" t="s">
        <v>111</v>
      </c>
      <c r="C9" s="4" t="n">
        <f aca="false">Assumptions!C29</f>
        <v>0.06</v>
      </c>
      <c r="D9" s="4" t="n">
        <f aca="false">Assumptions!D29</f>
        <v>0.06</v>
      </c>
      <c r="E9" s="4" t="n">
        <f aca="false">Assumptions!E29</f>
        <v>0.06</v>
      </c>
      <c r="F9" s="4" t="n">
        <f aca="false">Assumptions!F29</f>
        <v>0.06</v>
      </c>
      <c r="G9" s="4" t="n">
        <f aca="false">Assumptions!G29</f>
        <v>0.06</v>
      </c>
      <c r="H9" s="4" t="n">
        <f aca="false">Assumptions!H29</f>
        <v>0.06</v>
      </c>
      <c r="I9" s="4" t="n">
        <f aca="false">Assumptions!I29</f>
        <v>0.06</v>
      </c>
      <c r="J9" s="4" t="n">
        <f aca="false">Assumptions!J29</f>
        <v>0.06</v>
      </c>
      <c r="K9" s="4" t="n">
        <f aca="false">Assumptions!K29</f>
        <v>0.06</v>
      </c>
      <c r="L9" s="4" t="n">
        <f aca="false">Assumptions!L29</f>
        <v>0.06</v>
      </c>
    </row>
    <row r="10" customFormat="false" ht="15" hidden="false" customHeight="false" outlineLevel="0" collapsed="false">
      <c r="A10" s="0" t="s">
        <v>126</v>
      </c>
      <c r="C10" s="0" t="n">
        <f aca="false">-C6*C9/100</f>
        <v>-426.1995</v>
      </c>
      <c r="D10" s="0" t="n">
        <f aca="false">-D6*D9/100</f>
        <v>-449.6404725</v>
      </c>
      <c r="E10" s="0" t="n">
        <f aca="false">-E6*E9/100</f>
        <v>-472.122496125</v>
      </c>
      <c r="F10" s="0" t="n">
        <f aca="false">-F6*F9/100</f>
        <v>-493.368008450625</v>
      </c>
      <c r="G10" s="0" t="n">
        <f aca="false">-G6*G9/100</f>
        <v>-513.10272878865</v>
      </c>
      <c r="H10" s="0" t="n">
        <f aca="false">-H6*H9/100</f>
        <v>-531.061324296253</v>
      </c>
      <c r="I10" s="0" t="n">
        <f aca="false">-I6*I9/100</f>
        <v>-546.99316402514</v>
      </c>
      <c r="J10" s="0" t="n">
        <f aca="false">-J6*J9/100</f>
        <v>-560.667993125769</v>
      </c>
      <c r="K10" s="0" t="n">
        <f aca="false">-K6*K9/100</f>
        <v>-571.881352988284</v>
      </c>
      <c r="L10" s="0" t="n">
        <f aca="false">-L6*L9/100</f>
        <v>-583.31898004805</v>
      </c>
    </row>
    <row r="11" customFormat="false" ht="15" hidden="false" customHeight="false" outlineLevel="0" collapsed="false">
      <c r="A11" s="0" t="s">
        <v>127</v>
      </c>
      <c r="C11" s="0" t="n">
        <f aca="false">C8+C10+C24</f>
        <v>166501.938</v>
      </c>
      <c r="D11" s="0" t="n">
        <f aca="false">D8+D10+D24</f>
        <v>177907.7469525</v>
      </c>
      <c r="E11" s="0" t="n">
        <f aca="false">E8+E10+E24</f>
        <v>188376.875953875</v>
      </c>
      <c r="F11" s="0" t="n">
        <f aca="false">F8+F10+F24</f>
        <v>198498.395399968</v>
      </c>
      <c r="G11" s="0" t="n">
        <f aca="false">G8+G10+G24</f>
        <v>209003.84485991</v>
      </c>
      <c r="H11" s="0" t="n">
        <f aca="false">H8+H10+H24</f>
        <v>216318.979430007</v>
      </c>
      <c r="I11" s="0" t="n">
        <f aca="false">I8+I10+I24</f>
        <v>222808.548812907</v>
      </c>
      <c r="J11" s="0" t="n">
        <f aca="false">J8+J10+J24</f>
        <v>228378.76253323</v>
      </c>
      <c r="K11" s="0" t="n">
        <f aca="false">K8+K10+K24</f>
        <v>232946.337783894</v>
      </c>
      <c r="L11" s="0" t="n">
        <f aca="false">L8+L10+L24</f>
        <v>237605.264539572</v>
      </c>
    </row>
    <row r="12" customFormat="false" ht="15" hidden="false" customHeight="false" outlineLevel="0" collapsed="false">
      <c r="A12" s="0" t="s">
        <v>128</v>
      </c>
      <c r="C12" s="4" t="n">
        <f aca="false">-C6*Assumptions!C31/100</f>
        <v>-60378.2625</v>
      </c>
      <c r="D12" s="4" t="n">
        <f aca="false">-D6*Assumptions!D31/100</f>
        <v>-63699.0669375</v>
      </c>
      <c r="E12" s="4" t="n">
        <f aca="false">-E6*Assumptions!E31/100</f>
        <v>-68457.761938125</v>
      </c>
      <c r="F12" s="4" t="n">
        <f aca="false">-F6*Assumptions!F31/100</f>
        <v>-73182.9212535094</v>
      </c>
      <c r="G12" s="4" t="n">
        <f aca="false">-G6*Assumptions!G31/100</f>
        <v>-76965.4093182975</v>
      </c>
      <c r="H12" s="4" t="n">
        <f aca="false">-H6*Assumptions!H31/100</f>
        <v>-79659.1986444379</v>
      </c>
      <c r="I12" s="4" t="n">
        <f aca="false">-I6*Assumptions!I31/100</f>
        <v>-82048.974603771</v>
      </c>
      <c r="J12" s="4" t="n">
        <f aca="false">-J6*Assumptions!J31/100</f>
        <v>-84100.1989688653</v>
      </c>
      <c r="K12" s="4" t="n">
        <f aca="false">-K6*Assumptions!K31/100</f>
        <v>-85782.2029482426</v>
      </c>
      <c r="L12" s="4" t="n">
        <f aca="false">-L6*Assumptions!L31/100</f>
        <v>-87497.8470072075</v>
      </c>
    </row>
    <row r="13" customFormat="false" ht="15" hidden="false" customHeight="false" outlineLevel="0" collapsed="false">
      <c r="A13" s="0" t="s">
        <v>129</v>
      </c>
      <c r="C13" s="0" t="n">
        <f aca="false">C11+C12</f>
        <v>106123.6755</v>
      </c>
      <c r="D13" s="0" t="n">
        <f aca="false">D11+D12</f>
        <v>114208.680015</v>
      </c>
      <c r="E13" s="0" t="n">
        <f aca="false">E11+E12</f>
        <v>119919.11401575</v>
      </c>
      <c r="F13" s="0" t="n">
        <f aca="false">F11+F12</f>
        <v>125315.474146459</v>
      </c>
      <c r="G13" s="0" t="n">
        <f aca="false">G11+G12</f>
        <v>132038.435541613</v>
      </c>
      <c r="H13" s="0" t="n">
        <f aca="false">H11+H12</f>
        <v>136659.780785569</v>
      </c>
      <c r="I13" s="0" t="n">
        <f aca="false">I11+I12</f>
        <v>140759.574209136</v>
      </c>
      <c r="J13" s="0" t="n">
        <f aca="false">J11+J12</f>
        <v>144278.563564365</v>
      </c>
      <c r="K13" s="0" t="n">
        <f aca="false">K11+K12</f>
        <v>147164.134835652</v>
      </c>
      <c r="L13" s="0" t="n">
        <f aca="false">L11+L12</f>
        <v>150107.417532365</v>
      </c>
    </row>
    <row r="14" customFormat="false" ht="15" hidden="false" customHeight="false" outlineLevel="0" collapsed="false">
      <c r="A14" s="0" t="s">
        <v>115</v>
      </c>
      <c r="C14" s="4" t="n">
        <f aca="false">Assumptions!C33</f>
        <v>29</v>
      </c>
      <c r="D14" s="4" t="n">
        <f aca="false">Assumptions!D33</f>
        <v>29</v>
      </c>
      <c r="E14" s="4" t="n">
        <f aca="false">Assumptions!E33</f>
        <v>29</v>
      </c>
      <c r="F14" s="4" t="n">
        <f aca="false">Assumptions!F33</f>
        <v>29</v>
      </c>
      <c r="G14" s="4" t="n">
        <f aca="false">Assumptions!G33</f>
        <v>29</v>
      </c>
      <c r="H14" s="4" t="n">
        <f aca="false">Assumptions!H33</f>
        <v>29</v>
      </c>
      <c r="I14" s="4" t="n">
        <f aca="false">Assumptions!I33</f>
        <v>29</v>
      </c>
      <c r="J14" s="4" t="n">
        <f aca="false">Assumptions!J33</f>
        <v>29</v>
      </c>
      <c r="K14" s="4" t="n">
        <f aca="false">Assumptions!K33</f>
        <v>29</v>
      </c>
      <c r="L14" s="4" t="n">
        <f aca="false">Assumptions!L33</f>
        <v>29</v>
      </c>
    </row>
    <row r="15" customFormat="false" ht="15" hidden="false" customHeight="false" outlineLevel="0" collapsed="false">
      <c r="A15" s="0" t="s">
        <v>130</v>
      </c>
      <c r="C15" s="0" t="n">
        <f aca="false">C13-MAX(0,C13)*C14/100</f>
        <v>75347.809605</v>
      </c>
      <c r="D15" s="0" t="n">
        <f aca="false">D13-MAX(0,D13)*D14/100</f>
        <v>81088.16281065</v>
      </c>
      <c r="E15" s="0" t="n">
        <f aca="false">E13-MAX(0,E13)*E14/100</f>
        <v>85142.5709511825</v>
      </c>
      <c r="F15" s="0" t="n">
        <f aca="false">F13-MAX(0,F13)*F14/100</f>
        <v>88973.9866439857</v>
      </c>
      <c r="G15" s="0" t="n">
        <f aca="false">G13-MAX(0,G13)*G14/100</f>
        <v>93747.289234545</v>
      </c>
      <c r="H15" s="0" t="n">
        <f aca="false">H13-MAX(0,H13)*H14/100</f>
        <v>97028.444357754</v>
      </c>
      <c r="I15" s="0" t="n">
        <f aca="false">I13-MAX(0,I13)*I14/100</f>
        <v>99939.2976884867</v>
      </c>
      <c r="J15" s="0" t="n">
        <f aca="false">J13-MAX(0,J13)*J14/100</f>
        <v>102437.780130699</v>
      </c>
      <c r="K15" s="0" t="n">
        <f aca="false">K13-MAX(0,K13)*K14/100</f>
        <v>104486.535733313</v>
      </c>
      <c r="L15" s="0" t="n">
        <f aca="false">L13-MAX(0,L13)*L14/100</f>
        <v>106576.266447979</v>
      </c>
    </row>
    <row r="16" customFormat="false" ht="15" hidden="false" customHeight="false" outlineLevel="0" collapsed="false">
      <c r="A16" s="0" t="s">
        <v>131</v>
      </c>
      <c r="C16" s="0" t="n">
        <f aca="false">-C12</f>
        <v>60378.2625</v>
      </c>
      <c r="D16" s="0" t="n">
        <f aca="false">-D12</f>
        <v>63699.0669375</v>
      </c>
      <c r="E16" s="0" t="n">
        <f aca="false">-E12</f>
        <v>68457.761938125</v>
      </c>
      <c r="F16" s="0" t="n">
        <f aca="false">-F12</f>
        <v>73182.9212535094</v>
      </c>
      <c r="G16" s="0" t="n">
        <f aca="false">-G12</f>
        <v>76965.4093182975</v>
      </c>
      <c r="H16" s="0" t="n">
        <f aca="false">-H12</f>
        <v>79659.1986444379</v>
      </c>
      <c r="I16" s="0" t="n">
        <f aca="false">-I12</f>
        <v>82048.974603771</v>
      </c>
      <c r="J16" s="0" t="n">
        <f aca="false">-J12</f>
        <v>84100.1989688653</v>
      </c>
      <c r="K16" s="0" t="n">
        <f aca="false">-K12</f>
        <v>85782.2029482426</v>
      </c>
      <c r="L16" s="0" t="n">
        <f aca="false">-L12</f>
        <v>87497.8470072075</v>
      </c>
    </row>
    <row r="17" customFormat="false" ht="15" hidden="false" customHeight="false" outlineLevel="0" collapsed="false">
      <c r="A17" s="0" t="s">
        <v>132</v>
      </c>
      <c r="C17" s="4" t="n">
        <f aca="false">-C6*Assumptions!C32/100</f>
        <v>-61798.9275</v>
      </c>
      <c r="D17" s="4" t="n">
        <f aca="false">-D6*Assumptions!D32/100</f>
        <v>-78687.0826875</v>
      </c>
      <c r="E17" s="4" t="n">
        <f aca="false">-E6*Assumptions!E32/100</f>
        <v>-94424.499225</v>
      </c>
      <c r="F17" s="4" t="n">
        <f aca="false">-F6*Assumptions!F32/100</f>
        <v>-98673.601690125</v>
      </c>
      <c r="G17" s="4" t="n">
        <f aca="false">-G6*Assumptions!G32/100</f>
        <v>-94068.8336112525</v>
      </c>
      <c r="H17" s="4" t="n">
        <f aca="false">-H6*Assumptions!H32/100</f>
        <v>-88510.2207160421</v>
      </c>
      <c r="I17" s="4" t="n">
        <f aca="false">-I6*Assumptions!I32/100</f>
        <v>-86607.2509706472</v>
      </c>
      <c r="J17" s="4" t="n">
        <f aca="false">-J6*Assumptions!J32/100</f>
        <v>-88772.4322449134</v>
      </c>
      <c r="K17" s="4" t="n">
        <f aca="false">-K6*Assumptions!K32/100</f>
        <v>-90547.8808898117</v>
      </c>
      <c r="L17" s="4" t="n">
        <f aca="false">-L6*Assumptions!L32/100</f>
        <v>-92358.8385076079</v>
      </c>
    </row>
    <row r="18" customFormat="false" ht="15" hidden="false" customHeight="false" outlineLevel="0" collapsed="false">
      <c r="A18" s="0" t="s">
        <v>133</v>
      </c>
      <c r="C18" s="4" t="n">
        <f aca="false">(C6-B6)*Assumptions!$B$37/100</f>
        <v>-8041.5</v>
      </c>
      <c r="D18" s="4" t="n">
        <f aca="false">(D6-C6)*Assumptions!$B$37/100</f>
        <v>-7813.6575</v>
      </c>
      <c r="E18" s="4" t="n">
        <f aca="false">(E6-D6)*Assumptions!$B$37/100</f>
        <v>-7494.00787500001</v>
      </c>
      <c r="F18" s="4" t="n">
        <f aca="false">(F6-E6)*Assumptions!$B$37/100</f>
        <v>-7081.83744187499</v>
      </c>
      <c r="G18" s="4" t="n">
        <f aca="false">(G6-F6)*Assumptions!$B$37/100</f>
        <v>-6578.24011267501</v>
      </c>
      <c r="H18" s="4" t="n">
        <f aca="false">(H6-G6)*Assumptions!$B$37/100</f>
        <v>-5986.19850253423</v>
      </c>
      <c r="I18" s="4" t="n">
        <f aca="false">(I6-H6)*Assumptions!$B$37/100</f>
        <v>-5310.61324296254</v>
      </c>
      <c r="J18" s="4" t="n">
        <f aca="false">(J6-I6)*Assumptions!$B$37/100</f>
        <v>-4558.27636687616</v>
      </c>
      <c r="K18" s="4" t="n">
        <f aca="false">(K6-J6)*Assumptions!$B$37/100</f>
        <v>-3737.78662083845</v>
      </c>
      <c r="L18" s="4" t="n">
        <f aca="false">(L6-K6)*Assumptions!$B$37/100</f>
        <v>-3812.54235325523</v>
      </c>
    </row>
    <row r="19" customFormat="false" ht="15" hidden="false" customHeight="false" outlineLevel="0" collapsed="false">
      <c r="A19" s="0" t="s">
        <v>134</v>
      </c>
      <c r="C19" s="0" t="n">
        <f aca="false">C15+C16+C17+C18</f>
        <v>65885.644605</v>
      </c>
      <c r="D19" s="0" t="n">
        <f aca="false">D15+D16+D17+D18</f>
        <v>58286.48956065</v>
      </c>
      <c r="E19" s="0" t="n">
        <f aca="false">E15+E16+E17+E18</f>
        <v>51681.8257893075</v>
      </c>
      <c r="F19" s="0" t="n">
        <f aca="false">F15+F16+F17+F18</f>
        <v>56401.4687654951</v>
      </c>
      <c r="G19" s="0" t="n">
        <f aca="false">G15+G16+G17+G18</f>
        <v>70065.624828915</v>
      </c>
      <c r="H19" s="0" t="n">
        <f aca="false">H15+H16+H17+H18</f>
        <v>82191.2237836156</v>
      </c>
      <c r="I19" s="0" t="n">
        <f aca="false">I15+I16+I17+I18</f>
        <v>90070.4080786479</v>
      </c>
      <c r="J19" s="0" t="n">
        <f aca="false">J15+J16+J17+J18</f>
        <v>93207.2704877746</v>
      </c>
      <c r="K19" s="0" t="n">
        <f aca="false">K15+K16+K17+K18</f>
        <v>95983.0711709053</v>
      </c>
      <c r="L19" s="0" t="n">
        <f aca="false">L15+L16+L17+L18</f>
        <v>97902.7325943233</v>
      </c>
    </row>
    <row r="20" customFormat="false" ht="15" hidden="false" customHeight="false" outlineLevel="0" collapsed="false">
      <c r="A20" s="0" t="s">
        <v>135</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136</v>
      </c>
      <c r="C21" s="0" t="n">
        <f aca="false">C19*C20</f>
        <v>61005.2264861111</v>
      </c>
      <c r="D21" s="0" t="n">
        <f aca="false">D19*D20</f>
        <v>49971.2701994599</v>
      </c>
      <c r="E21" s="0" t="n">
        <f aca="false">E19*E20</f>
        <v>41026.6995863399</v>
      </c>
      <c r="F21" s="0" t="n">
        <f aca="false">F19*F20</f>
        <v>41456.7632842056</v>
      </c>
      <c r="G21" s="0" t="n">
        <f aca="false">G19*G20</f>
        <v>47685.4869482305</v>
      </c>
      <c r="H21" s="0" t="n">
        <f aca="false">H19*H20</f>
        <v>51794.4128247868</v>
      </c>
      <c r="I21" s="0" t="n">
        <f aca="false">I19*I20</f>
        <v>52555.218011232</v>
      </c>
      <c r="J21" s="0" t="n">
        <f aca="false">J19*J20</f>
        <v>50356.9880539039</v>
      </c>
      <c r="K21" s="0" t="n">
        <f aca="false">K19*K20</f>
        <v>48015.4322153507</v>
      </c>
      <c r="L21" s="0" t="n">
        <f aca="false">L19*L20</f>
        <v>45347.9082033867</v>
      </c>
    </row>
    <row r="23" customFormat="false" ht="15" hidden="false" customHeight="false" outlineLevel="0" collapsed="false">
      <c r="A23" s="0" t="s">
        <v>112</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138</v>
      </c>
    </row>
    <row r="27" customFormat="false" ht="15" hidden="false" customHeight="false" outlineLevel="0" collapsed="false">
      <c r="A27" s="0" t="s">
        <v>116</v>
      </c>
      <c r="B27" s="4" t="n">
        <f aca="false">Assumptions!$B$34</f>
        <v>8</v>
      </c>
    </row>
    <row r="28" customFormat="false" ht="15" hidden="false" customHeight="false" outlineLevel="0" collapsed="false">
      <c r="A28" s="0" t="s">
        <v>117</v>
      </c>
      <c r="B28" s="4" t="n">
        <f aca="false">Assumptions!$B$35</f>
        <v>2</v>
      </c>
    </row>
    <row r="29" customFormat="false" ht="15" hidden="false" customHeight="false" outlineLevel="0" collapsed="false">
      <c r="A29" s="0" t="s">
        <v>118</v>
      </c>
      <c r="B29" s="4" t="n">
        <f aca="false">Assumptions!$B$36</f>
        <v>15</v>
      </c>
    </row>
    <row r="30" customFormat="false" ht="15" hidden="false" customHeight="false" outlineLevel="0" collapsed="false">
      <c r="A30" s="0" t="s">
        <v>139</v>
      </c>
      <c r="B30" s="0" t="n">
        <f aca="false">SUM(C21:L21)</f>
        <v>489215.405813007</v>
      </c>
    </row>
    <row r="31" customFormat="false" ht="15" hidden="false" customHeight="false" outlineLevel="0" collapsed="false">
      <c r="A31" s="0" t="s">
        <v>140</v>
      </c>
      <c r="B31" s="0" t="n">
        <f aca="false">L19</f>
        <v>97902.7325943233</v>
      </c>
    </row>
    <row r="32" customFormat="false" ht="15" hidden="false" customHeight="false" outlineLevel="0" collapsed="false">
      <c r="A32" s="0" t="s">
        <v>141</v>
      </c>
      <c r="B32" s="0" t="n">
        <f aca="false">IF(B27&gt;B28,B31*(1+B28/100)/((B27-B28)/100),B31*B29)</f>
        <v>1664346.4541035</v>
      </c>
    </row>
    <row r="33" customFormat="false" ht="15" hidden="false" customHeight="false" outlineLevel="0" collapsed="false">
      <c r="A33" s="0" t="s">
        <v>142</v>
      </c>
      <c r="B33" s="0" t="n">
        <f aca="false">B31*B29</f>
        <v>1468540.98891485</v>
      </c>
    </row>
    <row r="34" customFormat="false" ht="15" hidden="false" customHeight="false" outlineLevel="0" collapsed="false">
      <c r="A34" s="0" t="s">
        <v>143</v>
      </c>
      <c r="B34" s="0" t="n">
        <f aca="false">MAX(0,MIN(B32,B33))</f>
        <v>1468540.98891485</v>
      </c>
    </row>
    <row r="35" customFormat="false" ht="15" hidden="false" customHeight="false" outlineLevel="0" collapsed="false">
      <c r="A35" s="0" t="s">
        <v>144</v>
      </c>
      <c r="B35" s="0" t="n">
        <f aca="false">B34/(1+B27/100)^L4</f>
        <v>680218.623050801</v>
      </c>
    </row>
    <row r="36" customFormat="false" ht="15" hidden="false" customHeight="false" outlineLevel="0" collapsed="false">
      <c r="A36" s="0" t="s">
        <v>145</v>
      </c>
      <c r="B36" s="0" t="n">
        <f aca="false">B30+B35</f>
        <v>1169434.02886381</v>
      </c>
    </row>
    <row r="37" customFormat="false" ht="15" hidden="false" customHeight="false" outlineLevel="0" collapsed="false">
      <c r="A37" s="0" t="s">
        <v>146</v>
      </c>
      <c r="B37" s="0" t="n">
        <f aca="false">B36+Assumptions!$B$5-Assumptions!$B$4</f>
        <v>1261596.02886381</v>
      </c>
    </row>
    <row r="38" customFormat="false" ht="15" hidden="false" customHeight="false" outlineLevel="0" collapsed="false">
      <c r="A38" s="0" t="s">
        <v>147</v>
      </c>
      <c r="B38" s="0" t="n">
        <f aca="false">B37/Assumptions!$B$3*Assumptions!$B$10</f>
        <v>4431.62859654281</v>
      </c>
    </row>
    <row r="39" customFormat="false" ht="15" hidden="false" customHeight="false" outlineLevel="0" collapsed="false">
      <c r="A39" s="0" t="s">
        <v>148</v>
      </c>
      <c r="B39" s="4" t="n">
        <f aca="false">B38/Assumptions!$B$2-1</f>
        <v>-0.0393174514322971</v>
      </c>
    </row>
    <row r="41" customFormat="false" ht="15" hidden="false" customHeight="false" outlineLevel="0" collapsed="false">
      <c r="A41" s="0" t="s">
        <v>149</v>
      </c>
      <c r="B41" s="0" t="n">
        <f aca="false">SUMPRODUCT(-C10:L10/(1+$B$27/100)^C4:L4)</f>
        <v>3379.7668227235</v>
      </c>
    </row>
    <row r="42" customFormat="false" ht="15" hidden="false" customHeight="false" outlineLevel="0" collapsed="false">
      <c r="A42" s="0" t="s">
        <v>150</v>
      </c>
      <c r="B42" s="0" t="n">
        <f aca="false">IF(B27&gt;B28,-L10*(1+B28/100)/((B27-B28)/100),-L10*20)/(1+B27/100)^L4</f>
        <v>4593.22240158576</v>
      </c>
    </row>
    <row r="43" customFormat="false" ht="15" hidden="false" customHeight="false" outlineLevel="0" collapsed="false">
      <c r="A43" s="0" t="s">
        <v>151</v>
      </c>
      <c r="B43" s="0" t="n">
        <f aca="false">(B37+B41+B42)/Assumptions!$B$3*Assumptions!$B$10</f>
        <v>4459.63544361429</v>
      </c>
    </row>
    <row r="45" customFormat="false" ht="15" hidden="false" customHeight="false" outlineLevel="0" collapsed="false">
      <c r="A45" s="0" t="s">
        <v>92</v>
      </c>
      <c r="B45" s="4" t="n">
        <f aca="false">Assumptions!$B$6</f>
        <v>15</v>
      </c>
    </row>
    <row r="46" customFormat="false" ht="15" hidden="false" customHeight="false" outlineLevel="0" collapsed="false">
      <c r="A46" s="0" t="s">
        <v>152</v>
      </c>
      <c r="B46" s="0" t="n">
        <f aca="false">MAX(0,MIN(IF(B45&gt;B28,B31*(1+B28/100)/((B45-B28)/100),B31*B29),B31*B29))</f>
        <v>768159.901893922</v>
      </c>
    </row>
    <row r="47" customFormat="false" ht="15" hidden="false" customHeight="false" outlineLevel="0" collapsed="false">
      <c r="A47" s="0" t="s">
        <v>153</v>
      </c>
      <c r="B47" s="0" t="n">
        <f aca="false">(SUMPRODUCT(C19:L19/(1+B45/100)^C4:L4)+B46/(1+B45/100)^L4+Assumptions!$B$5-Assumptions!$B$4)/Assumptions!$B$3*Assumptions!$B$10</f>
        <v>2233.44443448238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155</v>
      </c>
    </row>
    <row r="3" customFormat="false" ht="15" hidden="false" customHeight="false" outlineLevel="0" collapsed="false">
      <c r="A3" s="0" t="s">
        <v>124</v>
      </c>
      <c r="B3" s="0" t="s">
        <v>85</v>
      </c>
      <c r="C3" s="2" t="s">
        <v>99</v>
      </c>
      <c r="D3" s="2" t="s">
        <v>100</v>
      </c>
      <c r="E3" s="2" t="s">
        <v>101</v>
      </c>
      <c r="F3" s="2" t="s">
        <v>102</v>
      </c>
      <c r="G3" s="2" t="s">
        <v>103</v>
      </c>
      <c r="H3" s="2" t="s">
        <v>104</v>
      </c>
      <c r="I3" s="2" t="s">
        <v>105</v>
      </c>
      <c r="J3" s="2" t="s">
        <v>106</v>
      </c>
      <c r="K3" s="2" t="s">
        <v>107</v>
      </c>
      <c r="L3" s="2" t="s">
        <v>108</v>
      </c>
    </row>
    <row r="4" customFormat="false" ht="15" hidden="false" customHeight="false" outlineLevel="0" collapsed="false">
      <c r="A4" s="0" t="s">
        <v>125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109</v>
      </c>
      <c r="C5" s="4" t="n">
        <f aca="false">Assumptions!C41</f>
        <v>7</v>
      </c>
      <c r="D5" s="4" t="n">
        <f aca="false">Assumptions!D41</f>
        <v>8</v>
      </c>
      <c r="E5" s="4" t="n">
        <f aca="false">Assumptions!E41</f>
        <v>8</v>
      </c>
      <c r="F5" s="4" t="n">
        <f aca="false">Assumptions!F41</f>
        <v>7</v>
      </c>
      <c r="G5" s="4" t="n">
        <f aca="false">Assumptions!G41</f>
        <v>6</v>
      </c>
      <c r="H5" s="4" t="n">
        <f aca="false">Assumptions!H41</f>
        <v>5</v>
      </c>
      <c r="I5" s="4" t="n">
        <f aca="false">Assumptions!I41</f>
        <v>4</v>
      </c>
      <c r="J5" s="4" t="n">
        <f aca="false">Assumptions!J41</f>
        <v>3.5</v>
      </c>
      <c r="K5" s="4" t="n">
        <f aca="false">Assumptions!K41</f>
        <v>3</v>
      </c>
      <c r="L5" s="4" t="n">
        <f aca="false">Assumptions!L41</f>
        <v>2.5</v>
      </c>
    </row>
    <row r="6" customFormat="false" ht="15" hidden="false" customHeight="false" outlineLevel="0" collapsed="false">
      <c r="A6" s="0" t="s">
        <v>37</v>
      </c>
      <c r="B6" s="3" t="n">
        <v>670125</v>
      </c>
      <c r="C6" s="0" t="n">
        <f aca="false">B6*(1+C5/100)</f>
        <v>717033.75</v>
      </c>
      <c r="D6" s="0" t="n">
        <f aca="false">C6*(1+D5/100)</f>
        <v>774396.45</v>
      </c>
      <c r="E6" s="0" t="n">
        <f aca="false">D6*(1+E5/100)</f>
        <v>836348.166</v>
      </c>
      <c r="F6" s="0" t="n">
        <f aca="false">E6*(1+F5/100)</f>
        <v>894892.53762</v>
      </c>
      <c r="G6" s="0" t="n">
        <f aca="false">F6*(1+G5/100)</f>
        <v>948586.0898772</v>
      </c>
      <c r="H6" s="0" t="n">
        <f aca="false">G6*(1+H5/100)</f>
        <v>996015.39437106</v>
      </c>
      <c r="I6" s="0" t="n">
        <f aca="false">H6*(1+I5/100)</f>
        <v>1035856.0101459</v>
      </c>
      <c r="J6" s="0" t="n">
        <f aca="false">I6*(1+J5/100)</f>
        <v>1072110.97050101</v>
      </c>
      <c r="K6" s="0" t="n">
        <f aca="false">J6*(1+K5/100)</f>
        <v>1104274.29961604</v>
      </c>
      <c r="L6" s="0" t="n">
        <f aca="false">K6*(1+L5/100)</f>
        <v>1131881.15710644</v>
      </c>
    </row>
    <row r="7" customFormat="false" ht="15" hidden="false" customHeight="false" outlineLevel="0" collapsed="false">
      <c r="A7" s="0" t="s">
        <v>110</v>
      </c>
      <c r="C7" s="4" t="n">
        <f aca="false">Assumptions!C42</f>
        <v>23.8</v>
      </c>
      <c r="D7" s="4" t="n">
        <f aca="false">Assumptions!D42</f>
        <v>24.5</v>
      </c>
      <c r="E7" s="4" t="n">
        <f aca="false">Assumptions!E42</f>
        <v>25.2</v>
      </c>
      <c r="F7" s="4" t="n">
        <f aca="false">Assumptions!F42</f>
        <v>25.8</v>
      </c>
      <c r="G7" s="4" t="n">
        <f aca="false">Assumptions!G42</f>
        <v>26.2</v>
      </c>
      <c r="H7" s="4" t="n">
        <f aca="false">Assumptions!H42</f>
        <v>26.5</v>
      </c>
      <c r="I7" s="4" t="n">
        <f aca="false">Assumptions!I42</f>
        <v>26.5</v>
      </c>
      <c r="J7" s="4" t="n">
        <f aca="false">Assumptions!J42</f>
        <v>26.5</v>
      </c>
      <c r="K7" s="4" t="n">
        <f aca="false">Assumptions!K42</f>
        <v>26.5</v>
      </c>
      <c r="L7" s="4" t="n">
        <f aca="false">Assumptions!L42</f>
        <v>26.5</v>
      </c>
    </row>
    <row r="8" customFormat="false" ht="15" hidden="false" customHeight="false" outlineLevel="0" collapsed="false">
      <c r="A8" s="0" t="s">
        <v>43</v>
      </c>
      <c r="C8" s="0" t="n">
        <f aca="false">C6*C7/100</f>
        <v>170654.0325</v>
      </c>
      <c r="D8" s="0" t="n">
        <f aca="false">D6*D7/100</f>
        <v>189727.13025</v>
      </c>
      <c r="E8" s="0" t="n">
        <f aca="false">E6*E7/100</f>
        <v>210759.737832</v>
      </c>
      <c r="F8" s="0" t="n">
        <f aca="false">F6*F7/100</f>
        <v>230882.27470596</v>
      </c>
      <c r="G8" s="0" t="n">
        <f aca="false">G6*G7/100</f>
        <v>248529.555547826</v>
      </c>
      <c r="H8" s="0" t="n">
        <f aca="false">H6*H7/100</f>
        <v>263944.079508331</v>
      </c>
      <c r="I8" s="0" t="n">
        <f aca="false">I6*I7/100</f>
        <v>274501.842688664</v>
      </c>
      <c r="J8" s="0" t="n">
        <f aca="false">J6*J7/100</f>
        <v>284109.407182767</v>
      </c>
      <c r="K8" s="0" t="n">
        <f aca="false">K6*K7/100</f>
        <v>292632.689398251</v>
      </c>
      <c r="L8" s="0" t="n">
        <f aca="false">L6*L7/100</f>
        <v>299948.506633207</v>
      </c>
    </row>
    <row r="9" customFormat="false" ht="15" hidden="false" customHeight="false" outlineLevel="0" collapsed="false">
      <c r="A9" s="0" t="s">
        <v>111</v>
      </c>
      <c r="C9" s="4" t="n">
        <f aca="false">Assumptions!C43</f>
        <v>0.06</v>
      </c>
      <c r="D9" s="4" t="n">
        <f aca="false">Assumptions!D43</f>
        <v>0.06</v>
      </c>
      <c r="E9" s="4" t="n">
        <f aca="false">Assumptions!E43</f>
        <v>0.06</v>
      </c>
      <c r="F9" s="4" t="n">
        <f aca="false">Assumptions!F43</f>
        <v>0.06</v>
      </c>
      <c r="G9" s="4" t="n">
        <f aca="false">Assumptions!G43</f>
        <v>0.06</v>
      </c>
      <c r="H9" s="4" t="n">
        <f aca="false">Assumptions!H43</f>
        <v>0.06</v>
      </c>
      <c r="I9" s="4" t="n">
        <f aca="false">Assumptions!I43</f>
        <v>0.06</v>
      </c>
      <c r="J9" s="4" t="n">
        <f aca="false">Assumptions!J43</f>
        <v>0.06</v>
      </c>
      <c r="K9" s="4" t="n">
        <f aca="false">Assumptions!K43</f>
        <v>0.06</v>
      </c>
      <c r="L9" s="4" t="n">
        <f aca="false">Assumptions!L43</f>
        <v>0.06</v>
      </c>
    </row>
    <row r="10" customFormat="false" ht="15" hidden="false" customHeight="false" outlineLevel="0" collapsed="false">
      <c r="A10" s="0" t="s">
        <v>126</v>
      </c>
      <c r="C10" s="0" t="n">
        <f aca="false">-C6*C9/100</f>
        <v>-430.22025</v>
      </c>
      <c r="D10" s="0" t="n">
        <f aca="false">-D6*D9/100</f>
        <v>-464.63787</v>
      </c>
      <c r="E10" s="0" t="n">
        <f aca="false">-E6*E9/100</f>
        <v>-501.8088996</v>
      </c>
      <c r="F10" s="0" t="n">
        <f aca="false">-F6*F9/100</f>
        <v>-536.935522572</v>
      </c>
      <c r="G10" s="0" t="n">
        <f aca="false">-G6*G9/100</f>
        <v>-569.15165392632</v>
      </c>
      <c r="H10" s="0" t="n">
        <f aca="false">-H6*H9/100</f>
        <v>-597.609236622636</v>
      </c>
      <c r="I10" s="0" t="n">
        <f aca="false">-I6*I9/100</f>
        <v>-621.513606087542</v>
      </c>
      <c r="J10" s="0" t="n">
        <f aca="false">-J6*J9/100</f>
        <v>-643.266582300606</v>
      </c>
      <c r="K10" s="0" t="n">
        <f aca="false">-K6*K9/100</f>
        <v>-662.564579769624</v>
      </c>
      <c r="L10" s="0" t="n">
        <f aca="false">-L6*L9/100</f>
        <v>-679.128694263864</v>
      </c>
    </row>
    <row r="11" customFormat="false" ht="15" hidden="false" customHeight="false" outlineLevel="0" collapsed="false">
      <c r="A11" s="0" t="s">
        <v>127</v>
      </c>
      <c r="C11" s="0" t="n">
        <f aca="false">C8+C10+C24</f>
        <v>170223.81225</v>
      </c>
      <c r="D11" s="0" t="n">
        <f aca="false">D8+D10+D24</f>
        <v>189262.49238</v>
      </c>
      <c r="E11" s="0" t="n">
        <f aca="false">E8+E10+E24</f>
        <v>210257.9289324</v>
      </c>
      <c r="F11" s="0" t="n">
        <f aca="false">F8+F10+F24</f>
        <v>230345.339183388</v>
      </c>
      <c r="G11" s="0" t="n">
        <f aca="false">G8+G10+G24</f>
        <v>247960.4038939</v>
      </c>
      <c r="H11" s="0" t="n">
        <f aca="false">H8+H10+H24</f>
        <v>263346.470271708</v>
      </c>
      <c r="I11" s="0" t="n">
        <f aca="false">I8+I10+I24</f>
        <v>273880.329082577</v>
      </c>
      <c r="J11" s="0" t="n">
        <f aca="false">J8+J10+J24</f>
        <v>283466.140600467</v>
      </c>
      <c r="K11" s="0" t="n">
        <f aca="false">K8+K10+K24</f>
        <v>291970.124818481</v>
      </c>
      <c r="L11" s="0" t="n">
        <f aca="false">L8+L10+L24</f>
        <v>299269.377938943</v>
      </c>
    </row>
    <row r="12" customFormat="false" ht="15" hidden="false" customHeight="false" outlineLevel="0" collapsed="false">
      <c r="A12" s="0" t="s">
        <v>128</v>
      </c>
      <c r="C12" s="4" t="n">
        <f aca="false">-C6*Assumptions!C45/100</f>
        <v>-60947.86875</v>
      </c>
      <c r="D12" s="4" t="n">
        <f aca="false">-D6*Assumptions!D45/100</f>
        <v>-65823.69825</v>
      </c>
      <c r="E12" s="4" t="n">
        <f aca="false">-E6*Assumptions!E45/100</f>
        <v>-71925.942276</v>
      </c>
      <c r="F12" s="4" t="n">
        <f aca="false">-F6*Assumptions!F45/100</f>
        <v>-78750.54331056</v>
      </c>
      <c r="G12" s="4" t="n">
        <f aca="false">-G6*Assumptions!G45/100</f>
        <v>-85372.748088948</v>
      </c>
      <c r="H12" s="4" t="n">
        <f aca="false">-H6*Assumptions!H45/100</f>
        <v>-89641.3854933954</v>
      </c>
      <c r="I12" s="4" t="n">
        <f aca="false">-I6*Assumptions!I45/100</f>
        <v>-93227.0409131313</v>
      </c>
      <c r="J12" s="4" t="n">
        <f aca="false">-J6*Assumptions!J45/100</f>
        <v>-96489.9873450909</v>
      </c>
      <c r="K12" s="4" t="n">
        <f aca="false">-K6*Assumptions!K45/100</f>
        <v>-99384.6869654436</v>
      </c>
      <c r="L12" s="4" t="n">
        <f aca="false">-L6*Assumptions!L45/100</f>
        <v>-101869.30413958</v>
      </c>
    </row>
    <row r="13" customFormat="false" ht="15" hidden="false" customHeight="false" outlineLevel="0" collapsed="false">
      <c r="A13" s="0" t="s">
        <v>129</v>
      </c>
      <c r="C13" s="0" t="n">
        <f aca="false">C11+C12</f>
        <v>109275.9435</v>
      </c>
      <c r="D13" s="0" t="n">
        <f aca="false">D11+D12</f>
        <v>123438.79413</v>
      </c>
      <c r="E13" s="0" t="n">
        <f aca="false">E11+E12</f>
        <v>138331.9866564</v>
      </c>
      <c r="F13" s="0" t="n">
        <f aca="false">F11+F12</f>
        <v>151594.795872828</v>
      </c>
      <c r="G13" s="0" t="n">
        <f aca="false">G11+G12</f>
        <v>162587.655804952</v>
      </c>
      <c r="H13" s="0" t="n">
        <f aca="false">H11+H12</f>
        <v>173705.084778313</v>
      </c>
      <c r="I13" s="0" t="n">
        <f aca="false">I11+I12</f>
        <v>180653.288169445</v>
      </c>
      <c r="J13" s="0" t="n">
        <f aca="false">J11+J12</f>
        <v>186976.153255376</v>
      </c>
      <c r="K13" s="0" t="n">
        <f aca="false">K11+K12</f>
        <v>192585.437853037</v>
      </c>
      <c r="L13" s="0" t="n">
        <f aca="false">L11+L12</f>
        <v>197400.073799363</v>
      </c>
    </row>
    <row r="14" customFormat="false" ht="15" hidden="false" customHeight="false" outlineLevel="0" collapsed="false">
      <c r="A14" s="0" t="s">
        <v>115</v>
      </c>
      <c r="C14" s="4" t="n">
        <f aca="false">Assumptions!C47</f>
        <v>29</v>
      </c>
      <c r="D14" s="4" t="n">
        <f aca="false">Assumptions!D47</f>
        <v>29</v>
      </c>
      <c r="E14" s="4" t="n">
        <f aca="false">Assumptions!E47</f>
        <v>29</v>
      </c>
      <c r="F14" s="4" t="n">
        <f aca="false">Assumptions!F47</f>
        <v>29</v>
      </c>
      <c r="G14" s="4" t="n">
        <f aca="false">Assumptions!G47</f>
        <v>29</v>
      </c>
      <c r="H14" s="4" t="n">
        <f aca="false">Assumptions!H47</f>
        <v>29</v>
      </c>
      <c r="I14" s="4" t="n">
        <f aca="false">Assumptions!I47</f>
        <v>29</v>
      </c>
      <c r="J14" s="4" t="n">
        <f aca="false">Assumptions!J47</f>
        <v>29</v>
      </c>
      <c r="K14" s="4" t="n">
        <f aca="false">Assumptions!K47</f>
        <v>29</v>
      </c>
      <c r="L14" s="4" t="n">
        <f aca="false">Assumptions!L47</f>
        <v>29</v>
      </c>
    </row>
    <row r="15" customFormat="false" ht="15" hidden="false" customHeight="false" outlineLevel="0" collapsed="false">
      <c r="A15" s="0" t="s">
        <v>130</v>
      </c>
      <c r="C15" s="0" t="n">
        <f aca="false">C13-MAX(0,C13)*C14/100</f>
        <v>77585.919885</v>
      </c>
      <c r="D15" s="0" t="n">
        <f aca="false">D13-MAX(0,D13)*D14/100</f>
        <v>87641.5438323</v>
      </c>
      <c r="E15" s="0" t="n">
        <f aca="false">E13-MAX(0,E13)*E14/100</f>
        <v>98215.710526044</v>
      </c>
      <c r="F15" s="0" t="n">
        <f aca="false">F13-MAX(0,F13)*F14/100</f>
        <v>107632.305069708</v>
      </c>
      <c r="G15" s="0" t="n">
        <f aca="false">G13-MAX(0,G13)*G14/100</f>
        <v>115437.235621516</v>
      </c>
      <c r="H15" s="0" t="n">
        <f aca="false">H13-MAX(0,H13)*H14/100</f>
        <v>123330.610192602</v>
      </c>
      <c r="I15" s="0" t="n">
        <f aca="false">I13-MAX(0,I13)*I14/100</f>
        <v>128263.834600306</v>
      </c>
      <c r="J15" s="0" t="n">
        <f aca="false">J13-MAX(0,J13)*J14/100</f>
        <v>132753.068811317</v>
      </c>
      <c r="K15" s="0" t="n">
        <f aca="false">K13-MAX(0,K13)*K14/100</f>
        <v>136735.660875657</v>
      </c>
      <c r="L15" s="0" t="n">
        <f aca="false">L13-MAX(0,L13)*L14/100</f>
        <v>140154.052397548</v>
      </c>
    </row>
    <row r="16" customFormat="false" ht="15" hidden="false" customHeight="false" outlineLevel="0" collapsed="false">
      <c r="A16" s="0" t="s">
        <v>131</v>
      </c>
      <c r="C16" s="0" t="n">
        <f aca="false">-C12</f>
        <v>60947.86875</v>
      </c>
      <c r="D16" s="0" t="n">
        <f aca="false">-D12</f>
        <v>65823.69825</v>
      </c>
      <c r="E16" s="0" t="n">
        <f aca="false">-E12</f>
        <v>71925.942276</v>
      </c>
      <c r="F16" s="0" t="n">
        <f aca="false">-F12</f>
        <v>78750.54331056</v>
      </c>
      <c r="G16" s="0" t="n">
        <f aca="false">-G12</f>
        <v>85372.748088948</v>
      </c>
      <c r="H16" s="0" t="n">
        <f aca="false">-H12</f>
        <v>89641.3854933954</v>
      </c>
      <c r="I16" s="0" t="n">
        <f aca="false">-I12</f>
        <v>93227.0409131313</v>
      </c>
      <c r="J16" s="0" t="n">
        <f aca="false">-J12</f>
        <v>96489.9873450909</v>
      </c>
      <c r="K16" s="0" t="n">
        <f aca="false">-K12</f>
        <v>99384.6869654436</v>
      </c>
      <c r="L16" s="0" t="n">
        <f aca="false">-L12</f>
        <v>101869.30413958</v>
      </c>
    </row>
    <row r="17" customFormat="false" ht="15" hidden="false" customHeight="false" outlineLevel="0" collapsed="false">
      <c r="A17" s="0" t="s">
        <v>132</v>
      </c>
      <c r="C17" s="4" t="n">
        <f aca="false">-C6*Assumptions!C46/100</f>
        <v>-62381.93625</v>
      </c>
      <c r="D17" s="4" t="n">
        <f aca="false">-D6*Assumptions!D46/100</f>
        <v>-81311.62725</v>
      </c>
      <c r="E17" s="4" t="n">
        <f aca="false">-E6*Assumptions!E46/100</f>
        <v>-100361.77992</v>
      </c>
      <c r="F17" s="4" t="n">
        <f aca="false">-F6*Assumptions!F46/100</f>
        <v>-107387.1045144</v>
      </c>
      <c r="G17" s="4" t="n">
        <f aca="false">-G6*Assumptions!G46/100</f>
        <v>-104344.469886492</v>
      </c>
      <c r="H17" s="4" t="n">
        <f aca="false">-H6*Assumptions!H46/100</f>
        <v>-99601.539437106</v>
      </c>
      <c r="I17" s="4" t="n">
        <f aca="false">-I6*Assumptions!I46/100</f>
        <v>-98406.3209638608</v>
      </c>
      <c r="J17" s="4" t="n">
        <f aca="false">-J6*Assumptions!J46/100</f>
        <v>-101850.542197596</v>
      </c>
      <c r="K17" s="4" t="n">
        <f aca="false">-K6*Assumptions!K46/100</f>
        <v>-104906.058463524</v>
      </c>
      <c r="L17" s="4" t="n">
        <f aca="false">-L6*Assumptions!L46/100</f>
        <v>-107528.709925112</v>
      </c>
    </row>
    <row r="18" customFormat="false" ht="15" hidden="false" customHeight="false" outlineLevel="0" collapsed="false">
      <c r="A18" s="0" t="s">
        <v>133</v>
      </c>
      <c r="C18" s="4" t="n">
        <f aca="false">(C6-B6)*Assumptions!$B$51/100</f>
        <v>-11727.1875</v>
      </c>
      <c r="D18" s="4" t="n">
        <f aca="false">(D6-C6)*Assumptions!$B$51/100</f>
        <v>-14340.675</v>
      </c>
      <c r="E18" s="4" t="n">
        <f aca="false">(E6-D6)*Assumptions!$B$51/100</f>
        <v>-15487.929</v>
      </c>
      <c r="F18" s="4" t="n">
        <f aca="false">(F6-E6)*Assumptions!$B$51/100</f>
        <v>-14636.092905</v>
      </c>
      <c r="G18" s="4" t="n">
        <f aca="false">(G6-F6)*Assumptions!$B$51/100</f>
        <v>-13423.3880643</v>
      </c>
      <c r="H18" s="4" t="n">
        <f aca="false">(H6-G6)*Assumptions!$B$51/100</f>
        <v>-11857.326123465</v>
      </c>
      <c r="I18" s="4" t="n">
        <f aca="false">(I6-H6)*Assumptions!$B$51/100</f>
        <v>-9960.15394371061</v>
      </c>
      <c r="J18" s="4" t="n">
        <f aca="false">(J6-I6)*Assumptions!$B$51/100</f>
        <v>-9063.74008877666</v>
      </c>
      <c r="K18" s="4" t="n">
        <f aca="false">(K6-J6)*Assumptions!$B$51/100</f>
        <v>-8040.83227875759</v>
      </c>
      <c r="L18" s="4" t="n">
        <f aca="false">(L6-K6)*Assumptions!$B$51/100</f>
        <v>-6901.7143726002</v>
      </c>
    </row>
    <row r="19" customFormat="false" ht="15" hidden="false" customHeight="false" outlineLevel="0" collapsed="false">
      <c r="A19" s="0" t="s">
        <v>134</v>
      </c>
      <c r="C19" s="0" t="n">
        <f aca="false">C15+C16+C17+C18</f>
        <v>64424.664885</v>
      </c>
      <c r="D19" s="0" t="n">
        <f aca="false">D15+D16+D17+D18</f>
        <v>57812.9398323</v>
      </c>
      <c r="E19" s="0" t="n">
        <f aca="false">E15+E16+E17+E18</f>
        <v>54291.943882044</v>
      </c>
      <c r="F19" s="0" t="n">
        <f aca="false">F15+F16+F17+F18</f>
        <v>64359.6509608679</v>
      </c>
      <c r="G19" s="0" t="n">
        <f aca="false">G15+G16+G17+G18</f>
        <v>83042.125759672</v>
      </c>
      <c r="H19" s="0" t="n">
        <f aca="false">H15+H16+H17+H18</f>
        <v>101513.130125427</v>
      </c>
      <c r="I19" s="0" t="n">
        <f aca="false">I15+I16+I17+I18</f>
        <v>113124.400605866</v>
      </c>
      <c r="J19" s="0" t="n">
        <f aca="false">J15+J16+J17+J18</f>
        <v>118328.773870035</v>
      </c>
      <c r="K19" s="0" t="n">
        <f aca="false">K15+K16+K17+K18</f>
        <v>123173.457098819</v>
      </c>
      <c r="L19" s="0" t="n">
        <f aca="false">L15+L16+L17+L18</f>
        <v>127592.932239416</v>
      </c>
    </row>
    <row r="20" customFormat="false" ht="15" hidden="false" customHeight="false" outlineLevel="0" collapsed="false">
      <c r="A20" s="0" t="s">
        <v>135</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136</v>
      </c>
      <c r="C21" s="0" t="n">
        <f aca="false">C19*C20</f>
        <v>59652.4674861111</v>
      </c>
      <c r="D21" s="0" t="n">
        <f aca="false">D19*D20</f>
        <v>49565.2776340021</v>
      </c>
      <c r="E21" s="0" t="n">
        <f aca="false">E19*E20</f>
        <v>43098.6954812243</v>
      </c>
      <c r="F21" s="0" t="n">
        <f aca="false">F19*F20</f>
        <v>47306.2647717978</v>
      </c>
      <c r="G21" s="0" t="n">
        <f aca="false">G19*G20</f>
        <v>56517.0754379965</v>
      </c>
      <c r="H21" s="0" t="n">
        <f aca="false">H19*H20</f>
        <v>63970.4913348761</v>
      </c>
      <c r="I21" s="0" t="n">
        <f aca="false">I19*I20</f>
        <v>66007.0012233088</v>
      </c>
      <c r="J21" s="0" t="n">
        <f aca="false">J19*J20</f>
        <v>63929.3546632505</v>
      </c>
      <c r="K21" s="0" t="n">
        <f aca="false">K19*K20</f>
        <v>61617.3946916951</v>
      </c>
      <c r="L21" s="0" t="n">
        <f aca="false">L19*L20</f>
        <v>59100.2153389276</v>
      </c>
    </row>
    <row r="23" customFormat="false" ht="15" hidden="false" customHeight="false" outlineLevel="0" collapsed="false">
      <c r="A23" s="0" t="s">
        <v>112</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137</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138</v>
      </c>
    </row>
    <row r="27" customFormat="false" ht="15" hidden="false" customHeight="false" outlineLevel="0" collapsed="false">
      <c r="A27" s="0" t="s">
        <v>116</v>
      </c>
      <c r="B27" s="4" t="n">
        <f aca="false">Assumptions!$B$48</f>
        <v>8</v>
      </c>
    </row>
    <row r="28" customFormat="false" ht="15" hidden="false" customHeight="false" outlineLevel="0" collapsed="false">
      <c r="A28" s="0" t="s">
        <v>117</v>
      </c>
      <c r="B28" s="4" t="n">
        <f aca="false">Assumptions!$B$49</f>
        <v>2.5</v>
      </c>
    </row>
    <row r="29" customFormat="false" ht="15" hidden="false" customHeight="false" outlineLevel="0" collapsed="false">
      <c r="A29" s="0" t="s">
        <v>118</v>
      </c>
      <c r="B29" s="4" t="n">
        <f aca="false">Assumptions!$B$50</f>
        <v>15</v>
      </c>
    </row>
    <row r="30" customFormat="false" ht="15" hidden="false" customHeight="false" outlineLevel="0" collapsed="false">
      <c r="A30" s="0" t="s">
        <v>139</v>
      </c>
      <c r="B30" s="0" t="n">
        <f aca="false">SUM(C21:L21)</f>
        <v>570764.23806319</v>
      </c>
    </row>
    <row r="31" customFormat="false" ht="15" hidden="false" customHeight="false" outlineLevel="0" collapsed="false">
      <c r="A31" s="0" t="s">
        <v>140</v>
      </c>
      <c r="B31" s="0" t="n">
        <f aca="false">L19</f>
        <v>127592.932239416</v>
      </c>
    </row>
    <row r="32" customFormat="false" ht="15" hidden="false" customHeight="false" outlineLevel="0" collapsed="false">
      <c r="A32" s="0" t="s">
        <v>141</v>
      </c>
      <c r="B32" s="0" t="n">
        <f aca="false">IF(B27&gt;B28,B31*(1+B28/100)/((B27-B28)/100),B31*B29)</f>
        <v>2377868.28264365</v>
      </c>
    </row>
    <row r="33" customFormat="false" ht="15" hidden="false" customHeight="false" outlineLevel="0" collapsed="false">
      <c r="A33" s="0" t="s">
        <v>142</v>
      </c>
      <c r="B33" s="0" t="n">
        <f aca="false">B31*B29</f>
        <v>1913893.98359123</v>
      </c>
    </row>
    <row r="34" customFormat="false" ht="15" hidden="false" customHeight="false" outlineLevel="0" collapsed="false">
      <c r="A34" s="0" t="s">
        <v>143</v>
      </c>
      <c r="B34" s="0" t="n">
        <f aca="false">MAX(0,MIN(B32,B33))</f>
        <v>1913893.98359123</v>
      </c>
    </row>
    <row r="35" customFormat="false" ht="15" hidden="false" customHeight="false" outlineLevel="0" collapsed="false">
      <c r="A35" s="0" t="s">
        <v>144</v>
      </c>
      <c r="B35" s="0" t="n">
        <f aca="false">B34/(1+B27/100)^L4</f>
        <v>886503.230083914</v>
      </c>
    </row>
    <row r="36" customFormat="false" ht="15" hidden="false" customHeight="false" outlineLevel="0" collapsed="false">
      <c r="A36" s="0" t="s">
        <v>145</v>
      </c>
      <c r="B36" s="0" t="n">
        <f aca="false">B30+B35</f>
        <v>1457267.4681471</v>
      </c>
    </row>
    <row r="37" customFormat="false" ht="15" hidden="false" customHeight="false" outlineLevel="0" collapsed="false">
      <c r="A37" s="0" t="s">
        <v>146</v>
      </c>
      <c r="B37" s="0" t="n">
        <f aca="false">B36+Assumptions!$B$5-Assumptions!$B$4</f>
        <v>1549429.4681471</v>
      </c>
    </row>
    <row r="38" customFormat="false" ht="15" hidden="false" customHeight="false" outlineLevel="0" collapsed="false">
      <c r="A38" s="0" t="s">
        <v>147</v>
      </c>
      <c r="B38" s="0" t="n">
        <f aca="false">B37/Assumptions!$B$3*Assumptions!$B$10</f>
        <v>5442.7057332693</v>
      </c>
    </row>
    <row r="39" customFormat="false" ht="15" hidden="false" customHeight="false" outlineLevel="0" collapsed="false">
      <c r="A39" s="0" t="s">
        <v>148</v>
      </c>
      <c r="B39" s="4" t="n">
        <f aca="false">B38/Assumptions!$B$2-1</f>
        <v>0.179862504502341</v>
      </c>
    </row>
    <row r="41" customFormat="false" ht="15" hidden="false" customHeight="false" outlineLevel="0" collapsed="false">
      <c r="A41" s="0" t="s">
        <v>149</v>
      </c>
      <c r="B41" s="0" t="n">
        <f aca="false">SUMPRODUCT(-C10:L10/(1+$B$27/100)^C4:L4)</f>
        <v>3709.86950398377</v>
      </c>
    </row>
    <row r="42" customFormat="false" ht="15" hidden="false" customHeight="false" outlineLevel="0" collapsed="false">
      <c r="A42" s="0" t="s">
        <v>150</v>
      </c>
      <c r="B42" s="0" t="n">
        <f aca="false">IF(B27&gt;B28,-L10*(1+B28/100)/((B27-B28)/100),-L10*20)/(1+B27/100)^L4</f>
        <v>5862.40342678797</v>
      </c>
    </row>
    <row r="43" customFormat="false" ht="15" hidden="false" customHeight="false" outlineLevel="0" collapsed="false">
      <c r="A43" s="0" t="s">
        <v>151</v>
      </c>
      <c r="B43" s="0" t="n">
        <f aca="false">(B37+B41+B42)/Assumptions!$B$3*Assumptions!$B$10</f>
        <v>5476.33040985625</v>
      </c>
    </row>
    <row r="45" customFormat="false" ht="15" hidden="false" customHeight="false" outlineLevel="0" collapsed="false">
      <c r="A45" s="0" t="s">
        <v>92</v>
      </c>
      <c r="B45" s="4" t="n">
        <f aca="false">Assumptions!$B$6</f>
        <v>15</v>
      </c>
    </row>
    <row r="46" customFormat="false" ht="15" hidden="false" customHeight="false" outlineLevel="0" collapsed="false">
      <c r="A46" s="0" t="s">
        <v>152</v>
      </c>
      <c r="B46" s="0" t="n">
        <f aca="false">MAX(0,MIN(IF(B45&gt;B28,B31*(1+B28/100)/((B45-B28)/100),B31*B29),B31*B29))</f>
        <v>1046262.04436321</v>
      </c>
    </row>
    <row r="47" customFormat="false" ht="15" hidden="false" customHeight="false" outlineLevel="0" collapsed="false">
      <c r="A47" s="0" t="s">
        <v>153</v>
      </c>
      <c r="B47" s="0" t="n">
        <f aca="false">(SUMPRODUCT(C19:L19/(1+B45/100)^C4:L4)+B46/(1+B45/100)^L4+Assumptions!$B$5-Assumptions!$B$4)/Assumptions!$B$3*Assumptions!$B$10</f>
        <v>2655.43652549663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156</v>
      </c>
    </row>
    <row r="3" customFormat="false" ht="15" hidden="false" customHeight="false" outlineLevel="0" collapsed="false">
      <c r="A3" s="2" t="s">
        <v>157</v>
      </c>
      <c r="B3" s="2" t="s">
        <v>158</v>
      </c>
      <c r="C3" s="2" t="s">
        <v>148</v>
      </c>
      <c r="D3" s="2" t="s">
        <v>159</v>
      </c>
      <c r="E3" s="2" t="s">
        <v>151</v>
      </c>
      <c r="F3" s="2" t="s">
        <v>160</v>
      </c>
    </row>
    <row r="4" customFormat="false" ht="15" hidden="false" customHeight="false" outlineLevel="0" collapsed="false">
      <c r="A4" s="0" t="s">
        <v>161</v>
      </c>
      <c r="B4" s="4" t="n">
        <f aca="false">DCF_Bear!$B$38</f>
        <v>3219.4473311002</v>
      </c>
      <c r="C4" s="0" t="n">
        <f aca="false">B4/Assumptions!$B$2-1</f>
        <v>-0.302092492716194</v>
      </c>
      <c r="D4" s="4" t="n">
        <f aca="false">Assumptions!$B$24</f>
        <v>0.25</v>
      </c>
      <c r="E4" s="4" t="n">
        <f aca="false">DCF_Bear!$B$43</f>
        <v>3239.95106683837</v>
      </c>
      <c r="F4" s="4" t="n">
        <f aca="false">DCF_Bear!$B$47</f>
        <v>1731.96182465964</v>
      </c>
    </row>
    <row r="5" customFormat="false" ht="15" hidden="false" customHeight="false" outlineLevel="0" collapsed="false">
      <c r="A5" s="0" t="s">
        <v>162</v>
      </c>
      <c r="B5" s="4" t="n">
        <f aca="false">DCF_Base!$B$38</f>
        <v>4431.62859654281</v>
      </c>
      <c r="C5" s="0" t="n">
        <f aca="false">B5/Assumptions!$B$2-1</f>
        <v>-0.0393174514322971</v>
      </c>
      <c r="D5" s="4" t="n">
        <f aca="false">Assumptions!$B$38</f>
        <v>0.5</v>
      </c>
      <c r="E5" s="4" t="n">
        <f aca="false">DCF_Base!$B$43</f>
        <v>4459.63544361429</v>
      </c>
      <c r="F5" s="4" t="n">
        <f aca="false">DCF_Base!$B$47</f>
        <v>2233.44443448238</v>
      </c>
    </row>
    <row r="6" customFormat="false" ht="15" hidden="false" customHeight="false" outlineLevel="0" collapsed="false">
      <c r="A6" s="0" t="s">
        <v>163</v>
      </c>
      <c r="B6" s="4" t="n">
        <f aca="false">DCF_Bull!$B$38</f>
        <v>5442.7057332693</v>
      </c>
      <c r="C6" s="0" t="n">
        <f aca="false">B6/Assumptions!$B$2-1</f>
        <v>0.179862504502341</v>
      </c>
      <c r="D6" s="4" t="n">
        <f aca="false">Assumptions!$B$52</f>
        <v>0.25</v>
      </c>
      <c r="E6" s="4" t="n">
        <f aca="false">DCF_Bull!$B$43</f>
        <v>5476.33040985625</v>
      </c>
      <c r="F6" s="4" t="n">
        <f aca="false">DCF_Bull!$B$47</f>
        <v>2655.43652549663</v>
      </c>
    </row>
    <row r="8" customFormat="false" ht="15" hidden="false" customHeight="false" outlineLevel="0" collapsed="false">
      <c r="A8" s="0" t="s">
        <v>164</v>
      </c>
      <c r="B8" s="0" t="n">
        <f aca="false">SUMPRODUCT(B4:B6,D4:D6)</f>
        <v>4381.35256436378</v>
      </c>
    </row>
    <row r="9" customFormat="false" ht="15" hidden="false" customHeight="false" outlineLevel="0" collapsed="false">
      <c r="A9" s="0" t="s">
        <v>165</v>
      </c>
      <c r="B9" s="0" t="n">
        <f aca="false">SUMPRODUCT(E4:E6,D4:D6)</f>
        <v>4408.8880909808</v>
      </c>
    </row>
    <row r="10" customFormat="false" ht="15" hidden="false" customHeight="false" outlineLevel="0" collapsed="false">
      <c r="A10" s="0" t="s">
        <v>166</v>
      </c>
      <c r="B10" s="0" t="n">
        <f aca="false">1-Assumptions!$B$2/B8</f>
        <v>-0.0528712155055382</v>
      </c>
    </row>
    <row r="11" customFormat="false" ht="15" hidden="false" customHeight="false" outlineLevel="0" collapsed="false">
      <c r="A11" s="0" t="s">
        <v>167</v>
      </c>
      <c r="B11" s="0" t="str">
        <f aca="false">IF(ABS(B9-B8)&gt;0.01*ABS(B8),(Assumptions!$B$2-B8)/(B9-B8)*100,"n/a")</f>
        <v>n/a</v>
      </c>
    </row>
    <row r="12" customFormat="false" ht="15" hidden="false" customHeight="false" outlineLevel="0" collapsed="false">
      <c r="A12" s="0" t="s">
        <v>168</v>
      </c>
      <c r="B12" s="0" t="n">
        <f aca="false">SUMPRODUCT(F4:F6,D4:D6)</f>
        <v>2213.57180478026</v>
      </c>
    </row>
    <row r="14" customFormat="false" ht="15" hidden="false" customHeight="false" outlineLevel="0" collapsed="false">
      <c r="A14" s="2" t="s">
        <v>169</v>
      </c>
      <c r="C14" s="0" t="s">
        <v>170</v>
      </c>
    </row>
    <row r="15" customFormat="false" ht="15" hidden="false" customHeight="false" outlineLevel="0" collapsed="false">
      <c r="A15" s="0" t="s">
        <v>171</v>
      </c>
      <c r="B15" s="0" t="n">
        <f aca="false">(SUMPRODUCT(DCF_Base!$C$19:$L$19/(1+$C$15/100)^DCF_Base!$C$4:$L$4)+MAX(0,MIN(IF($C$15&gt;DCF_Base!$B$28,DCF_Base!$L$19*(1+DCF_Base!$B$28/100)/(($C$15-DCF_Base!$B$28)/100),DCF_Base!$L$19*DCF_Base!$B$29),DCF_Base!$L$19*DCF_Base!$B$29))/(1+$C$15/100)^DCF_Base!$L$4+Assumptions!$B$5-Assumptions!$B$4)/Assumptions!$B$3*Assumptions!$B$10</f>
        <v>4431.62859654281</v>
      </c>
      <c r="C15" s="3" t="n">
        <v>8</v>
      </c>
    </row>
    <row r="16" customFormat="false" ht="15" hidden="false" customHeight="false" outlineLevel="0" collapsed="false">
      <c r="A16" s="0" t="s">
        <v>172</v>
      </c>
      <c r="B16" s="0" t="n">
        <f aca="false">(SUMPRODUCT(DCF_Base!$C$19:$L$19/(1+$C$16/100)^DCF_Base!$C$4:$L$4)+MAX(0,MIN(IF($C$16&gt;DCF_Base!$B$28,DCF_Base!$L$19*(1+DCF_Base!$B$28/100)/(($C$16-DCF_Base!$B$28)/100),DCF_Base!$L$19*DCF_Base!$B$29),DCF_Base!$L$19*DCF_Base!$B$29))/(1+$C$16/100)^DCF_Base!$L$4+Assumptions!$B$5-Assumptions!$B$4)/Assumptions!$B$3*Assumptions!$B$10</f>
        <v>4075.72554906635</v>
      </c>
      <c r="C16" s="3" t="n">
        <v>9</v>
      </c>
    </row>
    <row r="17" customFormat="false" ht="15" hidden="false" customHeight="false" outlineLevel="0" collapsed="false">
      <c r="A17" s="0" t="s">
        <v>173</v>
      </c>
      <c r="B17" s="0" t="n">
        <f aca="false">(SUMPRODUCT(DCF_Base!$C$19:$L$19/(1+$C$17/100)^DCF_Base!$C$4:$L$4)+MAX(0,MIN(IF($C$17&gt;DCF_Base!$B$28,DCF_Base!$L$19*(1+DCF_Base!$B$28/100)/(($C$17-DCF_Base!$B$28)/100),DCF_Base!$L$19*DCF_Base!$B$29),DCF_Base!$L$19*DCF_Base!$B$29))/(1+$C$17/100)^DCF_Base!$L$4+Assumptions!$B$5-Assumptions!$B$4)/Assumptions!$B$3*Assumptions!$B$10</f>
        <v>3572.05774385812</v>
      </c>
      <c r="C17" s="3" t="n">
        <v>10</v>
      </c>
    </row>
    <row r="18" customFormat="false" ht="15" hidden="false" customHeight="false" outlineLevel="0" collapsed="false">
      <c r="A18" s="0" t="s">
        <v>174</v>
      </c>
      <c r="B18" s="0" t="n">
        <f aca="false">(SUMPRODUCT(DCF_Base!$C$19:$L$19/(1+$C$18/100)^DCF_Base!$C$4:$L$4)+MAX(0,MIN(IF($C$18&gt;DCF_Base!$B$28,DCF_Base!$L$19*(1+DCF_Base!$B$28/100)/(($C$18-DCF_Base!$B$28)/100),DCF_Base!$L$19*DCF_Base!$B$29),DCF_Base!$L$19*DCF_Base!$B$29))/(1+$C$18/100)^DCF_Base!$L$4+Assumptions!$B$5-Assumptions!$B$4)/Assumptions!$B$3*Assumptions!$B$10</f>
        <v>3182.14368551641</v>
      </c>
      <c r="C18" s="3" t="n">
        <v>11</v>
      </c>
    </row>
    <row r="19" customFormat="false" ht="15" hidden="false" customHeight="false" outlineLevel="0" collapsed="false">
      <c r="A19" s="0" t="s">
        <v>175</v>
      </c>
      <c r="B19" s="0" t="n">
        <f aca="false">(SUMPRODUCT(DCF_Base!$C$19:$L$19/(1+$C$19/100)^DCF_Base!$C$4:$L$4)+MAX(0,MIN(IF($C$19&gt;DCF_Base!$B$28,DCF_Base!$L$19*(1+DCF_Base!$B$28/100)/(($C$19-DCF_Base!$B$28)/100),DCF_Base!$L$19*DCF_Base!$B$29),DCF_Base!$L$19*DCF_Base!$B$29))/(1+$C$19/100)^DCF_Base!$L$4+Assumptions!$B$5-Assumptions!$B$4)/Assumptions!$B$3*Assumptions!$B$10</f>
        <v>2871.74990774511</v>
      </c>
      <c r="C19" s="3" t="n">
        <v>12</v>
      </c>
    </row>
    <row r="20" customFormat="false" ht="15" hidden="false" customHeight="false" outlineLevel="0" collapsed="false">
      <c r="A20" s="0" t="s">
        <v>176</v>
      </c>
      <c r="B20" s="0" t="n">
        <f aca="false">(SUMPRODUCT(DCF_Base!$C$19:$L$19/(1+$C$20/100)^DCF_Base!$C$4:$L$4)+MAX(0,MIN(IF($C$20&gt;DCF_Base!$B$28,DCF_Base!$L$19*(1+DCF_Base!$B$28/100)/(($C$20-DCF_Base!$B$28)/100),DCF_Base!$L$19*DCF_Base!$B$29),DCF_Base!$L$19*DCF_Base!$B$29))/(1+$C$20/100)^DCF_Base!$L$4+Assumptions!$B$5-Assumptions!$B$4)/Assumptions!$B$3*Assumptions!$B$10</f>
        <v>2233.44443448238</v>
      </c>
      <c r="C20" s="3" t="n">
        <v>15</v>
      </c>
    </row>
    <row r="22" customFormat="false" ht="15" hidden="false" customHeight="false" outlineLevel="0" collapsed="false">
      <c r="A22" s="2" t="s">
        <v>177</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5109.06142177428</v>
      </c>
      <c r="C24" s="0" t="n">
        <f aca="false">(SUMPRODUCT(DCF_Base!$C$19:$L$19/(1+$A$24/100)^DCF_Base!$C$4:$L$4)+MAX(0,MIN(IF($A$24&gt;$C$23,DCF_Base!$L$19*(1+$C$23/100)/(($A$24-$C$23)/100),DCF_Base!$L$19*DCF_Base!$B$29),DCF_Base!$L$19*DCF_Base!$B$29))/(1+$A$24/100)^DCF_Base!$L$4+Assumptions!$B$5-Assumptions!$B$4)/Assumptions!$B$3*Assumptions!$B$10</f>
        <v>5109.06142177428</v>
      </c>
      <c r="D24" s="0" t="n">
        <f aca="false">(SUMPRODUCT(DCF_Base!$C$19:$L$19/(1+$A$24/100)^DCF_Base!$C$4:$L$4)+MAX(0,MIN(IF($A$24&gt;$D$23,DCF_Base!$L$19*(1+$D$23/100)/(($A$24-$D$23)/100),DCF_Base!$L$19*DCF_Base!$B$29),DCF_Base!$L$19*DCF_Base!$B$29))/(1+$A$24/100)^DCF_Base!$L$4+Assumptions!$B$5-Assumptions!$B$4)/Assumptions!$B$3*Assumptions!$B$10</f>
        <v>5109.06142177428</v>
      </c>
      <c r="E24" s="0" t="n">
        <f aca="false">(SUMPRODUCT(DCF_Base!$C$19:$L$19/(1+$A$24/100)^DCF_Base!$C$4:$L$4)+MAX(0,MIN(IF($A$24&gt;$E$23,DCF_Base!$L$19*(1+$E$23/100)/(($A$24-$E$23)/100),DCF_Base!$L$19*DCF_Base!$B$29),DCF_Base!$L$19*DCF_Base!$B$29))/(1+$A$24/100)^DCF_Base!$L$4+Assumptions!$B$5-Assumptions!$B$4)/Assumptions!$B$3*Assumptions!$B$10</f>
        <v>5109.06142177428</v>
      </c>
      <c r="F24" s="0" t="n">
        <f aca="false">(SUMPRODUCT(DCF_Base!$C$19:$L$19/(1+$A$24/100)^DCF_Base!$C$4:$L$4)+MAX(0,MIN(IF($A$24&gt;$F$23,DCF_Base!$L$19*(1+$F$23/100)/(($A$24-$F$23)/100),DCF_Base!$L$19*DCF_Base!$B$29),DCF_Base!$L$19*DCF_Base!$B$29))/(1+$A$24/100)^DCF_Base!$L$4+Assumptions!$B$5-Assumptions!$B$4)/Assumptions!$B$3*Assumptions!$B$10</f>
        <v>5109.06142177428</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4754.23042638469</v>
      </c>
      <c r="C25" s="0" t="n">
        <f aca="false">(SUMPRODUCT(DCF_Base!$C$19:$L$19/(1+$A$25/100)^DCF_Base!$C$4:$L$4)+MAX(0,MIN(IF($A$25&gt;$C$23,DCF_Base!$L$19*(1+$C$23/100)/(($A$25-$C$23)/100),DCF_Base!$L$19*DCF_Base!$B$29),DCF_Base!$L$19*DCF_Base!$B$29))/(1+$A$25/100)^DCF_Base!$L$4+Assumptions!$B$5-Assumptions!$B$4)/Assumptions!$B$3*Assumptions!$B$10</f>
        <v>4754.23042638469</v>
      </c>
      <c r="D25" s="0" t="n">
        <f aca="false">(SUMPRODUCT(DCF_Base!$C$19:$L$19/(1+$A$25/100)^DCF_Base!$C$4:$L$4)+MAX(0,MIN(IF($A$25&gt;$D$23,DCF_Base!$L$19*(1+$D$23/100)/(($A$25-$D$23)/100),DCF_Base!$L$19*DCF_Base!$B$29),DCF_Base!$L$19*DCF_Base!$B$29))/(1+$A$25/100)^DCF_Base!$L$4+Assumptions!$B$5-Assumptions!$B$4)/Assumptions!$B$3*Assumptions!$B$10</f>
        <v>4754.23042638469</v>
      </c>
      <c r="E25" s="0" t="n">
        <f aca="false">(SUMPRODUCT(DCF_Base!$C$19:$L$19/(1+$A$25/100)^DCF_Base!$C$4:$L$4)+MAX(0,MIN(IF($A$25&gt;$E$23,DCF_Base!$L$19*(1+$E$23/100)/(($A$25-$E$23)/100),DCF_Base!$L$19*DCF_Base!$B$29),DCF_Base!$L$19*DCF_Base!$B$29))/(1+$A$25/100)^DCF_Base!$L$4+Assumptions!$B$5-Assumptions!$B$4)/Assumptions!$B$3*Assumptions!$B$10</f>
        <v>4754.23042638469</v>
      </c>
      <c r="F25" s="0" t="n">
        <f aca="false">(SUMPRODUCT(DCF_Base!$C$19:$L$19/(1+$A$25/100)^DCF_Base!$C$4:$L$4)+MAX(0,MIN(IF($A$25&gt;$F$23,DCF_Base!$L$19*(1+$F$23/100)/(($A$25-$F$23)/100),DCF_Base!$L$19*DCF_Base!$B$29),DCF_Base!$L$19*DCF_Base!$B$29))/(1+$A$25/100)^DCF_Base!$L$4+Assumptions!$B$5-Assumptions!$B$4)/Assumptions!$B$3*Assumptions!$B$10</f>
        <v>4754.23042638469</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4340.60326844834</v>
      </c>
      <c r="C26" s="0" t="n">
        <f aca="false">(SUMPRODUCT(DCF_Base!$C$19:$L$19/(1+$A$26/100)^DCF_Base!$C$4:$L$4)+MAX(0,MIN(IF($A$26&gt;$C$23,DCF_Base!$L$19*(1+$C$23/100)/(($A$26-$C$23)/100),DCF_Base!$L$19*DCF_Base!$B$29),DCF_Base!$L$19*DCF_Base!$B$29))/(1+$A$26/100)^DCF_Base!$L$4+Assumptions!$B$5-Assumptions!$B$4)/Assumptions!$B$3*Assumptions!$B$10</f>
        <v>4431.62859654281</v>
      </c>
      <c r="D26" s="0" t="n">
        <f aca="false">(SUMPRODUCT(DCF_Base!$C$19:$L$19/(1+$A$26/100)^DCF_Base!$C$4:$L$4)+MAX(0,MIN(IF($A$26&gt;$D$23,DCF_Base!$L$19*(1+$D$23/100)/(($A$26-$D$23)/100),DCF_Base!$L$19*DCF_Base!$B$29),DCF_Base!$L$19*DCF_Base!$B$29))/(1+$A$26/100)^DCF_Base!$L$4+Assumptions!$B$5-Assumptions!$B$4)/Assumptions!$B$3*Assumptions!$B$10</f>
        <v>4431.62859654281</v>
      </c>
      <c r="E26" s="0" t="n">
        <f aca="false">(SUMPRODUCT(DCF_Base!$C$19:$L$19/(1+$A$26/100)^DCF_Base!$C$4:$L$4)+MAX(0,MIN(IF($A$26&gt;$E$23,DCF_Base!$L$19*(1+$E$23/100)/(($A$26-$E$23)/100),DCF_Base!$L$19*DCF_Base!$B$29),DCF_Base!$L$19*DCF_Base!$B$29))/(1+$A$26/100)^DCF_Base!$L$4+Assumptions!$B$5-Assumptions!$B$4)/Assumptions!$B$3*Assumptions!$B$10</f>
        <v>4431.62859654281</v>
      </c>
      <c r="F26" s="0" t="n">
        <f aca="false">(SUMPRODUCT(DCF_Base!$C$19:$L$19/(1+$A$26/100)^DCF_Base!$C$4:$L$4)+MAX(0,MIN(IF($A$26&gt;$F$23,DCF_Base!$L$19*(1+$F$23/100)/(($A$26-$F$23)/100),DCF_Base!$L$19*DCF_Base!$B$29),DCF_Base!$L$19*DCF_Base!$B$29))/(1+$A$26/100)^DCF_Base!$L$4+Assumptions!$B$5-Assumptions!$B$4)/Assumptions!$B$3*Assumptions!$B$10</f>
        <v>4431.62859654281</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3792.96986237438</v>
      </c>
      <c r="C27" s="0" t="n">
        <f aca="false">(SUMPRODUCT(DCF_Base!$C$19:$L$19/(1+$A$27/100)^DCF_Base!$C$4:$L$4)+MAX(0,MIN(IF($A$27&gt;$C$23,DCF_Base!$L$19*(1+$C$23/100)/(($A$27-$C$23)/100),DCF_Base!$L$19*DCF_Base!$B$29),DCF_Base!$L$19*DCF_Base!$B$29))/(1+$A$27/100)^DCF_Base!$L$4+Assumptions!$B$5-Assumptions!$B$4)/Assumptions!$B$3*Assumptions!$B$10</f>
        <v>3924.92251616397</v>
      </c>
      <c r="D27" s="0" t="n">
        <f aca="false">(SUMPRODUCT(DCF_Base!$C$19:$L$19/(1+$A$27/100)^DCF_Base!$C$4:$L$4)+MAX(0,MIN(IF($A$27&gt;$D$23,DCF_Base!$L$19*(1+$D$23/100)/(($A$27-$D$23)/100),DCF_Base!$L$19*DCF_Base!$B$29),DCF_Base!$L$19*DCF_Base!$B$29))/(1+$A$27/100)^DCF_Base!$L$4+Assumptions!$B$5-Assumptions!$B$4)/Assumptions!$B$3*Assumptions!$B$10</f>
        <v>4075.72554906635</v>
      </c>
      <c r="E27" s="0" t="n">
        <f aca="false">(SUMPRODUCT(DCF_Base!$C$19:$L$19/(1+$A$27/100)^DCF_Base!$C$4:$L$4)+MAX(0,MIN(IF($A$27&gt;$E$23,DCF_Base!$L$19*(1+$E$23/100)/(($A$27-$E$23)/100),DCF_Base!$L$19*DCF_Base!$B$29),DCF_Base!$L$19*DCF_Base!$B$29))/(1+$A$27/100)^DCF_Base!$L$4+Assumptions!$B$5-Assumptions!$B$4)/Assumptions!$B$3*Assumptions!$B$10</f>
        <v>4137.98368191596</v>
      </c>
      <c r="F27" s="0" t="n">
        <f aca="false">(SUMPRODUCT(DCF_Base!$C$19:$L$19/(1+$A$27/100)^DCF_Base!$C$4:$L$4)+MAX(0,MIN(IF($A$27&gt;$F$23,DCF_Base!$L$19*(1+$F$23/100)/(($A$27-$F$23)/100),DCF_Base!$L$19*DCF_Base!$B$29),DCF_Base!$L$19*DCF_Base!$B$29))/(1+$A$27/100)^DCF_Base!$L$4+Assumptions!$B$5-Assumptions!$B$4)/Assumptions!$B$3*Assumptions!$B$10</f>
        <v>4137.98368191596</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3369.48957899167</v>
      </c>
      <c r="C28" s="0" t="n">
        <f aca="false">(SUMPRODUCT(DCF_Base!$C$19:$L$19/(1+$A$28/100)^DCF_Base!$C$4:$L$4)+MAX(0,MIN(IF($A$28&gt;$C$23,DCF_Base!$L$19*(1+$C$23/100)/(($A$28-$C$23)/100),DCF_Base!$L$19*DCF_Base!$B$29),DCF_Base!$L$19*DCF_Base!$B$29))/(1+$A$28/100)^DCF_Base!$L$4+Assumptions!$B$5-Assumptions!$B$4)/Assumptions!$B$3*Assumptions!$B$10</f>
        <v>3464.81577422294</v>
      </c>
      <c r="D28" s="0" t="n">
        <f aca="false">(SUMPRODUCT(DCF_Base!$C$19:$L$19/(1+$A$28/100)^DCF_Base!$C$4:$L$4)+MAX(0,MIN(IF($A$28&gt;$D$23,DCF_Base!$L$19*(1+$D$23/100)/(($A$28-$D$23)/100),DCF_Base!$L$19*DCF_Base!$B$29),DCF_Base!$L$19*DCF_Base!$B$29))/(1+$A$28/100)^DCF_Base!$L$4+Assumptions!$B$5-Assumptions!$B$4)/Assumptions!$B$3*Assumptions!$B$10</f>
        <v>3572.05774385812</v>
      </c>
      <c r="E28" s="0" t="n">
        <f aca="false">(SUMPRODUCT(DCF_Base!$C$19:$L$19/(1+$A$28/100)^DCF_Base!$C$4:$L$4)+MAX(0,MIN(IF($A$28&gt;$E$23,DCF_Base!$L$19*(1+$E$23/100)/(($A$28-$E$23)/100),DCF_Base!$L$19*DCF_Base!$B$29),DCF_Base!$L$19*DCF_Base!$B$29))/(1+$A$28/100)^DCF_Base!$L$4+Assumptions!$B$5-Assumptions!$B$4)/Assumptions!$B$3*Assumptions!$B$10</f>
        <v>3693.59864277799</v>
      </c>
      <c r="F28" s="0" t="n">
        <f aca="false">(SUMPRODUCT(DCF_Base!$C$19:$L$19/(1+$A$28/100)^DCF_Base!$C$4:$L$4)+MAX(0,MIN(IF($A$28&gt;$F$23,DCF_Base!$L$19*(1+$F$23/100)/(($A$28-$F$23)/100),DCF_Base!$L$19*DCF_Base!$B$29),DCF_Base!$L$19*DCF_Base!$B$29))/(1+$A$28/100)^DCF_Base!$L$4+Assumptions!$B$5-Assumptions!$B$4)/Assumptions!$B$3*Assumptions!$B$10</f>
        <v>3832.50252725785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2026-10-31T08:59:43Z</dcterms:created>
  <dc:creator>openpyxl</dc:creator>
  <dc:description/>
  <dc:language>en-NZ</dc:language>
  <cp:lastModifiedBy/>
  <dcterms:modified xsi:type="dcterms:W3CDTF">2026-10-31T08:59:43Z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