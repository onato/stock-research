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<sst xmlns="http://schemas.openxmlformats.org/spreadsheetml/2006/main" count="363" uniqueCount="171">
  <si>
    <t xml:space="preserve">Ticker</t>
  </si>
  <si>
    <t xml:space="preserve">1797.HK</t>
  </si>
  <si>
    <t xml:space="preserve">Company</t>
  </si>
  <si>
    <t xml:space="preserve">East Buy Holding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</si>
  <si>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</si>
  <si>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</si>
  <si>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</si>
  <si>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</si>
  <si>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 (Yahoo Finance chart API); 52-week range 17.59-33.00</t>
  </si>
  <si>
    <t xml:space="preserve">Balance sheet date</t>
  </si>
  <si>
    <t xml:space="preserve">2026-05-31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</si>
  <si>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</si>
  <si>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</si>
  <si>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</si>
  <si>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</si>
  <si>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</si>
  <si>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</si>
  <si>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</si>
  <si>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</si>
  <si>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</si>
  <si>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</si>
  <si>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</si>
  <si>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2026-10-16T18:56:11Z</t>
  </si>
  <si>
    <t xml:space="preserve">Drivers file</t>
  </si>
  <si>
    <t xml:space="preserve">1797.HK_Drivers.json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</si>
  <si>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</si>
  <si>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</si>
  <si>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</si>
  <si>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DCF, SBC fully expensed with a flat fully diluted count, leases charged as an operating cost, cash tax ramped to the 25% statutory rate, and the RMB5.8bn of cash, term deposits and wealth-management products added once in the bridge with none of their income in the flows. Risk is charged once, in the scenario paths and a 30/50/20 weighting, not in a scenario-specific WACC. The terminal multiple is capped at 15x because the business is platform-dependent and has shown single-host fragility. Value is reported in HKD to match the quote, computed in CNY.
key_risks_to_valuation: Key-person dependence: the FY2025 GMV collapse followed one livestreamer's departure; founder Yu Minhong still hosts, and executive/host turnover continued through 2026; Douyin platform concentration: algorithm, fee or policy changes are outside the company's control and the owned APP is a minority of GMV; Margin durability: FY2026's 13.9% EBITDA margin is one year of recovery; the FY2023 27% peak was a traffic phenomenon and FY2025 was 2.3%; Cash tax: HNTE 15% relief for the main subsidiary covered calendar 2023-2025 and renewal is unconfirmed; 5-10% withholding on repatriation; Cash pile valuation: RMB2.6bn of wealth-management products carry non-guaranteed principal and returns; they are taken at book; FX: CNY flows against an HKD quote; the bridge rate is dated 2026-10-16 and is not refreshed by price-only updates</t>
  </si>
  <si>
    <t xml:space="preserve">Data sources</t>
  </si>
  <si>
    <t xml:space="preserve">price: Yahoo Finance chart API, HKEX regular close at inputs.price_as_of; 52-week range 17.59-33.00. FX: Yahoo CNYHKD=X at inputs.fx_rate, same date.
financials: research/1797.HK/Reports/1797.HK_Metrics.csv (FY2018-FY2026 annual plus H1 FY2025 / H1 FY2026, CNY millions) and the FY2026 annual report (research/1797.HK/Extracted/1797.HK_Annual_FY2026.txt): income statement line 7182ff, statement of financial position 7234ff, cash flow statement 7431ff, share capital note 26 (line 10131ff), EPS note 11 (line 9333ff), tax note 7 (line 8987ff), FVTPL note 16 (line 9571ff).
qualitative: research/1797.HK/Reports/1797.HK_Analysis.json (2026-10-17): business model, bull/bear axes, FY2027 qualitative guidance, CMB International margin-pressure flag.</t>
  </si>
  <si>
    <t xml:space="preserve">Scenario narrative: bear</t>
  </si>
  <si>
    <t xml:space="preserve">The key-person and platform fragility demonstrated in FY2025 recurs: another host or executive exit, a scripting-style reputational event, or a Douyin policy change drives a second GMV decline in FY2028, margins compress to 8% and recover only to 10%, and the company settles into low-single-digit growth as one of many private-label sellers on someone else's platform. The business survives on its cash pile but the growth premium in the current price does not.</t>
  </si>
  <si>
    <t xml:space="preserve">Scenario narrative: base</t>
  </si>
  <si>
    <t xml:space="preserve">The product-driven pivot holds: private-label share of GMV keeps rising from 52.6%, the H2 FY2026 acceleration carries into FY2027 (+24%) and fades to mid-single digits by FY2032 as third-party resale shrinks and Douyin remains the dominant channel. Margins recover modestly to 14.5% EBITDA, not to the Dong Yuhui-era 27%. Cash tax normalises to 25% as HNTE relief lapses. The RMB5.8bn monetary pile is carried at face in the bridge and earns nothing in the flows.</t>
  </si>
  <si>
    <t xml:space="preserve">Scenario narrative: bull</t>
  </si>
  <si>
    <t xml:space="preserve">East Buy becomes a durable private-label FMCG brand rather than a livestreaming channel: SPU count keeps compounding, APP membership and offline/instant retail reduce Douyin dependence, gross margin keeps widening with mix, and EBITDA margin reaches 17.5% on revenue that roughly 3.6x's over the decade. Buybacks continue to fund the flat count.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</si>
  <si>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</si>
  <si>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</si>
  <si>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</si>
  <si>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</si>
  <si>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</si>
  <si>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</si>
  <si>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</si>
  <si>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</si>
  <si>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</si>
  <si>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</si>
  <si>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</si>
  <si>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</si>
  <si>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</si>
  <si>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</si>
  <si>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</si>
  <si>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</si>
  <si>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</si>
  <si>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</si>
  <si>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</si>
  <si>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</si>
  <si>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</si>
  <si>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</si>
  <si>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</si>
  <si>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</si>
  <si>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</si>
  <si>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</si>
  <si>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</si>
  <si>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</si>
  <si>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EPSBasic</t>
  </si>
  <si>
    <t xml:space="preserve">NetIncomeContinuing</t>
  </si>
  <si>
    <t xml:space="preserve">NetIncomeIncludingNCI</t>
  </si>
  <si>
    <t xml:space="preserve">ResearchAndDevelopment</t>
  </si>
  <si>
    <t xml:space="preserve">SellingExpense</t>
  </si>
  <si>
    <t xml:space="preserve">ShortTermInvestments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</si>
  <si>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</si>
  <si>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</si>
  <si>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</si>
  <si>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</si>
  <si>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</si>
  <si>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</si>
  <si>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</si>
  <si>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</si>
  <si>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</si>
  <si>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</si>
  <si>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</si>
  <si>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</si>
  <si>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</si>
  <si>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</si>
  <si>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</si>
  <si>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</si>
  <si>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</si>
  <si>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</si>
  <si>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</si>
  <si>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</si>
  <si>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</si>
  <si>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</si>
  <si>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</si>
  <si>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</si>
  <si>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</si>
  <si>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</si>
  <si>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</si>
  <si>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</si>
  <si>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</si>
  <si>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</si>
  <si>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</si>
  <si>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</si>
  <si>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</si>
  <si>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</si>
  <si>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</si>
  <si>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</si>
  <si>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</si>
  <si>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</si>
  <si>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</si>
  <si>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</si>
  <si>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</si>
  <si>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</si>
  <si>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</si>
  <si>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</si>
  <si>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</si>
  <si>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</si>
  <si>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1797.HK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</si>
  <si>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</si>
  <si>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</si>
  <si>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</si>
  <si>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</si>
  <si>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</si>
  <si>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</si>
  <si>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</si>
  <si>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</si>
  <si>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</si>
  <si>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</si>
  <si>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</si>
  <si>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</si>
  <si>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</si>
  <si>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</si>
  <si>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</si>
  <si>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</si>
  <si>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</si>
  <si>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</si>
  <si>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</si>
  <si>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</si>
  <si>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</si>
  <si>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</si>
  <si>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</si>
  <si>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</si>
  <si>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</si>
  <si>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</si>
  <si>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</si>
  <si>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</si>
  <si>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</si>
  <si>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</si>
  <si>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1797.HK owner-FCF component DCF: base case (millions, CNY)</t>
  </si>
  <si>
    <t xml:space="preserve">1797.HK owner-FCF component DCF: bull case (millions, CNY)</t>
  </si>
  <si>
    <t xml:space="preserve">1797.HK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</si>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</sst>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</row>
    <row r="2" customFormat="false" ht="15" hidden="false" customHeight="false" outlineLevel="0" collapsed="false">
      <c r="A2" s="0" t="s">
        <v>71</v>
      </c>
      <c r="B2" s="0" t="n">
        <v>650.457</v>
      </c>
      <c r="C2" s="0" t="n">
        <v>252.531</v>
      </c>
      <c r="D2" s="0" t="n">
        <v>397.926</v>
      </c>
      <c r="E2" s="0" t="n">
        <v>61.2</v>
      </c>
      <c r="F2" s="0" t="n">
        <v>33.09</v>
      </c>
      <c r="G2" s="0" t="n">
        <v>5.1</v>
      </c>
      <c r="I2" s="0" t="n">
        <v>91.375</v>
      </c>
      <c r="J2" s="0" t="n">
        <v>14</v>
      </c>
      <c r="L2" s="0" t="n">
        <v>149.449</v>
      </c>
      <c r="M2" s="0" t="n">
        <v>19.053</v>
      </c>
      <c r="N2" s="0" t="n">
        <v>130.396</v>
      </c>
      <c r="O2" s="0" t="n">
        <v>885.328</v>
      </c>
      <c r="P2" s="0" t="n">
        <v>1420.57</v>
      </c>
      <c r="Q2" s="0" t="n">
        <v>542.385</v>
      </c>
      <c r="S2" s="0" t="n">
        <v>709.448</v>
      </c>
      <c r="U2" s="0" t="n">
        <v>0</v>
      </c>
      <c r="V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72</v>
      </c>
      <c r="B3" s="0" t="n">
        <v>918.911</v>
      </c>
      <c r="C3" s="0" t="n">
        <v>412.502</v>
      </c>
      <c r="D3" s="0" t="n">
        <v>506.409</v>
      </c>
      <c r="E3" s="0" t="n">
        <v>55.1</v>
      </c>
      <c r="F3" s="0" t="n">
        <v>-188.414</v>
      </c>
      <c r="G3" s="0" t="n">
        <v>-20.5</v>
      </c>
      <c r="I3" s="0" t="n">
        <v>-39.773</v>
      </c>
      <c r="J3" s="0" t="n">
        <v>-4.3</v>
      </c>
      <c r="K3" s="0" t="n">
        <v>-0.06</v>
      </c>
      <c r="L3" s="0" t="n">
        <v>-24.711</v>
      </c>
      <c r="M3" s="0" t="n">
        <v>20.83</v>
      </c>
      <c r="N3" s="0" t="n">
        <v>-45.541</v>
      </c>
      <c r="O3" s="0" t="n">
        <v>2601.586</v>
      </c>
      <c r="P3" s="0" t="n">
        <v>3268.593</v>
      </c>
      <c r="Q3" s="0" t="n">
        <v>698.486</v>
      </c>
      <c r="R3" s="0" t="n">
        <v>0</v>
      </c>
      <c r="S3" s="0" t="n">
        <v>2497.621</v>
      </c>
      <c r="T3" s="0" t="n">
        <v>653.237</v>
      </c>
      <c r="U3" s="0" t="n">
        <v>54.221</v>
      </c>
      <c r="V3" s="0" t="n">
        <v>0</v>
      </c>
      <c r="X3" s="0" t="n">
        <v>918.911</v>
      </c>
      <c r="AA3" s="0" t="s">
        <v>18</v>
      </c>
      <c r="AB3" s="0" t="s">
        <v>14</v>
      </c>
      <c r="AD3" s="0" t="n">
        <v>-0.06</v>
      </c>
      <c r="AF3" s="0" t="n">
        <v>-64.109</v>
      </c>
      <c r="AI3" s="0" t="n">
        <v>352.943</v>
      </c>
    </row>
    <row r="4" customFormat="false" ht="15" hidden="false" customHeight="false" outlineLevel="0" collapsed="false">
      <c r="A4" s="0" t="s">
        <v>73</v>
      </c>
      <c r="B4" s="0" t="n">
        <v>1080.587</v>
      </c>
      <c r="C4" s="0" t="n">
        <v>587.501</v>
      </c>
      <c r="D4" s="0" t="n">
        <v>493.086</v>
      </c>
      <c r="E4" s="0" t="n">
        <v>45.6</v>
      </c>
      <c r="F4" s="0" t="n">
        <v>-881.185</v>
      </c>
      <c r="G4" s="0" t="n">
        <v>-81.5</v>
      </c>
      <c r="I4" s="0" t="n">
        <v>-742.005</v>
      </c>
      <c r="J4" s="0" t="n">
        <v>-68.7</v>
      </c>
      <c r="K4" s="0" t="n">
        <v>-0.79</v>
      </c>
      <c r="L4" s="0" t="n">
        <v>-521.434</v>
      </c>
      <c r="M4" s="0" t="n">
        <v>79.843</v>
      </c>
      <c r="N4" s="0" t="n">
        <v>-601.277</v>
      </c>
      <c r="O4" s="0" t="n">
        <v>1863.7</v>
      </c>
      <c r="P4" s="0" t="n">
        <v>3049.244</v>
      </c>
      <c r="Q4" s="0" t="n">
        <v>1185.544</v>
      </c>
      <c r="S4" s="0" t="n">
        <v>480.251</v>
      </c>
      <c r="T4" s="0" t="n">
        <v>937.803</v>
      </c>
      <c r="U4" s="0" t="n">
        <v>120.496</v>
      </c>
      <c r="V4" s="0" t="n">
        <v>0</v>
      </c>
      <c r="X4" s="0" t="n">
        <v>1080.587</v>
      </c>
      <c r="AA4" s="0" t="s">
        <v>18</v>
      </c>
      <c r="AB4" s="0" t="s">
        <v>14</v>
      </c>
      <c r="AD4" s="0" t="n">
        <v>-0.79</v>
      </c>
      <c r="AF4" s="0" t="n">
        <v>-758.239</v>
      </c>
      <c r="AI4" s="0" t="n">
        <v>1748.33</v>
      </c>
    </row>
    <row r="5" customFormat="false" ht="15" hidden="false" customHeight="false" outlineLevel="0" collapsed="false">
      <c r="A5" s="0" t="s">
        <v>74</v>
      </c>
      <c r="B5" s="0" t="n">
        <v>1418.655</v>
      </c>
      <c r="C5" s="0" t="n">
        <v>1006.447</v>
      </c>
      <c r="D5" s="0" t="n">
        <v>412.208</v>
      </c>
      <c r="E5" s="0" t="n">
        <v>29.1</v>
      </c>
      <c r="F5" s="0" t="n">
        <v>-1480.227</v>
      </c>
      <c r="G5" s="0" t="n">
        <v>-104.3</v>
      </c>
      <c r="I5" s="0" t="n">
        <v>-1658.392</v>
      </c>
      <c r="J5" s="0" t="n">
        <v>-116.9</v>
      </c>
      <c r="K5" s="0" t="n">
        <v>-1.72</v>
      </c>
      <c r="L5" s="0" t="n">
        <v>-913.675</v>
      </c>
      <c r="M5" s="0" t="n">
        <v>118.131</v>
      </c>
      <c r="N5" s="0" t="n">
        <v>-1031.806</v>
      </c>
      <c r="O5" s="0" t="n">
        <v>2008.872</v>
      </c>
      <c r="P5" s="0" t="n">
        <v>3285.318</v>
      </c>
      <c r="Q5" s="0" t="n">
        <v>1276.446</v>
      </c>
      <c r="S5" s="0" t="n">
        <v>1519.564</v>
      </c>
      <c r="T5" s="0" t="n">
        <v>966.046</v>
      </c>
      <c r="U5" s="0" t="n">
        <v>280.738</v>
      </c>
      <c r="V5" s="0" t="n">
        <v>0</v>
      </c>
      <c r="AA5" s="0" t="s">
        <v>18</v>
      </c>
      <c r="AB5" s="0" t="s">
        <v>14</v>
      </c>
      <c r="AD5" s="0" t="n">
        <v>-1.72</v>
      </c>
      <c r="AF5" s="0" t="n">
        <v>-1658.392</v>
      </c>
      <c r="AI5" s="0" t="n">
        <v>940.884</v>
      </c>
    </row>
    <row r="6" customFormat="false" ht="15" hidden="false" customHeight="false" outlineLevel="0" collapsed="false">
      <c r="A6" s="0" t="s">
        <v>75</v>
      </c>
      <c r="B6" s="0" t="n">
        <v>898.535</v>
      </c>
      <c r="C6" s="0" t="n">
        <v>485.044</v>
      </c>
      <c r="D6" s="0" t="n">
        <v>413.491</v>
      </c>
      <c r="E6" s="0" t="n">
        <v>46</v>
      </c>
      <c r="F6" s="0" t="n">
        <v>-579.571</v>
      </c>
      <c r="G6" s="0" t="n">
        <v>-64.5</v>
      </c>
      <c r="I6" s="0" t="n">
        <v>-533.954</v>
      </c>
      <c r="J6" s="0" t="n">
        <v>-59.4</v>
      </c>
      <c r="K6" s="0" t="n">
        <v>-0.53</v>
      </c>
      <c r="L6" s="0" t="n">
        <v>-918.068</v>
      </c>
      <c r="M6" s="0" t="n">
        <v>20.333</v>
      </c>
      <c r="N6" s="0" t="n">
        <v>-938.401</v>
      </c>
      <c r="O6" s="0" t="n">
        <v>1641.008</v>
      </c>
      <c r="P6" s="0" t="n">
        <v>2059.393</v>
      </c>
      <c r="Q6" s="0" t="n">
        <v>418.385</v>
      </c>
      <c r="R6" s="0" t="n">
        <v>0</v>
      </c>
      <c r="S6" s="0" t="n">
        <v>547.445</v>
      </c>
      <c r="T6" s="0" t="n">
        <v>1000.707</v>
      </c>
      <c r="U6" s="0" t="n">
        <v>164.969</v>
      </c>
      <c r="V6" s="0" t="n">
        <v>0</v>
      </c>
      <c r="X6" s="0" t="n">
        <v>600.526</v>
      </c>
      <c r="AA6" s="0" t="s">
        <v>18</v>
      </c>
      <c r="AB6" s="0" t="s">
        <v>14</v>
      </c>
      <c r="AD6" s="0" t="n">
        <v>-0.53</v>
      </c>
      <c r="AE6" s="0" t="n">
        <v>-70.984</v>
      </c>
      <c r="AF6" s="0" t="n">
        <v>-533.964</v>
      </c>
      <c r="AI6" s="0" t="n">
        <v>1041.637</v>
      </c>
    </row>
    <row r="7" customFormat="false" ht="15" hidden="false" customHeight="false" outlineLevel="0" collapsed="false">
      <c r="A7" s="0" t="s">
        <v>76</v>
      </c>
      <c r="B7" s="0" t="n">
        <v>4509.849</v>
      </c>
      <c r="C7" s="0" t="n">
        <v>2555.08</v>
      </c>
      <c r="D7" s="0" t="n">
        <v>1954.769</v>
      </c>
      <c r="E7" s="0" t="n">
        <v>43.3</v>
      </c>
      <c r="F7" s="0" t="n">
        <v>1070.815</v>
      </c>
      <c r="G7" s="0" t="n">
        <v>23.7</v>
      </c>
      <c r="I7" s="0" t="n">
        <v>971.286</v>
      </c>
      <c r="J7" s="0" t="n">
        <v>21.5</v>
      </c>
      <c r="K7" s="0" t="n">
        <v>0.91</v>
      </c>
      <c r="L7" s="0" t="n">
        <v>1264.43</v>
      </c>
      <c r="M7" s="0" t="n">
        <v>12.827</v>
      </c>
      <c r="N7" s="0" t="n">
        <v>1251.603</v>
      </c>
      <c r="O7" s="0" t="n">
        <v>2803.808</v>
      </c>
      <c r="P7" s="0" t="n">
        <v>3852.938</v>
      </c>
      <c r="Q7" s="0" t="n">
        <v>1049.13</v>
      </c>
      <c r="R7" s="0" t="n">
        <v>0</v>
      </c>
      <c r="S7" s="0" t="n">
        <v>1165.137</v>
      </c>
      <c r="T7" s="0" t="n">
        <v>1064.502</v>
      </c>
      <c r="U7" s="0" t="n">
        <v>103.667</v>
      </c>
      <c r="V7" s="0" t="n">
        <v>0</v>
      </c>
      <c r="X7" s="0" t="n">
        <v>4509.849</v>
      </c>
      <c r="AA7" s="0" t="s">
        <v>18</v>
      </c>
      <c r="AB7" s="0" t="s">
        <v>14</v>
      </c>
      <c r="AC7" s="0" t="n">
        <v>1207.454</v>
      </c>
      <c r="AD7" s="0" t="n">
        <v>0.97</v>
      </c>
      <c r="AE7" s="0" t="n">
        <v>971.286</v>
      </c>
      <c r="AF7" s="0" t="n">
        <v>971.286</v>
      </c>
      <c r="AG7" s="0" t="n">
        <v>109.467</v>
      </c>
      <c r="AH7" s="0" t="n">
        <v>620.271</v>
      </c>
      <c r="AI7" s="0" t="n">
        <v>1834.297</v>
      </c>
    </row>
    <row r="8" customFormat="false" ht="15" hidden="false" customHeight="false" outlineLevel="0" collapsed="false">
      <c r="A8" s="0" t="s">
        <v>77</v>
      </c>
      <c r="B8" s="0" t="n">
        <v>6525.551</v>
      </c>
      <c r="C8" s="0" t="n">
        <v>4833.54</v>
      </c>
      <c r="D8" s="0" t="n">
        <v>1692.011</v>
      </c>
      <c r="E8" s="0" t="n">
        <v>25.9</v>
      </c>
      <c r="F8" s="0" t="n">
        <v>419.948</v>
      </c>
      <c r="G8" s="0" t="n">
        <v>6.4</v>
      </c>
      <c r="I8" s="0" t="n">
        <v>1719.503</v>
      </c>
      <c r="J8" s="0" t="n">
        <v>26.4</v>
      </c>
      <c r="K8" s="0" t="n">
        <v>1.61</v>
      </c>
      <c r="L8" s="0" t="n">
        <v>856.088</v>
      </c>
      <c r="M8" s="0" t="n">
        <v>35.858</v>
      </c>
      <c r="N8" s="0" t="n">
        <v>820.23</v>
      </c>
      <c r="O8" s="0" t="n">
        <v>4969.216</v>
      </c>
      <c r="P8" s="0" t="n">
        <v>6541.519</v>
      </c>
      <c r="Q8" s="0" t="n">
        <v>1571.898</v>
      </c>
      <c r="R8" s="0" t="n">
        <v>0</v>
      </c>
      <c r="S8" s="0" t="n">
        <v>2262.464</v>
      </c>
      <c r="T8" s="0" t="n">
        <v>1067.324</v>
      </c>
      <c r="U8" s="0" t="n">
        <v>417.908</v>
      </c>
      <c r="V8" s="0" t="n">
        <v>0</v>
      </c>
      <c r="X8" s="0" t="n">
        <v>6525.551</v>
      </c>
      <c r="AA8" s="0" t="s">
        <v>18</v>
      </c>
      <c r="AB8" s="0" t="s">
        <v>14</v>
      </c>
      <c r="AC8" s="0" t="n">
        <v>773.76</v>
      </c>
      <c r="AD8" s="0" t="n">
        <v>1.68</v>
      </c>
      <c r="AE8" s="0" t="n">
        <v>249.14</v>
      </c>
      <c r="AF8" s="0" t="n">
        <v>1719.508</v>
      </c>
      <c r="AG8" s="0" t="n">
        <v>131.593</v>
      </c>
      <c r="AH8" s="0" t="n">
        <v>866.068</v>
      </c>
    </row>
    <row r="9" customFormat="false" ht="15" hidden="false" customHeight="false" outlineLevel="0" collapsed="false">
      <c r="A9" s="0" t="s">
        <v>78</v>
      </c>
      <c r="B9" s="0" t="n">
        <v>4392.071</v>
      </c>
      <c r="C9" s="0" t="n">
        <v>2988.03</v>
      </c>
      <c r="D9" s="0" t="n">
        <v>1404.041</v>
      </c>
      <c r="E9" s="0" t="n">
        <v>32</v>
      </c>
      <c r="F9" s="0" t="n">
        <v>-109.884</v>
      </c>
      <c r="G9" s="0" t="n">
        <v>-2.5</v>
      </c>
      <c r="I9" s="0" t="n">
        <v>5.735</v>
      </c>
      <c r="J9" s="0" t="n">
        <v>0.1</v>
      </c>
      <c r="K9" s="0" t="n">
        <v>0.01</v>
      </c>
      <c r="L9" s="0" t="n">
        <v>89.292</v>
      </c>
      <c r="M9" s="0" t="n">
        <v>25.83</v>
      </c>
      <c r="N9" s="0" t="n">
        <v>63.462</v>
      </c>
      <c r="O9" s="0" t="n">
        <v>5117.097</v>
      </c>
      <c r="P9" s="0" t="n">
        <v>6092.513</v>
      </c>
      <c r="Q9" s="0" t="n">
        <v>974.555</v>
      </c>
      <c r="R9" s="0" t="n">
        <v>0</v>
      </c>
      <c r="S9" s="0" t="n">
        <v>2499.539</v>
      </c>
      <c r="T9" s="0" t="n">
        <v>1061.798</v>
      </c>
      <c r="U9" s="0" t="n">
        <v>160.653</v>
      </c>
      <c r="V9" s="0" t="n">
        <v>0</v>
      </c>
      <c r="X9" s="0" t="n">
        <v>4392.071</v>
      </c>
      <c r="AA9" s="0" t="s">
        <v>18</v>
      </c>
      <c r="AB9" s="0" t="s">
        <v>14</v>
      </c>
      <c r="AC9" s="0" t="n">
        <v>98.893</v>
      </c>
      <c r="AD9" s="0" t="n">
        <v>0.01</v>
      </c>
      <c r="AF9" s="0" t="n">
        <v>6.191</v>
      </c>
      <c r="AG9" s="0" t="n">
        <v>126.998</v>
      </c>
      <c r="AH9" s="0" t="n">
        <v>902.11</v>
      </c>
      <c r="AI9" s="0" t="n">
        <v>2518.249</v>
      </c>
    </row>
    <row r="10" customFormat="false" ht="15" hidden="false" customHeight="false" outlineLevel="0" collapsed="false">
      <c r="A10" s="0" t="s">
        <v>79</v>
      </c>
      <c r="B10" s="0" t="n">
        <v>5701.007</v>
      </c>
      <c r="C10" s="0" t="n">
        <v>3662.176</v>
      </c>
      <c r="D10" s="0" t="n">
        <v>2038.831</v>
      </c>
      <c r="E10" s="0" t="n">
        <v>35.8</v>
      </c>
      <c r="F10" s="0" t="n">
        <v>663.391</v>
      </c>
      <c r="G10" s="0" t="n">
        <v>11.6</v>
      </c>
      <c r="I10" s="0" t="n">
        <v>543.549</v>
      </c>
      <c r="J10" s="0" t="n">
        <v>9.5</v>
      </c>
      <c r="K10" s="0" t="n">
        <v>0.51</v>
      </c>
      <c r="L10" s="0" t="n">
        <v>802.193</v>
      </c>
      <c r="M10" s="0" t="n">
        <v>6.841</v>
      </c>
      <c r="N10" s="0" t="n">
        <v>795.352</v>
      </c>
      <c r="O10" s="0" t="n">
        <v>5616.054</v>
      </c>
      <c r="P10" s="0" t="n">
        <v>6940.228</v>
      </c>
      <c r="Q10" s="0" t="n">
        <v>1322.992</v>
      </c>
      <c r="R10" s="0" t="n">
        <v>0</v>
      </c>
      <c r="S10" s="0" t="n">
        <v>1701.445</v>
      </c>
      <c r="T10" s="0" t="n">
        <v>1071.759</v>
      </c>
      <c r="U10" s="0" t="n">
        <v>81.081</v>
      </c>
      <c r="V10" s="0" t="n">
        <v>0</v>
      </c>
      <c r="X10" s="0" t="n">
        <v>5701.007</v>
      </c>
      <c r="AA10" s="0" t="s">
        <v>18</v>
      </c>
      <c r="AB10" s="0" t="s">
        <v>14</v>
      </c>
      <c r="AC10" s="0" t="n">
        <v>792.619</v>
      </c>
      <c r="AD10" s="0" t="n">
        <v>0.52</v>
      </c>
      <c r="AF10" s="0" t="n">
        <v>543.87</v>
      </c>
      <c r="AG10" s="0" t="n">
        <v>108.259</v>
      </c>
      <c r="AH10" s="0" t="n">
        <v>1078.282</v>
      </c>
      <c r="AI10" s="0" t="n">
        <v>3628.29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28.7</v>
      </c>
    </row>
    <row r="3" customFormat="false" ht="15" hidden="false" customHeight="false" outlineLevel="0" collapsed="false">
      <c r="A3" s="0" t="s">
        <v>83</v>
      </c>
      <c r="B3" s="3" t="n">
        <v>1073.21</v>
      </c>
    </row>
    <row r="4" customFormat="false" ht="15" hidden="false" customHeight="false" outlineLevel="0" collapsed="false">
      <c r="A4" s="0" t="s">
        <v>84</v>
      </c>
      <c r="B4" s="3" t="n">
        <v>-5813.5</v>
      </c>
    </row>
    <row r="5" customFormat="false" ht="15" hidden="false" customHeight="false" outlineLevel="0" collapsed="false">
      <c r="A5" s="0" t="s">
        <v>85</v>
      </c>
      <c r="B5" s="3" t="n">
        <v>48.8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5701.007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1.1726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8</v>
      </c>
      <c r="D13" s="3" t="n">
        <v>-5</v>
      </c>
      <c r="E13" s="3" t="n">
        <v>3</v>
      </c>
      <c r="F13" s="3" t="n">
        <v>4</v>
      </c>
      <c r="G13" s="3" t="n">
        <v>4</v>
      </c>
      <c r="H13" s="3" t="n">
        <v>4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104</v>
      </c>
      <c r="C14" s="3" t="n">
        <v>11</v>
      </c>
      <c r="D14" s="3" t="n">
        <v>8</v>
      </c>
      <c r="E14" s="3" t="n">
        <v>9</v>
      </c>
      <c r="F14" s="3" t="n">
        <v>9.5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105</v>
      </c>
      <c r="C15" s="3" t="n">
        <v>1.6</v>
      </c>
      <c r="D15" s="3" t="n">
        <v>1.8</v>
      </c>
      <c r="E15" s="3" t="n">
        <v>1.8</v>
      </c>
      <c r="F15" s="3" t="n">
        <v>1.7</v>
      </c>
      <c r="G15" s="3" t="n">
        <v>1.6</v>
      </c>
      <c r="H15" s="3" t="n">
        <v>1.5</v>
      </c>
      <c r="I15" s="3" t="n">
        <v>1.4</v>
      </c>
      <c r="J15" s="3" t="n">
        <v>1.3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106</v>
      </c>
      <c r="C16" s="3" t="n">
        <v>0.7</v>
      </c>
      <c r="D16" s="3" t="n">
        <v>0.7</v>
      </c>
      <c r="E16" s="3" t="n">
        <v>0.7</v>
      </c>
      <c r="F16" s="3" t="n">
        <v>0.7</v>
      </c>
      <c r="G16" s="3" t="n">
        <v>0.7</v>
      </c>
      <c r="H16" s="3" t="n">
        <v>0.7</v>
      </c>
      <c r="I16" s="3" t="n">
        <v>0.7</v>
      </c>
      <c r="J16" s="3" t="n">
        <v>0.7</v>
      </c>
      <c r="K16" s="3" t="n">
        <v>0.7</v>
      </c>
      <c r="L16" s="3" t="n">
        <v>0.7</v>
      </c>
    </row>
    <row r="17" customFormat="false" ht="15" hidden="false" customHeight="false" outlineLevel="0" collapsed="false">
      <c r="A17" s="0" t="s">
        <v>107</v>
      </c>
      <c r="C17" s="3" t="n">
        <v>0.3</v>
      </c>
      <c r="D17" s="3" t="n">
        <v>0.35</v>
      </c>
      <c r="E17" s="3" t="n">
        <v>0.4</v>
      </c>
      <c r="F17" s="3" t="n">
        <v>0.4</v>
      </c>
      <c r="G17" s="3" t="n">
        <v>0.4</v>
      </c>
      <c r="H17" s="3" t="n">
        <v>0.4</v>
      </c>
      <c r="I17" s="3" t="n">
        <v>0.4</v>
      </c>
      <c r="J17" s="3" t="n">
        <v>0.4</v>
      </c>
      <c r="K17" s="3" t="n">
        <v>0.4</v>
      </c>
      <c r="L17" s="3" t="n">
        <v>0.4</v>
      </c>
    </row>
    <row r="18" customFormat="false" ht="15" hidden="false" customHeight="false" outlineLevel="0" collapsed="false">
      <c r="A18" s="0" t="s">
        <v>108</v>
      </c>
      <c r="C18" s="3" t="n">
        <v>0.4</v>
      </c>
      <c r="D18" s="3" t="n">
        <v>0.4</v>
      </c>
      <c r="E18" s="3" t="n">
        <v>0.4</v>
      </c>
      <c r="F18" s="3" t="n">
        <v>0.4</v>
      </c>
      <c r="G18" s="3" t="n">
        <v>0.4</v>
      </c>
      <c r="H18" s="3" t="n">
        <v>0.4</v>
      </c>
      <c r="I18" s="3" t="n">
        <v>0.4</v>
      </c>
      <c r="J18" s="3" t="n">
        <v>0.4</v>
      </c>
      <c r="K18" s="3" t="n">
        <v>0.4</v>
      </c>
      <c r="L18" s="3" t="n">
        <v>0.4</v>
      </c>
    </row>
    <row r="19" customFormat="false" ht="15" hidden="false" customHeight="false" outlineLevel="0" collapsed="false">
      <c r="A19" s="0" t="s">
        <v>109</v>
      </c>
      <c r="C19" s="3" t="n">
        <v>22</v>
      </c>
      <c r="D19" s="3" t="n">
        <v>23</v>
      </c>
      <c r="E19" s="3" t="n">
        <v>24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110</v>
      </c>
      <c r="B20" s="3" t="n">
        <v>10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15</v>
      </c>
    </row>
    <row r="23" customFormat="false" ht="15" hidden="false" customHeight="false" outlineLevel="0" collapsed="false">
      <c r="A23" s="0" t="s">
        <v>113</v>
      </c>
      <c r="B23" s="3" t="n">
        <v>3</v>
      </c>
    </row>
    <row r="24" customFormat="false" ht="15" hidden="false" customHeight="false" outlineLevel="0" collapsed="false">
      <c r="A24" s="0" t="s">
        <v>114</v>
      </c>
      <c r="B24" s="3" t="n">
        <v>0.3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24</v>
      </c>
      <c r="D27" s="3" t="n">
        <v>14</v>
      </c>
      <c r="E27" s="3" t="n">
        <v>10</v>
      </c>
      <c r="F27" s="3" t="n">
        <v>8</v>
      </c>
      <c r="G27" s="3" t="n">
        <v>6</v>
      </c>
      <c r="H27" s="3" t="n">
        <v>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104</v>
      </c>
      <c r="C28" s="3" t="n">
        <v>13.5</v>
      </c>
      <c r="D28" s="3" t="n">
        <v>13.8</v>
      </c>
      <c r="E28" s="3" t="n">
        <v>14</v>
      </c>
      <c r="F28" s="3" t="n">
        <v>14.2</v>
      </c>
      <c r="G28" s="3" t="n">
        <v>14.5</v>
      </c>
      <c r="H28" s="3" t="n">
        <v>14.5</v>
      </c>
      <c r="I28" s="3" t="n">
        <v>14.5</v>
      </c>
      <c r="J28" s="3" t="n">
        <v>14.5</v>
      </c>
      <c r="K28" s="3" t="n">
        <v>14.5</v>
      </c>
      <c r="L28" s="3" t="n">
        <v>14.5</v>
      </c>
    </row>
    <row r="29" customFormat="false" ht="15" hidden="false" customHeight="false" outlineLevel="0" collapsed="false">
      <c r="A29" s="0" t="s">
        <v>105</v>
      </c>
      <c r="C29" s="3" t="n">
        <v>1.4</v>
      </c>
      <c r="D29" s="3" t="n">
        <v>1.35</v>
      </c>
      <c r="E29" s="3" t="n">
        <v>1.3</v>
      </c>
      <c r="F29" s="3" t="n">
        <v>1.25</v>
      </c>
      <c r="G29" s="3" t="n">
        <v>1.2</v>
      </c>
      <c r="H29" s="3" t="n">
        <v>1.15</v>
      </c>
      <c r="I29" s="3" t="n">
        <v>1.1</v>
      </c>
      <c r="J29" s="3" t="n">
        <v>1.05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106</v>
      </c>
      <c r="C30" s="3" t="n">
        <v>0.65</v>
      </c>
      <c r="D30" s="3" t="n">
        <v>0.65</v>
      </c>
      <c r="E30" s="3" t="n">
        <v>0.65</v>
      </c>
      <c r="F30" s="3" t="n">
        <v>0.65</v>
      </c>
      <c r="G30" s="3" t="n">
        <v>0.65</v>
      </c>
      <c r="H30" s="3" t="n">
        <v>0.65</v>
      </c>
      <c r="I30" s="3" t="n">
        <v>0.65</v>
      </c>
      <c r="J30" s="3" t="n">
        <v>0.65</v>
      </c>
      <c r="K30" s="3" t="n">
        <v>0.65</v>
      </c>
      <c r="L30" s="3" t="n">
        <v>0.65</v>
      </c>
    </row>
    <row r="31" customFormat="false" ht="15" hidden="false" customHeight="false" outlineLevel="0" collapsed="false">
      <c r="A31" s="0" t="s">
        <v>107</v>
      </c>
      <c r="C31" s="3" t="n">
        <v>0.3</v>
      </c>
      <c r="D31" s="3" t="n">
        <v>0.35</v>
      </c>
      <c r="E31" s="3" t="n">
        <v>0.4</v>
      </c>
      <c r="F31" s="3" t="n">
        <v>0.45</v>
      </c>
      <c r="G31" s="3" t="n">
        <v>0.5</v>
      </c>
      <c r="H31" s="3" t="n">
        <v>0.5</v>
      </c>
      <c r="I31" s="3" t="n">
        <v>0.5</v>
      </c>
      <c r="J31" s="3" t="n">
        <v>0.5</v>
      </c>
      <c r="K31" s="3" t="n">
        <v>0.5</v>
      </c>
      <c r="L31" s="3" t="n">
        <v>0.5</v>
      </c>
    </row>
    <row r="32" customFormat="false" ht="15" hidden="false" customHeight="false" outlineLevel="0" collapsed="false">
      <c r="A32" s="0" t="s">
        <v>108</v>
      </c>
      <c r="C32" s="3" t="n">
        <v>0.5</v>
      </c>
      <c r="D32" s="3" t="n">
        <v>0.5</v>
      </c>
      <c r="E32" s="3" t="n">
        <v>0.5</v>
      </c>
      <c r="F32" s="3" t="n">
        <v>0.5</v>
      </c>
      <c r="G32" s="3" t="n">
        <v>0.5</v>
      </c>
      <c r="H32" s="3" t="n">
        <v>0.5</v>
      </c>
      <c r="I32" s="3" t="n">
        <v>0.5</v>
      </c>
      <c r="J32" s="3" t="n">
        <v>0.5</v>
      </c>
      <c r="K32" s="3" t="n">
        <v>0.5</v>
      </c>
      <c r="L32" s="3" t="n">
        <v>0.5</v>
      </c>
    </row>
    <row r="33" customFormat="false" ht="15" hidden="false" customHeight="false" outlineLevel="0" collapsed="false">
      <c r="A33" s="0" t="s">
        <v>109</v>
      </c>
      <c r="C33" s="3" t="n">
        <v>22</v>
      </c>
      <c r="D33" s="3" t="n">
        <v>23</v>
      </c>
      <c r="E33" s="3" t="n">
        <v>24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110</v>
      </c>
      <c r="B34" s="3" t="n">
        <v>10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15</v>
      </c>
    </row>
    <row r="37" customFormat="false" ht="15" hidden="false" customHeight="false" outlineLevel="0" collapsed="false">
      <c r="A37" s="0" t="s">
        <v>113</v>
      </c>
      <c r="B37" s="3" t="n">
        <v>5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36</v>
      </c>
      <c r="D41" s="3" t="n">
        <v>24</v>
      </c>
      <c r="E41" s="3" t="n">
        <v>17</v>
      </c>
      <c r="F41" s="3" t="n">
        <v>13</v>
      </c>
      <c r="G41" s="3" t="n">
        <v>10</v>
      </c>
      <c r="H41" s="3" t="n">
        <v>8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104</v>
      </c>
      <c r="C42" s="3" t="n">
        <v>14.5</v>
      </c>
      <c r="D42" s="3" t="n">
        <v>15.2</v>
      </c>
      <c r="E42" s="3" t="n">
        <v>15.8</v>
      </c>
      <c r="F42" s="3" t="n">
        <v>16.3</v>
      </c>
      <c r="G42" s="3" t="n">
        <v>16.8</v>
      </c>
      <c r="H42" s="3" t="n">
        <v>17.2</v>
      </c>
      <c r="I42" s="3" t="n">
        <v>17.5</v>
      </c>
      <c r="J42" s="3" t="n">
        <v>17.5</v>
      </c>
      <c r="K42" s="3" t="n">
        <v>17.5</v>
      </c>
      <c r="L42" s="3" t="n">
        <v>17.5</v>
      </c>
    </row>
    <row r="43" customFormat="false" ht="15" hidden="false" customHeight="false" outlineLevel="0" collapsed="false">
      <c r="A43" s="0" t="s">
        <v>105</v>
      </c>
      <c r="C43" s="3" t="n">
        <v>1.4</v>
      </c>
      <c r="D43" s="3" t="n">
        <v>1.35</v>
      </c>
      <c r="E43" s="3" t="n">
        <v>1.3</v>
      </c>
      <c r="F43" s="3" t="n">
        <v>1.25</v>
      </c>
      <c r="G43" s="3" t="n">
        <v>1.2</v>
      </c>
      <c r="H43" s="3" t="n">
        <v>1.15</v>
      </c>
      <c r="I43" s="3" t="n">
        <v>1.1</v>
      </c>
      <c r="J43" s="3" t="n">
        <v>1.05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106</v>
      </c>
      <c r="C44" s="3" t="n">
        <v>0.65</v>
      </c>
      <c r="D44" s="3" t="n">
        <v>0.65</v>
      </c>
      <c r="E44" s="3" t="n">
        <v>0.65</v>
      </c>
      <c r="F44" s="3" t="n">
        <v>0.65</v>
      </c>
      <c r="G44" s="3" t="n">
        <v>0.65</v>
      </c>
      <c r="H44" s="3" t="n">
        <v>0.65</v>
      </c>
      <c r="I44" s="3" t="n">
        <v>0.65</v>
      </c>
      <c r="J44" s="3" t="n">
        <v>0.65</v>
      </c>
      <c r="K44" s="3" t="n">
        <v>0.65</v>
      </c>
      <c r="L44" s="3" t="n">
        <v>0.65</v>
      </c>
    </row>
    <row r="45" customFormat="false" ht="15" hidden="false" customHeight="false" outlineLevel="0" collapsed="false">
      <c r="A45" s="0" t="s">
        <v>107</v>
      </c>
      <c r="C45" s="3" t="n">
        <v>0.3</v>
      </c>
      <c r="D45" s="3" t="n">
        <v>0.4</v>
      </c>
      <c r="E45" s="3" t="n">
        <v>0.5</v>
      </c>
      <c r="F45" s="3" t="n">
        <v>0.6</v>
      </c>
      <c r="G45" s="3" t="n">
        <v>0.7</v>
      </c>
      <c r="H45" s="3" t="n">
        <v>0.7</v>
      </c>
      <c r="I45" s="3" t="n">
        <v>0.7</v>
      </c>
      <c r="J45" s="3" t="n">
        <v>0.7</v>
      </c>
      <c r="K45" s="3" t="n">
        <v>0.7</v>
      </c>
      <c r="L45" s="3" t="n">
        <v>0.7</v>
      </c>
    </row>
    <row r="46" customFormat="false" ht="15" hidden="false" customHeight="false" outlineLevel="0" collapsed="false">
      <c r="A46" s="0" t="s">
        <v>108</v>
      </c>
      <c r="C46" s="3" t="n">
        <v>0.7</v>
      </c>
      <c r="D46" s="3" t="n">
        <v>0.7</v>
      </c>
      <c r="E46" s="3" t="n">
        <v>0.7</v>
      </c>
      <c r="F46" s="3" t="n">
        <v>0.7</v>
      </c>
      <c r="G46" s="3" t="n">
        <v>0.7</v>
      </c>
      <c r="H46" s="3" t="n">
        <v>0.7</v>
      </c>
      <c r="I46" s="3" t="n">
        <v>0.7</v>
      </c>
      <c r="J46" s="3" t="n">
        <v>0.7</v>
      </c>
      <c r="K46" s="3" t="n">
        <v>0.7</v>
      </c>
      <c r="L46" s="3" t="n">
        <v>0.7</v>
      </c>
    </row>
    <row r="47" customFormat="false" ht="15" hidden="false" customHeight="false" outlineLevel="0" collapsed="false">
      <c r="A47" s="0" t="s">
        <v>109</v>
      </c>
      <c r="C47" s="3" t="n">
        <v>22</v>
      </c>
      <c r="D47" s="3" t="n">
        <v>23</v>
      </c>
      <c r="E47" s="3" t="n">
        <v>24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110</v>
      </c>
      <c r="B48" s="3" t="n">
        <v>10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15</v>
      </c>
    </row>
    <row r="51" customFormat="false" ht="15" hidden="false" customHeight="false" outlineLevel="0" collapsed="false">
      <c r="A51" s="0" t="s">
        <v>113</v>
      </c>
      <c r="B51" s="3" t="n">
        <v>8</v>
      </c>
    </row>
    <row r="52" customFormat="false" ht="15" hidden="false" customHeight="false" outlineLevel="0" collapsed="false">
      <c r="A52" s="0" t="s">
        <v>114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8</v>
      </c>
      <c r="D5" s="4" t="n">
        <f aca="false">Assumptions!D13</f>
        <v>-5</v>
      </c>
      <c r="E5" s="4" t="n">
        <f aca="false">Assumptions!E13</f>
        <v>3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5701.007</v>
      </c>
      <c r="C6" s="0" t="n">
        <f aca="false">B6*(1+C5/100)</f>
        <v>6157.08756</v>
      </c>
      <c r="D6" s="0" t="n">
        <f aca="false">C6*(1+D5/100)</f>
        <v>5849.233182</v>
      </c>
      <c r="E6" s="0" t="n">
        <f aca="false">D6*(1+E5/100)</f>
        <v>6024.71017746</v>
      </c>
      <c r="F6" s="0" t="n">
        <f aca="false">E6*(1+F5/100)</f>
        <v>6265.6985845584</v>
      </c>
      <c r="G6" s="0" t="n">
        <f aca="false">F6*(1+G5/100)</f>
        <v>6516.32652794074</v>
      </c>
      <c r="H6" s="0" t="n">
        <f aca="false">G6*(1+H5/100)</f>
        <v>6776.97958905837</v>
      </c>
      <c r="I6" s="0" t="n">
        <f aca="false">H6*(1+I5/100)</f>
        <v>6980.28897673012</v>
      </c>
      <c r="J6" s="0" t="n">
        <f aca="false">I6*(1+J5/100)</f>
        <v>7189.69764603202</v>
      </c>
      <c r="K6" s="0" t="n">
        <f aca="false">J6*(1+K5/100)</f>
        <v>7405.38857541298</v>
      </c>
      <c r="L6" s="0" t="n">
        <f aca="false">K6*(1+L5/100)</f>
        <v>7627.55023267537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11</v>
      </c>
      <c r="D7" s="4" t="n">
        <f aca="false">Assumptions!D14</f>
        <v>8</v>
      </c>
      <c r="E7" s="4" t="n">
        <f aca="false">Assumptions!E14</f>
        <v>9</v>
      </c>
      <c r="F7" s="4" t="n">
        <f aca="false">Assumptions!F14</f>
        <v>9.5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677.2796316</v>
      </c>
      <c r="D8" s="0" t="n">
        <f aca="false">D6*D7/100</f>
        <v>467.93865456</v>
      </c>
      <c r="E8" s="0" t="n">
        <f aca="false">E6*E7/100</f>
        <v>542.2239159714</v>
      </c>
      <c r="F8" s="0" t="n">
        <f aca="false">F6*F7/100</f>
        <v>595.241365533048</v>
      </c>
      <c r="G8" s="0" t="n">
        <f aca="false">G6*G7/100</f>
        <v>651.632652794074</v>
      </c>
      <c r="H8" s="0" t="n">
        <f aca="false">H6*H7/100</f>
        <v>677.697958905837</v>
      </c>
      <c r="I8" s="0" t="n">
        <f aca="false">I6*I7/100</f>
        <v>698.028897673012</v>
      </c>
      <c r="J8" s="0" t="n">
        <f aca="false">J6*J7/100</f>
        <v>718.969764603202</v>
      </c>
      <c r="K8" s="0" t="n">
        <f aca="false">K6*K7/100</f>
        <v>740.538857541298</v>
      </c>
      <c r="L8" s="0" t="n">
        <f aca="false">L6*L7/100</f>
        <v>762.755023267537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1.6</v>
      </c>
      <c r="D9" s="4" t="n">
        <f aca="false">Assumptions!D15</f>
        <v>1.8</v>
      </c>
      <c r="E9" s="4" t="n">
        <f aca="false">Assumptions!E15</f>
        <v>1.8</v>
      </c>
      <c r="F9" s="4" t="n">
        <f aca="false">Assumptions!F15</f>
        <v>1.7</v>
      </c>
      <c r="G9" s="4" t="n">
        <f aca="false">Assumptions!G15</f>
        <v>1.6</v>
      </c>
      <c r="H9" s="4" t="n">
        <f aca="false">Assumptions!H15</f>
        <v>1.5</v>
      </c>
      <c r="I9" s="4" t="n">
        <f aca="false">Assumptions!I15</f>
        <v>1.4</v>
      </c>
      <c r="J9" s="4" t="n">
        <f aca="false">Assumptions!J15</f>
        <v>1.3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-98.51340096</v>
      </c>
      <c r="D10" s="0" t="n">
        <f aca="false">-D6*D9/100</f>
        <v>-105.286197276</v>
      </c>
      <c r="E10" s="0" t="n">
        <f aca="false">-E6*E9/100</f>
        <v>-108.44478319428</v>
      </c>
      <c r="F10" s="0" t="n">
        <f aca="false">-F6*F9/100</f>
        <v>-106.516875937493</v>
      </c>
      <c r="G10" s="0" t="n">
        <f aca="false">-G6*G9/100</f>
        <v>-104.261224447052</v>
      </c>
      <c r="H10" s="0" t="n">
        <f aca="false">-H6*H9/100</f>
        <v>-101.654693835875</v>
      </c>
      <c r="I10" s="0" t="n">
        <f aca="false">-I6*I9/100</f>
        <v>-97.7240456742216</v>
      </c>
      <c r="J10" s="0" t="n">
        <f aca="false">-J6*J9/100</f>
        <v>-93.4660693984163</v>
      </c>
      <c r="K10" s="0" t="n">
        <f aca="false">-K6*K9/100</f>
        <v>-88.8646629049558</v>
      </c>
      <c r="L10" s="0" t="n">
        <f aca="false">-L6*L9/100</f>
        <v>-91.5306027921045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535.66661772</v>
      </c>
      <c r="D11" s="0" t="n">
        <f aca="false">D8+D10+D24</f>
        <v>321.70782501</v>
      </c>
      <c r="E11" s="0" t="n">
        <f aca="false">E8+E10+E24</f>
        <v>391.6061615349</v>
      </c>
      <c r="F11" s="0" t="n">
        <f aca="false">F8+F10+F24</f>
        <v>444.864599503646</v>
      </c>
      <c r="G11" s="0" t="n">
        <f aca="false">G8+G10+G24</f>
        <v>501.757142651437</v>
      </c>
      <c r="H11" s="0" t="n">
        <f aca="false">H8+H10+H24</f>
        <v>528.604407946553</v>
      </c>
      <c r="I11" s="0" t="n">
        <f aca="false">I8+I10+I24</f>
        <v>551.442829161679</v>
      </c>
      <c r="J11" s="0" t="n">
        <f aca="false">J8+J10+J24</f>
        <v>575.175811682562</v>
      </c>
      <c r="K11" s="0" t="n">
        <f aca="false">K8+K10+K24</f>
        <v>599.836474608452</v>
      </c>
      <c r="L11" s="0" t="n">
        <f aca="false">L8+L10+L24</f>
        <v>617.831568846705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-18.47126268</v>
      </c>
      <c r="D12" s="4" t="n">
        <f aca="false">-D6*Assumptions!D17/100</f>
        <v>-20.472316137</v>
      </c>
      <c r="E12" s="4" t="n">
        <f aca="false">-E6*Assumptions!E17/100</f>
        <v>-24.09884070984</v>
      </c>
      <c r="F12" s="4" t="n">
        <f aca="false">-F6*Assumptions!F17/100</f>
        <v>-25.0627943382336</v>
      </c>
      <c r="G12" s="4" t="n">
        <f aca="false">-G6*Assumptions!G17/100</f>
        <v>-26.0653061117629</v>
      </c>
      <c r="H12" s="4" t="n">
        <f aca="false">-H6*Assumptions!H17/100</f>
        <v>-27.1079183562335</v>
      </c>
      <c r="I12" s="4" t="n">
        <f aca="false">-I6*Assumptions!I17/100</f>
        <v>-27.9211559069205</v>
      </c>
      <c r="J12" s="4" t="n">
        <f aca="false">-J6*Assumptions!J17/100</f>
        <v>-28.7587905841281</v>
      </c>
      <c r="K12" s="4" t="n">
        <f aca="false">-K6*Assumptions!K17/100</f>
        <v>-29.6215543016519</v>
      </c>
      <c r="L12" s="4" t="n">
        <f aca="false">-L6*Assumptions!L17/100</f>
        <v>-30.5102009307015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517.19535504</v>
      </c>
      <c r="D13" s="0" t="n">
        <f aca="false">D11+D12</f>
        <v>301.235508873</v>
      </c>
      <c r="E13" s="0" t="n">
        <f aca="false">E11+E12</f>
        <v>367.50732082506</v>
      </c>
      <c r="F13" s="0" t="n">
        <f aca="false">F11+F12</f>
        <v>419.801805165413</v>
      </c>
      <c r="G13" s="0" t="n">
        <f aca="false">G11+G12</f>
        <v>475.691836539674</v>
      </c>
      <c r="H13" s="0" t="n">
        <f aca="false">H11+H12</f>
        <v>501.496489590319</v>
      </c>
      <c r="I13" s="0" t="n">
        <f aca="false">I11+I12</f>
        <v>523.521673254759</v>
      </c>
      <c r="J13" s="0" t="n">
        <f aca="false">J11+J12</f>
        <v>546.417021098434</v>
      </c>
      <c r="K13" s="0" t="n">
        <f aca="false">K11+K12</f>
        <v>570.2149203068</v>
      </c>
      <c r="L13" s="0" t="n">
        <f aca="false">L11+L12</f>
        <v>587.321367916004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24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403.4123769312</v>
      </c>
      <c r="D15" s="0" t="n">
        <f aca="false">D13-MAX(0,D13)*D14/100</f>
        <v>231.95134183221</v>
      </c>
      <c r="E15" s="0" t="n">
        <f aca="false">E13-MAX(0,E13)*E14/100</f>
        <v>279.305563827046</v>
      </c>
      <c r="F15" s="0" t="n">
        <f aca="false">F13-MAX(0,F13)*F14/100</f>
        <v>314.85135387406</v>
      </c>
      <c r="G15" s="0" t="n">
        <f aca="false">G13-MAX(0,G13)*G14/100</f>
        <v>356.768877404755</v>
      </c>
      <c r="H15" s="0" t="n">
        <f aca="false">H13-MAX(0,H13)*H14/100</f>
        <v>376.122367192739</v>
      </c>
      <c r="I15" s="0" t="n">
        <f aca="false">I13-MAX(0,I13)*I14/100</f>
        <v>392.641254941069</v>
      </c>
      <c r="J15" s="0" t="n">
        <f aca="false">J13-MAX(0,J13)*J14/100</f>
        <v>409.812765823825</v>
      </c>
      <c r="K15" s="0" t="n">
        <f aca="false">K13-MAX(0,K13)*K14/100</f>
        <v>427.6611902301</v>
      </c>
      <c r="L15" s="0" t="n">
        <f aca="false">L13-MAX(0,L13)*L14/100</f>
        <v>440.491025937003</v>
      </c>
    </row>
    <row r="16" customFormat="false" ht="15" hidden="false" customHeight="false" outlineLevel="0" collapsed="false">
      <c r="A16" s="0" t="s">
        <v>125</v>
      </c>
      <c r="C16" s="0" t="n">
        <f aca="false">-C12</f>
        <v>18.47126268</v>
      </c>
      <c r="D16" s="0" t="n">
        <f aca="false">-D12</f>
        <v>20.472316137</v>
      </c>
      <c r="E16" s="0" t="n">
        <f aca="false">-E12</f>
        <v>24.09884070984</v>
      </c>
      <c r="F16" s="0" t="n">
        <f aca="false">-F12</f>
        <v>25.0627943382336</v>
      </c>
      <c r="G16" s="0" t="n">
        <f aca="false">-G12</f>
        <v>26.0653061117629</v>
      </c>
      <c r="H16" s="0" t="n">
        <f aca="false">-H12</f>
        <v>27.1079183562335</v>
      </c>
      <c r="I16" s="0" t="n">
        <f aca="false">-I12</f>
        <v>27.9211559069205</v>
      </c>
      <c r="J16" s="0" t="n">
        <f aca="false">-J12</f>
        <v>28.7587905841281</v>
      </c>
      <c r="K16" s="0" t="n">
        <f aca="false">-K12</f>
        <v>29.6215543016519</v>
      </c>
      <c r="L16" s="0" t="n">
        <f aca="false">-L12</f>
        <v>30.5102009307015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-24.62835024</v>
      </c>
      <c r="D17" s="4" t="n">
        <f aca="false">-D6*Assumptions!D18/100</f>
        <v>-23.396932728</v>
      </c>
      <c r="E17" s="4" t="n">
        <f aca="false">-E6*Assumptions!E18/100</f>
        <v>-24.09884070984</v>
      </c>
      <c r="F17" s="4" t="n">
        <f aca="false">-F6*Assumptions!F18/100</f>
        <v>-25.0627943382336</v>
      </c>
      <c r="G17" s="4" t="n">
        <f aca="false">-G6*Assumptions!G18/100</f>
        <v>-26.0653061117629</v>
      </c>
      <c r="H17" s="4" t="n">
        <f aca="false">-H6*Assumptions!H18/100</f>
        <v>-27.1079183562335</v>
      </c>
      <c r="I17" s="4" t="n">
        <f aca="false">-I6*Assumptions!I18/100</f>
        <v>-27.9211559069205</v>
      </c>
      <c r="J17" s="4" t="n">
        <f aca="false">-J6*Assumptions!J18/100</f>
        <v>-28.7587905841281</v>
      </c>
      <c r="K17" s="4" t="n">
        <f aca="false">-K6*Assumptions!K18/100</f>
        <v>-29.6215543016519</v>
      </c>
      <c r="L17" s="4" t="n">
        <f aca="false">-L6*Assumptions!L18/100</f>
        <v>-30.5102009307015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13.6824168</v>
      </c>
      <c r="D18" s="4" t="n">
        <f aca="false">(D6-C6)*Assumptions!$B$23/100</f>
        <v>-9.23563134</v>
      </c>
      <c r="E18" s="4" t="n">
        <f aca="false">(E6-D6)*Assumptions!$B$23/100</f>
        <v>5.26430986380002</v>
      </c>
      <c r="F18" s="4" t="n">
        <f aca="false">(F6-E6)*Assumptions!$B$23/100</f>
        <v>7.229652212952</v>
      </c>
      <c r="G18" s="4" t="n">
        <f aca="false">(G6-F6)*Assumptions!$B$23/100</f>
        <v>7.5188383014701</v>
      </c>
      <c r="H18" s="4" t="n">
        <f aca="false">(H6-G6)*Assumptions!$B$23/100</f>
        <v>7.81959183352888</v>
      </c>
      <c r="I18" s="4" t="n">
        <f aca="false">(I6-H6)*Assumptions!$B$23/100</f>
        <v>6.09928163015254</v>
      </c>
      <c r="J18" s="4" t="n">
        <f aca="false">(J6-I6)*Assumptions!$B$23/100</f>
        <v>6.28226007905711</v>
      </c>
      <c r="K18" s="4" t="n">
        <f aca="false">(K6-J6)*Assumptions!$B$23/100</f>
        <v>6.47072788142884</v>
      </c>
      <c r="L18" s="4" t="n">
        <f aca="false">(L6-K6)*Assumptions!$B$23/100</f>
        <v>6.66484971787169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410.9377061712</v>
      </c>
      <c r="D19" s="0" t="n">
        <f aca="false">D15+D16+D17+D18</f>
        <v>219.79109390121</v>
      </c>
      <c r="E19" s="0" t="n">
        <f aca="false">E15+E16+E17+E18</f>
        <v>284.569873690846</v>
      </c>
      <c r="F19" s="0" t="n">
        <f aca="false">F15+F16+F17+F18</f>
        <v>322.081006087012</v>
      </c>
      <c r="G19" s="0" t="n">
        <f aca="false">G15+G16+G17+G18</f>
        <v>364.287715706225</v>
      </c>
      <c r="H19" s="0" t="n">
        <f aca="false">H15+H16+H17+H18</f>
        <v>383.941959026268</v>
      </c>
      <c r="I19" s="0" t="n">
        <f aca="false">I15+I16+I17+I18</f>
        <v>398.740536571222</v>
      </c>
      <c r="J19" s="0" t="n">
        <f aca="false">J15+J16+J17+J18</f>
        <v>416.095025902882</v>
      </c>
      <c r="K19" s="0" t="n">
        <f aca="false">K15+K16+K17+K18</f>
        <v>434.131918111529</v>
      </c>
      <c r="L19" s="0" t="n">
        <f aca="false">L15+L16+L17+L18</f>
        <v>447.155875654874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373.579732882909</v>
      </c>
      <c r="D21" s="0" t="n">
        <f aca="false">D19*D20</f>
        <v>181.64553214976</v>
      </c>
      <c r="E21" s="0" t="n">
        <f aca="false">E19*E20</f>
        <v>213.801557994625</v>
      </c>
      <c r="F21" s="0" t="n">
        <f aca="false">F19*F20</f>
        <v>219.985660874948</v>
      </c>
      <c r="G21" s="0" t="n">
        <f aca="false">G19*G20</f>
        <v>226.194010410507</v>
      </c>
      <c r="H21" s="0" t="n">
        <f aca="false">H19*H20</f>
        <v>216.725226524104</v>
      </c>
      <c r="I21" s="0" t="n">
        <f aca="false">I19*I20</f>
        <v>204.61694340919</v>
      </c>
      <c r="J21" s="0" t="n">
        <f aca="false">J19*J20</f>
        <v>194.111400452255</v>
      </c>
      <c r="K21" s="0" t="n">
        <f aca="false">K19*K20</f>
        <v>184.114312530578</v>
      </c>
      <c r="L21" s="0" t="n">
        <f aca="false">L19*L20</f>
        <v>172.397947187723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0.7</v>
      </c>
      <c r="D23" s="4" t="n">
        <f aca="false">Assumptions!D16</f>
        <v>0.7</v>
      </c>
      <c r="E23" s="4" t="n">
        <f aca="false">Assumptions!E16</f>
        <v>0.7</v>
      </c>
      <c r="F23" s="4" t="n">
        <f aca="false">Assumptions!F16</f>
        <v>0.7</v>
      </c>
      <c r="G23" s="4" t="n">
        <f aca="false">Assumptions!G16</f>
        <v>0.7</v>
      </c>
      <c r="H23" s="4" t="n">
        <f aca="false">Assumptions!H16</f>
        <v>0.7</v>
      </c>
      <c r="I23" s="4" t="n">
        <f aca="false">Assumptions!I16</f>
        <v>0.7</v>
      </c>
      <c r="J23" s="4" t="n">
        <f aca="false">Assumptions!J16</f>
        <v>0.7</v>
      </c>
      <c r="K23" s="4" t="n">
        <f aca="false">Assumptions!K16</f>
        <v>0.7</v>
      </c>
      <c r="L23" s="4" t="n">
        <f aca="false">Assumptions!L16</f>
        <v>0.7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-43.09961292</v>
      </c>
      <c r="D24" s="0" t="n">
        <f aca="false">-D6*D23/100</f>
        <v>-40.944632274</v>
      </c>
      <c r="E24" s="0" t="n">
        <f aca="false">-E6*E23/100</f>
        <v>-42.17297124222</v>
      </c>
      <c r="F24" s="0" t="n">
        <f aca="false">-F6*F23/100</f>
        <v>-43.8598900919088</v>
      </c>
      <c r="G24" s="0" t="n">
        <f aca="false">-G6*G23/100</f>
        <v>-45.6142856955852</v>
      </c>
      <c r="H24" s="0" t="n">
        <f aca="false">-H6*H23/100</f>
        <v>-47.4388571234086</v>
      </c>
      <c r="I24" s="0" t="n">
        <f aca="false">-I6*I23/100</f>
        <v>-48.8620228371108</v>
      </c>
      <c r="J24" s="0" t="n">
        <f aca="false">-J6*J23/100</f>
        <v>-50.3278835222242</v>
      </c>
      <c r="K24" s="0" t="n">
        <f aca="false">-K6*K23/100</f>
        <v>-51.8377200278909</v>
      </c>
      <c r="L24" s="0" t="n">
        <f aca="false">-L6*L23/100</f>
        <v>-53.3928516287276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2187.1723244166</v>
      </c>
    </row>
    <row r="31" customFormat="false" ht="15" hidden="false" customHeight="false" outlineLevel="0" collapsed="false">
      <c r="A31" s="0" t="s">
        <v>134</v>
      </c>
      <c r="B31" s="0" t="n">
        <f aca="false">L19</f>
        <v>447.155875654874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5701.23741459965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6707.33813482312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5701.23741459965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2198.07382664347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4385.24615106006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10247.5461510601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11.1965716092219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-0.609875553685648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619.645895700474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449.934873470182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12.3652062752514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3508.45379359978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9.27767091285827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24</v>
      </c>
      <c r="D5" s="4" t="n">
        <f aca="false">Assumptions!D27</f>
        <v>14</v>
      </c>
      <c r="E5" s="4" t="n">
        <f aca="false">Assumptions!E27</f>
        <v>10</v>
      </c>
      <c r="F5" s="4" t="n">
        <f aca="false">Assumptions!F27</f>
        <v>8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5701.007</v>
      </c>
      <c r="C6" s="0" t="n">
        <f aca="false">B6*(1+C5/100)</f>
        <v>7069.24868</v>
      </c>
      <c r="D6" s="0" t="n">
        <f aca="false">C6*(1+D5/100)</f>
        <v>8058.9434952</v>
      </c>
      <c r="E6" s="0" t="n">
        <f aca="false">D6*(1+E5/100)</f>
        <v>8864.83784472</v>
      </c>
      <c r="F6" s="0" t="n">
        <f aca="false">E6*(1+F5/100)</f>
        <v>9574.0248722976</v>
      </c>
      <c r="G6" s="0" t="n">
        <f aca="false">F6*(1+G5/100)</f>
        <v>10148.4663646355</v>
      </c>
      <c r="H6" s="0" t="n">
        <f aca="false">G6*(1+H5/100)</f>
        <v>10655.8896828672</v>
      </c>
      <c r="I6" s="0" t="n">
        <f aca="false">H6*(1+I5/100)</f>
        <v>11082.1252701819</v>
      </c>
      <c r="J6" s="0" t="n">
        <f aca="false">I6*(1+J5/100)</f>
        <v>11469.9996546383</v>
      </c>
      <c r="K6" s="0" t="n">
        <f aca="false">J6*(1+K5/100)</f>
        <v>11814.0996442774</v>
      </c>
      <c r="L6" s="0" t="n">
        <f aca="false">K6*(1+L5/100)</f>
        <v>12168.5226336058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13.5</v>
      </c>
      <c r="D7" s="4" t="n">
        <f aca="false">Assumptions!D28</f>
        <v>13.8</v>
      </c>
      <c r="E7" s="4" t="n">
        <f aca="false">Assumptions!E28</f>
        <v>14</v>
      </c>
      <c r="F7" s="4" t="n">
        <f aca="false">Assumptions!F28</f>
        <v>14.2</v>
      </c>
      <c r="G7" s="4" t="n">
        <f aca="false">Assumptions!G28</f>
        <v>14.5</v>
      </c>
      <c r="H7" s="4" t="n">
        <f aca="false">Assumptions!H28</f>
        <v>14.5</v>
      </c>
      <c r="I7" s="4" t="n">
        <f aca="false">Assumptions!I28</f>
        <v>14.5</v>
      </c>
      <c r="J7" s="4" t="n">
        <f aca="false">Assumptions!J28</f>
        <v>14.5</v>
      </c>
      <c r="K7" s="4" t="n">
        <f aca="false">Assumptions!K28</f>
        <v>14.5</v>
      </c>
      <c r="L7" s="4" t="n">
        <f aca="false">Assumptions!L28</f>
        <v>14.5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954.3485718</v>
      </c>
      <c r="D8" s="0" t="n">
        <f aca="false">D6*D7/100</f>
        <v>1112.1342023376</v>
      </c>
      <c r="E8" s="0" t="n">
        <f aca="false">E6*E7/100</f>
        <v>1241.0772982608</v>
      </c>
      <c r="F8" s="0" t="n">
        <f aca="false">F6*F7/100</f>
        <v>1359.51153186626</v>
      </c>
      <c r="G8" s="0" t="n">
        <f aca="false">G6*G7/100</f>
        <v>1471.52762287214</v>
      </c>
      <c r="H8" s="0" t="n">
        <f aca="false">H6*H7/100</f>
        <v>1545.10400401575</v>
      </c>
      <c r="I8" s="0" t="n">
        <f aca="false">I6*I7/100</f>
        <v>1606.90816417638</v>
      </c>
      <c r="J8" s="0" t="n">
        <f aca="false">J6*J7/100</f>
        <v>1663.14994992255</v>
      </c>
      <c r="K8" s="0" t="n">
        <f aca="false">K6*K7/100</f>
        <v>1713.04444842023</v>
      </c>
      <c r="L8" s="0" t="n">
        <f aca="false">L6*L7/100</f>
        <v>1764.43578187284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1.4</v>
      </c>
      <c r="D9" s="4" t="n">
        <f aca="false">Assumptions!D29</f>
        <v>1.35</v>
      </c>
      <c r="E9" s="4" t="n">
        <f aca="false">Assumptions!E29</f>
        <v>1.3</v>
      </c>
      <c r="F9" s="4" t="n">
        <f aca="false">Assumptions!F29</f>
        <v>1.25</v>
      </c>
      <c r="G9" s="4" t="n">
        <f aca="false">Assumptions!G29</f>
        <v>1.2</v>
      </c>
      <c r="H9" s="4" t="n">
        <f aca="false">Assumptions!H29</f>
        <v>1.15</v>
      </c>
      <c r="I9" s="4" t="n">
        <f aca="false">Assumptions!I29</f>
        <v>1.1</v>
      </c>
      <c r="J9" s="4" t="n">
        <f aca="false">Assumptions!J29</f>
        <v>1.05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-98.96948152</v>
      </c>
      <c r="D10" s="0" t="n">
        <f aca="false">-D6*D9/100</f>
        <v>-108.7957371852</v>
      </c>
      <c r="E10" s="0" t="n">
        <f aca="false">-E6*E9/100</f>
        <v>-115.24289198136</v>
      </c>
      <c r="F10" s="0" t="n">
        <f aca="false">-F6*F9/100</f>
        <v>-119.67531090372</v>
      </c>
      <c r="G10" s="0" t="n">
        <f aca="false">-G6*G9/100</f>
        <v>-121.781596375626</v>
      </c>
      <c r="H10" s="0" t="n">
        <f aca="false">-H6*H9/100</f>
        <v>-122.542731352973</v>
      </c>
      <c r="I10" s="0" t="n">
        <f aca="false">-I6*I9/100</f>
        <v>-121.903377972001</v>
      </c>
      <c r="J10" s="0" t="n">
        <f aca="false">-J6*J9/100</f>
        <v>-120.434996373702</v>
      </c>
      <c r="K10" s="0" t="n">
        <f aca="false">-K6*K9/100</f>
        <v>-118.140996442774</v>
      </c>
      <c r="L10" s="0" t="n">
        <f aca="false">-L6*L9/100</f>
        <v>-121.685226336058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809.42897386</v>
      </c>
      <c r="D11" s="0" t="n">
        <f aca="false">D8+D10+D24</f>
        <v>950.9553324336</v>
      </c>
      <c r="E11" s="0" t="n">
        <f aca="false">E8+E10+E24</f>
        <v>1068.21296028876</v>
      </c>
      <c r="F11" s="0" t="n">
        <f aca="false">F8+F10+F24</f>
        <v>1177.60505929261</v>
      </c>
      <c r="G11" s="0" t="n">
        <f aca="false">G8+G10+G24</f>
        <v>1283.78099512639</v>
      </c>
      <c r="H11" s="0" t="n">
        <f aca="false">H8+H10+H24</f>
        <v>1353.29798972414</v>
      </c>
      <c r="I11" s="0" t="n">
        <f aca="false">I8+I10+I24</f>
        <v>1412.9709719482</v>
      </c>
      <c r="J11" s="0" t="n">
        <f aca="false">J8+J10+J24</f>
        <v>1468.1599557937</v>
      </c>
      <c r="K11" s="0" t="n">
        <f aca="false">K8+K10+K24</f>
        <v>1518.11180428965</v>
      </c>
      <c r="L11" s="0" t="n">
        <f aca="false">L8+L10+L24</f>
        <v>1563.65515841834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-21.20774604</v>
      </c>
      <c r="D12" s="4" t="n">
        <f aca="false">-D6*Assumptions!D31/100</f>
        <v>-28.2063022332</v>
      </c>
      <c r="E12" s="4" t="n">
        <f aca="false">-E6*Assumptions!E31/100</f>
        <v>-35.45935137888</v>
      </c>
      <c r="F12" s="4" t="n">
        <f aca="false">-F6*Assumptions!F31/100</f>
        <v>-43.0831119253392</v>
      </c>
      <c r="G12" s="4" t="n">
        <f aca="false">-G6*Assumptions!G31/100</f>
        <v>-50.7423318231773</v>
      </c>
      <c r="H12" s="4" t="n">
        <f aca="false">-H6*Assumptions!H31/100</f>
        <v>-53.2794484143362</v>
      </c>
      <c r="I12" s="4" t="n">
        <f aca="false">-I6*Assumptions!I31/100</f>
        <v>-55.4106263509096</v>
      </c>
      <c r="J12" s="4" t="n">
        <f aca="false">-J6*Assumptions!J31/100</f>
        <v>-57.3499982731914</v>
      </c>
      <c r="K12" s="4" t="n">
        <f aca="false">-K6*Assumptions!K31/100</f>
        <v>-59.0704982213872</v>
      </c>
      <c r="L12" s="4" t="n">
        <f aca="false">-L6*Assumptions!L31/100</f>
        <v>-60.8426131680288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788.22122782</v>
      </c>
      <c r="D13" s="0" t="n">
        <f aca="false">D11+D12</f>
        <v>922.7490302004</v>
      </c>
      <c r="E13" s="0" t="n">
        <f aca="false">E11+E12</f>
        <v>1032.75360890988</v>
      </c>
      <c r="F13" s="0" t="n">
        <f aca="false">F11+F12</f>
        <v>1134.52194736727</v>
      </c>
      <c r="G13" s="0" t="n">
        <f aca="false">G11+G12</f>
        <v>1233.03866330321</v>
      </c>
      <c r="H13" s="0" t="n">
        <f aca="false">H11+H12</f>
        <v>1300.0185413098</v>
      </c>
      <c r="I13" s="0" t="n">
        <f aca="false">I11+I12</f>
        <v>1357.56034559729</v>
      </c>
      <c r="J13" s="0" t="n">
        <f aca="false">J11+J12</f>
        <v>1410.80995752051</v>
      </c>
      <c r="K13" s="0" t="n">
        <f aca="false">K11+K12</f>
        <v>1459.04130606826</v>
      </c>
      <c r="L13" s="0" t="n">
        <f aca="false">L11+L12</f>
        <v>1502.81254525031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22</v>
      </c>
      <c r="D14" s="4" t="n">
        <f aca="false">Assumptions!D33</f>
        <v>23</v>
      </c>
      <c r="E14" s="4" t="n">
        <f aca="false">Assumptions!E33</f>
        <v>24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614.8125576996</v>
      </c>
      <c r="D15" s="0" t="n">
        <f aca="false">D13-MAX(0,D13)*D14/100</f>
        <v>710.516753254308</v>
      </c>
      <c r="E15" s="0" t="n">
        <f aca="false">E13-MAX(0,E13)*E14/100</f>
        <v>784.892742771509</v>
      </c>
      <c r="F15" s="0" t="n">
        <f aca="false">F13-MAX(0,F13)*F14/100</f>
        <v>850.891460525449</v>
      </c>
      <c r="G15" s="0" t="n">
        <f aca="false">G13-MAX(0,G13)*G14/100</f>
        <v>924.778997477406</v>
      </c>
      <c r="H15" s="0" t="n">
        <f aca="false">H13-MAX(0,H13)*H14/100</f>
        <v>975.013905982352</v>
      </c>
      <c r="I15" s="0" t="n">
        <f aca="false">I13-MAX(0,I13)*I14/100</f>
        <v>1018.17025919796</v>
      </c>
      <c r="J15" s="0" t="n">
        <f aca="false">J13-MAX(0,J13)*J14/100</f>
        <v>1058.10746814038</v>
      </c>
      <c r="K15" s="0" t="n">
        <f aca="false">K13-MAX(0,K13)*K14/100</f>
        <v>1094.2809795512</v>
      </c>
      <c r="L15" s="0" t="n">
        <f aca="false">L13-MAX(0,L13)*L14/100</f>
        <v>1127.10940893773</v>
      </c>
    </row>
    <row r="16" customFormat="false" ht="15" hidden="false" customHeight="false" outlineLevel="0" collapsed="false">
      <c r="A16" s="0" t="s">
        <v>125</v>
      </c>
      <c r="C16" s="0" t="n">
        <f aca="false">-C12</f>
        <v>21.20774604</v>
      </c>
      <c r="D16" s="0" t="n">
        <f aca="false">-D12</f>
        <v>28.2063022332</v>
      </c>
      <c r="E16" s="0" t="n">
        <f aca="false">-E12</f>
        <v>35.45935137888</v>
      </c>
      <c r="F16" s="0" t="n">
        <f aca="false">-F12</f>
        <v>43.0831119253392</v>
      </c>
      <c r="G16" s="0" t="n">
        <f aca="false">-G12</f>
        <v>50.7423318231773</v>
      </c>
      <c r="H16" s="0" t="n">
        <f aca="false">-H12</f>
        <v>53.2794484143362</v>
      </c>
      <c r="I16" s="0" t="n">
        <f aca="false">-I12</f>
        <v>55.4106263509096</v>
      </c>
      <c r="J16" s="0" t="n">
        <f aca="false">-J12</f>
        <v>57.3499982731914</v>
      </c>
      <c r="K16" s="0" t="n">
        <f aca="false">-K12</f>
        <v>59.0704982213872</v>
      </c>
      <c r="L16" s="0" t="n">
        <f aca="false">-L12</f>
        <v>60.8426131680288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-35.3462434</v>
      </c>
      <c r="D17" s="4" t="n">
        <f aca="false">-D6*Assumptions!D32/100</f>
        <v>-40.294717476</v>
      </c>
      <c r="E17" s="4" t="n">
        <f aca="false">-E6*Assumptions!E32/100</f>
        <v>-44.3241892236</v>
      </c>
      <c r="F17" s="4" t="n">
        <f aca="false">-F6*Assumptions!F32/100</f>
        <v>-47.870124361488</v>
      </c>
      <c r="G17" s="4" t="n">
        <f aca="false">-G6*Assumptions!G32/100</f>
        <v>-50.7423318231773</v>
      </c>
      <c r="H17" s="4" t="n">
        <f aca="false">-H6*Assumptions!H32/100</f>
        <v>-53.2794484143362</v>
      </c>
      <c r="I17" s="4" t="n">
        <f aca="false">-I6*Assumptions!I32/100</f>
        <v>-55.4106263509096</v>
      </c>
      <c r="J17" s="4" t="n">
        <f aca="false">-J6*Assumptions!J32/100</f>
        <v>-57.3499982731914</v>
      </c>
      <c r="K17" s="4" t="n">
        <f aca="false">-K6*Assumptions!K32/100</f>
        <v>-59.0704982213872</v>
      </c>
      <c r="L17" s="4" t="n">
        <f aca="false">-L6*Assumptions!L32/100</f>
        <v>-60.8426131680288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68.412084</v>
      </c>
      <c r="D18" s="4" t="n">
        <f aca="false">(D6-C6)*Assumptions!$B$37/100</f>
        <v>49.48474076</v>
      </c>
      <c r="E18" s="4" t="n">
        <f aca="false">(E6-D6)*Assumptions!$B$37/100</f>
        <v>40.2947174760001</v>
      </c>
      <c r="F18" s="4" t="n">
        <f aca="false">(F6-E6)*Assumptions!$B$37/100</f>
        <v>35.45935137888</v>
      </c>
      <c r="G18" s="4" t="n">
        <f aca="false">(G6-F6)*Assumptions!$B$37/100</f>
        <v>28.7220746168929</v>
      </c>
      <c r="H18" s="4" t="n">
        <f aca="false">(H6-G6)*Assumptions!$B$37/100</f>
        <v>25.3711659115887</v>
      </c>
      <c r="I18" s="4" t="n">
        <f aca="false">(I6-H6)*Assumptions!$B$37/100</f>
        <v>21.3117793657345</v>
      </c>
      <c r="J18" s="4" t="n">
        <f aca="false">(J6-I6)*Assumptions!$B$37/100</f>
        <v>19.3937192228183</v>
      </c>
      <c r="K18" s="4" t="n">
        <f aca="false">(K6-J6)*Assumptions!$B$37/100</f>
        <v>17.2049994819575</v>
      </c>
      <c r="L18" s="4" t="n">
        <f aca="false">(L6-K6)*Assumptions!$B$37/100</f>
        <v>17.7211494664161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669.0861443396</v>
      </c>
      <c r="D19" s="0" t="n">
        <f aca="false">D15+D16+D17+D18</f>
        <v>747.913078771508</v>
      </c>
      <c r="E19" s="0" t="n">
        <f aca="false">E15+E16+E17+E18</f>
        <v>816.322622402789</v>
      </c>
      <c r="F19" s="0" t="n">
        <f aca="false">F15+F16+F17+F18</f>
        <v>881.56379946818</v>
      </c>
      <c r="G19" s="0" t="n">
        <f aca="false">G15+G16+G17+G18</f>
        <v>953.501072094299</v>
      </c>
      <c r="H19" s="0" t="n">
        <f aca="false">H15+H16+H17+H18</f>
        <v>1000.38507189394</v>
      </c>
      <c r="I19" s="0" t="n">
        <f aca="false">I15+I16+I17+I18</f>
        <v>1039.4820385637</v>
      </c>
      <c r="J19" s="0" t="n">
        <f aca="false">J15+J16+J17+J18</f>
        <v>1077.5011873632</v>
      </c>
      <c r="K19" s="0" t="n">
        <f aca="false">K15+K16+K17+K18</f>
        <v>1111.48597903316</v>
      </c>
      <c r="L19" s="0" t="n">
        <f aca="false">L15+L16+L17+L18</f>
        <v>1144.83055840415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608.260131217818</v>
      </c>
      <c r="D21" s="0" t="n">
        <f aca="false">D19*D20</f>
        <v>618.109982455792</v>
      </c>
      <c r="E21" s="0" t="n">
        <f aca="false">E19*E20</f>
        <v>613.315268522005</v>
      </c>
      <c r="F21" s="0" t="n">
        <f aca="false">F19*F20</f>
        <v>602.119936799522</v>
      </c>
      <c r="G21" s="0" t="n">
        <f aca="false">G19*G20</f>
        <v>592.049147223115</v>
      </c>
      <c r="H21" s="0" t="n">
        <f aca="false">H19*H20</f>
        <v>564.691293099103</v>
      </c>
      <c r="I21" s="0" t="n">
        <f aca="false">I19*I20</f>
        <v>533.418646843966</v>
      </c>
      <c r="J21" s="0" t="n">
        <f aca="false">J19*J20</f>
        <v>502.662256089683</v>
      </c>
      <c r="K21" s="0" t="n">
        <f aca="false">K19*K20</f>
        <v>471.37855656237</v>
      </c>
      <c r="L21" s="0" t="n">
        <f aca="false">L19*L20</f>
        <v>441.381739326583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0.65</v>
      </c>
      <c r="D23" s="4" t="n">
        <f aca="false">Assumptions!D30</f>
        <v>0.65</v>
      </c>
      <c r="E23" s="4" t="n">
        <f aca="false">Assumptions!E30</f>
        <v>0.65</v>
      </c>
      <c r="F23" s="4" t="n">
        <f aca="false">Assumptions!F30</f>
        <v>0.65</v>
      </c>
      <c r="G23" s="4" t="n">
        <f aca="false">Assumptions!G30</f>
        <v>0.65</v>
      </c>
      <c r="H23" s="4" t="n">
        <f aca="false">Assumptions!H30</f>
        <v>0.65</v>
      </c>
      <c r="I23" s="4" t="n">
        <f aca="false">Assumptions!I30</f>
        <v>0.65</v>
      </c>
      <c r="J23" s="4" t="n">
        <f aca="false">Assumptions!J30</f>
        <v>0.65</v>
      </c>
      <c r="K23" s="4" t="n">
        <f aca="false">Assumptions!K30</f>
        <v>0.65</v>
      </c>
      <c r="L23" s="4" t="n">
        <f aca="false">Assumptions!L30</f>
        <v>0.65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-45.95011642</v>
      </c>
      <c r="D24" s="0" t="n">
        <f aca="false">-D6*D23/100</f>
        <v>-52.3831327188</v>
      </c>
      <c r="E24" s="0" t="n">
        <f aca="false">-E6*E23/100</f>
        <v>-57.62144599068</v>
      </c>
      <c r="F24" s="0" t="n">
        <f aca="false">-F6*F23/100</f>
        <v>-62.2311616699344</v>
      </c>
      <c r="G24" s="0" t="n">
        <f aca="false">-G6*G23/100</f>
        <v>-65.9650313701305</v>
      </c>
      <c r="H24" s="0" t="n">
        <f aca="false">-H6*H23/100</f>
        <v>-69.263282938637</v>
      </c>
      <c r="I24" s="0" t="n">
        <f aca="false">-I6*I23/100</f>
        <v>-72.0338142561825</v>
      </c>
      <c r="J24" s="0" t="n">
        <f aca="false">-J6*J23/100</f>
        <v>-74.5549977551489</v>
      </c>
      <c r="K24" s="0" t="n">
        <f aca="false">-K6*K23/100</f>
        <v>-76.7916476878034</v>
      </c>
      <c r="L24" s="0" t="n">
        <f aca="false">-L6*L23/100</f>
        <v>-79.0953971184375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5547.38695813996</v>
      </c>
    </row>
    <row r="31" customFormat="false" ht="15" hidden="false" customHeight="false" outlineLevel="0" collapsed="false">
      <c r="A31" s="0" t="s">
        <v>134</v>
      </c>
      <c r="B31" s="0" t="n">
        <f aca="false">L19</f>
        <v>1144.83055840415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15646.0176315234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17172.4583760622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15646.0176315234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6032.21710412997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11579.6040622699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17441.9040622699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19.0571991533975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-0.335986092216116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708.756353840475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641.17060663327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20.5321428772274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9387.61057891403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13.7880912405838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36</v>
      </c>
      <c r="D5" s="4" t="n">
        <f aca="false">Assumptions!D41</f>
        <v>24</v>
      </c>
      <c r="E5" s="4" t="n">
        <f aca="false">Assumptions!E41</f>
        <v>17</v>
      </c>
      <c r="F5" s="4" t="n">
        <f aca="false">Assumptions!F41</f>
        <v>13</v>
      </c>
      <c r="G5" s="4" t="n">
        <f aca="false">Assumptions!G41</f>
        <v>10</v>
      </c>
      <c r="H5" s="4" t="n">
        <f aca="false">Assumptions!H41</f>
        <v>8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5701.007</v>
      </c>
      <c r="C6" s="0" t="n">
        <f aca="false">B6*(1+C5/100)</f>
        <v>7753.36952</v>
      </c>
      <c r="D6" s="0" t="n">
        <f aca="false">C6*(1+D5/100)</f>
        <v>9614.1782048</v>
      </c>
      <c r="E6" s="0" t="n">
        <f aca="false">D6*(1+E5/100)</f>
        <v>11248.588499616</v>
      </c>
      <c r="F6" s="0" t="n">
        <f aca="false">E6*(1+F5/100)</f>
        <v>12710.9050045661</v>
      </c>
      <c r="G6" s="0" t="n">
        <f aca="false">F6*(1+G5/100)</f>
        <v>13981.9955050227</v>
      </c>
      <c r="H6" s="0" t="n">
        <f aca="false">G6*(1+H5/100)</f>
        <v>15100.5551454245</v>
      </c>
      <c r="I6" s="0" t="n">
        <f aca="false">H6*(1+I5/100)</f>
        <v>16006.58845415</v>
      </c>
      <c r="J6" s="0" t="n">
        <f aca="false">I6*(1+J5/100)</f>
        <v>16806.9178768575</v>
      </c>
      <c r="K6" s="0" t="n">
        <f aca="false">J6*(1+K5/100)</f>
        <v>17479.1945919318</v>
      </c>
      <c r="L6" s="0" t="n">
        <f aca="false">K6*(1+L5/100)</f>
        <v>18090.9664026494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14.5</v>
      </c>
      <c r="D7" s="4" t="n">
        <f aca="false">Assumptions!D42</f>
        <v>15.2</v>
      </c>
      <c r="E7" s="4" t="n">
        <f aca="false">Assumptions!E42</f>
        <v>15.8</v>
      </c>
      <c r="F7" s="4" t="n">
        <f aca="false">Assumptions!F42</f>
        <v>16.3</v>
      </c>
      <c r="G7" s="4" t="n">
        <f aca="false">Assumptions!G42</f>
        <v>16.8</v>
      </c>
      <c r="H7" s="4" t="n">
        <f aca="false">Assumptions!H42</f>
        <v>17.2</v>
      </c>
      <c r="I7" s="4" t="n">
        <f aca="false">Assumptions!I42</f>
        <v>17.5</v>
      </c>
      <c r="J7" s="4" t="n">
        <f aca="false">Assumptions!J42</f>
        <v>17.5</v>
      </c>
      <c r="K7" s="4" t="n">
        <f aca="false">Assumptions!K42</f>
        <v>17.5</v>
      </c>
      <c r="L7" s="4" t="n">
        <f aca="false">Assumptions!L42</f>
        <v>17.5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1124.2385804</v>
      </c>
      <c r="D8" s="0" t="n">
        <f aca="false">D6*D7/100</f>
        <v>1461.3550871296</v>
      </c>
      <c r="E8" s="0" t="n">
        <f aca="false">E6*E7/100</f>
        <v>1777.27698293933</v>
      </c>
      <c r="F8" s="0" t="n">
        <f aca="false">F6*F7/100</f>
        <v>2071.87751574427</v>
      </c>
      <c r="G8" s="0" t="n">
        <f aca="false">G6*G7/100</f>
        <v>2348.97524484381</v>
      </c>
      <c r="H8" s="0" t="n">
        <f aca="false">H6*H7/100</f>
        <v>2597.29548501301</v>
      </c>
      <c r="I8" s="0" t="n">
        <f aca="false">I6*I7/100</f>
        <v>2801.15297947625</v>
      </c>
      <c r="J8" s="0" t="n">
        <f aca="false">J6*J7/100</f>
        <v>2941.21062845006</v>
      </c>
      <c r="K8" s="0" t="n">
        <f aca="false">K6*K7/100</f>
        <v>3058.85905358806</v>
      </c>
      <c r="L8" s="0" t="n">
        <f aca="false">L6*L7/100</f>
        <v>3165.91912046364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1.4</v>
      </c>
      <c r="D9" s="4" t="n">
        <f aca="false">Assumptions!D43</f>
        <v>1.35</v>
      </c>
      <c r="E9" s="4" t="n">
        <f aca="false">Assumptions!E43</f>
        <v>1.3</v>
      </c>
      <c r="F9" s="4" t="n">
        <f aca="false">Assumptions!F43</f>
        <v>1.25</v>
      </c>
      <c r="G9" s="4" t="n">
        <f aca="false">Assumptions!G43</f>
        <v>1.2</v>
      </c>
      <c r="H9" s="4" t="n">
        <f aca="false">Assumptions!H43</f>
        <v>1.15</v>
      </c>
      <c r="I9" s="4" t="n">
        <f aca="false">Assumptions!I43</f>
        <v>1.1</v>
      </c>
      <c r="J9" s="4" t="n">
        <f aca="false">Assumptions!J43</f>
        <v>1.05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-108.54717328</v>
      </c>
      <c r="D10" s="0" t="n">
        <f aca="false">-D6*D9/100</f>
        <v>-129.7914057648</v>
      </c>
      <c r="E10" s="0" t="n">
        <f aca="false">-E6*E9/100</f>
        <v>-146.231650495008</v>
      </c>
      <c r="F10" s="0" t="n">
        <f aca="false">-F6*F9/100</f>
        <v>-158.886312557076</v>
      </c>
      <c r="G10" s="0" t="n">
        <f aca="false">-G6*G9/100</f>
        <v>-167.783946060272</v>
      </c>
      <c r="H10" s="0" t="n">
        <f aca="false">-H6*H9/100</f>
        <v>-173.656384172382</v>
      </c>
      <c r="I10" s="0" t="n">
        <f aca="false">-I6*I9/100</f>
        <v>-176.07247299565</v>
      </c>
      <c r="J10" s="0" t="n">
        <f aca="false">-J6*J9/100</f>
        <v>-176.472637707003</v>
      </c>
      <c r="K10" s="0" t="n">
        <f aca="false">-K6*K9/100</f>
        <v>-174.791945919318</v>
      </c>
      <c r="L10" s="0" t="n">
        <f aca="false">-L6*L9/100</f>
        <v>-180.909664026494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965.29450524</v>
      </c>
      <c r="D11" s="0" t="n">
        <f aca="false">D8+D10+D24</f>
        <v>1269.0715230336</v>
      </c>
      <c r="E11" s="0" t="n">
        <f aca="false">E8+E10+E24</f>
        <v>1557.92950719682</v>
      </c>
      <c r="F11" s="0" t="n">
        <f aca="false">F8+F10+F24</f>
        <v>1830.37032065752</v>
      </c>
      <c r="G11" s="0" t="n">
        <f aca="false">G8+G10+G24</f>
        <v>2090.30832800089</v>
      </c>
      <c r="H11" s="0" t="n">
        <f aca="false">H8+H10+H24</f>
        <v>2325.48549239537</v>
      </c>
      <c r="I11" s="0" t="n">
        <f aca="false">I8+I10+I24</f>
        <v>2521.03768152862</v>
      </c>
      <c r="J11" s="0" t="n">
        <f aca="false">J8+J10+J24</f>
        <v>2655.49302454348</v>
      </c>
      <c r="K11" s="0" t="n">
        <f aca="false">K8+K10+K24</f>
        <v>2770.45234282119</v>
      </c>
      <c r="L11" s="0" t="n">
        <f aca="false">L8+L10+L24</f>
        <v>2867.41817481993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-23.26010856</v>
      </c>
      <c r="D12" s="4" t="n">
        <f aca="false">-D6*Assumptions!D45/100</f>
        <v>-38.4567128192</v>
      </c>
      <c r="E12" s="4" t="n">
        <f aca="false">-E6*Assumptions!E45/100</f>
        <v>-56.24294249808</v>
      </c>
      <c r="F12" s="4" t="n">
        <f aca="false">-F6*Assumptions!F45/100</f>
        <v>-76.2654300273965</v>
      </c>
      <c r="G12" s="4" t="n">
        <f aca="false">-G6*Assumptions!G45/100</f>
        <v>-97.8739685351588</v>
      </c>
      <c r="H12" s="4" t="n">
        <f aca="false">-H6*Assumptions!H45/100</f>
        <v>-105.703886017972</v>
      </c>
      <c r="I12" s="4" t="n">
        <f aca="false">-I6*Assumptions!I45/100</f>
        <v>-112.04611917905</v>
      </c>
      <c r="J12" s="4" t="n">
        <f aca="false">-J6*Assumptions!J45/100</f>
        <v>-117.648425138002</v>
      </c>
      <c r="K12" s="4" t="n">
        <f aca="false">-K6*Assumptions!K45/100</f>
        <v>-122.354362143522</v>
      </c>
      <c r="L12" s="4" t="n">
        <f aca="false">-L6*Assumptions!L45/100</f>
        <v>-126.636764818546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942.03439668</v>
      </c>
      <c r="D13" s="0" t="n">
        <f aca="false">D11+D12</f>
        <v>1230.6148102144</v>
      </c>
      <c r="E13" s="0" t="n">
        <f aca="false">E11+E12</f>
        <v>1501.68656469874</v>
      </c>
      <c r="F13" s="0" t="n">
        <f aca="false">F11+F12</f>
        <v>1754.10489063012</v>
      </c>
      <c r="G13" s="0" t="n">
        <f aca="false">G11+G12</f>
        <v>1992.43435946573</v>
      </c>
      <c r="H13" s="0" t="n">
        <f aca="false">H11+H12</f>
        <v>2219.7816063774</v>
      </c>
      <c r="I13" s="0" t="n">
        <f aca="false">I11+I12</f>
        <v>2408.99156234957</v>
      </c>
      <c r="J13" s="0" t="n">
        <f aca="false">J11+J12</f>
        <v>2537.84459940548</v>
      </c>
      <c r="K13" s="0" t="n">
        <f aca="false">K11+K12</f>
        <v>2648.09798067766</v>
      </c>
      <c r="L13" s="0" t="n">
        <f aca="false">L11+L12</f>
        <v>2740.78141000138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22</v>
      </c>
      <c r="D14" s="4" t="n">
        <f aca="false">Assumptions!D47</f>
        <v>23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734.7868294104</v>
      </c>
      <c r="D15" s="0" t="n">
        <f aca="false">D13-MAX(0,D13)*D14/100</f>
        <v>947.573403865088</v>
      </c>
      <c r="E15" s="0" t="n">
        <f aca="false">E13-MAX(0,E13)*E14/100</f>
        <v>1141.28178917104</v>
      </c>
      <c r="F15" s="0" t="n">
        <f aca="false">F13-MAX(0,F13)*F14/100</f>
        <v>1315.57866797259</v>
      </c>
      <c r="G15" s="0" t="n">
        <f aca="false">G13-MAX(0,G13)*G14/100</f>
        <v>1494.3257695993</v>
      </c>
      <c r="H15" s="0" t="n">
        <f aca="false">H13-MAX(0,H13)*H14/100</f>
        <v>1664.83620478305</v>
      </c>
      <c r="I15" s="0" t="n">
        <f aca="false">I13-MAX(0,I13)*I14/100</f>
        <v>1806.74367176218</v>
      </c>
      <c r="J15" s="0" t="n">
        <f aca="false">J13-MAX(0,J13)*J14/100</f>
        <v>1903.38344955411</v>
      </c>
      <c r="K15" s="0" t="n">
        <f aca="false">K13-MAX(0,K13)*K14/100</f>
        <v>1986.07348550825</v>
      </c>
      <c r="L15" s="0" t="n">
        <f aca="false">L13-MAX(0,L13)*L14/100</f>
        <v>2055.58605750104</v>
      </c>
    </row>
    <row r="16" customFormat="false" ht="15" hidden="false" customHeight="false" outlineLevel="0" collapsed="false">
      <c r="A16" s="0" t="s">
        <v>125</v>
      </c>
      <c r="C16" s="0" t="n">
        <f aca="false">-C12</f>
        <v>23.26010856</v>
      </c>
      <c r="D16" s="0" t="n">
        <f aca="false">-D12</f>
        <v>38.4567128192</v>
      </c>
      <c r="E16" s="0" t="n">
        <f aca="false">-E12</f>
        <v>56.24294249808</v>
      </c>
      <c r="F16" s="0" t="n">
        <f aca="false">-F12</f>
        <v>76.2654300273965</v>
      </c>
      <c r="G16" s="0" t="n">
        <f aca="false">-G12</f>
        <v>97.8739685351588</v>
      </c>
      <c r="H16" s="0" t="n">
        <f aca="false">-H12</f>
        <v>105.703886017972</v>
      </c>
      <c r="I16" s="0" t="n">
        <f aca="false">-I12</f>
        <v>112.04611917905</v>
      </c>
      <c r="J16" s="0" t="n">
        <f aca="false">-J12</f>
        <v>117.648425138002</v>
      </c>
      <c r="K16" s="0" t="n">
        <f aca="false">-K12</f>
        <v>122.354362143522</v>
      </c>
      <c r="L16" s="0" t="n">
        <f aca="false">-L12</f>
        <v>126.636764818546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-54.27358664</v>
      </c>
      <c r="D17" s="4" t="n">
        <f aca="false">-D6*Assumptions!D46/100</f>
        <v>-67.2992474336</v>
      </c>
      <c r="E17" s="4" t="n">
        <f aca="false">-E6*Assumptions!E46/100</f>
        <v>-78.740119497312</v>
      </c>
      <c r="F17" s="4" t="n">
        <f aca="false">-F6*Assumptions!F46/100</f>
        <v>-88.9763350319625</v>
      </c>
      <c r="G17" s="4" t="n">
        <f aca="false">-G6*Assumptions!G46/100</f>
        <v>-97.8739685351588</v>
      </c>
      <c r="H17" s="4" t="n">
        <f aca="false">-H6*Assumptions!H46/100</f>
        <v>-105.703886017972</v>
      </c>
      <c r="I17" s="4" t="n">
        <f aca="false">-I6*Assumptions!I46/100</f>
        <v>-112.04611917905</v>
      </c>
      <c r="J17" s="4" t="n">
        <f aca="false">-J6*Assumptions!J46/100</f>
        <v>-117.648425138002</v>
      </c>
      <c r="K17" s="4" t="n">
        <f aca="false">-K6*Assumptions!K46/100</f>
        <v>-122.354362143522</v>
      </c>
      <c r="L17" s="4" t="n">
        <f aca="false">-L6*Assumptions!L46/100</f>
        <v>-126.636764818546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164.1890016</v>
      </c>
      <c r="D18" s="4" t="n">
        <f aca="false">(D6-C6)*Assumptions!$B$51/100</f>
        <v>148.864694784</v>
      </c>
      <c r="E18" s="4" t="n">
        <f aca="false">(E6-D6)*Assumptions!$B$51/100</f>
        <v>130.75282358528</v>
      </c>
      <c r="F18" s="4" t="n">
        <f aca="false">(F6-E6)*Assumptions!$B$51/100</f>
        <v>116.985320396006</v>
      </c>
      <c r="G18" s="4" t="n">
        <f aca="false">(G6-F6)*Assumptions!$B$51/100</f>
        <v>101.687240036529</v>
      </c>
      <c r="H18" s="4" t="n">
        <f aca="false">(H6-G6)*Assumptions!$B$51/100</f>
        <v>89.4847712321453</v>
      </c>
      <c r="I18" s="4" t="n">
        <f aca="false">(I6-H6)*Assumptions!$B$51/100</f>
        <v>72.4826646980377</v>
      </c>
      <c r="J18" s="4" t="n">
        <f aca="false">(J6-I6)*Assumptions!$B$51/100</f>
        <v>64.0263538165999</v>
      </c>
      <c r="K18" s="4" t="n">
        <f aca="false">(K6-J6)*Assumptions!$B$51/100</f>
        <v>53.7821372059439</v>
      </c>
      <c r="L18" s="4" t="n">
        <f aca="false">(L6-K6)*Assumptions!$B$51/100</f>
        <v>48.9417448574089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867.9623529304</v>
      </c>
      <c r="D19" s="0" t="n">
        <f aca="false">D15+D16+D17+D18</f>
        <v>1067.59556403469</v>
      </c>
      <c r="E19" s="0" t="n">
        <f aca="false">E15+E16+E17+E18</f>
        <v>1249.53743575709</v>
      </c>
      <c r="F19" s="0" t="n">
        <f aca="false">F15+F16+F17+F18</f>
        <v>1419.85308336403</v>
      </c>
      <c r="G19" s="0" t="n">
        <f aca="false">G15+G16+G17+G18</f>
        <v>1596.01300963583</v>
      </c>
      <c r="H19" s="0" t="n">
        <f aca="false">H15+H16+H17+H18</f>
        <v>1754.3209760152</v>
      </c>
      <c r="I19" s="0" t="n">
        <f aca="false">I15+I16+I17+I18</f>
        <v>1879.22633646022</v>
      </c>
      <c r="J19" s="0" t="n">
        <f aca="false">J15+J16+J17+J18</f>
        <v>1967.40980337071</v>
      </c>
      <c r="K19" s="0" t="n">
        <f aca="false">K15+K16+K17+K18</f>
        <v>2039.85562271419</v>
      </c>
      <c r="L19" s="0" t="n">
        <f aca="false">L15+L16+L17+L18</f>
        <v>2104.52780235845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789.056684482182</v>
      </c>
      <c r="D21" s="0" t="n">
        <f aca="false">D19*D20</f>
        <v>882.310383499742</v>
      </c>
      <c r="E21" s="0" t="n">
        <f aca="false">E19*E20</f>
        <v>938.795969764904</v>
      </c>
      <c r="F21" s="0" t="n">
        <f aca="false">F19*F20</f>
        <v>969.778760579215</v>
      </c>
      <c r="G21" s="0" t="n">
        <f aca="false">G19*G20</f>
        <v>990.998509562702</v>
      </c>
      <c r="H21" s="0" t="n">
        <f aca="false">H19*H20</f>
        <v>990.268455907076</v>
      </c>
      <c r="I21" s="0" t="n">
        <f aca="false">I19*I20</f>
        <v>964.340250547509</v>
      </c>
      <c r="J21" s="0" t="n">
        <f aca="false">J19*J20</f>
        <v>917.811193169416</v>
      </c>
      <c r="K21" s="0" t="n">
        <f aca="false">K19*K20</f>
        <v>865.09791141681</v>
      </c>
      <c r="L21" s="0" t="n">
        <f aca="false">L19*L20</f>
        <v>811.386571617178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0.65</v>
      </c>
      <c r="D23" s="4" t="n">
        <f aca="false">Assumptions!D44</f>
        <v>0.65</v>
      </c>
      <c r="E23" s="4" t="n">
        <f aca="false">Assumptions!E44</f>
        <v>0.65</v>
      </c>
      <c r="F23" s="4" t="n">
        <f aca="false">Assumptions!F44</f>
        <v>0.65</v>
      </c>
      <c r="G23" s="4" t="n">
        <f aca="false">Assumptions!G44</f>
        <v>0.65</v>
      </c>
      <c r="H23" s="4" t="n">
        <f aca="false">Assumptions!H44</f>
        <v>0.65</v>
      </c>
      <c r="I23" s="4" t="n">
        <f aca="false">Assumptions!I44</f>
        <v>0.65</v>
      </c>
      <c r="J23" s="4" t="n">
        <f aca="false">Assumptions!J44</f>
        <v>0.65</v>
      </c>
      <c r="K23" s="4" t="n">
        <f aca="false">Assumptions!K44</f>
        <v>0.65</v>
      </c>
      <c r="L23" s="4" t="n">
        <f aca="false">Assumptions!L44</f>
        <v>0.65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-50.39690188</v>
      </c>
      <c r="D24" s="0" t="n">
        <f aca="false">-D6*D23/100</f>
        <v>-62.4921583312</v>
      </c>
      <c r="E24" s="0" t="n">
        <f aca="false">-E6*E23/100</f>
        <v>-73.115825247504</v>
      </c>
      <c r="F24" s="0" t="n">
        <f aca="false">-F6*F23/100</f>
        <v>-82.6208825296795</v>
      </c>
      <c r="G24" s="0" t="n">
        <f aca="false">-G6*G23/100</f>
        <v>-90.8829707826475</v>
      </c>
      <c r="H24" s="0" t="n">
        <f aca="false">-H6*H23/100</f>
        <v>-98.1536084452593</v>
      </c>
      <c r="I24" s="0" t="n">
        <f aca="false">-I6*I23/100</f>
        <v>-104.042824951975</v>
      </c>
      <c r="J24" s="0" t="n">
        <f aca="false">-J6*J23/100</f>
        <v>-109.244966199574</v>
      </c>
      <c r="K24" s="0" t="n">
        <f aca="false">-K6*K23/100</f>
        <v>-113.614764847557</v>
      </c>
      <c r="L24" s="0" t="n">
        <f aca="false">-L6*L23/100</f>
        <v>-117.591281617221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9119.84469054673</v>
      </c>
    </row>
    <row r="31" customFormat="false" ht="15" hidden="false" customHeight="false" outlineLevel="0" collapsed="false">
      <c r="A31" s="0" t="s">
        <v>134</v>
      </c>
      <c r="B31" s="0" t="n">
        <f aca="false">L19</f>
        <v>2104.52780235845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30966.62337756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31567.9170353767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30966.62337756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11938.9738395099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21058.8185300566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26921.1185300566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29.4142838664794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0.024887939598587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943.093658934414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1026.29945953024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31.5660625218327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18063.86363691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19.1473753498739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11.1965716092219</v>
      </c>
      <c r="C4" s="0" t="n">
        <f aca="false">B4/Assumptions!$B$2-1</f>
        <v>-0.609875553685648</v>
      </c>
      <c r="D4" s="4" t="n">
        <f aca="false">Assumptions!$B$24</f>
        <v>0.3</v>
      </c>
      <c r="E4" s="4" t="n">
        <f aca="false">DCF_Bear!$B$43</f>
        <v>12.3652062752514</v>
      </c>
      <c r="F4" s="4" t="n">
        <f aca="false">DCF_Bear!$B$47</f>
        <v>9.27767091285827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19.0571991533975</v>
      </c>
      <c r="C5" s="0" t="n">
        <f aca="false">B5/Assumptions!$B$2-1</f>
        <v>-0.335986092216116</v>
      </c>
      <c r="D5" s="4" t="n">
        <f aca="false">Assumptions!$B$38</f>
        <v>0.5</v>
      </c>
      <c r="E5" s="4" t="n">
        <f aca="false">DCF_Base!$B$43</f>
        <v>20.5321428772274</v>
      </c>
      <c r="F5" s="4" t="n">
        <f aca="false">DCF_Base!$B$47</f>
        <v>13.7880912405838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29.4142838664794</v>
      </c>
      <c r="C6" s="0" t="n">
        <f aca="false">B6/Assumptions!$B$2-1</f>
        <v>0.024887939598587</v>
      </c>
      <c r="D6" s="4" t="n">
        <f aca="false">Assumptions!$B$52</f>
        <v>0.2</v>
      </c>
      <c r="E6" s="4" t="n">
        <f aca="false">DCF_Bull!$B$43</f>
        <v>31.5660625218327</v>
      </c>
      <c r="F6" s="4" t="n">
        <f aca="false">DCF_Bull!$B$47</f>
        <v>19.1473753498739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18.7704278327612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20.2888458255557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-0.529000844078157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653.941945785603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13.5068219641241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20.6888959510984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19.0571991533975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17.5018144272431</v>
      </c>
      <c r="C17" s="3" t="n">
        <v>11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16.2765607416847</v>
      </c>
      <c r="C18" s="3" t="n">
        <v>12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13.7880912405838</v>
      </c>
      <c r="C19" s="3" t="n">
        <v>15</v>
      </c>
    </row>
    <row r="21" customFormat="false" ht="15" hidden="false" customHeight="false" outlineLevel="0" collapsed="false">
      <c r="A21" s="2" t="s">
        <v>170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21.7730123641507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21.7730123641507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21.7730123641507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21.7730123641507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21.7730123641507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19.9139474638706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20.4624499645708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20.6888959510984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20.6888959510984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20.6888959510984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18.225067510521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18.6151292181194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19.0571991533975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19.5624219365725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19.7002099683475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16.8962546056235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17.1822134102772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17.5018144272431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17.8613655713297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18.2688568679612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15.8243599856885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16.0391553447867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16.2765607416847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16.5403445160158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16.8351616755623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2026-10-16T18:56:11Z</dcterms:created>
  <dc:creator>openpyxl</dc:creator>
  <dc:description/>
  <dc:language>en-NZ</dc:language>
  <cp:lastModifiedBy/>
  <dcterms:modified xsi:type="dcterms:W3CDTF">2026-10-16T18:56:11Z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