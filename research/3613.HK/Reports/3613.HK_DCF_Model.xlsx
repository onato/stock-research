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<sst xmlns="http://schemas.openxmlformats.org/spreadsheetml/2006/main" count="359" uniqueCount="166">
  <si>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</si>
  <si>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3613.HK</t>
  </si>
  <si>
    <t xml:space="preserve">Company</t>
  </si>
  <si>
    <t xml:space="preserve">Beijing Tong Ren Tang Chinese Medicine Company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</si>
  <si>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</si>
  <si>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</si>
  <si>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</si>
  <si>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</si>
  <si>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2026-10-22T08:08:34Z (16:08 HKT, after the 16:00 HKEX close - regular-session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</si>
  <si>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</si>
  <si>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</si>
  <si>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</si>
  <si>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</si>
  <si>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</si>
  <si>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</si>
  <si>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</si>
  <si>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</si>
  <si>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</si>
  <si>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</si>
  <si>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</si>
  <si>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</si>
  <si>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2026-10-22T10:34:11Z</t>
  </si>
  <si>
    <t xml:space="preserve">Drivers file</t>
  </si>
  <si>
    <t xml:space="preserve">3613.HK_Drivers.json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</si>
  <si>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</si>
  <si>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</si>
  <si>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</si>
  <si>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operating TCM business on a strict owner-FCF basis - leases charged as rent, NCI deducted, no SBC to adjust, interest income kept out of the flows - and add the HK$2.2bn of surplus cash once. The FY2025 reported FCF of HK$788m is a working-capital artefact; the business normalises at HK$370-400m before the FY2026 reset and the model builds from there. Risk is charged once: a 30% bear weight and a 14x terminal cap, not a stacked WACC premium. The market at HK$5.61 (EV/EBITDA ~4.4x FY2025, P/E 11.8x, 7.1% trailing yield) is pricing roughly the bear case; the question for an owner is whether the FY2026 decline is a reset or a trend.
key_risks_to_valuation: Revenue trajectory: the model assumes the -21% H1 FY2026 decline is mostly a deliberate wholesale reset that laps in FY2027; if HK category weakness is structural the bear path (-33% cumulative) applies and value falls to roughly the current price.; EBITDA margin recovery to 42% depends on the FY2025 receivables impairment not recurring and gross margin holding 63-64%; a return to FY2025's 61.2% gross margin with opex deleverage takes 4-5pp off the margin and ~HK$1/share off value.; Working-capital treatment: HK$1.25bn of inventory is held as operating, not surplus; a sustained inventory run-down would add cash the model does not credit, while another raw-material stockpiling cycle (FY2024) would take a year of FCF away.; Related-party and group-structure risk: distribution and procurement terms with Tong Ren Tang Ltd/Holdings are renewed every three years and are not priced explicitly beyond the bear weight.; Terminal multiple: 14x FCF cap on a business that has not grown since FY2022; the base value is ~50% terminal.</t>
  </si>
  <si>
    <t xml:space="preserve">Data sources</t>
  </si>
  <si>
    <t xml:space="preserve">price: Yahoo Finance chart API (query1.finance.yahoo.com/v8/finance/chart/3613.HK) at inputs.price_as_of; 52-week range 5.40-9.50.
financials: 3613.HK_Metrics.csv / core_metrics (FY2017-FY2025 annual, H1 FY2023-H1 FY2026 interims, HK$ millions, derived from the HKEX annual and interim reports in Extracted/); H1 FY2026 interim report for the 30 Jun 2026 balance sheet, cash-flow and expenses-by-nature lines; FY2025 annual report for the ten-year summary, segment D&amp;A split and tax.
qualitative: 3613.HK_Analysis.json (2026-10-22): business model, HK/mainland/overseas mix, receivables deterioration, channel-tightening commentary, bull/bear cases.</t>
  </si>
  <si>
    <t xml:space="preserve">Scenario narrative: bear</t>
  </si>
  <si>
    <t xml:space="preserve">The axes that move it down are (1) the HK Chinese-medicine category shrinking structurally (-5.1% while total HK retail grew 9.6%), making the wholesale reset a permanent loss of volume rather than a pause, (2) distributor credit stress recurring (two customers now 56% of receivables), (3) counterfeiting and sibling-entity competition (1666.HK, 600085.SH) compressing Angong Niuhuang Wan pricing, and (4) raw-material inflation returning. Revenue falls a third and never recovers; the equity is then mostly cash plus a 12x multiple on ~HK$200m of FCF, and the dividend is cut.</t>
  </si>
  <si>
    <t xml:space="preserve">Scenario narrative: base</t>
  </si>
  <si>
    <t xml:space="preserve">The FY2026 revenue collapse (-21% in H1) is mostly self-inflicted - management tightened wholesale distribution to restore terminal price control and brand image after a year in which distributor receivables went bad (HK$102.8m in default, HK$61.6m impairment). The reset laps in FY2027, after which a 357-year-old brand with 63-64% gross margins, growing mainland and ASEAN channels and no debt grows at HKD inflation. Margin recovers to 42% EBITDA (post-IFRS-16) as the impairment does not repeat and raw-material inflation eases, but the 70%+ gross-margin era does not return. Value is roughly 35% net cash, 65% operating business at a 14x terminal multiple.</t>
  </si>
  <si>
    <t xml:space="preserve">Scenario narrative: bull</t>
  </si>
  <si>
    <t xml:space="preserve">The axes that move this stock up are (1) Hong Kong wholesale stabilising at a smaller, cleaner base while retail and clinics grow, (2) gross margin returning toward the mid-60s as bezoar/antelope-horn/deer input costs fall from the 2024 peak, (3) overseas registrations (Vietnam GMP, ASEAN, Gulf, Russia MOU) and the mainland distributor cap rising to HK$440m by 2028 delivering mid-single-digit growth, and (4) the market paying for a net-cash, 7% yielding heritage brand. All four are plausible; needing several at once is why the bull weight is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</si>
  <si>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</si>
  <si>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</si>
  <si>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</si>
  <si>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</si>
  <si>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</si>
  <si>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</si>
  <si>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</si>
  <si>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</si>
  <si>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</si>
  <si>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</si>
  <si>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</si>
  <si>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</si>
  <si>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</si>
  <si>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</si>
  <si>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</si>
  <si>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</si>
  <si>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</si>
  <si>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</si>
  <si>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</si>
  <si>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</si>
  <si>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</si>
  <si>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</si>
  <si>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</si>
  <si>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</si>
  <si>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</si>
  <si>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</si>
  <si>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</si>
  <si>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DividendsPaidToNCI</t>
  </si>
  <si>
    <t xml:space="preserve">NetIncomeInclNCI</t>
  </si>
  <si>
    <t xml:space="preserve">ShortTermDeposits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</si>
  <si>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</si>
  <si>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</si>
  <si>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</si>
  <si>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</si>
  <si>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</si>
  <si>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</si>
  <si>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</si>
  <si>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</si>
  <si>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</si>
  <si>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</si>
  <si>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</si>
  <si>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</si>
  <si>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</si>
  <si>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</si>
  <si>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</si>
  <si>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</si>
  <si>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</si>
  <si>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</si>
  <si>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</si>
  <si>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</si>
  <si>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</si>
  <si>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</si>
  <si>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</si>
  <si>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</si>
  <si>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</si>
  <si>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</si>
  <si>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</si>
  <si>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</si>
  <si>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</si>
  <si>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</si>
  <si>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</si>
  <si>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</si>
  <si>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</si>
  <si>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</si>
  <si>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</si>
  <si>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</si>
  <si>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</si>
  <si>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</si>
  <si>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</si>
  <si>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</si>
  <si>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</si>
  <si>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</si>
  <si>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</si>
  <si>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</si>
  <si>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</si>
  <si>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</si>
  <si>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3613.HK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</si>
  <si>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</si>
  <si>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</si>
  <si>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</si>
  <si>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</si>
  <si>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</si>
  <si>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</si>
  <si>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</si>
  <si>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</si>
  <si>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</si>
  <si>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</si>
  <si>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</si>
  <si>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</si>
  <si>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</si>
  <si>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</si>
  <si>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</si>
  <si>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</si>
  <si>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</si>
  <si>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</si>
  <si>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</si>
  <si>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</si>
  <si>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</si>
  <si>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</si>
  <si>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</si>
  <si>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</si>
  <si>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</si>
  <si>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</si>
  <si>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</si>
  <si>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</si>
  <si>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</si>
  <si>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</si>
  <si>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3613.HK owner-FCF component DCF: base case (millions, HKD)</t>
  </si>
  <si>
    <t xml:space="preserve">3613.HK owner-FCF component DCF: bull case (millions, HKD)</t>
  </si>
  <si>
    <t xml:space="preserve">3613.HK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</si>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</sst>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5.61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1265.994</v>
      </c>
      <c r="C2" s="0" t="n">
        <v>349.561</v>
      </c>
      <c r="D2" s="0" t="n">
        <v>916.433</v>
      </c>
      <c r="E2" s="0" t="n">
        <v>72.4</v>
      </c>
      <c r="F2" s="0" t="n">
        <v>597.684</v>
      </c>
      <c r="G2" s="0" t="n">
        <v>47.2</v>
      </c>
      <c r="I2" s="0" t="n">
        <v>489.967</v>
      </c>
      <c r="J2" s="0" t="n">
        <v>38.7</v>
      </c>
      <c r="K2" s="0" t="n">
        <v>0.59</v>
      </c>
      <c r="L2" s="0" t="n">
        <v>469.144</v>
      </c>
      <c r="M2" s="0" t="n">
        <v>34.085</v>
      </c>
      <c r="N2" s="0" t="n">
        <v>435.059</v>
      </c>
      <c r="O2" s="0" t="n">
        <v>2492.892</v>
      </c>
      <c r="P2" s="0" t="n">
        <v>2760.655</v>
      </c>
      <c r="Q2" s="0" t="n">
        <v>152.478</v>
      </c>
      <c r="R2" s="0" t="n">
        <v>0.605</v>
      </c>
      <c r="S2" s="0" t="n">
        <v>1897.781</v>
      </c>
      <c r="T2" s="0" t="n">
        <v>837.1</v>
      </c>
      <c r="U2" s="0" t="n">
        <v>0</v>
      </c>
      <c r="AA2" s="0" t="s">
        <v>17</v>
      </c>
      <c r="AB2" s="0" t="s">
        <v>14</v>
      </c>
      <c r="AC2" s="0" t="n">
        <v>23.444</v>
      </c>
      <c r="AD2" s="0" t="n">
        <v>505.512</v>
      </c>
      <c r="AE2" s="0" t="n">
        <v>1147.338</v>
      </c>
    </row>
    <row r="3" customFormat="false" ht="15" hidden="false" customHeight="false" outlineLevel="0" collapsed="false">
      <c r="A3" s="0" t="s">
        <v>67</v>
      </c>
      <c r="B3" s="0" t="n">
        <v>1513.873</v>
      </c>
      <c r="C3" s="0" t="n">
        <v>435.452</v>
      </c>
      <c r="D3" s="0" t="n">
        <v>1078.421</v>
      </c>
      <c r="E3" s="0" t="n">
        <v>71.2</v>
      </c>
      <c r="F3" s="0" t="n">
        <v>698.014</v>
      </c>
      <c r="G3" s="0" t="n">
        <v>46.1</v>
      </c>
      <c r="H3" s="0" t="n">
        <v>728.86</v>
      </c>
      <c r="I3" s="0" t="n">
        <v>580.72</v>
      </c>
      <c r="J3" s="0" t="n">
        <v>38.4</v>
      </c>
      <c r="K3" s="0" t="n">
        <v>0.69</v>
      </c>
      <c r="L3" s="0" t="n">
        <v>577.684</v>
      </c>
      <c r="M3" s="0" t="n">
        <v>53.228</v>
      </c>
      <c r="N3" s="0" t="n">
        <v>524.456</v>
      </c>
      <c r="O3" s="0" t="n">
        <v>2905.627</v>
      </c>
      <c r="P3" s="0" t="n">
        <v>3171.085</v>
      </c>
      <c r="Q3" s="0" t="n">
        <v>146.858</v>
      </c>
      <c r="R3" s="0" t="n">
        <v>1.219</v>
      </c>
      <c r="S3" s="0" t="n">
        <v>2265.44</v>
      </c>
      <c r="T3" s="0" t="n">
        <v>837.1</v>
      </c>
      <c r="U3" s="0" t="n">
        <v>0</v>
      </c>
      <c r="AA3" s="0" t="s">
        <v>17</v>
      </c>
      <c r="AB3" s="0" t="s">
        <v>14</v>
      </c>
      <c r="AC3" s="0" t="n">
        <v>17.314</v>
      </c>
      <c r="AD3" s="0" t="n">
        <v>601.323</v>
      </c>
      <c r="AE3" s="0" t="n">
        <v>1715.609</v>
      </c>
    </row>
    <row r="4" customFormat="false" ht="15" hidden="false" customHeight="false" outlineLevel="0" collapsed="false">
      <c r="A4" s="0" t="s">
        <v>68</v>
      </c>
      <c r="B4" s="0" t="n">
        <v>1432.632</v>
      </c>
      <c r="C4" s="0" t="n">
        <v>419.836</v>
      </c>
      <c r="D4" s="0" t="n">
        <v>1012.796</v>
      </c>
      <c r="E4" s="0" t="n">
        <v>70.7</v>
      </c>
      <c r="F4" s="0" t="n">
        <v>651.986</v>
      </c>
      <c r="G4" s="0" t="n">
        <v>45.5</v>
      </c>
      <c r="H4" s="0" t="n">
        <v>731.229</v>
      </c>
      <c r="I4" s="0" t="n">
        <v>556.118</v>
      </c>
      <c r="J4" s="0" t="n">
        <v>38.8</v>
      </c>
      <c r="K4" s="0" t="n">
        <v>0.66</v>
      </c>
      <c r="L4" s="0" t="n">
        <v>551.01</v>
      </c>
      <c r="M4" s="0" t="n">
        <v>16.99</v>
      </c>
      <c r="N4" s="0" t="n">
        <v>534.02</v>
      </c>
      <c r="O4" s="0" t="n">
        <v>2659.501</v>
      </c>
      <c r="P4" s="0" t="n">
        <v>3138.321</v>
      </c>
      <c r="Q4" s="0" t="n">
        <v>372.685</v>
      </c>
      <c r="R4" s="0" t="n">
        <v>1.053</v>
      </c>
      <c r="S4" s="0" t="n">
        <v>1968.366</v>
      </c>
      <c r="T4" s="0" t="n">
        <v>837.1</v>
      </c>
      <c r="U4" s="0" t="n">
        <v>0</v>
      </c>
      <c r="AA4" s="0" t="s">
        <v>17</v>
      </c>
      <c r="AB4" s="0" t="s">
        <v>14</v>
      </c>
      <c r="AC4" s="0" t="n">
        <v>33.283</v>
      </c>
      <c r="AD4" s="0" t="n">
        <v>576.852</v>
      </c>
      <c r="AE4" s="0" t="n">
        <v>911.655</v>
      </c>
    </row>
    <row r="5" customFormat="false" ht="15" hidden="false" customHeight="false" outlineLevel="0" collapsed="false">
      <c r="A5" s="0" t="s">
        <v>69</v>
      </c>
      <c r="B5" s="0" t="n">
        <v>1315.346</v>
      </c>
      <c r="C5" s="0" t="n">
        <v>362.443</v>
      </c>
      <c r="D5" s="0" t="n">
        <v>952.903</v>
      </c>
      <c r="E5" s="0" t="n">
        <v>72.4</v>
      </c>
      <c r="F5" s="0" t="n">
        <v>669.403</v>
      </c>
      <c r="G5" s="0" t="n">
        <v>50.9</v>
      </c>
      <c r="H5" s="0" t="n">
        <v>747.489</v>
      </c>
      <c r="I5" s="0" t="n">
        <v>542.456</v>
      </c>
      <c r="J5" s="0" t="n">
        <v>41.2</v>
      </c>
      <c r="K5" s="0" t="n">
        <v>0.65</v>
      </c>
      <c r="L5" s="0" t="n">
        <v>116.054</v>
      </c>
      <c r="M5" s="0" t="n">
        <v>12.88</v>
      </c>
      <c r="N5" s="0" t="n">
        <v>103.174</v>
      </c>
      <c r="O5" s="0" t="n">
        <v>3017.489</v>
      </c>
      <c r="P5" s="0" t="n">
        <v>3416.969</v>
      </c>
      <c r="Q5" s="0" t="n">
        <v>287.459</v>
      </c>
      <c r="R5" s="0" t="n">
        <v>2.312</v>
      </c>
      <c r="S5" s="0" t="n">
        <v>1847.137</v>
      </c>
      <c r="T5" s="0" t="n">
        <v>837.1</v>
      </c>
      <c r="U5" s="0" t="n">
        <v>0</v>
      </c>
      <c r="AA5" s="0" t="s">
        <v>17</v>
      </c>
      <c r="AB5" s="0" t="s">
        <v>14</v>
      </c>
      <c r="AC5" s="0" t="n">
        <v>22.073</v>
      </c>
      <c r="AD5" s="0" t="n">
        <v>567.881</v>
      </c>
      <c r="AE5" s="0" t="n">
        <v>421.097</v>
      </c>
    </row>
    <row r="6" customFormat="false" ht="15" hidden="false" customHeight="false" outlineLevel="0" collapsed="false">
      <c r="A6" s="0" t="s">
        <v>70</v>
      </c>
      <c r="B6" s="0" t="n">
        <v>1556.158</v>
      </c>
      <c r="C6" s="0" t="n">
        <v>436.535</v>
      </c>
      <c r="D6" s="0" t="n">
        <v>1119.623</v>
      </c>
      <c r="E6" s="0" t="n">
        <v>71.9</v>
      </c>
      <c r="F6" s="0" t="n">
        <v>778.46</v>
      </c>
      <c r="G6" s="0" t="n">
        <v>50</v>
      </c>
      <c r="H6" s="0" t="n">
        <v>848.432</v>
      </c>
      <c r="I6" s="0" t="n">
        <v>607.838</v>
      </c>
      <c r="J6" s="0" t="n">
        <v>39.1</v>
      </c>
      <c r="K6" s="0" t="n">
        <v>0.73</v>
      </c>
      <c r="L6" s="0" t="n">
        <v>777.17</v>
      </c>
      <c r="M6" s="0" t="n">
        <v>23.428</v>
      </c>
      <c r="N6" s="0" t="n">
        <v>753.742</v>
      </c>
      <c r="O6" s="0" t="n">
        <v>3418.173</v>
      </c>
      <c r="P6" s="0" t="n">
        <v>3834.982</v>
      </c>
      <c r="Q6" s="0" t="n">
        <v>295.478</v>
      </c>
      <c r="R6" s="0" t="n">
        <v>1.279</v>
      </c>
      <c r="S6" s="0" t="n">
        <v>2275.568</v>
      </c>
      <c r="T6" s="0" t="n">
        <v>837.1</v>
      </c>
      <c r="U6" s="0" t="n">
        <v>0</v>
      </c>
      <c r="AA6" s="0" t="s">
        <v>17</v>
      </c>
      <c r="AB6" s="0" t="s">
        <v>14</v>
      </c>
      <c r="AC6" s="0" t="n">
        <v>23.501</v>
      </c>
      <c r="AD6" s="0" t="n">
        <v>651.543</v>
      </c>
      <c r="AE6" s="0" t="n">
        <v>615.264</v>
      </c>
    </row>
    <row r="7" customFormat="false" ht="15" hidden="false" customHeight="false" outlineLevel="0" collapsed="false">
      <c r="A7" s="0" t="s">
        <v>71</v>
      </c>
      <c r="B7" s="0" t="n">
        <v>1731.095</v>
      </c>
      <c r="C7" s="0" t="n">
        <v>580.955</v>
      </c>
      <c r="D7" s="0" t="n">
        <v>1150.14</v>
      </c>
      <c r="E7" s="0" t="n">
        <v>66.4</v>
      </c>
      <c r="F7" s="0" t="n">
        <v>811.575</v>
      </c>
      <c r="G7" s="0" t="n">
        <v>46.9</v>
      </c>
      <c r="H7" s="0" t="n">
        <v>887.045</v>
      </c>
      <c r="I7" s="0" t="n">
        <v>645.875</v>
      </c>
      <c r="J7" s="0" t="n">
        <v>37.3</v>
      </c>
      <c r="K7" s="0" t="n">
        <v>0.77</v>
      </c>
      <c r="L7" s="0" t="n">
        <v>547.444</v>
      </c>
      <c r="M7" s="0" t="n">
        <v>38.509</v>
      </c>
      <c r="N7" s="0" t="n">
        <v>508.935</v>
      </c>
      <c r="O7" s="0" t="n">
        <v>3604.486</v>
      </c>
      <c r="P7" s="0" t="n">
        <v>4225.279</v>
      </c>
      <c r="Q7" s="0" t="n">
        <v>486.486</v>
      </c>
      <c r="R7" s="0" t="n">
        <v>0.552</v>
      </c>
      <c r="S7" s="0" t="n">
        <v>2243.963</v>
      </c>
      <c r="T7" s="0" t="n">
        <v>837.1</v>
      </c>
      <c r="U7" s="0" t="n">
        <v>0</v>
      </c>
      <c r="AA7" s="0" t="s">
        <v>17</v>
      </c>
      <c r="AB7" s="0" t="s">
        <v>14</v>
      </c>
      <c r="AC7" s="0" t="n">
        <v>30.617</v>
      </c>
      <c r="AD7" s="0" t="n">
        <v>691.293</v>
      </c>
      <c r="AE7" s="0" t="n">
        <v>252.997</v>
      </c>
    </row>
    <row r="8" customFormat="false" ht="15" hidden="false" customHeight="false" outlineLevel="0" collapsed="false">
      <c r="A8" s="0" t="s">
        <v>72</v>
      </c>
      <c r="B8" s="0" t="n">
        <v>1524.945</v>
      </c>
      <c r="C8" s="0" t="n">
        <v>477.702</v>
      </c>
      <c r="D8" s="0" t="n">
        <v>1047.243</v>
      </c>
      <c r="E8" s="0" t="n">
        <v>68.7</v>
      </c>
      <c r="F8" s="0" t="n">
        <v>624.149</v>
      </c>
      <c r="G8" s="0" t="n">
        <v>40.9</v>
      </c>
      <c r="H8" s="0" t="n">
        <v>706.663</v>
      </c>
      <c r="I8" s="0" t="n">
        <v>540.393</v>
      </c>
      <c r="J8" s="0" t="n">
        <v>35.4</v>
      </c>
      <c r="K8" s="0" t="n">
        <v>0.65</v>
      </c>
      <c r="L8" s="0" t="n">
        <v>460.831</v>
      </c>
      <c r="M8" s="0" t="n">
        <v>21.866</v>
      </c>
      <c r="N8" s="0" t="n">
        <v>438.965</v>
      </c>
      <c r="O8" s="0" t="n">
        <v>3866.513</v>
      </c>
      <c r="P8" s="0" t="n">
        <v>4434.445</v>
      </c>
      <c r="Q8" s="0" t="n">
        <v>413.755</v>
      </c>
      <c r="R8" s="0" t="n">
        <v>0.332</v>
      </c>
      <c r="S8" s="0" t="n">
        <v>2378.693</v>
      </c>
      <c r="T8" s="0" t="n">
        <v>837.1</v>
      </c>
      <c r="U8" s="0" t="n">
        <v>0</v>
      </c>
      <c r="AA8" s="0" t="s">
        <v>17</v>
      </c>
      <c r="AB8" s="0" t="s">
        <v>14</v>
      </c>
      <c r="AC8" s="0" t="n">
        <v>31.228</v>
      </c>
      <c r="AD8" s="0" t="n">
        <v>590.587</v>
      </c>
      <c r="AE8" s="0" t="n">
        <v>1378.879</v>
      </c>
    </row>
    <row r="9" customFormat="false" ht="15" hidden="false" customHeight="false" outlineLevel="0" collapsed="false">
      <c r="A9" s="0" t="s">
        <v>73</v>
      </c>
      <c r="B9" s="0" t="n">
        <v>1611.644</v>
      </c>
      <c r="C9" s="0" t="n">
        <v>546.315</v>
      </c>
      <c r="D9" s="0" t="n">
        <v>1065.329</v>
      </c>
      <c r="E9" s="0" t="n">
        <v>66.1</v>
      </c>
      <c r="F9" s="0" t="n">
        <v>576.924</v>
      </c>
      <c r="G9" s="0" t="n">
        <v>35.8</v>
      </c>
      <c r="H9" s="0" t="n">
        <v>665.046</v>
      </c>
      <c r="I9" s="0" t="n">
        <v>500.278</v>
      </c>
      <c r="J9" s="0" t="n">
        <v>31</v>
      </c>
      <c r="K9" s="0" t="n">
        <v>0.6</v>
      </c>
      <c r="L9" s="0" t="n">
        <v>-217.251</v>
      </c>
      <c r="M9" s="0" t="n">
        <v>43.168</v>
      </c>
      <c r="N9" s="0" t="n">
        <v>-260.419</v>
      </c>
      <c r="O9" s="0" t="n">
        <v>4075.36</v>
      </c>
      <c r="P9" s="0" t="n">
        <v>4559.525</v>
      </c>
      <c r="Q9" s="0" t="n">
        <v>313.091</v>
      </c>
      <c r="R9" s="0" t="n">
        <v>0.213</v>
      </c>
      <c r="S9" s="0" t="n">
        <v>1819.753</v>
      </c>
      <c r="T9" s="0" t="n">
        <v>837.1</v>
      </c>
      <c r="U9" s="0" t="n">
        <v>0</v>
      </c>
      <c r="AA9" s="0" t="s">
        <v>17</v>
      </c>
      <c r="AB9" s="0" t="s">
        <v>14</v>
      </c>
      <c r="AC9" s="0" t="n">
        <v>29.823</v>
      </c>
      <c r="AD9" s="0" t="n">
        <v>529.167</v>
      </c>
      <c r="AE9" s="0" t="n">
        <v>46.679</v>
      </c>
    </row>
    <row r="10" customFormat="false" ht="15" hidden="false" customHeight="false" outlineLevel="0" collapsed="false">
      <c r="A10" s="0" t="s">
        <v>74</v>
      </c>
      <c r="B10" s="0" t="n">
        <v>1513.357</v>
      </c>
      <c r="C10" s="0" t="n">
        <v>587.781</v>
      </c>
      <c r="D10" s="0" t="n">
        <v>925.576</v>
      </c>
      <c r="E10" s="0" t="n">
        <v>61.2</v>
      </c>
      <c r="F10" s="0" t="n">
        <v>472.239</v>
      </c>
      <c r="G10" s="0" t="n">
        <v>31.2</v>
      </c>
      <c r="H10" s="0" t="n">
        <v>570.603</v>
      </c>
      <c r="I10" s="0" t="n">
        <v>397.216</v>
      </c>
      <c r="J10" s="0" t="n">
        <v>26.2</v>
      </c>
      <c r="K10" s="0" t="n">
        <v>0.47</v>
      </c>
      <c r="L10" s="0" t="n">
        <v>829.52</v>
      </c>
      <c r="M10" s="0" t="n">
        <v>41.183</v>
      </c>
      <c r="N10" s="0" t="n">
        <v>788.337</v>
      </c>
      <c r="O10" s="0" t="n">
        <v>4187.89</v>
      </c>
      <c r="P10" s="0" t="n">
        <v>4660.738</v>
      </c>
      <c r="Q10" s="0" t="n">
        <v>291.877</v>
      </c>
      <c r="R10" s="0" t="n">
        <v>0.142</v>
      </c>
      <c r="S10" s="0" t="n">
        <v>2279.224</v>
      </c>
      <c r="T10" s="0" t="n">
        <v>837.1</v>
      </c>
      <c r="U10" s="0" t="n">
        <v>0</v>
      </c>
      <c r="AA10" s="0" t="s">
        <v>17</v>
      </c>
      <c r="AB10" s="0" t="s">
        <v>14</v>
      </c>
      <c r="AC10" s="0" t="n">
        <v>19.912</v>
      </c>
      <c r="AD10" s="0" t="n">
        <v>416.859</v>
      </c>
      <c r="AE10" s="0" t="n">
        <v>51.377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5.61</v>
      </c>
    </row>
    <row r="3" customFormat="false" ht="15" hidden="false" customHeight="false" outlineLevel="0" collapsed="false">
      <c r="A3" s="0" t="s">
        <v>78</v>
      </c>
      <c r="B3" s="3" t="n">
        <v>837.1</v>
      </c>
    </row>
    <row r="4" customFormat="false" ht="15" hidden="false" customHeight="false" outlineLevel="0" collapsed="false">
      <c r="A4" s="0" t="s">
        <v>79</v>
      </c>
      <c r="B4" s="3" t="n">
        <v>-2207.7</v>
      </c>
    </row>
    <row r="5" customFormat="false" ht="15" hidden="false" customHeight="false" outlineLevel="0" collapsed="false">
      <c r="A5" s="0" t="s">
        <v>80</v>
      </c>
      <c r="B5" s="3" t="n">
        <v>-135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1513.357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-22</v>
      </c>
      <c r="D13" s="3" t="n">
        <v>-8</v>
      </c>
      <c r="E13" s="3" t="n">
        <v>-4</v>
      </c>
      <c r="F13" s="3" t="n">
        <v>-2</v>
      </c>
      <c r="G13" s="3" t="n">
        <v>-1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99</v>
      </c>
      <c r="C14" s="3" t="n">
        <v>38</v>
      </c>
      <c r="D14" s="3" t="n">
        <v>37</v>
      </c>
      <c r="E14" s="3" t="n">
        <v>36.5</v>
      </c>
      <c r="F14" s="3" t="n">
        <v>36</v>
      </c>
      <c r="G14" s="3" t="n">
        <v>35.5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6.4</v>
      </c>
      <c r="D16" s="3" t="n">
        <v>6.6</v>
      </c>
      <c r="E16" s="3" t="n">
        <v>6.6</v>
      </c>
      <c r="F16" s="3" t="n">
        <v>6.5</v>
      </c>
      <c r="G16" s="3" t="n">
        <v>6.4</v>
      </c>
      <c r="H16" s="3" t="n">
        <v>6.2</v>
      </c>
      <c r="I16" s="3" t="n">
        <v>6</v>
      </c>
      <c r="J16" s="3" t="n">
        <v>6</v>
      </c>
      <c r="K16" s="3" t="n">
        <v>6</v>
      </c>
      <c r="L16" s="3" t="n">
        <v>6</v>
      </c>
    </row>
    <row r="17" customFormat="false" ht="15" hidden="false" customHeight="false" outlineLevel="0" collapsed="false">
      <c r="A17" s="0" t="s">
        <v>102</v>
      </c>
      <c r="C17" s="3" t="n">
        <v>2.2</v>
      </c>
      <c r="D17" s="3" t="n">
        <v>2.3</v>
      </c>
      <c r="E17" s="3" t="n">
        <v>2.3</v>
      </c>
      <c r="F17" s="3" t="n">
        <v>2.3</v>
      </c>
      <c r="G17" s="3" t="n">
        <v>2.2</v>
      </c>
      <c r="H17" s="3" t="n">
        <v>2.2</v>
      </c>
      <c r="I17" s="3" t="n">
        <v>2.2</v>
      </c>
      <c r="J17" s="3" t="n">
        <v>2.2</v>
      </c>
      <c r="K17" s="3" t="n">
        <v>2.2</v>
      </c>
      <c r="L17" s="3" t="n">
        <v>2.2</v>
      </c>
    </row>
    <row r="18" customFormat="false" ht="15" hidden="false" customHeight="false" outlineLevel="0" collapsed="false">
      <c r="A18" s="0" t="s">
        <v>103</v>
      </c>
      <c r="C18" s="3" t="n">
        <v>1.5</v>
      </c>
      <c r="D18" s="3" t="n">
        <v>2</v>
      </c>
      <c r="E18" s="3" t="n">
        <v>2.2</v>
      </c>
      <c r="F18" s="3" t="n">
        <v>2.2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104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-30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-17</v>
      </c>
      <c r="D27" s="3" t="n">
        <v>-3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40</v>
      </c>
      <c r="D28" s="3" t="n">
        <v>40.5</v>
      </c>
      <c r="E28" s="3" t="n">
        <v>41</v>
      </c>
      <c r="F28" s="3" t="n">
        <v>41.5</v>
      </c>
      <c r="G28" s="3" t="n">
        <v>42</v>
      </c>
      <c r="H28" s="3" t="n">
        <v>42</v>
      </c>
      <c r="I28" s="3" t="n">
        <v>42</v>
      </c>
      <c r="J28" s="3" t="n">
        <v>42</v>
      </c>
      <c r="K28" s="3" t="n">
        <v>42</v>
      </c>
      <c r="L28" s="3" t="n">
        <v>42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6</v>
      </c>
      <c r="D30" s="3" t="n">
        <v>5.9</v>
      </c>
      <c r="E30" s="3" t="n">
        <v>5.7</v>
      </c>
      <c r="F30" s="3" t="n">
        <v>5.5</v>
      </c>
      <c r="G30" s="3" t="n">
        <v>5.3</v>
      </c>
      <c r="H30" s="3" t="n">
        <v>5.2</v>
      </c>
      <c r="I30" s="3" t="n">
        <v>5.1</v>
      </c>
      <c r="J30" s="3" t="n">
        <v>5</v>
      </c>
      <c r="K30" s="3" t="n">
        <v>5</v>
      </c>
      <c r="L30" s="3" t="n">
        <v>5</v>
      </c>
    </row>
    <row r="31" customFormat="false" ht="15" hidden="false" customHeight="false" outlineLevel="0" collapsed="false">
      <c r="A31" s="0" t="s">
        <v>102</v>
      </c>
      <c r="C31" s="3" t="n">
        <v>2.1</v>
      </c>
      <c r="D31" s="3" t="n">
        <v>2.1</v>
      </c>
      <c r="E31" s="3" t="n">
        <v>2.1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103</v>
      </c>
      <c r="C32" s="3" t="n">
        <v>1.5</v>
      </c>
      <c r="D32" s="3" t="n">
        <v>2.2</v>
      </c>
      <c r="E32" s="3" t="n">
        <v>2.3</v>
      </c>
      <c r="F32" s="3" t="n">
        <v>2.3</v>
      </c>
      <c r="G32" s="3" t="n">
        <v>2.3</v>
      </c>
      <c r="H32" s="3" t="n">
        <v>2.3</v>
      </c>
      <c r="I32" s="3" t="n">
        <v>2.3</v>
      </c>
      <c r="J32" s="3" t="n">
        <v>2.3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104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-30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-14</v>
      </c>
      <c r="D41" s="3" t="n">
        <v>2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41</v>
      </c>
      <c r="D42" s="3" t="n">
        <v>42.5</v>
      </c>
      <c r="E42" s="3" t="n">
        <v>43.5</v>
      </c>
      <c r="F42" s="3" t="n">
        <v>44.5</v>
      </c>
      <c r="G42" s="3" t="n">
        <v>45.5</v>
      </c>
      <c r="H42" s="3" t="n">
        <v>46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5.8</v>
      </c>
      <c r="D44" s="3" t="n">
        <v>5.5</v>
      </c>
      <c r="E44" s="3" t="n">
        <v>5.2</v>
      </c>
      <c r="F44" s="3" t="n">
        <v>5</v>
      </c>
      <c r="G44" s="3" t="n">
        <v>4.9</v>
      </c>
      <c r="H44" s="3" t="n">
        <v>4.8</v>
      </c>
      <c r="I44" s="3" t="n">
        <v>4.8</v>
      </c>
      <c r="J44" s="3" t="n">
        <v>4.8</v>
      </c>
      <c r="K44" s="3" t="n">
        <v>4.8</v>
      </c>
      <c r="L44" s="3" t="n">
        <v>4.8</v>
      </c>
    </row>
    <row r="45" customFormat="false" ht="15" hidden="false" customHeight="false" outlineLevel="0" collapsed="false">
      <c r="A45" s="0" t="s">
        <v>102</v>
      </c>
      <c r="C45" s="3" t="n">
        <v>2.1</v>
      </c>
      <c r="D45" s="3" t="n">
        <v>2.1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103</v>
      </c>
      <c r="C46" s="3" t="n">
        <v>1.5</v>
      </c>
      <c r="D46" s="3" t="n">
        <v>2.5</v>
      </c>
      <c r="E46" s="3" t="n">
        <v>2.5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104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-30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-22</v>
      </c>
      <c r="D5" s="4" t="n">
        <f aca="false">Assumptions!D13</f>
        <v>-8</v>
      </c>
      <c r="E5" s="4" t="n">
        <f aca="false">Assumptions!E13</f>
        <v>-4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1513.357</v>
      </c>
      <c r="C6" s="0" t="n">
        <f aca="false">B6*(1+C5/100)</f>
        <v>1180.41846</v>
      </c>
      <c r="D6" s="0" t="n">
        <f aca="false">C6*(1+D5/100)</f>
        <v>1085.9849832</v>
      </c>
      <c r="E6" s="0" t="n">
        <f aca="false">D6*(1+E5/100)</f>
        <v>1042.545583872</v>
      </c>
      <c r="F6" s="0" t="n">
        <f aca="false">E6*(1+F5/100)</f>
        <v>1021.69467219456</v>
      </c>
      <c r="G6" s="0" t="n">
        <f aca="false">F6*(1+G5/100)</f>
        <v>1011.47772547261</v>
      </c>
      <c r="H6" s="0" t="n">
        <f aca="false">G6*(1+H5/100)</f>
        <v>1011.47772547261</v>
      </c>
      <c r="I6" s="0" t="n">
        <f aca="false">H6*(1+I5/100)</f>
        <v>1016.53511409998</v>
      </c>
      <c r="J6" s="0" t="n">
        <f aca="false">I6*(1+J5/100)</f>
        <v>1026.70046524098</v>
      </c>
      <c r="K6" s="0" t="n">
        <f aca="false">J6*(1+K5/100)</f>
        <v>1036.96746989339</v>
      </c>
      <c r="L6" s="0" t="n">
        <f aca="false">K6*(1+L5/100)</f>
        <v>1047.33714459232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38</v>
      </c>
      <c r="D7" s="4" t="n">
        <f aca="false">Assumptions!D14</f>
        <v>37</v>
      </c>
      <c r="E7" s="4" t="n">
        <f aca="false">Assumptions!E14</f>
        <v>36.5</v>
      </c>
      <c r="F7" s="4" t="n">
        <f aca="false">Assumptions!F14</f>
        <v>36</v>
      </c>
      <c r="G7" s="4" t="n">
        <f aca="false">Assumptions!G14</f>
        <v>35.5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448.5590148</v>
      </c>
      <c r="D8" s="0" t="n">
        <f aca="false">D6*D7/100</f>
        <v>401.814443784</v>
      </c>
      <c r="E8" s="0" t="n">
        <f aca="false">E6*E7/100</f>
        <v>380.52913811328</v>
      </c>
      <c r="F8" s="0" t="n">
        <f aca="false">F6*F7/100</f>
        <v>367.810081990042</v>
      </c>
      <c r="G8" s="0" t="n">
        <f aca="false">G6*G7/100</f>
        <v>359.074592542778</v>
      </c>
      <c r="H8" s="0" t="n">
        <f aca="false">H6*H7/100</f>
        <v>354.017203915415</v>
      </c>
      <c r="I8" s="0" t="n">
        <f aca="false">I6*I7/100</f>
        <v>355.787289934992</v>
      </c>
      <c r="J8" s="0" t="n">
        <f aca="false">J6*J7/100</f>
        <v>359.345162834342</v>
      </c>
      <c r="K8" s="0" t="n">
        <f aca="false">K6*K7/100</f>
        <v>362.938614462685</v>
      </c>
      <c r="L8" s="0" t="n">
        <f aca="false">L6*L7/100</f>
        <v>366.568000607312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373.01223336</v>
      </c>
      <c r="D11" s="0" t="n">
        <f aca="false">D8+D10+D24</f>
        <v>330.1394348928</v>
      </c>
      <c r="E11" s="0" t="n">
        <f aca="false">E8+E10+E24</f>
        <v>311.721129577728</v>
      </c>
      <c r="F11" s="0" t="n">
        <f aca="false">F8+F10+F24</f>
        <v>301.399928297395</v>
      </c>
      <c r="G11" s="0" t="n">
        <f aca="false">G8+G10+G24</f>
        <v>294.340018112531</v>
      </c>
      <c r="H11" s="0" t="n">
        <f aca="false">H8+H10+H24</f>
        <v>291.305584936113</v>
      </c>
      <c r="I11" s="0" t="n">
        <f aca="false">I8+I10+I24</f>
        <v>294.795183088994</v>
      </c>
      <c r="J11" s="0" t="n">
        <f aca="false">J8+J10+J24</f>
        <v>297.743134919883</v>
      </c>
      <c r="K11" s="0" t="n">
        <f aca="false">K8+K10+K24</f>
        <v>300.720566269082</v>
      </c>
      <c r="L11" s="0" t="n">
        <f aca="false">L8+L10+L24</f>
        <v>303.727771931773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-25.96920612</v>
      </c>
      <c r="D12" s="4" t="n">
        <f aca="false">-D6*Assumptions!D17/100</f>
        <v>-24.9776546136</v>
      </c>
      <c r="E12" s="4" t="n">
        <f aca="false">-E6*Assumptions!E17/100</f>
        <v>-23.978548429056</v>
      </c>
      <c r="F12" s="4" t="n">
        <f aca="false">-F6*Assumptions!F17/100</f>
        <v>-23.4989774604749</v>
      </c>
      <c r="G12" s="4" t="n">
        <f aca="false">-G6*Assumptions!G17/100</f>
        <v>-22.2525099603975</v>
      </c>
      <c r="H12" s="4" t="n">
        <f aca="false">-H6*Assumptions!H17/100</f>
        <v>-22.2525099603975</v>
      </c>
      <c r="I12" s="4" t="n">
        <f aca="false">-I6*Assumptions!I17/100</f>
        <v>-22.3637725101995</v>
      </c>
      <c r="J12" s="4" t="n">
        <f aca="false">-J6*Assumptions!J17/100</f>
        <v>-22.5874102353015</v>
      </c>
      <c r="K12" s="4" t="n">
        <f aca="false">-K6*Assumptions!K17/100</f>
        <v>-22.8132843376545</v>
      </c>
      <c r="L12" s="4" t="n">
        <f aca="false">-L6*Assumptions!L17/100</f>
        <v>-23.0414171810311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347.04302724</v>
      </c>
      <c r="D13" s="0" t="n">
        <f aca="false">D11+D12</f>
        <v>305.1617802792</v>
      </c>
      <c r="E13" s="0" t="n">
        <f aca="false">E11+E12</f>
        <v>287.742581148672</v>
      </c>
      <c r="F13" s="0" t="n">
        <f aca="false">F11+F12</f>
        <v>277.90095083692</v>
      </c>
      <c r="G13" s="0" t="n">
        <f aca="false">G11+G12</f>
        <v>272.087508152133</v>
      </c>
      <c r="H13" s="0" t="n">
        <f aca="false">H11+H12</f>
        <v>269.053074975716</v>
      </c>
      <c r="I13" s="0" t="n">
        <f aca="false">I11+I12</f>
        <v>272.431410578794</v>
      </c>
      <c r="J13" s="0" t="n">
        <f aca="false">J11+J12</f>
        <v>275.155724684582</v>
      </c>
      <c r="K13" s="0" t="n">
        <f aca="false">K11+K12</f>
        <v>277.907281931428</v>
      </c>
      <c r="L13" s="0" t="n">
        <f aca="false">L11+L12</f>
        <v>280.686354750742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284.5752823368</v>
      </c>
      <c r="D15" s="0" t="n">
        <f aca="false">D13-MAX(0,D13)*D14/100</f>
        <v>250.232659828944</v>
      </c>
      <c r="E15" s="0" t="n">
        <f aca="false">E13-MAX(0,E13)*E14/100</f>
        <v>235.948916541911</v>
      </c>
      <c r="F15" s="0" t="n">
        <f aca="false">F13-MAX(0,F13)*F14/100</f>
        <v>227.878779686275</v>
      </c>
      <c r="G15" s="0" t="n">
        <f aca="false">G13-MAX(0,G13)*G14/100</f>
        <v>223.111756684749</v>
      </c>
      <c r="H15" s="0" t="n">
        <f aca="false">H13-MAX(0,H13)*H14/100</f>
        <v>220.623521480087</v>
      </c>
      <c r="I15" s="0" t="n">
        <f aca="false">I13-MAX(0,I13)*I14/100</f>
        <v>223.393756674611</v>
      </c>
      <c r="J15" s="0" t="n">
        <f aca="false">J13-MAX(0,J13)*J14/100</f>
        <v>225.627694241357</v>
      </c>
      <c r="K15" s="0" t="n">
        <f aca="false">K13-MAX(0,K13)*K14/100</f>
        <v>227.883971183771</v>
      </c>
      <c r="L15" s="0" t="n">
        <f aca="false">L13-MAX(0,L13)*L14/100</f>
        <v>230.162810895608</v>
      </c>
    </row>
    <row r="16" customFormat="false" ht="15" hidden="false" customHeight="false" outlineLevel="0" collapsed="false">
      <c r="A16" s="0" t="s">
        <v>120</v>
      </c>
      <c r="C16" s="0" t="n">
        <f aca="false">-C12</f>
        <v>25.96920612</v>
      </c>
      <c r="D16" s="0" t="n">
        <f aca="false">-D12</f>
        <v>24.9776546136</v>
      </c>
      <c r="E16" s="0" t="n">
        <f aca="false">-E12</f>
        <v>23.978548429056</v>
      </c>
      <c r="F16" s="0" t="n">
        <f aca="false">-F12</f>
        <v>23.4989774604749</v>
      </c>
      <c r="G16" s="0" t="n">
        <f aca="false">-G12</f>
        <v>22.2525099603975</v>
      </c>
      <c r="H16" s="0" t="n">
        <f aca="false">-H12</f>
        <v>22.2525099603975</v>
      </c>
      <c r="I16" s="0" t="n">
        <f aca="false">-I12</f>
        <v>22.3637725101995</v>
      </c>
      <c r="J16" s="0" t="n">
        <f aca="false">-J12</f>
        <v>22.5874102353015</v>
      </c>
      <c r="K16" s="0" t="n">
        <f aca="false">-K12</f>
        <v>22.8132843376545</v>
      </c>
      <c r="L16" s="0" t="n">
        <f aca="false">-L12</f>
        <v>23.0414171810311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-17.7062769</v>
      </c>
      <c r="D17" s="4" t="n">
        <f aca="false">-D6*Assumptions!D18/100</f>
        <v>-21.719699664</v>
      </c>
      <c r="E17" s="4" t="n">
        <f aca="false">-E6*Assumptions!E18/100</f>
        <v>-22.936002845184</v>
      </c>
      <c r="F17" s="4" t="n">
        <f aca="false">-F6*Assumptions!F18/100</f>
        <v>-22.4772827882803</v>
      </c>
      <c r="G17" s="4" t="n">
        <f aca="false">-G6*Assumptions!G18/100</f>
        <v>-22.2525099603975</v>
      </c>
      <c r="H17" s="4" t="n">
        <f aca="false">-H6*Assumptions!H18/100</f>
        <v>-22.2525099603975</v>
      </c>
      <c r="I17" s="4" t="n">
        <f aca="false">-I6*Assumptions!I18/100</f>
        <v>-22.3637725101995</v>
      </c>
      <c r="J17" s="4" t="n">
        <f aca="false">-J6*Assumptions!J18/100</f>
        <v>-22.5874102353015</v>
      </c>
      <c r="K17" s="4" t="n">
        <f aca="false">-K6*Assumptions!K18/100</f>
        <v>-22.8132843376545</v>
      </c>
      <c r="L17" s="4" t="n">
        <f aca="false">-L6*Assumptions!L18/100</f>
        <v>-23.0414171810311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99.881562</v>
      </c>
      <c r="D18" s="4" t="n">
        <f aca="false">(D6-C6)*Assumptions!$B$23/100</f>
        <v>28.33004304</v>
      </c>
      <c r="E18" s="4" t="n">
        <f aca="false">(E6-D6)*Assumptions!$B$23/100</f>
        <v>13.0318197984</v>
      </c>
      <c r="F18" s="4" t="n">
        <f aca="false">(F6-E6)*Assumptions!$B$23/100</f>
        <v>6.25527350323199</v>
      </c>
      <c r="G18" s="4" t="n">
        <f aca="false">(G6-F6)*Assumptions!$B$23/100</f>
        <v>3.06508401658369</v>
      </c>
      <c r="H18" s="4" t="n">
        <f aca="false">(H6-G6)*Assumptions!$B$23/100</f>
        <v>-0</v>
      </c>
      <c r="I18" s="4" t="n">
        <f aca="false">(I6-H6)*Assumptions!$B$23/100</f>
        <v>-1.51721658820887</v>
      </c>
      <c r="J18" s="4" t="n">
        <f aca="false">(J6-I6)*Assumptions!$B$23/100</f>
        <v>-3.04960534229996</v>
      </c>
      <c r="K18" s="4" t="n">
        <f aca="false">(K6-J6)*Assumptions!$B$23/100</f>
        <v>-3.08010139572291</v>
      </c>
      <c r="L18" s="4" t="n">
        <f aca="false">(L6-K6)*Assumptions!$B$23/100</f>
        <v>-3.11090240968019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392.7197735568</v>
      </c>
      <c r="D19" s="0" t="n">
        <f aca="false">D15+D16+D17+D18</f>
        <v>281.820657818544</v>
      </c>
      <c r="E19" s="0" t="n">
        <f aca="false">E15+E16+E17+E18</f>
        <v>250.023281924183</v>
      </c>
      <c r="F19" s="0" t="n">
        <f aca="false">F15+F16+F17+F18</f>
        <v>235.155747861701</v>
      </c>
      <c r="G19" s="0" t="n">
        <f aca="false">G15+G16+G17+G18</f>
        <v>226.176840701333</v>
      </c>
      <c r="H19" s="0" t="n">
        <f aca="false">H15+H16+H17+H18</f>
        <v>220.623521480087</v>
      </c>
      <c r="I19" s="0" t="n">
        <f aca="false">I15+I16+I17+I18</f>
        <v>221.876540086402</v>
      </c>
      <c r="J19" s="0" t="n">
        <f aca="false">J15+J16+J17+J18</f>
        <v>222.578088899057</v>
      </c>
      <c r="K19" s="0" t="n">
        <f aca="false">K15+K16+K17+K18</f>
        <v>224.803869788048</v>
      </c>
      <c r="L19" s="0" t="n">
        <f aca="false">L15+L16+L17+L18</f>
        <v>227.051908485928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360.293370235596</v>
      </c>
      <c r="D21" s="0" t="n">
        <f aca="false">D19*D20</f>
        <v>237.20280937509</v>
      </c>
      <c r="E21" s="0" t="n">
        <f aca="false">E19*E20</f>
        <v>193.063847932504</v>
      </c>
      <c r="F21" s="0" t="n">
        <f aca="false">F19*F20</f>
        <v>166.59026031212</v>
      </c>
      <c r="G21" s="0" t="n">
        <f aca="false">G19*G20</f>
        <v>146.999427625597</v>
      </c>
      <c r="H21" s="0" t="n">
        <f aca="false">H19*H20</f>
        <v>131.550597399611</v>
      </c>
      <c r="I21" s="0" t="n">
        <f aca="false">I19*I20</f>
        <v>121.374065554613</v>
      </c>
      <c r="J21" s="0" t="n">
        <f aca="false">J19*J20</f>
        <v>111.704437412444</v>
      </c>
      <c r="K21" s="0" t="n">
        <f aca="false">K19*K20</f>
        <v>103.505946593182</v>
      </c>
      <c r="L21" s="0" t="n">
        <f aca="false">L19*L20</f>
        <v>95.909179870747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6.4</v>
      </c>
      <c r="D23" s="4" t="n">
        <f aca="false">Assumptions!D16</f>
        <v>6.6</v>
      </c>
      <c r="E23" s="4" t="n">
        <f aca="false">Assumptions!E16</f>
        <v>6.6</v>
      </c>
      <c r="F23" s="4" t="n">
        <f aca="false">Assumptions!F16</f>
        <v>6.5</v>
      </c>
      <c r="G23" s="4" t="n">
        <f aca="false">Assumptions!G16</f>
        <v>6.4</v>
      </c>
      <c r="H23" s="4" t="n">
        <f aca="false">Assumptions!H16</f>
        <v>6.2</v>
      </c>
      <c r="I23" s="4" t="n">
        <f aca="false">Assumptions!I16</f>
        <v>6</v>
      </c>
      <c r="J23" s="4" t="n">
        <f aca="false">Assumptions!J16</f>
        <v>6</v>
      </c>
      <c r="K23" s="4" t="n">
        <f aca="false">Assumptions!K16</f>
        <v>6</v>
      </c>
      <c r="L23" s="4" t="n">
        <f aca="false">Assumptions!L16</f>
        <v>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-75.54678144</v>
      </c>
      <c r="D24" s="0" t="n">
        <f aca="false">-D6*D23/100</f>
        <v>-71.6750088912</v>
      </c>
      <c r="E24" s="0" t="n">
        <f aca="false">-E6*E23/100</f>
        <v>-68.808008535552</v>
      </c>
      <c r="F24" s="0" t="n">
        <f aca="false">-F6*F23/100</f>
        <v>-66.4101536926464</v>
      </c>
      <c r="G24" s="0" t="n">
        <f aca="false">-G6*G23/100</f>
        <v>-64.7345744302473</v>
      </c>
      <c r="H24" s="0" t="n">
        <f aca="false">-H6*H23/100</f>
        <v>-62.7116189793021</v>
      </c>
      <c r="I24" s="0" t="n">
        <f aca="false">-I6*I23/100</f>
        <v>-60.9921068459987</v>
      </c>
      <c r="J24" s="0" t="n">
        <f aca="false">-J6*J23/100</f>
        <v>-61.6020279144586</v>
      </c>
      <c r="K24" s="0" t="n">
        <f aca="false">-K6*K23/100</f>
        <v>-62.2180481936032</v>
      </c>
      <c r="L24" s="0" t="n">
        <f aca="false">-L6*L23/100</f>
        <v>-62.8402286755393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1668.19394231151</v>
      </c>
    </row>
    <row r="31" customFormat="false" ht="15" hidden="false" customHeight="false" outlineLevel="0" collapsed="false">
      <c r="A31" s="0" t="s">
        <v>129</v>
      </c>
      <c r="B31" s="0" t="n">
        <f aca="false">L19</f>
        <v>227.051908485928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2866.53034463484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2724.62290183114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2724.62290183114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1150.91015844896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2819.10410076047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4891.80410076047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5.84375116564385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0.0416668744463196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5.84375116564385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1638.01733979134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4.55747456144624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-17</v>
      </c>
      <c r="D5" s="4" t="n">
        <f aca="false">Assumptions!D27</f>
        <v>-3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1513.357</v>
      </c>
      <c r="C6" s="0" t="n">
        <f aca="false">B6*(1+C5/100)</f>
        <v>1256.08631</v>
      </c>
      <c r="D6" s="0" t="n">
        <f aca="false">C6*(1+D5/100)</f>
        <v>1218.4037207</v>
      </c>
      <c r="E6" s="0" t="n">
        <f aca="false">D6*(1+E5/100)</f>
        <v>1242.771795114</v>
      </c>
      <c r="F6" s="0" t="n">
        <f aca="false">E6*(1+F5/100)</f>
        <v>1280.05494896742</v>
      </c>
      <c r="G6" s="0" t="n">
        <f aca="false">F6*(1+G5/100)</f>
        <v>1318.45659743644</v>
      </c>
      <c r="H6" s="0" t="n">
        <f aca="false">G6*(1+H5/100)</f>
        <v>1358.01029535954</v>
      </c>
      <c r="I6" s="0" t="n">
        <f aca="false">H6*(1+I5/100)</f>
        <v>1391.96055274352</v>
      </c>
      <c r="J6" s="0" t="n">
        <f aca="false">I6*(1+J5/100)</f>
        <v>1426.75956656211</v>
      </c>
      <c r="K6" s="0" t="n">
        <f aca="false">J6*(1+K5/100)</f>
        <v>1462.42855572616</v>
      </c>
      <c r="L6" s="0" t="n">
        <f aca="false">K6*(1+L5/100)</f>
        <v>1498.98926961932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40</v>
      </c>
      <c r="D7" s="4" t="n">
        <f aca="false">Assumptions!D28</f>
        <v>40.5</v>
      </c>
      <c r="E7" s="4" t="n">
        <f aca="false">Assumptions!E28</f>
        <v>41</v>
      </c>
      <c r="F7" s="4" t="n">
        <f aca="false">Assumptions!F28</f>
        <v>41.5</v>
      </c>
      <c r="G7" s="4" t="n">
        <f aca="false">Assumptions!G28</f>
        <v>42</v>
      </c>
      <c r="H7" s="4" t="n">
        <f aca="false">Assumptions!H28</f>
        <v>42</v>
      </c>
      <c r="I7" s="4" t="n">
        <f aca="false">Assumptions!I28</f>
        <v>42</v>
      </c>
      <c r="J7" s="4" t="n">
        <f aca="false">Assumptions!J28</f>
        <v>42</v>
      </c>
      <c r="K7" s="4" t="n">
        <f aca="false">Assumptions!K28</f>
        <v>42</v>
      </c>
      <c r="L7" s="4" t="n">
        <f aca="false">Assumptions!L28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502.434524</v>
      </c>
      <c r="D8" s="0" t="n">
        <f aca="false">D6*D7/100</f>
        <v>493.4535068835</v>
      </c>
      <c r="E8" s="0" t="n">
        <f aca="false">E6*E7/100</f>
        <v>509.53643599674</v>
      </c>
      <c r="F8" s="0" t="n">
        <f aca="false">F6*F7/100</f>
        <v>531.222803821479</v>
      </c>
      <c r="G8" s="0" t="n">
        <f aca="false">G6*G7/100</f>
        <v>553.751770923306</v>
      </c>
      <c r="H8" s="0" t="n">
        <f aca="false">H6*H7/100</f>
        <v>570.364324051005</v>
      </c>
      <c r="I8" s="0" t="n">
        <f aca="false">I6*I7/100</f>
        <v>584.62343215228</v>
      </c>
      <c r="J8" s="0" t="n">
        <f aca="false">J6*J7/100</f>
        <v>599.239017956087</v>
      </c>
      <c r="K8" s="0" t="n">
        <f aca="false">K6*K7/100</f>
        <v>614.219993404989</v>
      </c>
      <c r="L8" s="0" t="n">
        <f aca="false">L6*L7/100</f>
        <v>629.575493240114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427.0693454</v>
      </c>
      <c r="D11" s="0" t="n">
        <f aca="false">D8+D10+D24</f>
        <v>421.5676873622</v>
      </c>
      <c r="E11" s="0" t="n">
        <f aca="false">E8+E10+E24</f>
        <v>438.698443675242</v>
      </c>
      <c r="F11" s="0" t="n">
        <f aca="false">F8+F10+F24</f>
        <v>460.819781628271</v>
      </c>
      <c r="G11" s="0" t="n">
        <f aca="false">G8+G10+G24</f>
        <v>483.873571259174</v>
      </c>
      <c r="H11" s="0" t="n">
        <f aca="false">H8+H10+H24</f>
        <v>499.747788692309</v>
      </c>
      <c r="I11" s="0" t="n">
        <f aca="false">I8+I10+I24</f>
        <v>513.63344396236</v>
      </c>
      <c r="J11" s="0" t="n">
        <f aca="false">J8+J10+J24</f>
        <v>527.901039627982</v>
      </c>
      <c r="K11" s="0" t="n">
        <f aca="false">K8+K10+K24</f>
        <v>541.098565618681</v>
      </c>
      <c r="L11" s="0" t="n">
        <f aca="false">L8+L10+L24</f>
        <v>554.626029759148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-26.37781251</v>
      </c>
      <c r="D12" s="4" t="n">
        <f aca="false">-D6*Assumptions!D31/100</f>
        <v>-25.5864781347</v>
      </c>
      <c r="E12" s="4" t="n">
        <f aca="false">-E6*Assumptions!E31/100</f>
        <v>-26.098207697394</v>
      </c>
      <c r="F12" s="4" t="n">
        <f aca="false">-F6*Assumptions!F31/100</f>
        <v>-25.6010989793484</v>
      </c>
      <c r="G12" s="4" t="n">
        <f aca="false">-G6*Assumptions!G31/100</f>
        <v>-26.3691319487289</v>
      </c>
      <c r="H12" s="4" t="n">
        <f aca="false">-H6*Assumptions!H31/100</f>
        <v>-27.1602059071907</v>
      </c>
      <c r="I12" s="4" t="n">
        <f aca="false">-I6*Assumptions!I31/100</f>
        <v>-27.8392110548705</v>
      </c>
      <c r="J12" s="4" t="n">
        <f aca="false">-J6*Assumptions!J31/100</f>
        <v>-28.5351913312422</v>
      </c>
      <c r="K12" s="4" t="n">
        <f aca="false">-K6*Assumptions!K31/100</f>
        <v>-29.2485711145233</v>
      </c>
      <c r="L12" s="4" t="n">
        <f aca="false">-L6*Assumptions!L31/100</f>
        <v>-29.9797853923864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400.69153289</v>
      </c>
      <c r="D13" s="0" t="n">
        <f aca="false">D11+D12</f>
        <v>395.9812092275</v>
      </c>
      <c r="E13" s="0" t="n">
        <f aca="false">E11+E12</f>
        <v>412.600235977848</v>
      </c>
      <c r="F13" s="0" t="n">
        <f aca="false">F11+F12</f>
        <v>435.218682648923</v>
      </c>
      <c r="G13" s="0" t="n">
        <f aca="false">G11+G12</f>
        <v>457.504439310446</v>
      </c>
      <c r="H13" s="0" t="n">
        <f aca="false">H11+H12</f>
        <v>472.587582785118</v>
      </c>
      <c r="I13" s="0" t="n">
        <f aca="false">I11+I12</f>
        <v>485.79423290749</v>
      </c>
      <c r="J13" s="0" t="n">
        <f aca="false">J11+J12</f>
        <v>499.365848296739</v>
      </c>
      <c r="K13" s="0" t="n">
        <f aca="false">K11+K12</f>
        <v>511.849994504158</v>
      </c>
      <c r="L13" s="0" t="n">
        <f aca="false">L11+L12</f>
        <v>524.646244366762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328.5670569698</v>
      </c>
      <c r="D15" s="0" t="n">
        <f aca="false">D13-MAX(0,D13)*D14/100</f>
        <v>324.70459156655</v>
      </c>
      <c r="E15" s="0" t="n">
        <f aca="false">E13-MAX(0,E13)*E14/100</f>
        <v>338.332193501835</v>
      </c>
      <c r="F15" s="0" t="n">
        <f aca="false">F13-MAX(0,F13)*F14/100</f>
        <v>356.879319772117</v>
      </c>
      <c r="G15" s="0" t="n">
        <f aca="false">G13-MAX(0,G13)*G14/100</f>
        <v>375.153640234565</v>
      </c>
      <c r="H15" s="0" t="n">
        <f aca="false">H13-MAX(0,H13)*H14/100</f>
        <v>387.521817883797</v>
      </c>
      <c r="I15" s="0" t="n">
        <f aca="false">I13-MAX(0,I13)*I14/100</f>
        <v>398.351270984142</v>
      </c>
      <c r="J15" s="0" t="n">
        <f aca="false">J13-MAX(0,J13)*J14/100</f>
        <v>409.479995603326</v>
      </c>
      <c r="K15" s="0" t="n">
        <f aca="false">K13-MAX(0,K13)*K14/100</f>
        <v>419.716995493409</v>
      </c>
      <c r="L15" s="0" t="n">
        <f aca="false">L13-MAX(0,L13)*L14/100</f>
        <v>430.209920380744</v>
      </c>
    </row>
    <row r="16" customFormat="false" ht="15" hidden="false" customHeight="false" outlineLevel="0" collapsed="false">
      <c r="A16" s="0" t="s">
        <v>120</v>
      </c>
      <c r="C16" s="0" t="n">
        <f aca="false">-C12</f>
        <v>26.37781251</v>
      </c>
      <c r="D16" s="0" t="n">
        <f aca="false">-D12</f>
        <v>25.5864781347</v>
      </c>
      <c r="E16" s="0" t="n">
        <f aca="false">-E12</f>
        <v>26.098207697394</v>
      </c>
      <c r="F16" s="0" t="n">
        <f aca="false">-F12</f>
        <v>25.6010989793484</v>
      </c>
      <c r="G16" s="0" t="n">
        <f aca="false">-G12</f>
        <v>26.3691319487289</v>
      </c>
      <c r="H16" s="0" t="n">
        <f aca="false">-H12</f>
        <v>27.1602059071907</v>
      </c>
      <c r="I16" s="0" t="n">
        <f aca="false">-I12</f>
        <v>27.8392110548705</v>
      </c>
      <c r="J16" s="0" t="n">
        <f aca="false">-J12</f>
        <v>28.5351913312422</v>
      </c>
      <c r="K16" s="0" t="n">
        <f aca="false">-K12</f>
        <v>29.2485711145233</v>
      </c>
      <c r="L16" s="0" t="n">
        <f aca="false">-L12</f>
        <v>29.9797853923864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-18.84129465</v>
      </c>
      <c r="D17" s="4" t="n">
        <f aca="false">-D6*Assumptions!D32/100</f>
        <v>-26.8048818554</v>
      </c>
      <c r="E17" s="4" t="n">
        <f aca="false">-E6*Assumptions!E32/100</f>
        <v>-28.583751287622</v>
      </c>
      <c r="F17" s="4" t="n">
        <f aca="false">-F6*Assumptions!F32/100</f>
        <v>-29.4412638262507</v>
      </c>
      <c r="G17" s="4" t="n">
        <f aca="false">-G6*Assumptions!G32/100</f>
        <v>-30.3245017410382</v>
      </c>
      <c r="H17" s="4" t="n">
        <f aca="false">-H6*Assumptions!H32/100</f>
        <v>-31.2342367932693</v>
      </c>
      <c r="I17" s="4" t="n">
        <f aca="false">-I6*Assumptions!I32/100</f>
        <v>-32.0150927131011</v>
      </c>
      <c r="J17" s="4" t="n">
        <f aca="false">-J6*Assumptions!J32/100</f>
        <v>-32.8154700309286</v>
      </c>
      <c r="K17" s="4" t="n">
        <f aca="false">-K6*Assumptions!K32/100</f>
        <v>-33.6358567817018</v>
      </c>
      <c r="L17" s="4" t="n">
        <f aca="false">-L6*Assumptions!L32/100</f>
        <v>-34.4767532012443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77.181207</v>
      </c>
      <c r="D18" s="4" t="n">
        <f aca="false">(D6-C6)*Assumptions!$B$37/100</f>
        <v>11.30477679</v>
      </c>
      <c r="E18" s="4" t="n">
        <f aca="false">(E6-D6)*Assumptions!$B$37/100</f>
        <v>-7.31042232419998</v>
      </c>
      <c r="F18" s="4" t="n">
        <f aca="false">(F6-E6)*Assumptions!$B$37/100</f>
        <v>-11.184946156026</v>
      </c>
      <c r="G18" s="4" t="n">
        <f aca="false">(G6-F6)*Assumptions!$B$37/100</f>
        <v>-11.5204945407068</v>
      </c>
      <c r="H18" s="4" t="n">
        <f aca="false">(H6-G6)*Assumptions!$B$37/100</f>
        <v>-11.866109376928</v>
      </c>
      <c r="I18" s="4" t="n">
        <f aca="false">(I6-H6)*Assumptions!$B$37/100</f>
        <v>-10.1850772151965</v>
      </c>
      <c r="J18" s="4" t="n">
        <f aca="false">(J6-I6)*Assumptions!$B$37/100</f>
        <v>-10.4397041455764</v>
      </c>
      <c r="K18" s="4" t="n">
        <f aca="false">(K6-J6)*Assumptions!$B$37/100</f>
        <v>-10.7006967492158</v>
      </c>
      <c r="L18" s="4" t="n">
        <f aca="false">(L6-K6)*Assumptions!$B$37/100</f>
        <v>-10.9682141679462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413.2847818298</v>
      </c>
      <c r="D19" s="0" t="n">
        <f aca="false">D15+D16+D17+D18</f>
        <v>334.79096463585</v>
      </c>
      <c r="E19" s="0" t="n">
        <f aca="false">E15+E16+E17+E18</f>
        <v>328.536227587407</v>
      </c>
      <c r="F19" s="0" t="n">
        <f aca="false">F15+F16+F17+F18</f>
        <v>341.854208769188</v>
      </c>
      <c r="G19" s="0" t="n">
        <f aca="false">G15+G16+G17+G18</f>
        <v>359.677775901549</v>
      </c>
      <c r="H19" s="0" t="n">
        <f aca="false">H15+H16+H17+H18</f>
        <v>371.581677620791</v>
      </c>
      <c r="I19" s="0" t="n">
        <f aca="false">I15+I16+I17+I18</f>
        <v>383.990312110715</v>
      </c>
      <c r="J19" s="0" t="n">
        <f aca="false">J15+J16+J17+J18</f>
        <v>394.760012758063</v>
      </c>
      <c r="K19" s="0" t="n">
        <f aca="false">K15+K16+K17+K18</f>
        <v>404.629013077015</v>
      </c>
      <c r="L19" s="0" t="n">
        <f aca="false">L15+L16+L17+L18</f>
        <v>414.74473840394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379.160350302569</v>
      </c>
      <c r="D21" s="0" t="n">
        <f aca="false">D19*D20</f>
        <v>281.786856860407</v>
      </c>
      <c r="E21" s="0" t="n">
        <f aca="false">E19*E20</f>
        <v>253.690247544578</v>
      </c>
      <c r="F21" s="0" t="n">
        <f aca="false">F19*F20</f>
        <v>242.178140000838</v>
      </c>
      <c r="G21" s="0" t="n">
        <f aca="false">G19*G20</f>
        <v>233.7658755124</v>
      </c>
      <c r="H21" s="0" t="n">
        <f aca="false">H19*H20</f>
        <v>221.562013632243</v>
      </c>
      <c r="I21" s="0" t="n">
        <f aca="false">I19*I20</f>
        <v>210.055850412635</v>
      </c>
      <c r="J21" s="0" t="n">
        <f aca="false">J19*J20</f>
        <v>198.116738966464</v>
      </c>
      <c r="K21" s="0" t="n">
        <f aca="false">K19*K20</f>
        <v>186.302438018922</v>
      </c>
      <c r="L21" s="0" t="n">
        <f aca="false">L19*L20</f>
        <v>175.19265960495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6</v>
      </c>
      <c r="D23" s="4" t="n">
        <f aca="false">Assumptions!D30</f>
        <v>5.9</v>
      </c>
      <c r="E23" s="4" t="n">
        <f aca="false">Assumptions!E30</f>
        <v>5.7</v>
      </c>
      <c r="F23" s="4" t="n">
        <f aca="false">Assumptions!F30</f>
        <v>5.5</v>
      </c>
      <c r="G23" s="4" t="n">
        <f aca="false">Assumptions!G30</f>
        <v>5.3</v>
      </c>
      <c r="H23" s="4" t="n">
        <f aca="false">Assumptions!H30</f>
        <v>5.2</v>
      </c>
      <c r="I23" s="4" t="n">
        <f aca="false">Assumptions!I30</f>
        <v>5.1</v>
      </c>
      <c r="J23" s="4" t="n">
        <f aca="false">Assumptions!J30</f>
        <v>5</v>
      </c>
      <c r="K23" s="4" t="n">
        <f aca="false">Assumptions!K30</f>
        <v>5</v>
      </c>
      <c r="L23" s="4" t="n">
        <f aca="false">Assumptions!L30</f>
        <v>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-75.3651786</v>
      </c>
      <c r="D24" s="0" t="n">
        <f aca="false">-D6*D23/100</f>
        <v>-71.8858195213</v>
      </c>
      <c r="E24" s="0" t="n">
        <f aca="false">-E6*E23/100</f>
        <v>-70.837992321498</v>
      </c>
      <c r="F24" s="0" t="n">
        <f aca="false">-F6*F23/100</f>
        <v>-70.4030221932081</v>
      </c>
      <c r="G24" s="0" t="n">
        <f aca="false">-G6*G23/100</f>
        <v>-69.8781996641315</v>
      </c>
      <c r="H24" s="0" t="n">
        <f aca="false">-H6*H23/100</f>
        <v>-70.6165353586959</v>
      </c>
      <c r="I24" s="0" t="n">
        <f aca="false">-I6*I23/100</f>
        <v>-70.9899881899197</v>
      </c>
      <c r="J24" s="0" t="n">
        <f aca="false">-J6*J23/100</f>
        <v>-71.3379783281056</v>
      </c>
      <c r="K24" s="0" t="n">
        <f aca="false">-K6*K23/100</f>
        <v>-73.1214277863082</v>
      </c>
      <c r="L24" s="0" t="n">
        <f aca="false">-L6*L23/100</f>
        <v>-74.9494634809659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2381.81117085601</v>
      </c>
    </row>
    <row r="31" customFormat="false" ht="15" hidden="false" customHeight="false" outlineLevel="0" collapsed="false">
      <c r="A31" s="0" t="s">
        <v>129</v>
      </c>
      <c r="B31" s="0" t="n">
        <f aca="false">L19</f>
        <v>414.74473840394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6540.20549021598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5806.42633765516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5806.42633765516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2452.6972344693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4834.5084053253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6907.2084053253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8.25135396646195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0.470829584039564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8.25135396646195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3400.90685491231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5.69557543585581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-14</v>
      </c>
      <c r="D5" s="4" t="n">
        <f aca="false">Assumptions!D41</f>
        <v>2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1513.357</v>
      </c>
      <c r="C6" s="0" t="n">
        <f aca="false">B6*(1+C5/100)</f>
        <v>1301.48702</v>
      </c>
      <c r="D6" s="0" t="n">
        <f aca="false">C6*(1+D5/100)</f>
        <v>1327.5167604</v>
      </c>
      <c r="E6" s="0" t="n">
        <f aca="false">D6*(1+E5/100)</f>
        <v>1407.167766024</v>
      </c>
      <c r="F6" s="0" t="n">
        <f aca="false">E6*(1+F5/100)</f>
        <v>1491.59783198544</v>
      </c>
      <c r="G6" s="0" t="n">
        <f aca="false">F6*(1+G5/100)</f>
        <v>1566.17772358471</v>
      </c>
      <c r="H6" s="0" t="n">
        <f aca="false">G6*(1+H5/100)</f>
        <v>1628.8248325281</v>
      </c>
      <c r="I6" s="0" t="n">
        <f aca="false">H6*(1+I5/100)</f>
        <v>1685.83370166658</v>
      </c>
      <c r="J6" s="0" t="n">
        <f aca="false">I6*(1+J5/100)</f>
        <v>1736.40871271658</v>
      </c>
      <c r="K6" s="0" t="n">
        <f aca="false">J6*(1+K5/100)</f>
        <v>1788.50097409808</v>
      </c>
      <c r="L6" s="0" t="n">
        <f aca="false">K6*(1+L5/100)</f>
        <v>1842.15600332102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41</v>
      </c>
      <c r="D7" s="4" t="n">
        <f aca="false">Assumptions!D42</f>
        <v>42.5</v>
      </c>
      <c r="E7" s="4" t="n">
        <f aca="false">Assumptions!E42</f>
        <v>43.5</v>
      </c>
      <c r="F7" s="4" t="n">
        <f aca="false">Assumptions!F42</f>
        <v>44.5</v>
      </c>
      <c r="G7" s="4" t="n">
        <f aca="false">Assumptions!G42</f>
        <v>45.5</v>
      </c>
      <c r="H7" s="4" t="n">
        <f aca="false">Assumptions!H42</f>
        <v>46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533.6096782</v>
      </c>
      <c r="D8" s="0" t="n">
        <f aca="false">D6*D7/100</f>
        <v>564.19462317</v>
      </c>
      <c r="E8" s="0" t="n">
        <f aca="false">E6*E7/100</f>
        <v>612.11797822044</v>
      </c>
      <c r="F8" s="0" t="n">
        <f aca="false">F6*F7/100</f>
        <v>663.761035233521</v>
      </c>
      <c r="G8" s="0" t="n">
        <f aca="false">G6*G7/100</f>
        <v>712.610864231044</v>
      </c>
      <c r="H8" s="0" t="n">
        <f aca="false">H6*H7/100</f>
        <v>749.259422962926</v>
      </c>
      <c r="I8" s="0" t="n">
        <f aca="false">I6*I7/100</f>
        <v>775.483502766629</v>
      </c>
      <c r="J8" s="0" t="n">
        <f aca="false">J6*J7/100</f>
        <v>798.748007849628</v>
      </c>
      <c r="K8" s="0" t="n">
        <f aca="false">K6*K7/100</f>
        <v>822.710448085117</v>
      </c>
      <c r="L8" s="0" t="n">
        <f aca="false">L6*L7/100</f>
        <v>847.39176152767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458.12343104</v>
      </c>
      <c r="D11" s="0" t="n">
        <f aca="false">D8+D10+D24</f>
        <v>491.181201348</v>
      </c>
      <c r="E11" s="0" t="n">
        <f aca="false">E8+E10+E24</f>
        <v>538.945254387192</v>
      </c>
      <c r="F11" s="0" t="n">
        <f aca="false">F8+F10+F24</f>
        <v>589.181143634249</v>
      </c>
      <c r="G11" s="0" t="n">
        <f aca="false">G8+G10+G24</f>
        <v>635.868155775393</v>
      </c>
      <c r="H11" s="0" t="n">
        <f aca="false">H8+H10+H24</f>
        <v>671.075831001578</v>
      </c>
      <c r="I11" s="0" t="n">
        <f aca="false">I8+I10+I24</f>
        <v>694.563485086633</v>
      </c>
      <c r="J11" s="0" t="n">
        <f aca="false">J8+J10+J24</f>
        <v>715.400389639232</v>
      </c>
      <c r="K11" s="0" t="n">
        <f aca="false">K8+K10+K24</f>
        <v>736.862401328409</v>
      </c>
      <c r="L11" s="0" t="n">
        <f aca="false">L8+L10+L24</f>
        <v>758.968273368261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-27.33122742</v>
      </c>
      <c r="D12" s="4" t="n">
        <f aca="false">-D6*Assumptions!D45/100</f>
        <v>-27.8778519684</v>
      </c>
      <c r="E12" s="4" t="n">
        <f aca="false">-E6*Assumptions!E45/100</f>
        <v>-28.14335532048</v>
      </c>
      <c r="F12" s="4" t="n">
        <f aca="false">-F6*Assumptions!F45/100</f>
        <v>-29.8319566397088</v>
      </c>
      <c r="G12" s="4" t="n">
        <f aca="false">-G6*Assumptions!G45/100</f>
        <v>-31.3235544716942</v>
      </c>
      <c r="H12" s="4" t="n">
        <f aca="false">-H6*Assumptions!H45/100</f>
        <v>-32.576496650562</v>
      </c>
      <c r="I12" s="4" t="n">
        <f aca="false">-I6*Assumptions!I45/100</f>
        <v>-33.7166740333317</v>
      </c>
      <c r="J12" s="4" t="n">
        <f aca="false">-J6*Assumptions!J45/100</f>
        <v>-34.7281742543316</v>
      </c>
      <c r="K12" s="4" t="n">
        <f aca="false">-K6*Assumptions!K45/100</f>
        <v>-35.7700194819616</v>
      </c>
      <c r="L12" s="4" t="n">
        <f aca="false">-L6*Assumptions!L45/100</f>
        <v>-36.8431200664204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430.79220362</v>
      </c>
      <c r="D13" s="0" t="n">
        <f aca="false">D11+D12</f>
        <v>463.3033493796</v>
      </c>
      <c r="E13" s="0" t="n">
        <f aca="false">E11+E12</f>
        <v>510.801899066712</v>
      </c>
      <c r="F13" s="0" t="n">
        <f aca="false">F11+F12</f>
        <v>559.34918699454</v>
      </c>
      <c r="G13" s="0" t="n">
        <f aca="false">G11+G12</f>
        <v>604.544601303699</v>
      </c>
      <c r="H13" s="0" t="n">
        <f aca="false">H11+H12</f>
        <v>638.499334351016</v>
      </c>
      <c r="I13" s="0" t="n">
        <f aca="false">I11+I12</f>
        <v>660.846811053301</v>
      </c>
      <c r="J13" s="0" t="n">
        <f aca="false">J11+J12</f>
        <v>680.6722153849</v>
      </c>
      <c r="K13" s="0" t="n">
        <f aca="false">K11+K12</f>
        <v>701.092381846447</v>
      </c>
      <c r="L13" s="0" t="n">
        <f aca="false">L11+L12</f>
        <v>722.125153301841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353.2496069684</v>
      </c>
      <c r="D15" s="0" t="n">
        <f aca="false">D13-MAX(0,D13)*D14/100</f>
        <v>379.908746491272</v>
      </c>
      <c r="E15" s="0" t="n">
        <f aca="false">E13-MAX(0,E13)*E14/100</f>
        <v>418.857557234704</v>
      </c>
      <c r="F15" s="0" t="n">
        <f aca="false">F13-MAX(0,F13)*F14/100</f>
        <v>458.666333335523</v>
      </c>
      <c r="G15" s="0" t="n">
        <f aca="false">G13-MAX(0,G13)*G14/100</f>
        <v>495.726573069033</v>
      </c>
      <c r="H15" s="0" t="n">
        <f aca="false">H13-MAX(0,H13)*H14/100</f>
        <v>523.569454167833</v>
      </c>
      <c r="I15" s="0" t="n">
        <f aca="false">I13-MAX(0,I13)*I14/100</f>
        <v>541.894385063707</v>
      </c>
      <c r="J15" s="0" t="n">
        <f aca="false">J13-MAX(0,J13)*J14/100</f>
        <v>558.151216615618</v>
      </c>
      <c r="K15" s="0" t="n">
        <f aca="false">K13-MAX(0,K13)*K14/100</f>
        <v>574.895753114087</v>
      </c>
      <c r="L15" s="0" t="n">
        <f aca="false">L13-MAX(0,L13)*L14/100</f>
        <v>592.142625707509</v>
      </c>
    </row>
    <row r="16" customFormat="false" ht="15" hidden="false" customHeight="false" outlineLevel="0" collapsed="false">
      <c r="A16" s="0" t="s">
        <v>120</v>
      </c>
      <c r="C16" s="0" t="n">
        <f aca="false">-C12</f>
        <v>27.33122742</v>
      </c>
      <c r="D16" s="0" t="n">
        <f aca="false">-D12</f>
        <v>27.8778519684</v>
      </c>
      <c r="E16" s="0" t="n">
        <f aca="false">-E12</f>
        <v>28.14335532048</v>
      </c>
      <c r="F16" s="0" t="n">
        <f aca="false">-F12</f>
        <v>29.8319566397088</v>
      </c>
      <c r="G16" s="0" t="n">
        <f aca="false">-G12</f>
        <v>31.3235544716942</v>
      </c>
      <c r="H16" s="0" t="n">
        <f aca="false">-H12</f>
        <v>32.576496650562</v>
      </c>
      <c r="I16" s="0" t="n">
        <f aca="false">-I12</f>
        <v>33.7166740333317</v>
      </c>
      <c r="J16" s="0" t="n">
        <f aca="false">-J12</f>
        <v>34.7281742543316</v>
      </c>
      <c r="K16" s="0" t="n">
        <f aca="false">-K12</f>
        <v>35.7700194819616</v>
      </c>
      <c r="L16" s="0" t="n">
        <f aca="false">-L12</f>
        <v>36.8431200664204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-19.5223053</v>
      </c>
      <c r="D17" s="4" t="n">
        <f aca="false">-D6*Assumptions!D46/100</f>
        <v>-33.18791901</v>
      </c>
      <c r="E17" s="4" t="n">
        <f aca="false">-E6*Assumptions!E46/100</f>
        <v>-35.1791941506</v>
      </c>
      <c r="F17" s="4" t="n">
        <f aca="false">-F6*Assumptions!F46/100</f>
        <v>-37.289945799636</v>
      </c>
      <c r="G17" s="4" t="n">
        <f aca="false">-G6*Assumptions!G46/100</f>
        <v>-39.1544430896178</v>
      </c>
      <c r="H17" s="4" t="n">
        <f aca="false">-H6*Assumptions!H46/100</f>
        <v>-40.7206208132025</v>
      </c>
      <c r="I17" s="4" t="n">
        <f aca="false">-I6*Assumptions!I46/100</f>
        <v>-42.1458425416646</v>
      </c>
      <c r="J17" s="4" t="n">
        <f aca="false">-J6*Assumptions!J46/100</f>
        <v>-43.4102178179145</v>
      </c>
      <c r="K17" s="4" t="n">
        <f aca="false">-K6*Assumptions!K46/100</f>
        <v>-44.712524352452</v>
      </c>
      <c r="L17" s="4" t="n">
        <f aca="false">-L6*Assumptions!L46/100</f>
        <v>-46.0539000830255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63.560994</v>
      </c>
      <c r="D18" s="4" t="n">
        <f aca="false">(D6-C6)*Assumptions!$B$51/100</f>
        <v>-7.80892212000001</v>
      </c>
      <c r="E18" s="4" t="n">
        <f aca="false">(E6-D6)*Assumptions!$B$51/100</f>
        <v>-23.8953016872001</v>
      </c>
      <c r="F18" s="4" t="n">
        <f aca="false">(F6-E6)*Assumptions!$B$51/100</f>
        <v>-25.329019788432</v>
      </c>
      <c r="G18" s="4" t="n">
        <f aca="false">(G6-F6)*Assumptions!$B$51/100</f>
        <v>-22.3739674797816</v>
      </c>
      <c r="H18" s="4" t="n">
        <f aca="false">(H6-G6)*Assumptions!$B$51/100</f>
        <v>-18.7941326830166</v>
      </c>
      <c r="I18" s="4" t="n">
        <f aca="false">(I6-H6)*Assumptions!$B$51/100</f>
        <v>-17.102660741545</v>
      </c>
      <c r="J18" s="4" t="n">
        <f aca="false">(J6-I6)*Assumptions!$B$51/100</f>
        <v>-15.1725033149993</v>
      </c>
      <c r="K18" s="4" t="n">
        <f aca="false">(K6-J6)*Assumptions!$B$51/100</f>
        <v>-15.6276784144493</v>
      </c>
      <c r="L18" s="4" t="n">
        <f aca="false">(L6-K6)*Assumptions!$B$51/100</f>
        <v>-16.0965087668827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424.6195230884</v>
      </c>
      <c r="D19" s="0" t="n">
        <f aca="false">D15+D16+D17+D18</f>
        <v>366.789757329672</v>
      </c>
      <c r="E19" s="0" t="n">
        <f aca="false">E15+E16+E17+E18</f>
        <v>387.926416717384</v>
      </c>
      <c r="F19" s="0" t="n">
        <f aca="false">F15+F16+F17+F18</f>
        <v>425.879324387164</v>
      </c>
      <c r="G19" s="0" t="n">
        <f aca="false">G15+G16+G17+G18</f>
        <v>465.521716971328</v>
      </c>
      <c r="H19" s="0" t="n">
        <f aca="false">H15+H16+H17+H18</f>
        <v>496.631197322176</v>
      </c>
      <c r="I19" s="0" t="n">
        <f aca="false">I15+I16+I17+I18</f>
        <v>516.362555813829</v>
      </c>
      <c r="J19" s="0" t="n">
        <f aca="false">J15+J16+J17+J18</f>
        <v>534.296669737036</v>
      </c>
      <c r="K19" s="0" t="n">
        <f aca="false">K15+K16+K17+K18</f>
        <v>550.325569829147</v>
      </c>
      <c r="L19" s="0" t="n">
        <f aca="false">L15+L16+L17+L18</f>
        <v>566.835336924022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389.559195493945</v>
      </c>
      <c r="D21" s="0" t="n">
        <f aca="false">D19*D20</f>
        <v>308.719600479481</v>
      </c>
      <c r="E21" s="0" t="n">
        <f aca="false">E19*E20</f>
        <v>299.550370468448</v>
      </c>
      <c r="F21" s="0" t="n">
        <f aca="false">F19*F20</f>
        <v>301.70365026728</v>
      </c>
      <c r="G21" s="0" t="n">
        <f aca="false">G19*G20</f>
        <v>302.557174863161</v>
      </c>
      <c r="H21" s="0" t="n">
        <f aca="false">H19*H20</f>
        <v>296.124956472118</v>
      </c>
      <c r="I21" s="0" t="n">
        <f aca="false">I19*I20</f>
        <v>282.468000784983</v>
      </c>
      <c r="J21" s="0" t="n">
        <f aca="false">J19*J20</f>
        <v>268.145481882476</v>
      </c>
      <c r="K21" s="0" t="n">
        <f aca="false">K19*K20</f>
        <v>253.385180127477</v>
      </c>
      <c r="L21" s="0" t="n">
        <f aca="false">L19*L20</f>
        <v>239.437372047066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5.8</v>
      </c>
      <c r="D23" s="4" t="n">
        <f aca="false">Assumptions!D44</f>
        <v>5.5</v>
      </c>
      <c r="E23" s="4" t="n">
        <f aca="false">Assumptions!E44</f>
        <v>5.2</v>
      </c>
      <c r="F23" s="4" t="n">
        <f aca="false">Assumptions!F44</f>
        <v>5</v>
      </c>
      <c r="G23" s="4" t="n">
        <f aca="false">Assumptions!G44</f>
        <v>4.9</v>
      </c>
      <c r="H23" s="4" t="n">
        <f aca="false">Assumptions!H44</f>
        <v>4.8</v>
      </c>
      <c r="I23" s="4" t="n">
        <f aca="false">Assumptions!I44</f>
        <v>4.8</v>
      </c>
      <c r="J23" s="4" t="n">
        <f aca="false">Assumptions!J44</f>
        <v>4.8</v>
      </c>
      <c r="K23" s="4" t="n">
        <f aca="false">Assumptions!K44</f>
        <v>4.8</v>
      </c>
      <c r="L23" s="4" t="n">
        <f aca="false">Assumptions!L44</f>
        <v>4.8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-75.48624716</v>
      </c>
      <c r="D24" s="0" t="n">
        <f aca="false">-D6*D23/100</f>
        <v>-73.013421822</v>
      </c>
      <c r="E24" s="0" t="n">
        <f aca="false">-E6*E23/100</f>
        <v>-73.172723833248</v>
      </c>
      <c r="F24" s="0" t="n">
        <f aca="false">-F6*F23/100</f>
        <v>-74.579891599272</v>
      </c>
      <c r="G24" s="0" t="n">
        <f aca="false">-G6*G23/100</f>
        <v>-76.7427084556509</v>
      </c>
      <c r="H24" s="0" t="n">
        <f aca="false">-H6*H23/100</f>
        <v>-78.1835919613488</v>
      </c>
      <c r="I24" s="0" t="n">
        <f aca="false">-I6*I23/100</f>
        <v>-80.920017679996</v>
      </c>
      <c r="J24" s="0" t="n">
        <f aca="false">-J6*J23/100</f>
        <v>-83.3476182103959</v>
      </c>
      <c r="K24" s="0" t="n">
        <f aca="false">-K6*K23/100</f>
        <v>-85.8480467567078</v>
      </c>
      <c r="L24" s="0" t="n">
        <f aca="false">-L6*L23/100</f>
        <v>-88.4234881594091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2941.65098288643</v>
      </c>
    </row>
    <row r="31" customFormat="false" ht="15" hidden="false" customHeight="false" outlineLevel="0" collapsed="false">
      <c r="A31" s="0" t="s">
        <v>129</v>
      </c>
      <c r="B31" s="0" t="n">
        <f aca="false">L19</f>
        <v>566.835336924022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9730.67328386237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8502.53005386032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8502.53005386032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3591.56058070598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6533.21156359242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8605.91156359242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10.2806254492802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0.832553556021418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10.2806254492802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4865.33664193118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6.60849230564473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5.84375116564385</v>
      </c>
      <c r="C4" s="0" t="n">
        <f aca="false">B4/Assumptions!$B$2-1</f>
        <v>0.0416668744463196</v>
      </c>
      <c r="D4" s="4" t="n">
        <f aca="false">Assumptions!$B$24</f>
        <v>0.3</v>
      </c>
      <c r="E4" s="4" t="n">
        <f aca="false">DCF_Bear!$B$43</f>
        <v>5.84375116564385</v>
      </c>
      <c r="F4" s="4" t="n">
        <f aca="false">DCF_Bear!$B$47</f>
        <v>4.55747456144624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8.25135396646195</v>
      </c>
      <c r="C5" s="0" t="n">
        <f aca="false">B5/Assumptions!$B$2-1</f>
        <v>0.470829584039564</v>
      </c>
      <c r="D5" s="4" t="n">
        <f aca="false">Assumptions!$B$38</f>
        <v>0.5</v>
      </c>
      <c r="E5" s="4" t="n">
        <f aca="false">DCF_Base!$B$43</f>
        <v>8.25135396646195</v>
      </c>
      <c r="F5" s="4" t="n">
        <f aca="false">DCF_Base!$B$47</f>
        <v>5.69557543585581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10.2806254492802</v>
      </c>
      <c r="C6" s="0" t="n">
        <f aca="false">B6/Assumptions!$B$2-1</f>
        <v>0.832553556021418</v>
      </c>
      <c r="D6" s="4" t="n">
        <f aca="false">Assumptions!$B$52</f>
        <v>0.2</v>
      </c>
      <c r="E6" s="4" t="n">
        <f aca="false">DCF_Bull!$B$43</f>
        <v>10.2806254492802</v>
      </c>
      <c r="F6" s="4" t="n">
        <f aca="false">DCF_Bull!$B$47</f>
        <v>6.60849230564473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7.93492742278016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7.93492742278016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0.292999204517686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5.53672854749072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8.25135396646195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7.80855763247165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7.18691497265719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6.69623557199692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5.69557543585581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9.12184701753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9.12184701753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9.12184701753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9.12184701753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9.12184701753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8.66656147241495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8.66656147241495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8.66656147241495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8.66656147241495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8.66656147241495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8.1536875293788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8.25135396646195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8.25135396646195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8.25135396646195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8.25135396646195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7.47895612626393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7.6334568322988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7.80855763247165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7.87223065071632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7.87223065071632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6.94705697541201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7.0603232518889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7.18691497265719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7.32933065852152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7.4907351025011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2026-10-22T10:34:11Z</dcterms:created>
  <dc:creator>openpyxl</dc:creator>
  <dc:description/>
  <dc:language>en-NZ</dc:language>
  <cp:lastModifiedBy/>
  <dcterms:modified xsi:type="dcterms:W3CDTF">2026-10-22T10:34:11Z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