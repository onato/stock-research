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<sst xmlns="http://schemas.openxmlformats.org/spreadsheetml/2006/main" count="352" uniqueCount="166">
  <si>
    <t xml:space="preserve">Ticker</t>
  </si>
  <si>
    <t xml:space="preserve">2367.HK</t>
  </si>
  <si>
    <t xml:space="preserve">Company</t>
  </si>
  <si>
    <t xml:space="preserve">Giant Biogene Holding Co., Ltd</t>
  </si>
  <si>
    <t xml:space="preserve">Valuation date</t>
  </si>
  <si>
    <t xml:space="preserve">2026-10-18</t>
  </si>
  <si>
    <t xml:space="preserve">Current price</t>
  </si>
  <si>
    <t xml:space="preserve">Price as of</t>
  </si>
  <si>
    <t xml:space="preserve">2026-10-16T08:08:14Z regular close (HKEX)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</si>
  <si>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</si>
  <si>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</si>
  <si>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</si>
  <si>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</si>
  <si>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</si>
  <si>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</si>
  <si>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</si>
  <si>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</si>
  <si>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</si>
  <si>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</si>
  <si>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</si>
  <si>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</si>
  <si>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</si>
  <si>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2026-10-18T03:09:55Z</t>
  </si>
  <si>
    <t xml:space="preserve">Drivers file</t>
  </si>
  <si>
    <t xml:space="preserve">2367.HK_Drivers.json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</si>
  <si>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</si>
  <si>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</si>
  <si>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</si>
  <si>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core consumer franchise on owner FCF from a reset margin base, then add the RMB7.4bn of cash and wealth-management products separately. SBC is small and expensed, so house and street bases are close. The question the price is asking is whether 2025-26 is a channel reset or the start of category commoditisation. At the current price the market is pricing roughly the bear case: EV of about RMB13bn is ~10x FY2025 owner FCF.
key_risks_to_valuation: Recombinant-collagen category competition and price wars compressing the 80% gross margin; Unresolved 2025 Bloomage labeling/efficacy dispute: a regulatory ruling against the collagen-content claims would hit the core brand; Platform dependence (Tmall, Douyin, JD) and the influencer-livestream channel restructuring; Regulatory reclassification or claims scrutiny of medical dressings and functional skincare; Marketing intensity stays structurally higher (selling expense +19.7% in H1-2026 on revenue -6.3%); RMB/HKD rate moves the HKD value one-for-one; the fx_rate is not refreshed with the price; Capital allocation: cash could be spent on low-return M&amp;A rather than returned (dividends and buybacks have been generous so far); Auditor change from EY to KPMG effective 28 May 2026 (presented as routine)</t>
  </si>
  <si>
    <t xml:space="preserve">Data sources</t>
  </si>
  <si>
    <t xml:space="preserve">price: Yahoo Finance chart API at inputs.price_as_of; 52-week range 22.40-43.92 HKD
fx: Yahoo Finance CNYHKD=X, 2026-10-17
financials: Annual reports FY2022-FY2025 and interim reports H1-2024 to H1-2026 (research/2367.HK/Extracted); 2367.HK_Metrics.csv / core_metrics
qualitative: Interim report 2026 MD&amp;A (business outlook, channel and product commentary); 2367.HK_Analysis.json</t>
  </si>
  <si>
    <t xml:space="preserve">Scenario narrative: bear</t>
  </si>
  <si>
    <t xml:space="preserve">Recombinant collagen commoditises and the credibility hit sticks: the unresolved 2025 Bloomage dispute over collagen-content labeling (0.1% w/w threshold) leaves the core scientific claim exposed to regulatory tightening, while Bloomage, Jinbo, Jala and multinationals compete on price and Tmall/Douyin KOL channels stay fragile (Double 11 2025 livestream sales down 20-50%). KOMFYMED plus COLLGENE are ~98% of revenue, so there is no diversification cushion. Revenue falls again in FY2026-FY2027 and then grows only with the category, and the company has to keep spending to hold share, so adj. EBITDA settles at 28%. The RMB7.4bn of net cash (about a third of the market cap) limits the downside.</t>
  </si>
  <si>
    <t xml:space="preserve">Scenario narrative: base</t>
  </si>
  <si>
    <t xml:space="preserve">The 2025-26 stall is a channel reset, not a franchise break. KOMFYMED loses influencer-livestream volume but rebuilds it through self-operated Tmall/Douyin/JD stores and new formats (the Ultra-Translucent Stick); COLLGENE holds its medical-aesthetics position. Revenue is flat in FY2026 and grows 5-7% for three years as the recombinant-collagen category keeps penetrating, then fades to 3%. Competition from other recombinant-collagen makers and the cost of owning traffic keep selling expense near 40%+ of revenue, so adj. EBITDA recovers only to 38% against 41-46% in FY2023-FY2025.</t>
  </si>
  <si>
    <t xml:space="preserve">Scenario narrative: bull</t>
  </si>
  <si>
    <t xml:space="preserve">Class III recombinant-collagen injectable fillers (approved Oct 2025, Jan 2026 and Jun 2026) open the higher-margin medical-aesthetics channel, the self-operated DTC build-out compounds (618 GMV +25-30% is the leading indicator) and the 2025 Bloomage labeling dispute fades as a brand overhang. The H1-2026 marketing step-up proves to be investment rather than a permanent toll: revenue returns to double-digit growth in FY2027-FY2029 and operating leverage takes adj. EBITDA back to 42%, still below the FY2024 peak.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</si>
  <si>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</si>
  <si>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</si>
  <si>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</si>
  <si>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</si>
  <si>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</si>
  <si>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</si>
  <si>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</si>
  <si>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</si>
  <si>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</si>
  <si>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</si>
  <si>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</si>
  <si>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</si>
  <si>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</si>
  <si>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</si>
  <si>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</si>
  <si>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</si>
  <si>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</si>
  <si>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</si>
  <si>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</si>
  <si>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</si>
  <si>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</si>
  <si>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</si>
  <si>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</si>
  <si>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</si>
  <si>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</si>
  <si>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</si>
  <si>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</si>
  <si>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EPSBasic</t>
  </si>
  <si>
    <t xml:space="preserve">FVTPLInvestments</t>
  </si>
  <si>
    <t xml:space="preserve">MarketingExpense</t>
  </si>
  <si>
    <t xml:space="preserve">ResearchAndDevelopment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</si>
  <si>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</si>
  <si>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</si>
  <si>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</si>
  <si>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</si>
  <si>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</si>
  <si>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</si>
  <si>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</si>
  <si>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</si>
  <si>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</si>
  <si>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</si>
  <si>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</si>
  <si>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</si>
  <si>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</si>
  <si>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</si>
  <si>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</si>
  <si>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</si>
  <si>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</si>
  <si>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</si>
  <si>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</si>
  <si>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</si>
  <si>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</si>
  <si>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</si>
  <si>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</si>
  <si>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</si>
  <si>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</si>
  <si>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</si>
  <si>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</si>
  <si>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</si>
  <si>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</si>
  <si>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</si>
  <si>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</si>
  <si>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</si>
  <si>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</si>
  <si>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</si>
  <si>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</si>
  <si>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</si>
  <si>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</si>
  <si>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</si>
  <si>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</si>
  <si>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</si>
  <si>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</si>
  <si>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</si>
  <si>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</si>
  <si>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2367.HK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</si>
  <si>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</si>
  <si>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</si>
  <si>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</si>
  <si>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</si>
  <si>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</si>
  <si>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</si>
  <si>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</si>
  <si>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</si>
  <si>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</si>
  <si>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</si>
  <si>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</si>
  <si>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</si>
  <si>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</si>
  <si>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</si>
  <si>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</si>
  <si>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</si>
  <si>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</si>
  <si>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</si>
  <si>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</si>
  <si>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</si>
  <si>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</si>
  <si>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</si>
  <si>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</si>
  <si>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</si>
  <si>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</si>
  <si>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</si>
  <si>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</si>
  <si>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</si>
  <si>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</si>
  <si>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</si>
  <si>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2367.HK owner-FCF component DCF: base case (millions, CNY)</t>
  </si>
  <si>
    <t xml:space="preserve">2367.HK owner-FCF component DCF: bull case (millions, CNY)</t>
  </si>
  <si>
    <t xml:space="preserve">2367.HK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</si>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</sst>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22.6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</row>
    <row r="2" customFormat="false" ht="15" hidden="false" customHeight="false" outlineLevel="0" collapsed="false">
      <c r="A2" s="0" t="s">
        <v>68</v>
      </c>
      <c r="B2" s="0" t="n">
        <v>1190.479</v>
      </c>
      <c r="C2" s="0" t="n">
        <v>183.41</v>
      </c>
      <c r="D2" s="0" t="n">
        <v>1007.069</v>
      </c>
      <c r="E2" s="0" t="n">
        <v>84.6</v>
      </c>
      <c r="I2" s="0" t="n">
        <v>826.45</v>
      </c>
      <c r="J2" s="0" t="n">
        <v>69.4</v>
      </c>
      <c r="O2" s="0" t="n">
        <v>458.003</v>
      </c>
      <c r="P2" s="0" t="n">
        <v>2651.108</v>
      </c>
      <c r="Q2" s="0" t="n">
        <v>2193.105</v>
      </c>
      <c r="S2" s="0" t="n">
        <v>367.805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69</v>
      </c>
      <c r="B3" s="0" t="n">
        <v>1552.486</v>
      </c>
      <c r="C3" s="0" t="n">
        <v>198.149</v>
      </c>
      <c r="D3" s="0" t="n">
        <v>1354.337</v>
      </c>
      <c r="E3" s="0" t="n">
        <v>87.2</v>
      </c>
      <c r="F3" s="0" t="n">
        <v>972.917</v>
      </c>
      <c r="G3" s="0" t="n">
        <v>62.7</v>
      </c>
      <c r="H3" s="0" t="n">
        <v>997.127</v>
      </c>
      <c r="I3" s="0" t="n">
        <v>828.132</v>
      </c>
      <c r="J3" s="0" t="n">
        <v>53.3</v>
      </c>
      <c r="K3" s="0" t="n">
        <v>0.83</v>
      </c>
      <c r="L3" s="0" t="n">
        <v>692.401</v>
      </c>
      <c r="M3" s="0" t="n">
        <v>111.191</v>
      </c>
      <c r="N3" s="0" t="n">
        <v>581.21</v>
      </c>
      <c r="O3" s="0" t="n">
        <v>1016.811</v>
      </c>
      <c r="P3" s="0" t="n">
        <v>7878.208</v>
      </c>
      <c r="Q3" s="0" t="n">
        <v>6861.397</v>
      </c>
      <c r="R3" s="0" t="n">
        <v>0</v>
      </c>
      <c r="S3" s="0" t="n">
        <v>7103</v>
      </c>
      <c r="T3" s="0" t="n">
        <v>1000.93</v>
      </c>
      <c r="U3" s="0" t="n">
        <v>16.487</v>
      </c>
      <c r="AA3" s="0" t="s">
        <v>18</v>
      </c>
      <c r="AB3" s="0" t="s">
        <v>14</v>
      </c>
      <c r="AC3" s="0" t="n">
        <v>0.83</v>
      </c>
      <c r="AE3" s="0" t="n">
        <v>346.211</v>
      </c>
    </row>
    <row r="4" customFormat="false" ht="15" hidden="false" customHeight="false" outlineLevel="0" collapsed="false">
      <c r="A4" s="0" t="s">
        <v>70</v>
      </c>
      <c r="B4" s="0" t="n">
        <v>2364.445</v>
      </c>
      <c r="C4" s="0" t="n">
        <v>369.205</v>
      </c>
      <c r="D4" s="0" t="n">
        <v>1995.24</v>
      </c>
      <c r="E4" s="0" t="n">
        <v>84.4</v>
      </c>
      <c r="F4" s="0" t="n">
        <v>1177.77</v>
      </c>
      <c r="G4" s="0" t="n">
        <v>49.8</v>
      </c>
      <c r="H4" s="0" t="n">
        <v>1205.398</v>
      </c>
      <c r="I4" s="0" t="n">
        <v>1002.025</v>
      </c>
      <c r="J4" s="0" t="n">
        <v>42.4</v>
      </c>
      <c r="K4" s="0" t="n">
        <v>0.98</v>
      </c>
      <c r="L4" s="0" t="n">
        <v>931.637</v>
      </c>
      <c r="M4" s="0" t="n">
        <v>153.249</v>
      </c>
      <c r="N4" s="0" t="n">
        <v>778.388</v>
      </c>
      <c r="O4" s="0" t="n">
        <v>2833.472</v>
      </c>
      <c r="P4" s="0" t="n">
        <v>3138.225</v>
      </c>
      <c r="Q4" s="0" t="n">
        <v>301.192</v>
      </c>
      <c r="R4" s="0" t="n">
        <v>0</v>
      </c>
      <c r="S4" s="0" t="n">
        <v>1330.951</v>
      </c>
      <c r="T4" s="0" t="n">
        <v>1021.215</v>
      </c>
      <c r="U4" s="0" t="n">
        <v>17.663</v>
      </c>
      <c r="AA4" s="0" t="s">
        <v>18</v>
      </c>
      <c r="AB4" s="0" t="s">
        <v>14</v>
      </c>
      <c r="AC4" s="0" t="n">
        <v>0.99</v>
      </c>
      <c r="AD4" s="0" t="n">
        <v>865.973</v>
      </c>
      <c r="AE4" s="0" t="n">
        <v>706.37</v>
      </c>
      <c r="AF4" s="0" t="n">
        <v>44.043</v>
      </c>
    </row>
    <row r="5" customFormat="false" ht="15" hidden="false" customHeight="false" outlineLevel="0" collapsed="false">
      <c r="A5" s="0" t="s">
        <v>71</v>
      </c>
      <c r="B5" s="0" t="n">
        <v>3524.143</v>
      </c>
      <c r="C5" s="0" t="n">
        <v>577.006</v>
      </c>
      <c r="D5" s="0" t="n">
        <v>2947.137</v>
      </c>
      <c r="E5" s="0" t="n">
        <v>83.6</v>
      </c>
      <c r="F5" s="0" t="n">
        <v>1745.201</v>
      </c>
      <c r="G5" s="0" t="n">
        <v>49.5</v>
      </c>
      <c r="H5" s="0" t="n">
        <v>1779.376</v>
      </c>
      <c r="I5" s="0" t="n">
        <v>1451.753</v>
      </c>
      <c r="J5" s="0" t="n">
        <v>41.2</v>
      </c>
      <c r="K5" s="0" t="n">
        <v>1.48</v>
      </c>
      <c r="L5" s="0" t="n">
        <v>1647.431</v>
      </c>
      <c r="M5" s="0" t="n">
        <v>228.433</v>
      </c>
      <c r="N5" s="0" t="n">
        <v>1418.998</v>
      </c>
      <c r="O5" s="0" t="n">
        <v>4362.14</v>
      </c>
      <c r="P5" s="0" t="n">
        <v>4973.078</v>
      </c>
      <c r="Q5" s="0" t="n">
        <v>602.028</v>
      </c>
      <c r="R5" s="0" t="n">
        <v>0</v>
      </c>
      <c r="S5" s="0" t="n">
        <v>2503.999</v>
      </c>
      <c r="T5" s="0" t="n">
        <v>982.717</v>
      </c>
      <c r="U5" s="0" t="n">
        <v>20.517</v>
      </c>
      <c r="AA5" s="0" t="s">
        <v>18</v>
      </c>
      <c r="AB5" s="0" t="s">
        <v>14</v>
      </c>
      <c r="AC5" s="0" t="n">
        <v>1.49</v>
      </c>
      <c r="AD5" s="0" t="n">
        <v>1274.776</v>
      </c>
      <c r="AE5" s="0" t="n">
        <v>1164.499</v>
      </c>
      <c r="AF5" s="0" t="n">
        <v>74.968</v>
      </c>
    </row>
    <row r="6" customFormat="false" ht="15" hidden="false" customHeight="false" outlineLevel="0" collapsed="false">
      <c r="A6" s="0" t="s">
        <v>72</v>
      </c>
      <c r="B6" s="0" t="n">
        <v>5538.812</v>
      </c>
      <c r="C6" s="0" t="n">
        <v>991.897</v>
      </c>
      <c r="D6" s="0" t="n">
        <v>4546.915</v>
      </c>
      <c r="E6" s="0" t="n">
        <v>82.1</v>
      </c>
      <c r="F6" s="0" t="n">
        <v>2461.594</v>
      </c>
      <c r="G6" s="0" t="n">
        <v>44.4</v>
      </c>
      <c r="H6" s="0" t="n">
        <v>2511.08</v>
      </c>
      <c r="I6" s="0" t="n">
        <v>2062.347</v>
      </c>
      <c r="J6" s="0" t="n">
        <v>37.2</v>
      </c>
      <c r="K6" s="0" t="n">
        <v>2.06</v>
      </c>
      <c r="L6" s="0" t="n">
        <v>2041.202</v>
      </c>
      <c r="M6" s="0" t="n">
        <v>246.781</v>
      </c>
      <c r="N6" s="0" t="n">
        <v>1794.421</v>
      </c>
      <c r="O6" s="0" t="n">
        <v>7108.212</v>
      </c>
      <c r="P6" s="0" t="n">
        <v>8037.958</v>
      </c>
      <c r="Q6" s="0" t="n">
        <v>918.136</v>
      </c>
      <c r="R6" s="0" t="n">
        <v>0</v>
      </c>
      <c r="S6" s="0" t="n">
        <v>4030.207</v>
      </c>
      <c r="T6" s="0" t="n">
        <v>1001.695</v>
      </c>
      <c r="U6" s="0" t="n">
        <v>89.723</v>
      </c>
      <c r="AA6" s="0" t="s">
        <v>18</v>
      </c>
      <c r="AB6" s="0" t="s">
        <v>14</v>
      </c>
      <c r="AC6" s="0" t="n">
        <v>2.1</v>
      </c>
      <c r="AD6" s="0" t="n">
        <v>1828.64</v>
      </c>
      <c r="AE6" s="0" t="n">
        <v>2008.239</v>
      </c>
      <c r="AF6" s="0" t="n">
        <v>106.499</v>
      </c>
    </row>
    <row r="7" customFormat="false" ht="15" hidden="false" customHeight="false" outlineLevel="0" collapsed="false">
      <c r="A7" s="0" t="s">
        <v>73</v>
      </c>
      <c r="B7" s="0" t="n">
        <v>5518.512</v>
      </c>
      <c r="C7" s="0" t="n">
        <v>1085.162</v>
      </c>
      <c r="D7" s="0" t="n">
        <v>4433.35</v>
      </c>
      <c r="E7" s="0" t="n">
        <v>80.3</v>
      </c>
      <c r="F7" s="0" t="n">
        <v>2341.111</v>
      </c>
      <c r="G7" s="0" t="n">
        <v>42.4</v>
      </c>
      <c r="H7" s="0" t="n">
        <v>2423.357</v>
      </c>
      <c r="I7" s="0" t="n">
        <v>1914.836</v>
      </c>
      <c r="J7" s="0" t="n">
        <v>34.7</v>
      </c>
      <c r="K7" s="0" t="n">
        <v>1.81</v>
      </c>
      <c r="L7" s="0" t="n">
        <v>1780.622</v>
      </c>
      <c r="M7" s="0" t="n">
        <v>428.821</v>
      </c>
      <c r="N7" s="0" t="n">
        <v>1351.801</v>
      </c>
      <c r="O7" s="0" t="n">
        <v>9911.473</v>
      </c>
      <c r="P7" s="0" t="n">
        <v>10841.423</v>
      </c>
      <c r="Q7" s="0" t="n">
        <v>916.637</v>
      </c>
      <c r="R7" s="0" t="n">
        <v>0</v>
      </c>
      <c r="S7" s="0" t="n">
        <v>6306.16</v>
      </c>
      <c r="T7" s="0" t="n">
        <v>1059.378</v>
      </c>
      <c r="U7" s="0" t="n">
        <v>45.242</v>
      </c>
      <c r="AA7" s="0" t="s">
        <v>18</v>
      </c>
      <c r="AB7" s="0" t="s">
        <v>14</v>
      </c>
      <c r="AC7" s="0" t="n">
        <v>1.83</v>
      </c>
      <c r="AD7" s="0" t="n">
        <v>1984.326</v>
      </c>
      <c r="AE7" s="0" t="n">
        <v>2055.888</v>
      </c>
      <c r="AF7" s="0" t="n">
        <v>88.792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22.6</v>
      </c>
    </row>
    <row r="3" customFormat="false" ht="15" hidden="false" customHeight="false" outlineLevel="0" collapsed="false">
      <c r="A3" s="0" t="s">
        <v>77</v>
      </c>
      <c r="B3" s="3" t="n">
        <v>1061.704</v>
      </c>
    </row>
    <row r="4" customFormat="false" ht="15" hidden="false" customHeight="false" outlineLevel="0" collapsed="false">
      <c r="A4" s="0" t="s">
        <v>78</v>
      </c>
      <c r="B4" s="3" t="n">
        <v>-7383.6</v>
      </c>
    </row>
    <row r="5" customFormat="false" ht="15" hidden="false" customHeight="false" outlineLevel="0" collapsed="false">
      <c r="A5" s="0" t="s">
        <v>79</v>
      </c>
      <c r="B5" s="3" t="n">
        <v>214.229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5518.512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1.1724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-5</v>
      </c>
      <c r="D13" s="3" t="n">
        <v>-2</v>
      </c>
      <c r="E13" s="3" t="n">
        <v>1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98</v>
      </c>
      <c r="C14" s="3" t="n">
        <v>32</v>
      </c>
      <c r="D14" s="3" t="n">
        <v>30</v>
      </c>
      <c r="E14" s="3" t="n">
        <v>29</v>
      </c>
      <c r="F14" s="3" t="n">
        <v>28</v>
      </c>
      <c r="G14" s="3" t="n">
        <v>28</v>
      </c>
      <c r="H14" s="3" t="n">
        <v>28</v>
      </c>
      <c r="I14" s="3" t="n">
        <v>28</v>
      </c>
      <c r="J14" s="3" t="n">
        <v>28</v>
      </c>
      <c r="K14" s="3" t="n">
        <v>28</v>
      </c>
      <c r="L14" s="3" t="n">
        <v>28</v>
      </c>
    </row>
    <row r="15" customFormat="false" ht="15" hidden="false" customHeight="false" outlineLevel="0" collapsed="false">
      <c r="A15" s="0" t="s">
        <v>99</v>
      </c>
      <c r="C15" s="3" t="n">
        <v>0.8</v>
      </c>
      <c r="D15" s="3" t="n">
        <v>0.8</v>
      </c>
      <c r="E15" s="3" t="n">
        <v>0.8</v>
      </c>
      <c r="F15" s="3" t="n">
        <v>0.8</v>
      </c>
      <c r="G15" s="3" t="n">
        <v>0.8</v>
      </c>
      <c r="H15" s="3" t="n">
        <v>0.8</v>
      </c>
      <c r="I15" s="3" t="n">
        <v>0.8</v>
      </c>
      <c r="J15" s="3" t="n">
        <v>0.8</v>
      </c>
      <c r="K15" s="3" t="n">
        <v>0.8</v>
      </c>
      <c r="L15" s="3" t="n">
        <v>0.8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1.8</v>
      </c>
      <c r="D17" s="3" t="n">
        <v>1.9</v>
      </c>
      <c r="E17" s="3" t="n">
        <v>2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</row>
    <row r="18" customFormat="false" ht="15" hidden="false" customHeight="false" outlineLevel="0" collapsed="false">
      <c r="A18" s="0" t="s">
        <v>102</v>
      </c>
      <c r="C18" s="3" t="n">
        <v>5</v>
      </c>
      <c r="D18" s="3" t="n">
        <v>4</v>
      </c>
      <c r="E18" s="3" t="n">
        <v>3.5</v>
      </c>
      <c r="F18" s="3" t="n">
        <v>3</v>
      </c>
      <c r="G18" s="3" t="n">
        <v>2.8</v>
      </c>
      <c r="H18" s="3" t="n">
        <v>2.6</v>
      </c>
      <c r="I18" s="3" t="n">
        <v>2.5</v>
      </c>
      <c r="J18" s="3" t="n">
        <v>2.5</v>
      </c>
      <c r="K18" s="3" t="n">
        <v>2.5</v>
      </c>
      <c r="L18" s="3" t="n">
        <v>2.5</v>
      </c>
    </row>
    <row r="19" customFormat="false" ht="15" hidden="false" customHeight="false" outlineLevel="0" collapsed="false">
      <c r="A19" s="0" t="s">
        <v>103</v>
      </c>
      <c r="C19" s="3" t="n">
        <v>19</v>
      </c>
      <c r="D19" s="3" t="n">
        <v>19</v>
      </c>
      <c r="E19" s="3" t="n">
        <v>19</v>
      </c>
      <c r="F19" s="3" t="n">
        <v>19</v>
      </c>
      <c r="G19" s="3" t="n">
        <v>19</v>
      </c>
      <c r="H19" s="3" t="n">
        <v>19</v>
      </c>
      <c r="I19" s="3" t="n">
        <v>19</v>
      </c>
      <c r="J19" s="3" t="n">
        <v>19</v>
      </c>
      <c r="K19" s="3" t="n">
        <v>19</v>
      </c>
      <c r="L19" s="3" t="n">
        <v>19</v>
      </c>
    </row>
    <row r="20" customFormat="false" ht="15" hidden="false" customHeight="false" outlineLevel="0" collapsed="false">
      <c r="A20" s="0" t="s">
        <v>104</v>
      </c>
      <c r="B20" s="3" t="n">
        <v>9.5</v>
      </c>
    </row>
    <row r="21" customFormat="false" ht="15" hidden="false" customHeight="false" outlineLevel="0" collapsed="false">
      <c r="A21" s="0" t="s">
        <v>105</v>
      </c>
      <c r="B21" s="3" t="n">
        <v>2.5</v>
      </c>
    </row>
    <row r="22" customFormat="false" ht="15" hidden="false" customHeight="false" outlineLevel="0" collapsed="false">
      <c r="A22" s="0" t="s">
        <v>106</v>
      </c>
      <c r="B22" s="3" t="n">
        <v>15</v>
      </c>
    </row>
    <row r="23" customFormat="false" ht="15" hidden="false" customHeight="false" outlineLevel="0" collapsed="false">
      <c r="A23" s="0" t="s">
        <v>107</v>
      </c>
      <c r="B23" s="3" t="n">
        <v>-10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0</v>
      </c>
      <c r="D27" s="3" t="n">
        <v>6</v>
      </c>
      <c r="E27" s="3" t="n">
        <v>7</v>
      </c>
      <c r="F27" s="3" t="n">
        <v>6</v>
      </c>
      <c r="G27" s="3" t="n">
        <v>5</v>
      </c>
      <c r="H27" s="3" t="n">
        <v>4.5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98</v>
      </c>
      <c r="C28" s="3" t="n">
        <v>34</v>
      </c>
      <c r="D28" s="3" t="n">
        <v>35</v>
      </c>
      <c r="E28" s="3" t="n">
        <v>36</v>
      </c>
      <c r="F28" s="3" t="n">
        <v>37</v>
      </c>
      <c r="G28" s="3" t="n">
        <v>37.5</v>
      </c>
      <c r="H28" s="3" t="n">
        <v>38</v>
      </c>
      <c r="I28" s="3" t="n">
        <v>38</v>
      </c>
      <c r="J28" s="3" t="n">
        <v>38</v>
      </c>
      <c r="K28" s="3" t="n">
        <v>38</v>
      </c>
      <c r="L28" s="3" t="n">
        <v>38</v>
      </c>
    </row>
    <row r="29" customFormat="false" ht="15" hidden="false" customHeight="false" outlineLevel="0" collapsed="false">
      <c r="A29" s="0" t="s">
        <v>99</v>
      </c>
      <c r="C29" s="3" t="n">
        <v>0.8</v>
      </c>
      <c r="D29" s="3" t="n">
        <v>0.8</v>
      </c>
      <c r="E29" s="3" t="n">
        <v>0.8</v>
      </c>
      <c r="F29" s="3" t="n">
        <v>0.8</v>
      </c>
      <c r="G29" s="3" t="n">
        <v>0.8</v>
      </c>
      <c r="H29" s="3" t="n">
        <v>0.8</v>
      </c>
      <c r="I29" s="3" t="n">
        <v>0.8</v>
      </c>
      <c r="J29" s="3" t="n">
        <v>0.8</v>
      </c>
      <c r="K29" s="3" t="n">
        <v>0.8</v>
      </c>
      <c r="L29" s="3" t="n">
        <v>0.8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1.8</v>
      </c>
      <c r="D31" s="3" t="n">
        <v>1.9</v>
      </c>
      <c r="E31" s="3" t="n">
        <v>2</v>
      </c>
      <c r="F31" s="3" t="n">
        <v>2</v>
      </c>
      <c r="G31" s="3" t="n">
        <v>2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</row>
    <row r="32" customFormat="false" ht="15" hidden="false" customHeight="false" outlineLevel="0" collapsed="false">
      <c r="A32" s="0" t="s">
        <v>102</v>
      </c>
      <c r="C32" s="3" t="n">
        <v>5</v>
      </c>
      <c r="D32" s="3" t="n">
        <v>4.5</v>
      </c>
      <c r="E32" s="3" t="n">
        <v>4</v>
      </c>
      <c r="F32" s="3" t="n">
        <v>3.5</v>
      </c>
      <c r="G32" s="3" t="n">
        <v>3</v>
      </c>
      <c r="H32" s="3" t="n">
        <v>3</v>
      </c>
      <c r="I32" s="3" t="n">
        <v>2.8</v>
      </c>
      <c r="J32" s="3" t="n">
        <v>2.6</v>
      </c>
      <c r="K32" s="3" t="n">
        <v>2.5</v>
      </c>
      <c r="L32" s="3" t="n">
        <v>2.5</v>
      </c>
    </row>
    <row r="33" customFormat="false" ht="15" hidden="false" customHeight="false" outlineLevel="0" collapsed="false">
      <c r="A33" s="0" t="s">
        <v>103</v>
      </c>
      <c r="C33" s="3" t="n">
        <v>19</v>
      </c>
      <c r="D33" s="3" t="n">
        <v>19</v>
      </c>
      <c r="E33" s="3" t="n">
        <v>19</v>
      </c>
      <c r="F33" s="3" t="n">
        <v>19</v>
      </c>
      <c r="G33" s="3" t="n">
        <v>19</v>
      </c>
      <c r="H33" s="3" t="n">
        <v>19</v>
      </c>
      <c r="I33" s="3" t="n">
        <v>19</v>
      </c>
      <c r="J33" s="3" t="n">
        <v>19</v>
      </c>
      <c r="K33" s="3" t="n">
        <v>19</v>
      </c>
      <c r="L33" s="3" t="n">
        <v>19</v>
      </c>
    </row>
    <row r="34" customFormat="false" ht="15" hidden="false" customHeight="false" outlineLevel="0" collapsed="false">
      <c r="A34" s="0" t="s">
        <v>104</v>
      </c>
      <c r="B34" s="3" t="n">
        <v>9.5</v>
      </c>
    </row>
    <row r="35" customFormat="false" ht="15" hidden="false" customHeight="false" outlineLevel="0" collapsed="false">
      <c r="A35" s="0" t="s">
        <v>105</v>
      </c>
      <c r="B35" s="3" t="n">
        <v>2.5</v>
      </c>
    </row>
    <row r="36" customFormat="false" ht="15" hidden="false" customHeight="false" outlineLevel="0" collapsed="false">
      <c r="A36" s="0" t="s">
        <v>106</v>
      </c>
      <c r="B36" s="3" t="n">
        <v>15</v>
      </c>
    </row>
    <row r="37" customFormat="false" ht="15" hidden="false" customHeight="false" outlineLevel="0" collapsed="false">
      <c r="A37" s="0" t="s">
        <v>107</v>
      </c>
      <c r="B37" s="3" t="n">
        <v>-10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3</v>
      </c>
      <c r="D41" s="3" t="n">
        <v>12</v>
      </c>
      <c r="E41" s="3" t="n">
        <v>11</v>
      </c>
      <c r="F41" s="3" t="n">
        <v>10</v>
      </c>
      <c r="G41" s="3" t="n">
        <v>8</v>
      </c>
      <c r="H41" s="3" t="n">
        <v>7</v>
      </c>
      <c r="I41" s="3" t="n">
        <v>6</v>
      </c>
      <c r="J41" s="3" t="n">
        <v>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98</v>
      </c>
      <c r="C42" s="3" t="n">
        <v>35</v>
      </c>
      <c r="D42" s="3" t="n">
        <v>37.5</v>
      </c>
      <c r="E42" s="3" t="n">
        <v>39.5</v>
      </c>
      <c r="F42" s="3" t="n">
        <v>41</v>
      </c>
      <c r="G42" s="3" t="n">
        <v>42</v>
      </c>
      <c r="H42" s="3" t="n">
        <v>42</v>
      </c>
      <c r="I42" s="3" t="n">
        <v>42</v>
      </c>
      <c r="J42" s="3" t="n">
        <v>42</v>
      </c>
      <c r="K42" s="3" t="n">
        <v>42</v>
      </c>
      <c r="L42" s="3" t="n">
        <v>42</v>
      </c>
    </row>
    <row r="43" customFormat="false" ht="15" hidden="false" customHeight="false" outlineLevel="0" collapsed="false">
      <c r="A43" s="0" t="s">
        <v>99</v>
      </c>
      <c r="C43" s="3" t="n">
        <v>0.8</v>
      </c>
      <c r="D43" s="3" t="n">
        <v>0.8</v>
      </c>
      <c r="E43" s="3" t="n">
        <v>0.8</v>
      </c>
      <c r="F43" s="3" t="n">
        <v>0.8</v>
      </c>
      <c r="G43" s="3" t="n">
        <v>0.8</v>
      </c>
      <c r="H43" s="3" t="n">
        <v>0.8</v>
      </c>
      <c r="I43" s="3" t="n">
        <v>0.8</v>
      </c>
      <c r="J43" s="3" t="n">
        <v>0.8</v>
      </c>
      <c r="K43" s="3" t="n">
        <v>0.8</v>
      </c>
      <c r="L43" s="3" t="n">
        <v>0.8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1.8</v>
      </c>
      <c r="D45" s="3" t="n">
        <v>1.9</v>
      </c>
      <c r="E45" s="3" t="n">
        <v>2</v>
      </c>
      <c r="F45" s="3" t="n">
        <v>2</v>
      </c>
      <c r="G45" s="3" t="n">
        <v>2</v>
      </c>
      <c r="H45" s="3" t="n">
        <v>2</v>
      </c>
      <c r="I45" s="3" t="n">
        <v>2</v>
      </c>
      <c r="J45" s="3" t="n">
        <v>2</v>
      </c>
      <c r="K45" s="3" t="n">
        <v>2</v>
      </c>
      <c r="L45" s="3" t="n">
        <v>2</v>
      </c>
    </row>
    <row r="46" customFormat="false" ht="15" hidden="false" customHeight="false" outlineLevel="0" collapsed="false">
      <c r="A46" s="0" t="s">
        <v>102</v>
      </c>
      <c r="C46" s="3" t="n">
        <v>5</v>
      </c>
      <c r="D46" s="3" t="n">
        <v>4.5</v>
      </c>
      <c r="E46" s="3" t="n">
        <v>4</v>
      </c>
      <c r="F46" s="3" t="n">
        <v>3.5</v>
      </c>
      <c r="G46" s="3" t="n">
        <v>3</v>
      </c>
      <c r="H46" s="3" t="n">
        <v>3</v>
      </c>
      <c r="I46" s="3" t="n">
        <v>2.8</v>
      </c>
      <c r="J46" s="3" t="n">
        <v>2.6</v>
      </c>
      <c r="K46" s="3" t="n">
        <v>2.5</v>
      </c>
      <c r="L46" s="3" t="n">
        <v>2.5</v>
      </c>
    </row>
    <row r="47" customFormat="false" ht="15" hidden="false" customHeight="false" outlineLevel="0" collapsed="false">
      <c r="A47" s="0" t="s">
        <v>103</v>
      </c>
      <c r="C47" s="3" t="n">
        <v>19</v>
      </c>
      <c r="D47" s="3" t="n">
        <v>19</v>
      </c>
      <c r="E47" s="3" t="n">
        <v>19</v>
      </c>
      <c r="F47" s="3" t="n">
        <v>19</v>
      </c>
      <c r="G47" s="3" t="n">
        <v>19</v>
      </c>
      <c r="H47" s="3" t="n">
        <v>19</v>
      </c>
      <c r="I47" s="3" t="n">
        <v>19</v>
      </c>
      <c r="J47" s="3" t="n">
        <v>19</v>
      </c>
      <c r="K47" s="3" t="n">
        <v>19</v>
      </c>
      <c r="L47" s="3" t="n">
        <v>19</v>
      </c>
    </row>
    <row r="48" customFormat="false" ht="15" hidden="false" customHeight="false" outlineLevel="0" collapsed="false">
      <c r="A48" s="0" t="s">
        <v>104</v>
      </c>
      <c r="B48" s="3" t="n">
        <v>9.5</v>
      </c>
    </row>
    <row r="49" customFormat="false" ht="15" hidden="false" customHeight="false" outlineLevel="0" collapsed="false">
      <c r="A49" s="0" t="s">
        <v>105</v>
      </c>
      <c r="B49" s="3" t="n">
        <v>2.5</v>
      </c>
    </row>
    <row r="50" customFormat="false" ht="15" hidden="false" customHeight="false" outlineLevel="0" collapsed="false">
      <c r="A50" s="0" t="s">
        <v>106</v>
      </c>
      <c r="B50" s="3" t="n">
        <v>15</v>
      </c>
    </row>
    <row r="51" customFormat="false" ht="15" hidden="false" customHeight="false" outlineLevel="0" collapsed="false">
      <c r="A51" s="0" t="s">
        <v>107</v>
      </c>
      <c r="B51" s="3" t="n">
        <v>-10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-5</v>
      </c>
      <c r="D5" s="4" t="n">
        <f aca="false">Assumptions!D13</f>
        <v>-2</v>
      </c>
      <c r="E5" s="4" t="n">
        <f aca="false">Assumptions!E13</f>
        <v>1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5518.512</v>
      </c>
      <c r="C6" s="0" t="n">
        <f aca="false">B6*(1+C5/100)</f>
        <v>5242.5864</v>
      </c>
      <c r="D6" s="0" t="n">
        <f aca="false">C6*(1+D5/100)</f>
        <v>5137.734672</v>
      </c>
      <c r="E6" s="0" t="n">
        <f aca="false">D6*(1+E5/100)</f>
        <v>5189.11201872</v>
      </c>
      <c r="F6" s="0" t="n">
        <f aca="false">E6*(1+F5/100)</f>
        <v>5292.8942590944</v>
      </c>
      <c r="G6" s="0" t="n">
        <f aca="false">F6*(1+G5/100)</f>
        <v>5398.75214427629</v>
      </c>
      <c r="H6" s="0" t="n">
        <f aca="false">G6*(1+H5/100)</f>
        <v>5506.72718716181</v>
      </c>
      <c r="I6" s="0" t="n">
        <f aca="false">H6*(1+I5/100)</f>
        <v>5616.86173090505</v>
      </c>
      <c r="J6" s="0" t="n">
        <f aca="false">I6*(1+J5/100)</f>
        <v>5729.19896552315</v>
      </c>
      <c r="K6" s="0" t="n">
        <f aca="false">J6*(1+K5/100)</f>
        <v>5843.78294483362</v>
      </c>
      <c r="L6" s="0" t="n">
        <f aca="false">K6*(1+L5/100)</f>
        <v>5960.65860373029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32</v>
      </c>
      <c r="D7" s="4" t="n">
        <f aca="false">Assumptions!D14</f>
        <v>30</v>
      </c>
      <c r="E7" s="4" t="n">
        <f aca="false">Assumptions!E14</f>
        <v>29</v>
      </c>
      <c r="F7" s="4" t="n">
        <f aca="false">Assumptions!F14</f>
        <v>28</v>
      </c>
      <c r="G7" s="4" t="n">
        <f aca="false">Assumptions!G14</f>
        <v>28</v>
      </c>
      <c r="H7" s="4" t="n">
        <f aca="false">Assumptions!H14</f>
        <v>28</v>
      </c>
      <c r="I7" s="4" t="n">
        <f aca="false">Assumptions!I14</f>
        <v>28</v>
      </c>
      <c r="J7" s="4" t="n">
        <f aca="false">Assumptions!J14</f>
        <v>28</v>
      </c>
      <c r="K7" s="4" t="n">
        <f aca="false">Assumptions!K14</f>
        <v>28</v>
      </c>
      <c r="L7" s="4" t="n">
        <f aca="false">Assumptions!L14</f>
        <v>28</v>
      </c>
    </row>
    <row r="8" customFormat="false" ht="15" hidden="false" customHeight="false" outlineLevel="0" collapsed="false">
      <c r="A8" s="0" t="s">
        <v>44</v>
      </c>
      <c r="C8" s="0" t="n">
        <f aca="false">C6*C7/100</f>
        <v>1677.627648</v>
      </c>
      <c r="D8" s="0" t="n">
        <f aca="false">D6*D7/100</f>
        <v>1541.3204016</v>
      </c>
      <c r="E8" s="0" t="n">
        <f aca="false">E6*E7/100</f>
        <v>1504.8424854288</v>
      </c>
      <c r="F8" s="0" t="n">
        <f aca="false">F6*F7/100</f>
        <v>1482.01039254643</v>
      </c>
      <c r="G8" s="0" t="n">
        <f aca="false">G6*G7/100</f>
        <v>1511.65060039736</v>
      </c>
      <c r="H8" s="0" t="n">
        <f aca="false">H6*H7/100</f>
        <v>1541.88361240531</v>
      </c>
      <c r="I8" s="0" t="n">
        <f aca="false">I6*I7/100</f>
        <v>1572.72128465341</v>
      </c>
      <c r="J8" s="0" t="n">
        <f aca="false">J6*J7/100</f>
        <v>1604.17571034648</v>
      </c>
      <c r="K8" s="0" t="n">
        <f aca="false">K6*K7/100</f>
        <v>1636.25922455341</v>
      </c>
      <c r="L8" s="0" t="n">
        <f aca="false">L6*L7/100</f>
        <v>1668.98440904448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0.8</v>
      </c>
      <c r="D9" s="4" t="n">
        <f aca="false">Assumptions!D15</f>
        <v>0.8</v>
      </c>
      <c r="E9" s="4" t="n">
        <f aca="false">Assumptions!E15</f>
        <v>0.8</v>
      </c>
      <c r="F9" s="4" t="n">
        <f aca="false">Assumptions!F15</f>
        <v>0.8</v>
      </c>
      <c r="G9" s="4" t="n">
        <f aca="false">Assumptions!G15</f>
        <v>0.8</v>
      </c>
      <c r="H9" s="4" t="n">
        <f aca="false">Assumptions!H15</f>
        <v>0.8</v>
      </c>
      <c r="I9" s="4" t="n">
        <f aca="false">Assumptions!I15</f>
        <v>0.8</v>
      </c>
      <c r="J9" s="4" t="n">
        <f aca="false">Assumptions!J15</f>
        <v>0.8</v>
      </c>
      <c r="K9" s="4" t="n">
        <f aca="false">Assumptions!K15</f>
        <v>0.8</v>
      </c>
      <c r="L9" s="4" t="n">
        <f aca="false">Assumptions!L15</f>
        <v>0.8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-41.9406912</v>
      </c>
      <c r="D10" s="0" t="n">
        <f aca="false">-D6*D9/100</f>
        <v>-41.101877376</v>
      </c>
      <c r="E10" s="0" t="n">
        <f aca="false">-E6*E9/100</f>
        <v>-41.51289614976</v>
      </c>
      <c r="F10" s="0" t="n">
        <f aca="false">-F6*F9/100</f>
        <v>-42.3431540727552</v>
      </c>
      <c r="G10" s="0" t="n">
        <f aca="false">-G6*G9/100</f>
        <v>-43.1900171542103</v>
      </c>
      <c r="H10" s="0" t="n">
        <f aca="false">-H6*H9/100</f>
        <v>-44.0538174972945</v>
      </c>
      <c r="I10" s="0" t="n">
        <f aca="false">-I6*I9/100</f>
        <v>-44.9348938472404</v>
      </c>
      <c r="J10" s="0" t="n">
        <f aca="false">-J6*J9/100</f>
        <v>-45.8335917241852</v>
      </c>
      <c r="K10" s="0" t="n">
        <f aca="false">-K6*K9/100</f>
        <v>-46.7502635586689</v>
      </c>
      <c r="L10" s="0" t="n">
        <f aca="false">-L6*L9/100</f>
        <v>-47.6852688298423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1635.6869568</v>
      </c>
      <c r="D11" s="0" t="n">
        <f aca="false">D8+D10+D24</f>
        <v>1500.218524224</v>
      </c>
      <c r="E11" s="0" t="n">
        <f aca="false">E8+E10+E24</f>
        <v>1463.32958927904</v>
      </c>
      <c r="F11" s="0" t="n">
        <f aca="false">F8+F10+F24</f>
        <v>1439.66723847368</v>
      </c>
      <c r="G11" s="0" t="n">
        <f aca="false">G8+G10+G24</f>
        <v>1468.46058324315</v>
      </c>
      <c r="H11" s="0" t="n">
        <f aca="false">H8+H10+H24</f>
        <v>1497.82979490801</v>
      </c>
      <c r="I11" s="0" t="n">
        <f aca="false">I8+I10+I24</f>
        <v>1527.78639080617</v>
      </c>
      <c r="J11" s="0" t="n">
        <f aca="false">J8+J10+J24</f>
        <v>1558.3421186223</v>
      </c>
      <c r="K11" s="0" t="n">
        <f aca="false">K8+K10+K24</f>
        <v>1589.50896099474</v>
      </c>
      <c r="L11" s="0" t="n">
        <f aca="false">L8+L10+L24</f>
        <v>1621.29914021464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-94.3665552</v>
      </c>
      <c r="D12" s="4" t="n">
        <f aca="false">-D6*Assumptions!D17/100</f>
        <v>-97.616958768</v>
      </c>
      <c r="E12" s="4" t="n">
        <f aca="false">-E6*Assumptions!E17/100</f>
        <v>-103.7822403744</v>
      </c>
      <c r="F12" s="4" t="n">
        <f aca="false">-F6*Assumptions!F17/100</f>
        <v>-105.857885181888</v>
      </c>
      <c r="G12" s="4" t="n">
        <f aca="false">-G6*Assumptions!G17/100</f>
        <v>-107.975042885526</v>
      </c>
      <c r="H12" s="4" t="n">
        <f aca="false">-H6*Assumptions!H17/100</f>
        <v>-110.134543743236</v>
      </c>
      <c r="I12" s="4" t="n">
        <f aca="false">-I6*Assumptions!I17/100</f>
        <v>-112.337234618101</v>
      </c>
      <c r="J12" s="4" t="n">
        <f aca="false">-J6*Assumptions!J17/100</f>
        <v>-114.583979310463</v>
      </c>
      <c r="K12" s="4" t="n">
        <f aca="false">-K6*Assumptions!K17/100</f>
        <v>-116.875658896672</v>
      </c>
      <c r="L12" s="4" t="n">
        <f aca="false">-L6*Assumptions!L17/100</f>
        <v>-119.213172074606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1541.3204016</v>
      </c>
      <c r="D13" s="0" t="n">
        <f aca="false">D11+D12</f>
        <v>1402.601565456</v>
      </c>
      <c r="E13" s="0" t="n">
        <f aca="false">E11+E12</f>
        <v>1359.54734890464</v>
      </c>
      <c r="F13" s="0" t="n">
        <f aca="false">F11+F12</f>
        <v>1333.80935329179</v>
      </c>
      <c r="G13" s="0" t="n">
        <f aca="false">G11+G12</f>
        <v>1360.48554035762</v>
      </c>
      <c r="H13" s="0" t="n">
        <f aca="false">H11+H12</f>
        <v>1387.69525116478</v>
      </c>
      <c r="I13" s="0" t="n">
        <f aca="false">I11+I12</f>
        <v>1415.44915618807</v>
      </c>
      <c r="J13" s="0" t="n">
        <f aca="false">J11+J12</f>
        <v>1443.75813931183</v>
      </c>
      <c r="K13" s="0" t="n">
        <f aca="false">K11+K12</f>
        <v>1472.63330209807</v>
      </c>
      <c r="L13" s="0" t="n">
        <f aca="false">L11+L12</f>
        <v>1502.08596814003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19</v>
      </c>
      <c r="D14" s="4" t="n">
        <f aca="false">Assumptions!D19</f>
        <v>19</v>
      </c>
      <c r="E14" s="4" t="n">
        <f aca="false">Assumptions!E19</f>
        <v>19</v>
      </c>
      <c r="F14" s="4" t="n">
        <f aca="false">Assumptions!F19</f>
        <v>19</v>
      </c>
      <c r="G14" s="4" t="n">
        <f aca="false">Assumptions!G19</f>
        <v>19</v>
      </c>
      <c r="H14" s="4" t="n">
        <f aca="false">Assumptions!H19</f>
        <v>19</v>
      </c>
      <c r="I14" s="4" t="n">
        <f aca="false">Assumptions!I19</f>
        <v>19</v>
      </c>
      <c r="J14" s="4" t="n">
        <f aca="false">Assumptions!J19</f>
        <v>19</v>
      </c>
      <c r="K14" s="4" t="n">
        <f aca="false">Assumptions!K19</f>
        <v>19</v>
      </c>
      <c r="L14" s="4" t="n">
        <f aca="false">Assumptions!L19</f>
        <v>19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1248.469525296</v>
      </c>
      <c r="D15" s="0" t="n">
        <f aca="false">D13-MAX(0,D13)*D14/100</f>
        <v>1136.10726801936</v>
      </c>
      <c r="E15" s="0" t="n">
        <f aca="false">E13-MAX(0,E13)*E14/100</f>
        <v>1101.23335261276</v>
      </c>
      <c r="F15" s="0" t="n">
        <f aca="false">F13-MAX(0,F13)*F14/100</f>
        <v>1080.38557616635</v>
      </c>
      <c r="G15" s="0" t="n">
        <f aca="false">G13-MAX(0,G13)*G14/100</f>
        <v>1101.99328768968</v>
      </c>
      <c r="H15" s="0" t="n">
        <f aca="false">H13-MAX(0,H13)*H14/100</f>
        <v>1124.03315344347</v>
      </c>
      <c r="I15" s="0" t="n">
        <f aca="false">I13-MAX(0,I13)*I14/100</f>
        <v>1146.51381651234</v>
      </c>
      <c r="J15" s="0" t="n">
        <f aca="false">J13-MAX(0,J13)*J14/100</f>
        <v>1169.44409284259</v>
      </c>
      <c r="K15" s="0" t="n">
        <f aca="false">K13-MAX(0,K13)*K14/100</f>
        <v>1192.83297469944</v>
      </c>
      <c r="L15" s="0" t="n">
        <f aca="false">L13-MAX(0,L13)*L14/100</f>
        <v>1216.68963419343</v>
      </c>
    </row>
    <row r="16" customFormat="false" ht="15" hidden="false" customHeight="false" outlineLevel="0" collapsed="false">
      <c r="A16" s="0" t="s">
        <v>119</v>
      </c>
      <c r="C16" s="0" t="n">
        <f aca="false">-C12</f>
        <v>94.3665552</v>
      </c>
      <c r="D16" s="0" t="n">
        <f aca="false">-D12</f>
        <v>97.616958768</v>
      </c>
      <c r="E16" s="0" t="n">
        <f aca="false">-E12</f>
        <v>103.7822403744</v>
      </c>
      <c r="F16" s="0" t="n">
        <f aca="false">-F12</f>
        <v>105.857885181888</v>
      </c>
      <c r="G16" s="0" t="n">
        <f aca="false">-G12</f>
        <v>107.975042885526</v>
      </c>
      <c r="H16" s="0" t="n">
        <f aca="false">-H12</f>
        <v>110.134543743236</v>
      </c>
      <c r="I16" s="0" t="n">
        <f aca="false">-I12</f>
        <v>112.337234618101</v>
      </c>
      <c r="J16" s="0" t="n">
        <f aca="false">-J12</f>
        <v>114.583979310463</v>
      </c>
      <c r="K16" s="0" t="n">
        <f aca="false">-K12</f>
        <v>116.875658896672</v>
      </c>
      <c r="L16" s="0" t="n">
        <f aca="false">-L12</f>
        <v>119.213172074606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-262.12932</v>
      </c>
      <c r="D17" s="4" t="n">
        <f aca="false">-D6*Assumptions!D18/100</f>
        <v>-205.50938688</v>
      </c>
      <c r="E17" s="4" t="n">
        <f aca="false">-E6*Assumptions!E18/100</f>
        <v>-181.6189206552</v>
      </c>
      <c r="F17" s="4" t="n">
        <f aca="false">-F6*Assumptions!F18/100</f>
        <v>-158.786827772832</v>
      </c>
      <c r="G17" s="4" t="n">
        <f aca="false">-G6*Assumptions!G18/100</f>
        <v>-151.165060039736</v>
      </c>
      <c r="H17" s="4" t="n">
        <f aca="false">-H6*Assumptions!H18/100</f>
        <v>-143.174906866207</v>
      </c>
      <c r="I17" s="4" t="n">
        <f aca="false">-I6*Assumptions!I18/100</f>
        <v>-140.421543272626</v>
      </c>
      <c r="J17" s="4" t="n">
        <f aca="false">-J6*Assumptions!J18/100</f>
        <v>-143.229974138079</v>
      </c>
      <c r="K17" s="4" t="n">
        <f aca="false">-K6*Assumptions!K18/100</f>
        <v>-146.09457362084</v>
      </c>
      <c r="L17" s="4" t="n">
        <f aca="false">-L6*Assumptions!L18/100</f>
        <v>-149.016465093257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27.5925600000001</v>
      </c>
      <c r="D18" s="4" t="n">
        <f aca="false">(D6-C6)*Assumptions!$B$23/100</f>
        <v>10.4851728</v>
      </c>
      <c r="E18" s="4" t="n">
        <f aca="false">(E6-D6)*Assumptions!$B$23/100</f>
        <v>-5.13773467199999</v>
      </c>
      <c r="F18" s="4" t="n">
        <f aca="false">(F6-E6)*Assumptions!$B$23/100</f>
        <v>-10.37822403744</v>
      </c>
      <c r="G18" s="4" t="n">
        <f aca="false">(G6-F6)*Assumptions!$B$23/100</f>
        <v>-10.5857885181888</v>
      </c>
      <c r="H18" s="4" t="n">
        <f aca="false">(H6-G6)*Assumptions!$B$23/100</f>
        <v>-10.7975042885526</v>
      </c>
      <c r="I18" s="4" t="n">
        <f aca="false">(I6-H6)*Assumptions!$B$23/100</f>
        <v>-11.0134543743236</v>
      </c>
      <c r="J18" s="4" t="n">
        <f aca="false">(J6-I6)*Assumptions!$B$23/100</f>
        <v>-11.2337234618101</v>
      </c>
      <c r="K18" s="4" t="n">
        <f aca="false">(K6-J6)*Assumptions!$B$23/100</f>
        <v>-11.4583979310463</v>
      </c>
      <c r="L18" s="4" t="n">
        <f aca="false">(L6-K6)*Assumptions!$B$23/100</f>
        <v>-11.6875658896673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1108.299320496</v>
      </c>
      <c r="D19" s="0" t="n">
        <f aca="false">D15+D16+D17+D18</f>
        <v>1038.70001270736</v>
      </c>
      <c r="E19" s="0" t="n">
        <f aca="false">E15+E16+E17+E18</f>
        <v>1018.25893765996</v>
      </c>
      <c r="F19" s="0" t="n">
        <f aca="false">F15+F16+F17+F18</f>
        <v>1017.07840953796</v>
      </c>
      <c r="G19" s="0" t="n">
        <f aca="false">G15+G16+G17+G18</f>
        <v>1048.21748201728</v>
      </c>
      <c r="H19" s="0" t="n">
        <f aca="false">H15+H16+H17+H18</f>
        <v>1080.19528603195</v>
      </c>
      <c r="I19" s="0" t="n">
        <f aca="false">I15+I16+I17+I18</f>
        <v>1107.41605348349</v>
      </c>
      <c r="J19" s="0" t="n">
        <f aca="false">J15+J16+J17+J18</f>
        <v>1129.56437455316</v>
      </c>
      <c r="K19" s="0" t="n">
        <f aca="false">K15+K16+K17+K18</f>
        <v>1152.15566204422</v>
      </c>
      <c r="L19" s="0" t="n">
        <f aca="false">L15+L16+L17+L18</f>
        <v>1175.19877528511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1012.14549816986</v>
      </c>
      <c r="D21" s="0" t="n">
        <f aca="false">D19*D20</f>
        <v>866.287202274648</v>
      </c>
      <c r="E21" s="0" t="n">
        <f aca="false">E19*E20</f>
        <v>775.560841555117</v>
      </c>
      <c r="F21" s="0" t="n">
        <f aca="false">F19*F20</f>
        <v>707.453596131832</v>
      </c>
      <c r="G21" s="0" t="n">
        <f aca="false">G19*G20</f>
        <v>665.856743809466</v>
      </c>
      <c r="H21" s="0" t="n">
        <f aca="false">H19*H20</f>
        <v>626.639205109174</v>
      </c>
      <c r="I21" s="0" t="n">
        <f aca="false">I19*I20</f>
        <v>586.694451033106</v>
      </c>
      <c r="J21" s="0" t="n">
        <f aca="false">J19*J20</f>
        <v>546.509899592483</v>
      </c>
      <c r="K21" s="0" t="n">
        <f aca="false">K19*K20</f>
        <v>509.077714688888</v>
      </c>
      <c r="L21" s="0" t="n">
        <f aca="false">L19*L20</f>
        <v>474.209378066361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6770.43453043094</v>
      </c>
    </row>
    <row r="31" customFormat="false" ht="15" hidden="false" customHeight="false" outlineLevel="0" collapsed="false">
      <c r="A31" s="0" t="s">
        <v>128</v>
      </c>
      <c r="B31" s="0" t="n">
        <f aca="false">L19</f>
        <v>1175.19877528511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17208.2677809605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17627.9816292766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17208.2677809605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6943.78017882886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13714.2147092598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21312.0437092598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23.5340924068631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0.0413315224275712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272.524011604709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281.753207615839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24.1461599999156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9636.62995733788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16.9744701835006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0</v>
      </c>
      <c r="D5" s="4" t="n">
        <f aca="false">Assumptions!D27</f>
        <v>6</v>
      </c>
      <c r="E5" s="4" t="n">
        <f aca="false">Assumptions!E27</f>
        <v>7</v>
      </c>
      <c r="F5" s="4" t="n">
        <f aca="false">Assumptions!F27</f>
        <v>6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5518.512</v>
      </c>
      <c r="C6" s="0" t="n">
        <f aca="false">B6*(1+C5/100)</f>
        <v>5518.512</v>
      </c>
      <c r="D6" s="0" t="n">
        <f aca="false">C6*(1+D5/100)</f>
        <v>5849.62272</v>
      </c>
      <c r="E6" s="0" t="n">
        <f aca="false">D6*(1+E5/100)</f>
        <v>6259.0963104</v>
      </c>
      <c r="F6" s="0" t="n">
        <f aca="false">E6*(1+F5/100)</f>
        <v>6634.642089024</v>
      </c>
      <c r="G6" s="0" t="n">
        <f aca="false">F6*(1+G5/100)</f>
        <v>6966.3741934752</v>
      </c>
      <c r="H6" s="0" t="n">
        <f aca="false">G6*(1+H5/100)</f>
        <v>7279.86103218159</v>
      </c>
      <c r="I6" s="0" t="n">
        <f aca="false">H6*(1+I5/100)</f>
        <v>7571.05547346885</v>
      </c>
      <c r="J6" s="0" t="n">
        <f aca="false">I6*(1+J5/100)</f>
        <v>7836.04241504026</v>
      </c>
      <c r="K6" s="0" t="n">
        <f aca="false">J6*(1+K5/100)</f>
        <v>8071.12368749147</v>
      </c>
      <c r="L6" s="0" t="n">
        <f aca="false">K6*(1+L5/100)</f>
        <v>8313.25739811621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34</v>
      </c>
      <c r="D7" s="4" t="n">
        <f aca="false">Assumptions!D28</f>
        <v>35</v>
      </c>
      <c r="E7" s="4" t="n">
        <f aca="false">Assumptions!E28</f>
        <v>36</v>
      </c>
      <c r="F7" s="4" t="n">
        <f aca="false">Assumptions!F28</f>
        <v>37</v>
      </c>
      <c r="G7" s="4" t="n">
        <f aca="false">Assumptions!G28</f>
        <v>37.5</v>
      </c>
      <c r="H7" s="4" t="n">
        <f aca="false">Assumptions!H28</f>
        <v>38</v>
      </c>
      <c r="I7" s="4" t="n">
        <f aca="false">Assumptions!I28</f>
        <v>38</v>
      </c>
      <c r="J7" s="4" t="n">
        <f aca="false">Assumptions!J28</f>
        <v>38</v>
      </c>
      <c r="K7" s="4" t="n">
        <f aca="false">Assumptions!K28</f>
        <v>38</v>
      </c>
      <c r="L7" s="4" t="n">
        <f aca="false">Assumptions!L28</f>
        <v>38</v>
      </c>
    </row>
    <row r="8" customFormat="false" ht="15" hidden="false" customHeight="false" outlineLevel="0" collapsed="false">
      <c r="A8" s="0" t="s">
        <v>44</v>
      </c>
      <c r="C8" s="0" t="n">
        <f aca="false">C6*C7/100</f>
        <v>1876.29408</v>
      </c>
      <c r="D8" s="0" t="n">
        <f aca="false">D6*D7/100</f>
        <v>2047.367952</v>
      </c>
      <c r="E8" s="0" t="n">
        <f aca="false">E6*E7/100</f>
        <v>2253.274671744</v>
      </c>
      <c r="F8" s="0" t="n">
        <f aca="false">F6*F7/100</f>
        <v>2454.81757293888</v>
      </c>
      <c r="G8" s="0" t="n">
        <f aca="false">G6*G7/100</f>
        <v>2612.3903225532</v>
      </c>
      <c r="H8" s="0" t="n">
        <f aca="false">H6*H7/100</f>
        <v>2766.347192229</v>
      </c>
      <c r="I8" s="0" t="n">
        <f aca="false">I6*I7/100</f>
        <v>2877.00107991816</v>
      </c>
      <c r="J8" s="0" t="n">
        <f aca="false">J6*J7/100</f>
        <v>2977.6961177153</v>
      </c>
      <c r="K8" s="0" t="n">
        <f aca="false">K6*K7/100</f>
        <v>3067.02700124676</v>
      </c>
      <c r="L8" s="0" t="n">
        <f aca="false">L6*L7/100</f>
        <v>3159.03781128416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0.8</v>
      </c>
      <c r="D9" s="4" t="n">
        <f aca="false">Assumptions!D29</f>
        <v>0.8</v>
      </c>
      <c r="E9" s="4" t="n">
        <f aca="false">Assumptions!E29</f>
        <v>0.8</v>
      </c>
      <c r="F9" s="4" t="n">
        <f aca="false">Assumptions!F29</f>
        <v>0.8</v>
      </c>
      <c r="G9" s="4" t="n">
        <f aca="false">Assumptions!G29</f>
        <v>0.8</v>
      </c>
      <c r="H9" s="4" t="n">
        <f aca="false">Assumptions!H29</f>
        <v>0.8</v>
      </c>
      <c r="I9" s="4" t="n">
        <f aca="false">Assumptions!I29</f>
        <v>0.8</v>
      </c>
      <c r="J9" s="4" t="n">
        <f aca="false">Assumptions!J29</f>
        <v>0.8</v>
      </c>
      <c r="K9" s="4" t="n">
        <f aca="false">Assumptions!K29</f>
        <v>0.8</v>
      </c>
      <c r="L9" s="4" t="n">
        <f aca="false">Assumptions!L29</f>
        <v>0.8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-44.148096</v>
      </c>
      <c r="D10" s="0" t="n">
        <f aca="false">-D6*D9/100</f>
        <v>-46.79698176</v>
      </c>
      <c r="E10" s="0" t="n">
        <f aca="false">-E6*E9/100</f>
        <v>-50.0727704832</v>
      </c>
      <c r="F10" s="0" t="n">
        <f aca="false">-F6*F9/100</f>
        <v>-53.077136712192</v>
      </c>
      <c r="G10" s="0" t="n">
        <f aca="false">-G6*G9/100</f>
        <v>-55.7309935478016</v>
      </c>
      <c r="H10" s="0" t="n">
        <f aca="false">-H6*H9/100</f>
        <v>-58.2388882574527</v>
      </c>
      <c r="I10" s="0" t="n">
        <f aca="false">-I6*I9/100</f>
        <v>-60.5684437877508</v>
      </c>
      <c r="J10" s="0" t="n">
        <f aca="false">-J6*J9/100</f>
        <v>-62.6883393203221</v>
      </c>
      <c r="K10" s="0" t="n">
        <f aca="false">-K6*K9/100</f>
        <v>-64.5689894999317</v>
      </c>
      <c r="L10" s="0" t="n">
        <f aca="false">-L6*L9/100</f>
        <v>-66.5060591849297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1832.145984</v>
      </c>
      <c r="D11" s="0" t="n">
        <f aca="false">D8+D10+D24</f>
        <v>2000.57097024</v>
      </c>
      <c r="E11" s="0" t="n">
        <f aca="false">E8+E10+E24</f>
        <v>2203.2019012608</v>
      </c>
      <c r="F11" s="0" t="n">
        <f aca="false">F8+F10+F24</f>
        <v>2401.74043622669</v>
      </c>
      <c r="G11" s="0" t="n">
        <f aca="false">G8+G10+G24</f>
        <v>2556.6593290054</v>
      </c>
      <c r="H11" s="0" t="n">
        <f aca="false">H8+H10+H24</f>
        <v>2708.10830397155</v>
      </c>
      <c r="I11" s="0" t="n">
        <f aca="false">I8+I10+I24</f>
        <v>2816.43263613041</v>
      </c>
      <c r="J11" s="0" t="n">
        <f aca="false">J8+J10+J24</f>
        <v>2915.00777839498</v>
      </c>
      <c r="K11" s="0" t="n">
        <f aca="false">K8+K10+K24</f>
        <v>3002.45801174683</v>
      </c>
      <c r="L11" s="0" t="n">
        <f aca="false">L8+L10+L24</f>
        <v>3092.53175209923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-99.333216</v>
      </c>
      <c r="D12" s="4" t="n">
        <f aca="false">-D6*Assumptions!D31/100</f>
        <v>-111.14283168</v>
      </c>
      <c r="E12" s="4" t="n">
        <f aca="false">-E6*Assumptions!E31/100</f>
        <v>-125.181926208</v>
      </c>
      <c r="F12" s="4" t="n">
        <f aca="false">-F6*Assumptions!F31/100</f>
        <v>-132.69284178048</v>
      </c>
      <c r="G12" s="4" t="n">
        <f aca="false">-G6*Assumptions!G31/100</f>
        <v>-139.327483869504</v>
      </c>
      <c r="H12" s="4" t="n">
        <f aca="false">-H6*Assumptions!H31/100</f>
        <v>-145.597220643632</v>
      </c>
      <c r="I12" s="4" t="n">
        <f aca="false">-I6*Assumptions!I31/100</f>
        <v>-151.421109469377</v>
      </c>
      <c r="J12" s="4" t="n">
        <f aca="false">-J6*Assumptions!J31/100</f>
        <v>-156.720848300805</v>
      </c>
      <c r="K12" s="4" t="n">
        <f aca="false">-K6*Assumptions!K31/100</f>
        <v>-161.422473749829</v>
      </c>
      <c r="L12" s="4" t="n">
        <f aca="false">-L6*Assumptions!L31/100</f>
        <v>-166.265147962324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1732.812768</v>
      </c>
      <c r="D13" s="0" t="n">
        <f aca="false">D11+D12</f>
        <v>1889.42813856</v>
      </c>
      <c r="E13" s="0" t="n">
        <f aca="false">E11+E12</f>
        <v>2078.0199750528</v>
      </c>
      <c r="F13" s="0" t="n">
        <f aca="false">F11+F12</f>
        <v>2269.04759444621</v>
      </c>
      <c r="G13" s="0" t="n">
        <f aca="false">G11+G12</f>
        <v>2417.33184513589</v>
      </c>
      <c r="H13" s="0" t="n">
        <f aca="false">H11+H12</f>
        <v>2562.51108332792</v>
      </c>
      <c r="I13" s="0" t="n">
        <f aca="false">I11+I12</f>
        <v>2665.01152666103</v>
      </c>
      <c r="J13" s="0" t="n">
        <f aca="false">J11+J12</f>
        <v>2758.28693009417</v>
      </c>
      <c r="K13" s="0" t="n">
        <f aca="false">K11+K12</f>
        <v>2841.035537997</v>
      </c>
      <c r="L13" s="0" t="n">
        <f aca="false">L11+L12</f>
        <v>2926.26660413691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19</v>
      </c>
      <c r="D14" s="4" t="n">
        <f aca="false">Assumptions!D33</f>
        <v>19</v>
      </c>
      <c r="E14" s="4" t="n">
        <f aca="false">Assumptions!E33</f>
        <v>19</v>
      </c>
      <c r="F14" s="4" t="n">
        <f aca="false">Assumptions!F33</f>
        <v>19</v>
      </c>
      <c r="G14" s="4" t="n">
        <f aca="false">Assumptions!G33</f>
        <v>19</v>
      </c>
      <c r="H14" s="4" t="n">
        <f aca="false">Assumptions!H33</f>
        <v>19</v>
      </c>
      <c r="I14" s="4" t="n">
        <f aca="false">Assumptions!I33</f>
        <v>19</v>
      </c>
      <c r="J14" s="4" t="n">
        <f aca="false">Assumptions!J33</f>
        <v>19</v>
      </c>
      <c r="K14" s="4" t="n">
        <f aca="false">Assumptions!K33</f>
        <v>19</v>
      </c>
      <c r="L14" s="4" t="n">
        <f aca="false">Assumptions!L33</f>
        <v>19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1403.57834208</v>
      </c>
      <c r="D15" s="0" t="n">
        <f aca="false">D13-MAX(0,D13)*D14/100</f>
        <v>1530.4367922336</v>
      </c>
      <c r="E15" s="0" t="n">
        <f aca="false">E13-MAX(0,E13)*E14/100</f>
        <v>1683.19617979277</v>
      </c>
      <c r="F15" s="0" t="n">
        <f aca="false">F13-MAX(0,F13)*F14/100</f>
        <v>1837.92855150143</v>
      </c>
      <c r="G15" s="0" t="n">
        <f aca="false">G13-MAX(0,G13)*G14/100</f>
        <v>1958.03879456007</v>
      </c>
      <c r="H15" s="0" t="n">
        <f aca="false">H13-MAX(0,H13)*H14/100</f>
        <v>2075.63397749561</v>
      </c>
      <c r="I15" s="0" t="n">
        <f aca="false">I13-MAX(0,I13)*I14/100</f>
        <v>2158.65933659544</v>
      </c>
      <c r="J15" s="0" t="n">
        <f aca="false">J13-MAX(0,J13)*J14/100</f>
        <v>2234.21241337628</v>
      </c>
      <c r="K15" s="0" t="n">
        <f aca="false">K13-MAX(0,K13)*K14/100</f>
        <v>2301.23878577757</v>
      </c>
      <c r="L15" s="0" t="n">
        <f aca="false">L13-MAX(0,L13)*L14/100</f>
        <v>2370.27594935089</v>
      </c>
    </row>
    <row r="16" customFormat="false" ht="15" hidden="false" customHeight="false" outlineLevel="0" collapsed="false">
      <c r="A16" s="0" t="s">
        <v>119</v>
      </c>
      <c r="C16" s="0" t="n">
        <f aca="false">-C12</f>
        <v>99.333216</v>
      </c>
      <c r="D16" s="0" t="n">
        <f aca="false">-D12</f>
        <v>111.14283168</v>
      </c>
      <c r="E16" s="0" t="n">
        <f aca="false">-E12</f>
        <v>125.181926208</v>
      </c>
      <c r="F16" s="0" t="n">
        <f aca="false">-F12</f>
        <v>132.69284178048</v>
      </c>
      <c r="G16" s="0" t="n">
        <f aca="false">-G12</f>
        <v>139.327483869504</v>
      </c>
      <c r="H16" s="0" t="n">
        <f aca="false">-H12</f>
        <v>145.597220643632</v>
      </c>
      <c r="I16" s="0" t="n">
        <f aca="false">-I12</f>
        <v>151.421109469377</v>
      </c>
      <c r="J16" s="0" t="n">
        <f aca="false">-J12</f>
        <v>156.720848300805</v>
      </c>
      <c r="K16" s="0" t="n">
        <f aca="false">-K12</f>
        <v>161.422473749829</v>
      </c>
      <c r="L16" s="0" t="n">
        <f aca="false">-L12</f>
        <v>166.265147962324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-275.9256</v>
      </c>
      <c r="D17" s="4" t="n">
        <f aca="false">-D6*Assumptions!D32/100</f>
        <v>-263.2330224</v>
      </c>
      <c r="E17" s="4" t="n">
        <f aca="false">-E6*Assumptions!E32/100</f>
        <v>-250.363852416</v>
      </c>
      <c r="F17" s="4" t="n">
        <f aca="false">-F6*Assumptions!F32/100</f>
        <v>-232.21247311584</v>
      </c>
      <c r="G17" s="4" t="n">
        <f aca="false">-G6*Assumptions!G32/100</f>
        <v>-208.991225804256</v>
      </c>
      <c r="H17" s="4" t="n">
        <f aca="false">-H6*Assumptions!H32/100</f>
        <v>-218.395830965448</v>
      </c>
      <c r="I17" s="4" t="n">
        <f aca="false">-I6*Assumptions!I32/100</f>
        <v>-211.989553257128</v>
      </c>
      <c r="J17" s="4" t="n">
        <f aca="false">-J6*Assumptions!J32/100</f>
        <v>-203.737102791047</v>
      </c>
      <c r="K17" s="4" t="n">
        <f aca="false">-K6*Assumptions!K32/100</f>
        <v>-201.778092187287</v>
      </c>
      <c r="L17" s="4" t="n">
        <f aca="false">-L6*Assumptions!L32/100</f>
        <v>-207.831434952905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-0</v>
      </c>
      <c r="D18" s="4" t="n">
        <f aca="false">(D6-C6)*Assumptions!$B$37/100</f>
        <v>-33.1110720000001</v>
      </c>
      <c r="E18" s="4" t="n">
        <f aca="false">(E6-D6)*Assumptions!$B$37/100</f>
        <v>-40.9473590400001</v>
      </c>
      <c r="F18" s="4" t="n">
        <f aca="false">(F6-E6)*Assumptions!$B$37/100</f>
        <v>-37.5545778624</v>
      </c>
      <c r="G18" s="4" t="n">
        <f aca="false">(G6-F6)*Assumptions!$B$37/100</f>
        <v>-33.17321044512</v>
      </c>
      <c r="H18" s="4" t="n">
        <f aca="false">(H6-G6)*Assumptions!$B$37/100</f>
        <v>-31.3486838706383</v>
      </c>
      <c r="I18" s="4" t="n">
        <f aca="false">(I6-H6)*Assumptions!$B$37/100</f>
        <v>-29.1194441287264</v>
      </c>
      <c r="J18" s="4" t="n">
        <f aca="false">(J6-I6)*Assumptions!$B$37/100</f>
        <v>-26.4986941571409</v>
      </c>
      <c r="K18" s="4" t="n">
        <f aca="false">(K6-J6)*Assumptions!$B$37/100</f>
        <v>-23.5081272451208</v>
      </c>
      <c r="L18" s="4" t="n">
        <f aca="false">(L6-K6)*Assumptions!$B$37/100</f>
        <v>-24.2133710624744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1226.98595808</v>
      </c>
      <c r="D19" s="0" t="n">
        <f aca="false">D15+D16+D17+D18</f>
        <v>1345.2355295136</v>
      </c>
      <c r="E19" s="0" t="n">
        <f aca="false">E15+E16+E17+E18</f>
        <v>1517.06689454477</v>
      </c>
      <c r="F19" s="0" t="n">
        <f aca="false">F15+F16+F17+F18</f>
        <v>1700.85434230367</v>
      </c>
      <c r="G19" s="0" t="n">
        <f aca="false">G15+G16+G17+G18</f>
        <v>1855.2018421802</v>
      </c>
      <c r="H19" s="0" t="n">
        <f aca="false">H15+H16+H17+H18</f>
        <v>1971.48668330316</v>
      </c>
      <c r="I19" s="0" t="n">
        <f aca="false">I15+I16+I17+I18</f>
        <v>2068.97144867896</v>
      </c>
      <c r="J19" s="0" t="n">
        <f aca="false">J15+J16+J17+J18</f>
        <v>2160.6974647289</v>
      </c>
      <c r="K19" s="0" t="n">
        <f aca="false">K15+K16+K17+K18</f>
        <v>2237.37504009499</v>
      </c>
      <c r="L19" s="0" t="n">
        <f aca="false">L15+L16+L17+L18</f>
        <v>2304.49629129784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1120.53512153425</v>
      </c>
      <c r="D21" s="0" t="n">
        <f aca="false">D19*D20</f>
        <v>1121.94118514093</v>
      </c>
      <c r="E21" s="0" t="n">
        <f aca="false">E19*E20</f>
        <v>1155.47984300773</v>
      </c>
      <c r="F21" s="0" t="n">
        <f aca="false">F19*F20</f>
        <v>1183.07055746645</v>
      </c>
      <c r="G21" s="0" t="n">
        <f aca="false">G19*G20</f>
        <v>1178.47553483474</v>
      </c>
      <c r="H21" s="0" t="n">
        <f aca="false">H19*H20</f>
        <v>1143.69213056525</v>
      </c>
      <c r="I21" s="0" t="n">
        <f aca="false">I19*I20</f>
        <v>1096.11384489829</v>
      </c>
      <c r="J21" s="0" t="n">
        <f aca="false">J19*J20</f>
        <v>1045.39642104581</v>
      </c>
      <c r="K21" s="0" t="n">
        <f aca="false">K19*K20</f>
        <v>988.579763859892</v>
      </c>
      <c r="L21" s="0" t="n">
        <f aca="false">L19*L20</f>
        <v>929.896946827113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10963.1813491804</v>
      </c>
    </row>
    <row r="31" customFormat="false" ht="15" hidden="false" customHeight="false" outlineLevel="0" collapsed="false">
      <c r="A31" s="0" t="s">
        <v>128</v>
      </c>
      <c r="B31" s="0" t="n">
        <f aca="false">L19</f>
        <v>2304.49629129784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33744.4099797183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34567.4443694676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33744.4099797183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13616.3481499684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24579.5294991489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32177.3584991489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35.5322529673074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0.572223582624222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341.375798165267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392.957740641194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36.3431500166702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18896.8695886423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22.9547644289332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3</v>
      </c>
      <c r="D5" s="4" t="n">
        <f aca="false">Assumptions!D41</f>
        <v>12</v>
      </c>
      <c r="E5" s="4" t="n">
        <f aca="false">Assumptions!E41</f>
        <v>11</v>
      </c>
      <c r="F5" s="4" t="n">
        <f aca="false">Assumptions!F41</f>
        <v>10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5518.512</v>
      </c>
      <c r="C6" s="0" t="n">
        <f aca="false">B6*(1+C5/100)</f>
        <v>5684.06736</v>
      </c>
      <c r="D6" s="0" t="n">
        <f aca="false">C6*(1+D5/100)</f>
        <v>6366.1554432</v>
      </c>
      <c r="E6" s="0" t="n">
        <f aca="false">D6*(1+E5/100)</f>
        <v>7066.432541952</v>
      </c>
      <c r="F6" s="0" t="n">
        <f aca="false">E6*(1+F5/100)</f>
        <v>7773.0757961472</v>
      </c>
      <c r="G6" s="0" t="n">
        <f aca="false">F6*(1+G5/100)</f>
        <v>8394.92185983898</v>
      </c>
      <c r="H6" s="0" t="n">
        <f aca="false">G6*(1+H5/100)</f>
        <v>8982.56639002771</v>
      </c>
      <c r="I6" s="0" t="n">
        <f aca="false">H6*(1+I5/100)</f>
        <v>9521.52037342937</v>
      </c>
      <c r="J6" s="0" t="n">
        <f aca="false">I6*(1+J5/100)</f>
        <v>9997.59639210084</v>
      </c>
      <c r="K6" s="0" t="n">
        <f aca="false">J6*(1+K5/100)</f>
        <v>10397.5002477849</v>
      </c>
      <c r="L6" s="0" t="n">
        <f aca="false">K6*(1+L5/100)</f>
        <v>10761.4127564573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35</v>
      </c>
      <c r="D7" s="4" t="n">
        <f aca="false">Assumptions!D42</f>
        <v>37.5</v>
      </c>
      <c r="E7" s="4" t="n">
        <f aca="false">Assumptions!E42</f>
        <v>39.5</v>
      </c>
      <c r="F7" s="4" t="n">
        <f aca="false">Assumptions!F42</f>
        <v>41</v>
      </c>
      <c r="G7" s="4" t="n">
        <f aca="false">Assumptions!G42</f>
        <v>42</v>
      </c>
      <c r="H7" s="4" t="n">
        <f aca="false">Assumptions!H42</f>
        <v>42</v>
      </c>
      <c r="I7" s="4" t="n">
        <f aca="false">Assumptions!I42</f>
        <v>42</v>
      </c>
      <c r="J7" s="4" t="n">
        <f aca="false">Assumptions!J42</f>
        <v>42</v>
      </c>
      <c r="K7" s="4" t="n">
        <f aca="false">Assumptions!K42</f>
        <v>42</v>
      </c>
      <c r="L7" s="4" t="n">
        <f aca="false">Assumptions!L42</f>
        <v>42</v>
      </c>
    </row>
    <row r="8" customFormat="false" ht="15" hidden="false" customHeight="false" outlineLevel="0" collapsed="false">
      <c r="A8" s="0" t="s">
        <v>44</v>
      </c>
      <c r="C8" s="0" t="n">
        <f aca="false">C6*C7/100</f>
        <v>1989.423576</v>
      </c>
      <c r="D8" s="0" t="n">
        <f aca="false">D6*D7/100</f>
        <v>2387.3082912</v>
      </c>
      <c r="E8" s="0" t="n">
        <f aca="false">E6*E7/100</f>
        <v>2791.24085407104</v>
      </c>
      <c r="F8" s="0" t="n">
        <f aca="false">F6*F7/100</f>
        <v>3186.96107642035</v>
      </c>
      <c r="G8" s="0" t="n">
        <f aca="false">G6*G7/100</f>
        <v>3525.86718113237</v>
      </c>
      <c r="H8" s="0" t="n">
        <f aca="false">H6*H7/100</f>
        <v>3772.67788381164</v>
      </c>
      <c r="I8" s="0" t="n">
        <f aca="false">I6*I7/100</f>
        <v>3999.03855684034</v>
      </c>
      <c r="J8" s="0" t="n">
        <f aca="false">J6*J7/100</f>
        <v>4198.99048468235</v>
      </c>
      <c r="K8" s="0" t="n">
        <f aca="false">K6*K7/100</f>
        <v>4366.95010406965</v>
      </c>
      <c r="L8" s="0" t="n">
        <f aca="false">L6*L7/100</f>
        <v>4519.79335771208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0.8</v>
      </c>
      <c r="D9" s="4" t="n">
        <f aca="false">Assumptions!D43</f>
        <v>0.8</v>
      </c>
      <c r="E9" s="4" t="n">
        <f aca="false">Assumptions!E43</f>
        <v>0.8</v>
      </c>
      <c r="F9" s="4" t="n">
        <f aca="false">Assumptions!F43</f>
        <v>0.8</v>
      </c>
      <c r="G9" s="4" t="n">
        <f aca="false">Assumptions!G43</f>
        <v>0.8</v>
      </c>
      <c r="H9" s="4" t="n">
        <f aca="false">Assumptions!H43</f>
        <v>0.8</v>
      </c>
      <c r="I9" s="4" t="n">
        <f aca="false">Assumptions!I43</f>
        <v>0.8</v>
      </c>
      <c r="J9" s="4" t="n">
        <f aca="false">Assumptions!J43</f>
        <v>0.8</v>
      </c>
      <c r="K9" s="4" t="n">
        <f aca="false">Assumptions!K43</f>
        <v>0.8</v>
      </c>
      <c r="L9" s="4" t="n">
        <f aca="false">Assumptions!L43</f>
        <v>0.8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-45.47253888</v>
      </c>
      <c r="D10" s="0" t="n">
        <f aca="false">-D6*D9/100</f>
        <v>-50.9292435456</v>
      </c>
      <c r="E10" s="0" t="n">
        <f aca="false">-E6*E9/100</f>
        <v>-56.531460335616</v>
      </c>
      <c r="F10" s="0" t="n">
        <f aca="false">-F6*F9/100</f>
        <v>-62.1846063691776</v>
      </c>
      <c r="G10" s="0" t="n">
        <f aca="false">-G6*G9/100</f>
        <v>-67.1593748787118</v>
      </c>
      <c r="H10" s="0" t="n">
        <f aca="false">-H6*H9/100</f>
        <v>-71.8605311202217</v>
      </c>
      <c r="I10" s="0" t="n">
        <f aca="false">-I6*I9/100</f>
        <v>-76.172162987435</v>
      </c>
      <c r="J10" s="0" t="n">
        <f aca="false">-J6*J9/100</f>
        <v>-79.9807711368067</v>
      </c>
      <c r="K10" s="0" t="n">
        <f aca="false">-K6*K9/100</f>
        <v>-83.180001982279</v>
      </c>
      <c r="L10" s="0" t="n">
        <f aca="false">-L6*L9/100</f>
        <v>-86.0913020516587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1943.95103712</v>
      </c>
      <c r="D11" s="0" t="n">
        <f aca="false">D8+D10+D24</f>
        <v>2336.3790476544</v>
      </c>
      <c r="E11" s="0" t="n">
        <f aca="false">E8+E10+E24</f>
        <v>2734.70939373542</v>
      </c>
      <c r="F11" s="0" t="n">
        <f aca="false">F8+F10+F24</f>
        <v>3124.77647005118</v>
      </c>
      <c r="G11" s="0" t="n">
        <f aca="false">G8+G10+G24</f>
        <v>3458.70780625366</v>
      </c>
      <c r="H11" s="0" t="n">
        <f aca="false">H8+H10+H24</f>
        <v>3700.81735269141</v>
      </c>
      <c r="I11" s="0" t="n">
        <f aca="false">I8+I10+I24</f>
        <v>3922.8663938529</v>
      </c>
      <c r="J11" s="0" t="n">
        <f aca="false">J8+J10+J24</f>
        <v>4119.00971354555</v>
      </c>
      <c r="K11" s="0" t="n">
        <f aca="false">K8+K10+K24</f>
        <v>4283.77010208737</v>
      </c>
      <c r="L11" s="0" t="n">
        <f aca="false">L8+L10+L24</f>
        <v>4433.70205566042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-102.31321248</v>
      </c>
      <c r="D12" s="4" t="n">
        <f aca="false">-D6*Assumptions!D45/100</f>
        <v>-120.9569534208</v>
      </c>
      <c r="E12" s="4" t="n">
        <f aca="false">-E6*Assumptions!E45/100</f>
        <v>-141.32865083904</v>
      </c>
      <c r="F12" s="4" t="n">
        <f aca="false">-F6*Assumptions!F45/100</f>
        <v>-155.461515922944</v>
      </c>
      <c r="G12" s="4" t="n">
        <f aca="false">-G6*Assumptions!G45/100</f>
        <v>-167.89843719678</v>
      </c>
      <c r="H12" s="4" t="n">
        <f aca="false">-H6*Assumptions!H45/100</f>
        <v>-179.651327800554</v>
      </c>
      <c r="I12" s="4" t="n">
        <f aca="false">-I6*Assumptions!I45/100</f>
        <v>-190.430407468587</v>
      </c>
      <c r="J12" s="4" t="n">
        <f aca="false">-J6*Assumptions!J45/100</f>
        <v>-199.951927842017</v>
      </c>
      <c r="K12" s="4" t="n">
        <f aca="false">-K6*Assumptions!K45/100</f>
        <v>-207.950004955697</v>
      </c>
      <c r="L12" s="4" t="n">
        <f aca="false">-L6*Assumptions!L45/100</f>
        <v>-215.228255129147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1841.63782464</v>
      </c>
      <c r="D13" s="0" t="n">
        <f aca="false">D11+D12</f>
        <v>2215.4220942336</v>
      </c>
      <c r="E13" s="0" t="n">
        <f aca="false">E11+E12</f>
        <v>2593.38074289638</v>
      </c>
      <c r="F13" s="0" t="n">
        <f aca="false">F11+F12</f>
        <v>2969.31495412823</v>
      </c>
      <c r="G13" s="0" t="n">
        <f aca="false">G11+G12</f>
        <v>3290.80936905688</v>
      </c>
      <c r="H13" s="0" t="n">
        <f aca="false">H11+H12</f>
        <v>3521.16602489086</v>
      </c>
      <c r="I13" s="0" t="n">
        <f aca="false">I11+I12</f>
        <v>3732.43598638431</v>
      </c>
      <c r="J13" s="0" t="n">
        <f aca="false">J11+J12</f>
        <v>3919.05778570353</v>
      </c>
      <c r="K13" s="0" t="n">
        <f aca="false">K11+K12</f>
        <v>4075.82009713167</v>
      </c>
      <c r="L13" s="0" t="n">
        <f aca="false">L11+L12</f>
        <v>4218.47380053128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19</v>
      </c>
      <c r="D14" s="4" t="n">
        <f aca="false">Assumptions!D47</f>
        <v>19</v>
      </c>
      <c r="E14" s="4" t="n">
        <f aca="false">Assumptions!E47</f>
        <v>19</v>
      </c>
      <c r="F14" s="4" t="n">
        <f aca="false">Assumptions!F47</f>
        <v>19</v>
      </c>
      <c r="G14" s="4" t="n">
        <f aca="false">Assumptions!G47</f>
        <v>19</v>
      </c>
      <c r="H14" s="4" t="n">
        <f aca="false">Assumptions!H47</f>
        <v>19</v>
      </c>
      <c r="I14" s="4" t="n">
        <f aca="false">Assumptions!I47</f>
        <v>19</v>
      </c>
      <c r="J14" s="4" t="n">
        <f aca="false">Assumptions!J47</f>
        <v>19</v>
      </c>
      <c r="K14" s="4" t="n">
        <f aca="false">Assumptions!K47</f>
        <v>19</v>
      </c>
      <c r="L14" s="4" t="n">
        <f aca="false">Assumptions!L47</f>
        <v>19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1491.7266379584</v>
      </c>
      <c r="D15" s="0" t="n">
        <f aca="false">D13-MAX(0,D13)*D14/100</f>
        <v>1794.49189632922</v>
      </c>
      <c r="E15" s="0" t="n">
        <f aca="false">E13-MAX(0,E13)*E14/100</f>
        <v>2100.63840174607</v>
      </c>
      <c r="F15" s="0" t="n">
        <f aca="false">F13-MAX(0,F13)*F14/100</f>
        <v>2405.14511284387</v>
      </c>
      <c r="G15" s="0" t="n">
        <f aca="false">G13-MAX(0,G13)*G14/100</f>
        <v>2665.55558893607</v>
      </c>
      <c r="H15" s="0" t="n">
        <f aca="false">H13-MAX(0,H13)*H14/100</f>
        <v>2852.1444801616</v>
      </c>
      <c r="I15" s="0" t="n">
        <f aca="false">I13-MAX(0,I13)*I14/100</f>
        <v>3023.27314897129</v>
      </c>
      <c r="J15" s="0" t="n">
        <f aca="false">J13-MAX(0,J13)*J14/100</f>
        <v>3174.43680641986</v>
      </c>
      <c r="K15" s="0" t="n">
        <f aca="false">K13-MAX(0,K13)*K14/100</f>
        <v>3301.41427867665</v>
      </c>
      <c r="L15" s="0" t="n">
        <f aca="false">L13-MAX(0,L13)*L14/100</f>
        <v>3416.96377843034</v>
      </c>
    </row>
    <row r="16" customFormat="false" ht="15" hidden="false" customHeight="false" outlineLevel="0" collapsed="false">
      <c r="A16" s="0" t="s">
        <v>119</v>
      </c>
      <c r="C16" s="0" t="n">
        <f aca="false">-C12</f>
        <v>102.31321248</v>
      </c>
      <c r="D16" s="0" t="n">
        <f aca="false">-D12</f>
        <v>120.9569534208</v>
      </c>
      <c r="E16" s="0" t="n">
        <f aca="false">-E12</f>
        <v>141.32865083904</v>
      </c>
      <c r="F16" s="0" t="n">
        <f aca="false">-F12</f>
        <v>155.461515922944</v>
      </c>
      <c r="G16" s="0" t="n">
        <f aca="false">-G12</f>
        <v>167.89843719678</v>
      </c>
      <c r="H16" s="0" t="n">
        <f aca="false">-H12</f>
        <v>179.651327800554</v>
      </c>
      <c r="I16" s="0" t="n">
        <f aca="false">-I12</f>
        <v>190.430407468587</v>
      </c>
      <c r="J16" s="0" t="n">
        <f aca="false">-J12</f>
        <v>199.951927842017</v>
      </c>
      <c r="K16" s="0" t="n">
        <f aca="false">-K12</f>
        <v>207.950004955697</v>
      </c>
      <c r="L16" s="0" t="n">
        <f aca="false">-L12</f>
        <v>215.228255129147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-284.203368</v>
      </c>
      <c r="D17" s="4" t="n">
        <f aca="false">-D6*Assumptions!D46/100</f>
        <v>-286.476994944</v>
      </c>
      <c r="E17" s="4" t="n">
        <f aca="false">-E6*Assumptions!E46/100</f>
        <v>-282.65730167808</v>
      </c>
      <c r="F17" s="4" t="n">
        <f aca="false">-F6*Assumptions!F46/100</f>
        <v>-272.057652865152</v>
      </c>
      <c r="G17" s="4" t="n">
        <f aca="false">-G6*Assumptions!G46/100</f>
        <v>-251.847655795169</v>
      </c>
      <c r="H17" s="4" t="n">
        <f aca="false">-H6*Assumptions!H46/100</f>
        <v>-269.476991700831</v>
      </c>
      <c r="I17" s="4" t="n">
        <f aca="false">-I6*Assumptions!I46/100</f>
        <v>-266.602570456022</v>
      </c>
      <c r="J17" s="4" t="n">
        <f aca="false">-J6*Assumptions!J46/100</f>
        <v>-259.937506194622</v>
      </c>
      <c r="K17" s="4" t="n">
        <f aca="false">-K6*Assumptions!K46/100</f>
        <v>-259.937506194622</v>
      </c>
      <c r="L17" s="4" t="n">
        <f aca="false">-L6*Assumptions!L46/100</f>
        <v>-269.035318911434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-16.555536</v>
      </c>
      <c r="D18" s="4" t="n">
        <f aca="false">(D6-C6)*Assumptions!$B$51/100</f>
        <v>-68.20880832</v>
      </c>
      <c r="E18" s="4" t="n">
        <f aca="false">(E6-D6)*Assumptions!$B$51/100</f>
        <v>-70.0277098752001</v>
      </c>
      <c r="F18" s="4" t="n">
        <f aca="false">(F6-E6)*Assumptions!$B$51/100</f>
        <v>-70.6643254195201</v>
      </c>
      <c r="G18" s="4" t="n">
        <f aca="false">(G6-F6)*Assumptions!$B$51/100</f>
        <v>-62.1846063691776</v>
      </c>
      <c r="H18" s="4" t="n">
        <f aca="false">(H6-G6)*Assumptions!$B$51/100</f>
        <v>-58.7644530188729</v>
      </c>
      <c r="I18" s="4" t="n">
        <f aca="false">(I6-H6)*Assumptions!$B$51/100</f>
        <v>-53.8953983401663</v>
      </c>
      <c r="J18" s="4" t="n">
        <f aca="false">(J6-I6)*Assumptions!$B$51/100</f>
        <v>-47.6076018671469</v>
      </c>
      <c r="K18" s="4" t="n">
        <f aca="false">(K6-J6)*Assumptions!$B$51/100</f>
        <v>-39.9903855684033</v>
      </c>
      <c r="L18" s="4" t="n">
        <f aca="false">(L6-K6)*Assumptions!$B$51/100</f>
        <v>-36.3912508672469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1293.2809464384</v>
      </c>
      <c r="D19" s="0" t="n">
        <f aca="false">D15+D16+D17+D18</f>
        <v>1560.76304648602</v>
      </c>
      <c r="E19" s="0" t="n">
        <f aca="false">E15+E16+E17+E18</f>
        <v>1889.28204103183</v>
      </c>
      <c r="F19" s="0" t="n">
        <f aca="false">F15+F16+F17+F18</f>
        <v>2217.88465048214</v>
      </c>
      <c r="G19" s="0" t="n">
        <f aca="false">G15+G16+G17+G18</f>
        <v>2519.4217639685</v>
      </c>
      <c r="H19" s="0" t="n">
        <f aca="false">H15+H16+H17+H18</f>
        <v>2703.55436324245</v>
      </c>
      <c r="I19" s="0" t="n">
        <f aca="false">I15+I16+I17+I18</f>
        <v>2893.20558764369</v>
      </c>
      <c r="J19" s="0" t="n">
        <f aca="false">J15+J16+J17+J18</f>
        <v>3066.84362620011</v>
      </c>
      <c r="K19" s="0" t="n">
        <f aca="false">K15+K16+K17+K18</f>
        <v>3209.43639186933</v>
      </c>
      <c r="L19" s="0" t="n">
        <f aca="false">L15+L16+L17+L18</f>
        <v>3326.7654637808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1181.07848989808</v>
      </c>
      <c r="D21" s="0" t="n">
        <f aca="false">D19*D20</f>
        <v>1301.69349803884</v>
      </c>
      <c r="E21" s="0" t="n">
        <f aca="false">E19*E20</f>
        <v>1438.97894286584</v>
      </c>
      <c r="F21" s="0" t="n">
        <f aca="false">F19*F20</f>
        <v>1542.70354878732</v>
      </c>
      <c r="G21" s="0" t="n">
        <f aca="false">G19*G20</f>
        <v>1600.40640498602</v>
      </c>
      <c r="H21" s="0" t="n">
        <f aca="false">H19*H20</f>
        <v>1568.3767361873</v>
      </c>
      <c r="I21" s="0" t="n">
        <f aca="false">I19*I20</f>
        <v>1532.78224442304</v>
      </c>
      <c r="J21" s="0" t="n">
        <f aca="false">J19*J20</f>
        <v>1483.81131698093</v>
      </c>
      <c r="K21" s="0" t="n">
        <f aca="false">K19*K20</f>
        <v>1418.08316153506</v>
      </c>
      <c r="L21" s="0" t="n">
        <f aca="false">L19*L20</f>
        <v>1342.39706059038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14410.3114042928</v>
      </c>
    </row>
    <row r="31" customFormat="false" ht="15" hidden="false" customHeight="false" outlineLevel="0" collapsed="false">
      <c r="A31" s="0" t="s">
        <v>128</v>
      </c>
      <c r="B31" s="0" t="n">
        <f aca="false">L19</f>
        <v>3326.7654637808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48713.3514339332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49901.481956712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48713.3514339332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19656.5283872163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34066.8397915091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41664.6687915091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46.0087347237698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1.0357847222907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405.20695374037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508.67911822904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47.0179049169469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27279.4768030026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28.0507591562397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23.5340924068631</v>
      </c>
      <c r="C4" s="0" t="n">
        <f aca="false">B4/Assumptions!$B$2-1</f>
        <v>0.0413315224275712</v>
      </c>
      <c r="D4" s="4" t="n">
        <f aca="false">Assumptions!$B$24</f>
        <v>0.25</v>
      </c>
      <c r="E4" s="4" t="n">
        <f aca="false">DCF_Bear!$B$43</f>
        <v>24.1461599999156</v>
      </c>
      <c r="F4" s="4" t="n">
        <f aca="false">DCF_Bear!$B$47</f>
        <v>16.9744701835006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35.5322529673074</v>
      </c>
      <c r="C5" s="0" t="n">
        <f aca="false">B5/Assumptions!$B$2-1</f>
        <v>0.572223582624222</v>
      </c>
      <c r="D5" s="4" t="n">
        <f aca="false">Assumptions!$B$38</f>
        <v>0.5</v>
      </c>
      <c r="E5" s="4" t="n">
        <f aca="false">DCF_Base!$B$43</f>
        <v>36.3431500166702</v>
      </c>
      <c r="F5" s="4" t="n">
        <f aca="false">DCF_Base!$B$47</f>
        <v>22.9547644289332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46.0087347237698</v>
      </c>
      <c r="C6" s="0" t="n">
        <f aca="false">B6/Assumptions!$B$2-1</f>
        <v>1.0357847222907</v>
      </c>
      <c r="D6" s="4" t="n">
        <f aca="false">Assumptions!$B$52</f>
        <v>0.25</v>
      </c>
      <c r="E6" s="4" t="n">
        <f aca="false">DCF_Bull!$B$43</f>
        <v>47.0179049169469</v>
      </c>
      <c r="F6" s="4" t="n">
        <f aca="false">DCF_Bull!$B$47</f>
        <v>28.0507591562397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35.1518332663119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35.9625912375507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0.35707478387311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-1548.16032793772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22.7336895494017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36.9208718583132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35.5322529673074</v>
      </c>
      <c r="C16" s="3" t="n">
        <v>9.5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33.6148191840666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30.4634421541059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27.9831494335051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22.9547644289332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40.2872331973867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40.2872331973867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40.2872331973867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40.2872331973867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40.2872331973867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37.4283483904667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37.9911055024558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37.9911055024558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37.9911055024558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37.9911055024558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33.5243936967995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34.4613946897032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35.5322529673074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35.8989852541582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35.8989852541582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30.5004983069256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31.1776663219807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31.9394803389177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32.802869558113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33.7896000943362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28.0918933178917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28.5947230649291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29.1534227838595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29.7778518814876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30.4803346163192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2026-10-18T03:09:55Z</dcterms:created>
  <dc:creator>openpyxl</dc:creator>
  <dc:description/>
  <dc:language>en-NZ</dc:language>
  <cp:lastModifiedBy/>
  <dcterms:modified xsi:type="dcterms:W3CDTF">2026-10-18T03:09:55Z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