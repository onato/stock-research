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<sst xmlns="http://schemas.openxmlformats.org/spreadsheetml/2006/main" count="356" uniqueCount="166">
  <si>
    <t xml:space="preserve">Ticker</t>
  </si>
  <si>
    <t xml:space="preserve">6886.HK</t>
  </si>
  <si>
    <t xml:space="preserve">Company</t>
  </si>
  <si>
    <t xml:space="preserve">Huatai Securities Co., Ltd.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</si>
  <si>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</si>
  <si>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</si>
  <si>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</si>
  <si>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</si>
  <si>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2026-10-23T08:08:08Z (HKEX regular close 16:08 HKT; 52-week range 14.72-21.80)</t>
  </si>
  <si>
    <t xml:space="preserve">Balance sheet date</t>
  </si>
  <si>
    <t xml:space="preserve">2026-06-30</t>
  </si>
  <si>
    <t xml:space="preserve">Model</t>
  </si>
  <si>
    <t xml:space="preserve">Broker FCFE capitalisation at cost of equity (bank-style, net debt held at zero, engine route), earnings retention for net-capital growth as the reinvestment charge, perpetual-bond distributions charged in the flow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</si>
  <si>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</si>
  <si>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</si>
  <si>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</si>
  <si>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</si>
  <si>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</si>
  <si>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</si>
  <si>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</si>
  <si>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</si>
  <si>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</si>
  <si>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2026-10-23T17:22:28Z</t>
  </si>
  <si>
    <t xml:space="preserve">Drivers file</t>
  </si>
  <si>
    <t xml:space="preserve">6886.HK_Drivers.json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</si>
  <si>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</si>
  <si>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</si>
  <si>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</si>
  <si>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Huatai is a scale leader in a commoditised, policy-steered, highly cyclical industry whose earnings track A-share turnover. It is valued as a stream of distributable profit to ordinary shareholders at an 11% CNY cost of equity, with the capital that must be retained to grow regulatory net capital charged explicitly and the perpetual-bond coupons deducted. Because ordinary ROE (~8-9% through the cycle, ~11% at the 2026 peak) sits below the cost of equity, the business is worth less than its RMB19.81/share (HKD23.27) ordinary book, and the H share's 0.65x P/B is close to fair rather than cheap. The valuation does not extrapolate the H1 2026 run-rate; the bull case does, and still lands near book. Upside would need a durable step-up in ROE (payout above 60% with margins held near 39%) or a lower cost of equity for Chinese financials - neither is in the base case.
key_risks_to_valuation: Turnover cyclicality: a 2022-23-style bust in A-share ADT takes FY2027 revenue down 20%+ and pre-tax margin back to ~30% (bear case); the Q3 2025 print (-28% profit YoY) shows the speed of the move; Retention/payout policy: the model assumes payout rises from ~32% toward ~64%; if Huatai keeps retaining two-thirds of profit on a sub-CoE ROE, FCFE stays near the current ~RMB5-6bn dividend and value sits closer to the bear case; Perpetual capital: RMB37.3bn of perpetuals are charged via coupon, not deducted at face; deducting face would remove HKD4.85/share. Continued issuance (5bn/yr recently) raises the fixed charge ahead of ordinary shareholders; Policy and regulatory risk: commission-rate caps, net-capital rules, Stock Connect access and CSRC consolidation directives can move revenue, capital needs and competitive structure with little company control; a state-directed merger could also change the share count; Proprietary-book and credit risk: equity, FICC and derivatives marks and margin/pledge-book credit losses can swing a year's PBT by several billion RMB; property-sector bond exposure persists; Currency: value is built in CNY and quoted in HKD; a 5% CNY move against HKD is a 5% move in the HKD values; AH structure: the H share trades at a 25% discount to the A share; the model values the economic share, and the discount can widen or narrow independently of fundamentals</t>
  </si>
  <si>
    <t xml:space="preserve">Data sources</t>
  </si>
  <si>
    <t xml:space="preserve">price: Yahoo Finance chart API at inputs.price_as_of (6886.HK, HKD; 52-week range 14.72-21.80); CNYHKD=X and 601688.SS from the same API for the fx bridge and AH parity check
financials: 6886.HK_Metrics.csv / core_metrics (FY2017-H1 FY2026, RMB), from 6886.HK_Annual_FY2018-FY2025.txt, 6886.HK_HalfYear_H1-2024/2025/2026.txt and the Q1/Q3 quarterly reports; PBT, tax, D&amp;A, NCI, perpetual-bond balances, dividends and share counts read off the FY2025 annual report and the H1 2026 interim report (file:line pointers in inputs notes)
qualitative: 6886.HK_Analysis.json (2026-10-24): AssetMark divestiture, cyclicality, consolidation wave, AI/GTP strategy, dividend record; FY2025 annual report CEO letter and 'Outlook for 2026' sections</t>
  </si>
  <si>
    <t xml:space="preserve">Scenario narrative: bear</t>
  </si>
  <si>
    <t xml:space="preserve">Turnover bust plus structural share loss. ADT halves from the 2026 peak, proprietary marks turn negative, issuance stays rationed and declining Chinese rates compress margin-financing yields; FY2027 revenue falls 22% to the FY2025 level and margins revert to the 2021-24 band (~31-32%). Merged rivals (CICC-Dongxing-Cinda, Guotai Haitong, Orient-Shanghai) take share and reignite commission undercutting. Management holds the ~32% payout, so retained capital keeps compounding onto a ~6% ROE. Solvency is not at issue; earnings power and capital discipline are.</t>
  </si>
  <si>
    <t xml:space="preserve">Scenario narrative: base</t>
  </si>
  <si>
    <t xml:space="preserve">Cycle normalises, franchise intact. FY2027 revenue resets 8% below the FY2026E peak as A-share/HK turnover and investment gains ease, then grows 2-4% a year on wealth-management AUM migration, margin financing and the international platform. Pre-tax margin settles at 36% (above the pre-AssetMark-sale 30% average, below the 2025-26 peak). Retention falls from 58% toward 36% of ordinary profit as CSRC's payout push and a slower-growing book free capital. Terminal ordinary ROE ~8.5% against an 11% CNY cost of equity: the business is worth roughly two-thirds of ordinary book, which is where the H share already trades.</t>
  </si>
  <si>
    <t xml:space="preserve">Scenario narrative: bull</t>
  </si>
  <si>
    <t xml:space="preserve">Upcycle sustained and consolidation winner. Record turnover and Stock Connect flows persist, household savings keep moving into capital-markets products, AI-driven cost take-out holds the pre-tax margin at 38-39%, and Huatai's top-tier scale, BBB+ rating and GTP international footprint make it a beneficiary of the CSRC's 2-3 'first-class investment banks' programme. ROE returns to double digits and payout rises to two-thirds. The axes are turnover persistence and margin retention; even then terminal ROE (~10.5%) only just reaches the cost of equity, so this is a near-book outcome.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</si>
  <si>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</si>
  <si>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</si>
  <si>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</si>
  <si>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</si>
  <si>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</si>
  <si>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</si>
  <si>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</si>
  <si>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</si>
  <si>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</si>
  <si>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</si>
  <si>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</si>
  <si>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</si>
  <si>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</si>
  <si>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</si>
  <si>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</si>
  <si>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</si>
  <si>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</si>
  <si>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</si>
  <si>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</si>
  <si>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</si>
  <si>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</si>
  <si>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</si>
  <si>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</si>
  <si>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</si>
  <si>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</si>
  <si>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</si>
  <si>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</si>
  <si>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FY2017</t>
  </si>
  <si>
    <t xml:space="preserve">thousands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</si>
  <si>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</si>
  <si>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</si>
  <si>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</si>
  <si>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</si>
  <si>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</si>
  <si>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</si>
  <si>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</si>
  <si>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</si>
  <si>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</si>
  <si>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</si>
  <si>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</si>
  <si>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</si>
  <si>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</si>
  <si>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</si>
  <si>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</si>
  <si>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</si>
  <si>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</si>
  <si>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</si>
  <si>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</si>
  <si>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</si>
  <si>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</si>
  <si>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</si>
  <si>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</si>
  <si>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</si>
  <si>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</si>
  <si>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</si>
  <si>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</si>
  <si>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</si>
  <si>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</si>
  <si>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</si>
  <si>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</si>
  <si>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</si>
  <si>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</si>
  <si>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</si>
  <si>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</si>
  <si>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</si>
  <si>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</si>
  <si>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</si>
  <si>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</si>
  <si>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</si>
  <si>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</si>
  <si>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</si>
  <si>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</si>
  <si>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</si>
  <si>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</si>
  <si>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</si>
  <si>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6886.HK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</si>
  <si>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</si>
  <si>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</si>
  <si>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</si>
  <si>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</si>
  <si>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</si>
  <si>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</si>
  <si>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</si>
  <si>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</si>
  <si>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</si>
  <si>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</si>
  <si>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</si>
  <si>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</si>
  <si>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</si>
  <si>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</si>
  <si>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</si>
  <si>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</si>
  <si>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</si>
  <si>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</si>
  <si>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</si>
  <si>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</si>
  <si>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</si>
  <si>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</si>
  <si>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</si>
  <si>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</si>
  <si>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</si>
  <si>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</si>
  <si>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</si>
  <si>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</si>
  <si>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</si>
  <si>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</si>
  <si>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6886.HK owner-FCF component DCF: base case (millions, CNY)</t>
  </si>
  <si>
    <t xml:space="preserve">6886.HK owner-FCF component DCF: bull case (millions, CNY)</t>
  </si>
  <si>
    <t xml:space="preserve">6886.HK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</si>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</sst>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15.19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29577527</v>
      </c>
      <c r="F2" s="0" t="n">
        <v>11044666</v>
      </c>
      <c r="G2" s="0" t="n">
        <v>37.3</v>
      </c>
      <c r="I2" s="0" t="n">
        <v>9276520</v>
      </c>
      <c r="J2" s="0" t="n">
        <v>31.4</v>
      </c>
      <c r="K2" s="0" t="n">
        <v>1.3</v>
      </c>
      <c r="L2" s="0" t="n">
        <v>-6726875</v>
      </c>
      <c r="M2" s="0" t="n">
        <v>377634</v>
      </c>
      <c r="N2" s="0" t="n">
        <v>-7104509</v>
      </c>
      <c r="O2" s="0" t="n">
        <v>87335938</v>
      </c>
      <c r="P2" s="0" t="n">
        <v>381482540</v>
      </c>
      <c r="Q2" s="0" t="n">
        <v>292892628</v>
      </c>
      <c r="R2" s="0" t="n">
        <v>103854286</v>
      </c>
      <c r="S2" s="0" t="n">
        <v>27026130</v>
      </c>
      <c r="T2" s="0" t="n">
        <v>7162769</v>
      </c>
      <c r="AA2" s="0" t="s">
        <v>65</v>
      </c>
      <c r="AB2" s="0" t="s">
        <v>14</v>
      </c>
    </row>
    <row r="3" customFormat="false" ht="15" hidden="false" customHeight="false" outlineLevel="0" collapsed="false">
      <c r="A3" s="0" t="s">
        <v>66</v>
      </c>
      <c r="B3" s="0" t="n">
        <v>23676929</v>
      </c>
      <c r="F3" s="0" t="n">
        <v>5489362</v>
      </c>
      <c r="G3" s="0" t="n">
        <v>23.2</v>
      </c>
      <c r="I3" s="0" t="n">
        <v>5032738</v>
      </c>
      <c r="J3" s="0" t="n">
        <v>21.3</v>
      </c>
      <c r="K3" s="0" t="n">
        <v>0.66</v>
      </c>
      <c r="L3" s="0" t="n">
        <v>28457782</v>
      </c>
      <c r="M3" s="0" t="n">
        <v>954649</v>
      </c>
      <c r="N3" s="0" t="n">
        <v>27503133</v>
      </c>
      <c r="O3" s="0" t="n">
        <v>103393577</v>
      </c>
      <c r="P3" s="0" t="n">
        <v>368665874</v>
      </c>
      <c r="Q3" s="0" t="n">
        <v>263916270</v>
      </c>
      <c r="R3" s="0" t="n">
        <v>88713470</v>
      </c>
      <c r="S3" s="0" t="n">
        <v>28200625</v>
      </c>
      <c r="T3" s="0" t="n">
        <v>8251500</v>
      </c>
      <c r="AA3" s="0" t="s">
        <v>65</v>
      </c>
      <c r="AB3" s="0" t="s">
        <v>14</v>
      </c>
    </row>
    <row r="4" customFormat="false" ht="15" hidden="false" customHeight="false" outlineLevel="0" collapsed="false">
      <c r="A4" s="0" t="s">
        <v>67</v>
      </c>
      <c r="B4" s="0" t="n">
        <v>30873906</v>
      </c>
      <c r="F4" s="0" t="n">
        <v>8859516</v>
      </c>
      <c r="G4" s="0" t="n">
        <v>28.7</v>
      </c>
      <c r="I4" s="0" t="n">
        <v>9001644</v>
      </c>
      <c r="J4" s="0" t="n">
        <v>29.2</v>
      </c>
      <c r="K4" s="0" t="n">
        <v>1.04</v>
      </c>
      <c r="L4" s="0" t="n">
        <v>-3594637</v>
      </c>
      <c r="M4" s="0" t="n">
        <v>1084941</v>
      </c>
      <c r="N4" s="0" t="n">
        <v>-4679578</v>
      </c>
      <c r="O4" s="0" t="n">
        <v>122537479</v>
      </c>
      <c r="P4" s="0" t="n">
        <v>562180638</v>
      </c>
      <c r="Q4" s="0" t="n">
        <v>436525930</v>
      </c>
      <c r="R4" s="0" t="n">
        <v>117616682</v>
      </c>
      <c r="S4" s="0" t="n">
        <v>49853188</v>
      </c>
      <c r="T4" s="0" t="n">
        <v>9076650</v>
      </c>
      <c r="U4" s="0" t="n">
        <v>172620</v>
      </c>
      <c r="AA4" s="0" t="s">
        <v>65</v>
      </c>
      <c r="AB4" s="0" t="s">
        <v>14</v>
      </c>
    </row>
    <row r="5" customFormat="false" ht="15" hidden="false" customHeight="false" outlineLevel="0" collapsed="false">
      <c r="A5" s="0" t="s">
        <v>68</v>
      </c>
      <c r="B5" s="0" t="n">
        <v>39581279</v>
      </c>
      <c r="F5" s="0" t="n">
        <v>9300729</v>
      </c>
      <c r="G5" s="0" t="n">
        <v>23.5</v>
      </c>
      <c r="I5" s="0" t="n">
        <v>10822497</v>
      </c>
      <c r="J5" s="0" t="n">
        <v>27.3</v>
      </c>
      <c r="K5" s="0" t="n">
        <v>1.2</v>
      </c>
      <c r="L5" s="0" t="n">
        <v>-13868924</v>
      </c>
      <c r="M5" s="0" t="n">
        <v>1007100</v>
      </c>
      <c r="N5" s="0" t="n">
        <v>-14876024</v>
      </c>
      <c r="O5" s="0" t="n">
        <v>129071500</v>
      </c>
      <c r="P5" s="0" t="n">
        <v>716751235</v>
      </c>
      <c r="Q5" s="0" t="n">
        <v>584439200</v>
      </c>
      <c r="R5" s="0" t="n">
        <v>152779849</v>
      </c>
      <c r="S5" s="0" t="n">
        <v>49651039</v>
      </c>
      <c r="T5" s="0" t="n">
        <v>9076650</v>
      </c>
      <c r="U5" s="0" t="n">
        <v>654134</v>
      </c>
      <c r="AA5" s="0" t="s">
        <v>65</v>
      </c>
      <c r="AB5" s="0" t="s">
        <v>14</v>
      </c>
    </row>
    <row r="6" customFormat="false" ht="15" hidden="false" customHeight="false" outlineLevel="0" collapsed="false">
      <c r="A6" s="0" t="s">
        <v>69</v>
      </c>
      <c r="B6" s="0" t="n">
        <v>48337773</v>
      </c>
      <c r="F6" s="0" t="n">
        <v>13642581</v>
      </c>
      <c r="G6" s="0" t="n">
        <v>28.2</v>
      </c>
      <c r="I6" s="0" t="n">
        <v>13346106</v>
      </c>
      <c r="J6" s="0" t="n">
        <v>27.6</v>
      </c>
      <c r="K6" s="0" t="n">
        <v>1.47</v>
      </c>
      <c r="L6" s="0" t="n">
        <v>-65337094</v>
      </c>
      <c r="M6" s="0" t="n">
        <v>2953175</v>
      </c>
      <c r="N6" s="0" t="n">
        <v>-68290269</v>
      </c>
      <c r="O6" s="0" t="n">
        <v>148422810</v>
      </c>
      <c r="P6" s="0" t="n">
        <v>806650833</v>
      </c>
      <c r="Q6" s="0" t="n">
        <v>654615049</v>
      </c>
      <c r="R6" s="0" t="n">
        <v>196152191</v>
      </c>
      <c r="S6" s="0" t="n">
        <v>37237801</v>
      </c>
      <c r="T6" s="0" t="n">
        <v>9076650</v>
      </c>
      <c r="U6" s="0" t="n">
        <v>243690</v>
      </c>
      <c r="AA6" s="0" t="s">
        <v>65</v>
      </c>
      <c r="AB6" s="0" t="s">
        <v>14</v>
      </c>
    </row>
    <row r="7" customFormat="false" ht="15" hidden="false" customHeight="false" outlineLevel="0" collapsed="false">
      <c r="A7" s="0" t="s">
        <v>70</v>
      </c>
      <c r="B7" s="0" t="n">
        <v>46824372</v>
      </c>
      <c r="F7" s="0" t="n">
        <v>11008992</v>
      </c>
      <c r="G7" s="0" t="n">
        <v>23.5</v>
      </c>
      <c r="I7" s="0" t="n">
        <v>11052696</v>
      </c>
      <c r="J7" s="0" t="n">
        <v>23.6</v>
      </c>
      <c r="K7" s="0" t="n">
        <v>1.18</v>
      </c>
      <c r="L7" s="0" t="n">
        <v>70290567</v>
      </c>
      <c r="O7" s="0" t="n">
        <v>165087201</v>
      </c>
      <c r="P7" s="0" t="n">
        <v>846567016</v>
      </c>
      <c r="Q7" s="0" t="n">
        <v>678718307</v>
      </c>
      <c r="R7" s="0" t="n">
        <v>173994279</v>
      </c>
      <c r="S7" s="0" t="n">
        <v>45180745</v>
      </c>
      <c r="T7" s="0" t="n">
        <v>9075589</v>
      </c>
      <c r="U7" s="0" t="n">
        <v>249094</v>
      </c>
      <c r="AA7" s="0" t="s">
        <v>65</v>
      </c>
      <c r="AB7" s="0" t="s">
        <v>14</v>
      </c>
    </row>
    <row r="8" customFormat="false" ht="15" hidden="false" customHeight="false" outlineLevel="0" collapsed="false">
      <c r="A8" s="0" t="s">
        <v>71</v>
      </c>
      <c r="B8" s="0" t="n">
        <v>52260421</v>
      </c>
      <c r="F8" s="0" t="n">
        <v>11619880</v>
      </c>
      <c r="G8" s="0" t="n">
        <v>22.2</v>
      </c>
      <c r="I8" s="0" t="n">
        <v>12750633</v>
      </c>
      <c r="J8" s="0" t="n">
        <v>24.4</v>
      </c>
      <c r="K8" s="0" t="n">
        <v>1.35</v>
      </c>
      <c r="L8" s="0" t="n">
        <v>-28475553</v>
      </c>
      <c r="M8" s="0" t="n">
        <v>1676304</v>
      </c>
      <c r="N8" s="0" t="n">
        <v>-30151857</v>
      </c>
      <c r="O8" s="0" t="n">
        <v>179108367</v>
      </c>
      <c r="P8" s="0" t="n">
        <v>905508389</v>
      </c>
      <c r="Q8" s="0" t="n">
        <v>723290957</v>
      </c>
      <c r="R8" s="0" t="n">
        <v>197417133</v>
      </c>
      <c r="S8" s="0" t="n">
        <v>46296366</v>
      </c>
      <c r="T8" s="0" t="n">
        <v>9074663</v>
      </c>
      <c r="U8" s="0" t="n">
        <v>184975</v>
      </c>
      <c r="AA8" s="0" t="s">
        <v>65</v>
      </c>
      <c r="AB8" s="0" t="s">
        <v>14</v>
      </c>
    </row>
    <row r="9" customFormat="false" ht="15" hidden="false" customHeight="false" outlineLevel="0" collapsed="false">
      <c r="A9" s="0" t="s">
        <v>72</v>
      </c>
      <c r="B9" s="0" t="n">
        <v>54285483</v>
      </c>
      <c r="F9" s="0" t="n">
        <v>12998387</v>
      </c>
      <c r="G9" s="0" t="n">
        <v>23.9</v>
      </c>
      <c r="I9" s="0" t="n">
        <v>15351162</v>
      </c>
      <c r="J9" s="0" t="n">
        <v>28.3</v>
      </c>
      <c r="K9" s="0" t="n">
        <v>1.62</v>
      </c>
      <c r="L9" s="0" t="n">
        <v>34818437</v>
      </c>
      <c r="M9" s="0" t="n">
        <v>1806042</v>
      </c>
      <c r="N9" s="0" t="n">
        <v>33012395</v>
      </c>
      <c r="O9" s="0" t="n">
        <v>191673902</v>
      </c>
      <c r="P9" s="0" t="n">
        <v>814270494</v>
      </c>
      <c r="Q9" s="0" t="n">
        <v>622376573</v>
      </c>
      <c r="R9" s="0" t="n">
        <v>147674736</v>
      </c>
      <c r="S9" s="0" t="n">
        <v>39521458</v>
      </c>
      <c r="T9" s="0" t="n">
        <v>9027302</v>
      </c>
      <c r="U9" s="0" t="n">
        <v>96548</v>
      </c>
      <c r="AA9" s="0" t="s">
        <v>65</v>
      </c>
      <c r="AB9" s="0" t="s">
        <v>14</v>
      </c>
    </row>
    <row r="10" customFormat="false" ht="15" hidden="false" customHeight="false" outlineLevel="0" collapsed="false">
      <c r="A10" s="0" t="s">
        <v>73</v>
      </c>
      <c r="B10" s="0" t="n">
        <v>47219604</v>
      </c>
      <c r="F10" s="0" t="n">
        <v>15047744</v>
      </c>
      <c r="G10" s="0" t="n">
        <v>31.9</v>
      </c>
      <c r="I10" s="0" t="n">
        <v>16383497</v>
      </c>
      <c r="J10" s="0" t="n">
        <v>34.7</v>
      </c>
      <c r="K10" s="0" t="n">
        <v>1.73</v>
      </c>
      <c r="L10" s="0" t="n">
        <v>-63456125</v>
      </c>
      <c r="M10" s="0" t="n">
        <v>1221754</v>
      </c>
      <c r="N10" s="0" t="n">
        <v>-64677879</v>
      </c>
      <c r="O10" s="0" t="n">
        <v>206939470</v>
      </c>
      <c r="P10" s="0" t="n">
        <v>1077347556</v>
      </c>
      <c r="Q10" s="0" t="n">
        <v>870351352</v>
      </c>
      <c r="R10" s="0" t="n">
        <v>265239743</v>
      </c>
      <c r="S10" s="0" t="n">
        <v>47693555</v>
      </c>
      <c r="T10" s="0" t="n">
        <v>9026864</v>
      </c>
      <c r="U10" s="0" t="n">
        <v>5094</v>
      </c>
      <c r="AA10" s="0" t="s">
        <v>65</v>
      </c>
      <c r="AB1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15.19</v>
      </c>
    </row>
    <row r="3" customFormat="false" ht="15" hidden="false" customHeight="false" outlineLevel="0" collapsed="false">
      <c r="A3" s="0" t="s">
        <v>77</v>
      </c>
      <c r="B3" s="3" t="n">
        <v>9026.864</v>
      </c>
    </row>
    <row r="4" customFormat="false" ht="15" hidden="false" customHeight="false" outlineLevel="0" collapsed="false">
      <c r="A4" s="0" t="s">
        <v>78</v>
      </c>
      <c r="B4" s="3" t="n">
        <v>0</v>
      </c>
    </row>
    <row r="5" customFormat="false" ht="15" hidden="false" customHeight="false" outlineLevel="0" collapsed="false">
      <c r="A5" s="0" t="s">
        <v>79</v>
      </c>
      <c r="B5" s="3" t="n">
        <v>0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58500</v>
      </c>
    </row>
    <row r="8" customFormat="false" ht="15" hidden="false" customHeight="false" outlineLevel="0" collapsed="false">
      <c r="A8" s="0" t="s">
        <v>82</v>
      </c>
      <c r="B8" s="3" t="s">
        <v>83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1.1748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-22</v>
      </c>
      <c r="D13" s="3" t="n">
        <v>0</v>
      </c>
      <c r="E13" s="3" t="n">
        <v>2</v>
      </c>
      <c r="F13" s="3" t="n">
        <v>3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99</v>
      </c>
      <c r="C14" s="3" t="n">
        <v>31</v>
      </c>
      <c r="D14" s="3" t="n">
        <v>31</v>
      </c>
      <c r="E14" s="3" t="n">
        <v>31.5</v>
      </c>
      <c r="F14" s="3" t="n">
        <v>32</v>
      </c>
      <c r="G14" s="3" t="n">
        <v>32</v>
      </c>
      <c r="H14" s="3" t="n">
        <v>32</v>
      </c>
      <c r="I14" s="3" t="n">
        <v>32</v>
      </c>
      <c r="J14" s="3" t="n">
        <v>32</v>
      </c>
      <c r="K14" s="3" t="n">
        <v>32</v>
      </c>
      <c r="L14" s="3" t="n">
        <v>32</v>
      </c>
    </row>
    <row r="15" customFormat="false" ht="15" hidden="false" customHeight="false" outlineLevel="0" collapsed="false">
      <c r="A15" s="0" t="s">
        <v>100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102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103</v>
      </c>
      <c r="C18" s="3" t="n">
        <v>16.1</v>
      </c>
      <c r="D18" s="3" t="n">
        <v>15.4</v>
      </c>
      <c r="E18" s="3" t="n">
        <v>14.5</v>
      </c>
      <c r="F18" s="3" t="n">
        <v>13.7</v>
      </c>
      <c r="G18" s="3" t="n">
        <v>12.9</v>
      </c>
      <c r="H18" s="3" t="n">
        <v>12.3</v>
      </c>
      <c r="I18" s="3" t="n">
        <v>11.7</v>
      </c>
      <c r="J18" s="3" t="n">
        <v>11.2</v>
      </c>
      <c r="K18" s="3" t="n">
        <v>10.8</v>
      </c>
      <c r="L18" s="3" t="n">
        <v>10.5</v>
      </c>
    </row>
    <row r="19" customFormat="false" ht="15" hidden="false" customHeight="false" outlineLevel="0" collapsed="false">
      <c r="A19" s="0" t="s">
        <v>104</v>
      </c>
      <c r="C19" s="3" t="n">
        <v>20</v>
      </c>
      <c r="D19" s="3" t="n">
        <v>20</v>
      </c>
      <c r="E19" s="3" t="n">
        <v>20</v>
      </c>
      <c r="F19" s="3" t="n">
        <v>20</v>
      </c>
      <c r="G19" s="3" t="n">
        <v>20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105</v>
      </c>
      <c r="B20" s="3" t="n">
        <v>11</v>
      </c>
    </row>
    <row r="21" customFormat="false" ht="15" hidden="false" customHeight="false" outlineLevel="0" collapsed="false">
      <c r="A21" s="0" t="s">
        <v>106</v>
      </c>
      <c r="B21" s="3" t="n">
        <v>2.5</v>
      </c>
    </row>
    <row r="22" customFormat="false" ht="15" hidden="false" customHeight="false" outlineLevel="0" collapsed="false">
      <c r="A22" s="0" t="s">
        <v>107</v>
      </c>
      <c r="B22" s="3" t="n">
        <v>15</v>
      </c>
    </row>
    <row r="23" customFormat="false" ht="15" hidden="false" customHeight="false" outlineLevel="0" collapsed="false">
      <c r="A23" s="0" t="s">
        <v>108</v>
      </c>
      <c r="B23" s="3" t="n">
        <v>0</v>
      </c>
    </row>
    <row r="24" customFormat="false" ht="15" hidden="false" customHeight="false" outlineLevel="0" collapsed="false">
      <c r="A24" s="0" t="s">
        <v>109</v>
      </c>
      <c r="B24" s="3" t="n">
        <v>0.3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-8</v>
      </c>
      <c r="D27" s="3" t="n">
        <v>2</v>
      </c>
      <c r="E27" s="3" t="n">
        <v>4</v>
      </c>
      <c r="F27" s="3" t="n">
        <v>4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99</v>
      </c>
      <c r="C28" s="3" t="n">
        <v>36.5</v>
      </c>
      <c r="D28" s="3" t="n">
        <v>36</v>
      </c>
      <c r="E28" s="3" t="n">
        <v>36</v>
      </c>
      <c r="F28" s="3" t="n">
        <v>36</v>
      </c>
      <c r="G28" s="3" t="n">
        <v>36</v>
      </c>
      <c r="H28" s="3" t="n">
        <v>36</v>
      </c>
      <c r="I28" s="3" t="n">
        <v>36</v>
      </c>
      <c r="J28" s="3" t="n">
        <v>36</v>
      </c>
      <c r="K28" s="3" t="n">
        <v>36</v>
      </c>
      <c r="L28" s="3" t="n">
        <v>36</v>
      </c>
    </row>
    <row r="29" customFormat="false" ht="15" hidden="false" customHeight="false" outlineLevel="0" collapsed="false">
      <c r="A29" s="0" t="s">
        <v>100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102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103</v>
      </c>
      <c r="C32" s="3" t="n">
        <v>17</v>
      </c>
      <c r="D32" s="3" t="n">
        <v>16</v>
      </c>
      <c r="E32" s="3" t="n">
        <v>15</v>
      </c>
      <c r="F32" s="3" t="n">
        <v>14</v>
      </c>
      <c r="G32" s="3" t="n">
        <v>13</v>
      </c>
      <c r="H32" s="3" t="n">
        <v>12.3</v>
      </c>
      <c r="I32" s="3" t="n">
        <v>11.6</v>
      </c>
      <c r="J32" s="3" t="n">
        <v>11</v>
      </c>
      <c r="K32" s="3" t="n">
        <v>10.6</v>
      </c>
      <c r="L32" s="3" t="n">
        <v>10.4</v>
      </c>
    </row>
    <row r="33" customFormat="false" ht="15" hidden="false" customHeight="false" outlineLevel="0" collapsed="false">
      <c r="A33" s="0" t="s">
        <v>104</v>
      </c>
      <c r="C33" s="3" t="n">
        <v>19.5</v>
      </c>
      <c r="D33" s="3" t="n">
        <v>19.5</v>
      </c>
      <c r="E33" s="3" t="n">
        <v>19.5</v>
      </c>
      <c r="F33" s="3" t="n">
        <v>19.5</v>
      </c>
      <c r="G33" s="3" t="n">
        <v>19.5</v>
      </c>
      <c r="H33" s="3" t="n">
        <v>19.5</v>
      </c>
      <c r="I33" s="3" t="n">
        <v>19.5</v>
      </c>
      <c r="J33" s="3" t="n">
        <v>19.5</v>
      </c>
      <c r="K33" s="3" t="n">
        <v>19.5</v>
      </c>
      <c r="L33" s="3" t="n">
        <v>19.5</v>
      </c>
    </row>
    <row r="34" customFormat="false" ht="15" hidden="false" customHeight="false" outlineLevel="0" collapsed="false">
      <c r="A34" s="0" t="s">
        <v>105</v>
      </c>
      <c r="B34" s="3" t="n">
        <v>11</v>
      </c>
    </row>
    <row r="35" customFormat="false" ht="15" hidden="false" customHeight="false" outlineLevel="0" collapsed="false">
      <c r="A35" s="0" t="s">
        <v>106</v>
      </c>
      <c r="B35" s="3" t="n">
        <v>3</v>
      </c>
    </row>
    <row r="36" customFormat="false" ht="15" hidden="false" customHeight="false" outlineLevel="0" collapsed="false">
      <c r="A36" s="0" t="s">
        <v>107</v>
      </c>
      <c r="B36" s="3" t="n">
        <v>15</v>
      </c>
    </row>
    <row r="37" customFormat="false" ht="15" hidden="false" customHeight="false" outlineLevel="0" collapsed="false">
      <c r="A37" s="0" t="s">
        <v>108</v>
      </c>
      <c r="B37" s="3" t="n">
        <v>0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2</v>
      </c>
      <c r="D41" s="3" t="n">
        <v>6</v>
      </c>
      <c r="E41" s="3" t="n">
        <v>6</v>
      </c>
      <c r="F41" s="3" t="n">
        <v>5</v>
      </c>
      <c r="G41" s="3" t="n">
        <v>5</v>
      </c>
      <c r="H41" s="3" t="n">
        <v>4</v>
      </c>
      <c r="I41" s="3" t="n">
        <v>4</v>
      </c>
      <c r="J41" s="3" t="n">
        <v>3.5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99</v>
      </c>
      <c r="C42" s="3" t="n">
        <v>39</v>
      </c>
      <c r="D42" s="3" t="n">
        <v>38.5</v>
      </c>
      <c r="E42" s="3" t="n">
        <v>38</v>
      </c>
      <c r="F42" s="3" t="n">
        <v>38</v>
      </c>
      <c r="G42" s="3" t="n">
        <v>38</v>
      </c>
      <c r="H42" s="3" t="n">
        <v>38</v>
      </c>
      <c r="I42" s="3" t="n">
        <v>38</v>
      </c>
      <c r="J42" s="3" t="n">
        <v>38</v>
      </c>
      <c r="K42" s="3" t="n">
        <v>38</v>
      </c>
      <c r="L42" s="3" t="n">
        <v>38</v>
      </c>
    </row>
    <row r="43" customFormat="false" ht="15" hidden="false" customHeight="false" outlineLevel="0" collapsed="false">
      <c r="A43" s="0" t="s">
        <v>100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102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103</v>
      </c>
      <c r="C46" s="3" t="n">
        <v>15.8</v>
      </c>
      <c r="D46" s="3" t="n">
        <v>14.7</v>
      </c>
      <c r="E46" s="3" t="n">
        <v>13.7</v>
      </c>
      <c r="F46" s="3" t="n">
        <v>12.8</v>
      </c>
      <c r="G46" s="3" t="n">
        <v>11.9</v>
      </c>
      <c r="H46" s="3" t="n">
        <v>11.3</v>
      </c>
      <c r="I46" s="3" t="n">
        <v>10.8</v>
      </c>
      <c r="J46" s="3" t="n">
        <v>10.5</v>
      </c>
      <c r="K46" s="3" t="n">
        <v>10.3</v>
      </c>
      <c r="L46" s="3" t="n">
        <v>10.1</v>
      </c>
    </row>
    <row r="47" customFormat="false" ht="15" hidden="false" customHeight="false" outlineLevel="0" collapsed="false">
      <c r="A47" s="0" t="s">
        <v>104</v>
      </c>
      <c r="C47" s="3" t="n">
        <v>19</v>
      </c>
      <c r="D47" s="3" t="n">
        <v>19</v>
      </c>
      <c r="E47" s="3" t="n">
        <v>19</v>
      </c>
      <c r="F47" s="3" t="n">
        <v>19</v>
      </c>
      <c r="G47" s="3" t="n">
        <v>19</v>
      </c>
      <c r="H47" s="3" t="n">
        <v>19</v>
      </c>
      <c r="I47" s="3" t="n">
        <v>19</v>
      </c>
      <c r="J47" s="3" t="n">
        <v>19</v>
      </c>
      <c r="K47" s="3" t="n">
        <v>19</v>
      </c>
      <c r="L47" s="3" t="n">
        <v>19</v>
      </c>
    </row>
    <row r="48" customFormat="false" ht="15" hidden="false" customHeight="false" outlineLevel="0" collapsed="false">
      <c r="A48" s="0" t="s">
        <v>105</v>
      </c>
      <c r="B48" s="3" t="n">
        <v>11</v>
      </c>
    </row>
    <row r="49" customFormat="false" ht="15" hidden="false" customHeight="false" outlineLevel="0" collapsed="false">
      <c r="A49" s="0" t="s">
        <v>106</v>
      </c>
      <c r="B49" s="3" t="n">
        <v>3.5</v>
      </c>
    </row>
    <row r="50" customFormat="false" ht="15" hidden="false" customHeight="false" outlineLevel="0" collapsed="false">
      <c r="A50" s="0" t="s">
        <v>107</v>
      </c>
      <c r="B50" s="3" t="n">
        <v>15</v>
      </c>
    </row>
    <row r="51" customFormat="false" ht="15" hidden="false" customHeight="false" outlineLevel="0" collapsed="false">
      <c r="A51" s="0" t="s">
        <v>108</v>
      </c>
      <c r="B51" s="3" t="n">
        <v>0</v>
      </c>
    </row>
    <row r="52" customFormat="false" ht="15" hidden="false" customHeight="false" outlineLevel="0" collapsed="false">
      <c r="A52" s="0" t="s">
        <v>109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83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-22</v>
      </c>
      <c r="D5" s="4" t="n">
        <f aca="false">Assumptions!D13</f>
        <v>0</v>
      </c>
      <c r="E5" s="4" t="n">
        <f aca="false">Assumptions!E13</f>
        <v>2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58500</v>
      </c>
      <c r="C6" s="0" t="n">
        <f aca="false">B6*(1+C5/100)</f>
        <v>45630</v>
      </c>
      <c r="D6" s="0" t="n">
        <f aca="false">C6*(1+D5/100)</f>
        <v>45630</v>
      </c>
      <c r="E6" s="0" t="n">
        <f aca="false">D6*(1+E5/100)</f>
        <v>46542.6</v>
      </c>
      <c r="F6" s="0" t="n">
        <f aca="false">E6*(1+F5/100)</f>
        <v>47938.878</v>
      </c>
      <c r="G6" s="0" t="n">
        <f aca="false">F6*(1+G5/100)</f>
        <v>49377.04434</v>
      </c>
      <c r="H6" s="0" t="n">
        <f aca="false">G6*(1+H5/100)</f>
        <v>50858.3556702</v>
      </c>
      <c r="I6" s="0" t="n">
        <f aca="false">H6*(1+I5/100)</f>
        <v>52129.814561955</v>
      </c>
      <c r="J6" s="0" t="n">
        <f aca="false">I6*(1+J5/100)</f>
        <v>53433.0599260039</v>
      </c>
      <c r="K6" s="0" t="n">
        <f aca="false">J6*(1+K5/100)</f>
        <v>54768.886424154</v>
      </c>
      <c r="L6" s="0" t="n">
        <f aca="false">K6*(1+L5/100)</f>
        <v>56138.1085847578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31</v>
      </c>
      <c r="D7" s="4" t="n">
        <f aca="false">Assumptions!D14</f>
        <v>31</v>
      </c>
      <c r="E7" s="4" t="n">
        <f aca="false">Assumptions!E14</f>
        <v>31.5</v>
      </c>
      <c r="F7" s="4" t="n">
        <f aca="false">Assumptions!F14</f>
        <v>32</v>
      </c>
      <c r="G7" s="4" t="n">
        <f aca="false">Assumptions!G14</f>
        <v>32</v>
      </c>
      <c r="H7" s="4" t="n">
        <f aca="false">Assumptions!H14</f>
        <v>32</v>
      </c>
      <c r="I7" s="4" t="n">
        <f aca="false">Assumptions!I14</f>
        <v>32</v>
      </c>
      <c r="J7" s="4" t="n">
        <f aca="false">Assumptions!J14</f>
        <v>32</v>
      </c>
      <c r="K7" s="4" t="n">
        <f aca="false">Assumptions!K14</f>
        <v>32</v>
      </c>
      <c r="L7" s="4" t="n">
        <f aca="false">Assumptions!L14</f>
        <v>32</v>
      </c>
    </row>
    <row r="8" customFormat="false" ht="15" hidden="false" customHeight="false" outlineLevel="0" collapsed="false">
      <c r="A8" s="0" t="s">
        <v>44</v>
      </c>
      <c r="C8" s="0" t="n">
        <f aca="false">C6*C7/100</f>
        <v>14145.3</v>
      </c>
      <c r="D8" s="0" t="n">
        <f aca="false">D6*D7/100</f>
        <v>14145.3</v>
      </c>
      <c r="E8" s="0" t="n">
        <f aca="false">E6*E7/100</f>
        <v>14660.919</v>
      </c>
      <c r="F8" s="0" t="n">
        <f aca="false">F6*F7/100</f>
        <v>15340.44096</v>
      </c>
      <c r="G8" s="0" t="n">
        <f aca="false">G6*G7/100</f>
        <v>15800.6541888</v>
      </c>
      <c r="H8" s="0" t="n">
        <f aca="false">H6*H7/100</f>
        <v>16274.673814464</v>
      </c>
      <c r="I8" s="0" t="n">
        <f aca="false">I6*I7/100</f>
        <v>16681.5406598256</v>
      </c>
      <c r="J8" s="0" t="n">
        <f aca="false">J6*J7/100</f>
        <v>17098.5791763212</v>
      </c>
      <c r="K8" s="0" t="n">
        <f aca="false">K6*K7/100</f>
        <v>17526.0436557293</v>
      </c>
      <c r="L8" s="0" t="n">
        <f aca="false">L6*L7/100</f>
        <v>17964.1947471225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14145.3</v>
      </c>
      <c r="D11" s="0" t="n">
        <f aca="false">D8+D10+D24</f>
        <v>14145.3</v>
      </c>
      <c r="E11" s="0" t="n">
        <f aca="false">E8+E10+E24</f>
        <v>14660.919</v>
      </c>
      <c r="F11" s="0" t="n">
        <f aca="false">F8+F10+F24</f>
        <v>15340.44096</v>
      </c>
      <c r="G11" s="0" t="n">
        <f aca="false">G8+G10+G24</f>
        <v>15800.6541888</v>
      </c>
      <c r="H11" s="0" t="n">
        <f aca="false">H8+H10+H24</f>
        <v>16274.673814464</v>
      </c>
      <c r="I11" s="0" t="n">
        <f aca="false">I8+I10+I24</f>
        <v>16681.5406598256</v>
      </c>
      <c r="J11" s="0" t="n">
        <f aca="false">J8+J10+J24</f>
        <v>17098.5791763212</v>
      </c>
      <c r="K11" s="0" t="n">
        <f aca="false">K8+K10+K24</f>
        <v>17526.0436557293</v>
      </c>
      <c r="L11" s="0" t="n">
        <f aca="false">L8+L10+L24</f>
        <v>17964.1947471225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14145.3</v>
      </c>
      <c r="D13" s="0" t="n">
        <f aca="false">D11+D12</f>
        <v>14145.3</v>
      </c>
      <c r="E13" s="0" t="n">
        <f aca="false">E11+E12</f>
        <v>14660.919</v>
      </c>
      <c r="F13" s="0" t="n">
        <f aca="false">F11+F12</f>
        <v>15340.44096</v>
      </c>
      <c r="G13" s="0" t="n">
        <f aca="false">G11+G12</f>
        <v>15800.6541888</v>
      </c>
      <c r="H13" s="0" t="n">
        <f aca="false">H11+H12</f>
        <v>16274.673814464</v>
      </c>
      <c r="I13" s="0" t="n">
        <f aca="false">I11+I12</f>
        <v>16681.5406598256</v>
      </c>
      <c r="J13" s="0" t="n">
        <f aca="false">J11+J12</f>
        <v>17098.5791763212</v>
      </c>
      <c r="K13" s="0" t="n">
        <f aca="false">K11+K12</f>
        <v>17526.0436557293</v>
      </c>
      <c r="L13" s="0" t="n">
        <f aca="false">L11+L12</f>
        <v>17964.1947471225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20</v>
      </c>
      <c r="D14" s="4" t="n">
        <f aca="false">Assumptions!D19</f>
        <v>20</v>
      </c>
      <c r="E14" s="4" t="n">
        <f aca="false">Assumptions!E19</f>
        <v>20</v>
      </c>
      <c r="F14" s="4" t="n">
        <f aca="false">Assumptions!F19</f>
        <v>20</v>
      </c>
      <c r="G14" s="4" t="n">
        <f aca="false">Assumptions!G19</f>
        <v>20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11316.24</v>
      </c>
      <c r="D15" s="0" t="n">
        <f aca="false">D13-MAX(0,D13)*D14/100</f>
        <v>11316.24</v>
      </c>
      <c r="E15" s="0" t="n">
        <f aca="false">E13-MAX(0,E13)*E14/100</f>
        <v>11728.7352</v>
      </c>
      <c r="F15" s="0" t="n">
        <f aca="false">F13-MAX(0,F13)*F14/100</f>
        <v>12272.352768</v>
      </c>
      <c r="G15" s="0" t="n">
        <f aca="false">G13-MAX(0,G13)*G14/100</f>
        <v>12640.52335104</v>
      </c>
      <c r="H15" s="0" t="n">
        <f aca="false">H13-MAX(0,H13)*H14/100</f>
        <v>13019.7390515712</v>
      </c>
      <c r="I15" s="0" t="n">
        <f aca="false">I13-MAX(0,I13)*I14/100</f>
        <v>13345.2325278605</v>
      </c>
      <c r="J15" s="0" t="n">
        <f aca="false">J13-MAX(0,J13)*J14/100</f>
        <v>13678.863341057</v>
      </c>
      <c r="K15" s="0" t="n">
        <f aca="false">K13-MAX(0,K13)*K14/100</f>
        <v>14020.8349245834</v>
      </c>
      <c r="L15" s="0" t="n">
        <f aca="false">L13-MAX(0,L13)*L14/100</f>
        <v>14371.355797698</v>
      </c>
    </row>
    <row r="16" customFormat="false" ht="15" hidden="false" customHeight="false" outlineLevel="0" collapsed="false">
      <c r="A16" s="0" t="s">
        <v>120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-7346.43</v>
      </c>
      <c r="D17" s="4" t="n">
        <f aca="false">-D6*Assumptions!D18/100</f>
        <v>-7027.02</v>
      </c>
      <c r="E17" s="4" t="n">
        <f aca="false">-E6*Assumptions!E18/100</f>
        <v>-6748.677</v>
      </c>
      <c r="F17" s="4" t="n">
        <f aca="false">-F6*Assumptions!F18/100</f>
        <v>-6567.626286</v>
      </c>
      <c r="G17" s="4" t="n">
        <f aca="false">-G6*Assumptions!G18/100</f>
        <v>-6369.63871986</v>
      </c>
      <c r="H17" s="4" t="n">
        <f aca="false">-H6*Assumptions!H18/100</f>
        <v>-6255.5777474346</v>
      </c>
      <c r="I17" s="4" t="n">
        <f aca="false">-I6*Assumptions!I18/100</f>
        <v>-6099.18830374874</v>
      </c>
      <c r="J17" s="4" t="n">
        <f aca="false">-J6*Assumptions!J18/100</f>
        <v>-5984.50271171243</v>
      </c>
      <c r="K17" s="4" t="n">
        <f aca="false">-K6*Assumptions!K18/100</f>
        <v>-5915.03973380863</v>
      </c>
      <c r="L17" s="4" t="n">
        <f aca="false">-L6*Assumptions!L18/100</f>
        <v>-5894.50140139957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-0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3969.81</v>
      </c>
      <c r="D19" s="0" t="n">
        <f aca="false">D15+D16+D17+D18</f>
        <v>4289.22</v>
      </c>
      <c r="E19" s="0" t="n">
        <f aca="false">E15+E16+E17+E18</f>
        <v>4980.0582</v>
      </c>
      <c r="F19" s="0" t="n">
        <f aca="false">F15+F16+F17+F18</f>
        <v>5704.726482</v>
      </c>
      <c r="G19" s="0" t="n">
        <f aca="false">G15+G16+G17+G18</f>
        <v>6270.88463118</v>
      </c>
      <c r="H19" s="0" t="n">
        <f aca="false">H15+H16+H17+H18</f>
        <v>6764.1613041366</v>
      </c>
      <c r="I19" s="0" t="n">
        <f aca="false">I15+I16+I17+I18</f>
        <v>7246.04422411174</v>
      </c>
      <c r="J19" s="0" t="n">
        <f aca="false">J15+J16+J17+J18</f>
        <v>7694.36062934456</v>
      </c>
      <c r="K19" s="0" t="n">
        <f aca="false">K15+K16+K17+K18</f>
        <v>8105.79519077479</v>
      </c>
      <c r="L19" s="0" t="n">
        <f aca="false">L15+L16+L17+L18</f>
        <v>8476.85439629843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3576.4054054054</v>
      </c>
      <c r="D21" s="0" t="n">
        <f aca="false">D19*D20</f>
        <v>3481.22717311906</v>
      </c>
      <c r="E21" s="0" t="n">
        <f aca="false">E19*E20</f>
        <v>3641.37563421712</v>
      </c>
      <c r="F21" s="0" t="n">
        <f aca="false">F19*F20</f>
        <v>3757.88003271864</v>
      </c>
      <c r="G21" s="0" t="n">
        <f aca="false">G19*G20</f>
        <v>3721.46481247578</v>
      </c>
      <c r="H21" s="0" t="n">
        <f aca="false">H19*H20</f>
        <v>3616.39685508304</v>
      </c>
      <c r="I21" s="0" t="n">
        <f aca="false">I19*I20</f>
        <v>3490.11814623014</v>
      </c>
      <c r="J21" s="0" t="n">
        <f aca="false">J19*J20</f>
        <v>3338.78694914492</v>
      </c>
      <c r="K21" s="0" t="n">
        <f aca="false">K19*K20</f>
        <v>3168.75613229032</v>
      </c>
      <c r="L21" s="0" t="n">
        <f aca="false">L19*L20</f>
        <v>2985.41654720741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11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34777.8276878918</v>
      </c>
    </row>
    <row r="31" customFormat="false" ht="15" hidden="false" customHeight="false" outlineLevel="0" collapsed="false">
      <c r="A31" s="0" t="s">
        <v>129</v>
      </c>
      <c r="B31" s="0" t="n">
        <f aca="false">L19</f>
        <v>8476.85439629843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102220.891249481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127152.815944476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102220.891249481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36000.6113045599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70778.4389924518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70778.4389924518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9.21145041382393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-0.393584567885192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9.21145041382393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69510.2060496471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5.9989299386305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83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-8</v>
      </c>
      <c r="D5" s="4" t="n">
        <f aca="false">Assumptions!D27</f>
        <v>2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58500</v>
      </c>
      <c r="C6" s="0" t="n">
        <f aca="false">B6*(1+C5/100)</f>
        <v>53820</v>
      </c>
      <c r="D6" s="0" t="n">
        <f aca="false">C6*(1+D5/100)</f>
        <v>54896.4</v>
      </c>
      <c r="E6" s="0" t="n">
        <f aca="false">D6*(1+E5/100)</f>
        <v>57092.256</v>
      </c>
      <c r="F6" s="0" t="n">
        <f aca="false">E6*(1+F5/100)</f>
        <v>59375.94624</v>
      </c>
      <c r="G6" s="0" t="n">
        <f aca="false">F6*(1+G5/100)</f>
        <v>61750.9840896</v>
      </c>
      <c r="H6" s="0" t="n">
        <f aca="false">G6*(1+H5/100)</f>
        <v>63912.268532736</v>
      </c>
      <c r="I6" s="0" t="n">
        <f aca="false">H6*(1+I5/100)</f>
        <v>65829.6365887181</v>
      </c>
      <c r="J6" s="0" t="n">
        <f aca="false">I6*(1+J5/100)</f>
        <v>67804.5256863796</v>
      </c>
      <c r="K6" s="0" t="n">
        <f aca="false">J6*(1+K5/100)</f>
        <v>69838.661456971</v>
      </c>
      <c r="L6" s="0" t="n">
        <f aca="false">K6*(1+L5/100)</f>
        <v>71933.8213006802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36.5</v>
      </c>
      <c r="D7" s="4" t="n">
        <f aca="false">Assumptions!D28</f>
        <v>36</v>
      </c>
      <c r="E7" s="4" t="n">
        <f aca="false">Assumptions!E28</f>
        <v>36</v>
      </c>
      <c r="F7" s="4" t="n">
        <f aca="false">Assumptions!F28</f>
        <v>36</v>
      </c>
      <c r="G7" s="4" t="n">
        <f aca="false">Assumptions!G28</f>
        <v>36</v>
      </c>
      <c r="H7" s="4" t="n">
        <f aca="false">Assumptions!H28</f>
        <v>36</v>
      </c>
      <c r="I7" s="4" t="n">
        <f aca="false">Assumptions!I28</f>
        <v>36</v>
      </c>
      <c r="J7" s="4" t="n">
        <f aca="false">Assumptions!J28</f>
        <v>36</v>
      </c>
      <c r="K7" s="4" t="n">
        <f aca="false">Assumptions!K28</f>
        <v>36</v>
      </c>
      <c r="L7" s="4" t="n">
        <f aca="false">Assumptions!L28</f>
        <v>36</v>
      </c>
    </row>
    <row r="8" customFormat="false" ht="15" hidden="false" customHeight="false" outlineLevel="0" collapsed="false">
      <c r="A8" s="0" t="s">
        <v>44</v>
      </c>
      <c r="C8" s="0" t="n">
        <f aca="false">C6*C7/100</f>
        <v>19644.3</v>
      </c>
      <c r="D8" s="0" t="n">
        <f aca="false">D6*D7/100</f>
        <v>19762.704</v>
      </c>
      <c r="E8" s="0" t="n">
        <f aca="false">E6*E7/100</f>
        <v>20553.21216</v>
      </c>
      <c r="F8" s="0" t="n">
        <f aca="false">F6*F7/100</f>
        <v>21375.3406464</v>
      </c>
      <c r="G8" s="0" t="n">
        <f aca="false">G6*G7/100</f>
        <v>22230.354272256</v>
      </c>
      <c r="H8" s="0" t="n">
        <f aca="false">H6*H7/100</f>
        <v>23008.416671785</v>
      </c>
      <c r="I8" s="0" t="n">
        <f aca="false">I6*I7/100</f>
        <v>23698.6691719385</v>
      </c>
      <c r="J8" s="0" t="n">
        <f aca="false">J6*J7/100</f>
        <v>24409.6292470967</v>
      </c>
      <c r="K8" s="0" t="n">
        <f aca="false">K6*K7/100</f>
        <v>25141.9181245096</v>
      </c>
      <c r="L8" s="0" t="n">
        <f aca="false">L6*L7/100</f>
        <v>25896.1756682449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19644.3</v>
      </c>
      <c r="D11" s="0" t="n">
        <f aca="false">D8+D10+D24</f>
        <v>19762.704</v>
      </c>
      <c r="E11" s="0" t="n">
        <f aca="false">E8+E10+E24</f>
        <v>20553.21216</v>
      </c>
      <c r="F11" s="0" t="n">
        <f aca="false">F8+F10+F24</f>
        <v>21375.3406464</v>
      </c>
      <c r="G11" s="0" t="n">
        <f aca="false">G8+G10+G24</f>
        <v>22230.354272256</v>
      </c>
      <c r="H11" s="0" t="n">
        <f aca="false">H8+H10+H24</f>
        <v>23008.416671785</v>
      </c>
      <c r="I11" s="0" t="n">
        <f aca="false">I8+I10+I24</f>
        <v>23698.6691719385</v>
      </c>
      <c r="J11" s="0" t="n">
        <f aca="false">J8+J10+J24</f>
        <v>24409.6292470967</v>
      </c>
      <c r="K11" s="0" t="n">
        <f aca="false">K8+K10+K24</f>
        <v>25141.9181245096</v>
      </c>
      <c r="L11" s="0" t="n">
        <f aca="false">L8+L10+L24</f>
        <v>25896.1756682449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19644.3</v>
      </c>
      <c r="D13" s="0" t="n">
        <f aca="false">D11+D12</f>
        <v>19762.704</v>
      </c>
      <c r="E13" s="0" t="n">
        <f aca="false">E11+E12</f>
        <v>20553.21216</v>
      </c>
      <c r="F13" s="0" t="n">
        <f aca="false">F11+F12</f>
        <v>21375.3406464</v>
      </c>
      <c r="G13" s="0" t="n">
        <f aca="false">G11+G12</f>
        <v>22230.354272256</v>
      </c>
      <c r="H13" s="0" t="n">
        <f aca="false">H11+H12</f>
        <v>23008.416671785</v>
      </c>
      <c r="I13" s="0" t="n">
        <f aca="false">I11+I12</f>
        <v>23698.6691719385</v>
      </c>
      <c r="J13" s="0" t="n">
        <f aca="false">J11+J12</f>
        <v>24409.6292470967</v>
      </c>
      <c r="K13" s="0" t="n">
        <f aca="false">K11+K12</f>
        <v>25141.9181245096</v>
      </c>
      <c r="L13" s="0" t="n">
        <f aca="false">L11+L12</f>
        <v>25896.1756682449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19.5</v>
      </c>
      <c r="D14" s="4" t="n">
        <f aca="false">Assumptions!D33</f>
        <v>19.5</v>
      </c>
      <c r="E14" s="4" t="n">
        <f aca="false">Assumptions!E33</f>
        <v>19.5</v>
      </c>
      <c r="F14" s="4" t="n">
        <f aca="false">Assumptions!F33</f>
        <v>19.5</v>
      </c>
      <c r="G14" s="4" t="n">
        <f aca="false">Assumptions!G33</f>
        <v>19.5</v>
      </c>
      <c r="H14" s="4" t="n">
        <f aca="false">Assumptions!H33</f>
        <v>19.5</v>
      </c>
      <c r="I14" s="4" t="n">
        <f aca="false">Assumptions!I33</f>
        <v>19.5</v>
      </c>
      <c r="J14" s="4" t="n">
        <f aca="false">Assumptions!J33</f>
        <v>19.5</v>
      </c>
      <c r="K14" s="4" t="n">
        <f aca="false">Assumptions!K33</f>
        <v>19.5</v>
      </c>
      <c r="L14" s="4" t="n">
        <f aca="false">Assumptions!L33</f>
        <v>19.5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15813.6615</v>
      </c>
      <c r="D15" s="0" t="n">
        <f aca="false">D13-MAX(0,D13)*D14/100</f>
        <v>15908.97672</v>
      </c>
      <c r="E15" s="0" t="n">
        <f aca="false">E13-MAX(0,E13)*E14/100</f>
        <v>16545.3357888</v>
      </c>
      <c r="F15" s="0" t="n">
        <f aca="false">F13-MAX(0,F13)*F14/100</f>
        <v>17207.149220352</v>
      </c>
      <c r="G15" s="0" t="n">
        <f aca="false">G13-MAX(0,G13)*G14/100</f>
        <v>17895.4351891661</v>
      </c>
      <c r="H15" s="0" t="n">
        <f aca="false">H13-MAX(0,H13)*H14/100</f>
        <v>18521.7754207869</v>
      </c>
      <c r="I15" s="0" t="n">
        <f aca="false">I13-MAX(0,I13)*I14/100</f>
        <v>19077.4286834105</v>
      </c>
      <c r="J15" s="0" t="n">
        <f aca="false">J13-MAX(0,J13)*J14/100</f>
        <v>19649.7515439128</v>
      </c>
      <c r="K15" s="0" t="n">
        <f aca="false">K13-MAX(0,K13)*K14/100</f>
        <v>20239.2440902302</v>
      </c>
      <c r="L15" s="0" t="n">
        <f aca="false">L13-MAX(0,L13)*L14/100</f>
        <v>20846.4214129371</v>
      </c>
    </row>
    <row r="16" customFormat="false" ht="15" hidden="false" customHeight="false" outlineLevel="0" collapsed="false">
      <c r="A16" s="0" t="s">
        <v>120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-9149.4</v>
      </c>
      <c r="D17" s="4" t="n">
        <f aca="false">-D6*Assumptions!D32/100</f>
        <v>-8783.424</v>
      </c>
      <c r="E17" s="4" t="n">
        <f aca="false">-E6*Assumptions!E32/100</f>
        <v>-8563.8384</v>
      </c>
      <c r="F17" s="4" t="n">
        <f aca="false">-F6*Assumptions!F32/100</f>
        <v>-8312.6324736</v>
      </c>
      <c r="G17" s="4" t="n">
        <f aca="false">-G6*Assumptions!G32/100</f>
        <v>-8027.627931648</v>
      </c>
      <c r="H17" s="4" t="n">
        <f aca="false">-H6*Assumptions!H32/100</f>
        <v>-7861.20902952653</v>
      </c>
      <c r="I17" s="4" t="n">
        <f aca="false">-I6*Assumptions!I32/100</f>
        <v>-7636.2378442913</v>
      </c>
      <c r="J17" s="4" t="n">
        <f aca="false">-J6*Assumptions!J32/100</f>
        <v>-7458.49782550176</v>
      </c>
      <c r="K17" s="4" t="n">
        <f aca="false">-K6*Assumptions!K32/100</f>
        <v>-7402.89811443893</v>
      </c>
      <c r="L17" s="4" t="n">
        <f aca="false">-L6*Assumptions!L32/100</f>
        <v>-7481.11741527074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-0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6664.2615</v>
      </c>
      <c r="D19" s="0" t="n">
        <f aca="false">D15+D16+D17+D18</f>
        <v>7125.55272</v>
      </c>
      <c r="E19" s="0" t="n">
        <f aca="false">E15+E16+E17+E18</f>
        <v>7981.4973888</v>
      </c>
      <c r="F19" s="0" t="n">
        <f aca="false">F15+F16+F17+F18</f>
        <v>8894.516746752</v>
      </c>
      <c r="G19" s="0" t="n">
        <f aca="false">G15+G16+G17+G18</f>
        <v>9867.80725751808</v>
      </c>
      <c r="H19" s="0" t="n">
        <f aca="false">H15+H16+H17+H18</f>
        <v>10660.5663912604</v>
      </c>
      <c r="I19" s="0" t="n">
        <f aca="false">I15+I16+I17+I18</f>
        <v>11441.1908391192</v>
      </c>
      <c r="J19" s="0" t="n">
        <f aca="false">J15+J16+J17+J18</f>
        <v>12191.2537184111</v>
      </c>
      <c r="K19" s="0" t="n">
        <f aca="false">K15+K16+K17+K18</f>
        <v>12836.3459757913</v>
      </c>
      <c r="L19" s="0" t="n">
        <f aca="false">L15+L16+L17+L18</f>
        <v>13365.3039976664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6003.83918918919</v>
      </c>
      <c r="D21" s="0" t="n">
        <f aca="false">D19*D20</f>
        <v>5783.25843681519</v>
      </c>
      <c r="E21" s="0" t="n">
        <f aca="false">E19*E20</f>
        <v>5836.0021005666</v>
      </c>
      <c r="F21" s="0" t="n">
        <f aca="false">F19*F20</f>
        <v>5859.09368113696</v>
      </c>
      <c r="G21" s="0" t="n">
        <f aca="false">G19*G20</f>
        <v>5856.06332199999</v>
      </c>
      <c r="H21" s="0" t="n">
        <f aca="false">H19*H20</f>
        <v>5699.57412860351</v>
      </c>
      <c r="I21" s="0" t="n">
        <f aca="false">I19*I20</f>
        <v>5510.74579826857</v>
      </c>
      <c r="J21" s="0" t="n">
        <f aca="false">J19*J20</f>
        <v>5290.10801151033</v>
      </c>
      <c r="K21" s="0" t="n">
        <f aca="false">K19*K20</f>
        <v>5018.04561670658</v>
      </c>
      <c r="L21" s="0" t="n">
        <f aca="false">L19*L20</f>
        <v>4707.05262208043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11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55563.7829068774</v>
      </c>
    </row>
    <row r="31" customFormat="false" ht="15" hidden="false" customHeight="false" outlineLevel="0" collapsed="false">
      <c r="A31" s="0" t="s">
        <v>129</v>
      </c>
      <c r="B31" s="0" t="n">
        <f aca="false">L19</f>
        <v>13365.3039976664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172078.288969955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200479.559964996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172078.288969955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60603.3025092856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116167.085416163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116167.085416163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15.118549691998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-0.00470377274535605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15.118549691998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114718.859313303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9.71233811614702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83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2</v>
      </c>
      <c r="D5" s="4" t="n">
        <f aca="false">Assumptions!D41</f>
        <v>6</v>
      </c>
      <c r="E5" s="4" t="n">
        <f aca="false">Assumptions!E41</f>
        <v>6</v>
      </c>
      <c r="F5" s="4" t="n">
        <f aca="false">Assumptions!F41</f>
        <v>5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58500</v>
      </c>
      <c r="C6" s="0" t="n">
        <f aca="false">B6*(1+C5/100)</f>
        <v>59670</v>
      </c>
      <c r="D6" s="0" t="n">
        <f aca="false">C6*(1+D5/100)</f>
        <v>63250.2</v>
      </c>
      <c r="E6" s="0" t="n">
        <f aca="false">D6*(1+E5/100)</f>
        <v>67045.212</v>
      </c>
      <c r="F6" s="0" t="n">
        <f aca="false">E6*(1+F5/100)</f>
        <v>70397.4726</v>
      </c>
      <c r="G6" s="0" t="n">
        <f aca="false">F6*(1+G5/100)</f>
        <v>73917.34623</v>
      </c>
      <c r="H6" s="0" t="n">
        <f aca="false">G6*(1+H5/100)</f>
        <v>76874.0400792</v>
      </c>
      <c r="I6" s="0" t="n">
        <f aca="false">H6*(1+I5/100)</f>
        <v>79949.001682368</v>
      </c>
      <c r="J6" s="0" t="n">
        <f aca="false">I6*(1+J5/100)</f>
        <v>82747.2167412509</v>
      </c>
      <c r="K6" s="0" t="n">
        <f aca="false">J6*(1+K5/100)</f>
        <v>85643.3693271947</v>
      </c>
      <c r="L6" s="0" t="n">
        <f aca="false">K6*(1+L5/100)</f>
        <v>88640.8872536465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39</v>
      </c>
      <c r="D7" s="4" t="n">
        <f aca="false">Assumptions!D42</f>
        <v>38.5</v>
      </c>
      <c r="E7" s="4" t="n">
        <f aca="false">Assumptions!E42</f>
        <v>38</v>
      </c>
      <c r="F7" s="4" t="n">
        <f aca="false">Assumptions!F42</f>
        <v>38</v>
      </c>
      <c r="G7" s="4" t="n">
        <f aca="false">Assumptions!G42</f>
        <v>38</v>
      </c>
      <c r="H7" s="4" t="n">
        <f aca="false">Assumptions!H42</f>
        <v>38</v>
      </c>
      <c r="I7" s="4" t="n">
        <f aca="false">Assumptions!I42</f>
        <v>38</v>
      </c>
      <c r="J7" s="4" t="n">
        <f aca="false">Assumptions!J42</f>
        <v>38</v>
      </c>
      <c r="K7" s="4" t="n">
        <f aca="false">Assumptions!K42</f>
        <v>38</v>
      </c>
      <c r="L7" s="4" t="n">
        <f aca="false">Assumptions!L42</f>
        <v>38</v>
      </c>
    </row>
    <row r="8" customFormat="false" ht="15" hidden="false" customHeight="false" outlineLevel="0" collapsed="false">
      <c r="A8" s="0" t="s">
        <v>44</v>
      </c>
      <c r="C8" s="0" t="n">
        <f aca="false">C6*C7/100</f>
        <v>23271.3</v>
      </c>
      <c r="D8" s="0" t="n">
        <f aca="false">D6*D7/100</f>
        <v>24351.327</v>
      </c>
      <c r="E8" s="0" t="n">
        <f aca="false">E6*E7/100</f>
        <v>25477.18056</v>
      </c>
      <c r="F8" s="0" t="n">
        <f aca="false">F6*F7/100</f>
        <v>26751.039588</v>
      </c>
      <c r="G8" s="0" t="n">
        <f aca="false">G6*G7/100</f>
        <v>28088.5915674</v>
      </c>
      <c r="H8" s="0" t="n">
        <f aca="false">H6*H7/100</f>
        <v>29212.135230096</v>
      </c>
      <c r="I8" s="0" t="n">
        <f aca="false">I6*I7/100</f>
        <v>30380.6206392999</v>
      </c>
      <c r="J8" s="0" t="n">
        <f aca="false">J6*J7/100</f>
        <v>31443.9423616754</v>
      </c>
      <c r="K8" s="0" t="n">
        <f aca="false">K6*K7/100</f>
        <v>32544.480344334</v>
      </c>
      <c r="L8" s="0" t="n">
        <f aca="false">L6*L7/100</f>
        <v>33683.5371563857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23271.3</v>
      </c>
      <c r="D11" s="0" t="n">
        <f aca="false">D8+D10+D24</f>
        <v>24351.327</v>
      </c>
      <c r="E11" s="0" t="n">
        <f aca="false">E8+E10+E24</f>
        <v>25477.18056</v>
      </c>
      <c r="F11" s="0" t="n">
        <f aca="false">F8+F10+F24</f>
        <v>26751.039588</v>
      </c>
      <c r="G11" s="0" t="n">
        <f aca="false">G8+G10+G24</f>
        <v>28088.5915674</v>
      </c>
      <c r="H11" s="0" t="n">
        <f aca="false">H8+H10+H24</f>
        <v>29212.135230096</v>
      </c>
      <c r="I11" s="0" t="n">
        <f aca="false">I8+I10+I24</f>
        <v>30380.6206392999</v>
      </c>
      <c r="J11" s="0" t="n">
        <f aca="false">J8+J10+J24</f>
        <v>31443.9423616754</v>
      </c>
      <c r="K11" s="0" t="n">
        <f aca="false">K8+K10+K24</f>
        <v>32544.480344334</v>
      </c>
      <c r="L11" s="0" t="n">
        <f aca="false">L8+L10+L24</f>
        <v>33683.5371563857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23271.3</v>
      </c>
      <c r="D13" s="0" t="n">
        <f aca="false">D11+D12</f>
        <v>24351.327</v>
      </c>
      <c r="E13" s="0" t="n">
        <f aca="false">E11+E12</f>
        <v>25477.18056</v>
      </c>
      <c r="F13" s="0" t="n">
        <f aca="false">F11+F12</f>
        <v>26751.039588</v>
      </c>
      <c r="G13" s="0" t="n">
        <f aca="false">G11+G12</f>
        <v>28088.5915674</v>
      </c>
      <c r="H13" s="0" t="n">
        <f aca="false">H11+H12</f>
        <v>29212.135230096</v>
      </c>
      <c r="I13" s="0" t="n">
        <f aca="false">I11+I12</f>
        <v>30380.6206392999</v>
      </c>
      <c r="J13" s="0" t="n">
        <f aca="false">J11+J12</f>
        <v>31443.9423616754</v>
      </c>
      <c r="K13" s="0" t="n">
        <f aca="false">K11+K12</f>
        <v>32544.480344334</v>
      </c>
      <c r="L13" s="0" t="n">
        <f aca="false">L11+L12</f>
        <v>33683.5371563857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19</v>
      </c>
      <c r="D14" s="4" t="n">
        <f aca="false">Assumptions!D47</f>
        <v>19</v>
      </c>
      <c r="E14" s="4" t="n">
        <f aca="false">Assumptions!E47</f>
        <v>19</v>
      </c>
      <c r="F14" s="4" t="n">
        <f aca="false">Assumptions!F47</f>
        <v>19</v>
      </c>
      <c r="G14" s="4" t="n">
        <f aca="false">Assumptions!G47</f>
        <v>19</v>
      </c>
      <c r="H14" s="4" t="n">
        <f aca="false">Assumptions!H47</f>
        <v>19</v>
      </c>
      <c r="I14" s="4" t="n">
        <f aca="false">Assumptions!I47</f>
        <v>19</v>
      </c>
      <c r="J14" s="4" t="n">
        <f aca="false">Assumptions!J47</f>
        <v>19</v>
      </c>
      <c r="K14" s="4" t="n">
        <f aca="false">Assumptions!K47</f>
        <v>19</v>
      </c>
      <c r="L14" s="4" t="n">
        <f aca="false">Assumptions!L47</f>
        <v>19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18849.753</v>
      </c>
      <c r="D15" s="0" t="n">
        <f aca="false">D13-MAX(0,D13)*D14/100</f>
        <v>19724.57487</v>
      </c>
      <c r="E15" s="0" t="n">
        <f aca="false">E13-MAX(0,E13)*E14/100</f>
        <v>20636.5162536</v>
      </c>
      <c r="F15" s="0" t="n">
        <f aca="false">F13-MAX(0,F13)*F14/100</f>
        <v>21668.34206628</v>
      </c>
      <c r="G15" s="0" t="n">
        <f aca="false">G13-MAX(0,G13)*G14/100</f>
        <v>22751.759169594</v>
      </c>
      <c r="H15" s="0" t="n">
        <f aca="false">H13-MAX(0,H13)*H14/100</f>
        <v>23661.8295363778</v>
      </c>
      <c r="I15" s="0" t="n">
        <f aca="false">I13-MAX(0,I13)*I14/100</f>
        <v>24608.3027178329</v>
      </c>
      <c r="J15" s="0" t="n">
        <f aca="false">J13-MAX(0,J13)*J14/100</f>
        <v>25469.593312957</v>
      </c>
      <c r="K15" s="0" t="n">
        <f aca="false">K13-MAX(0,K13)*K14/100</f>
        <v>26361.0290789105</v>
      </c>
      <c r="L15" s="0" t="n">
        <f aca="false">L13-MAX(0,L13)*L14/100</f>
        <v>27283.6650966724</v>
      </c>
    </row>
    <row r="16" customFormat="false" ht="15" hidden="false" customHeight="false" outlineLevel="0" collapsed="false">
      <c r="A16" s="0" t="s">
        <v>120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-9427.86</v>
      </c>
      <c r="D17" s="4" t="n">
        <f aca="false">-D6*Assumptions!D46/100</f>
        <v>-9297.7794</v>
      </c>
      <c r="E17" s="4" t="n">
        <f aca="false">-E6*Assumptions!E46/100</f>
        <v>-9185.194044</v>
      </c>
      <c r="F17" s="4" t="n">
        <f aca="false">-F6*Assumptions!F46/100</f>
        <v>-9010.8764928</v>
      </c>
      <c r="G17" s="4" t="n">
        <f aca="false">-G6*Assumptions!G46/100</f>
        <v>-8796.16420137</v>
      </c>
      <c r="H17" s="4" t="n">
        <f aca="false">-H6*Assumptions!H46/100</f>
        <v>-8686.7665289496</v>
      </c>
      <c r="I17" s="4" t="n">
        <f aca="false">-I6*Assumptions!I46/100</f>
        <v>-8634.49218169575</v>
      </c>
      <c r="J17" s="4" t="n">
        <f aca="false">-J6*Assumptions!J46/100</f>
        <v>-8688.45775783135</v>
      </c>
      <c r="K17" s="4" t="n">
        <f aca="false">-K6*Assumptions!K46/100</f>
        <v>-8821.26704070105</v>
      </c>
      <c r="L17" s="4" t="n">
        <f aca="false">-L6*Assumptions!L46/100</f>
        <v>-8952.7296126183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9421.893</v>
      </c>
      <c r="D19" s="0" t="n">
        <f aca="false">D15+D16+D17+D18</f>
        <v>10426.79547</v>
      </c>
      <c r="E19" s="0" t="n">
        <f aca="false">E15+E16+E17+E18</f>
        <v>11451.3222096</v>
      </c>
      <c r="F19" s="0" t="n">
        <f aca="false">F15+F16+F17+F18</f>
        <v>12657.46557348</v>
      </c>
      <c r="G19" s="0" t="n">
        <f aca="false">G15+G16+G17+G18</f>
        <v>13955.594968224</v>
      </c>
      <c r="H19" s="0" t="n">
        <f aca="false">H15+H16+H17+H18</f>
        <v>14975.0630074282</v>
      </c>
      <c r="I19" s="0" t="n">
        <f aca="false">I15+I16+I17+I18</f>
        <v>15973.8105361371</v>
      </c>
      <c r="J19" s="0" t="n">
        <f aca="false">J15+J16+J17+J18</f>
        <v>16781.1355551257</v>
      </c>
      <c r="K19" s="0" t="n">
        <f aca="false">K15+K16+K17+K18</f>
        <v>17539.7620382095</v>
      </c>
      <c r="L19" s="0" t="n">
        <f aca="false">L15+L16+L17+L18</f>
        <v>18330.9354840541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8488.19189189189</v>
      </c>
      <c r="D21" s="0" t="n">
        <f aca="false">D19*D20</f>
        <v>8462.62111029949</v>
      </c>
      <c r="E21" s="0" t="n">
        <f aca="false">E19*E20</f>
        <v>8373.10810415967</v>
      </c>
      <c r="F21" s="0" t="n">
        <f aca="false">F19*F20</f>
        <v>8337.86462742529</v>
      </c>
      <c r="G21" s="0" t="n">
        <f aca="false">G19*G20</f>
        <v>8281.96636773987</v>
      </c>
      <c r="H21" s="0" t="n">
        <f aca="false">H19*H20</f>
        <v>8006.28020677373</v>
      </c>
      <c r="I21" s="0" t="n">
        <f aca="false">I19*I20</f>
        <v>7693.92019870658</v>
      </c>
      <c r="J21" s="0" t="n">
        <f aca="false">J19*J20</f>
        <v>7281.77935533783</v>
      </c>
      <c r="K21" s="0" t="n">
        <f aca="false">K19*K20</f>
        <v>6856.72746589304</v>
      </c>
      <c r="L21" s="0" t="n">
        <f aca="false">L19*L20</f>
        <v>6455.87095889997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11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78238.3302871274</v>
      </c>
    </row>
    <row r="31" customFormat="false" ht="15" hidden="false" customHeight="false" outlineLevel="0" collapsed="false">
      <c r="A31" s="0" t="s">
        <v>129</v>
      </c>
      <c r="B31" s="0" t="n">
        <f aca="false">L19</f>
        <v>18330.9354840541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252966.909679947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274964.032260812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252966.909679947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89091.0192328196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167329.349519947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167329.349519947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21.7770556658474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0.433644217633139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21.7770556658474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164978.419356487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13.8010960666886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9.21145041382393</v>
      </c>
      <c r="C4" s="0" t="n">
        <f aca="false">B4/Assumptions!$B$2-1</f>
        <v>-0.393584567885192</v>
      </c>
      <c r="D4" s="4" t="n">
        <f aca="false">Assumptions!$B$24</f>
        <v>0.3</v>
      </c>
      <c r="E4" s="4" t="n">
        <f aca="false">DCF_Bear!$B$43</f>
        <v>9.21145041382393</v>
      </c>
      <c r="F4" s="4" t="n">
        <f aca="false">DCF_Bear!$B$47</f>
        <v>5.9989299386305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15.118549691998</v>
      </c>
      <c r="C5" s="0" t="n">
        <f aca="false">B5/Assumptions!$B$2-1</f>
        <v>-0.00470377274535605</v>
      </c>
      <c r="D5" s="4" t="n">
        <f aca="false">Assumptions!$B$38</f>
        <v>0.5</v>
      </c>
      <c r="E5" s="4" t="n">
        <f aca="false">DCF_Base!$B$43</f>
        <v>15.118549691998</v>
      </c>
      <c r="F5" s="4" t="n">
        <f aca="false">DCF_Base!$B$47</f>
        <v>9.71233811614702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21.7770556658474</v>
      </c>
      <c r="C6" s="0" t="n">
        <f aca="false">B6/Assumptions!$B$2-1</f>
        <v>0.433644217633139</v>
      </c>
      <c r="D6" s="4" t="n">
        <f aca="false">Assumptions!$B$52</f>
        <v>0.2</v>
      </c>
      <c r="E6" s="4" t="n">
        <f aca="false">DCF_Bull!$B$43</f>
        <v>21.7770556658474</v>
      </c>
      <c r="F6" s="4" t="n">
        <f aca="false">DCF_Bull!$B$47</f>
        <v>13.8010960666886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14.6781211033157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14.6781211033157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-0.0348735981316228</v>
      </c>
    </row>
    <row r="11" customFormat="false" ht="15" hidden="false" customHeight="false" outlineLevel="0" collapsed="false">
      <c r="A11" s="0" t="s">
        <v>156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9.41606725300038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18.9963813288776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17.4576646898814</v>
      </c>
      <c r="C16" s="3" t="n">
        <v>10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15.118549691998</v>
      </c>
      <c r="C17" s="3" t="n">
        <v>11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13.3066085072674</v>
      </c>
      <c r="C18" s="3" t="n">
        <v>12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9.71233811614702</v>
      </c>
      <c r="C19" s="3" t="n">
        <v>15</v>
      </c>
    </row>
    <row r="21" customFormat="false" ht="15" hidden="false" customHeight="false" outlineLevel="0" collapsed="false">
      <c r="A21" s="2" t="s">
        <v>165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9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18.68148752502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18.9963813288776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18.9963813288776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18.9963813288776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18.9963813288776</v>
      </c>
    </row>
    <row r="24" customFormat="false" ht="15" hidden="false" customHeight="false" outlineLevel="0" collapsed="false">
      <c r="A24" s="3" t="n">
        <v>10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16.140367739494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16.7551063163414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17.4576646898814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17.6492715190287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17.6492715190287</v>
      </c>
    </row>
    <row r="25" customFormat="false" ht="15" hidden="false" customHeight="false" outlineLevel="0" collapsed="false">
      <c r="A25" s="3" t="n">
        <v>11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14.1741266502328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14.6185610228282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15.118549691998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15.6852035170572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16.3328078885533</v>
      </c>
    </row>
    <row r="26" customFormat="false" ht="15" hidden="false" customHeight="false" outlineLevel="0" collapsed="false">
      <c r="A26" s="3" t="n">
        <v>12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12.6096592391411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12.9397931029904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13.3066085072674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13.7165786649887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14.1777950924253</v>
      </c>
    </row>
    <row r="27" customFormat="false" ht="15" hidden="false" customHeight="false" outlineLevel="0" collapsed="false">
      <c r="A27" s="3" t="n">
        <v>13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11.3368556647539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11.5875173231098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11.8632451473014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12.1679969529868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12.5066100704151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2026-10-23T17:22:28Z</dcterms:created>
  <dc:creator>openpyxl</dc:creator>
  <dc:description/>
  <dc:language>en-NZ</dc:language>
  <cp:lastModifiedBy/>
  <dcterms:modified xsi:type="dcterms:W3CDTF">2026-10-23T17:22:28Z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