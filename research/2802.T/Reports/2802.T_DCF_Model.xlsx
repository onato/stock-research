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<sst xmlns="http://schemas.openxmlformats.org/spreadsheetml/2006/main" count="362" uniqueCount="167">
  <si>
    <t xml:space="preserve">Ticker</t>
  </si>
  <si>
    <t xml:space="preserve">2802.T</t>
  </si>
  <si>
    <t xml:space="preserve">Company</t>
  </si>
  <si>
    <t xml:space="preserve">Ajinomoto Co., Inc.</t>
  </si>
  <si>
    <t xml:space="preserve">Valuation date</t>
  </si>
  <si>
    <t xml:space="preserve">2026-10-26</t>
  </si>
  <si>
    <t xml:space="preserve">Current price</t>
  </si>
  <si>
    <t xml:space="preserve">Price as of</t>
  </si>
  <si>
    <t xml:space="preserve">2026-10-26T05:10:56Z (intraday TSE print, 14:10 JST; regular close 06:30Z -- refresh_price.py replaces it after the DCF JSON exists)</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</si>
  <si>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</si>
  <si>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</si>
  <si>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</si>
  <si>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</si>
  <si>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</si>
  <si>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</si>
  <si>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</si>
  <si>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</si>
  <si>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</si>
  <si>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</si>
  <si>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</si>
  <si>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</si>
  <si>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2026-10-26T05:31:45Z</t>
  </si>
  <si>
    <t xml:space="preserve">Drivers file</t>
  </si>
  <si>
    <t xml:space="preserve">2802.T_Drivers.json</t>
  </si>
  <si>
    <t xml:space="preserve">Convention</t>
  </si>
  <si>
    <t xml:space="preserve">Percents stored as percents; formulas divide by 100. Blue = input, green = link, black = formula.</t>
  </si>
  <si>
    <t xml:space="preserve">Methodology</t>
  </si>
  <si>
    <t xml:space="preserve">summary: Ajinomoto is valued as a single owner-FCF stream: a defensive seasonings franchise funding a cyclical, high-margin ABF electronic-materials business and an unproven CDMO. Business profit is normalised for the recurring below-the-line charges management itself budgets, the FY2026 head-office gain is excluded, leases are charged as operating cost, and minority leakage is in the tax driver. The gap between the DCF and the market price is the price the market is paying for the AI/ABF growth optionality and the buyback programme; a 15% hurdle entry price sits far below both.
key_risks_to_valuation: Semiconductor packaging (ABF) cycle: the FY2027 guidance raises are entirely attributable to Healthcare and Others; a capex downturn removes the growth kicker (bear case); FX: 64% of sales overseas; guidance built on USD/JPY 150, a 10% yen appreciation is roughly -6% on group sales and more on profit; Normalised other operating charges: the model assumes ~1.2% of revenue; FY2025 ran at ~3% (impairments, Althea sale) and a return to that level is worth ~2pp of EBITDA margin; Capex intensity: 6.3% assumed to fade to 5.5%; if ABF/CDMO capacity needs keep it at 6.5%+, owner FCF margin falls ~1pp; Working-capital reversal: FY2026 OCF carried a ~34bn payables inflow that the FY2027 Q1 (OCF 18.4bn, inventories +31bn) has already partly given back; Terminal value is ~65-70% of EV at a 7% JPY WACC; each 1pp of WACC moves the base value roughly 20%</t>
  </si>
  <si>
    <t xml:space="preserve">Data sources</t>
  </si>
  <si>
    <t xml:space="preserve">price: Yahoo Finance chart API (query1.finance.yahoo.com v8 chart, 2802.T) at inputs.price_as_of; 52-week range 3,270-6,340; refreshed by scripts/refresh_price.py after build
financials: 2802.T_Metrics.csv / core_metrics (IFRS, JPY millions, post-split); FY2026 Securities Report (Yuho) and Tanshin for balance sheet, cash flow, lease and tax notes; Q1 FY2027 Tanshin (2026-08-06) for the 2026-06-30 balance sheet, share count and revised FY2027 guidance
qualitative: 2802.T_Analysis.json (2026-10-26): segment mix, ABF moat, FX exposure, FY2026 one-off, FY2027 guidance raise</t>
  </si>
  <si>
    <t xml:space="preserve">Scenario narrative: bear</t>
  </si>
  <si>
    <t xml:space="preserve">A semiconductor capex downturn in FY2028 removes the driver behind the recent guidance raises while a stronger yen reverses translation gains; North America Frozen Foods remains structurally weak and other operating charges (impairments, restructuring) stay at the FY2025-26 level rather than falling to guidance. Revenue dips in FY2028 and recovers slowly; EBITDA margin settles at 15.0%; terminal multiple capped at 16x FCF.</t>
  </si>
  <si>
    <t xml:space="preserve">Scenario narrative: base</t>
  </si>
  <si>
    <t xml:space="preserve">Seasonings and Foods compounds mid-single-digit in Asia/Africa/LatAm with pricing offsetting raw-material inflation; Healthcare and Others grows faster on ABF (AI/server substrates) and amino acids, lifting group EBITDA margin from 16.0% to 17.0% by FY2031; Frozen Foods flat. FY2027 follows the raised August 2026 guidance (sales 1,732bn, BP 202bn, attributable 123.5bn). Growth fades to 2.5% by FY2035; capex intensity normalises from 6.3% to 5.5% as the ABF/CDMO build-out completes. No FX tailwind after FY2027.</t>
  </si>
  <si>
    <t xml:space="preserve">Scenario narrative: bull</t>
  </si>
  <si>
    <t xml:space="preserve">The AI packaging-substrate cycle runs for several more years with ABF a near-monopoly input, Forge Biologics CDMO turns profitable and scales, and the ASV 2030 roadmap's ROIC and EPS targets are met: revenue CAGR ~7% to FY2030, EBITDA margin 18.5%, terminal growth 2.5%.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</si>
  <si>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</si>
  <si>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</si>
  <si>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</si>
  <si>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</si>
  <si>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</si>
  <si>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</si>
  <si>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</si>
  <si>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</si>
  <si>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</si>
  <si>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</si>
  <si>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</si>
  <si>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</si>
  <si>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</si>
  <si>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</si>
  <si>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</si>
  <si>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</si>
  <si>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</si>
  <si>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</si>
  <si>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</si>
  <si>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</si>
  <si>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</si>
  <si>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</si>
  <si>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</si>
  <si>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</si>
  <si>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</si>
  <si>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</si>
  <si>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</si>
  <si>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BusinessProfit</t>
  </si>
  <si>
    <t xml:space="preserve">SegmentRevenueOther</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</si>
  <si>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</si>
  <si>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</si>
  <si>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</si>
  <si>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</si>
  <si>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</si>
  <si>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</si>
  <si>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</si>
  <si>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</si>
  <si>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</si>
  <si>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</si>
  <si>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</si>
  <si>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</si>
  <si>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</si>
  <si>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</si>
  <si>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</si>
  <si>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</si>
  <si>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</si>
  <si>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</si>
  <si>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</si>
  <si>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</si>
  <si>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</si>
  <si>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</si>
  <si>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</si>
  <si>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</si>
  <si>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</si>
  <si>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</si>
  <si>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</si>
  <si>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</si>
  <si>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</si>
  <si>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</si>
  <si>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</si>
  <si>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</si>
  <si>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</si>
  <si>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</si>
  <si>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</si>
  <si>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</si>
  <si>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</si>
  <si>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</si>
  <si>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</si>
  <si>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</si>
  <si>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</si>
  <si>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</si>
  <si>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</si>
  <si>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</si>
  <si>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</si>
  <si>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</si>
  <si>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</si>
  <si>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2802.T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</si>
  <si>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</si>
  <si>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</si>
  <si>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</si>
  <si>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</si>
  <si>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</si>
  <si>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</si>
  <si>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</si>
  <si>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</si>
  <si>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</si>
  <si>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</si>
  <si>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</si>
  <si>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</si>
  <si>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</si>
  <si>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</si>
  <si>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</si>
  <si>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</si>
  <si>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</si>
  <si>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</si>
  <si>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</si>
  <si>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</si>
  <si>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</si>
  <si>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</si>
  <si>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</si>
  <si>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</si>
  <si>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</si>
  <si>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</si>
  <si>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</si>
  <si>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</si>
  <si>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</si>
  <si>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</si>
  <si>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2802.T owner-FCF component DCF: base case (millions, JPY)</t>
  </si>
  <si>
    <t xml:space="preserve">2802.T owner-FCF component DCF: bull case (millions, JPY)</t>
  </si>
  <si>
    <t xml:space="preserve">2802.T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</si>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</sst>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5012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1091195</v>
      </c>
      <c r="C2" s="0" t="n">
        <v>704177</v>
      </c>
      <c r="D2" s="0" t="n">
        <v>387018</v>
      </c>
      <c r="E2" s="0" t="n">
        <v>35.5</v>
      </c>
      <c r="F2" s="0" t="n">
        <v>83617</v>
      </c>
      <c r="G2" s="0" t="n">
        <v>7.7</v>
      </c>
      <c r="I2" s="0" t="n">
        <v>53065</v>
      </c>
      <c r="J2" s="0" t="n">
        <v>4.9</v>
      </c>
      <c r="K2" s="0" t="n">
        <v>46.41</v>
      </c>
      <c r="L2" s="0" t="n">
        <v>108907</v>
      </c>
      <c r="M2" s="0" t="n">
        <v>86193</v>
      </c>
      <c r="N2" s="0" t="n">
        <v>22714</v>
      </c>
      <c r="O2" s="0" t="n">
        <v>616315</v>
      </c>
      <c r="P2" s="0" t="n">
        <v>1350105</v>
      </c>
      <c r="Q2" s="0" t="n">
        <v>659431</v>
      </c>
      <c r="R2" s="0" t="n">
        <v>334046</v>
      </c>
      <c r="S2" s="0" t="n">
        <v>186003</v>
      </c>
      <c r="T2" s="0" t="n">
        <v>1143.558</v>
      </c>
      <c r="AA2" s="0" t="s">
        <v>17</v>
      </c>
      <c r="AB2" s="0" t="s">
        <v>14</v>
      </c>
      <c r="AC2" s="0" t="n">
        <v>96852</v>
      </c>
    </row>
    <row r="3" customFormat="false" ht="15" hidden="false" customHeight="false" outlineLevel="0" collapsed="false">
      <c r="A3" s="0" t="s">
        <v>66</v>
      </c>
      <c r="B3" s="0" t="n">
        <v>1150209</v>
      </c>
      <c r="C3" s="0" t="n">
        <v>752779</v>
      </c>
      <c r="D3" s="0" t="n">
        <v>397430</v>
      </c>
      <c r="E3" s="0" t="n">
        <v>34.6</v>
      </c>
      <c r="F3" s="0" t="n">
        <v>83320</v>
      </c>
      <c r="G3" s="0" t="n">
        <v>7.2</v>
      </c>
      <c r="I3" s="0" t="n">
        <v>60741</v>
      </c>
      <c r="J3" s="0" t="n">
        <v>5.3</v>
      </c>
      <c r="K3" s="0" t="n">
        <v>53.42</v>
      </c>
      <c r="L3" s="0" t="n">
        <v>126655</v>
      </c>
      <c r="M3" s="0" t="n">
        <v>77966</v>
      </c>
      <c r="N3" s="0" t="n">
        <v>48689</v>
      </c>
      <c r="O3" s="0" t="n">
        <v>641445</v>
      </c>
      <c r="P3" s="0" t="n">
        <v>1425859</v>
      </c>
      <c r="Q3" s="0" t="n">
        <v>705312</v>
      </c>
      <c r="R3" s="0" t="n">
        <v>336276</v>
      </c>
      <c r="S3" s="0" t="n">
        <v>187869</v>
      </c>
      <c r="T3" s="0" t="n">
        <v>1137.025</v>
      </c>
      <c r="U3" s="0" t="n">
        <v>407</v>
      </c>
      <c r="AA3" s="0" t="s">
        <v>17</v>
      </c>
      <c r="AB3" s="0" t="s">
        <v>14</v>
      </c>
      <c r="AC3" s="0" t="n">
        <v>97322</v>
      </c>
      <c r="AD3" s="0" t="n">
        <v>62744</v>
      </c>
    </row>
    <row r="4" customFormat="false" ht="15" hidden="false" customHeight="false" outlineLevel="0" collapsed="false">
      <c r="A4" s="0" t="s">
        <v>67</v>
      </c>
      <c r="B4" s="0" t="n">
        <v>1127483</v>
      </c>
      <c r="C4" s="0" t="n">
        <v>731904</v>
      </c>
      <c r="D4" s="0" t="n">
        <v>395578</v>
      </c>
      <c r="E4" s="0" t="n">
        <v>35.1</v>
      </c>
      <c r="F4" s="0" t="n">
        <v>53149</v>
      </c>
      <c r="G4" s="0" t="n">
        <v>4.7</v>
      </c>
      <c r="I4" s="0" t="n">
        <v>29698</v>
      </c>
      <c r="J4" s="0" t="n">
        <v>2.6</v>
      </c>
      <c r="K4" s="0" t="n">
        <v>24.62</v>
      </c>
      <c r="L4" s="0" t="n">
        <v>123256</v>
      </c>
      <c r="M4" s="0" t="n">
        <v>80007</v>
      </c>
      <c r="N4" s="0" t="n">
        <v>43249</v>
      </c>
      <c r="O4" s="0" t="n">
        <v>610543</v>
      </c>
      <c r="P4" s="0" t="n">
        <v>1393869</v>
      </c>
      <c r="Q4" s="0" t="n">
        <v>707909</v>
      </c>
      <c r="R4" s="0" t="n">
        <v>330714</v>
      </c>
      <c r="S4" s="0" t="n">
        <v>153725</v>
      </c>
      <c r="T4" s="0" t="n">
        <v>1107.816</v>
      </c>
      <c r="U4" s="0" t="n">
        <v>225</v>
      </c>
      <c r="AA4" s="0" t="s">
        <v>17</v>
      </c>
      <c r="AB4" s="0" t="s">
        <v>14</v>
      </c>
      <c r="AC4" s="0" t="n">
        <v>92635</v>
      </c>
      <c r="AD4" s="0" t="n">
        <v>27458</v>
      </c>
    </row>
    <row r="5" customFormat="false" ht="15" hidden="false" customHeight="false" outlineLevel="0" collapsed="false">
      <c r="A5" s="0" t="s">
        <v>68</v>
      </c>
      <c r="B5" s="0" t="n">
        <v>1100039</v>
      </c>
      <c r="C5" s="0" t="n">
        <v>696166</v>
      </c>
      <c r="D5" s="0" t="n">
        <v>403873</v>
      </c>
      <c r="E5" s="0" t="n">
        <v>36.7</v>
      </c>
      <c r="F5" s="0" t="n">
        <v>48773</v>
      </c>
      <c r="G5" s="0" t="n">
        <v>4.4</v>
      </c>
      <c r="I5" s="0" t="n">
        <v>18837</v>
      </c>
      <c r="J5" s="0" t="n">
        <v>1.7</v>
      </c>
      <c r="K5" s="0" t="n">
        <v>17</v>
      </c>
      <c r="L5" s="0" t="n">
        <v>114856</v>
      </c>
      <c r="M5" s="0" t="n">
        <v>82041</v>
      </c>
      <c r="N5" s="0" t="n">
        <v>32815</v>
      </c>
      <c r="O5" s="0" t="n">
        <v>538975</v>
      </c>
      <c r="P5" s="0" t="n">
        <v>1353616</v>
      </c>
      <c r="Q5" s="0" t="n">
        <v>761545</v>
      </c>
      <c r="R5" s="0" t="n">
        <v>356914</v>
      </c>
      <c r="S5" s="0" t="n">
        <v>141701</v>
      </c>
      <c r="T5" s="0" t="n">
        <v>1096.29</v>
      </c>
      <c r="U5" s="0" t="n">
        <v>350</v>
      </c>
      <c r="AA5" s="0" t="s">
        <v>17</v>
      </c>
      <c r="AB5" s="0" t="s">
        <v>14</v>
      </c>
      <c r="AC5" s="0" t="n">
        <v>99236</v>
      </c>
      <c r="AD5" s="0" t="n">
        <v>15389</v>
      </c>
    </row>
    <row r="6" customFormat="false" ht="15" hidden="false" customHeight="false" outlineLevel="0" collapsed="false">
      <c r="A6" s="0" t="s">
        <v>69</v>
      </c>
      <c r="B6" s="0" t="n">
        <v>1071453</v>
      </c>
      <c r="C6" s="0" t="n">
        <v>665234</v>
      </c>
      <c r="D6" s="0" t="n">
        <v>406219</v>
      </c>
      <c r="E6" s="0" t="n">
        <v>37.9</v>
      </c>
      <c r="F6" s="0" t="n">
        <v>101121</v>
      </c>
      <c r="G6" s="0" t="n">
        <v>9.4</v>
      </c>
      <c r="I6" s="0" t="n">
        <v>59416</v>
      </c>
      <c r="J6" s="0" t="n">
        <v>5.5</v>
      </c>
      <c r="K6" s="0" t="n">
        <v>54.16</v>
      </c>
      <c r="L6" s="0" t="n">
        <v>165650</v>
      </c>
      <c r="M6" s="0" t="n">
        <v>86037</v>
      </c>
      <c r="N6" s="0" t="n">
        <v>79613</v>
      </c>
      <c r="O6" s="0" t="n">
        <v>620257</v>
      </c>
      <c r="P6" s="0" t="n">
        <v>1431289</v>
      </c>
      <c r="Q6" s="0" t="n">
        <v>763443</v>
      </c>
      <c r="R6" s="0" t="n">
        <v>350424</v>
      </c>
      <c r="S6" s="0" t="n">
        <v>181609</v>
      </c>
      <c r="T6" s="0" t="n">
        <v>1096.69</v>
      </c>
      <c r="U6" s="0" t="n">
        <v>259</v>
      </c>
      <c r="AA6" s="0" t="s">
        <v>17</v>
      </c>
      <c r="AB6" s="0" t="s">
        <v>14</v>
      </c>
      <c r="AC6" s="0" t="n">
        <v>113136</v>
      </c>
      <c r="AD6" s="0" t="n">
        <v>13173</v>
      </c>
    </row>
    <row r="7" customFormat="false" ht="15" hidden="false" customHeight="false" outlineLevel="0" collapsed="false">
      <c r="A7" s="0" t="s">
        <v>70</v>
      </c>
      <c r="B7" s="0" t="n">
        <v>1149370</v>
      </c>
      <c r="C7" s="0" t="n">
        <v>723472</v>
      </c>
      <c r="D7" s="0" t="n">
        <v>425897</v>
      </c>
      <c r="E7" s="0" t="n">
        <v>37.1</v>
      </c>
      <c r="F7" s="0" t="n">
        <v>124572</v>
      </c>
      <c r="G7" s="0" t="n">
        <v>10.8</v>
      </c>
      <c r="I7" s="0" t="n">
        <v>75725</v>
      </c>
      <c r="J7" s="0" t="n">
        <v>6.6</v>
      </c>
      <c r="K7" s="0" t="n">
        <v>69.71</v>
      </c>
      <c r="L7" s="0" t="n">
        <v>145576</v>
      </c>
      <c r="M7" s="0" t="n">
        <v>80719</v>
      </c>
      <c r="N7" s="0" t="n">
        <v>64857</v>
      </c>
      <c r="O7" s="0" t="n">
        <v>686909</v>
      </c>
      <c r="P7" s="0" t="n">
        <v>1457060</v>
      </c>
      <c r="Q7" s="0" t="n">
        <v>717316</v>
      </c>
      <c r="R7" s="0" t="n">
        <v>313908</v>
      </c>
      <c r="S7" s="0" t="n">
        <v>151454</v>
      </c>
      <c r="T7" s="0" t="n">
        <v>1086.264</v>
      </c>
      <c r="U7" s="0" t="n">
        <v>183</v>
      </c>
      <c r="AA7" s="0" t="s">
        <v>17</v>
      </c>
      <c r="AB7" s="0" t="s">
        <v>14</v>
      </c>
      <c r="AC7" s="0" t="n">
        <v>120915</v>
      </c>
      <c r="AD7" s="0" t="n">
        <v>12171</v>
      </c>
    </row>
    <row r="8" customFormat="false" ht="15" hidden="false" customHeight="false" outlineLevel="0" collapsed="false">
      <c r="A8" s="0" t="s">
        <v>71</v>
      </c>
      <c r="B8" s="0" t="n">
        <v>1359115</v>
      </c>
      <c r="C8" s="0" t="n">
        <v>888727</v>
      </c>
      <c r="D8" s="0" t="n">
        <v>470387</v>
      </c>
      <c r="E8" s="0" t="n">
        <v>34.6</v>
      </c>
      <c r="F8" s="0" t="n">
        <v>148928</v>
      </c>
      <c r="G8" s="0" t="n">
        <v>11</v>
      </c>
      <c r="I8" s="0" t="n">
        <v>94065</v>
      </c>
      <c r="J8" s="0" t="n">
        <v>6.9</v>
      </c>
      <c r="K8" s="0" t="n">
        <v>87.98</v>
      </c>
      <c r="L8" s="0" t="n">
        <v>117640</v>
      </c>
      <c r="M8" s="0" t="n">
        <v>73046</v>
      </c>
      <c r="N8" s="0" t="n">
        <v>44594</v>
      </c>
      <c r="O8" s="0" t="n">
        <v>768676</v>
      </c>
      <c r="P8" s="0" t="n">
        <v>1511734</v>
      </c>
      <c r="Q8" s="0" t="n">
        <v>688765</v>
      </c>
      <c r="R8" s="0" t="n">
        <v>288564</v>
      </c>
      <c r="S8" s="0" t="n">
        <v>132777</v>
      </c>
      <c r="T8" s="0" t="n">
        <v>1069.082</v>
      </c>
      <c r="U8" s="0" t="n">
        <v>269</v>
      </c>
      <c r="AA8" s="0" t="s">
        <v>17</v>
      </c>
      <c r="AB8" s="0" t="s">
        <v>14</v>
      </c>
      <c r="AC8" s="0" t="n">
        <v>135341</v>
      </c>
      <c r="AD8" s="0" t="n">
        <v>17185</v>
      </c>
    </row>
    <row r="9" customFormat="false" ht="15" hidden="false" customHeight="false" outlineLevel="0" collapsed="false">
      <c r="A9" s="0" t="s">
        <v>72</v>
      </c>
      <c r="B9" s="0" t="n">
        <v>1439231</v>
      </c>
      <c r="C9" s="0" t="n">
        <v>927783</v>
      </c>
      <c r="D9" s="0" t="n">
        <v>511448</v>
      </c>
      <c r="E9" s="0" t="n">
        <v>35.5</v>
      </c>
      <c r="F9" s="0" t="n">
        <v>146682</v>
      </c>
      <c r="G9" s="0" t="n">
        <v>10.2</v>
      </c>
      <c r="I9" s="0" t="n">
        <v>87121</v>
      </c>
      <c r="J9" s="0" t="n">
        <v>6.1</v>
      </c>
      <c r="K9" s="0" t="n">
        <v>83.7</v>
      </c>
      <c r="L9" s="0" t="n">
        <v>168074</v>
      </c>
      <c r="M9" s="0" t="n">
        <v>72022</v>
      </c>
      <c r="N9" s="0" t="n">
        <v>96052</v>
      </c>
      <c r="O9" s="0" t="n">
        <v>814690</v>
      </c>
      <c r="P9" s="0" t="n">
        <v>1774495</v>
      </c>
      <c r="Q9" s="0" t="n">
        <v>890431</v>
      </c>
      <c r="R9" s="0" t="n">
        <v>442494</v>
      </c>
      <c r="S9" s="0" t="n">
        <v>171537</v>
      </c>
      <c r="T9" s="0" t="n">
        <v>1040.657</v>
      </c>
      <c r="U9" s="0" t="n">
        <v>414</v>
      </c>
      <c r="AA9" s="0" t="s">
        <v>17</v>
      </c>
      <c r="AB9" s="0" t="s">
        <v>14</v>
      </c>
      <c r="AC9" s="0" t="n">
        <v>147681</v>
      </c>
      <c r="AD9" s="0" t="n">
        <v>15819</v>
      </c>
    </row>
    <row r="10" customFormat="false" ht="15" hidden="false" customHeight="false" outlineLevel="0" collapsed="false">
      <c r="A10" s="0" t="s">
        <v>73</v>
      </c>
      <c r="B10" s="0" t="n">
        <v>1530556</v>
      </c>
      <c r="C10" s="0" t="n">
        <v>979792</v>
      </c>
      <c r="D10" s="0" t="n">
        <v>550764</v>
      </c>
      <c r="E10" s="0" t="n">
        <v>36</v>
      </c>
      <c r="F10" s="0" t="n">
        <v>113968</v>
      </c>
      <c r="G10" s="0" t="n">
        <v>7.4</v>
      </c>
      <c r="I10" s="0" t="n">
        <v>70272</v>
      </c>
      <c r="J10" s="0" t="n">
        <v>4.6</v>
      </c>
      <c r="K10" s="0" t="n">
        <v>69.77</v>
      </c>
      <c r="L10" s="0" t="n">
        <v>209898</v>
      </c>
      <c r="M10" s="0" t="n">
        <v>95090</v>
      </c>
      <c r="N10" s="0" t="n">
        <v>114808</v>
      </c>
      <c r="O10" s="0" t="n">
        <v>746804</v>
      </c>
      <c r="P10" s="0" t="n">
        <v>1721131</v>
      </c>
      <c r="Q10" s="0" t="n">
        <v>907858</v>
      </c>
      <c r="R10" s="0" t="n">
        <v>455353</v>
      </c>
      <c r="S10" s="0" t="n">
        <v>164776</v>
      </c>
      <c r="T10" s="0" t="n">
        <v>1007.204</v>
      </c>
      <c r="U10" s="0" t="n">
        <v>330</v>
      </c>
      <c r="AA10" s="0" t="s">
        <v>17</v>
      </c>
      <c r="AB10" s="0" t="s">
        <v>14</v>
      </c>
      <c r="AC10" s="0" t="n">
        <v>159302</v>
      </c>
      <c r="AD10" s="0" t="n">
        <v>16758</v>
      </c>
    </row>
    <row r="11" customFormat="false" ht="15" hidden="false" customHeight="false" outlineLevel="0" collapsed="false">
      <c r="A11" s="0" t="s">
        <v>74</v>
      </c>
      <c r="B11" s="0" t="n">
        <v>1583719</v>
      </c>
      <c r="C11" s="0" t="n">
        <v>986570</v>
      </c>
      <c r="D11" s="0" t="n">
        <v>597148</v>
      </c>
      <c r="E11" s="0" t="n">
        <v>37.7</v>
      </c>
      <c r="F11" s="0" t="n">
        <v>199412</v>
      </c>
      <c r="G11" s="0" t="n">
        <v>12.6</v>
      </c>
      <c r="I11" s="0" t="n">
        <v>134675</v>
      </c>
      <c r="J11" s="0" t="n">
        <v>8.5</v>
      </c>
      <c r="K11" s="0" t="n">
        <v>138.36</v>
      </c>
      <c r="L11" s="0" t="n">
        <v>239351</v>
      </c>
      <c r="M11" s="0" t="n">
        <v>104550</v>
      </c>
      <c r="N11" s="0" t="n">
        <v>134801</v>
      </c>
      <c r="O11" s="0" t="n">
        <v>770819</v>
      </c>
      <c r="P11" s="0" t="n">
        <v>1812346</v>
      </c>
      <c r="Q11" s="0" t="n">
        <v>968070</v>
      </c>
      <c r="R11" s="0" t="n">
        <v>421355</v>
      </c>
      <c r="S11" s="0" t="n">
        <v>106693</v>
      </c>
      <c r="T11" s="0" t="n">
        <v>973.367</v>
      </c>
      <c r="U11" s="0" t="n">
        <v>251</v>
      </c>
      <c r="AA11" s="0" t="s">
        <v>17</v>
      </c>
      <c r="AB11" s="0" t="s">
        <v>14</v>
      </c>
      <c r="AC11" s="0" t="n">
        <v>181163</v>
      </c>
      <c r="AD11" s="0" t="n">
        <v>14979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5012</v>
      </c>
    </row>
    <row r="3" customFormat="false" ht="15" hidden="false" customHeight="false" outlineLevel="0" collapsed="false">
      <c r="A3" s="0" t="s">
        <v>78</v>
      </c>
      <c r="B3" s="3" t="n">
        <v>954.562</v>
      </c>
    </row>
    <row r="4" customFormat="false" ht="15" hidden="false" customHeight="false" outlineLevel="0" collapsed="false">
      <c r="A4" s="0" t="s">
        <v>79</v>
      </c>
      <c r="B4" s="3" t="n">
        <v>364940</v>
      </c>
    </row>
    <row r="5" customFormat="false" ht="15" hidden="false" customHeight="false" outlineLevel="0" collapsed="false">
      <c r="A5" s="0" t="s">
        <v>80</v>
      </c>
      <c r="B5" s="3" t="n">
        <v>87435</v>
      </c>
    </row>
    <row r="6" customFormat="false" ht="15" hidden="false" customHeight="false" outlineLevel="0" collapsed="false">
      <c r="A6" s="0" t="s">
        <v>81</v>
      </c>
      <c r="B6" s="3" t="n">
        <v>15</v>
      </c>
    </row>
    <row r="7" customFormat="false" ht="15" hidden="false" customHeight="false" outlineLevel="0" collapsed="false">
      <c r="A7" s="0" t="s">
        <v>82</v>
      </c>
      <c r="B7" s="3" t="n">
        <v>1583719</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7</v>
      </c>
      <c r="D13" s="3" t="n">
        <v>-1</v>
      </c>
      <c r="E13" s="3" t="n">
        <v>1.5</v>
      </c>
      <c r="F13" s="3" t="n">
        <v>2.5</v>
      </c>
      <c r="G13" s="3" t="n">
        <v>3</v>
      </c>
      <c r="H13" s="3" t="n">
        <v>3</v>
      </c>
      <c r="I13" s="3" t="n">
        <v>2.5</v>
      </c>
      <c r="J13" s="3" t="n">
        <v>2.5</v>
      </c>
      <c r="K13" s="3" t="n">
        <v>2</v>
      </c>
      <c r="L13" s="3" t="n">
        <v>2</v>
      </c>
    </row>
    <row r="14" customFormat="false" ht="15" hidden="false" customHeight="false" outlineLevel="0" collapsed="false">
      <c r="A14" s="0" t="s">
        <v>99</v>
      </c>
      <c r="C14" s="3" t="n">
        <v>15.4</v>
      </c>
      <c r="D14" s="3" t="n">
        <v>14.3</v>
      </c>
      <c r="E14" s="3" t="n">
        <v>14.5</v>
      </c>
      <c r="F14" s="3" t="n">
        <v>14.8</v>
      </c>
      <c r="G14" s="3" t="n">
        <v>15</v>
      </c>
      <c r="H14" s="3" t="n">
        <v>15</v>
      </c>
      <c r="I14" s="3" t="n">
        <v>15</v>
      </c>
      <c r="J14" s="3" t="n">
        <v>15</v>
      </c>
      <c r="K14" s="3" t="n">
        <v>15</v>
      </c>
      <c r="L14" s="3" t="n">
        <v>15</v>
      </c>
    </row>
    <row r="15" customFormat="false" ht="15" hidden="false" customHeight="false" outlineLevel="0" collapsed="false">
      <c r="A15" s="0" t="s">
        <v>100</v>
      </c>
      <c r="C15" s="3" t="n">
        <v>0.02</v>
      </c>
      <c r="D15" s="3" t="n">
        <v>0.02</v>
      </c>
      <c r="E15" s="3" t="n">
        <v>0.02</v>
      </c>
      <c r="F15" s="3" t="n">
        <v>0.02</v>
      </c>
      <c r="G15" s="3" t="n">
        <v>0.02</v>
      </c>
      <c r="H15" s="3" t="n">
        <v>0.02</v>
      </c>
      <c r="I15" s="3" t="n">
        <v>0.02</v>
      </c>
      <c r="J15" s="3" t="n">
        <v>0.02</v>
      </c>
      <c r="K15" s="3" t="n">
        <v>0.02</v>
      </c>
      <c r="L15" s="3" t="n">
        <v>0.02</v>
      </c>
    </row>
    <row r="16" customFormat="false" ht="15" hidden="false" customHeight="false" outlineLevel="0" collapsed="false">
      <c r="A16" s="0" t="s">
        <v>101</v>
      </c>
      <c r="C16" s="3" t="n">
        <v>0.85</v>
      </c>
      <c r="D16" s="3" t="n">
        <v>0.85</v>
      </c>
      <c r="E16" s="3" t="n">
        <v>0.85</v>
      </c>
      <c r="F16" s="3" t="n">
        <v>0.85</v>
      </c>
      <c r="G16" s="3" t="n">
        <v>0.85</v>
      </c>
      <c r="H16" s="3" t="n">
        <v>0.85</v>
      </c>
      <c r="I16" s="3" t="n">
        <v>0.85</v>
      </c>
      <c r="J16" s="3" t="n">
        <v>0.85</v>
      </c>
      <c r="K16" s="3" t="n">
        <v>0.85</v>
      </c>
      <c r="L16" s="3" t="n">
        <v>0.85</v>
      </c>
    </row>
    <row r="17" customFormat="false" ht="15" hidden="false" customHeight="false" outlineLevel="0" collapsed="false">
      <c r="A17" s="0" t="s">
        <v>102</v>
      </c>
      <c r="C17" s="3" t="n">
        <v>5</v>
      </c>
      <c r="D17" s="3" t="n">
        <v>5.3</v>
      </c>
      <c r="E17" s="3" t="n">
        <v>5.4</v>
      </c>
      <c r="F17" s="3" t="n">
        <v>5.4</v>
      </c>
      <c r="G17" s="3" t="n">
        <v>5.4</v>
      </c>
      <c r="H17" s="3" t="n">
        <v>5.4</v>
      </c>
      <c r="I17" s="3" t="n">
        <v>5.4</v>
      </c>
      <c r="J17" s="3" t="n">
        <v>5.4</v>
      </c>
      <c r="K17" s="3" t="n">
        <v>5.4</v>
      </c>
      <c r="L17" s="3" t="n">
        <v>5.4</v>
      </c>
    </row>
    <row r="18" customFormat="false" ht="15" hidden="false" customHeight="false" outlineLevel="0" collapsed="false">
      <c r="A18" s="0" t="s">
        <v>103</v>
      </c>
      <c r="C18" s="3" t="n">
        <v>6.3</v>
      </c>
      <c r="D18" s="3" t="n">
        <v>6</v>
      </c>
      <c r="E18" s="3" t="n">
        <v>5.8</v>
      </c>
      <c r="F18" s="3" t="n">
        <v>5.7</v>
      </c>
      <c r="G18" s="3" t="n">
        <v>5.6</v>
      </c>
      <c r="H18" s="3" t="n">
        <v>5.6</v>
      </c>
      <c r="I18" s="3" t="n">
        <v>5.5</v>
      </c>
      <c r="J18" s="3" t="n">
        <v>5.5</v>
      </c>
      <c r="K18" s="3" t="n">
        <v>5.5</v>
      </c>
      <c r="L18" s="3" t="n">
        <v>5.5</v>
      </c>
    </row>
    <row r="19" customFormat="false" ht="15" hidden="false" customHeight="false" outlineLevel="0" collapsed="false">
      <c r="A19" s="0" t="s">
        <v>104</v>
      </c>
      <c r="C19" s="3" t="n">
        <v>32</v>
      </c>
      <c r="D19" s="3" t="n">
        <v>32</v>
      </c>
      <c r="E19" s="3" t="n">
        <v>32</v>
      </c>
      <c r="F19" s="3" t="n">
        <v>32</v>
      </c>
      <c r="G19" s="3" t="n">
        <v>32</v>
      </c>
      <c r="H19" s="3" t="n">
        <v>32</v>
      </c>
      <c r="I19" s="3" t="n">
        <v>32</v>
      </c>
      <c r="J19" s="3" t="n">
        <v>32</v>
      </c>
      <c r="K19" s="3" t="n">
        <v>32</v>
      </c>
      <c r="L19" s="3" t="n">
        <v>32</v>
      </c>
    </row>
    <row r="20" customFormat="false" ht="15" hidden="false" customHeight="false" outlineLevel="0" collapsed="false">
      <c r="A20" s="0" t="s">
        <v>105</v>
      </c>
      <c r="B20" s="3" t="n">
        <v>7</v>
      </c>
    </row>
    <row r="21" customFormat="false" ht="15" hidden="false" customHeight="false" outlineLevel="0" collapsed="false">
      <c r="A21" s="0" t="s">
        <v>106</v>
      </c>
      <c r="B21" s="3" t="n">
        <v>1.5</v>
      </c>
    </row>
    <row r="22" customFormat="false" ht="15" hidden="false" customHeight="false" outlineLevel="0" collapsed="false">
      <c r="A22" s="0" t="s">
        <v>107</v>
      </c>
      <c r="B22" s="3" t="n">
        <v>16</v>
      </c>
    </row>
    <row r="23" customFormat="false" ht="15" hidden="false" customHeight="false" outlineLevel="0" collapsed="false">
      <c r="A23" s="0" t="s">
        <v>108</v>
      </c>
      <c r="B23" s="3" t="n">
        <v>-10</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9.4</v>
      </c>
      <c r="D27" s="3" t="n">
        <v>5.5</v>
      </c>
      <c r="E27" s="3" t="n">
        <v>5</v>
      </c>
      <c r="F27" s="3" t="n">
        <v>4.5</v>
      </c>
      <c r="G27" s="3" t="n">
        <v>4</v>
      </c>
      <c r="H27" s="3" t="n">
        <v>3.5</v>
      </c>
      <c r="I27" s="3" t="n">
        <v>3</v>
      </c>
      <c r="J27" s="3" t="n">
        <v>3</v>
      </c>
      <c r="K27" s="3" t="n">
        <v>2.5</v>
      </c>
      <c r="L27" s="3" t="n">
        <v>2.5</v>
      </c>
    </row>
    <row r="28" customFormat="false" ht="15" hidden="false" customHeight="false" outlineLevel="0" collapsed="false">
      <c r="A28" s="0" t="s">
        <v>99</v>
      </c>
      <c r="C28" s="3" t="n">
        <v>16</v>
      </c>
      <c r="D28" s="3" t="n">
        <v>16.3</v>
      </c>
      <c r="E28" s="3" t="n">
        <v>16.6</v>
      </c>
      <c r="F28" s="3" t="n">
        <v>16.8</v>
      </c>
      <c r="G28" s="3" t="n">
        <v>17</v>
      </c>
      <c r="H28" s="3" t="n">
        <v>17</v>
      </c>
      <c r="I28" s="3" t="n">
        <v>17</v>
      </c>
      <c r="J28" s="3" t="n">
        <v>17</v>
      </c>
      <c r="K28" s="3" t="n">
        <v>17</v>
      </c>
      <c r="L28" s="3" t="n">
        <v>17</v>
      </c>
    </row>
    <row r="29" customFormat="false" ht="15" hidden="false" customHeight="false" outlineLevel="0" collapsed="false">
      <c r="A29" s="0" t="s">
        <v>100</v>
      </c>
      <c r="C29" s="3" t="n">
        <v>0.02</v>
      </c>
      <c r="D29" s="3" t="n">
        <v>0.02</v>
      </c>
      <c r="E29" s="3" t="n">
        <v>0.02</v>
      </c>
      <c r="F29" s="3" t="n">
        <v>0.02</v>
      </c>
      <c r="G29" s="3" t="n">
        <v>0.02</v>
      </c>
      <c r="H29" s="3" t="n">
        <v>0.02</v>
      </c>
      <c r="I29" s="3" t="n">
        <v>0.02</v>
      </c>
      <c r="J29" s="3" t="n">
        <v>0.02</v>
      </c>
      <c r="K29" s="3" t="n">
        <v>0.02</v>
      </c>
      <c r="L29" s="3" t="n">
        <v>0.02</v>
      </c>
    </row>
    <row r="30" customFormat="false" ht="15" hidden="false" customHeight="false" outlineLevel="0" collapsed="false">
      <c r="A30" s="0" t="s">
        <v>101</v>
      </c>
      <c r="C30" s="3" t="n">
        <v>0.85</v>
      </c>
      <c r="D30" s="3" t="n">
        <v>0.85</v>
      </c>
      <c r="E30" s="3" t="n">
        <v>0.85</v>
      </c>
      <c r="F30" s="3" t="n">
        <v>0.85</v>
      </c>
      <c r="G30" s="3" t="n">
        <v>0.85</v>
      </c>
      <c r="H30" s="3" t="n">
        <v>0.85</v>
      </c>
      <c r="I30" s="3" t="n">
        <v>0.85</v>
      </c>
      <c r="J30" s="3" t="n">
        <v>0.85</v>
      </c>
      <c r="K30" s="3" t="n">
        <v>0.85</v>
      </c>
      <c r="L30" s="3" t="n">
        <v>0.85</v>
      </c>
    </row>
    <row r="31" customFormat="false" ht="15" hidden="false" customHeight="false" outlineLevel="0" collapsed="false">
      <c r="A31" s="0" t="s">
        <v>102</v>
      </c>
      <c r="C31" s="3" t="n">
        <v>5</v>
      </c>
      <c r="D31" s="3" t="n">
        <v>5.1</v>
      </c>
      <c r="E31" s="3" t="n">
        <v>5.2</v>
      </c>
      <c r="F31" s="3" t="n">
        <v>5.3</v>
      </c>
      <c r="G31" s="3" t="n">
        <v>5.3</v>
      </c>
      <c r="H31" s="3" t="n">
        <v>5.3</v>
      </c>
      <c r="I31" s="3" t="n">
        <v>5.3</v>
      </c>
      <c r="J31" s="3" t="n">
        <v>5.3</v>
      </c>
      <c r="K31" s="3" t="n">
        <v>5.3</v>
      </c>
      <c r="L31" s="3" t="n">
        <v>5.3</v>
      </c>
    </row>
    <row r="32" customFormat="false" ht="15" hidden="false" customHeight="false" outlineLevel="0" collapsed="false">
      <c r="A32" s="0" t="s">
        <v>103</v>
      </c>
      <c r="C32" s="3" t="n">
        <v>6.3</v>
      </c>
      <c r="D32" s="3" t="n">
        <v>6.2</v>
      </c>
      <c r="E32" s="3" t="n">
        <v>6</v>
      </c>
      <c r="F32" s="3" t="n">
        <v>5.9</v>
      </c>
      <c r="G32" s="3" t="n">
        <v>5.8</v>
      </c>
      <c r="H32" s="3" t="n">
        <v>5.7</v>
      </c>
      <c r="I32" s="3" t="n">
        <v>5.6</v>
      </c>
      <c r="J32" s="3" t="n">
        <v>5.6</v>
      </c>
      <c r="K32" s="3" t="n">
        <v>5.5</v>
      </c>
      <c r="L32" s="3" t="n">
        <v>5.5</v>
      </c>
    </row>
    <row r="33" customFormat="false" ht="15" hidden="false" customHeight="false" outlineLevel="0" collapsed="false">
      <c r="A33" s="0" t="s">
        <v>104</v>
      </c>
      <c r="C33" s="3" t="n">
        <v>32</v>
      </c>
      <c r="D33" s="3" t="n">
        <v>32</v>
      </c>
      <c r="E33" s="3" t="n">
        <v>32</v>
      </c>
      <c r="F33" s="3" t="n">
        <v>32</v>
      </c>
      <c r="G33" s="3" t="n">
        <v>32</v>
      </c>
      <c r="H33" s="3" t="n">
        <v>32</v>
      </c>
      <c r="I33" s="3" t="n">
        <v>32</v>
      </c>
      <c r="J33" s="3" t="n">
        <v>32</v>
      </c>
      <c r="K33" s="3" t="n">
        <v>32</v>
      </c>
      <c r="L33" s="3" t="n">
        <v>32</v>
      </c>
    </row>
    <row r="34" customFormat="false" ht="15" hidden="false" customHeight="false" outlineLevel="0" collapsed="false">
      <c r="A34" s="0" t="s">
        <v>105</v>
      </c>
      <c r="B34" s="3" t="n">
        <v>7</v>
      </c>
    </row>
    <row r="35" customFormat="false" ht="15" hidden="false" customHeight="false" outlineLevel="0" collapsed="false">
      <c r="A35" s="0" t="s">
        <v>106</v>
      </c>
      <c r="B35" s="3" t="n">
        <v>2</v>
      </c>
    </row>
    <row r="36" customFormat="false" ht="15" hidden="false" customHeight="false" outlineLevel="0" collapsed="false">
      <c r="A36" s="0" t="s">
        <v>107</v>
      </c>
      <c r="B36" s="3" t="n">
        <v>20</v>
      </c>
    </row>
    <row r="37" customFormat="false" ht="15" hidden="false" customHeight="false" outlineLevel="0" collapsed="false">
      <c r="A37" s="0" t="s">
        <v>108</v>
      </c>
      <c r="B37" s="3" t="n">
        <v>-10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11</v>
      </c>
      <c r="D41" s="3" t="n">
        <v>8</v>
      </c>
      <c r="E41" s="3" t="n">
        <v>7</v>
      </c>
      <c r="F41" s="3" t="n">
        <v>6</v>
      </c>
      <c r="G41" s="3" t="n">
        <v>5</v>
      </c>
      <c r="H41" s="3" t="n">
        <v>4.5</v>
      </c>
      <c r="I41" s="3" t="n">
        <v>4</v>
      </c>
      <c r="J41" s="3" t="n">
        <v>3.5</v>
      </c>
      <c r="K41" s="3" t="n">
        <v>3</v>
      </c>
      <c r="L41" s="3" t="n">
        <v>3</v>
      </c>
    </row>
    <row r="42" customFormat="false" ht="15" hidden="false" customHeight="false" outlineLevel="0" collapsed="false">
      <c r="A42" s="0" t="s">
        <v>99</v>
      </c>
      <c r="C42" s="3" t="n">
        <v>16.3</v>
      </c>
      <c r="D42" s="3" t="n">
        <v>16.9</v>
      </c>
      <c r="E42" s="3" t="n">
        <v>17.4</v>
      </c>
      <c r="F42" s="3" t="n">
        <v>17.8</v>
      </c>
      <c r="G42" s="3" t="n">
        <v>18.1</v>
      </c>
      <c r="H42" s="3" t="n">
        <v>18.3</v>
      </c>
      <c r="I42" s="3" t="n">
        <v>18.5</v>
      </c>
      <c r="J42" s="3" t="n">
        <v>18.5</v>
      </c>
      <c r="K42" s="3" t="n">
        <v>18.5</v>
      </c>
      <c r="L42" s="3" t="n">
        <v>18.5</v>
      </c>
    </row>
    <row r="43" customFormat="false" ht="15" hidden="false" customHeight="false" outlineLevel="0" collapsed="false">
      <c r="A43" s="0" t="s">
        <v>100</v>
      </c>
      <c r="C43" s="3" t="n">
        <v>0.02</v>
      </c>
      <c r="D43" s="3" t="n">
        <v>0.02</v>
      </c>
      <c r="E43" s="3" t="n">
        <v>0.02</v>
      </c>
      <c r="F43" s="3" t="n">
        <v>0.02</v>
      </c>
      <c r="G43" s="3" t="n">
        <v>0.02</v>
      </c>
      <c r="H43" s="3" t="n">
        <v>0.02</v>
      </c>
      <c r="I43" s="3" t="n">
        <v>0.02</v>
      </c>
      <c r="J43" s="3" t="n">
        <v>0.02</v>
      </c>
      <c r="K43" s="3" t="n">
        <v>0.02</v>
      </c>
      <c r="L43" s="3" t="n">
        <v>0.02</v>
      </c>
    </row>
    <row r="44" customFormat="false" ht="15" hidden="false" customHeight="false" outlineLevel="0" collapsed="false">
      <c r="A44" s="0" t="s">
        <v>101</v>
      </c>
      <c r="C44" s="3" t="n">
        <v>0.85</v>
      </c>
      <c r="D44" s="3" t="n">
        <v>0.85</v>
      </c>
      <c r="E44" s="3" t="n">
        <v>0.85</v>
      </c>
      <c r="F44" s="3" t="n">
        <v>0.85</v>
      </c>
      <c r="G44" s="3" t="n">
        <v>0.85</v>
      </c>
      <c r="H44" s="3" t="n">
        <v>0.85</v>
      </c>
      <c r="I44" s="3" t="n">
        <v>0.85</v>
      </c>
      <c r="J44" s="3" t="n">
        <v>0.85</v>
      </c>
      <c r="K44" s="3" t="n">
        <v>0.85</v>
      </c>
      <c r="L44" s="3" t="n">
        <v>0.85</v>
      </c>
    </row>
    <row r="45" customFormat="false" ht="15" hidden="false" customHeight="false" outlineLevel="0" collapsed="false">
      <c r="A45" s="0" t="s">
        <v>102</v>
      </c>
      <c r="C45" s="3" t="n">
        <v>5</v>
      </c>
      <c r="D45" s="3" t="n">
        <v>5.1</v>
      </c>
      <c r="E45" s="3" t="n">
        <v>5.2</v>
      </c>
      <c r="F45" s="3" t="n">
        <v>5.2</v>
      </c>
      <c r="G45" s="3" t="n">
        <v>5.3</v>
      </c>
      <c r="H45" s="3" t="n">
        <v>5.3</v>
      </c>
      <c r="I45" s="3" t="n">
        <v>5.3</v>
      </c>
      <c r="J45" s="3" t="n">
        <v>5.3</v>
      </c>
      <c r="K45" s="3" t="n">
        <v>5.3</v>
      </c>
      <c r="L45" s="3" t="n">
        <v>5.3</v>
      </c>
    </row>
    <row r="46" customFormat="false" ht="15" hidden="false" customHeight="false" outlineLevel="0" collapsed="false">
      <c r="A46" s="0" t="s">
        <v>103</v>
      </c>
      <c r="C46" s="3" t="n">
        <v>6.5</v>
      </c>
      <c r="D46" s="3" t="n">
        <v>6.4</v>
      </c>
      <c r="E46" s="3" t="n">
        <v>6.2</v>
      </c>
      <c r="F46" s="3" t="n">
        <v>6</v>
      </c>
      <c r="G46" s="3" t="n">
        <v>5.8</v>
      </c>
      <c r="H46" s="3" t="n">
        <v>5.7</v>
      </c>
      <c r="I46" s="3" t="n">
        <v>5.6</v>
      </c>
      <c r="J46" s="3" t="n">
        <v>5.5</v>
      </c>
      <c r="K46" s="3" t="n">
        <v>5.5</v>
      </c>
      <c r="L46" s="3" t="n">
        <v>5.5</v>
      </c>
    </row>
    <row r="47" customFormat="false" ht="15" hidden="false" customHeight="false" outlineLevel="0" collapsed="false">
      <c r="A47" s="0" t="s">
        <v>104</v>
      </c>
      <c r="C47" s="3" t="n">
        <v>32</v>
      </c>
      <c r="D47" s="3" t="n">
        <v>32</v>
      </c>
      <c r="E47" s="3" t="n">
        <v>32</v>
      </c>
      <c r="F47" s="3" t="n">
        <v>32</v>
      </c>
      <c r="G47" s="3" t="n">
        <v>32</v>
      </c>
      <c r="H47" s="3" t="n">
        <v>32</v>
      </c>
      <c r="I47" s="3" t="n">
        <v>32</v>
      </c>
      <c r="J47" s="3" t="n">
        <v>32</v>
      </c>
      <c r="K47" s="3" t="n">
        <v>32</v>
      </c>
      <c r="L47" s="3" t="n">
        <v>32</v>
      </c>
    </row>
    <row r="48" customFormat="false" ht="15" hidden="false" customHeight="false" outlineLevel="0" collapsed="false">
      <c r="A48" s="0" t="s">
        <v>105</v>
      </c>
      <c r="B48" s="3" t="n">
        <v>7</v>
      </c>
    </row>
    <row r="49" customFormat="false" ht="15" hidden="false" customHeight="false" outlineLevel="0" collapsed="false">
      <c r="A49" s="0" t="s">
        <v>106</v>
      </c>
      <c r="B49" s="3" t="n">
        <v>2.5</v>
      </c>
    </row>
    <row r="50" customFormat="false" ht="15" hidden="false" customHeight="false" outlineLevel="0" collapsed="false">
      <c r="A50" s="0" t="s">
        <v>107</v>
      </c>
      <c r="B50" s="3" t="n">
        <v>20</v>
      </c>
    </row>
    <row r="51" customFormat="false" ht="15" hidden="false" customHeight="false" outlineLevel="0" collapsed="false">
      <c r="A51" s="0" t="s">
        <v>108</v>
      </c>
      <c r="B51" s="3" t="n">
        <v>-10</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7</v>
      </c>
      <c r="D5" s="4" t="n">
        <f aca="false">Assumptions!D13</f>
        <v>-1</v>
      </c>
      <c r="E5" s="4" t="n">
        <f aca="false">Assumptions!E13</f>
        <v>1.5</v>
      </c>
      <c r="F5" s="4" t="n">
        <f aca="false">Assumptions!F13</f>
        <v>2.5</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37</v>
      </c>
      <c r="B6" s="3" t="n">
        <v>1583719</v>
      </c>
      <c r="C6" s="0" t="n">
        <f aca="false">B6*(1+C5/100)</f>
        <v>1694579.33</v>
      </c>
      <c r="D6" s="0" t="n">
        <f aca="false">C6*(1+D5/100)</f>
        <v>1677633.5367</v>
      </c>
      <c r="E6" s="0" t="n">
        <f aca="false">D6*(1+E5/100)</f>
        <v>1702798.0397505</v>
      </c>
      <c r="F6" s="0" t="n">
        <f aca="false">E6*(1+F5/100)</f>
        <v>1745367.99074426</v>
      </c>
      <c r="G6" s="0" t="n">
        <f aca="false">F6*(1+G5/100)</f>
        <v>1797729.03046659</v>
      </c>
      <c r="H6" s="0" t="n">
        <f aca="false">G6*(1+H5/100)</f>
        <v>1851660.90138059</v>
      </c>
      <c r="I6" s="0" t="n">
        <f aca="false">H6*(1+I5/100)</f>
        <v>1897952.4239151</v>
      </c>
      <c r="J6" s="0" t="n">
        <f aca="false">I6*(1+J5/100)</f>
        <v>1945401.23451298</v>
      </c>
      <c r="K6" s="0" t="n">
        <f aca="false">J6*(1+K5/100)</f>
        <v>1984309.25920324</v>
      </c>
      <c r="L6" s="0" t="n">
        <f aca="false">K6*(1+L5/100)</f>
        <v>2023995.4443873</v>
      </c>
    </row>
    <row r="7" customFormat="false" ht="15" hidden="false" customHeight="false" outlineLevel="0" collapsed="false">
      <c r="A7" s="0" t="s">
        <v>99</v>
      </c>
      <c r="C7" s="4" t="n">
        <f aca="false">Assumptions!C14</f>
        <v>15.4</v>
      </c>
      <c r="D7" s="4" t="n">
        <f aca="false">Assumptions!D14</f>
        <v>14.3</v>
      </c>
      <c r="E7" s="4" t="n">
        <f aca="false">Assumptions!E14</f>
        <v>14.5</v>
      </c>
      <c r="F7" s="4" t="n">
        <f aca="false">Assumptions!F14</f>
        <v>14.8</v>
      </c>
      <c r="G7" s="4" t="n">
        <f aca="false">Assumptions!G14</f>
        <v>15</v>
      </c>
      <c r="H7" s="4" t="n">
        <f aca="false">Assumptions!H14</f>
        <v>15</v>
      </c>
      <c r="I7" s="4" t="n">
        <f aca="false">Assumptions!I14</f>
        <v>15</v>
      </c>
      <c r="J7" s="4" t="n">
        <f aca="false">Assumptions!J14</f>
        <v>15</v>
      </c>
      <c r="K7" s="4" t="n">
        <f aca="false">Assumptions!K14</f>
        <v>15</v>
      </c>
      <c r="L7" s="4" t="n">
        <f aca="false">Assumptions!L14</f>
        <v>15</v>
      </c>
    </row>
    <row r="8" customFormat="false" ht="15" hidden="false" customHeight="false" outlineLevel="0" collapsed="false">
      <c r="A8" s="0" t="s">
        <v>43</v>
      </c>
      <c r="C8" s="0" t="n">
        <f aca="false">C6*C7/100</f>
        <v>260965.21682</v>
      </c>
      <c r="D8" s="0" t="n">
        <f aca="false">D6*D7/100</f>
        <v>239901.5957481</v>
      </c>
      <c r="E8" s="0" t="n">
        <f aca="false">E6*E7/100</f>
        <v>246905.715763823</v>
      </c>
      <c r="F8" s="0" t="n">
        <f aca="false">F6*F7/100</f>
        <v>258314.462630151</v>
      </c>
      <c r="G8" s="0" t="n">
        <f aca="false">G6*G7/100</f>
        <v>269659.354569989</v>
      </c>
      <c r="H8" s="0" t="n">
        <f aca="false">H6*H7/100</f>
        <v>277749.135207088</v>
      </c>
      <c r="I8" s="0" t="n">
        <f aca="false">I6*I7/100</f>
        <v>284692.863587265</v>
      </c>
      <c r="J8" s="0" t="n">
        <f aca="false">J6*J7/100</f>
        <v>291810.185176947</v>
      </c>
      <c r="K8" s="0" t="n">
        <f aca="false">K6*K7/100</f>
        <v>297646.388880486</v>
      </c>
      <c r="L8" s="0" t="n">
        <f aca="false">L6*L7/100</f>
        <v>303599.316658096</v>
      </c>
    </row>
    <row r="9" customFormat="false" ht="15" hidden="false" customHeight="false" outlineLevel="0" collapsed="false">
      <c r="A9" s="0" t="s">
        <v>100</v>
      </c>
      <c r="C9" s="4" t="n">
        <f aca="false">Assumptions!C15</f>
        <v>0.02</v>
      </c>
      <c r="D9" s="4" t="n">
        <f aca="false">Assumptions!D15</f>
        <v>0.02</v>
      </c>
      <c r="E9" s="4" t="n">
        <f aca="false">Assumptions!E15</f>
        <v>0.02</v>
      </c>
      <c r="F9" s="4" t="n">
        <f aca="false">Assumptions!F15</f>
        <v>0.02</v>
      </c>
      <c r="G9" s="4" t="n">
        <f aca="false">Assumptions!G15</f>
        <v>0.02</v>
      </c>
      <c r="H9" s="4" t="n">
        <f aca="false">Assumptions!H15</f>
        <v>0.02</v>
      </c>
      <c r="I9" s="4" t="n">
        <f aca="false">Assumptions!I15</f>
        <v>0.02</v>
      </c>
      <c r="J9" s="4" t="n">
        <f aca="false">Assumptions!J15</f>
        <v>0.02</v>
      </c>
      <c r="K9" s="4" t="n">
        <f aca="false">Assumptions!K15</f>
        <v>0.02</v>
      </c>
      <c r="L9" s="4" t="n">
        <f aca="false">Assumptions!L15</f>
        <v>0.02</v>
      </c>
    </row>
    <row r="10" customFormat="false" ht="15" hidden="false" customHeight="false" outlineLevel="0" collapsed="false">
      <c r="A10" s="0" t="s">
        <v>115</v>
      </c>
      <c r="C10" s="0" t="n">
        <f aca="false">-C6*C9/100</f>
        <v>-338.915866</v>
      </c>
      <c r="D10" s="0" t="n">
        <f aca="false">-D6*D9/100</f>
        <v>-335.52670734</v>
      </c>
      <c r="E10" s="0" t="n">
        <f aca="false">-E6*E9/100</f>
        <v>-340.5596079501</v>
      </c>
      <c r="F10" s="0" t="n">
        <f aca="false">-F6*F9/100</f>
        <v>-349.073598148852</v>
      </c>
      <c r="G10" s="0" t="n">
        <f aca="false">-G6*G9/100</f>
        <v>-359.545806093318</v>
      </c>
      <c r="H10" s="0" t="n">
        <f aca="false">-H6*H9/100</f>
        <v>-370.332180276118</v>
      </c>
      <c r="I10" s="0" t="n">
        <f aca="false">-I6*I9/100</f>
        <v>-379.590484783021</v>
      </c>
      <c r="J10" s="0" t="n">
        <f aca="false">-J6*J9/100</f>
        <v>-389.080246902596</v>
      </c>
      <c r="K10" s="0" t="n">
        <f aca="false">-K6*K9/100</f>
        <v>-396.861851840648</v>
      </c>
      <c r="L10" s="0" t="n">
        <f aca="false">-L6*L9/100</f>
        <v>-404.799088877461</v>
      </c>
    </row>
    <row r="11" customFormat="false" ht="15" hidden="false" customHeight="false" outlineLevel="0" collapsed="false">
      <c r="A11" s="0" t="s">
        <v>116</v>
      </c>
      <c r="C11" s="0" t="n">
        <f aca="false">C8+C10+C24</f>
        <v>246222.376649</v>
      </c>
      <c r="D11" s="0" t="n">
        <f aca="false">D8+D10+D24</f>
        <v>225306.18397881</v>
      </c>
      <c r="E11" s="0" t="n">
        <f aca="false">E8+E10+E24</f>
        <v>232091.372817993</v>
      </c>
      <c r="F11" s="0" t="n">
        <f aca="false">F8+F10+F24</f>
        <v>243129.761110676</v>
      </c>
      <c r="G11" s="0" t="n">
        <f aca="false">G8+G10+G24</f>
        <v>254019.112004929</v>
      </c>
      <c r="H11" s="0" t="n">
        <f aca="false">H8+H10+H24</f>
        <v>261639.685365077</v>
      </c>
      <c r="I11" s="0" t="n">
        <f aca="false">I8+I10+I24</f>
        <v>268180.677499204</v>
      </c>
      <c r="J11" s="0" t="n">
        <f aca="false">J8+J10+J24</f>
        <v>274885.194436684</v>
      </c>
      <c r="K11" s="0" t="n">
        <f aca="false">K8+K10+K24</f>
        <v>280382.898325418</v>
      </c>
      <c r="L11" s="0" t="n">
        <f aca="false">L8+L10+L24</f>
        <v>285990.556291926</v>
      </c>
    </row>
    <row r="12" customFormat="false" ht="15" hidden="false" customHeight="false" outlineLevel="0" collapsed="false">
      <c r="A12" s="0" t="s">
        <v>117</v>
      </c>
      <c r="C12" s="4" t="n">
        <f aca="false">-C6*Assumptions!C17/100</f>
        <v>-84728.9665</v>
      </c>
      <c r="D12" s="4" t="n">
        <f aca="false">-D6*Assumptions!D17/100</f>
        <v>-88914.5774451</v>
      </c>
      <c r="E12" s="4" t="n">
        <f aca="false">-E6*Assumptions!E17/100</f>
        <v>-91951.094146527</v>
      </c>
      <c r="F12" s="4" t="n">
        <f aca="false">-F6*Assumptions!F17/100</f>
        <v>-94249.8715001902</v>
      </c>
      <c r="G12" s="4" t="n">
        <f aca="false">-G6*Assumptions!G17/100</f>
        <v>-97077.3676451959</v>
      </c>
      <c r="H12" s="4" t="n">
        <f aca="false">-H6*Assumptions!H17/100</f>
        <v>-99989.6886745518</v>
      </c>
      <c r="I12" s="4" t="n">
        <f aca="false">-I6*Assumptions!I17/100</f>
        <v>-102489.430891416</v>
      </c>
      <c r="J12" s="4" t="n">
        <f aca="false">-J6*Assumptions!J17/100</f>
        <v>-105051.666663701</v>
      </c>
      <c r="K12" s="4" t="n">
        <f aca="false">-K6*Assumptions!K17/100</f>
        <v>-107152.699996975</v>
      </c>
      <c r="L12" s="4" t="n">
        <f aca="false">-L6*Assumptions!L17/100</f>
        <v>-109295.753996914</v>
      </c>
    </row>
    <row r="13" customFormat="false" ht="15" hidden="false" customHeight="false" outlineLevel="0" collapsed="false">
      <c r="A13" s="0" t="s">
        <v>118</v>
      </c>
      <c r="C13" s="0" t="n">
        <f aca="false">C11+C12</f>
        <v>161493.410149</v>
      </c>
      <c r="D13" s="0" t="n">
        <f aca="false">D11+D12</f>
        <v>136391.60653371</v>
      </c>
      <c r="E13" s="0" t="n">
        <f aca="false">E11+E12</f>
        <v>140140.278671466</v>
      </c>
      <c r="F13" s="0" t="n">
        <f aca="false">F11+F12</f>
        <v>148879.889610486</v>
      </c>
      <c r="G13" s="0" t="n">
        <f aca="false">G11+G12</f>
        <v>156941.744359733</v>
      </c>
      <c r="H13" s="0" t="n">
        <f aca="false">H11+H12</f>
        <v>161649.996690525</v>
      </c>
      <c r="I13" s="0" t="n">
        <f aca="false">I11+I12</f>
        <v>165691.246607789</v>
      </c>
      <c r="J13" s="0" t="n">
        <f aca="false">J11+J12</f>
        <v>169833.527772983</v>
      </c>
      <c r="K13" s="0" t="n">
        <f aca="false">K11+K12</f>
        <v>173230.198328443</v>
      </c>
      <c r="L13" s="0" t="n">
        <f aca="false">L11+L12</f>
        <v>176694.802295012</v>
      </c>
    </row>
    <row r="14" customFormat="false" ht="15" hidden="false" customHeight="false" outlineLevel="0" collapsed="false">
      <c r="A14" s="0" t="s">
        <v>104</v>
      </c>
      <c r="C14" s="4" t="n">
        <f aca="false">Assumptions!C19</f>
        <v>32</v>
      </c>
      <c r="D14" s="4" t="n">
        <f aca="false">Assumptions!D19</f>
        <v>32</v>
      </c>
      <c r="E14" s="4" t="n">
        <f aca="false">Assumptions!E19</f>
        <v>32</v>
      </c>
      <c r="F14" s="4" t="n">
        <f aca="false">Assumptions!F19</f>
        <v>32</v>
      </c>
      <c r="G14" s="4" t="n">
        <f aca="false">Assumptions!G19</f>
        <v>32</v>
      </c>
      <c r="H14" s="4" t="n">
        <f aca="false">Assumptions!H19</f>
        <v>32</v>
      </c>
      <c r="I14" s="4" t="n">
        <f aca="false">Assumptions!I19</f>
        <v>32</v>
      </c>
      <c r="J14" s="4" t="n">
        <f aca="false">Assumptions!J19</f>
        <v>32</v>
      </c>
      <c r="K14" s="4" t="n">
        <f aca="false">Assumptions!K19</f>
        <v>32</v>
      </c>
      <c r="L14" s="4" t="n">
        <f aca="false">Assumptions!L19</f>
        <v>32</v>
      </c>
    </row>
    <row r="15" customFormat="false" ht="15" hidden="false" customHeight="false" outlineLevel="0" collapsed="false">
      <c r="A15" s="0" t="s">
        <v>119</v>
      </c>
      <c r="C15" s="0" t="n">
        <f aca="false">C13-MAX(0,C13)*C14/100</f>
        <v>109815.51890132</v>
      </c>
      <c r="D15" s="0" t="n">
        <f aca="false">D13-MAX(0,D13)*D14/100</f>
        <v>92746.2924429228</v>
      </c>
      <c r="E15" s="0" t="n">
        <f aca="false">E13-MAX(0,E13)*E14/100</f>
        <v>95295.389496597</v>
      </c>
      <c r="F15" s="0" t="n">
        <f aca="false">F13-MAX(0,F13)*F14/100</f>
        <v>101238.32493513</v>
      </c>
      <c r="G15" s="0" t="n">
        <f aca="false">G13-MAX(0,G13)*G14/100</f>
        <v>106720.386164619</v>
      </c>
      <c r="H15" s="0" t="n">
        <f aca="false">H13-MAX(0,H13)*H14/100</f>
        <v>109921.997749557</v>
      </c>
      <c r="I15" s="0" t="n">
        <f aca="false">I13-MAX(0,I13)*I14/100</f>
        <v>112670.047693296</v>
      </c>
      <c r="J15" s="0" t="n">
        <f aca="false">J13-MAX(0,J13)*J14/100</f>
        <v>115486.798885629</v>
      </c>
      <c r="K15" s="0" t="n">
        <f aca="false">K13-MAX(0,K13)*K14/100</f>
        <v>117796.534863341</v>
      </c>
      <c r="L15" s="0" t="n">
        <f aca="false">L13-MAX(0,L13)*L14/100</f>
        <v>120152.465560608</v>
      </c>
    </row>
    <row r="16" customFormat="false" ht="15" hidden="false" customHeight="false" outlineLevel="0" collapsed="false">
      <c r="A16" s="0" t="s">
        <v>120</v>
      </c>
      <c r="C16" s="0" t="n">
        <f aca="false">-C12</f>
        <v>84728.9665</v>
      </c>
      <c r="D16" s="0" t="n">
        <f aca="false">-D12</f>
        <v>88914.5774451</v>
      </c>
      <c r="E16" s="0" t="n">
        <f aca="false">-E12</f>
        <v>91951.094146527</v>
      </c>
      <c r="F16" s="0" t="n">
        <f aca="false">-F12</f>
        <v>94249.8715001902</v>
      </c>
      <c r="G16" s="0" t="n">
        <f aca="false">-G12</f>
        <v>97077.3676451959</v>
      </c>
      <c r="H16" s="0" t="n">
        <f aca="false">-H12</f>
        <v>99989.6886745518</v>
      </c>
      <c r="I16" s="0" t="n">
        <f aca="false">-I12</f>
        <v>102489.430891416</v>
      </c>
      <c r="J16" s="0" t="n">
        <f aca="false">-J12</f>
        <v>105051.666663701</v>
      </c>
      <c r="K16" s="0" t="n">
        <f aca="false">-K12</f>
        <v>107152.699996975</v>
      </c>
      <c r="L16" s="0" t="n">
        <f aca="false">-L12</f>
        <v>109295.753996914</v>
      </c>
    </row>
    <row r="17" customFormat="false" ht="15" hidden="false" customHeight="false" outlineLevel="0" collapsed="false">
      <c r="A17" s="0" t="s">
        <v>121</v>
      </c>
      <c r="C17" s="4" t="n">
        <f aca="false">-C6*Assumptions!C18/100</f>
        <v>-106758.49779</v>
      </c>
      <c r="D17" s="4" t="n">
        <f aca="false">-D6*Assumptions!D18/100</f>
        <v>-100658.012202</v>
      </c>
      <c r="E17" s="4" t="n">
        <f aca="false">-E6*Assumptions!E18/100</f>
        <v>-98762.286305529</v>
      </c>
      <c r="F17" s="4" t="n">
        <f aca="false">-F6*Assumptions!F18/100</f>
        <v>-99485.975472423</v>
      </c>
      <c r="G17" s="4" t="n">
        <f aca="false">-G6*Assumptions!G18/100</f>
        <v>-100672.825706129</v>
      </c>
      <c r="H17" s="4" t="n">
        <f aca="false">-H6*Assumptions!H18/100</f>
        <v>-103693.010477313</v>
      </c>
      <c r="I17" s="4" t="n">
        <f aca="false">-I6*Assumptions!I18/100</f>
        <v>-104387.383315331</v>
      </c>
      <c r="J17" s="4" t="n">
        <f aca="false">-J6*Assumptions!J18/100</f>
        <v>-106997.067898214</v>
      </c>
      <c r="K17" s="4" t="n">
        <f aca="false">-K6*Assumptions!K18/100</f>
        <v>-109137.009256178</v>
      </c>
      <c r="L17" s="4" t="n">
        <f aca="false">-L6*Assumptions!L18/100</f>
        <v>-111319.749441302</v>
      </c>
    </row>
    <row r="18" customFormat="false" ht="15" hidden="false" customHeight="false" outlineLevel="0" collapsed="false">
      <c r="A18" s="0" t="s">
        <v>122</v>
      </c>
      <c r="C18" s="4" t="n">
        <f aca="false">(C6-B6)*Assumptions!$B$23/100</f>
        <v>-11086.033</v>
      </c>
      <c r="D18" s="4" t="n">
        <f aca="false">(D6-C6)*Assumptions!$B$23/100</f>
        <v>1694.57933</v>
      </c>
      <c r="E18" s="4" t="n">
        <f aca="false">(E6-D6)*Assumptions!$B$23/100</f>
        <v>-2516.45030504998</v>
      </c>
      <c r="F18" s="4" t="n">
        <f aca="false">(F6-E6)*Assumptions!$B$23/100</f>
        <v>-4256.99509937624</v>
      </c>
      <c r="G18" s="4" t="n">
        <f aca="false">(G6-F6)*Assumptions!$B$23/100</f>
        <v>-5236.10397223278</v>
      </c>
      <c r="H18" s="4" t="n">
        <f aca="false">(H6-G6)*Assumptions!$B$23/100</f>
        <v>-5393.18709139978</v>
      </c>
      <c r="I18" s="4" t="n">
        <f aca="false">(I6-H6)*Assumptions!$B$23/100</f>
        <v>-4629.15225345145</v>
      </c>
      <c r="J18" s="4" t="n">
        <f aca="false">(J6-I6)*Assumptions!$B$23/100</f>
        <v>-4744.88105978775</v>
      </c>
      <c r="K18" s="4" t="n">
        <f aca="false">(K6-J6)*Assumptions!$B$23/100</f>
        <v>-3890.80246902597</v>
      </c>
      <c r="L18" s="4" t="n">
        <f aca="false">(L6-K6)*Assumptions!$B$23/100</f>
        <v>-3968.61851840648</v>
      </c>
    </row>
    <row r="19" customFormat="false" ht="15" hidden="false" customHeight="false" outlineLevel="0" collapsed="false">
      <c r="A19" s="0" t="s">
        <v>123</v>
      </c>
      <c r="C19" s="0" t="n">
        <f aca="false">C15+C16+C17+C18</f>
        <v>76699.95461132</v>
      </c>
      <c r="D19" s="0" t="n">
        <f aca="false">D15+D16+D17+D18</f>
        <v>82697.4370160228</v>
      </c>
      <c r="E19" s="0" t="n">
        <f aca="false">E15+E16+E17+E18</f>
        <v>85967.747032545</v>
      </c>
      <c r="F19" s="0" t="n">
        <f aca="false">F15+F16+F17+F18</f>
        <v>91745.2258635212</v>
      </c>
      <c r="G19" s="0" t="n">
        <f aca="false">G15+G16+G17+G18</f>
        <v>97888.8241314527</v>
      </c>
      <c r="H19" s="0" t="n">
        <f aca="false">H15+H16+H17+H18</f>
        <v>100825.488855396</v>
      </c>
      <c r="I19" s="0" t="n">
        <f aca="false">I15+I16+I17+I18</f>
        <v>106142.94301593</v>
      </c>
      <c r="J19" s="0" t="n">
        <f aca="false">J15+J16+J17+J18</f>
        <v>108796.516591328</v>
      </c>
      <c r="K19" s="0" t="n">
        <f aca="false">K15+K16+K17+K18</f>
        <v>111921.423135112</v>
      </c>
      <c r="L19" s="0" t="n">
        <f aca="false">L15+L16+L17+L18</f>
        <v>114159.851597814</v>
      </c>
    </row>
    <row r="20" customFormat="false" ht="15" hidden="false" customHeight="false" outlineLevel="0" collapsed="false">
      <c r="A20" s="0" t="s">
        <v>124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125</v>
      </c>
      <c r="C21" s="0" t="n">
        <f aca="false">C19*C20</f>
        <v>71682.2005713271</v>
      </c>
      <c r="D21" s="0" t="n">
        <f aca="false">D19*D20</f>
        <v>72231.144218729</v>
      </c>
      <c r="E21" s="0" t="n">
        <f aca="false">E19*E20</f>
        <v>70175.2893837563</v>
      </c>
      <c r="F21" s="0" t="n">
        <f aca="false">F19*F20</f>
        <v>69991.9935394991</v>
      </c>
      <c r="G21" s="0" t="n">
        <f aca="false">G19*G20</f>
        <v>69793.3787316332</v>
      </c>
      <c r="H21" s="0" t="n">
        <f aca="false">H19*H20</f>
        <v>67184.2804612918</v>
      </c>
      <c r="I21" s="0" t="n">
        <f aca="false">I19*I20</f>
        <v>66100.490366041</v>
      </c>
      <c r="J21" s="0" t="n">
        <f aca="false">J19*J20</f>
        <v>63320.563201114</v>
      </c>
      <c r="K21" s="0" t="n">
        <f aca="false">K19*K20</f>
        <v>60877.8385612254</v>
      </c>
      <c r="L21" s="0" t="n">
        <f aca="false">L19*L20</f>
        <v>58033.0797499532</v>
      </c>
    </row>
    <row r="23" customFormat="false" ht="15" hidden="false" customHeight="false" outlineLevel="0" collapsed="false">
      <c r="A23" s="0" t="s">
        <v>101</v>
      </c>
      <c r="C23" s="4" t="n">
        <f aca="false">Assumptions!C16</f>
        <v>0.85</v>
      </c>
      <c r="D23" s="4" t="n">
        <f aca="false">Assumptions!D16</f>
        <v>0.85</v>
      </c>
      <c r="E23" s="4" t="n">
        <f aca="false">Assumptions!E16</f>
        <v>0.85</v>
      </c>
      <c r="F23" s="4" t="n">
        <f aca="false">Assumptions!F16</f>
        <v>0.85</v>
      </c>
      <c r="G23" s="4" t="n">
        <f aca="false">Assumptions!G16</f>
        <v>0.85</v>
      </c>
      <c r="H23" s="4" t="n">
        <f aca="false">Assumptions!H16</f>
        <v>0.85</v>
      </c>
      <c r="I23" s="4" t="n">
        <f aca="false">Assumptions!I16</f>
        <v>0.85</v>
      </c>
      <c r="J23" s="4" t="n">
        <f aca="false">Assumptions!J16</f>
        <v>0.85</v>
      </c>
      <c r="K23" s="4" t="n">
        <f aca="false">Assumptions!K16</f>
        <v>0.85</v>
      </c>
      <c r="L23" s="4" t="n">
        <f aca="false">Assumptions!L16</f>
        <v>0.85</v>
      </c>
    </row>
    <row r="24" customFormat="false" ht="15" hidden="false" customHeight="false" outlineLevel="0" collapsed="false">
      <c r="A24" s="0" t="s">
        <v>126</v>
      </c>
      <c r="C24" s="0" t="n">
        <f aca="false">-C6*C23/100</f>
        <v>-14403.924305</v>
      </c>
      <c r="D24" s="0" t="n">
        <f aca="false">-D6*D23/100</f>
        <v>-14259.88506195</v>
      </c>
      <c r="E24" s="0" t="n">
        <f aca="false">-E6*E23/100</f>
        <v>-14473.7833378793</v>
      </c>
      <c r="F24" s="0" t="n">
        <f aca="false">-F6*F23/100</f>
        <v>-14835.6279213262</v>
      </c>
      <c r="G24" s="0" t="n">
        <f aca="false">-G6*G23/100</f>
        <v>-15280.696758966</v>
      </c>
      <c r="H24" s="0" t="n">
        <f aca="false">-H6*H23/100</f>
        <v>-15739.117661735</v>
      </c>
      <c r="I24" s="0" t="n">
        <f aca="false">-I6*I23/100</f>
        <v>-16132.5956032784</v>
      </c>
      <c r="J24" s="0" t="n">
        <f aca="false">-J6*J23/100</f>
        <v>-16535.9104933603</v>
      </c>
      <c r="K24" s="0" t="n">
        <f aca="false">-K6*K23/100</f>
        <v>-16866.6287032275</v>
      </c>
      <c r="L24" s="0" t="n">
        <f aca="false">-L6*L23/100</f>
        <v>-17203.9612772921</v>
      </c>
    </row>
    <row r="26" customFormat="false" ht="15" hidden="false" customHeight="false" outlineLevel="0" collapsed="false">
      <c r="A26" s="2" t="s">
        <v>127</v>
      </c>
    </row>
    <row r="27" customFormat="false" ht="15" hidden="false" customHeight="false" outlineLevel="0" collapsed="false">
      <c r="A27" s="0" t="s">
        <v>105</v>
      </c>
      <c r="B27" s="4" t="n">
        <f aca="false">Assumptions!$B$20</f>
        <v>7</v>
      </c>
    </row>
    <row r="28" customFormat="false" ht="15" hidden="false" customHeight="false" outlineLevel="0" collapsed="false">
      <c r="A28" s="0" t="s">
        <v>106</v>
      </c>
      <c r="B28" s="4" t="n">
        <f aca="false">Assumptions!$B$21</f>
        <v>1.5</v>
      </c>
    </row>
    <row r="29" customFormat="false" ht="15" hidden="false" customHeight="false" outlineLevel="0" collapsed="false">
      <c r="A29" s="0" t="s">
        <v>107</v>
      </c>
      <c r="B29" s="4" t="n">
        <f aca="false">Assumptions!$B$22</f>
        <v>16</v>
      </c>
    </row>
    <row r="30" customFormat="false" ht="15" hidden="false" customHeight="false" outlineLevel="0" collapsed="false">
      <c r="A30" s="0" t="s">
        <v>128</v>
      </c>
      <c r="B30" s="0" t="n">
        <f aca="false">SUM(C21:L21)</f>
        <v>669390.25878457</v>
      </c>
    </row>
    <row r="31" customFormat="false" ht="15" hidden="false" customHeight="false" outlineLevel="0" collapsed="false">
      <c r="A31" s="0" t="s">
        <v>129</v>
      </c>
      <c r="B31" s="0" t="n">
        <f aca="false">L19</f>
        <v>114159.851597814</v>
      </c>
    </row>
    <row r="32" customFormat="false" ht="15" hidden="false" customHeight="false" outlineLevel="0" collapsed="false">
      <c r="A32" s="0" t="s">
        <v>130</v>
      </c>
      <c r="B32" s="0" t="n">
        <f aca="false">IF(B27&gt;B28,B31*(1+B28/100)/((B27-B28)/100),B31*B29)</f>
        <v>2106768.17039602</v>
      </c>
    </row>
    <row r="33" customFormat="false" ht="15" hidden="false" customHeight="false" outlineLevel="0" collapsed="false">
      <c r="A33" s="0" t="s">
        <v>131</v>
      </c>
      <c r="B33" s="0" t="n">
        <f aca="false">B31*B29</f>
        <v>1826557.62556503</v>
      </c>
    </row>
    <row r="34" customFormat="false" ht="15" hidden="false" customHeight="false" outlineLevel="0" collapsed="false">
      <c r="A34" s="0" t="s">
        <v>132</v>
      </c>
      <c r="B34" s="0" t="n">
        <f aca="false">MAX(0,MIN(B32,B33))</f>
        <v>1826557.62556503</v>
      </c>
    </row>
    <row r="35" customFormat="false" ht="15" hidden="false" customHeight="false" outlineLevel="0" collapsed="false">
      <c r="A35" s="0" t="s">
        <v>133</v>
      </c>
      <c r="B35" s="0" t="n">
        <f aca="false">B34/(1+B27/100)^L4</f>
        <v>928529.275999252</v>
      </c>
    </row>
    <row r="36" customFormat="false" ht="15" hidden="false" customHeight="false" outlineLevel="0" collapsed="false">
      <c r="A36" s="0" t="s">
        <v>134</v>
      </c>
      <c r="B36" s="0" t="n">
        <f aca="false">B30+B35</f>
        <v>1597919.53478382</v>
      </c>
    </row>
    <row r="37" customFormat="false" ht="15" hidden="false" customHeight="false" outlineLevel="0" collapsed="false">
      <c r="A37" s="0" t="s">
        <v>135</v>
      </c>
      <c r="B37" s="0" t="n">
        <f aca="false">B36+Assumptions!$B$5-Assumptions!$B$4</f>
        <v>1320414.53478382</v>
      </c>
    </row>
    <row r="38" customFormat="false" ht="15" hidden="false" customHeight="false" outlineLevel="0" collapsed="false">
      <c r="A38" s="0" t="s">
        <v>136</v>
      </c>
      <c r="B38" s="0" t="n">
        <f aca="false">B37/Assumptions!$B$3*Assumptions!$B$10</f>
        <v>1383.26744075694</v>
      </c>
    </row>
    <row r="39" customFormat="false" ht="15" hidden="false" customHeight="false" outlineLevel="0" collapsed="false">
      <c r="A39" s="0" t="s">
        <v>137</v>
      </c>
      <c r="B39" s="4" t="n">
        <f aca="false">B38/Assumptions!$B$2-1</f>
        <v>-0.724008890511386</v>
      </c>
    </row>
    <row r="41" customFormat="false" ht="15" hidden="false" customHeight="false" outlineLevel="0" collapsed="false">
      <c r="A41" s="0" t="s">
        <v>138</v>
      </c>
      <c r="B41" s="0" t="n">
        <f aca="false">SUMPRODUCT(-C10:L10/(1+$B$27/100)^C4:L4)</f>
        <v>2541.7136465294</v>
      </c>
    </row>
    <row r="42" customFormat="false" ht="15" hidden="false" customHeight="false" outlineLevel="0" collapsed="false">
      <c r="A42" s="0" t="s">
        <v>139</v>
      </c>
      <c r="B42" s="0" t="n">
        <f aca="false">IF(B27&gt;B28,-L10*(1+B28/100)/((B27-B28)/100),-L10*20)/(1+B27/100)^L4</f>
        <v>3797.5640043991</v>
      </c>
    </row>
    <row r="43" customFormat="false" ht="15" hidden="false" customHeight="false" outlineLevel="0" collapsed="false">
      <c r="A43" s="0" t="s">
        <v>140</v>
      </c>
      <c r="B43" s="0" t="n">
        <f aca="false">(B37+B41+B42)/Assumptions!$B$3*Assumptions!$B$10</f>
        <v>1389.90847366096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858312.958309491</v>
      </c>
    </row>
    <row r="47" customFormat="false" ht="15" hidden="false" customHeight="false" outlineLevel="0" collapsed="false">
      <c r="A47" s="0" t="s">
        <v>142</v>
      </c>
      <c r="B47" s="0" t="n">
        <f aca="false">(SUMPRODUCT(C19:L19/(1+B45/100)^C4:L4)+B46/(1+B45/100)^L4+Assumptions!$B$5-Assumptions!$B$4)/Assumptions!$B$3*Assumptions!$B$10</f>
        <v>419.694645821559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9.4</v>
      </c>
      <c r="D5" s="4" t="n">
        <f aca="false">Assumptions!D27</f>
        <v>5.5</v>
      </c>
      <c r="E5" s="4" t="n">
        <f aca="false">Assumptions!E27</f>
        <v>5</v>
      </c>
      <c r="F5" s="4" t="n">
        <f aca="false">Assumptions!F27</f>
        <v>4.5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1583719</v>
      </c>
      <c r="C6" s="0" t="n">
        <f aca="false">B6*(1+C5/100)</f>
        <v>1732588.586</v>
      </c>
      <c r="D6" s="0" t="n">
        <f aca="false">C6*(1+D5/100)</f>
        <v>1827880.95823</v>
      </c>
      <c r="E6" s="0" t="n">
        <f aca="false">D6*(1+E5/100)</f>
        <v>1919275.0061415</v>
      </c>
      <c r="F6" s="0" t="n">
        <f aca="false">E6*(1+F5/100)</f>
        <v>2005642.38141787</v>
      </c>
      <c r="G6" s="0" t="n">
        <f aca="false">F6*(1+G5/100)</f>
        <v>2085868.07667458</v>
      </c>
      <c r="H6" s="0" t="n">
        <f aca="false">G6*(1+H5/100)</f>
        <v>2158873.45935819</v>
      </c>
      <c r="I6" s="0" t="n">
        <f aca="false">H6*(1+I5/100)</f>
        <v>2223639.66313894</v>
      </c>
      <c r="J6" s="0" t="n">
        <f aca="false">I6*(1+J5/100)</f>
        <v>2290348.85303311</v>
      </c>
      <c r="K6" s="0" t="n">
        <f aca="false">J6*(1+K5/100)</f>
        <v>2347607.57435893</v>
      </c>
      <c r="L6" s="0" t="n">
        <f aca="false">K6*(1+L5/100)</f>
        <v>2406297.76371791</v>
      </c>
    </row>
    <row r="7" customFormat="false" ht="15" hidden="false" customHeight="false" outlineLevel="0" collapsed="false">
      <c r="A7" s="0" t="s">
        <v>99</v>
      </c>
      <c r="C7" s="4" t="n">
        <f aca="false">Assumptions!C28</f>
        <v>16</v>
      </c>
      <c r="D7" s="4" t="n">
        <f aca="false">Assumptions!D28</f>
        <v>16.3</v>
      </c>
      <c r="E7" s="4" t="n">
        <f aca="false">Assumptions!E28</f>
        <v>16.6</v>
      </c>
      <c r="F7" s="4" t="n">
        <f aca="false">Assumptions!F28</f>
        <v>16.8</v>
      </c>
      <c r="G7" s="4" t="n">
        <f aca="false">Assumptions!G28</f>
        <v>17</v>
      </c>
      <c r="H7" s="4" t="n">
        <f aca="false">Assumptions!H28</f>
        <v>17</v>
      </c>
      <c r="I7" s="4" t="n">
        <f aca="false">Assumptions!I28</f>
        <v>17</v>
      </c>
      <c r="J7" s="4" t="n">
        <f aca="false">Assumptions!J28</f>
        <v>17</v>
      </c>
      <c r="K7" s="4" t="n">
        <f aca="false">Assumptions!K28</f>
        <v>17</v>
      </c>
      <c r="L7" s="4" t="n">
        <f aca="false">Assumptions!L28</f>
        <v>17</v>
      </c>
    </row>
    <row r="8" customFormat="false" ht="15" hidden="false" customHeight="false" outlineLevel="0" collapsed="false">
      <c r="A8" s="0" t="s">
        <v>43</v>
      </c>
      <c r="C8" s="0" t="n">
        <f aca="false">C6*C7/100</f>
        <v>277214.17376</v>
      </c>
      <c r="D8" s="0" t="n">
        <f aca="false">D6*D7/100</f>
        <v>297944.59619149</v>
      </c>
      <c r="E8" s="0" t="n">
        <f aca="false">E6*E7/100</f>
        <v>318599.651019489</v>
      </c>
      <c r="F8" s="0" t="n">
        <f aca="false">F6*F7/100</f>
        <v>336947.920078202</v>
      </c>
      <c r="G8" s="0" t="n">
        <f aca="false">G6*G7/100</f>
        <v>354597.573034679</v>
      </c>
      <c r="H8" s="0" t="n">
        <f aca="false">H6*H7/100</f>
        <v>367008.488090893</v>
      </c>
      <c r="I8" s="0" t="n">
        <f aca="false">I6*I7/100</f>
        <v>378018.74273362</v>
      </c>
      <c r="J8" s="0" t="n">
        <f aca="false">J6*J7/100</f>
        <v>389359.305015628</v>
      </c>
      <c r="K8" s="0" t="n">
        <f aca="false">K6*K7/100</f>
        <v>399093.287641019</v>
      </c>
      <c r="L8" s="0" t="n">
        <f aca="false">L6*L7/100</f>
        <v>409070.619832044</v>
      </c>
    </row>
    <row r="9" customFormat="false" ht="15" hidden="false" customHeight="false" outlineLevel="0" collapsed="false">
      <c r="A9" s="0" t="s">
        <v>100</v>
      </c>
      <c r="C9" s="4" t="n">
        <f aca="false">Assumptions!C29</f>
        <v>0.02</v>
      </c>
      <c r="D9" s="4" t="n">
        <f aca="false">Assumptions!D29</f>
        <v>0.02</v>
      </c>
      <c r="E9" s="4" t="n">
        <f aca="false">Assumptions!E29</f>
        <v>0.02</v>
      </c>
      <c r="F9" s="4" t="n">
        <f aca="false">Assumptions!F29</f>
        <v>0.02</v>
      </c>
      <c r="G9" s="4" t="n">
        <f aca="false">Assumptions!G29</f>
        <v>0.02</v>
      </c>
      <c r="H9" s="4" t="n">
        <f aca="false">Assumptions!H29</f>
        <v>0.02</v>
      </c>
      <c r="I9" s="4" t="n">
        <f aca="false">Assumptions!I29</f>
        <v>0.02</v>
      </c>
      <c r="J9" s="4" t="n">
        <f aca="false">Assumptions!J29</f>
        <v>0.02</v>
      </c>
      <c r="K9" s="4" t="n">
        <f aca="false">Assumptions!K29</f>
        <v>0.02</v>
      </c>
      <c r="L9" s="4" t="n">
        <f aca="false">Assumptions!L29</f>
        <v>0.02</v>
      </c>
    </row>
    <row r="10" customFormat="false" ht="15" hidden="false" customHeight="false" outlineLevel="0" collapsed="false">
      <c r="A10" s="0" t="s">
        <v>115</v>
      </c>
      <c r="C10" s="0" t="n">
        <f aca="false">-C6*C9/100</f>
        <v>-346.5177172</v>
      </c>
      <c r="D10" s="0" t="n">
        <f aca="false">-D6*D9/100</f>
        <v>-365.576191646</v>
      </c>
      <c r="E10" s="0" t="n">
        <f aca="false">-E6*E9/100</f>
        <v>-383.8550012283</v>
      </c>
      <c r="F10" s="0" t="n">
        <f aca="false">-F6*F9/100</f>
        <v>-401.128476283574</v>
      </c>
      <c r="G10" s="0" t="n">
        <f aca="false">-G6*G9/100</f>
        <v>-417.173615334916</v>
      </c>
      <c r="H10" s="0" t="n">
        <f aca="false">-H6*H9/100</f>
        <v>-431.774691871639</v>
      </c>
      <c r="I10" s="0" t="n">
        <f aca="false">-I6*I9/100</f>
        <v>-444.727932627788</v>
      </c>
      <c r="J10" s="0" t="n">
        <f aca="false">-J6*J9/100</f>
        <v>-458.069770606621</v>
      </c>
      <c r="K10" s="0" t="n">
        <f aca="false">-K6*K9/100</f>
        <v>-469.521514871787</v>
      </c>
      <c r="L10" s="0" t="n">
        <f aca="false">-L6*L9/100</f>
        <v>-481.259552743581</v>
      </c>
    </row>
    <row r="11" customFormat="false" ht="15" hidden="false" customHeight="false" outlineLevel="0" collapsed="false">
      <c r="A11" s="0" t="s">
        <v>116</v>
      </c>
      <c r="C11" s="0" t="n">
        <f aca="false">C8+C10+C24</f>
        <v>262140.6530618</v>
      </c>
      <c r="D11" s="0" t="n">
        <f aca="false">D8+D10+D24</f>
        <v>282042.031854889</v>
      </c>
      <c r="E11" s="0" t="n">
        <f aca="false">E8+E10+E24</f>
        <v>301901.958466058</v>
      </c>
      <c r="F11" s="0" t="n">
        <f aca="false">F8+F10+F24</f>
        <v>319498.831359866</v>
      </c>
      <c r="G11" s="0" t="n">
        <f aca="false">G8+G10+G24</f>
        <v>336450.52076761</v>
      </c>
      <c r="H11" s="0" t="n">
        <f aca="false">H8+H10+H24</f>
        <v>348226.288994476</v>
      </c>
      <c r="I11" s="0" t="n">
        <f aca="false">I8+I10+I24</f>
        <v>358673.077664311</v>
      </c>
      <c r="J11" s="0" t="n">
        <f aca="false">J8+J10+J24</f>
        <v>369433.26999424</v>
      </c>
      <c r="K11" s="0" t="n">
        <f aca="false">K8+K10+K24</f>
        <v>378669.101744096</v>
      </c>
      <c r="L11" s="0" t="n">
        <f aca="false">L8+L10+L24</f>
        <v>388135.829287698</v>
      </c>
    </row>
    <row r="12" customFormat="false" ht="15" hidden="false" customHeight="false" outlineLevel="0" collapsed="false">
      <c r="A12" s="0" t="s">
        <v>117</v>
      </c>
      <c r="C12" s="4" t="n">
        <f aca="false">-C6*Assumptions!C31/100</f>
        <v>-86629.4293</v>
      </c>
      <c r="D12" s="4" t="n">
        <f aca="false">-D6*Assumptions!D31/100</f>
        <v>-93221.92886973</v>
      </c>
      <c r="E12" s="4" t="n">
        <f aca="false">-E6*Assumptions!E31/100</f>
        <v>-99802.300319358</v>
      </c>
      <c r="F12" s="4" t="n">
        <f aca="false">-F6*Assumptions!F31/100</f>
        <v>-106299.046215147</v>
      </c>
      <c r="G12" s="4" t="n">
        <f aca="false">-G6*Assumptions!G31/100</f>
        <v>-110551.008063753</v>
      </c>
      <c r="H12" s="4" t="n">
        <f aca="false">-H6*Assumptions!H31/100</f>
        <v>-114420.293345984</v>
      </c>
      <c r="I12" s="4" t="n">
        <f aca="false">-I6*Assumptions!I31/100</f>
        <v>-117852.902146364</v>
      </c>
      <c r="J12" s="4" t="n">
        <f aca="false">-J6*Assumptions!J31/100</f>
        <v>-121388.489210755</v>
      </c>
      <c r="K12" s="4" t="n">
        <f aca="false">-K6*Assumptions!K31/100</f>
        <v>-124423.201441023</v>
      </c>
      <c r="L12" s="4" t="n">
        <f aca="false">-L6*Assumptions!L31/100</f>
        <v>-127533.781477049</v>
      </c>
    </row>
    <row r="13" customFormat="false" ht="15" hidden="false" customHeight="false" outlineLevel="0" collapsed="false">
      <c r="A13" s="0" t="s">
        <v>118</v>
      </c>
      <c r="C13" s="0" t="n">
        <f aca="false">C11+C12</f>
        <v>175511.2237618</v>
      </c>
      <c r="D13" s="0" t="n">
        <f aca="false">D11+D12</f>
        <v>188820.102985159</v>
      </c>
      <c r="E13" s="0" t="n">
        <f aca="false">E11+E12</f>
        <v>202099.6581467</v>
      </c>
      <c r="F13" s="0" t="n">
        <f aca="false">F11+F12</f>
        <v>213199.785144719</v>
      </c>
      <c r="G13" s="0" t="n">
        <f aca="false">G11+G12</f>
        <v>225899.512703857</v>
      </c>
      <c r="H13" s="0" t="n">
        <f aca="false">H11+H12</f>
        <v>233805.995648492</v>
      </c>
      <c r="I13" s="0" t="n">
        <f aca="false">I11+I12</f>
        <v>240820.175517947</v>
      </c>
      <c r="J13" s="0" t="n">
        <f aca="false">J11+J12</f>
        <v>248044.780783485</v>
      </c>
      <c r="K13" s="0" t="n">
        <f aca="false">K11+K12</f>
        <v>254245.900303072</v>
      </c>
      <c r="L13" s="0" t="n">
        <f aca="false">L11+L12</f>
        <v>260602.047810649</v>
      </c>
    </row>
    <row r="14" customFormat="false" ht="15" hidden="false" customHeight="false" outlineLevel="0" collapsed="false">
      <c r="A14" s="0" t="s">
        <v>104</v>
      </c>
      <c r="C14" s="4" t="n">
        <f aca="false">Assumptions!C33</f>
        <v>32</v>
      </c>
      <c r="D14" s="4" t="n">
        <f aca="false">Assumptions!D33</f>
        <v>32</v>
      </c>
      <c r="E14" s="4" t="n">
        <f aca="false">Assumptions!E33</f>
        <v>32</v>
      </c>
      <c r="F14" s="4" t="n">
        <f aca="false">Assumptions!F33</f>
        <v>32</v>
      </c>
      <c r="G14" s="4" t="n">
        <f aca="false">Assumptions!G33</f>
        <v>32</v>
      </c>
      <c r="H14" s="4" t="n">
        <f aca="false">Assumptions!H33</f>
        <v>32</v>
      </c>
      <c r="I14" s="4" t="n">
        <f aca="false">Assumptions!I33</f>
        <v>32</v>
      </c>
      <c r="J14" s="4" t="n">
        <f aca="false">Assumptions!J33</f>
        <v>32</v>
      </c>
      <c r="K14" s="4" t="n">
        <f aca="false">Assumptions!K33</f>
        <v>32</v>
      </c>
      <c r="L14" s="4" t="n">
        <f aca="false">Assumptions!L33</f>
        <v>32</v>
      </c>
    </row>
    <row r="15" customFormat="false" ht="15" hidden="false" customHeight="false" outlineLevel="0" collapsed="false">
      <c r="A15" s="0" t="s">
        <v>119</v>
      </c>
      <c r="C15" s="0" t="n">
        <f aca="false">C13-MAX(0,C13)*C14/100</f>
        <v>119347.632158024</v>
      </c>
      <c r="D15" s="0" t="n">
        <f aca="false">D13-MAX(0,D13)*D14/100</f>
        <v>128397.670029908</v>
      </c>
      <c r="E15" s="0" t="n">
        <f aca="false">E13-MAX(0,E13)*E14/100</f>
        <v>137427.767539756</v>
      </c>
      <c r="F15" s="0" t="n">
        <f aca="false">F13-MAX(0,F13)*F14/100</f>
        <v>144975.853898409</v>
      </c>
      <c r="G15" s="0" t="n">
        <f aca="false">G13-MAX(0,G13)*G14/100</f>
        <v>153611.668638623</v>
      </c>
      <c r="H15" s="0" t="n">
        <f aca="false">H13-MAX(0,H13)*H14/100</f>
        <v>158988.077040975</v>
      </c>
      <c r="I15" s="0" t="n">
        <f aca="false">I13-MAX(0,I13)*I14/100</f>
        <v>163757.719352204</v>
      </c>
      <c r="J15" s="0" t="n">
        <f aca="false">J13-MAX(0,J13)*J14/100</f>
        <v>168670.45093277</v>
      </c>
      <c r="K15" s="0" t="n">
        <f aca="false">K13-MAX(0,K13)*K14/100</f>
        <v>172887.212206089</v>
      </c>
      <c r="L15" s="0" t="n">
        <f aca="false">L13-MAX(0,L13)*L14/100</f>
        <v>177209.392511242</v>
      </c>
    </row>
    <row r="16" customFormat="false" ht="15" hidden="false" customHeight="false" outlineLevel="0" collapsed="false">
      <c r="A16" s="0" t="s">
        <v>120</v>
      </c>
      <c r="C16" s="0" t="n">
        <f aca="false">-C12</f>
        <v>86629.4293</v>
      </c>
      <c r="D16" s="0" t="n">
        <f aca="false">-D12</f>
        <v>93221.92886973</v>
      </c>
      <c r="E16" s="0" t="n">
        <f aca="false">-E12</f>
        <v>99802.300319358</v>
      </c>
      <c r="F16" s="0" t="n">
        <f aca="false">-F12</f>
        <v>106299.046215147</v>
      </c>
      <c r="G16" s="0" t="n">
        <f aca="false">-G12</f>
        <v>110551.008063753</v>
      </c>
      <c r="H16" s="0" t="n">
        <f aca="false">-H12</f>
        <v>114420.293345984</v>
      </c>
      <c r="I16" s="0" t="n">
        <f aca="false">-I12</f>
        <v>117852.902146364</v>
      </c>
      <c r="J16" s="0" t="n">
        <f aca="false">-J12</f>
        <v>121388.489210755</v>
      </c>
      <c r="K16" s="0" t="n">
        <f aca="false">-K12</f>
        <v>124423.201441023</v>
      </c>
      <c r="L16" s="0" t="n">
        <f aca="false">-L12</f>
        <v>127533.781477049</v>
      </c>
    </row>
    <row r="17" customFormat="false" ht="15" hidden="false" customHeight="false" outlineLevel="0" collapsed="false">
      <c r="A17" s="0" t="s">
        <v>121</v>
      </c>
      <c r="C17" s="4" t="n">
        <f aca="false">-C6*Assumptions!C32/100</f>
        <v>-109153.080918</v>
      </c>
      <c r="D17" s="4" t="n">
        <f aca="false">-D6*Assumptions!D32/100</f>
        <v>-113328.61941026</v>
      </c>
      <c r="E17" s="4" t="n">
        <f aca="false">-E6*Assumptions!E32/100</f>
        <v>-115156.50036849</v>
      </c>
      <c r="F17" s="4" t="n">
        <f aca="false">-F6*Assumptions!F32/100</f>
        <v>-118332.900503654</v>
      </c>
      <c r="G17" s="4" t="n">
        <f aca="false">-G6*Assumptions!G32/100</f>
        <v>-120980.348447126</v>
      </c>
      <c r="H17" s="4" t="n">
        <f aca="false">-H6*Assumptions!H32/100</f>
        <v>-123055.787183417</v>
      </c>
      <c r="I17" s="4" t="n">
        <f aca="false">-I6*Assumptions!I32/100</f>
        <v>-124523.821135781</v>
      </c>
      <c r="J17" s="4" t="n">
        <f aca="false">-J6*Assumptions!J32/100</f>
        <v>-128259.535769854</v>
      </c>
      <c r="K17" s="4" t="n">
        <f aca="false">-K6*Assumptions!K32/100</f>
        <v>-129118.416589741</v>
      </c>
      <c r="L17" s="4" t="n">
        <f aca="false">-L6*Assumptions!L32/100</f>
        <v>-132346.377004485</v>
      </c>
    </row>
    <row r="18" customFormat="false" ht="15" hidden="false" customHeight="false" outlineLevel="0" collapsed="false">
      <c r="A18" s="0" t="s">
        <v>122</v>
      </c>
      <c r="C18" s="4" t="n">
        <f aca="false">(C6-B6)*Assumptions!$B$37/100</f>
        <v>-14886.9586</v>
      </c>
      <c r="D18" s="4" t="n">
        <f aca="false">(D6-C6)*Assumptions!$B$37/100</f>
        <v>-9529.23722299999</v>
      </c>
      <c r="E18" s="4" t="n">
        <f aca="false">(E6-D6)*Assumptions!$B$37/100</f>
        <v>-9139.40479115001</v>
      </c>
      <c r="F18" s="4" t="n">
        <f aca="false">(F6-E6)*Assumptions!$B$37/100</f>
        <v>-8636.73752763674</v>
      </c>
      <c r="G18" s="4" t="n">
        <f aca="false">(G6-F6)*Assumptions!$B$37/100</f>
        <v>-8022.56952567147</v>
      </c>
      <c r="H18" s="4" t="n">
        <f aca="false">(H6-G6)*Assumptions!$B$37/100</f>
        <v>-7300.53826836103</v>
      </c>
      <c r="I18" s="4" t="n">
        <f aca="false">(I6-H6)*Assumptions!$B$37/100</f>
        <v>-6476.62037807456</v>
      </c>
      <c r="J18" s="4" t="n">
        <f aca="false">(J6-I6)*Assumptions!$B$37/100</f>
        <v>-6670.91898941682</v>
      </c>
      <c r="K18" s="4" t="n">
        <f aca="false">(K6-J6)*Assumptions!$B$37/100</f>
        <v>-5725.87213258273</v>
      </c>
      <c r="L18" s="4" t="n">
        <f aca="false">(L6-K6)*Assumptions!$B$37/100</f>
        <v>-5869.0189358973</v>
      </c>
    </row>
    <row r="19" customFormat="false" ht="15" hidden="false" customHeight="false" outlineLevel="0" collapsed="false">
      <c r="A19" s="0" t="s">
        <v>123</v>
      </c>
      <c r="C19" s="0" t="n">
        <f aca="false">C15+C16+C17+C18</f>
        <v>81937.021940024</v>
      </c>
      <c r="D19" s="0" t="n">
        <f aca="false">D15+D16+D17+D18</f>
        <v>98761.7422663782</v>
      </c>
      <c r="E19" s="0" t="n">
        <f aca="false">E15+E16+E17+E18</f>
        <v>112934.162699474</v>
      </c>
      <c r="F19" s="0" t="n">
        <f aca="false">F15+F16+F17+F18</f>
        <v>124305.262082265</v>
      </c>
      <c r="G19" s="0" t="n">
        <f aca="false">G15+G16+G17+G18</f>
        <v>135159.758729579</v>
      </c>
      <c r="H19" s="0" t="n">
        <f aca="false">H15+H16+H17+H18</f>
        <v>143052.044935181</v>
      </c>
      <c r="I19" s="0" t="n">
        <f aca="false">I15+I16+I17+I18</f>
        <v>150610.179984713</v>
      </c>
      <c r="J19" s="0" t="n">
        <f aca="false">J15+J16+J17+J18</f>
        <v>155128.485384254</v>
      </c>
      <c r="K19" s="0" t="n">
        <f aca="false">K15+K16+K17+K18</f>
        <v>162466.124924789</v>
      </c>
      <c r="L19" s="0" t="n">
        <f aca="false">L15+L16+L17+L18</f>
        <v>166527.778047908</v>
      </c>
    </row>
    <row r="20" customFormat="false" ht="15" hidden="false" customHeight="false" outlineLevel="0" collapsed="false">
      <c r="A20" s="0" t="s">
        <v>124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125</v>
      </c>
      <c r="C21" s="0" t="n">
        <f aca="false">C19*C20</f>
        <v>76576.656018714</v>
      </c>
      <c r="D21" s="0" t="n">
        <f aca="false">D19*D20</f>
        <v>86262.330567192</v>
      </c>
      <c r="E21" s="0" t="n">
        <f aca="false">E19*E20</f>
        <v>92187.9172400266</v>
      </c>
      <c r="F21" s="0" t="n">
        <f aca="false">F19*F20</f>
        <v>94831.8892748729</v>
      </c>
      <c r="G21" s="0" t="n">
        <f aca="false">G19*G20</f>
        <v>96367.0399965366</v>
      </c>
      <c r="H21" s="0" t="n">
        <f aca="false">H19*H20</f>
        <v>95321.6177436081</v>
      </c>
      <c r="I21" s="0" t="n">
        <f aca="false">I19*I20</f>
        <v>93792.4507106716</v>
      </c>
      <c r="J21" s="0" t="n">
        <f aca="false">J19*J20</f>
        <v>90286.1908710202</v>
      </c>
      <c r="K21" s="0" t="n">
        <f aca="false">K19*K20</f>
        <v>88370.807373484</v>
      </c>
      <c r="L21" s="0" t="n">
        <f aca="false">L19*L20</f>
        <v>84654.2780914216</v>
      </c>
    </row>
    <row r="23" customFormat="false" ht="15" hidden="false" customHeight="false" outlineLevel="0" collapsed="false">
      <c r="A23" s="0" t="s">
        <v>101</v>
      </c>
      <c r="C23" s="4" t="n">
        <f aca="false">Assumptions!C30</f>
        <v>0.85</v>
      </c>
      <c r="D23" s="4" t="n">
        <f aca="false">Assumptions!D30</f>
        <v>0.85</v>
      </c>
      <c r="E23" s="4" t="n">
        <f aca="false">Assumptions!E30</f>
        <v>0.85</v>
      </c>
      <c r="F23" s="4" t="n">
        <f aca="false">Assumptions!F30</f>
        <v>0.85</v>
      </c>
      <c r="G23" s="4" t="n">
        <f aca="false">Assumptions!G30</f>
        <v>0.85</v>
      </c>
      <c r="H23" s="4" t="n">
        <f aca="false">Assumptions!H30</f>
        <v>0.85</v>
      </c>
      <c r="I23" s="4" t="n">
        <f aca="false">Assumptions!I30</f>
        <v>0.85</v>
      </c>
      <c r="J23" s="4" t="n">
        <f aca="false">Assumptions!J30</f>
        <v>0.85</v>
      </c>
      <c r="K23" s="4" t="n">
        <f aca="false">Assumptions!K30</f>
        <v>0.85</v>
      </c>
      <c r="L23" s="4" t="n">
        <f aca="false">Assumptions!L30</f>
        <v>0.85</v>
      </c>
    </row>
    <row r="24" customFormat="false" ht="15" hidden="false" customHeight="false" outlineLevel="0" collapsed="false">
      <c r="A24" s="0" t="s">
        <v>126</v>
      </c>
      <c r="C24" s="0" t="n">
        <f aca="false">-C6*C23/100</f>
        <v>-14727.002981</v>
      </c>
      <c r="D24" s="0" t="n">
        <f aca="false">-D6*D23/100</f>
        <v>-15536.988144955</v>
      </c>
      <c r="E24" s="0" t="n">
        <f aca="false">-E6*E23/100</f>
        <v>-16313.8375522028</v>
      </c>
      <c r="F24" s="0" t="n">
        <f aca="false">-F6*F23/100</f>
        <v>-17047.9602420519</v>
      </c>
      <c r="G24" s="0" t="n">
        <f aca="false">-G6*G23/100</f>
        <v>-17729.8786517339</v>
      </c>
      <c r="H24" s="0" t="n">
        <f aca="false">-H6*H23/100</f>
        <v>-18350.4244045446</v>
      </c>
      <c r="I24" s="0" t="n">
        <f aca="false">-I6*I23/100</f>
        <v>-18900.937136681</v>
      </c>
      <c r="J24" s="0" t="n">
        <f aca="false">-J6*J23/100</f>
        <v>-19467.9652507814</v>
      </c>
      <c r="K24" s="0" t="n">
        <f aca="false">-K6*K23/100</f>
        <v>-19954.6643820509</v>
      </c>
      <c r="L24" s="0" t="n">
        <f aca="false">-L6*L23/100</f>
        <v>-20453.5309916022</v>
      </c>
    </row>
    <row r="26" customFormat="false" ht="15" hidden="false" customHeight="false" outlineLevel="0" collapsed="false">
      <c r="A26" s="2" t="s">
        <v>127</v>
      </c>
    </row>
    <row r="27" customFormat="false" ht="15" hidden="false" customHeight="false" outlineLevel="0" collapsed="false">
      <c r="A27" s="0" t="s">
        <v>105</v>
      </c>
      <c r="B27" s="4" t="n">
        <f aca="false">Assumptions!$B$34</f>
        <v>7</v>
      </c>
    </row>
    <row r="28" customFormat="false" ht="15" hidden="false" customHeight="false" outlineLevel="0" collapsed="false">
      <c r="A28" s="0" t="s">
        <v>106</v>
      </c>
      <c r="B28" s="4" t="n">
        <f aca="false">Assumptions!$B$35</f>
        <v>2</v>
      </c>
    </row>
    <row r="29" customFormat="false" ht="15" hidden="false" customHeight="false" outlineLevel="0" collapsed="false">
      <c r="A29" s="0" t="s">
        <v>107</v>
      </c>
      <c r="B29" s="4" t="n">
        <f aca="false">Assumptions!$B$36</f>
        <v>20</v>
      </c>
    </row>
    <row r="30" customFormat="false" ht="15" hidden="false" customHeight="false" outlineLevel="0" collapsed="false">
      <c r="A30" s="0" t="s">
        <v>128</v>
      </c>
      <c r="B30" s="0" t="n">
        <f aca="false">SUM(C21:L21)</f>
        <v>898651.177887548</v>
      </c>
    </row>
    <row r="31" customFormat="false" ht="15" hidden="false" customHeight="false" outlineLevel="0" collapsed="false">
      <c r="A31" s="0" t="s">
        <v>129</v>
      </c>
      <c r="B31" s="0" t="n">
        <f aca="false">L19</f>
        <v>166527.778047908</v>
      </c>
    </row>
    <row r="32" customFormat="false" ht="15" hidden="false" customHeight="false" outlineLevel="0" collapsed="false">
      <c r="A32" s="0" t="s">
        <v>130</v>
      </c>
      <c r="B32" s="0" t="n">
        <f aca="false">IF(B27&gt;B28,B31*(1+B28/100)/((B27-B28)/100),B31*B29)</f>
        <v>3397166.67217733</v>
      </c>
    </row>
    <row r="33" customFormat="false" ht="15" hidden="false" customHeight="false" outlineLevel="0" collapsed="false">
      <c r="A33" s="0" t="s">
        <v>131</v>
      </c>
      <c r="B33" s="0" t="n">
        <f aca="false">B31*B29</f>
        <v>3330555.56095817</v>
      </c>
    </row>
    <row r="34" customFormat="false" ht="15" hidden="false" customHeight="false" outlineLevel="0" collapsed="false">
      <c r="A34" s="0" t="s">
        <v>132</v>
      </c>
      <c r="B34" s="0" t="n">
        <f aca="false">MAX(0,MIN(B32,B33))</f>
        <v>3330555.56095817</v>
      </c>
    </row>
    <row r="35" customFormat="false" ht="15" hidden="false" customHeight="false" outlineLevel="0" collapsed="false">
      <c r="A35" s="0" t="s">
        <v>133</v>
      </c>
      <c r="B35" s="0" t="n">
        <f aca="false">B34/(1+B27/100)^L4</f>
        <v>1693085.56182843</v>
      </c>
    </row>
    <row r="36" customFormat="false" ht="15" hidden="false" customHeight="false" outlineLevel="0" collapsed="false">
      <c r="A36" s="0" t="s">
        <v>134</v>
      </c>
      <c r="B36" s="0" t="n">
        <f aca="false">B30+B35</f>
        <v>2591736.73971598</v>
      </c>
    </row>
    <row r="37" customFormat="false" ht="15" hidden="false" customHeight="false" outlineLevel="0" collapsed="false">
      <c r="A37" s="0" t="s">
        <v>135</v>
      </c>
      <c r="B37" s="0" t="n">
        <f aca="false">B36+Assumptions!$B$5-Assumptions!$B$4</f>
        <v>2314231.73971598</v>
      </c>
    </row>
    <row r="38" customFormat="false" ht="15" hidden="false" customHeight="false" outlineLevel="0" collapsed="false">
      <c r="A38" s="0" t="s">
        <v>136</v>
      </c>
      <c r="B38" s="0" t="n">
        <f aca="false">B37/Assumptions!$B$3*Assumptions!$B$10</f>
        <v>2424.39122834973</v>
      </c>
    </row>
    <row r="39" customFormat="false" ht="15" hidden="false" customHeight="false" outlineLevel="0" collapsed="false">
      <c r="A39" s="0" t="s">
        <v>137</v>
      </c>
      <c r="B39" s="4" t="n">
        <f aca="false">B38/Assumptions!$B$2-1</f>
        <v>-0.516282675907874</v>
      </c>
    </row>
    <row r="41" customFormat="false" ht="15" hidden="false" customHeight="false" outlineLevel="0" collapsed="false">
      <c r="A41" s="0" t="s">
        <v>138</v>
      </c>
      <c r="B41" s="0" t="n">
        <f aca="false">SUMPRODUCT(-C10:L10/(1+$B$27/100)^C4:L4)</f>
        <v>2891.2560148579</v>
      </c>
    </row>
    <row r="42" customFormat="false" ht="15" hidden="false" customHeight="false" outlineLevel="0" collapsed="false">
      <c r="A42" s="0" t="s">
        <v>139</v>
      </c>
      <c r="B42" s="0" t="n">
        <f aca="false">IF(B27&gt;B28,-L10*(1+B28/100)/((B27-B28)/100),-L10*20)/(1+B27/100)^L4</f>
        <v>4990.81824059352</v>
      </c>
    </row>
    <row r="43" customFormat="false" ht="15" hidden="false" customHeight="false" outlineLevel="0" collapsed="false">
      <c r="A43" s="0" t="s">
        <v>140</v>
      </c>
      <c r="B43" s="0" t="n">
        <f aca="false">(B37+B41+B42)/Assumptions!$B$3*Assumptions!$B$10</f>
        <v>2432.64849634851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1306602.56622205</v>
      </c>
    </row>
    <row r="47" customFormat="false" ht="15" hidden="false" customHeight="false" outlineLevel="0" collapsed="false">
      <c r="A47" s="0" t="s">
        <v>142</v>
      </c>
      <c r="B47" s="0" t="n">
        <f aca="false">(SUMPRODUCT(C19:L19/(1+B45/100)^C4:L4)+B46/(1+B45/100)^L4+Assumptions!$B$5-Assumptions!$B$4)/Assumptions!$B$3*Assumptions!$B$10</f>
        <v>691.882028431681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11</v>
      </c>
      <c r="D5" s="4" t="n">
        <f aca="false">Assumptions!D41</f>
        <v>8</v>
      </c>
      <c r="E5" s="4" t="n">
        <f aca="false">Assumptions!E41</f>
        <v>7</v>
      </c>
      <c r="F5" s="4" t="n">
        <f aca="false">Assumptions!F41</f>
        <v>6</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1583719</v>
      </c>
      <c r="C6" s="0" t="n">
        <f aca="false">B6*(1+C5/100)</f>
        <v>1757928.09</v>
      </c>
      <c r="D6" s="0" t="n">
        <f aca="false">C6*(1+D5/100)</f>
        <v>1898562.3372</v>
      </c>
      <c r="E6" s="0" t="n">
        <f aca="false">D6*(1+E5/100)</f>
        <v>2031461.700804</v>
      </c>
      <c r="F6" s="0" t="n">
        <f aca="false">E6*(1+F5/100)</f>
        <v>2153349.40285224</v>
      </c>
      <c r="G6" s="0" t="n">
        <f aca="false">F6*(1+G5/100)</f>
        <v>2261016.87299485</v>
      </c>
      <c r="H6" s="0" t="n">
        <f aca="false">G6*(1+H5/100)</f>
        <v>2362762.63227962</v>
      </c>
      <c r="I6" s="0" t="n">
        <f aca="false">H6*(1+I5/100)</f>
        <v>2457273.13757081</v>
      </c>
      <c r="J6" s="0" t="n">
        <f aca="false">I6*(1+J5/100)</f>
        <v>2543277.69738578</v>
      </c>
      <c r="K6" s="0" t="n">
        <f aca="false">J6*(1+K5/100)</f>
        <v>2619576.02830736</v>
      </c>
      <c r="L6" s="0" t="n">
        <f aca="false">K6*(1+L5/100)</f>
        <v>2698163.30915658</v>
      </c>
    </row>
    <row r="7" customFormat="false" ht="15" hidden="false" customHeight="false" outlineLevel="0" collapsed="false">
      <c r="A7" s="0" t="s">
        <v>99</v>
      </c>
      <c r="C7" s="4" t="n">
        <f aca="false">Assumptions!C42</f>
        <v>16.3</v>
      </c>
      <c r="D7" s="4" t="n">
        <f aca="false">Assumptions!D42</f>
        <v>16.9</v>
      </c>
      <c r="E7" s="4" t="n">
        <f aca="false">Assumptions!E42</f>
        <v>17.4</v>
      </c>
      <c r="F7" s="4" t="n">
        <f aca="false">Assumptions!F42</f>
        <v>17.8</v>
      </c>
      <c r="G7" s="4" t="n">
        <f aca="false">Assumptions!G42</f>
        <v>18.1</v>
      </c>
      <c r="H7" s="4" t="n">
        <f aca="false">Assumptions!H42</f>
        <v>18.3</v>
      </c>
      <c r="I7" s="4" t="n">
        <f aca="false">Assumptions!I42</f>
        <v>18.5</v>
      </c>
      <c r="J7" s="4" t="n">
        <f aca="false">Assumptions!J42</f>
        <v>18.5</v>
      </c>
      <c r="K7" s="4" t="n">
        <f aca="false">Assumptions!K42</f>
        <v>18.5</v>
      </c>
      <c r="L7" s="4" t="n">
        <f aca="false">Assumptions!L42</f>
        <v>18.5</v>
      </c>
    </row>
    <row r="8" customFormat="false" ht="15" hidden="false" customHeight="false" outlineLevel="0" collapsed="false">
      <c r="A8" s="0" t="s">
        <v>43</v>
      </c>
      <c r="C8" s="0" t="n">
        <f aca="false">C6*C7/100</f>
        <v>286542.27867</v>
      </c>
      <c r="D8" s="0" t="n">
        <f aca="false">D6*D7/100</f>
        <v>320857.0349868</v>
      </c>
      <c r="E8" s="0" t="n">
        <f aca="false">E6*E7/100</f>
        <v>353474.335939896</v>
      </c>
      <c r="F8" s="0" t="n">
        <f aca="false">F6*F7/100</f>
        <v>383296.193707699</v>
      </c>
      <c r="G8" s="0" t="n">
        <f aca="false">G6*G7/100</f>
        <v>409244.054012068</v>
      </c>
      <c r="H8" s="0" t="n">
        <f aca="false">H6*H7/100</f>
        <v>432385.561707171</v>
      </c>
      <c r="I8" s="0" t="n">
        <f aca="false">I6*I7/100</f>
        <v>454595.530450599</v>
      </c>
      <c r="J8" s="0" t="n">
        <f aca="false">J6*J7/100</f>
        <v>470506.37401637</v>
      </c>
      <c r="K8" s="0" t="n">
        <f aca="false">K6*K7/100</f>
        <v>484621.565236861</v>
      </c>
      <c r="L8" s="0" t="n">
        <f aca="false">L6*L7/100</f>
        <v>499160.212193967</v>
      </c>
    </row>
    <row r="9" customFormat="false" ht="15" hidden="false" customHeight="false" outlineLevel="0" collapsed="false">
      <c r="A9" s="0" t="s">
        <v>100</v>
      </c>
      <c r="C9" s="4" t="n">
        <f aca="false">Assumptions!C43</f>
        <v>0.02</v>
      </c>
      <c r="D9" s="4" t="n">
        <f aca="false">Assumptions!D43</f>
        <v>0.02</v>
      </c>
      <c r="E9" s="4" t="n">
        <f aca="false">Assumptions!E43</f>
        <v>0.02</v>
      </c>
      <c r="F9" s="4" t="n">
        <f aca="false">Assumptions!F43</f>
        <v>0.02</v>
      </c>
      <c r="G9" s="4" t="n">
        <f aca="false">Assumptions!G43</f>
        <v>0.02</v>
      </c>
      <c r="H9" s="4" t="n">
        <f aca="false">Assumptions!H43</f>
        <v>0.02</v>
      </c>
      <c r="I9" s="4" t="n">
        <f aca="false">Assumptions!I43</f>
        <v>0.02</v>
      </c>
      <c r="J9" s="4" t="n">
        <f aca="false">Assumptions!J43</f>
        <v>0.02</v>
      </c>
      <c r="K9" s="4" t="n">
        <f aca="false">Assumptions!K43</f>
        <v>0.02</v>
      </c>
      <c r="L9" s="4" t="n">
        <f aca="false">Assumptions!L43</f>
        <v>0.02</v>
      </c>
    </row>
    <row r="10" customFormat="false" ht="15" hidden="false" customHeight="false" outlineLevel="0" collapsed="false">
      <c r="A10" s="0" t="s">
        <v>115</v>
      </c>
      <c r="C10" s="0" t="n">
        <f aca="false">-C6*C9/100</f>
        <v>-351.585618</v>
      </c>
      <c r="D10" s="0" t="n">
        <f aca="false">-D6*D9/100</f>
        <v>-379.71246744</v>
      </c>
      <c r="E10" s="0" t="n">
        <f aca="false">-E6*E9/100</f>
        <v>-406.2923401608</v>
      </c>
      <c r="F10" s="0" t="n">
        <f aca="false">-F6*F9/100</f>
        <v>-430.669880570448</v>
      </c>
      <c r="G10" s="0" t="n">
        <f aca="false">-G6*G9/100</f>
        <v>-452.203374598971</v>
      </c>
      <c r="H10" s="0" t="n">
        <f aca="false">-H6*H9/100</f>
        <v>-472.552526455924</v>
      </c>
      <c r="I10" s="0" t="n">
        <f aca="false">-I6*I9/100</f>
        <v>-491.454627514161</v>
      </c>
      <c r="J10" s="0" t="n">
        <f aca="false">-J6*J9/100</f>
        <v>-508.655539477157</v>
      </c>
      <c r="K10" s="0" t="n">
        <f aca="false">-K6*K9/100</f>
        <v>-523.915205661472</v>
      </c>
      <c r="L10" s="0" t="n">
        <f aca="false">-L6*L9/100</f>
        <v>-539.632661831316</v>
      </c>
    </row>
    <row r="11" customFormat="false" ht="15" hidden="false" customHeight="false" outlineLevel="0" collapsed="false">
      <c r="A11" s="0" t="s">
        <v>116</v>
      </c>
      <c r="C11" s="0" t="n">
        <f aca="false">C8+C10+C24</f>
        <v>271248.304287</v>
      </c>
      <c r="D11" s="0" t="n">
        <f aca="false">D8+D10+D24</f>
        <v>304339.54265316</v>
      </c>
      <c r="E11" s="0" t="n">
        <f aca="false">E8+E10+E24</f>
        <v>335800.619142901</v>
      </c>
      <c r="F11" s="0" t="n">
        <f aca="false">F8+F10+F24</f>
        <v>364562.053902884</v>
      </c>
      <c r="G11" s="0" t="n">
        <f aca="false">G8+G10+G24</f>
        <v>389573.207217013</v>
      </c>
      <c r="H11" s="0" t="n">
        <f aca="false">H8+H10+H24</f>
        <v>411829.526806338</v>
      </c>
      <c r="I11" s="0" t="n">
        <f aca="false">I8+I10+I24</f>
        <v>433217.254153733</v>
      </c>
      <c r="J11" s="0" t="n">
        <f aca="false">J8+J10+J24</f>
        <v>448379.858049114</v>
      </c>
      <c r="K11" s="0" t="n">
        <f aca="false">K8+K10+K24</f>
        <v>461831.253790587</v>
      </c>
      <c r="L11" s="0" t="n">
        <f aca="false">L8+L10+L24</f>
        <v>475686.191404305</v>
      </c>
    </row>
    <row r="12" customFormat="false" ht="15" hidden="false" customHeight="false" outlineLevel="0" collapsed="false">
      <c r="A12" s="0" t="s">
        <v>117</v>
      </c>
      <c r="C12" s="4" t="n">
        <f aca="false">-C6*Assumptions!C45/100</f>
        <v>-87896.4045</v>
      </c>
      <c r="D12" s="4" t="n">
        <f aca="false">-D6*Assumptions!D45/100</f>
        <v>-96826.6791972</v>
      </c>
      <c r="E12" s="4" t="n">
        <f aca="false">-E6*Assumptions!E45/100</f>
        <v>-105636.008441808</v>
      </c>
      <c r="F12" s="4" t="n">
        <f aca="false">-F6*Assumptions!F45/100</f>
        <v>-111974.168948317</v>
      </c>
      <c r="G12" s="4" t="n">
        <f aca="false">-G6*Assumptions!G45/100</f>
        <v>-119833.894268727</v>
      </c>
      <c r="H12" s="4" t="n">
        <f aca="false">-H6*Assumptions!H45/100</f>
        <v>-125226.41951082</v>
      </c>
      <c r="I12" s="4" t="n">
        <f aca="false">-I6*Assumptions!I45/100</f>
        <v>-130235.476291253</v>
      </c>
      <c r="J12" s="4" t="n">
        <f aca="false">-J6*Assumptions!J45/100</f>
        <v>-134793.717961447</v>
      </c>
      <c r="K12" s="4" t="n">
        <f aca="false">-K6*Assumptions!K45/100</f>
        <v>-138837.52950029</v>
      </c>
      <c r="L12" s="4" t="n">
        <f aca="false">-L6*Assumptions!L45/100</f>
        <v>-143002.655385299</v>
      </c>
    </row>
    <row r="13" customFormat="false" ht="15" hidden="false" customHeight="false" outlineLevel="0" collapsed="false">
      <c r="A13" s="0" t="s">
        <v>118</v>
      </c>
      <c r="C13" s="0" t="n">
        <f aca="false">C11+C12</f>
        <v>183351.899787</v>
      </c>
      <c r="D13" s="0" t="n">
        <f aca="false">D11+D12</f>
        <v>207512.86345596</v>
      </c>
      <c r="E13" s="0" t="n">
        <f aca="false">E11+E12</f>
        <v>230164.610701093</v>
      </c>
      <c r="F13" s="0" t="n">
        <f aca="false">F11+F12</f>
        <v>252587.884954568</v>
      </c>
      <c r="G13" s="0" t="n">
        <f aca="false">G11+G12</f>
        <v>269739.312948286</v>
      </c>
      <c r="H13" s="0" t="n">
        <f aca="false">H11+H12</f>
        <v>286603.107295518</v>
      </c>
      <c r="I13" s="0" t="n">
        <f aca="false">I11+I12</f>
        <v>302981.77786248</v>
      </c>
      <c r="J13" s="0" t="n">
        <f aca="false">J11+J12</f>
        <v>313586.140087667</v>
      </c>
      <c r="K13" s="0" t="n">
        <f aca="false">K11+K12</f>
        <v>322993.724290297</v>
      </c>
      <c r="L13" s="0" t="n">
        <f aca="false">L11+L12</f>
        <v>332683.536019006</v>
      </c>
    </row>
    <row r="14" customFormat="false" ht="15" hidden="false" customHeight="false" outlineLevel="0" collapsed="false">
      <c r="A14" s="0" t="s">
        <v>104</v>
      </c>
      <c r="C14" s="4" t="n">
        <f aca="false">Assumptions!C47</f>
        <v>32</v>
      </c>
      <c r="D14" s="4" t="n">
        <f aca="false">Assumptions!D47</f>
        <v>32</v>
      </c>
      <c r="E14" s="4" t="n">
        <f aca="false">Assumptions!E47</f>
        <v>32</v>
      </c>
      <c r="F14" s="4" t="n">
        <f aca="false">Assumptions!F47</f>
        <v>32</v>
      </c>
      <c r="G14" s="4" t="n">
        <f aca="false">Assumptions!G47</f>
        <v>32</v>
      </c>
      <c r="H14" s="4" t="n">
        <f aca="false">Assumptions!H47</f>
        <v>32</v>
      </c>
      <c r="I14" s="4" t="n">
        <f aca="false">Assumptions!I47</f>
        <v>32</v>
      </c>
      <c r="J14" s="4" t="n">
        <f aca="false">Assumptions!J47</f>
        <v>32</v>
      </c>
      <c r="K14" s="4" t="n">
        <f aca="false">Assumptions!K47</f>
        <v>32</v>
      </c>
      <c r="L14" s="4" t="n">
        <f aca="false">Assumptions!L47</f>
        <v>32</v>
      </c>
    </row>
    <row r="15" customFormat="false" ht="15" hidden="false" customHeight="false" outlineLevel="0" collapsed="false">
      <c r="A15" s="0" t="s">
        <v>119</v>
      </c>
      <c r="C15" s="0" t="n">
        <f aca="false">C13-MAX(0,C13)*C14/100</f>
        <v>124679.29185516</v>
      </c>
      <c r="D15" s="0" t="n">
        <f aca="false">D13-MAX(0,D13)*D14/100</f>
        <v>141108.747150053</v>
      </c>
      <c r="E15" s="0" t="n">
        <f aca="false">E13-MAX(0,E13)*E14/100</f>
        <v>156511.935276743</v>
      </c>
      <c r="F15" s="0" t="n">
        <f aca="false">F13-MAX(0,F13)*F14/100</f>
        <v>171759.761769106</v>
      </c>
      <c r="G15" s="0" t="n">
        <f aca="false">G13-MAX(0,G13)*G14/100</f>
        <v>183422.732804834</v>
      </c>
      <c r="H15" s="0" t="n">
        <f aca="false">H13-MAX(0,H13)*H14/100</f>
        <v>194890.112960952</v>
      </c>
      <c r="I15" s="0" t="n">
        <f aca="false">I13-MAX(0,I13)*I14/100</f>
        <v>206027.608946487</v>
      </c>
      <c r="J15" s="0" t="n">
        <f aca="false">J13-MAX(0,J13)*J14/100</f>
        <v>213238.575259614</v>
      </c>
      <c r="K15" s="0" t="n">
        <f aca="false">K13-MAX(0,K13)*K14/100</f>
        <v>219635.732517402</v>
      </c>
      <c r="L15" s="0" t="n">
        <f aca="false">L13-MAX(0,L13)*L14/100</f>
        <v>226224.804492924</v>
      </c>
    </row>
    <row r="16" customFormat="false" ht="15" hidden="false" customHeight="false" outlineLevel="0" collapsed="false">
      <c r="A16" s="0" t="s">
        <v>120</v>
      </c>
      <c r="C16" s="0" t="n">
        <f aca="false">-C12</f>
        <v>87896.4045</v>
      </c>
      <c r="D16" s="0" t="n">
        <f aca="false">-D12</f>
        <v>96826.6791972</v>
      </c>
      <c r="E16" s="0" t="n">
        <f aca="false">-E12</f>
        <v>105636.008441808</v>
      </c>
      <c r="F16" s="0" t="n">
        <f aca="false">-F12</f>
        <v>111974.168948317</v>
      </c>
      <c r="G16" s="0" t="n">
        <f aca="false">-G12</f>
        <v>119833.894268727</v>
      </c>
      <c r="H16" s="0" t="n">
        <f aca="false">-H12</f>
        <v>125226.41951082</v>
      </c>
      <c r="I16" s="0" t="n">
        <f aca="false">-I12</f>
        <v>130235.476291253</v>
      </c>
      <c r="J16" s="0" t="n">
        <f aca="false">-J12</f>
        <v>134793.717961447</v>
      </c>
      <c r="K16" s="0" t="n">
        <f aca="false">-K12</f>
        <v>138837.52950029</v>
      </c>
      <c r="L16" s="0" t="n">
        <f aca="false">-L12</f>
        <v>143002.655385299</v>
      </c>
    </row>
    <row r="17" customFormat="false" ht="15" hidden="false" customHeight="false" outlineLevel="0" collapsed="false">
      <c r="A17" s="0" t="s">
        <v>121</v>
      </c>
      <c r="C17" s="4" t="n">
        <f aca="false">-C6*Assumptions!C46/100</f>
        <v>-114265.32585</v>
      </c>
      <c r="D17" s="4" t="n">
        <f aca="false">-D6*Assumptions!D46/100</f>
        <v>-121507.9895808</v>
      </c>
      <c r="E17" s="4" t="n">
        <f aca="false">-E6*Assumptions!E46/100</f>
        <v>-125950.625449848</v>
      </c>
      <c r="F17" s="4" t="n">
        <f aca="false">-F6*Assumptions!F46/100</f>
        <v>-129200.964171134</v>
      </c>
      <c r="G17" s="4" t="n">
        <f aca="false">-G6*Assumptions!G46/100</f>
        <v>-131138.978633701</v>
      </c>
      <c r="H17" s="4" t="n">
        <f aca="false">-H6*Assumptions!H46/100</f>
        <v>-134677.470039938</v>
      </c>
      <c r="I17" s="4" t="n">
        <f aca="false">-I6*Assumptions!I46/100</f>
        <v>-137607.295703965</v>
      </c>
      <c r="J17" s="4" t="n">
        <f aca="false">-J6*Assumptions!J46/100</f>
        <v>-139880.273356218</v>
      </c>
      <c r="K17" s="4" t="n">
        <f aca="false">-K6*Assumptions!K46/100</f>
        <v>-144076.681556905</v>
      </c>
      <c r="L17" s="4" t="n">
        <f aca="false">-L6*Assumptions!L46/100</f>
        <v>-148398.982003612</v>
      </c>
    </row>
    <row r="18" customFormat="false" ht="15" hidden="false" customHeight="false" outlineLevel="0" collapsed="false">
      <c r="A18" s="0" t="s">
        <v>122</v>
      </c>
      <c r="C18" s="4" t="n">
        <f aca="false">(C6-B6)*Assumptions!$B$51/100</f>
        <v>-17420.909</v>
      </c>
      <c r="D18" s="4" t="n">
        <f aca="false">(D6-C6)*Assumptions!$B$51/100</f>
        <v>-14063.42472</v>
      </c>
      <c r="E18" s="4" t="n">
        <f aca="false">(E6-D6)*Assumptions!$B$51/100</f>
        <v>-13289.9363604</v>
      </c>
      <c r="F18" s="4" t="n">
        <f aca="false">(F6-E6)*Assumptions!$B$51/100</f>
        <v>-12188.770204824</v>
      </c>
      <c r="G18" s="4" t="n">
        <f aca="false">(G6-F6)*Assumptions!$B$51/100</f>
        <v>-10766.7470142612</v>
      </c>
      <c r="H18" s="4" t="n">
        <f aca="false">(H6-G6)*Assumptions!$B$51/100</f>
        <v>-10174.5759284768</v>
      </c>
      <c r="I18" s="4" t="n">
        <f aca="false">(I6-H6)*Assumptions!$B$51/100</f>
        <v>-9451.05052911849</v>
      </c>
      <c r="J18" s="4" t="n">
        <f aca="false">(J6-I6)*Assumptions!$B$51/100</f>
        <v>-8600.45598149779</v>
      </c>
      <c r="K18" s="4" t="n">
        <f aca="false">(K6-J6)*Assumptions!$B$51/100</f>
        <v>-7629.83309215736</v>
      </c>
      <c r="L18" s="4" t="n">
        <f aca="false">(L6-K6)*Assumptions!$B$51/100</f>
        <v>-7858.72808492207</v>
      </c>
    </row>
    <row r="19" customFormat="false" ht="15" hidden="false" customHeight="false" outlineLevel="0" collapsed="false">
      <c r="A19" s="0" t="s">
        <v>123</v>
      </c>
      <c r="C19" s="0" t="n">
        <f aca="false">C15+C16+C17+C18</f>
        <v>80889.46150516</v>
      </c>
      <c r="D19" s="0" t="n">
        <f aca="false">D15+D16+D17+D18</f>
        <v>102364.012046453</v>
      </c>
      <c r="E19" s="0" t="n">
        <f aca="false">E15+E16+E17+E18</f>
        <v>122907.381908303</v>
      </c>
      <c r="F19" s="0" t="n">
        <f aca="false">F15+F16+F17+F18</f>
        <v>142344.196341464</v>
      </c>
      <c r="G19" s="0" t="n">
        <f aca="false">G15+G16+G17+G18</f>
        <v>161350.901425599</v>
      </c>
      <c r="H19" s="0" t="n">
        <f aca="false">H15+H16+H17+H18</f>
        <v>175264.486503357</v>
      </c>
      <c r="I19" s="0" t="n">
        <f aca="false">I15+I16+I17+I18</f>
        <v>189204.739004656</v>
      </c>
      <c r="J19" s="0" t="n">
        <f aca="false">J15+J16+J17+J18</f>
        <v>199551.563883344</v>
      </c>
      <c r="K19" s="0" t="n">
        <f aca="false">K15+K16+K17+K18</f>
        <v>206766.74736863</v>
      </c>
      <c r="L19" s="0" t="n">
        <f aca="false">L15+L16+L17+L18</f>
        <v>212969.749789689</v>
      </c>
    </row>
    <row r="20" customFormat="false" ht="15" hidden="false" customHeight="false" outlineLevel="0" collapsed="false">
      <c r="A20" s="0" t="s">
        <v>124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125</v>
      </c>
      <c r="C21" s="0" t="n">
        <f aca="false">C19*C20</f>
        <v>75597.6275749159</v>
      </c>
      <c r="D21" s="0" t="n">
        <f aca="false">D19*D20</f>
        <v>89408.6925027974</v>
      </c>
      <c r="E21" s="0" t="n">
        <f aca="false">E19*E20</f>
        <v>100329.034905961</v>
      </c>
      <c r="F21" s="0" t="n">
        <f aca="false">F19*F20</f>
        <v>108593.705851656</v>
      </c>
      <c r="G21" s="0" t="n">
        <f aca="false">G19*G20</f>
        <v>115040.962763684</v>
      </c>
      <c r="H21" s="0" t="n">
        <f aca="false">H19*H20</f>
        <v>116786.127692706</v>
      </c>
      <c r="I21" s="0" t="n">
        <f aca="false">I19*I20</f>
        <v>117827.202378491</v>
      </c>
      <c r="J21" s="0" t="n">
        <f aca="false">J19*J20</f>
        <v>116140.827010298</v>
      </c>
      <c r="K21" s="0" t="n">
        <f aca="false">K19*K20</f>
        <v>112467.41073817</v>
      </c>
      <c r="L21" s="0" t="n">
        <f aca="false">L19*L20</f>
        <v>108263.021551696</v>
      </c>
    </row>
    <row r="23" customFormat="false" ht="15" hidden="false" customHeight="false" outlineLevel="0" collapsed="false">
      <c r="A23" s="0" t="s">
        <v>101</v>
      </c>
      <c r="C23" s="4" t="n">
        <f aca="false">Assumptions!C44</f>
        <v>0.85</v>
      </c>
      <c r="D23" s="4" t="n">
        <f aca="false">Assumptions!D44</f>
        <v>0.85</v>
      </c>
      <c r="E23" s="4" t="n">
        <f aca="false">Assumptions!E44</f>
        <v>0.85</v>
      </c>
      <c r="F23" s="4" t="n">
        <f aca="false">Assumptions!F44</f>
        <v>0.85</v>
      </c>
      <c r="G23" s="4" t="n">
        <f aca="false">Assumptions!G44</f>
        <v>0.85</v>
      </c>
      <c r="H23" s="4" t="n">
        <f aca="false">Assumptions!H44</f>
        <v>0.85</v>
      </c>
      <c r="I23" s="4" t="n">
        <f aca="false">Assumptions!I44</f>
        <v>0.85</v>
      </c>
      <c r="J23" s="4" t="n">
        <f aca="false">Assumptions!J44</f>
        <v>0.85</v>
      </c>
      <c r="K23" s="4" t="n">
        <f aca="false">Assumptions!K44</f>
        <v>0.85</v>
      </c>
      <c r="L23" s="4" t="n">
        <f aca="false">Assumptions!L44</f>
        <v>0.85</v>
      </c>
    </row>
    <row r="24" customFormat="false" ht="15" hidden="false" customHeight="false" outlineLevel="0" collapsed="false">
      <c r="A24" s="0" t="s">
        <v>126</v>
      </c>
      <c r="C24" s="0" t="n">
        <f aca="false">-C6*C23/100</f>
        <v>-14942.388765</v>
      </c>
      <c r="D24" s="0" t="n">
        <f aca="false">-D6*D23/100</f>
        <v>-16137.7798662</v>
      </c>
      <c r="E24" s="0" t="n">
        <f aca="false">-E6*E23/100</f>
        <v>-17267.424456834</v>
      </c>
      <c r="F24" s="0" t="n">
        <f aca="false">-F6*F23/100</f>
        <v>-18303.469924244</v>
      </c>
      <c r="G24" s="0" t="n">
        <f aca="false">-G6*G23/100</f>
        <v>-19218.6434204562</v>
      </c>
      <c r="H24" s="0" t="n">
        <f aca="false">-H6*H23/100</f>
        <v>-20083.4823743768</v>
      </c>
      <c r="I24" s="0" t="n">
        <f aca="false">-I6*I23/100</f>
        <v>-20886.8216693518</v>
      </c>
      <c r="J24" s="0" t="n">
        <f aca="false">-J6*J23/100</f>
        <v>-21617.8604277792</v>
      </c>
      <c r="K24" s="0" t="n">
        <f aca="false">-K6*K23/100</f>
        <v>-22266.3962406125</v>
      </c>
      <c r="L24" s="0" t="n">
        <f aca="false">-L6*L23/100</f>
        <v>-22934.3881278309</v>
      </c>
    </row>
    <row r="26" customFormat="false" ht="15" hidden="false" customHeight="false" outlineLevel="0" collapsed="false">
      <c r="A26" s="2" t="s">
        <v>127</v>
      </c>
    </row>
    <row r="27" customFormat="false" ht="15" hidden="false" customHeight="false" outlineLevel="0" collapsed="false">
      <c r="A27" s="0" t="s">
        <v>105</v>
      </c>
      <c r="B27" s="4" t="n">
        <f aca="false">Assumptions!$B$48</f>
        <v>7</v>
      </c>
    </row>
    <row r="28" customFormat="false" ht="15" hidden="false" customHeight="false" outlineLevel="0" collapsed="false">
      <c r="A28" s="0" t="s">
        <v>106</v>
      </c>
      <c r="B28" s="4" t="n">
        <f aca="false">Assumptions!$B$49</f>
        <v>2.5</v>
      </c>
    </row>
    <row r="29" customFormat="false" ht="15" hidden="false" customHeight="false" outlineLevel="0" collapsed="false">
      <c r="A29" s="0" t="s">
        <v>107</v>
      </c>
      <c r="B29" s="4" t="n">
        <f aca="false">Assumptions!$B$50</f>
        <v>20</v>
      </c>
    </row>
    <row r="30" customFormat="false" ht="15" hidden="false" customHeight="false" outlineLevel="0" collapsed="false">
      <c r="A30" s="0" t="s">
        <v>128</v>
      </c>
      <c r="B30" s="0" t="n">
        <f aca="false">SUM(C21:L21)</f>
        <v>1060454.61297038</v>
      </c>
    </row>
    <row r="31" customFormat="false" ht="15" hidden="false" customHeight="false" outlineLevel="0" collapsed="false">
      <c r="A31" s="0" t="s">
        <v>129</v>
      </c>
      <c r="B31" s="0" t="n">
        <f aca="false">L19</f>
        <v>212969.749789689</v>
      </c>
    </row>
    <row r="32" customFormat="false" ht="15" hidden="false" customHeight="false" outlineLevel="0" collapsed="false">
      <c r="A32" s="0" t="s">
        <v>130</v>
      </c>
      <c r="B32" s="0" t="n">
        <f aca="false">IF(B27&gt;B28,B31*(1+B28/100)/((B27-B28)/100),B31*B29)</f>
        <v>4850977.63409847</v>
      </c>
    </row>
    <row r="33" customFormat="false" ht="15" hidden="false" customHeight="false" outlineLevel="0" collapsed="false">
      <c r="A33" s="0" t="s">
        <v>131</v>
      </c>
      <c r="B33" s="0" t="n">
        <f aca="false">B31*B29</f>
        <v>4259394.99579378</v>
      </c>
    </row>
    <row r="34" customFormat="false" ht="15" hidden="false" customHeight="false" outlineLevel="0" collapsed="false">
      <c r="A34" s="0" t="s">
        <v>132</v>
      </c>
      <c r="B34" s="0" t="n">
        <f aca="false">MAX(0,MIN(B32,B33))</f>
        <v>4259394.99579378</v>
      </c>
    </row>
    <row r="35" customFormat="false" ht="15" hidden="false" customHeight="false" outlineLevel="0" collapsed="false">
      <c r="A35" s="0" t="s">
        <v>133</v>
      </c>
      <c r="B35" s="0" t="n">
        <f aca="false">B34/(1+B27/100)^L4</f>
        <v>2165260.43103393</v>
      </c>
    </row>
    <row r="36" customFormat="false" ht="15" hidden="false" customHeight="false" outlineLevel="0" collapsed="false">
      <c r="A36" s="0" t="s">
        <v>134</v>
      </c>
      <c r="B36" s="0" t="n">
        <f aca="false">B30+B35</f>
        <v>3225715.0440043</v>
      </c>
    </row>
    <row r="37" customFormat="false" ht="15" hidden="false" customHeight="false" outlineLevel="0" collapsed="false">
      <c r="A37" s="0" t="s">
        <v>135</v>
      </c>
      <c r="B37" s="0" t="n">
        <f aca="false">B36+Assumptions!$B$5-Assumptions!$B$4</f>
        <v>2948210.0440043</v>
      </c>
    </row>
    <row r="38" customFormat="false" ht="15" hidden="false" customHeight="false" outlineLevel="0" collapsed="false">
      <c r="A38" s="0" t="s">
        <v>136</v>
      </c>
      <c r="B38" s="0" t="n">
        <f aca="false">B37/Assumptions!$B$3*Assumptions!$B$10</f>
        <v>3088.54746365799</v>
      </c>
    </row>
    <row r="39" customFormat="false" ht="15" hidden="false" customHeight="false" outlineLevel="0" collapsed="false">
      <c r="A39" s="0" t="s">
        <v>137</v>
      </c>
      <c r="B39" s="4" t="n">
        <f aca="false">B38/Assumptions!$B$2-1</f>
        <v>-0.38376946056305</v>
      </c>
    </row>
    <row r="41" customFormat="false" ht="15" hidden="false" customHeight="false" outlineLevel="0" collapsed="false">
      <c r="A41" s="0" t="s">
        <v>138</v>
      </c>
      <c r="B41" s="0" t="n">
        <f aca="false">SUMPRODUCT(-C10:L10/(1+$B$27/100)^C4:L4)</f>
        <v>3119.14072443664</v>
      </c>
    </row>
    <row r="42" customFormat="false" ht="15" hidden="false" customHeight="false" outlineLevel="0" collapsed="false">
      <c r="A42" s="0" t="s">
        <v>139</v>
      </c>
      <c r="B42" s="0" t="n">
        <f aca="false">IF(B27&gt;B28,-L10*(1+B28/100)/((B27-B28)/100),-L10*20)/(1+B27/100)^L4</f>
        <v>6248.44285991313</v>
      </c>
    </row>
    <row r="43" customFormat="false" ht="15" hidden="false" customHeight="false" outlineLevel="0" collapsed="false">
      <c r="A43" s="0" t="s">
        <v>140</v>
      </c>
      <c r="B43" s="0" t="n">
        <f aca="false">(B37+B41+B42)/Assumptions!$B$3*Assumptions!$B$10</f>
        <v>3098.36095255065</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1746351.94827545</v>
      </c>
    </row>
    <row r="47" customFormat="false" ht="15" hidden="false" customHeight="false" outlineLevel="0" collapsed="false">
      <c r="A47" s="0" t="s">
        <v>142</v>
      </c>
      <c r="B47" s="0" t="n">
        <f aca="false">(SUMPRODUCT(C19:L19/(1+B45/100)^C4:L4)+B46/(1+B45/100)^L4+Assumptions!$B$5-Assumptions!$B$4)/Assumptions!$B$3*Assumptions!$B$10</f>
        <v>909.191553081409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1383.26744075694</v>
      </c>
      <c r="C4" s="0" t="n">
        <f aca="false">B4/Assumptions!$B$2-1</f>
        <v>-0.724008890511386</v>
      </c>
      <c r="D4" s="4" t="n">
        <f aca="false">Assumptions!$B$24</f>
        <v>0.25</v>
      </c>
      <c r="E4" s="4" t="n">
        <f aca="false">DCF_Bear!$B$43</f>
        <v>1389.90847366096</v>
      </c>
      <c r="F4" s="4" t="n">
        <f aca="false">DCF_Bear!$B$47</f>
        <v>419.694645821559</v>
      </c>
    </row>
    <row r="5" customFormat="false" ht="15" hidden="false" customHeight="false" outlineLevel="0" collapsed="false">
      <c r="A5" s="0" t="s">
        <v>151</v>
      </c>
      <c r="B5" s="4" t="n">
        <f aca="false">DCF_Base!$B$38</f>
        <v>2424.39122834973</v>
      </c>
      <c r="C5" s="0" t="n">
        <f aca="false">B5/Assumptions!$B$2-1</f>
        <v>-0.516282675907874</v>
      </c>
      <c r="D5" s="4" t="n">
        <f aca="false">Assumptions!$B$38</f>
        <v>0.5</v>
      </c>
      <c r="E5" s="4" t="n">
        <f aca="false">DCF_Base!$B$43</f>
        <v>2432.64849634851</v>
      </c>
      <c r="F5" s="4" t="n">
        <f aca="false">DCF_Base!$B$47</f>
        <v>691.882028431681</v>
      </c>
    </row>
    <row r="6" customFormat="false" ht="15" hidden="false" customHeight="false" outlineLevel="0" collapsed="false">
      <c r="A6" s="0" t="s">
        <v>152</v>
      </c>
      <c r="B6" s="4" t="n">
        <f aca="false">DCF_Bull!$B$38</f>
        <v>3088.54746365799</v>
      </c>
      <c r="C6" s="0" t="n">
        <f aca="false">B6/Assumptions!$B$2-1</f>
        <v>-0.38376946056305</v>
      </c>
      <c r="D6" s="4" t="n">
        <f aca="false">Assumptions!$B$52</f>
        <v>0.25</v>
      </c>
      <c r="E6" s="4" t="n">
        <f aca="false">DCF_Bull!$B$43</f>
        <v>3098.36095255065</v>
      </c>
      <c r="F6" s="4" t="n">
        <f aca="false">DCF_Bull!$B$47</f>
        <v>909.191553081409</v>
      </c>
    </row>
    <row r="8" customFormat="false" ht="15" hidden="false" customHeight="false" outlineLevel="0" collapsed="false">
      <c r="A8" s="0" t="s">
        <v>153</v>
      </c>
      <c r="B8" s="0" t="n">
        <f aca="false">SUMPRODUCT(B4:B6,D4:D6)</f>
        <v>2330.1493402786</v>
      </c>
    </row>
    <row r="9" customFormat="false" ht="15" hidden="false" customHeight="false" outlineLevel="0" collapsed="false">
      <c r="A9" s="0" t="s">
        <v>154</v>
      </c>
      <c r="B9" s="0" t="n">
        <f aca="false">SUMPRODUCT(E4:E6,D4:D6)</f>
        <v>2338.39160472716</v>
      </c>
    </row>
    <row r="10" customFormat="false" ht="15" hidden="false" customHeight="false" outlineLevel="0" collapsed="false">
      <c r="A10" s="0" t="s">
        <v>155</v>
      </c>
      <c r="B10" s="0" t="n">
        <f aca="false">1-Assumptions!$B$2/B8</f>
        <v>-1.15093509817733</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678.162563941582</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2424.39122834974</v>
      </c>
      <c r="C15" s="3" t="n">
        <v>7</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1633.82864598429</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1376.95175317874</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1177.84107837904</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1019.12785085035</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691.882028431681</v>
      </c>
      <c r="C20" s="3" t="n">
        <v>15</v>
      </c>
    </row>
    <row r="22" customFormat="false" ht="15" hidden="false" customHeight="false" outlineLevel="0" collapsed="false">
      <c r="A22" s="2" t="s">
        <v>166</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2897.9236243086</v>
      </c>
      <c r="C24" s="0" t="n">
        <f aca="false">(SUMPRODUCT(DCF_Base!$C$19:$L$19/(1+$A$24/100)^DCF_Base!$C$4:$L$4)+MAX(0,MIN(IF($A$24&gt;$C$23,DCF_Base!$L$19*(1+$C$23/100)/(($A$24-$C$23)/100),DCF_Base!$L$19*DCF_Base!$B$29),DCF_Base!$L$19*DCF_Base!$B$29))/(1+$A$24/100)^DCF_Base!$L$4+Assumptions!$B$5-Assumptions!$B$4)/Assumptions!$B$3*Assumptions!$B$10</f>
        <v>2897.9236243086</v>
      </c>
      <c r="D24" s="0" t="n">
        <f aca="false">(SUMPRODUCT(DCF_Base!$C$19:$L$19/(1+$A$24/100)^DCF_Base!$C$4:$L$4)+MAX(0,MIN(IF($A$24&gt;$D$23,DCF_Base!$L$19*(1+$D$23/100)/(($A$24-$D$23)/100),DCF_Base!$L$19*DCF_Base!$B$29),DCF_Base!$L$19*DCF_Base!$B$29))/(1+$A$24/100)^DCF_Base!$L$4+Assumptions!$B$5-Assumptions!$B$4)/Assumptions!$B$3*Assumptions!$B$10</f>
        <v>2897.9236243086</v>
      </c>
      <c r="E24" s="0" t="n">
        <f aca="false">(SUMPRODUCT(DCF_Base!$C$19:$L$19/(1+$A$24/100)^DCF_Base!$C$4:$L$4)+MAX(0,MIN(IF($A$24&gt;$E$23,DCF_Base!$L$19*(1+$E$23/100)/(($A$24-$E$23)/100),DCF_Base!$L$19*DCF_Base!$B$29),DCF_Base!$L$19*DCF_Base!$B$29))/(1+$A$24/100)^DCF_Base!$L$4+Assumptions!$B$5-Assumptions!$B$4)/Assumptions!$B$3*Assumptions!$B$10</f>
        <v>2897.9236243086</v>
      </c>
      <c r="F24" s="0" t="n">
        <f aca="false">(SUMPRODUCT(DCF_Base!$C$19:$L$19/(1+$A$24/100)^DCF_Base!$C$4:$L$4)+MAX(0,MIN(IF($A$24&gt;$F$23,DCF_Base!$L$19*(1+$F$23/100)/(($A$24-$F$23)/100),DCF_Base!$L$19*DCF_Base!$B$29),DCF_Base!$L$19*DCF_Base!$B$29))/(1+$A$24/100)^DCF_Base!$L$4+Assumptions!$B$5-Assumptions!$B$4)/Assumptions!$B$3*Assumptions!$B$10</f>
        <v>2897.9236243086</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2649.62411223721</v>
      </c>
      <c r="C25" s="0" t="n">
        <f aca="false">(SUMPRODUCT(DCF_Base!$C$19:$L$19/(1+$A$25/100)^DCF_Base!$C$4:$L$4)+MAX(0,MIN(IF($A$25&gt;$C$23,DCF_Base!$L$19*(1+$C$23/100)/(($A$25-$C$23)/100),DCF_Base!$L$19*DCF_Base!$B$29),DCF_Base!$L$19*DCF_Base!$B$29))/(1+$A$25/100)^DCF_Base!$L$4+Assumptions!$B$5-Assumptions!$B$4)/Assumptions!$B$3*Assumptions!$B$10</f>
        <v>2649.62411223721</v>
      </c>
      <c r="D25" s="0" t="n">
        <f aca="false">(SUMPRODUCT(DCF_Base!$C$19:$L$19/(1+$A$25/100)^DCF_Base!$C$4:$L$4)+MAX(0,MIN(IF($A$25&gt;$D$23,DCF_Base!$L$19*(1+$D$23/100)/(($A$25-$D$23)/100),DCF_Base!$L$19*DCF_Base!$B$29),DCF_Base!$L$19*DCF_Base!$B$29))/(1+$A$25/100)^DCF_Base!$L$4+Assumptions!$B$5-Assumptions!$B$4)/Assumptions!$B$3*Assumptions!$B$10</f>
        <v>2649.62411223721</v>
      </c>
      <c r="E25" s="0" t="n">
        <f aca="false">(SUMPRODUCT(DCF_Base!$C$19:$L$19/(1+$A$25/100)^DCF_Base!$C$4:$L$4)+MAX(0,MIN(IF($A$25&gt;$E$23,DCF_Base!$L$19*(1+$E$23/100)/(($A$25-$E$23)/100),DCF_Base!$L$19*DCF_Base!$B$29),DCF_Base!$L$19*DCF_Base!$B$29))/(1+$A$25/100)^DCF_Base!$L$4+Assumptions!$B$5-Assumptions!$B$4)/Assumptions!$B$3*Assumptions!$B$10</f>
        <v>2649.62411223721</v>
      </c>
      <c r="F25" s="0" t="n">
        <f aca="false">(SUMPRODUCT(DCF_Base!$C$19:$L$19/(1+$A$25/100)^DCF_Base!$C$4:$L$4)+MAX(0,MIN(IF($A$25&gt;$F$23,DCF_Base!$L$19*(1+$F$23/100)/(($A$25-$F$23)/100),DCF_Base!$L$19*DCF_Base!$B$29),DCF_Base!$L$19*DCF_Base!$B$29))/(1+$A$25/100)^DCF_Base!$L$4+Assumptions!$B$5-Assumptions!$B$4)/Assumptions!$B$3*Assumptions!$B$10</f>
        <v>2649.62411223721</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2143.55888783876</v>
      </c>
      <c r="C26" s="0" t="n">
        <f aca="false">(SUMPRODUCT(DCF_Base!$C$19:$L$19/(1+$A$26/100)^DCF_Base!$C$4:$L$4)+MAX(0,MIN(IF($A$26&gt;$C$23,DCF_Base!$L$19*(1+$C$23/100)/(($A$26-$C$23)/100),DCF_Base!$L$19*DCF_Base!$B$29),DCF_Base!$L$19*DCF_Base!$B$29))/(1+$A$26/100)^DCF_Base!$L$4+Assumptions!$B$5-Assumptions!$B$4)/Assumptions!$B$3*Assumptions!$B$10</f>
        <v>2287.33429661711</v>
      </c>
      <c r="D26" s="0" t="n">
        <f aca="false">(SUMPRODUCT(DCF_Base!$C$19:$L$19/(1+$A$26/100)^DCF_Base!$C$4:$L$4)+MAX(0,MIN(IF($A$26&gt;$D$23,DCF_Base!$L$19*(1+$D$23/100)/(($A$26-$D$23)/100),DCF_Base!$L$19*DCF_Base!$B$29),DCF_Base!$L$19*DCF_Base!$B$29))/(1+$A$26/100)^DCF_Base!$L$4+Assumptions!$B$5-Assumptions!$B$4)/Assumptions!$B$3*Assumptions!$B$10</f>
        <v>2424.39122834974</v>
      </c>
      <c r="E26" s="0" t="n">
        <f aca="false">(SUMPRODUCT(DCF_Base!$C$19:$L$19/(1+$A$26/100)^DCF_Base!$C$4:$L$4)+MAX(0,MIN(IF($A$26&gt;$E$23,DCF_Base!$L$19*(1+$E$23/100)/(($A$26-$E$23)/100),DCF_Base!$L$19*DCF_Base!$B$29),DCF_Base!$L$19*DCF_Base!$B$29))/(1+$A$26/100)^DCF_Base!$L$4+Assumptions!$B$5-Assumptions!$B$4)/Assumptions!$B$3*Assumptions!$B$10</f>
        <v>2424.39122834974</v>
      </c>
      <c r="F26" s="0" t="n">
        <f aca="false">(SUMPRODUCT(DCF_Base!$C$19:$L$19/(1+$A$26/100)^DCF_Base!$C$4:$L$4)+MAX(0,MIN(IF($A$26&gt;$F$23,DCF_Base!$L$19*(1+$F$23/100)/(($A$26-$F$23)/100),DCF_Base!$L$19*DCF_Base!$B$29),DCF_Base!$L$19*DCF_Base!$B$29))/(1+$A$26/100)^DCF_Base!$L$4+Assumptions!$B$5-Assumptions!$B$4)/Assumptions!$B$3*Assumptions!$B$10</f>
        <v>2424.39122834974</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1769.63766959266</v>
      </c>
      <c r="C27" s="0" t="n">
        <f aca="false">(SUMPRODUCT(DCF_Base!$C$19:$L$19/(1+$A$27/100)^DCF_Base!$C$4:$L$4)+MAX(0,MIN(IF($A$27&gt;$C$23,DCF_Base!$L$19*(1+$C$23/100)/(($A$27-$C$23)/100),DCF_Base!$L$19*DCF_Base!$B$29),DCF_Base!$L$19*DCF_Base!$B$29))/(1+$A$27/100)^DCF_Base!$L$4+Assumptions!$B$5-Assumptions!$B$4)/Assumptions!$B$3*Assumptions!$B$10</f>
        <v>1865.53960107993</v>
      </c>
      <c r="D27" s="0" t="n">
        <f aca="false">(SUMPRODUCT(DCF_Base!$C$19:$L$19/(1+$A$27/100)^DCF_Base!$C$4:$L$4)+MAX(0,MIN(IF($A$27&gt;$D$23,DCF_Base!$L$19*(1+$D$23/100)/(($A$27-$D$23)/100),DCF_Base!$L$19*DCF_Base!$B$29),DCF_Base!$L$19*DCF_Base!$B$29))/(1+$A$27/100)^DCF_Base!$L$4+Assumptions!$B$5-Assumptions!$B$4)/Assumptions!$B$3*Assumptions!$B$10</f>
        <v>1977.42518781508</v>
      </c>
      <c r="E27" s="0" t="n">
        <f aca="false">(SUMPRODUCT(DCF_Base!$C$19:$L$19/(1+$A$27/100)^DCF_Base!$C$4:$L$4)+MAX(0,MIN(IF($A$27&gt;$E$23,DCF_Base!$L$19*(1+$E$23/100)/(($A$27-$E$23)/100),DCF_Base!$L$19*DCF_Base!$B$29),DCF_Base!$L$19*DCF_Base!$B$29))/(1+$A$27/100)^DCF_Base!$L$4+Assumptions!$B$5-Assumptions!$B$4)/Assumptions!$B$3*Assumptions!$B$10</f>
        <v>2109.65360850208</v>
      </c>
      <c r="F27" s="0" t="n">
        <f aca="false">(SUMPRODUCT(DCF_Base!$C$19:$L$19/(1+$A$27/100)^DCF_Base!$C$4:$L$4)+MAX(0,MIN(IF($A$27&gt;$F$23,DCF_Base!$L$19*(1+$F$23/100)/(($A$27-$F$23)/100),DCF_Base!$L$19*DCF_Base!$B$29),DCF_Base!$L$19*DCF_Base!$B$29))/(1+$A$27/100)^DCF_Base!$L$4+Assumptions!$B$5-Assumptions!$B$4)/Assumptions!$B$3*Assumptions!$B$10</f>
        <v>2219.84395907458</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1490.39334889369</v>
      </c>
      <c r="C28" s="0" t="n">
        <f aca="false">(SUMPRODUCT(DCF_Base!$C$19:$L$19/(1+$A$28/100)^DCF_Base!$C$4:$L$4)+MAX(0,MIN(IF($A$28&gt;$C$23,DCF_Base!$L$19*(1+$C$23/100)/(($A$28-$C$23)/100),DCF_Base!$L$19*DCF_Base!$B$29),DCF_Base!$L$19*DCF_Base!$B$29))/(1+$A$28/100)^DCF_Base!$L$4+Assumptions!$B$5-Assumptions!$B$4)/Assumptions!$B$3*Assumptions!$B$10</f>
        <v>1557.3298208693</v>
      </c>
      <c r="D28" s="0" t="n">
        <f aca="false">(SUMPRODUCT(DCF_Base!$C$19:$L$19/(1+$A$28/100)^DCF_Base!$C$4:$L$4)+MAX(0,MIN(IF($A$28&gt;$D$23,DCF_Base!$L$19*(1+$D$23/100)/(($A$28-$D$23)/100),DCF_Base!$L$19*DCF_Base!$B$29),DCF_Base!$L$19*DCF_Base!$B$29))/(1+$A$28/100)^DCF_Base!$L$4+Assumptions!$B$5-Assumptions!$B$4)/Assumptions!$B$3*Assumptions!$B$10</f>
        <v>1633.82864598429</v>
      </c>
      <c r="E28" s="0" t="n">
        <f aca="false">(SUMPRODUCT(DCF_Base!$C$19:$L$19/(1+$A$28/100)^DCF_Base!$C$4:$L$4)+MAX(0,MIN(IF($A$28&gt;$E$23,DCF_Base!$L$19*(1+$E$23/100)/(($A$28-$E$23)/100),DCF_Base!$L$19*DCF_Base!$B$29),DCF_Base!$L$19*DCF_Base!$B$29))/(1+$A$28/100)^DCF_Base!$L$4+Assumptions!$B$5-Assumptions!$B$4)/Assumptions!$B$3*Assumptions!$B$10</f>
        <v>1722.09652111696</v>
      </c>
      <c r="F28" s="0" t="n">
        <f aca="false">(SUMPRODUCT(DCF_Base!$C$19:$L$19/(1+$A$28/100)^DCF_Base!$C$4:$L$4)+MAX(0,MIN(IF($A$28&gt;$F$23,DCF_Base!$L$19*(1+$F$23/100)/(($A$28-$F$23)/100),DCF_Base!$L$19*DCF_Base!$B$29),DCF_Base!$L$19*DCF_Base!$B$29))/(1+$A$28/100)^DCF_Base!$L$4+Assumptions!$B$5-Assumptions!$B$4)/Assumptions!$B$3*Assumptions!$B$10</f>
        <v>1825.07570877175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2026-10-26T05:31:45Z</dcterms:created>
  <dc:creator>openpyxl</dc:creator>
  <dc:description/>
  <dc:language>en-NZ</dc:language>
  <cp:lastModifiedBy/>
  <dcterms:modified xsi:type="dcterms:W3CDTF">2026-10-26T05:31:45Z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