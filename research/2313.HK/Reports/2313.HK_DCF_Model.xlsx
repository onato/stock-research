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<sst xmlns="http://schemas.openxmlformats.org/spreadsheetml/2006/main" count="357" uniqueCount="165">
  <si>
    <t xml:space="preserve">Ticker</t>
  </si>
  <si>
    <t xml:space="preserve">2313.HK</t>
  </si>
  <si>
    <t xml:space="preserve">Company</t>
  </si>
  <si>
    <t xml:space="preserve">Shenzhou International Group Holdings Limited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</si>
  <si>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</si>
  <si>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</si>
  <si>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</si>
  <si>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</si>
  <si>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regular close (HKEX)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</si>
  <si>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</si>
  <si>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</si>
  <si>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</si>
  <si>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</si>
  <si>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</si>
  <si>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</si>
  <si>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</si>
  <si>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</si>
  <si>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</si>
  <si>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</si>
  <si>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</si>
  <si>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</si>
  <si>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</si>
  <si>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2026-10-18T00:41:20Z</t>
  </si>
  <si>
    <t xml:space="preserve">Drivers file</t>
  </si>
  <si>
    <t xml:space="preserve">2313.HK_Drivers.json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</si>
  <si>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</si>
  <si>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</si>
  <si>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</si>
  <si>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net-cash, SBC-free, vertically integrated apparel manufacturer valued on unlevered owner FCF in CNY, with RMB13.2bn of net deposit-type financial assets added once in the bridge and the interest they earn kept out of the flows. The share price has roughly halved from its 52-week high on the H1 FY2026 profit drop; the model asks whether that drop is a cyclical/FX trough (base) or a structural de-rating of the margin (bear).
key_risks_to_valuation: Customer concentration: Nike, Adidas, Fast Retailing and Puma are the large majority of sales; losing share at any one moves value materially.; RMB/USD: revenue is USD-priced and ~93% of cash is USD; a further RMB appreciation compresses margins and the RMB value of the deposit pile.; US tariff policy on China and Southeast Asia (Section 301, reciprocal tariffs) and brand pressure to share tariff costs.; Overseas wage and pension inflation in Vietnam and Cambodia and the ramp efficiency of the Indonesia plant.; Terminal value carries most of the value; the 14x cap binds in the base case.</t>
  </si>
  <si>
    <t xml:space="preserve">Data sources</t>
  </si>
  <si>
    <t xml:space="preserve">price: Yahoo Finance chart API (2313.HK) at inputs.price_as_of; 52-week range 33.14-73.00 HKD. FX from Yahoo CNYHKD=X, cross-checked against USDHKD=X / USDCNY=X.
financials: 2313.HK_Metrics.csv (core_metrics, RMB millions) and kpis; FY2025 Annual Report consolidated statement of cash flows; H1 FY2026 Interim Report (balance sheet, liquidity and financial resources, EPS note).
qualitative: 2313.HK_Analysis.json (bull_case, bear_case, risks) plus FY2025 Annual Report and H1 FY2026 Interim Report MD&amp;A (industry review, reasons for profit decline, future prospects).</t>
  </si>
  <si>
    <t xml:space="preserve">Scenario narrative: bear</t>
  </si>
  <si>
    <t xml:space="preserve">Customer concentration bites: Nike or Adidas cuts or diversifies orders, US tariff policy squeezes vendor pricing further (Section 301 on China, reciprocal tariffs on Vietnam/Cambodia), and the RMB keeps appreciating against the USD revenue base. Revenue falls ~6% in 2026, is flat in 2027 and grows only at low single digits thereafter; operating EBITDA margin settles at ~18% (near the FY2021 Vietnam-shutdown trough) as overseas wage inflation and under-utilised new plants persist.</t>
  </si>
  <si>
    <t xml:space="preserve">Scenario narrative: base</t>
  </si>
  <si>
    <t xml:space="preserve">Demand trough in 2026, then a steady recovery. Shenzhou's four anchor customers (Nike, Adidas, Fast Retailing/Uniqlo, Puma) keep consolidating supply toward scaled, vertically integrated vendors, so share gains offset a muted end market; the Indonesia garment base and Vietnam fabric capacity carry mid-single-digit growth. Margins recover from the 2026 hit (RMB appreciation, wage and pension inflation, synthetic-fibre costs) to ~23% operating EBITDA as new plants reach efficiency, but not to the 27-28% of the China-centric era, because overseas labour is less productive and brands push tariff costs back onto vendors.</t>
  </si>
  <si>
    <t xml:space="preserve">Scenario narrative: bull</t>
  </si>
  <si>
    <t xml:space="preserve">Brand inventory restocking returns in 2027, Nike's turnaround lifts its sourcing volumes, and Shenzhou's share of wallet rises as the brands concentrate orders in the few suppliers with fabric-to-garment capacity outside China. Indonesia and Cambodia ramp quickly, RMB stabilises against the USD, and margins rebuild to ~25.5% - still below the FY2019-20 peak - with high-single-digit growth for four years.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</si>
  <si>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</si>
  <si>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</si>
  <si>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</si>
  <si>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</si>
  <si>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</si>
  <si>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</si>
  <si>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</si>
  <si>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</si>
  <si>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</si>
  <si>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</si>
  <si>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</si>
  <si>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</si>
  <si>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</si>
  <si>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</si>
  <si>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</si>
  <si>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</si>
  <si>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</si>
  <si>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</si>
  <si>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</si>
  <si>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</si>
  <si>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</si>
  <si>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</si>
  <si>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</si>
  <si>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</si>
  <si>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</si>
  <si>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</si>
  <si>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</si>
  <si>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TimeDeposits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</si>
  <si>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</si>
  <si>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</si>
  <si>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</si>
  <si>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</si>
  <si>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</si>
  <si>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</si>
  <si>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</si>
  <si>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</si>
  <si>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</si>
  <si>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</si>
  <si>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</si>
  <si>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</si>
  <si>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</si>
  <si>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</si>
  <si>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</si>
  <si>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</si>
  <si>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</si>
  <si>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</si>
  <si>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</si>
  <si>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</si>
  <si>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</si>
  <si>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</si>
  <si>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</si>
  <si>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</si>
  <si>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</si>
  <si>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</si>
  <si>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</si>
  <si>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</si>
  <si>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</si>
  <si>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</si>
  <si>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</si>
  <si>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</si>
  <si>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</si>
  <si>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</si>
  <si>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</si>
  <si>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</si>
  <si>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</si>
  <si>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</si>
  <si>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</si>
  <si>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</si>
  <si>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</si>
  <si>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</si>
  <si>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</si>
  <si>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</si>
  <si>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</si>
  <si>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</si>
  <si>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2313.HK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</si>
  <si>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</si>
  <si>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</si>
  <si>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</si>
  <si>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</si>
  <si>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</si>
  <si>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</si>
  <si>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</si>
  <si>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</si>
  <si>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</si>
  <si>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</si>
  <si>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</si>
  <si>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</si>
  <si>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</si>
  <si>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</si>
  <si>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</si>
  <si>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</si>
  <si>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</si>
  <si>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</si>
  <si>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</si>
  <si>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</si>
  <si>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</si>
  <si>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</si>
  <si>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</si>
  <si>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</si>
  <si>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</si>
  <si>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</si>
  <si>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</si>
  <si>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</si>
  <si>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</si>
  <si>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</si>
  <si>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2313.HK owner-FCF component DCF: base case (millions, CNY)</t>
  </si>
  <si>
    <t xml:space="preserve">2313.HK owner-FCF component DCF: bull case (millions, CNY)</t>
  </si>
  <si>
    <t xml:space="preserve">2313.HK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</si>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</sst>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37.34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18085.247</v>
      </c>
      <c r="C2" s="0" t="n">
        <v>12413.947</v>
      </c>
      <c r="D2" s="0" t="n">
        <v>5671.3</v>
      </c>
      <c r="E2" s="0" t="n">
        <v>31.4</v>
      </c>
      <c r="F2" s="0" t="n">
        <v>4407.569</v>
      </c>
      <c r="G2" s="0" t="n">
        <v>24.4</v>
      </c>
      <c r="H2" s="0" t="n">
        <v>5191.26</v>
      </c>
      <c r="I2" s="0" t="n">
        <v>3762.721</v>
      </c>
      <c r="J2" s="0" t="n">
        <v>20.8</v>
      </c>
      <c r="K2" s="0" t="n">
        <v>2.58</v>
      </c>
      <c r="L2" s="0" t="n">
        <v>3689.266</v>
      </c>
      <c r="M2" s="0" t="n">
        <v>1206.099</v>
      </c>
      <c r="N2" s="0" t="n">
        <v>2483.167</v>
      </c>
      <c r="O2" s="0" t="n">
        <v>19621.181</v>
      </c>
      <c r="P2" s="0" t="n">
        <v>24093.205</v>
      </c>
      <c r="Q2" s="0" t="n">
        <v>4268.552</v>
      </c>
      <c r="R2" s="0" t="n">
        <v>2130.409</v>
      </c>
      <c r="S2" s="0" t="n">
        <v>2471.401</v>
      </c>
      <c r="T2" s="0" t="n">
        <v>1503.2</v>
      </c>
      <c r="U2" s="0" t="n">
        <v>0</v>
      </c>
      <c r="AA2" s="0" t="s">
        <v>18</v>
      </c>
      <c r="AB2" s="0" t="s">
        <v>14</v>
      </c>
      <c r="AC2" s="0" t="n">
        <v>605.518</v>
      </c>
    </row>
    <row r="3" customFormat="false" ht="15" hidden="false" customHeight="false" outlineLevel="0" collapsed="false">
      <c r="A3" s="0" t="s">
        <v>66</v>
      </c>
      <c r="B3" s="0" t="n">
        <v>20950.205</v>
      </c>
      <c r="C3" s="0" t="n">
        <v>14336.181</v>
      </c>
      <c r="D3" s="0" t="n">
        <v>6614.024</v>
      </c>
      <c r="E3" s="0" t="n">
        <v>31.6</v>
      </c>
      <c r="F3" s="0" t="n">
        <v>5146.274</v>
      </c>
      <c r="G3" s="0" t="n">
        <v>24.6</v>
      </c>
      <c r="H3" s="0" t="n">
        <v>6027.505</v>
      </c>
      <c r="I3" s="0" t="n">
        <v>4540.487</v>
      </c>
      <c r="J3" s="0" t="n">
        <v>21.7</v>
      </c>
      <c r="K3" s="0" t="n">
        <v>3.02</v>
      </c>
      <c r="L3" s="0" t="n">
        <v>4118.732</v>
      </c>
      <c r="M3" s="0" t="n">
        <v>1929.267</v>
      </c>
      <c r="N3" s="0" t="n">
        <v>2189.465</v>
      </c>
      <c r="O3" s="0" t="n">
        <v>22298.738</v>
      </c>
      <c r="P3" s="0" t="n">
        <v>27552.054</v>
      </c>
      <c r="Q3" s="0" t="n">
        <v>5097.775</v>
      </c>
      <c r="R3" s="0" t="n">
        <v>2516.749</v>
      </c>
      <c r="S3" s="0" t="n">
        <v>3565.916</v>
      </c>
      <c r="T3" s="0" t="n">
        <v>1503.2</v>
      </c>
      <c r="U3" s="0" t="n">
        <v>0</v>
      </c>
      <c r="AA3" s="0" t="s">
        <v>18</v>
      </c>
      <c r="AB3" s="0" t="s">
        <v>14</v>
      </c>
      <c r="AC3" s="0" t="n">
        <v>3129.678</v>
      </c>
    </row>
    <row r="4" customFormat="false" ht="15" hidden="false" customHeight="false" outlineLevel="0" collapsed="false">
      <c r="A4" s="0" t="s">
        <v>67</v>
      </c>
      <c r="B4" s="0" t="n">
        <v>22665.272</v>
      </c>
      <c r="C4" s="0" t="n">
        <v>15789.251</v>
      </c>
      <c r="D4" s="0" t="n">
        <v>6876.021</v>
      </c>
      <c r="E4" s="0" t="n">
        <v>30.3</v>
      </c>
      <c r="F4" s="0" t="n">
        <v>5655.105</v>
      </c>
      <c r="G4" s="0" t="n">
        <v>25</v>
      </c>
      <c r="H4" s="0" t="n">
        <v>6685.754</v>
      </c>
      <c r="I4" s="0" t="n">
        <v>5095.206</v>
      </c>
      <c r="J4" s="0" t="n">
        <v>22.5</v>
      </c>
      <c r="K4" s="0" t="n">
        <v>3.39</v>
      </c>
      <c r="L4" s="0" t="n">
        <v>5604.36</v>
      </c>
      <c r="M4" s="0" t="n">
        <v>2769.471</v>
      </c>
      <c r="N4" s="0" t="n">
        <v>2834.889</v>
      </c>
      <c r="O4" s="0" t="n">
        <v>25172.45</v>
      </c>
      <c r="P4" s="0" t="n">
        <v>31854.858</v>
      </c>
      <c r="Q4" s="0" t="n">
        <v>6663.531</v>
      </c>
      <c r="R4" s="0" t="n">
        <v>3968.578</v>
      </c>
      <c r="S4" s="0" t="n">
        <v>5060.896</v>
      </c>
      <c r="T4" s="0" t="n">
        <v>1503.2</v>
      </c>
      <c r="U4" s="0" t="n">
        <v>0</v>
      </c>
      <c r="AA4" s="0" t="s">
        <v>18</v>
      </c>
      <c r="AB4" s="0" t="s">
        <v>14</v>
      </c>
      <c r="AC4" s="0" t="n">
        <v>4810.83</v>
      </c>
    </row>
    <row r="5" customFormat="false" ht="15" hidden="false" customHeight="false" outlineLevel="0" collapsed="false">
      <c r="A5" s="0" t="s">
        <v>68</v>
      </c>
      <c r="B5" s="0" t="n">
        <v>23030.648</v>
      </c>
      <c r="C5" s="0" t="n">
        <v>15836.04</v>
      </c>
      <c r="D5" s="0" t="n">
        <v>7194.608</v>
      </c>
      <c r="E5" s="0" t="n">
        <v>31.2</v>
      </c>
      <c r="F5" s="0" t="n">
        <v>5620.676</v>
      </c>
      <c r="G5" s="0" t="n">
        <v>24.4</v>
      </c>
      <c r="H5" s="0" t="n">
        <v>6674.542</v>
      </c>
      <c r="I5" s="0" t="n">
        <v>5106.736</v>
      </c>
      <c r="J5" s="0" t="n">
        <v>22.2</v>
      </c>
      <c r="K5" s="0" t="n">
        <v>3.4</v>
      </c>
      <c r="L5" s="0" t="n">
        <v>5754.57</v>
      </c>
      <c r="M5" s="0" t="n">
        <v>2499.659</v>
      </c>
      <c r="N5" s="0" t="n">
        <v>3254.911</v>
      </c>
      <c r="O5" s="0" t="n">
        <v>27276.06</v>
      </c>
      <c r="P5" s="0" t="n">
        <v>36851.761</v>
      </c>
      <c r="Q5" s="0" t="n">
        <v>9580.931</v>
      </c>
      <c r="R5" s="0" t="n">
        <v>6608.303</v>
      </c>
      <c r="S5" s="0" t="n">
        <v>8227.06</v>
      </c>
      <c r="T5" s="0" t="n">
        <v>1503.2</v>
      </c>
      <c r="U5" s="0" t="n">
        <v>0</v>
      </c>
      <c r="AA5" s="0" t="s">
        <v>18</v>
      </c>
      <c r="AB5" s="0" t="s">
        <v>14</v>
      </c>
      <c r="AC5" s="0" t="n">
        <v>4371.676</v>
      </c>
    </row>
    <row r="6" customFormat="false" ht="15" hidden="false" customHeight="false" outlineLevel="0" collapsed="false">
      <c r="A6" s="0" t="s">
        <v>69</v>
      </c>
      <c r="B6" s="0" t="n">
        <v>23845.006</v>
      </c>
      <c r="C6" s="0" t="n">
        <v>18055.359</v>
      </c>
      <c r="D6" s="0" t="n">
        <v>5789.647</v>
      </c>
      <c r="E6" s="0" t="n">
        <v>24.3</v>
      </c>
      <c r="F6" s="0" t="n">
        <v>3967.352</v>
      </c>
      <c r="G6" s="0" t="n">
        <v>16.6</v>
      </c>
      <c r="H6" s="0" t="n">
        <v>5123.468</v>
      </c>
      <c r="I6" s="0" t="n">
        <v>3371.702</v>
      </c>
      <c r="J6" s="0" t="n">
        <v>14.1</v>
      </c>
      <c r="K6" s="0" t="n">
        <v>2.24</v>
      </c>
      <c r="L6" s="0" t="n">
        <v>3594.348</v>
      </c>
      <c r="M6" s="0" t="n">
        <v>2308.549</v>
      </c>
      <c r="N6" s="0" t="n">
        <v>1285.799</v>
      </c>
      <c r="O6" s="0" t="n">
        <v>27770.579</v>
      </c>
      <c r="P6" s="0" t="n">
        <v>42131.906</v>
      </c>
      <c r="Q6" s="0" t="n">
        <v>14348.843</v>
      </c>
      <c r="R6" s="0" t="n">
        <v>10588.679</v>
      </c>
      <c r="S6" s="0" t="n">
        <v>6687.623</v>
      </c>
      <c r="T6" s="0" t="n">
        <v>1503.2</v>
      </c>
      <c r="U6" s="0" t="n">
        <v>0</v>
      </c>
      <c r="AA6" s="0" t="s">
        <v>18</v>
      </c>
      <c r="AB6" s="0" t="s">
        <v>14</v>
      </c>
      <c r="AC6" s="0" t="n">
        <v>4823.156</v>
      </c>
    </row>
    <row r="7" customFormat="false" ht="15" hidden="false" customHeight="false" outlineLevel="0" collapsed="false">
      <c r="A7" s="0" t="s">
        <v>70</v>
      </c>
      <c r="B7" s="0" t="n">
        <v>27781.412</v>
      </c>
      <c r="C7" s="0" t="n">
        <v>21655.563</v>
      </c>
      <c r="D7" s="0" t="n">
        <v>6125.849</v>
      </c>
      <c r="E7" s="0" t="n">
        <v>22.1</v>
      </c>
      <c r="F7" s="0" t="n">
        <v>5511.834</v>
      </c>
      <c r="G7" s="0" t="n">
        <v>19.8</v>
      </c>
      <c r="H7" s="0" t="n">
        <v>6910.735</v>
      </c>
      <c r="I7" s="0" t="n">
        <v>4562.783</v>
      </c>
      <c r="J7" s="0" t="n">
        <v>16.4</v>
      </c>
      <c r="K7" s="0" t="n">
        <v>3.04</v>
      </c>
      <c r="L7" s="0" t="n">
        <v>4628.12</v>
      </c>
      <c r="M7" s="0" t="n">
        <v>1549.984</v>
      </c>
      <c r="N7" s="0" t="n">
        <v>3078.136</v>
      </c>
      <c r="O7" s="0" t="n">
        <v>30752.918</v>
      </c>
      <c r="P7" s="0" t="n">
        <v>43492.865</v>
      </c>
      <c r="Q7" s="0" t="n">
        <v>12727.081</v>
      </c>
      <c r="R7" s="0" t="n">
        <v>9197.684</v>
      </c>
      <c r="S7" s="0" t="n">
        <v>7369.498</v>
      </c>
      <c r="T7" s="0" t="n">
        <v>1503.2</v>
      </c>
      <c r="U7" s="0" t="n">
        <v>0</v>
      </c>
      <c r="AA7" s="0" t="s">
        <v>18</v>
      </c>
      <c r="AB7" s="0" t="s">
        <v>14</v>
      </c>
      <c r="AC7" s="0" t="n">
        <v>6100.872</v>
      </c>
    </row>
    <row r="8" customFormat="false" ht="15" hidden="false" customHeight="false" outlineLevel="0" collapsed="false">
      <c r="A8" s="0" t="s">
        <v>71</v>
      </c>
      <c r="B8" s="0" t="n">
        <v>24969.792</v>
      </c>
      <c r="C8" s="0" t="n">
        <v>18909.916</v>
      </c>
      <c r="D8" s="0" t="n">
        <v>6059.876</v>
      </c>
      <c r="E8" s="0" t="n">
        <v>24.3</v>
      </c>
      <c r="F8" s="0" t="n">
        <v>5328.469</v>
      </c>
      <c r="G8" s="0" t="n">
        <v>21.3</v>
      </c>
      <c r="H8" s="0" t="n">
        <v>6802.714</v>
      </c>
      <c r="I8" s="0" t="n">
        <v>4557.263</v>
      </c>
      <c r="J8" s="0" t="n">
        <v>18.3</v>
      </c>
      <c r="K8" s="0" t="n">
        <v>3.03</v>
      </c>
      <c r="L8" s="0" t="n">
        <v>5226.525</v>
      </c>
      <c r="M8" s="0" t="n">
        <v>1090.607</v>
      </c>
      <c r="N8" s="0" t="n">
        <v>4135.918</v>
      </c>
      <c r="O8" s="0" t="n">
        <v>32867.316</v>
      </c>
      <c r="P8" s="0" t="n">
        <v>48611.137</v>
      </c>
      <c r="Q8" s="0" t="n">
        <v>15743.821</v>
      </c>
      <c r="R8" s="0" t="n">
        <v>12103.968</v>
      </c>
      <c r="S8" s="0" t="n">
        <v>11596.453</v>
      </c>
      <c r="T8" s="0" t="n">
        <v>1503.2</v>
      </c>
      <c r="U8" s="0" t="n">
        <v>0</v>
      </c>
      <c r="AA8" s="0" t="s">
        <v>18</v>
      </c>
      <c r="AB8" s="0" t="s">
        <v>14</v>
      </c>
      <c r="AC8" s="0" t="n">
        <v>11127.105</v>
      </c>
    </row>
    <row r="9" customFormat="false" ht="15" hidden="false" customHeight="false" outlineLevel="0" collapsed="false">
      <c r="A9" s="0" t="s">
        <v>72</v>
      </c>
      <c r="B9" s="0" t="n">
        <v>28662.938</v>
      </c>
      <c r="C9" s="0" t="n">
        <v>20608.041</v>
      </c>
      <c r="D9" s="0" t="n">
        <v>8054.897</v>
      </c>
      <c r="E9" s="0" t="n">
        <v>28.1</v>
      </c>
      <c r="F9" s="0" t="n">
        <v>7533.824</v>
      </c>
      <c r="G9" s="0" t="n">
        <v>26.3</v>
      </c>
      <c r="H9" s="0" t="n">
        <v>9055.824</v>
      </c>
      <c r="I9" s="0" t="n">
        <v>6240.581</v>
      </c>
      <c r="J9" s="0" t="n">
        <v>21.8</v>
      </c>
      <c r="K9" s="0" t="n">
        <v>4.15</v>
      </c>
      <c r="L9" s="0" t="n">
        <v>5272.964</v>
      </c>
      <c r="M9" s="0" t="n">
        <v>1876.136</v>
      </c>
      <c r="N9" s="0" t="n">
        <v>3396.828</v>
      </c>
      <c r="O9" s="0" t="n">
        <v>35852.895</v>
      </c>
      <c r="P9" s="0" t="n">
        <v>53107.848</v>
      </c>
      <c r="Q9" s="0" t="n">
        <v>17254.953</v>
      </c>
      <c r="R9" s="0" t="n">
        <v>12818.564</v>
      </c>
      <c r="S9" s="0" t="n">
        <v>10868.83</v>
      </c>
      <c r="T9" s="0" t="n">
        <v>1503.2</v>
      </c>
      <c r="U9" s="0" t="n">
        <v>0</v>
      </c>
      <c r="AA9" s="0" t="s">
        <v>18</v>
      </c>
      <c r="AB9" s="0" t="s">
        <v>14</v>
      </c>
      <c r="AC9" s="0" t="n">
        <v>14037.412</v>
      </c>
    </row>
    <row r="10" customFormat="false" ht="15" hidden="false" customHeight="false" outlineLevel="0" collapsed="false">
      <c r="A10" s="0" t="s">
        <v>73</v>
      </c>
      <c r="B10" s="0" t="n">
        <v>30993.732</v>
      </c>
      <c r="C10" s="0" t="n">
        <v>22828.372</v>
      </c>
      <c r="D10" s="0" t="n">
        <v>8165.36</v>
      </c>
      <c r="E10" s="0" t="n">
        <v>26.3</v>
      </c>
      <c r="F10" s="0" t="n">
        <v>6996.617</v>
      </c>
      <c r="G10" s="0" t="n">
        <v>22.6</v>
      </c>
      <c r="H10" s="0" t="n">
        <v>8486.058</v>
      </c>
      <c r="I10" s="0" t="n">
        <v>5825.262</v>
      </c>
      <c r="J10" s="0" t="n">
        <v>18.8</v>
      </c>
      <c r="K10" s="0" t="n">
        <v>3.88</v>
      </c>
      <c r="L10" s="0" t="n">
        <v>5549.401</v>
      </c>
      <c r="M10" s="0" t="n">
        <v>2738.982</v>
      </c>
      <c r="N10" s="0" t="n">
        <v>2810.419</v>
      </c>
      <c r="O10" s="0" t="n">
        <v>37491.918</v>
      </c>
      <c r="P10" s="0" t="n">
        <v>56942.995</v>
      </c>
      <c r="Q10" s="0" t="n">
        <v>19451.077</v>
      </c>
      <c r="R10" s="0" t="n">
        <v>14799.497</v>
      </c>
      <c r="S10" s="0" t="n">
        <v>15410.854</v>
      </c>
      <c r="T10" s="0" t="n">
        <v>1503.2</v>
      </c>
      <c r="U10" s="0" t="n">
        <v>0</v>
      </c>
      <c r="AA10" s="0" t="s">
        <v>18</v>
      </c>
      <c r="AB10" s="0" t="s">
        <v>14</v>
      </c>
      <c r="AC10" s="0" t="n">
        <v>11135.099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37.34</v>
      </c>
    </row>
    <row r="3" customFormat="false" ht="15" hidden="false" customHeight="false" outlineLevel="0" collapsed="false">
      <c r="A3" s="0" t="s">
        <v>77</v>
      </c>
      <c r="B3" s="3" t="n">
        <v>1502.836</v>
      </c>
    </row>
    <row r="4" customFormat="false" ht="15" hidden="false" customHeight="false" outlineLevel="0" collapsed="false">
      <c r="A4" s="0" t="s">
        <v>78</v>
      </c>
      <c r="B4" s="3" t="n">
        <v>-13182.2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30993.732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1.1724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-6</v>
      </c>
      <c r="D13" s="3" t="n">
        <v>0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17</v>
      </c>
      <c r="D14" s="3" t="n">
        <v>17.5</v>
      </c>
      <c r="E14" s="3" t="n">
        <v>18</v>
      </c>
      <c r="F14" s="3" t="n">
        <v>18</v>
      </c>
      <c r="G14" s="3" t="n">
        <v>18</v>
      </c>
      <c r="H14" s="3" t="n">
        <v>18</v>
      </c>
      <c r="I14" s="3" t="n">
        <v>18</v>
      </c>
      <c r="J14" s="3" t="n">
        <v>18</v>
      </c>
      <c r="K14" s="3" t="n">
        <v>18</v>
      </c>
      <c r="L14" s="3" t="n">
        <v>18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5.2</v>
      </c>
      <c r="D17" s="3" t="n">
        <v>5.2</v>
      </c>
      <c r="E17" s="3" t="n">
        <v>5.1</v>
      </c>
      <c r="F17" s="3" t="n">
        <v>5</v>
      </c>
      <c r="G17" s="3" t="n">
        <v>5</v>
      </c>
      <c r="H17" s="3" t="n">
        <v>4.9</v>
      </c>
      <c r="I17" s="3" t="n">
        <v>4.9</v>
      </c>
      <c r="J17" s="3" t="n">
        <v>4.9</v>
      </c>
      <c r="K17" s="3" t="n">
        <v>4.9</v>
      </c>
      <c r="L17" s="3" t="n">
        <v>4.9</v>
      </c>
    </row>
    <row r="18" customFormat="false" ht="15" hidden="false" customHeight="false" outlineLevel="0" collapsed="false">
      <c r="A18" s="0" t="s">
        <v>102</v>
      </c>
      <c r="C18" s="3" t="n">
        <v>8.5</v>
      </c>
      <c r="D18" s="3" t="n">
        <v>8</v>
      </c>
      <c r="E18" s="3" t="n">
        <v>7</v>
      </c>
      <c r="F18" s="3" t="n">
        <v>6</v>
      </c>
      <c r="G18" s="3" t="n">
        <v>5.5</v>
      </c>
      <c r="H18" s="3" t="n">
        <v>5.5</v>
      </c>
      <c r="I18" s="3" t="n">
        <v>5.5</v>
      </c>
      <c r="J18" s="3" t="n">
        <v>5.5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103</v>
      </c>
      <c r="C19" s="3" t="n">
        <v>16</v>
      </c>
      <c r="D19" s="3" t="n">
        <v>16</v>
      </c>
      <c r="E19" s="3" t="n">
        <v>16</v>
      </c>
      <c r="F19" s="3" t="n">
        <v>16</v>
      </c>
      <c r="G19" s="3" t="n">
        <v>16</v>
      </c>
      <c r="H19" s="3" t="n">
        <v>16</v>
      </c>
      <c r="I19" s="3" t="n">
        <v>16</v>
      </c>
      <c r="J19" s="3" t="n">
        <v>16</v>
      </c>
      <c r="K19" s="3" t="n">
        <v>16</v>
      </c>
      <c r="L19" s="3" t="n">
        <v>16</v>
      </c>
    </row>
    <row r="20" customFormat="false" ht="15" hidden="false" customHeight="false" outlineLevel="0" collapsed="false">
      <c r="A20" s="0" t="s">
        <v>104</v>
      </c>
      <c r="B20" s="3" t="n">
        <v>9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-30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-4</v>
      </c>
      <c r="D27" s="3" t="n">
        <v>4</v>
      </c>
      <c r="E27" s="3" t="n">
        <v>6</v>
      </c>
      <c r="F27" s="3" t="n">
        <v>6</v>
      </c>
      <c r="G27" s="3" t="n">
        <v>5</v>
      </c>
      <c r="H27" s="3" t="n">
        <v>5</v>
      </c>
      <c r="I27" s="3" t="n">
        <v>4</v>
      </c>
      <c r="J27" s="3" t="n">
        <v>4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19</v>
      </c>
      <c r="D28" s="3" t="n">
        <v>21</v>
      </c>
      <c r="E28" s="3" t="n">
        <v>22</v>
      </c>
      <c r="F28" s="3" t="n">
        <v>22.5</v>
      </c>
      <c r="G28" s="3" t="n">
        <v>23</v>
      </c>
      <c r="H28" s="3" t="n">
        <v>23</v>
      </c>
      <c r="I28" s="3" t="n">
        <v>23</v>
      </c>
      <c r="J28" s="3" t="n">
        <v>23</v>
      </c>
      <c r="K28" s="3" t="n">
        <v>23</v>
      </c>
      <c r="L28" s="3" t="n">
        <v>23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5</v>
      </c>
      <c r="D31" s="3" t="n">
        <v>5</v>
      </c>
      <c r="E31" s="3" t="n">
        <v>5</v>
      </c>
      <c r="F31" s="3" t="n">
        <v>4.9</v>
      </c>
      <c r="G31" s="3" t="n">
        <v>4.9</v>
      </c>
      <c r="H31" s="3" t="n">
        <v>4.8</v>
      </c>
      <c r="I31" s="3" t="n">
        <v>4.8</v>
      </c>
      <c r="J31" s="3" t="n">
        <v>4.8</v>
      </c>
      <c r="K31" s="3" t="n">
        <v>4.8</v>
      </c>
      <c r="L31" s="3" t="n">
        <v>4.8</v>
      </c>
    </row>
    <row r="32" customFormat="false" ht="15" hidden="false" customHeight="false" outlineLevel="0" collapsed="false">
      <c r="A32" s="0" t="s">
        <v>102</v>
      </c>
      <c r="C32" s="3" t="n">
        <v>8.5</v>
      </c>
      <c r="D32" s="3" t="n">
        <v>8.5</v>
      </c>
      <c r="E32" s="3" t="n">
        <v>7.5</v>
      </c>
      <c r="F32" s="3" t="n">
        <v>7</v>
      </c>
      <c r="G32" s="3" t="n">
        <v>6.5</v>
      </c>
      <c r="H32" s="3" t="n">
        <v>6</v>
      </c>
      <c r="I32" s="3" t="n">
        <v>6</v>
      </c>
      <c r="J32" s="3" t="n">
        <v>5.5</v>
      </c>
      <c r="K32" s="3" t="n">
        <v>5.5</v>
      </c>
      <c r="L32" s="3" t="n">
        <v>5.5</v>
      </c>
    </row>
    <row r="33" customFormat="false" ht="15" hidden="false" customHeight="false" outlineLevel="0" collapsed="false">
      <c r="A33" s="0" t="s">
        <v>103</v>
      </c>
      <c r="C33" s="3" t="n">
        <v>15</v>
      </c>
      <c r="D33" s="3" t="n">
        <v>15</v>
      </c>
      <c r="E33" s="3" t="n">
        <v>15</v>
      </c>
      <c r="F33" s="3" t="n">
        <v>15</v>
      </c>
      <c r="G33" s="3" t="n">
        <v>15</v>
      </c>
      <c r="H33" s="3" t="n">
        <v>15</v>
      </c>
      <c r="I33" s="3" t="n">
        <v>15</v>
      </c>
      <c r="J33" s="3" t="n">
        <v>15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104</v>
      </c>
      <c r="B34" s="3" t="n">
        <v>9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14</v>
      </c>
    </row>
    <row r="37" customFormat="false" ht="15" hidden="false" customHeight="false" outlineLevel="0" collapsed="false">
      <c r="A37" s="0" t="s">
        <v>107</v>
      </c>
      <c r="B37" s="3" t="n">
        <v>-30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-3</v>
      </c>
      <c r="D41" s="3" t="n">
        <v>7</v>
      </c>
      <c r="E41" s="3" t="n">
        <v>9</v>
      </c>
      <c r="F41" s="3" t="n">
        <v>9</v>
      </c>
      <c r="G41" s="3" t="n">
        <v>8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19.5</v>
      </c>
      <c r="D42" s="3" t="n">
        <v>22.5</v>
      </c>
      <c r="E42" s="3" t="n">
        <v>24</v>
      </c>
      <c r="F42" s="3" t="n">
        <v>25</v>
      </c>
      <c r="G42" s="3" t="n">
        <v>25.5</v>
      </c>
      <c r="H42" s="3" t="n">
        <v>25.5</v>
      </c>
      <c r="I42" s="3" t="n">
        <v>25.5</v>
      </c>
      <c r="J42" s="3" t="n">
        <v>25.5</v>
      </c>
      <c r="K42" s="3" t="n">
        <v>25.5</v>
      </c>
      <c r="L42" s="3" t="n">
        <v>25.5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5</v>
      </c>
      <c r="D45" s="3" t="n">
        <v>5</v>
      </c>
      <c r="E45" s="3" t="n">
        <v>5</v>
      </c>
      <c r="F45" s="3" t="n">
        <v>4.9</v>
      </c>
      <c r="G45" s="3" t="n">
        <v>4.9</v>
      </c>
      <c r="H45" s="3" t="n">
        <v>4.8</v>
      </c>
      <c r="I45" s="3" t="n">
        <v>4.8</v>
      </c>
      <c r="J45" s="3" t="n">
        <v>4.8</v>
      </c>
      <c r="K45" s="3" t="n">
        <v>4.8</v>
      </c>
      <c r="L45" s="3" t="n">
        <v>4.8</v>
      </c>
    </row>
    <row r="46" customFormat="false" ht="15" hidden="false" customHeight="false" outlineLevel="0" collapsed="false">
      <c r="A46" s="0" t="s">
        <v>102</v>
      </c>
      <c r="C46" s="3" t="n">
        <v>8.5</v>
      </c>
      <c r="D46" s="3" t="n">
        <v>9</v>
      </c>
      <c r="E46" s="3" t="n">
        <v>8</v>
      </c>
      <c r="F46" s="3" t="n">
        <v>7.5</v>
      </c>
      <c r="G46" s="3" t="n">
        <v>7</v>
      </c>
      <c r="H46" s="3" t="n">
        <v>6.5</v>
      </c>
      <c r="I46" s="3" t="n">
        <v>6</v>
      </c>
      <c r="J46" s="3" t="n">
        <v>6</v>
      </c>
      <c r="K46" s="3" t="n">
        <v>6</v>
      </c>
      <c r="L46" s="3" t="n">
        <v>6</v>
      </c>
    </row>
    <row r="47" customFormat="false" ht="15" hidden="false" customHeight="false" outlineLevel="0" collapsed="false">
      <c r="A47" s="0" t="s">
        <v>103</v>
      </c>
      <c r="C47" s="3" t="n">
        <v>15</v>
      </c>
      <c r="D47" s="3" t="n">
        <v>15</v>
      </c>
      <c r="E47" s="3" t="n">
        <v>15</v>
      </c>
      <c r="F47" s="3" t="n">
        <v>15</v>
      </c>
      <c r="G47" s="3" t="n">
        <v>15</v>
      </c>
      <c r="H47" s="3" t="n">
        <v>15</v>
      </c>
      <c r="I47" s="3" t="n">
        <v>15</v>
      </c>
      <c r="J47" s="3" t="n">
        <v>15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104</v>
      </c>
      <c r="B48" s="3" t="n">
        <v>9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14</v>
      </c>
    </row>
    <row r="51" customFormat="false" ht="15" hidden="false" customHeight="false" outlineLevel="0" collapsed="false">
      <c r="A51" s="0" t="s">
        <v>107</v>
      </c>
      <c r="B51" s="3" t="n">
        <v>-30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-6</v>
      </c>
      <c r="D5" s="4" t="n">
        <f aca="false">Assumptions!D13</f>
        <v>0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30993.732</v>
      </c>
      <c r="C6" s="0" t="n">
        <f aca="false">B6*(1+C5/100)</f>
        <v>29134.10808</v>
      </c>
      <c r="D6" s="0" t="n">
        <f aca="false">C6*(1+D5/100)</f>
        <v>29134.10808</v>
      </c>
      <c r="E6" s="0" t="n">
        <f aca="false">D6*(1+E5/100)</f>
        <v>29716.7902416</v>
      </c>
      <c r="F6" s="0" t="n">
        <f aca="false">E6*(1+F5/100)</f>
        <v>30608.293948848</v>
      </c>
      <c r="G6" s="0" t="n">
        <f aca="false">F6*(1+G5/100)</f>
        <v>31526.5427673134</v>
      </c>
      <c r="H6" s="0" t="n">
        <f aca="false">G6*(1+H5/100)</f>
        <v>32472.3390503328</v>
      </c>
      <c r="I6" s="0" t="n">
        <f aca="false">H6*(1+I5/100)</f>
        <v>33284.1475265912</v>
      </c>
      <c r="J6" s="0" t="n">
        <f aca="false">I6*(1+J5/100)</f>
        <v>33949.830477123</v>
      </c>
      <c r="K6" s="0" t="n">
        <f aca="false">J6*(1+K5/100)</f>
        <v>34628.8270866655</v>
      </c>
      <c r="L6" s="0" t="n">
        <f aca="false">K6*(1+L5/100)</f>
        <v>35321.4036283988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17</v>
      </c>
      <c r="D7" s="4" t="n">
        <f aca="false">Assumptions!D14</f>
        <v>17.5</v>
      </c>
      <c r="E7" s="4" t="n">
        <f aca="false">Assumptions!E14</f>
        <v>18</v>
      </c>
      <c r="F7" s="4" t="n">
        <f aca="false">Assumptions!F14</f>
        <v>18</v>
      </c>
      <c r="G7" s="4" t="n">
        <f aca="false">Assumptions!G14</f>
        <v>18</v>
      </c>
      <c r="H7" s="4" t="n">
        <f aca="false">Assumptions!H14</f>
        <v>18</v>
      </c>
      <c r="I7" s="4" t="n">
        <f aca="false">Assumptions!I14</f>
        <v>18</v>
      </c>
      <c r="J7" s="4" t="n">
        <f aca="false">Assumptions!J14</f>
        <v>18</v>
      </c>
      <c r="K7" s="4" t="n">
        <f aca="false">Assumptions!K14</f>
        <v>18</v>
      </c>
      <c r="L7" s="4" t="n">
        <f aca="false">Assumptions!L14</f>
        <v>18</v>
      </c>
    </row>
    <row r="8" customFormat="false" ht="15" hidden="false" customHeight="false" outlineLevel="0" collapsed="false">
      <c r="A8" s="0" t="s">
        <v>44</v>
      </c>
      <c r="C8" s="0" t="n">
        <f aca="false">C6*C7/100</f>
        <v>4952.7983736</v>
      </c>
      <c r="D8" s="0" t="n">
        <f aca="false">D6*D7/100</f>
        <v>5098.468914</v>
      </c>
      <c r="E8" s="0" t="n">
        <f aca="false">E6*E7/100</f>
        <v>5349.022243488</v>
      </c>
      <c r="F8" s="0" t="n">
        <f aca="false">F6*F7/100</f>
        <v>5509.49291079264</v>
      </c>
      <c r="G8" s="0" t="n">
        <f aca="false">G6*G7/100</f>
        <v>5674.77769811642</v>
      </c>
      <c r="H8" s="0" t="n">
        <f aca="false">H6*H7/100</f>
        <v>5845.02102905991</v>
      </c>
      <c r="I8" s="0" t="n">
        <f aca="false">I6*I7/100</f>
        <v>5991.14655478641</v>
      </c>
      <c r="J8" s="0" t="n">
        <f aca="false">J6*J7/100</f>
        <v>6110.96948588214</v>
      </c>
      <c r="K8" s="0" t="n">
        <f aca="false">K6*K7/100</f>
        <v>6233.18887559978</v>
      </c>
      <c r="L8" s="0" t="n">
        <f aca="false">L6*L7/100</f>
        <v>6357.85265311178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4952.7983736</v>
      </c>
      <c r="D11" s="0" t="n">
        <f aca="false">D8+D10+D24</f>
        <v>5098.468914</v>
      </c>
      <c r="E11" s="0" t="n">
        <f aca="false">E8+E10+E24</f>
        <v>5349.022243488</v>
      </c>
      <c r="F11" s="0" t="n">
        <f aca="false">F8+F10+F24</f>
        <v>5509.49291079264</v>
      </c>
      <c r="G11" s="0" t="n">
        <f aca="false">G8+G10+G24</f>
        <v>5674.77769811642</v>
      </c>
      <c r="H11" s="0" t="n">
        <f aca="false">H8+H10+H24</f>
        <v>5845.02102905991</v>
      </c>
      <c r="I11" s="0" t="n">
        <f aca="false">I8+I10+I24</f>
        <v>5991.14655478641</v>
      </c>
      <c r="J11" s="0" t="n">
        <f aca="false">J8+J10+J24</f>
        <v>6110.96948588214</v>
      </c>
      <c r="K11" s="0" t="n">
        <f aca="false">K8+K10+K24</f>
        <v>6233.18887559978</v>
      </c>
      <c r="L11" s="0" t="n">
        <f aca="false">L8+L10+L24</f>
        <v>6357.85265311178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-1514.97362016</v>
      </c>
      <c r="D12" s="4" t="n">
        <f aca="false">-D6*Assumptions!D17/100</f>
        <v>-1514.97362016</v>
      </c>
      <c r="E12" s="4" t="n">
        <f aca="false">-E6*Assumptions!E17/100</f>
        <v>-1515.5563023216</v>
      </c>
      <c r="F12" s="4" t="n">
        <f aca="false">-F6*Assumptions!F17/100</f>
        <v>-1530.4146974424</v>
      </c>
      <c r="G12" s="4" t="n">
        <f aca="false">-G6*Assumptions!G17/100</f>
        <v>-1576.32713836567</v>
      </c>
      <c r="H12" s="4" t="n">
        <f aca="false">-H6*Assumptions!H17/100</f>
        <v>-1591.14461346631</v>
      </c>
      <c r="I12" s="4" t="n">
        <f aca="false">-I6*Assumptions!I17/100</f>
        <v>-1630.92322880297</v>
      </c>
      <c r="J12" s="4" t="n">
        <f aca="false">-J6*Assumptions!J17/100</f>
        <v>-1663.54169337903</v>
      </c>
      <c r="K12" s="4" t="n">
        <f aca="false">-K6*Assumptions!K17/100</f>
        <v>-1696.81252724661</v>
      </c>
      <c r="L12" s="4" t="n">
        <f aca="false">-L6*Assumptions!L17/100</f>
        <v>-1730.74877779154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3437.82475344</v>
      </c>
      <c r="D13" s="0" t="n">
        <f aca="false">D11+D12</f>
        <v>3583.49529384</v>
      </c>
      <c r="E13" s="0" t="n">
        <f aca="false">E11+E12</f>
        <v>3833.4659411664</v>
      </c>
      <c r="F13" s="0" t="n">
        <f aca="false">F11+F12</f>
        <v>3979.07821335024</v>
      </c>
      <c r="G13" s="0" t="n">
        <f aca="false">G11+G12</f>
        <v>4098.45055975075</v>
      </c>
      <c r="H13" s="0" t="n">
        <f aca="false">H11+H12</f>
        <v>4253.8764155936</v>
      </c>
      <c r="I13" s="0" t="n">
        <f aca="false">I11+I12</f>
        <v>4360.22332598344</v>
      </c>
      <c r="J13" s="0" t="n">
        <f aca="false">J11+J12</f>
        <v>4447.42779250311</v>
      </c>
      <c r="K13" s="0" t="n">
        <f aca="false">K11+K12</f>
        <v>4536.37634835317</v>
      </c>
      <c r="L13" s="0" t="n">
        <f aca="false">L11+L12</f>
        <v>4627.10387532024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16</v>
      </c>
      <c r="D14" s="4" t="n">
        <f aca="false">Assumptions!D19</f>
        <v>16</v>
      </c>
      <c r="E14" s="4" t="n">
        <f aca="false">Assumptions!E19</f>
        <v>16</v>
      </c>
      <c r="F14" s="4" t="n">
        <f aca="false">Assumptions!F19</f>
        <v>16</v>
      </c>
      <c r="G14" s="4" t="n">
        <f aca="false">Assumptions!G19</f>
        <v>16</v>
      </c>
      <c r="H14" s="4" t="n">
        <f aca="false">Assumptions!H19</f>
        <v>16</v>
      </c>
      <c r="I14" s="4" t="n">
        <f aca="false">Assumptions!I19</f>
        <v>16</v>
      </c>
      <c r="J14" s="4" t="n">
        <f aca="false">Assumptions!J19</f>
        <v>16</v>
      </c>
      <c r="K14" s="4" t="n">
        <f aca="false">Assumptions!K19</f>
        <v>16</v>
      </c>
      <c r="L14" s="4" t="n">
        <f aca="false">Assumptions!L19</f>
        <v>16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2887.7727928896</v>
      </c>
      <c r="D15" s="0" t="n">
        <f aca="false">D13-MAX(0,D13)*D14/100</f>
        <v>3010.1360468256</v>
      </c>
      <c r="E15" s="0" t="n">
        <f aca="false">E13-MAX(0,E13)*E14/100</f>
        <v>3220.11139057978</v>
      </c>
      <c r="F15" s="0" t="n">
        <f aca="false">F13-MAX(0,F13)*F14/100</f>
        <v>3342.4256992142</v>
      </c>
      <c r="G15" s="0" t="n">
        <f aca="false">G13-MAX(0,G13)*G14/100</f>
        <v>3442.69847019063</v>
      </c>
      <c r="H15" s="0" t="n">
        <f aca="false">H13-MAX(0,H13)*H14/100</f>
        <v>3573.25618909863</v>
      </c>
      <c r="I15" s="0" t="n">
        <f aca="false">I13-MAX(0,I13)*I14/100</f>
        <v>3662.58759382609</v>
      </c>
      <c r="J15" s="0" t="n">
        <f aca="false">J13-MAX(0,J13)*J14/100</f>
        <v>3735.83934570261</v>
      </c>
      <c r="K15" s="0" t="n">
        <f aca="false">K13-MAX(0,K13)*K14/100</f>
        <v>3810.55613261667</v>
      </c>
      <c r="L15" s="0" t="n">
        <f aca="false">L13-MAX(0,L13)*L14/100</f>
        <v>3886.767255269</v>
      </c>
    </row>
    <row r="16" customFormat="false" ht="15" hidden="false" customHeight="false" outlineLevel="0" collapsed="false">
      <c r="A16" s="0" t="s">
        <v>119</v>
      </c>
      <c r="C16" s="0" t="n">
        <f aca="false">-C12</f>
        <v>1514.97362016</v>
      </c>
      <c r="D16" s="0" t="n">
        <f aca="false">-D12</f>
        <v>1514.97362016</v>
      </c>
      <c r="E16" s="0" t="n">
        <f aca="false">-E12</f>
        <v>1515.5563023216</v>
      </c>
      <c r="F16" s="0" t="n">
        <f aca="false">-F12</f>
        <v>1530.4146974424</v>
      </c>
      <c r="G16" s="0" t="n">
        <f aca="false">-G12</f>
        <v>1576.32713836567</v>
      </c>
      <c r="H16" s="0" t="n">
        <f aca="false">-H12</f>
        <v>1591.14461346631</v>
      </c>
      <c r="I16" s="0" t="n">
        <f aca="false">-I12</f>
        <v>1630.92322880297</v>
      </c>
      <c r="J16" s="0" t="n">
        <f aca="false">-J12</f>
        <v>1663.54169337903</v>
      </c>
      <c r="K16" s="0" t="n">
        <f aca="false">-K12</f>
        <v>1696.81252724661</v>
      </c>
      <c r="L16" s="0" t="n">
        <f aca="false">-L12</f>
        <v>1730.74877779154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-2476.3991868</v>
      </c>
      <c r="D17" s="4" t="n">
        <f aca="false">-D6*Assumptions!D18/100</f>
        <v>-2330.7286464</v>
      </c>
      <c r="E17" s="4" t="n">
        <f aca="false">-E6*Assumptions!E18/100</f>
        <v>-2080.175316912</v>
      </c>
      <c r="F17" s="4" t="n">
        <f aca="false">-F6*Assumptions!F18/100</f>
        <v>-1836.49763693088</v>
      </c>
      <c r="G17" s="4" t="n">
        <f aca="false">-G6*Assumptions!G18/100</f>
        <v>-1733.95985220224</v>
      </c>
      <c r="H17" s="4" t="n">
        <f aca="false">-H6*Assumptions!H18/100</f>
        <v>-1785.97864776831</v>
      </c>
      <c r="I17" s="4" t="n">
        <f aca="false">-I6*Assumptions!I18/100</f>
        <v>-1830.62811396251</v>
      </c>
      <c r="J17" s="4" t="n">
        <f aca="false">-J6*Assumptions!J18/100</f>
        <v>-1867.24067624176</v>
      </c>
      <c r="K17" s="4" t="n">
        <f aca="false">-K6*Assumptions!K18/100</f>
        <v>-1904.5854897666</v>
      </c>
      <c r="L17" s="4" t="n">
        <f aca="false">-L6*Assumptions!L18/100</f>
        <v>-1942.67719956193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557.887176000001</v>
      </c>
      <c r="D18" s="4" t="n">
        <f aca="false">(D6-C6)*Assumptions!$B$23/100</f>
        <v>-0</v>
      </c>
      <c r="E18" s="4" t="n">
        <f aca="false">(E6-D6)*Assumptions!$B$23/100</f>
        <v>-174.80464848</v>
      </c>
      <c r="F18" s="4" t="n">
        <f aca="false">(F6-E6)*Assumptions!$B$23/100</f>
        <v>-267.4511121744</v>
      </c>
      <c r="G18" s="4" t="n">
        <f aca="false">(G6-F6)*Assumptions!$B$23/100</f>
        <v>-275.474645539632</v>
      </c>
      <c r="H18" s="4" t="n">
        <f aca="false">(H6-G6)*Assumptions!$B$23/100</f>
        <v>-283.738884905821</v>
      </c>
      <c r="I18" s="4" t="n">
        <f aca="false">(I6-H6)*Assumptions!$B$23/100</f>
        <v>-243.542542877496</v>
      </c>
      <c r="J18" s="4" t="n">
        <f aca="false">(J6-I6)*Assumptions!$B$23/100</f>
        <v>-199.704885159547</v>
      </c>
      <c r="K18" s="4" t="n">
        <f aca="false">(K6-J6)*Assumptions!$B$23/100</f>
        <v>-203.698982862738</v>
      </c>
      <c r="L18" s="4" t="n">
        <f aca="false">(L6-K6)*Assumptions!$B$23/100</f>
        <v>-207.772962519993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2484.2344022496</v>
      </c>
      <c r="D19" s="0" t="n">
        <f aca="false">D15+D16+D17+D18</f>
        <v>2194.3810205856</v>
      </c>
      <c r="E19" s="0" t="n">
        <f aca="false">E15+E16+E17+E18</f>
        <v>2480.68772750938</v>
      </c>
      <c r="F19" s="0" t="n">
        <f aca="false">F15+F16+F17+F18</f>
        <v>2768.89164755132</v>
      </c>
      <c r="G19" s="0" t="n">
        <f aca="false">G15+G16+G17+G18</f>
        <v>3009.59111081443</v>
      </c>
      <c r="H19" s="0" t="n">
        <f aca="false">H15+H16+H17+H18</f>
        <v>3094.68326989081</v>
      </c>
      <c r="I19" s="0" t="n">
        <f aca="false">I15+I16+I17+I18</f>
        <v>3219.34016578905</v>
      </c>
      <c r="J19" s="0" t="n">
        <f aca="false">J15+J16+J17+J18</f>
        <v>3332.43547768033</v>
      </c>
      <c r="K19" s="0" t="n">
        <f aca="false">K15+K16+K17+K18</f>
        <v>3399.08418723394</v>
      </c>
      <c r="L19" s="0" t="n">
        <f aca="false">L15+L16+L17+L18</f>
        <v>3467.06587097861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2279.11413050422</v>
      </c>
      <c r="D21" s="0" t="n">
        <f aca="false">D19*D20</f>
        <v>1846.96660263075</v>
      </c>
      <c r="E21" s="0" t="n">
        <f aca="false">E19*E20</f>
        <v>1915.54608237296</v>
      </c>
      <c r="F21" s="0" t="n">
        <f aca="false">F19*F20</f>
        <v>1961.5526498332</v>
      </c>
      <c r="G21" s="0" t="n">
        <f aca="false">G19*G20</f>
        <v>1956.0277228428</v>
      </c>
      <c r="H21" s="0" t="n">
        <f aca="false">H19*H20</f>
        <v>1845.25852087562</v>
      </c>
      <c r="I21" s="0" t="n">
        <f aca="false">I19*I20</f>
        <v>1761.08931648617</v>
      </c>
      <c r="J21" s="0" t="n">
        <f aca="false">J19*J20</f>
        <v>1672.43699543297</v>
      </c>
      <c r="K21" s="0" t="n">
        <f aca="false">K19*K20</f>
        <v>1565.03278471709</v>
      </c>
      <c r="L21" s="0" t="n">
        <f aca="false">L19*L20</f>
        <v>1464.52609212058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18267.5508978164</v>
      </c>
    </row>
    <row r="31" customFormat="false" ht="15" hidden="false" customHeight="false" outlineLevel="0" collapsed="false">
      <c r="A31" s="0" t="s">
        <v>128</v>
      </c>
      <c r="B31" s="0" t="n">
        <f aca="false">L19</f>
        <v>3467.06587097861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46920.9581205772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41604.7904517434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41604.7904517434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17574.313105447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35841.8640032633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49024.0640032633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38.2449000672235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0.0242340671457826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38.2449000672235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26067.1989558762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26.2249961073416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-4</v>
      </c>
      <c r="D5" s="4" t="n">
        <f aca="false">Assumptions!D27</f>
        <v>4</v>
      </c>
      <c r="E5" s="4" t="n">
        <f aca="false">Assumptions!E27</f>
        <v>6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5</v>
      </c>
      <c r="I5" s="4" t="n">
        <f aca="false">Assumptions!I27</f>
        <v>4</v>
      </c>
      <c r="J5" s="4" t="n">
        <f aca="false">Assumptions!J27</f>
        <v>4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30993.732</v>
      </c>
      <c r="C6" s="0" t="n">
        <f aca="false">B6*(1+C5/100)</f>
        <v>29753.98272</v>
      </c>
      <c r="D6" s="0" t="n">
        <f aca="false">C6*(1+D5/100)</f>
        <v>30944.1420288</v>
      </c>
      <c r="E6" s="0" t="n">
        <f aca="false">D6*(1+E5/100)</f>
        <v>32800.790550528</v>
      </c>
      <c r="F6" s="0" t="n">
        <f aca="false">E6*(1+F5/100)</f>
        <v>34768.8379835597</v>
      </c>
      <c r="G6" s="0" t="n">
        <f aca="false">F6*(1+G5/100)</f>
        <v>36507.2798827377</v>
      </c>
      <c r="H6" s="0" t="n">
        <f aca="false">G6*(1+H5/100)</f>
        <v>38332.6438768745</v>
      </c>
      <c r="I6" s="0" t="n">
        <f aca="false">H6*(1+I5/100)</f>
        <v>39865.9496319495</v>
      </c>
      <c r="J6" s="0" t="n">
        <f aca="false">I6*(1+J5/100)</f>
        <v>41460.5876172275</v>
      </c>
      <c r="K6" s="0" t="n">
        <f aca="false">J6*(1+K5/100)</f>
        <v>42704.4052457443</v>
      </c>
      <c r="L6" s="0" t="n">
        <f aca="false">K6*(1+L5/100)</f>
        <v>43985.5374031167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19</v>
      </c>
      <c r="D7" s="4" t="n">
        <f aca="false">Assumptions!D28</f>
        <v>21</v>
      </c>
      <c r="E7" s="4" t="n">
        <f aca="false">Assumptions!E28</f>
        <v>22</v>
      </c>
      <c r="F7" s="4" t="n">
        <f aca="false">Assumptions!F28</f>
        <v>22.5</v>
      </c>
      <c r="G7" s="4" t="n">
        <f aca="false">Assumptions!G28</f>
        <v>23</v>
      </c>
      <c r="H7" s="4" t="n">
        <f aca="false">Assumptions!H28</f>
        <v>23</v>
      </c>
      <c r="I7" s="4" t="n">
        <f aca="false">Assumptions!I28</f>
        <v>23</v>
      </c>
      <c r="J7" s="4" t="n">
        <f aca="false">Assumptions!J28</f>
        <v>23</v>
      </c>
      <c r="K7" s="4" t="n">
        <f aca="false">Assumptions!K28</f>
        <v>23</v>
      </c>
      <c r="L7" s="4" t="n">
        <f aca="false">Assumptions!L28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5653.2567168</v>
      </c>
      <c r="D8" s="0" t="n">
        <f aca="false">D6*D7/100</f>
        <v>6498.269826048</v>
      </c>
      <c r="E8" s="0" t="n">
        <f aca="false">E6*E7/100</f>
        <v>7216.17392111616</v>
      </c>
      <c r="F8" s="0" t="n">
        <f aca="false">F6*F7/100</f>
        <v>7822.98854630093</v>
      </c>
      <c r="G8" s="0" t="n">
        <f aca="false">G6*G7/100</f>
        <v>8396.67437302966</v>
      </c>
      <c r="H8" s="0" t="n">
        <f aca="false">H6*H7/100</f>
        <v>8816.50809168114</v>
      </c>
      <c r="I8" s="0" t="n">
        <f aca="false">I6*I7/100</f>
        <v>9169.16841534839</v>
      </c>
      <c r="J8" s="0" t="n">
        <f aca="false">J6*J7/100</f>
        <v>9535.93515196233</v>
      </c>
      <c r="K8" s="0" t="n">
        <f aca="false">K6*K7/100</f>
        <v>9822.0132065212</v>
      </c>
      <c r="L8" s="0" t="n">
        <f aca="false">L6*L7/100</f>
        <v>10116.6736027168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5653.2567168</v>
      </c>
      <c r="D11" s="0" t="n">
        <f aca="false">D8+D10+D24</f>
        <v>6498.269826048</v>
      </c>
      <c r="E11" s="0" t="n">
        <f aca="false">E8+E10+E24</f>
        <v>7216.17392111616</v>
      </c>
      <c r="F11" s="0" t="n">
        <f aca="false">F8+F10+F24</f>
        <v>7822.98854630093</v>
      </c>
      <c r="G11" s="0" t="n">
        <f aca="false">G8+G10+G24</f>
        <v>8396.67437302966</v>
      </c>
      <c r="H11" s="0" t="n">
        <f aca="false">H8+H10+H24</f>
        <v>8816.50809168114</v>
      </c>
      <c r="I11" s="0" t="n">
        <f aca="false">I8+I10+I24</f>
        <v>9169.16841534839</v>
      </c>
      <c r="J11" s="0" t="n">
        <f aca="false">J8+J10+J24</f>
        <v>9535.93515196233</v>
      </c>
      <c r="K11" s="0" t="n">
        <f aca="false">K8+K10+K24</f>
        <v>9822.0132065212</v>
      </c>
      <c r="L11" s="0" t="n">
        <f aca="false">L8+L10+L24</f>
        <v>10116.6736027168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-1487.699136</v>
      </c>
      <c r="D12" s="4" t="n">
        <f aca="false">-D6*Assumptions!D31/100</f>
        <v>-1547.20710144</v>
      </c>
      <c r="E12" s="4" t="n">
        <f aca="false">-E6*Assumptions!E31/100</f>
        <v>-1640.0395275264</v>
      </c>
      <c r="F12" s="4" t="n">
        <f aca="false">-F6*Assumptions!F31/100</f>
        <v>-1703.67306119442</v>
      </c>
      <c r="G12" s="4" t="n">
        <f aca="false">-G6*Assumptions!G31/100</f>
        <v>-1788.85671425415</v>
      </c>
      <c r="H12" s="4" t="n">
        <f aca="false">-H6*Assumptions!H31/100</f>
        <v>-1839.96690608998</v>
      </c>
      <c r="I12" s="4" t="n">
        <f aca="false">-I6*Assumptions!I31/100</f>
        <v>-1913.56558233358</v>
      </c>
      <c r="J12" s="4" t="n">
        <f aca="false">-J6*Assumptions!J31/100</f>
        <v>-1990.10820562692</v>
      </c>
      <c r="K12" s="4" t="n">
        <f aca="false">-K6*Assumptions!K31/100</f>
        <v>-2049.81145179573</v>
      </c>
      <c r="L12" s="4" t="n">
        <f aca="false">-L6*Assumptions!L31/100</f>
        <v>-2111.3057953496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4165.5575808</v>
      </c>
      <c r="D13" s="0" t="n">
        <f aca="false">D11+D12</f>
        <v>4951.062724608</v>
      </c>
      <c r="E13" s="0" t="n">
        <f aca="false">E11+E12</f>
        <v>5576.13439358976</v>
      </c>
      <c r="F13" s="0" t="n">
        <f aca="false">F11+F12</f>
        <v>6119.3154851065</v>
      </c>
      <c r="G13" s="0" t="n">
        <f aca="false">G11+G12</f>
        <v>6607.81765877552</v>
      </c>
      <c r="H13" s="0" t="n">
        <f aca="false">H11+H12</f>
        <v>6976.54118559117</v>
      </c>
      <c r="I13" s="0" t="n">
        <f aca="false">I11+I12</f>
        <v>7255.60283301481</v>
      </c>
      <c r="J13" s="0" t="n">
        <f aca="false">J11+J12</f>
        <v>7545.8269463354</v>
      </c>
      <c r="K13" s="0" t="n">
        <f aca="false">K11+K12</f>
        <v>7772.20175472547</v>
      </c>
      <c r="L13" s="0" t="n">
        <f aca="false">L11+L12</f>
        <v>8005.36780736723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15</v>
      </c>
      <c r="D14" s="4" t="n">
        <f aca="false">Assumptions!D33</f>
        <v>15</v>
      </c>
      <c r="E14" s="4" t="n">
        <f aca="false">Assumptions!E33</f>
        <v>15</v>
      </c>
      <c r="F14" s="4" t="n">
        <f aca="false">Assumptions!F33</f>
        <v>15</v>
      </c>
      <c r="G14" s="4" t="n">
        <f aca="false">Assumptions!G33</f>
        <v>15</v>
      </c>
      <c r="H14" s="4" t="n">
        <f aca="false">Assumptions!H33</f>
        <v>15</v>
      </c>
      <c r="I14" s="4" t="n">
        <f aca="false">Assumptions!I33</f>
        <v>15</v>
      </c>
      <c r="J14" s="4" t="n">
        <f aca="false">Assumptions!J33</f>
        <v>15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3540.72394368</v>
      </c>
      <c r="D15" s="0" t="n">
        <f aca="false">D13-MAX(0,D13)*D14/100</f>
        <v>4208.4033159168</v>
      </c>
      <c r="E15" s="0" t="n">
        <f aca="false">E13-MAX(0,E13)*E14/100</f>
        <v>4739.7142345513</v>
      </c>
      <c r="F15" s="0" t="n">
        <f aca="false">F13-MAX(0,F13)*F14/100</f>
        <v>5201.41816234053</v>
      </c>
      <c r="G15" s="0" t="n">
        <f aca="false">G13-MAX(0,G13)*G14/100</f>
        <v>5616.64500995919</v>
      </c>
      <c r="H15" s="0" t="n">
        <f aca="false">H13-MAX(0,H13)*H14/100</f>
        <v>5930.06000775249</v>
      </c>
      <c r="I15" s="0" t="n">
        <f aca="false">I13-MAX(0,I13)*I14/100</f>
        <v>6167.26240806259</v>
      </c>
      <c r="J15" s="0" t="n">
        <f aca="false">J13-MAX(0,J13)*J14/100</f>
        <v>6413.95290438509</v>
      </c>
      <c r="K15" s="0" t="n">
        <f aca="false">K13-MAX(0,K13)*K14/100</f>
        <v>6606.37149151665</v>
      </c>
      <c r="L15" s="0" t="n">
        <f aca="false">L13-MAX(0,L13)*L14/100</f>
        <v>6804.56263626215</v>
      </c>
    </row>
    <row r="16" customFormat="false" ht="15" hidden="false" customHeight="false" outlineLevel="0" collapsed="false">
      <c r="A16" s="0" t="s">
        <v>119</v>
      </c>
      <c r="C16" s="0" t="n">
        <f aca="false">-C12</f>
        <v>1487.699136</v>
      </c>
      <c r="D16" s="0" t="n">
        <f aca="false">-D12</f>
        <v>1547.20710144</v>
      </c>
      <c r="E16" s="0" t="n">
        <f aca="false">-E12</f>
        <v>1640.0395275264</v>
      </c>
      <c r="F16" s="0" t="n">
        <f aca="false">-F12</f>
        <v>1703.67306119442</v>
      </c>
      <c r="G16" s="0" t="n">
        <f aca="false">-G12</f>
        <v>1788.85671425415</v>
      </c>
      <c r="H16" s="0" t="n">
        <f aca="false">-H12</f>
        <v>1839.96690608998</v>
      </c>
      <c r="I16" s="0" t="n">
        <f aca="false">-I12</f>
        <v>1913.56558233358</v>
      </c>
      <c r="J16" s="0" t="n">
        <f aca="false">-J12</f>
        <v>1990.10820562692</v>
      </c>
      <c r="K16" s="0" t="n">
        <f aca="false">-K12</f>
        <v>2049.81145179573</v>
      </c>
      <c r="L16" s="0" t="n">
        <f aca="false">-L12</f>
        <v>2111.3057953496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-2529.0885312</v>
      </c>
      <c r="D17" s="4" t="n">
        <f aca="false">-D6*Assumptions!D32/100</f>
        <v>-2630.252072448</v>
      </c>
      <c r="E17" s="4" t="n">
        <f aca="false">-E6*Assumptions!E32/100</f>
        <v>-2460.0592912896</v>
      </c>
      <c r="F17" s="4" t="n">
        <f aca="false">-F6*Assumptions!F32/100</f>
        <v>-2433.81865884918</v>
      </c>
      <c r="G17" s="4" t="n">
        <f aca="false">-G6*Assumptions!G32/100</f>
        <v>-2372.97319237795</v>
      </c>
      <c r="H17" s="4" t="n">
        <f aca="false">-H6*Assumptions!H32/100</f>
        <v>-2299.95863261247</v>
      </c>
      <c r="I17" s="4" t="n">
        <f aca="false">-I6*Assumptions!I32/100</f>
        <v>-2391.95697791697</v>
      </c>
      <c r="J17" s="4" t="n">
        <f aca="false">-J6*Assumptions!J32/100</f>
        <v>-2280.33231894751</v>
      </c>
      <c r="K17" s="4" t="n">
        <f aca="false">-K6*Assumptions!K32/100</f>
        <v>-2348.74228851594</v>
      </c>
      <c r="L17" s="4" t="n">
        <f aca="false">-L6*Assumptions!L32/100</f>
        <v>-2419.20455717142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371.924784</v>
      </c>
      <c r="D18" s="4" t="n">
        <f aca="false">(D6-C6)*Assumptions!$B$37/100</f>
        <v>-357.04779264</v>
      </c>
      <c r="E18" s="4" t="n">
        <f aca="false">(E6-D6)*Assumptions!$B$37/100</f>
        <v>-556.9945565184</v>
      </c>
      <c r="F18" s="4" t="n">
        <f aca="false">(F6-E6)*Assumptions!$B$37/100</f>
        <v>-590.414229909504</v>
      </c>
      <c r="G18" s="4" t="n">
        <f aca="false">(G6-F6)*Assumptions!$B$37/100</f>
        <v>-521.532569753395</v>
      </c>
      <c r="H18" s="4" t="n">
        <f aca="false">(H6-G6)*Assumptions!$B$37/100</f>
        <v>-547.609198241065</v>
      </c>
      <c r="I18" s="4" t="n">
        <f aca="false">(I6-H6)*Assumptions!$B$37/100</f>
        <v>-459.991726522494</v>
      </c>
      <c r="J18" s="4" t="n">
        <f aca="false">(J6-I6)*Assumptions!$B$37/100</f>
        <v>-478.391395583394</v>
      </c>
      <c r="K18" s="4" t="n">
        <f aca="false">(K6-J6)*Assumptions!$B$37/100</f>
        <v>-373.145288555047</v>
      </c>
      <c r="L18" s="4" t="n">
        <f aca="false">(L6-K6)*Assumptions!$B$37/100</f>
        <v>-384.3396472117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2871.25933248</v>
      </c>
      <c r="D19" s="0" t="n">
        <f aca="false">D15+D16+D17+D18</f>
        <v>2768.3105522688</v>
      </c>
      <c r="E19" s="0" t="n">
        <f aca="false">E15+E16+E17+E18</f>
        <v>3362.6999142697</v>
      </c>
      <c r="F19" s="0" t="n">
        <f aca="false">F15+F16+F17+F18</f>
        <v>3880.85833477627</v>
      </c>
      <c r="G19" s="0" t="n">
        <f aca="false">G15+G16+G17+G18</f>
        <v>4510.99596208199</v>
      </c>
      <c r="H19" s="0" t="n">
        <f aca="false">H15+H16+H17+H18</f>
        <v>4922.45908298893</v>
      </c>
      <c r="I19" s="0" t="n">
        <f aca="false">I15+I16+I17+I18</f>
        <v>5228.8792859567</v>
      </c>
      <c r="J19" s="0" t="n">
        <f aca="false">J15+J16+J17+J18</f>
        <v>5645.33739548111</v>
      </c>
      <c r="K19" s="0" t="n">
        <f aca="false">K15+K16+K17+K18</f>
        <v>5934.29536624139</v>
      </c>
      <c r="L19" s="0" t="n">
        <f aca="false">L15+L16+L17+L18</f>
        <v>6112.32422722863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2634.18287383486</v>
      </c>
      <c r="D21" s="0" t="n">
        <f aca="false">D19*D20</f>
        <v>2330.03160699335</v>
      </c>
      <c r="E21" s="0" t="n">
        <f aca="false">E19*E20</f>
        <v>2596.62132220182</v>
      </c>
      <c r="F21" s="0" t="n">
        <f aca="false">F19*F20</f>
        <v>2749.29788492801</v>
      </c>
      <c r="G21" s="0" t="n">
        <f aca="false">G19*G20</f>
        <v>2931.83785922219</v>
      </c>
      <c r="H21" s="0" t="n">
        <f aca="false">H19*H20</f>
        <v>2935.10151908613</v>
      </c>
      <c r="I21" s="0" t="n">
        <f aca="false">I19*I20</f>
        <v>2860.37603157019</v>
      </c>
      <c r="J21" s="0" t="n">
        <f aca="false">J19*J20</f>
        <v>2833.20447616766</v>
      </c>
      <c r="K21" s="0" t="n">
        <f aca="false">K19*K20</f>
        <v>2732.3144384724</v>
      </c>
      <c r="L21" s="0" t="n">
        <f aca="false">L19*L20</f>
        <v>2581.91180883171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27184.8798213083</v>
      </c>
    </row>
    <row r="31" customFormat="false" ht="15" hidden="false" customHeight="false" outlineLevel="0" collapsed="false">
      <c r="A31" s="0" t="s">
        <v>128</v>
      </c>
      <c r="B31" s="0" t="n">
        <f aca="false">L19</f>
        <v>6112.32422722863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89065.2958824743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85572.5391812008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85572.5391812008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36146.765323644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63331.6451449523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76513.8451449523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59.6903667785055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0.598563652343478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59.6903667785055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47958.2362444092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35.4461522734624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-3</v>
      </c>
      <c r="D5" s="4" t="n">
        <f aca="false">Assumptions!D41</f>
        <v>7</v>
      </c>
      <c r="E5" s="4" t="n">
        <f aca="false">Assumptions!E41</f>
        <v>9</v>
      </c>
      <c r="F5" s="4" t="n">
        <f aca="false">Assumptions!F41</f>
        <v>9</v>
      </c>
      <c r="G5" s="4" t="n">
        <f aca="false">Assumptions!G41</f>
        <v>8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30993.732</v>
      </c>
      <c r="C6" s="0" t="n">
        <f aca="false">B6*(1+C5/100)</f>
        <v>30063.92004</v>
      </c>
      <c r="D6" s="0" t="n">
        <f aca="false">C6*(1+D5/100)</f>
        <v>32168.3944428</v>
      </c>
      <c r="E6" s="0" t="n">
        <f aca="false">D6*(1+E5/100)</f>
        <v>35063.549942652</v>
      </c>
      <c r="F6" s="0" t="n">
        <f aca="false">E6*(1+F5/100)</f>
        <v>38219.2694374907</v>
      </c>
      <c r="G6" s="0" t="n">
        <f aca="false">F6*(1+G5/100)</f>
        <v>41276.8109924899</v>
      </c>
      <c r="H6" s="0" t="n">
        <f aca="false">G6*(1+H5/100)</f>
        <v>44166.1877619642</v>
      </c>
      <c r="I6" s="0" t="n">
        <f aca="false">H6*(1+I5/100)</f>
        <v>46816.1590276821</v>
      </c>
      <c r="J6" s="0" t="n">
        <f aca="false">I6*(1+J5/100)</f>
        <v>49156.9669790662</v>
      </c>
      <c r="K6" s="0" t="n">
        <f aca="false">J6*(1+K5/100)</f>
        <v>51123.2456582289</v>
      </c>
      <c r="L6" s="0" t="n">
        <f aca="false">K6*(1+L5/100)</f>
        <v>52656.9430279757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19.5</v>
      </c>
      <c r="D7" s="4" t="n">
        <f aca="false">Assumptions!D42</f>
        <v>22.5</v>
      </c>
      <c r="E7" s="4" t="n">
        <f aca="false">Assumptions!E42</f>
        <v>24</v>
      </c>
      <c r="F7" s="4" t="n">
        <f aca="false">Assumptions!F42</f>
        <v>25</v>
      </c>
      <c r="G7" s="4" t="n">
        <f aca="false">Assumptions!G42</f>
        <v>25.5</v>
      </c>
      <c r="H7" s="4" t="n">
        <f aca="false">Assumptions!H42</f>
        <v>25.5</v>
      </c>
      <c r="I7" s="4" t="n">
        <f aca="false">Assumptions!I42</f>
        <v>25.5</v>
      </c>
      <c r="J7" s="4" t="n">
        <f aca="false">Assumptions!J42</f>
        <v>25.5</v>
      </c>
      <c r="K7" s="4" t="n">
        <f aca="false">Assumptions!K42</f>
        <v>25.5</v>
      </c>
      <c r="L7" s="4" t="n">
        <f aca="false">Assumptions!L42</f>
        <v>25.5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5862.4644078</v>
      </c>
      <c r="D8" s="0" t="n">
        <f aca="false">D6*D7/100</f>
        <v>7237.88874963</v>
      </c>
      <c r="E8" s="0" t="n">
        <f aca="false">E6*E7/100</f>
        <v>8415.25198623648</v>
      </c>
      <c r="F8" s="0" t="n">
        <f aca="false">F6*F7/100</f>
        <v>9554.81735937267</v>
      </c>
      <c r="G8" s="0" t="n">
        <f aca="false">G6*G7/100</f>
        <v>10525.5868030849</v>
      </c>
      <c r="H8" s="0" t="n">
        <f aca="false">H6*H7/100</f>
        <v>11262.3778793009</v>
      </c>
      <c r="I8" s="0" t="n">
        <f aca="false">I6*I7/100</f>
        <v>11938.1205520589</v>
      </c>
      <c r="J8" s="0" t="n">
        <f aca="false">J6*J7/100</f>
        <v>12535.0265796619</v>
      </c>
      <c r="K8" s="0" t="n">
        <f aca="false">K6*K7/100</f>
        <v>13036.4276428484</v>
      </c>
      <c r="L8" s="0" t="n">
        <f aca="false">L6*L7/100</f>
        <v>13427.5204721338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5862.4644078</v>
      </c>
      <c r="D11" s="0" t="n">
        <f aca="false">D8+D10+D24</f>
        <v>7237.88874963</v>
      </c>
      <c r="E11" s="0" t="n">
        <f aca="false">E8+E10+E24</f>
        <v>8415.25198623648</v>
      </c>
      <c r="F11" s="0" t="n">
        <f aca="false">F8+F10+F24</f>
        <v>9554.81735937267</v>
      </c>
      <c r="G11" s="0" t="n">
        <f aca="false">G8+G10+G24</f>
        <v>10525.5868030849</v>
      </c>
      <c r="H11" s="0" t="n">
        <f aca="false">H8+H10+H24</f>
        <v>11262.3778793009</v>
      </c>
      <c r="I11" s="0" t="n">
        <f aca="false">I8+I10+I24</f>
        <v>11938.1205520589</v>
      </c>
      <c r="J11" s="0" t="n">
        <f aca="false">J8+J10+J24</f>
        <v>12535.0265796619</v>
      </c>
      <c r="K11" s="0" t="n">
        <f aca="false">K8+K10+K24</f>
        <v>13036.4276428484</v>
      </c>
      <c r="L11" s="0" t="n">
        <f aca="false">L8+L10+L24</f>
        <v>13427.5204721338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-1503.196002</v>
      </c>
      <c r="D12" s="4" t="n">
        <f aca="false">-D6*Assumptions!D45/100</f>
        <v>-1608.41972214</v>
      </c>
      <c r="E12" s="4" t="n">
        <f aca="false">-E6*Assumptions!E45/100</f>
        <v>-1753.1774971326</v>
      </c>
      <c r="F12" s="4" t="n">
        <f aca="false">-F6*Assumptions!F45/100</f>
        <v>-1872.74420243704</v>
      </c>
      <c r="G12" s="4" t="n">
        <f aca="false">-G6*Assumptions!G45/100</f>
        <v>-2022.56373863201</v>
      </c>
      <c r="H12" s="4" t="n">
        <f aca="false">-H6*Assumptions!H45/100</f>
        <v>-2119.97701257428</v>
      </c>
      <c r="I12" s="4" t="n">
        <f aca="false">-I6*Assumptions!I45/100</f>
        <v>-2247.17563332874</v>
      </c>
      <c r="J12" s="4" t="n">
        <f aca="false">-J6*Assumptions!J45/100</f>
        <v>-2359.53441499518</v>
      </c>
      <c r="K12" s="4" t="n">
        <f aca="false">-K6*Assumptions!K45/100</f>
        <v>-2453.91579159499</v>
      </c>
      <c r="L12" s="4" t="n">
        <f aca="false">-L6*Assumptions!L45/100</f>
        <v>-2527.53326534283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4359.2684058</v>
      </c>
      <c r="D13" s="0" t="n">
        <f aca="false">D11+D12</f>
        <v>5629.46902749</v>
      </c>
      <c r="E13" s="0" t="n">
        <f aca="false">E11+E12</f>
        <v>6662.07448910388</v>
      </c>
      <c r="F13" s="0" t="n">
        <f aca="false">F11+F12</f>
        <v>7682.07315693563</v>
      </c>
      <c r="G13" s="0" t="n">
        <f aca="false">G11+G12</f>
        <v>8503.02306445293</v>
      </c>
      <c r="H13" s="0" t="n">
        <f aca="false">H11+H12</f>
        <v>9142.4008667266</v>
      </c>
      <c r="I13" s="0" t="n">
        <f aca="false">I11+I12</f>
        <v>9690.94491873019</v>
      </c>
      <c r="J13" s="0" t="n">
        <f aca="false">J11+J12</f>
        <v>10175.4921646667</v>
      </c>
      <c r="K13" s="0" t="n">
        <f aca="false">K11+K12</f>
        <v>10582.5118512534</v>
      </c>
      <c r="L13" s="0" t="n">
        <f aca="false">L11+L12</f>
        <v>10899.987206791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15</v>
      </c>
      <c r="D14" s="4" t="n">
        <f aca="false">Assumptions!D47</f>
        <v>15</v>
      </c>
      <c r="E14" s="4" t="n">
        <f aca="false">Assumptions!E47</f>
        <v>15</v>
      </c>
      <c r="F14" s="4" t="n">
        <f aca="false">Assumptions!F47</f>
        <v>15</v>
      </c>
      <c r="G14" s="4" t="n">
        <f aca="false">Assumptions!G47</f>
        <v>15</v>
      </c>
      <c r="H14" s="4" t="n">
        <f aca="false">Assumptions!H47</f>
        <v>15</v>
      </c>
      <c r="I14" s="4" t="n">
        <f aca="false">Assumptions!I47</f>
        <v>15</v>
      </c>
      <c r="J14" s="4" t="n">
        <f aca="false">Assumptions!J47</f>
        <v>15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3705.37814493</v>
      </c>
      <c r="D15" s="0" t="n">
        <f aca="false">D13-MAX(0,D13)*D14/100</f>
        <v>4785.0486733665</v>
      </c>
      <c r="E15" s="0" t="n">
        <f aca="false">E13-MAX(0,E13)*E14/100</f>
        <v>5662.7633157383</v>
      </c>
      <c r="F15" s="0" t="n">
        <f aca="false">F13-MAX(0,F13)*F14/100</f>
        <v>6529.76218339528</v>
      </c>
      <c r="G15" s="0" t="n">
        <f aca="false">G13-MAX(0,G13)*G14/100</f>
        <v>7227.56960478499</v>
      </c>
      <c r="H15" s="0" t="n">
        <f aca="false">H13-MAX(0,H13)*H14/100</f>
        <v>7771.04073671761</v>
      </c>
      <c r="I15" s="0" t="n">
        <f aca="false">I13-MAX(0,I13)*I14/100</f>
        <v>8237.30318092067</v>
      </c>
      <c r="J15" s="0" t="n">
        <f aca="false">J13-MAX(0,J13)*J14/100</f>
        <v>8649.1683399667</v>
      </c>
      <c r="K15" s="0" t="n">
        <f aca="false">K13-MAX(0,K13)*K14/100</f>
        <v>8995.13507356537</v>
      </c>
      <c r="L15" s="0" t="n">
        <f aca="false">L13-MAX(0,L13)*L14/100</f>
        <v>9264.98912577233</v>
      </c>
    </row>
    <row r="16" customFormat="false" ht="15" hidden="false" customHeight="false" outlineLevel="0" collapsed="false">
      <c r="A16" s="0" t="s">
        <v>119</v>
      </c>
      <c r="C16" s="0" t="n">
        <f aca="false">-C12</f>
        <v>1503.196002</v>
      </c>
      <c r="D16" s="0" t="n">
        <f aca="false">-D12</f>
        <v>1608.41972214</v>
      </c>
      <c r="E16" s="0" t="n">
        <f aca="false">-E12</f>
        <v>1753.1774971326</v>
      </c>
      <c r="F16" s="0" t="n">
        <f aca="false">-F12</f>
        <v>1872.74420243704</v>
      </c>
      <c r="G16" s="0" t="n">
        <f aca="false">-G12</f>
        <v>2022.56373863201</v>
      </c>
      <c r="H16" s="0" t="n">
        <f aca="false">-H12</f>
        <v>2119.97701257428</v>
      </c>
      <c r="I16" s="0" t="n">
        <f aca="false">-I12</f>
        <v>2247.17563332874</v>
      </c>
      <c r="J16" s="0" t="n">
        <f aca="false">-J12</f>
        <v>2359.53441499518</v>
      </c>
      <c r="K16" s="0" t="n">
        <f aca="false">-K12</f>
        <v>2453.91579159499</v>
      </c>
      <c r="L16" s="0" t="n">
        <f aca="false">-L12</f>
        <v>2527.53326534283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-2555.4332034</v>
      </c>
      <c r="D17" s="4" t="n">
        <f aca="false">-D6*Assumptions!D46/100</f>
        <v>-2895.155499852</v>
      </c>
      <c r="E17" s="4" t="n">
        <f aca="false">-E6*Assumptions!E46/100</f>
        <v>-2805.08399541216</v>
      </c>
      <c r="F17" s="4" t="n">
        <f aca="false">-F6*Assumptions!F46/100</f>
        <v>-2866.4452078118</v>
      </c>
      <c r="G17" s="4" t="n">
        <f aca="false">-G6*Assumptions!G46/100</f>
        <v>-2889.3767694743</v>
      </c>
      <c r="H17" s="4" t="n">
        <f aca="false">-H6*Assumptions!H46/100</f>
        <v>-2870.80220452768</v>
      </c>
      <c r="I17" s="4" t="n">
        <f aca="false">-I6*Assumptions!I46/100</f>
        <v>-2808.96954166093</v>
      </c>
      <c r="J17" s="4" t="n">
        <f aca="false">-J6*Assumptions!J46/100</f>
        <v>-2949.41801874397</v>
      </c>
      <c r="K17" s="4" t="n">
        <f aca="false">-K6*Assumptions!K46/100</f>
        <v>-3067.39473949373</v>
      </c>
      <c r="L17" s="4" t="n">
        <f aca="false">-L6*Assumptions!L46/100</f>
        <v>-3159.41658167854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278.943588</v>
      </c>
      <c r="D18" s="4" t="n">
        <f aca="false">(D6-C6)*Assumptions!$B$51/100</f>
        <v>-631.342320840001</v>
      </c>
      <c r="E18" s="4" t="n">
        <f aca="false">(E6-D6)*Assumptions!$B$51/100</f>
        <v>-868.5466499556</v>
      </c>
      <c r="F18" s="4" t="n">
        <f aca="false">(F6-E6)*Assumptions!$B$51/100</f>
        <v>-946.715848451605</v>
      </c>
      <c r="G18" s="4" t="n">
        <f aca="false">(G6-F6)*Assumptions!$B$51/100</f>
        <v>-917.262466499776</v>
      </c>
      <c r="H18" s="4" t="n">
        <f aca="false">(H6-G6)*Assumptions!$B$51/100</f>
        <v>-866.81303084229</v>
      </c>
      <c r="I18" s="4" t="n">
        <f aca="false">(I6-H6)*Assumptions!$B$51/100</f>
        <v>-794.991379715356</v>
      </c>
      <c r="J18" s="4" t="n">
        <f aca="false">(J6-I6)*Assumptions!$B$51/100</f>
        <v>-702.242385415232</v>
      </c>
      <c r="K18" s="4" t="n">
        <f aca="false">(K6-J6)*Assumptions!$B$51/100</f>
        <v>-589.883603748795</v>
      </c>
      <c r="L18" s="4" t="n">
        <f aca="false">(L6-K6)*Assumptions!$B$51/100</f>
        <v>-460.109210924059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2932.08453153</v>
      </c>
      <c r="D19" s="0" t="n">
        <f aca="false">D15+D16+D17+D18</f>
        <v>2866.9705748145</v>
      </c>
      <c r="E19" s="0" t="n">
        <f aca="false">E15+E16+E17+E18</f>
        <v>3742.31016750314</v>
      </c>
      <c r="F19" s="0" t="n">
        <f aca="false">F15+F16+F17+F18</f>
        <v>4589.34532956892</v>
      </c>
      <c r="G19" s="0" t="n">
        <f aca="false">G15+G16+G17+G18</f>
        <v>5443.49410744292</v>
      </c>
      <c r="H19" s="0" t="n">
        <f aca="false">H15+H16+H17+H18</f>
        <v>6153.40251392193</v>
      </c>
      <c r="I19" s="0" t="n">
        <f aca="false">I15+I16+I17+I18</f>
        <v>6880.51789287313</v>
      </c>
      <c r="J19" s="0" t="n">
        <f aca="false">J15+J16+J17+J18</f>
        <v>7357.04235080267</v>
      </c>
      <c r="K19" s="0" t="n">
        <f aca="false">K15+K16+K17+K18</f>
        <v>7791.77252191783</v>
      </c>
      <c r="L19" s="0" t="n">
        <f aca="false">L15+L16+L17+L18</f>
        <v>8172.99659851256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2689.98580874312</v>
      </c>
      <c r="D21" s="0" t="n">
        <f aca="false">D19*D20</f>
        <v>2413.07177410529</v>
      </c>
      <c r="E21" s="0" t="n">
        <f aca="false">E19*E20</f>
        <v>2889.75008861048</v>
      </c>
      <c r="F21" s="0" t="n">
        <f aca="false">F19*F20</f>
        <v>3251.20793375094</v>
      </c>
      <c r="G21" s="0" t="n">
        <f aca="false">G19*G20</f>
        <v>3537.89767155725</v>
      </c>
      <c r="H21" s="0" t="n">
        <f aca="false">H19*H20</f>
        <v>3669.07286818807</v>
      </c>
      <c r="I21" s="0" t="n">
        <f aca="false">I19*I20</f>
        <v>3763.87890965878</v>
      </c>
      <c r="J21" s="0" t="n">
        <f aca="false">J19*J20</f>
        <v>3692.25147399233</v>
      </c>
      <c r="K21" s="0" t="n">
        <f aca="false">K19*K20</f>
        <v>3587.54852076275</v>
      </c>
      <c r="L21" s="0" t="n">
        <f aca="false">L19*L20</f>
        <v>3452.36208793341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32947.0271373024</v>
      </c>
    </row>
    <row r="31" customFormat="false" ht="15" hidden="false" customHeight="false" outlineLevel="0" collapsed="false">
      <c r="A31" s="0" t="s">
        <v>128</v>
      </c>
      <c r="B31" s="0" t="n">
        <f aca="false">L19</f>
        <v>8172.99659851256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128881.869438083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114421.952379176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114421.952379176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48333.0692310677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81280.0963683702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94462.2963683702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73.6924030714444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0.973551233836218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73.6924030714444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67018.572107803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42.2388821214051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38.2449000672235</v>
      </c>
      <c r="C4" s="0" t="n">
        <f aca="false">B4/Assumptions!$B$2-1</f>
        <v>0.0242340671457826</v>
      </c>
      <c r="D4" s="4" t="n">
        <f aca="false">Assumptions!$B$24</f>
        <v>0.25</v>
      </c>
      <c r="E4" s="4" t="n">
        <f aca="false">DCF_Bear!$B$43</f>
        <v>38.2449000672235</v>
      </c>
      <c r="F4" s="4" t="n">
        <f aca="false">DCF_Bear!$B$47</f>
        <v>26.2249961073416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59.6903667785055</v>
      </c>
      <c r="C5" s="0" t="n">
        <f aca="false">B5/Assumptions!$B$2-1</f>
        <v>0.598563652343478</v>
      </c>
      <c r="D5" s="4" t="n">
        <f aca="false">Assumptions!$B$38</f>
        <v>0.5</v>
      </c>
      <c r="E5" s="4" t="n">
        <f aca="false">DCF_Base!$B$43</f>
        <v>59.6903667785055</v>
      </c>
      <c r="F5" s="4" t="n">
        <f aca="false">DCF_Base!$B$47</f>
        <v>35.4461522734624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73.6924030714444</v>
      </c>
      <c r="C6" s="0" t="n">
        <f aca="false">B6/Assumptions!$B$2-1</f>
        <v>0.973551233836218</v>
      </c>
      <c r="D6" s="4" t="n">
        <f aca="false">Assumptions!$B$52</f>
        <v>0.25</v>
      </c>
      <c r="E6" s="4" t="n">
        <f aca="false">DCF_Bull!$B$43</f>
        <v>73.6924030714444</v>
      </c>
      <c r="F6" s="4" t="n">
        <f aca="false">DCF_Bull!$B$47</f>
        <v>42.2388821214051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57.8295091739197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57.8295091739197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0.354308889468496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34.8390456939179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59.6903667785055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53.8858303554194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48.5061220503923</v>
      </c>
      <c r="C17" s="3" t="n">
        <v>11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44.2276694375474</v>
      </c>
      <c r="C18" s="3" t="n">
        <v>12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35.4461522734624</v>
      </c>
      <c r="C19" s="3" t="n">
        <v>15</v>
      </c>
    </row>
    <row r="21" customFormat="false" ht="15" hidden="false" customHeight="false" outlineLevel="0" collapsed="false">
      <c r="A21" s="2" t="s">
        <v>164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67.7642065421172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67.7642065421172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67.7642065421172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67.7642065421172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67.7642065421172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63.5378068185505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63.5378068185505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63.5378068185505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63.5378068185505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63.5378068185505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56.9208224427116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58.7504002160542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59.6903667785055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59.6903667785055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59.6903667785055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51.0771395001566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52.3988763732214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53.8858303554194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55.5710448685771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56.183850146089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46.4349256407507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47.4160186768967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48.5061220503923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49.7244728795932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51.0951175624442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2026-10-18T00:41:20Z</dcterms:created>
  <dc:creator>openpyxl</dc:creator>
  <dc:description/>
  <dc:language>en-NZ</dc:language>
  <cp:lastModifiedBy/>
  <dcterms:modified xsi:type="dcterms:W3CDTF">2026-10-18T00:41:20Z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