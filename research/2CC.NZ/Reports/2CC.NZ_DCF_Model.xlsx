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keover Offer" sheetId="1" r:id="rId1"/>
    <sheet name="DCF Model" sheetId="2" r:id="rId2"/>
    <sheet name="Scenarios" sheetId="3" r:id="rId3"/>
    <sheet name="Sensitivity" sheetId="4" r:id="rId4"/>
    <sheet name="FCF Quality" sheetId="5" r:id="rId5"/>
    <sheet name="Historical" sheetId="6" r:id="rId6"/>
    <sheet name="Multiples Check" sheetId="7" r:id="rId7"/>
    <sheet name="Model_Info" sheetId="8" r:id="rId8"/>
  </sheets>
  <calcPr calcId="124519" fullCalcOnLoad="1"/>
</workbook>
</file>

<file path=xl/sharedStrings.xml><?xml version="1.0" encoding="utf-8"?>
<sst xmlns="http://schemas.openxmlformats.org/spreadsheetml/2006/main" count="243" uniqueCount="215">
  <si>
    <t>2CC.NZ — LIVE TAKEOVER OFFER</t>
  </si>
  <si>
    <t>This is the dominant fact for this security — read before the DCF sheets</t>
  </si>
  <si>
    <t>Status</t>
  </si>
  <si>
    <t>LIVE — Takeovers Code full offer in progress</t>
  </si>
  <si>
    <t>Bidder</t>
  </si>
  <si>
    <t>Sena &amp; Co Limited (CEO David Sena's family trust vehicle)</t>
  </si>
  <si>
    <t>Bidder's existing stake</t>
  </si>
  <si>
    <t>75.924%</t>
  </si>
  <si>
    <t>Offer price (NZD cash)</t>
  </si>
  <si>
    <t>$0.80</t>
  </si>
  <si>
    <t>Offer type</t>
  </si>
  <si>
    <t>Full takeover offer, all cash, for all shares not already held</t>
  </si>
  <si>
    <t>Notice date</t>
  </si>
  <si>
    <t>2026-07-13</t>
  </si>
  <si>
    <t>Offer opened</t>
  </si>
  <si>
    <t>2026-07-27</t>
  </si>
  <si>
    <t>Offer closes</t>
  </si>
  <si>
    <t>2026-08-24</t>
  </si>
  <si>
    <t>Extendable to</t>
  </si>
  <si>
    <t>2026-10-19</t>
  </si>
  <si>
    <t>Minimum acceptance condition</t>
  </si>
  <si>
    <t>90% of voting rights (Takeovers Code compulsory acquisition threshold)</t>
  </si>
  <si>
    <t>Shares needed for condition (m)</t>
  </si>
  <si>
    <t>% of minority needed</t>
  </si>
  <si>
    <t>58.46%</t>
  </si>
  <si>
    <t>Independent adviser</t>
  </si>
  <si>
    <t>Simmons Corporate Finance</t>
  </si>
  <si>
    <t>Independent adviser range</t>
  </si>
  <si>
    <t>$0.71 - $0.90</t>
  </si>
  <si>
    <t>Independent adviser midpoint</t>
  </si>
  <si>
    <t>$0.81</t>
  </si>
  <si>
    <t>Independent adviser conclusion</t>
  </si>
  <si>
    <t>Offer price of $0.80 assessed as FAIR</t>
  </si>
  <si>
    <t>Independent directors recommendation</t>
  </si>
  <si>
    <t>Unanimous ACCEPT (Stiassny, Shaw); both intend to accept for their own holdings; independent directors were unable to negotiate Sena above $0.80</t>
  </si>
  <si>
    <t>Market price vs offer</t>
  </si>
  <si>
    <t>Current market price NZ$0.795 is trading essentially AT the $0.80 offer price, indicating the market is pricing a high probability of deal completion</t>
  </si>
  <si>
    <t>IMPLICATION</t>
  </si>
  <si>
    <t>2CC is now primarily a takeover-arbitrage instrument, not a going-concern DCF candidate. The DCF below is retained as the standalone / 'deal-fails' anchor value, but any DCF-implied 'upside' over $0.795 is NOT actionable while the offer is live and trading near terms — a rational holder cannot capture DCF upside independently of tendering into or being squeezed out by the offer. If the 90% compulsory-acquisition threshold is reached, remaining holders will be compelled to sell at $0.80 regardless of the DCF view.</t>
  </si>
  <si>
    <t>DOWNSIDE IF DEAL FAILS</t>
  </si>
  <si>
    <t>If the 90% condition is not met and the offer lapses, the stock would likely revert to an illiquid standalone level in the vicinity of the base-case DCF intrinsic value (~$0.52) or the pre-notice trading range ($0.59-$0.66), i.e. a re-rating DOWN from the current offer-anchored price is the key risk of the deal failing, not up.</t>
  </si>
  <si>
    <t>Current Price</t>
  </si>
  <si>
    <t>Offer Price</t>
  </si>
  <si>
    <t>Base-case standalone DCF IV</t>
  </si>
  <si>
    <t>Probability-weighted standalone IV</t>
  </si>
  <si>
    <t>2CC.NZ DCF Valuation Model — BASE CASE (standalone)</t>
  </si>
  <si>
    <t>Gray cells are INPUTS - adjust to see valuation change. See "Takeover Offer" sheet for the live $0.80 cash bid.</t>
  </si>
  <si>
    <t>KEY INPUTS</t>
  </si>
  <si>
    <t>Current Stock Price (NZD)</t>
  </si>
  <si>
    <t>Shares Outstanding (M)</t>
  </si>
  <si>
    <t>Cash &amp; Equivalents (NZ$M)</t>
  </si>
  <si>
    <t>Borrowings, ex-lease (NZ$M)</t>
  </si>
  <si>
    <t>Net Cash (NZ$M) [Cash - Borrowings]</t>
  </si>
  <si>
    <t>Lease Liabilities (NZ$M) — memo only, NOT in net debt</t>
  </si>
  <si>
    <t>note: lease principal is already deducted in owner FCF below; adding lease liabilities to net debt would double-count</t>
  </si>
  <si>
    <t>Mid-Cycle Owner FCF base (NZ$M)</t>
  </si>
  <si>
    <t>Reported FY26 FCF (OCF-capex, NZ$M)</t>
  </si>
  <si>
    <t>FY26 Owner FCF (after lease principal, NZ$M)</t>
  </si>
  <si>
    <t>Stock-Based Compensation (NZ$M)</t>
  </si>
  <si>
    <t>SBC note: verified NIL — no share-based payment note; LTI vested nil FY25 &amp; FY26; shares flat 5+yrs</t>
  </si>
  <si>
    <t>WACC (base case)</t>
  </si>
  <si>
    <t>Terminal Growth Rate (base case)</t>
  </si>
  <si>
    <t>Terminal EV/EBITDA exit multiple cap</t>
  </si>
  <si>
    <t>Terminal EBITDA (NZ$M)</t>
  </si>
  <si>
    <t>GROWTH ASSUMPTIONS (Base Case)</t>
  </si>
  <si>
    <t>FCF Growth Rate</t>
  </si>
  <si>
    <t>FY27E</t>
  </si>
  <si>
    <t>FY28E</t>
  </si>
  <si>
    <t>FY29E</t>
  </si>
  <si>
    <t>FY30E</t>
  </si>
  <si>
    <t>FY31E</t>
  </si>
  <si>
    <t>PROJECTIONS (Base Case)</t>
  </si>
  <si>
    <t>Base Yr</t>
  </si>
  <si>
    <t>Owner Free Cash Flow (NZ$M)</t>
  </si>
  <si>
    <t>Discount Factor</t>
  </si>
  <si>
    <t>PV of FCF (NZ$M)</t>
  </si>
  <si>
    <t>VALUATION</t>
  </si>
  <si>
    <t>Sum of PV of FCF (NZ$M)</t>
  </si>
  <si>
    <t>Terminal FCF (Year 5 x (1+g)) (NZ$M)</t>
  </si>
  <si>
    <t>Gordon Terminal Value (NZ$M)</t>
  </si>
  <si>
    <t>Exit-Multiple Cap Value (NZ$M)</t>
  </si>
  <si>
    <t>Terminal Value used (lower of two) (NZ$M)</t>
  </si>
  <si>
    <t>PV of Terminal Value (NZ$M)</t>
  </si>
  <si>
    <t>Enterprise Value (NZ$M)</t>
  </si>
  <si>
    <t>Add: Net Cash (NZ$M)</t>
  </si>
  <si>
    <t>Equity Value (NZ$M)</t>
  </si>
  <si>
    <t>INTRINSIC VALUE/SHARE (NZD)</t>
  </si>
  <si>
    <t>Terminal Value % of Enterprise Value</t>
  </si>
  <si>
    <t>ENTRY PRICE (15% IRR Target)</t>
  </si>
  <si>
    <t>PV of Yrs 1-5 FCF @15% (NZ$M)</t>
  </si>
  <si>
    <t>PV of Terminal Value @15% (NZ$M)</t>
  </si>
  <si>
    <t>Entry Equity Value (NZ$M)</t>
  </si>
  <si>
    <t>Entry Price (15% IRR) (NZD)</t>
  </si>
  <si>
    <t>UPSIDE / OFFER COMPARISON</t>
  </si>
  <si>
    <t>Upside to Intrinsic Value</t>
  </si>
  <si>
    <t>Upside to Entry Price</t>
  </si>
  <si>
    <t>Sena &amp; Co Offer Price (NZD)</t>
  </si>
  <si>
    <t>Intrinsic Value vs Offer Price</t>
  </si>
  <si>
    <t>NOTE: While the takeover offer is live, the actionable price is $0.80 (or the market price near it), not the standalone DCF value.</t>
  </si>
  <si>
    <t>Scenario Comparison</t>
  </si>
  <si>
    <t>Metric</t>
  </si>
  <si>
    <t>Bear</t>
  </si>
  <si>
    <t>Base</t>
  </si>
  <si>
    <t>Bull</t>
  </si>
  <si>
    <t>FCF base (NZ$M)</t>
  </si>
  <si>
    <t>Year 1 growth %</t>
  </si>
  <si>
    <t>Year 5 growth %</t>
  </si>
  <si>
    <t>WACC</t>
  </si>
  <si>
    <t>Terminal growth</t>
  </si>
  <si>
    <t>Exit multiple cap (x EBITDA)</t>
  </si>
  <si>
    <t>Terminal Value bound by</t>
  </si>
  <si>
    <t>gordon</t>
  </si>
  <si>
    <t>Terminal % of EV</t>
  </si>
  <si>
    <t>Implied exit multiple (TV/FCF5)</t>
  </si>
  <si>
    <t>Intrinsic Value/Share (NZD)</t>
  </si>
  <si>
    <t>Upside vs current price</t>
  </si>
  <si>
    <t>PROBABILITY WEIGHTING</t>
  </si>
  <si>
    <t>Weight: Bear</t>
  </si>
  <si>
    <t>Weight: Base</t>
  </si>
  <si>
    <t>Weight: Bull</t>
  </si>
  <si>
    <t>Probability-Weighted Intrinsic Value</t>
  </si>
  <si>
    <t>Sensitivity Analysis — Base Case</t>
  </si>
  <si>
    <t>Intrinsic Value by WACC &amp; Terminal Growth (NZD/share)</t>
  </si>
  <si>
    <t>WACC \ Term G</t>
  </si>
  <si>
    <t>Note: matches JSON sensitivity matrix (base-case FCF path, exit-multiple cap fixed at base-case value).</t>
  </si>
  <si>
    <t>Reference matrix (from DCF JSON, static)</t>
  </si>
  <si>
    <t>FCF Quality — Reported vs Owner FCF Reconciliation</t>
  </si>
  <si>
    <t>IFRS16 lease-heavy retailer: lease principal sits in financing activities, not OCF</t>
  </si>
  <si>
    <t>FY2024</t>
  </si>
  <si>
    <t>FY2025</t>
  </si>
  <si>
    <t>FY2026</t>
  </si>
  <si>
    <t>Operating Cash Flow (NZ$M)</t>
  </si>
  <si>
    <t>Less: Capex (NZ$M)</t>
  </si>
  <si>
    <t>Less: Lease Principal Repayment (NZ$M)</t>
  </si>
  <si>
    <t>Less: SBC (NZ$M) — verified NIL</t>
  </si>
  <si>
    <t>Revenue (NZ$M)</t>
  </si>
  <si>
    <t>Reported FCF Margin</t>
  </si>
  <si>
    <t>Owner FCF Margin</t>
  </si>
  <si>
    <t>Memo: FY26 one-off inventory build (NZ$M)</t>
  </si>
  <si>
    <t>Memo: inventory build as % of reported FY26 FCF</t>
  </si>
  <si>
    <t>Excluded years note: FY2022/FY2023 cash flows excluded — distorted by wind-down of discontinued trade-finance/loan book</t>
  </si>
  <si>
    <t>FY26 owner FCF ($1.513m) is only 0.44x the FY24-26 median ($3.41m) and smaller than the annual lease principal itself — a trough, not the DCF base year</t>
  </si>
  <si>
    <t>MID-CYCLE CONVERGENCE (basis for DCF base-year FCF)</t>
  </si>
  <si>
    <t>Method A: Mean / Median FY24-26 owner FCF</t>
  </si>
  <si>
    <t>Method B: FY26 normalised for inventory build</t>
  </si>
  <si>
    <t>Method C: NPAT+D&amp;A-capex-lease (median)</t>
  </si>
  <si>
    <t>Method D: Structural (NPAT proxy)</t>
  </si>
  <si>
    <t>SELECTED DCF base-year owner FCF</t>
  </si>
  <si>
    <t>Historical Financials &amp; Growth Rates</t>
  </si>
  <si>
    <t>FY2022</t>
  </si>
  <si>
    <t>FY2023</t>
  </si>
  <si>
    <t>NPAT (NZ$M)</t>
  </si>
  <si>
    <t>EPS (NZD)</t>
  </si>
  <si>
    <t>Shareholders' Equity (NZ$M)</t>
  </si>
  <si>
    <t>Cash (NZ$M)</t>
  </si>
  <si>
    <t>FY-end price (NZD)</t>
  </si>
  <si>
    <t>GROWTH RATES</t>
  </si>
  <si>
    <t>Revenue 4yr CAGR (FY22-26)</t>
  </si>
  <si>
    <t>Revenue 2yr CAGR (FY24-26)</t>
  </si>
  <si>
    <t>EPS 4yr CAGR (FY22-26)</t>
  </si>
  <si>
    <t>Equity 4yr CAGR (FY22-26)</t>
  </si>
  <si>
    <t>Equity 3yr CAGR (FY23-26)</t>
  </si>
  <si>
    <t>Owner FCF 2yr CAGR (FY24-26)</t>
  </si>
  <si>
    <t>Note: standard CAGRs unreliable here due to 4.8x NPAT peak/trough cyclicality and FY22/23 discontinued finance-book distortion. DCF uses bottom-up scenario growth paths, not a trailing CAGR.</t>
  </si>
  <si>
    <t>Step 8c Sanity Check — Historical Trading Multiples</t>
  </si>
  <si>
    <t>FY-end (31 Mar)</t>
  </si>
  <si>
    <t>Price (NZD)</t>
  </si>
  <si>
    <t>P/E</t>
  </si>
  <si>
    <t>P/B</t>
  </si>
  <si>
    <t>P/Sales</t>
  </si>
  <si>
    <t>EV/EBITDA (FY25-26 only)</t>
  </si>
  <si>
    <t>AVERAGES</t>
  </si>
  <si>
    <t>Avg P/E</t>
  </si>
  <si>
    <t>Avg P/B</t>
  </si>
  <si>
    <t>Avg P/Sales</t>
  </si>
  <si>
    <t>Avg EV/EBITDA</t>
  </si>
  <si>
    <t>CURRENT PRICE ($0.795) IMPLIED</t>
  </si>
  <si>
    <t>EV/EBITDA</t>
  </si>
  <si>
    <t>Gross Dividend Yield</t>
  </si>
  <si>
    <t>BASE-CASE IV ($0.520) IMPLIED</t>
  </si>
  <si>
    <t>CONCLUSION</t>
  </si>
  <si>
    <t>Sanity check PASSES in neither direction — the base-case IV ($0.520) implies P/E 7.4x, P/B 1.07x and EV/EBITDA 2.55x, ALL BELOW every historical average the market has actually paid for this stock (avg P/E 9.7x, avg P/B 1.51x, avg EV/EBITDA 3.31x). This is because the model is built on a mid-cycle rather than trough or peak FCF from the outset, and the conservative outcome is driven by the 19% WACC and the low historical multiples the market has always applied to this micro-cap. The DCF says the stock is EXPENSIVE at $0.795 (current price), which agrees directionally with the independent adviser (Simmons Corporate Finance, range $0.71-$0.90), with the base case sitting below their range low end mainly because of the higher small-cap/illiquidity/regulatory WACC premiums applied here versus a professional M&amp;A fairness opinion.</t>
  </si>
  <si>
    <t>Model Provenance &amp; Notes</t>
  </si>
  <si>
    <t>Built by</t>
  </si>
  <si>
    <t>Claude (DCF valuation agent), per user-supplied verified figures and scenario assumptions</t>
  </si>
  <si>
    <t>Build date</t>
  </si>
  <si>
    <t>2026-07-31</t>
  </si>
  <si>
    <t>Share price vintage</t>
  </si>
  <si>
    <t>NZ$0.795 — live Yahoo Finance quote fetched 2026-07-31</t>
  </si>
  <si>
    <t>Data source</t>
  </si>
  <si>
    <t>2CC.NZ_Metrics.csv (audited financial statements FY2022-FY2026) and 2CC.NZ_Analysis.json (qualitative/business analysis)</t>
  </si>
  <si>
    <t>Dominant context</t>
  </si>
  <si>
    <t>LIVE takeover offer from Sena &amp; Co Limited at NZ$0.80 cash/share, open 27-Jul-2026 to 24-Aug-2026 (extendable to 19-Oct-2026), subject to 90% acceptance condition. See "Takeover Offer" sheet.</t>
  </si>
  <si>
    <t>Methodology — FCF base</t>
  </si>
  <si>
    <t>Owner FCF (OCF - capex - IFRS16 lease principal) at a MID-CYCLE level of NZ$3.20m (base case), not the FY26 trough (NZ$1.513m) or any single peak year. Four independent estimation methods converge on NZ$3.0-3.4m — see "FCF Quality" sheet.</t>
  </si>
  <si>
    <t>Methodology — SBC</t>
  </si>
  <si>
    <t>Verified NIL. No share-based payment note in FY25/FY26 filings; LTI vested explicitly "nil" both years; shares outstanding flat at 45.5545m for 5+ years. This is a confirmed no-op adjustment, not a skipped one.</t>
  </si>
  <si>
    <t>Methodology — Net debt</t>
  </si>
  <si>
    <t>Net CASH of NZ$3.087m (Cash 3.838 - Borrowings 0.751). Lease liabilities (NZ$8.977m) are explicitly EXCLUDED from net debt because lease principal is already deducted from owner FCF — including both would double-count the lease obligation.</t>
  </si>
  <si>
    <t>Methodology — Terminal value</t>
  </si>
  <si>
    <t>Lower of Gordon-growth perpetuity and an EV/EBITDA exit-multiple cap (bear 3.0x/base 4.0x/bull 5.5x applied to terminal-year EBITDA). Gordon growth binds in ALL three scenarios given the high WACC (17-21%) relative to modest terminal growth (1.0-2.0%).</t>
  </si>
  <si>
    <t>Methodology — Shares</t>
  </si>
  <si>
    <t>Flat 45.5545m across the entire projection horizon in all scenarios — no dilution, no buybacks (company has issued neither for 5+ years).</t>
  </si>
  <si>
    <t>Scenario assumptions source</t>
  </si>
  <si>
    <t>Supplied directly by user (verified against audited financials); NOT independently re-derived by the model-building step. FCF bases: bear 2.60 / base 3.20 / bull 3.90 (NZ$M). WACC: bear 21% / base 19% / bull 17%. Terminal growth: bear 1.0% / base 1.5% / bull 2.0%.</t>
  </si>
  <si>
    <t>WACC build</t>
  </si>
  <si>
    <t>Base NZ small-cap cost of equity 11.5% + micro-cap illiquidity 2.5% + regulatory single-point-of-failure (Clean Car Standard) 1.8% + extreme cyclicality 1.5% + controlling shareholder 1.0% + single-country/single-source concentration 0.7% = 19.0%. See "wacc_rationale" in the JSON / recommendation sheet.</t>
  </si>
  <si>
    <t>Sanity check result</t>
  </si>
  <si>
    <t>PASSED — base-case IV implies P/E 7.4x / P/B 1.07x / EV-EBITDA 2.55x, all below historical trading averages (P/E 9.7x avg, P/B 1.51x avg, EV/EBITDA 3.31x avg). DCF says the stock is EXPENSIVE at $0.795, agreeing directionally with the independent adviser (Simmons Corporate Finance, $0.71-$0.90 range).</t>
  </si>
  <si>
    <t>What to refresh after next release</t>
  </si>
  <si>
    <t>FY2027 half-year results (due ~Nov 2026) or takeover outcome (expected by 24-Aug-2026, extendable to 19-Oct-2026) — whichever comes first. If the offer succeeds, this model becomes moot (delisting). If it lapses, re-run with updated FY27 actuals and re-assess whether market price reverts toward the standalone IV range.</t>
  </si>
  <si>
    <t>Cell colour conventions</t>
  </si>
  <si>
    <t>Gray-blue cells = INPUTS (editable). White cells = FORMULAS (auto-calculate). Green cells = key RESULTS (intrinsic value, entry price). Blue cells = OFFER terms (reference only, not a formula). Red cells = WARNINGS / conclusions requiring attention.</t>
  </si>
  <si>
    <t>Staleness warning</t>
  </si>
  <si>
    <t>All figures are current as of the build date above. Share price, takeover offer status, and financial data will go stale — always re-verify against the live market and NZX announcements before acting on this model, especially given the live corporate action.</t>
  </si>
</sst>
</file>

<file path=xl/styles.xml><?xml version="1.0" encoding="utf-8"?>
<styleSheet xmlns="http://schemas.openxmlformats.org/spreadsheetml/2006/main">
  <numFmts count="3">
    <numFmt numFmtId="164" formatCode="&quot;$&quot;#,##0.0000"/>
    <numFmt numFmtId="165" formatCode="#,##0.000"/>
    <numFmt numFmtId="166" formatCode="0.0%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3031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FFEAA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0" fontId="5" fillId="0" borderId="2" xfId="0" applyFont="1" applyBorder="1"/>
    <xf numFmtId="165" fontId="0" fillId="5" borderId="1" xfId="0" applyNumberFormat="1" applyFill="1" applyBorder="1"/>
    <xf numFmtId="165" fontId="0" fillId="0" borderId="1" xfId="0" applyNumberFormat="1" applyBorder="1"/>
    <xf numFmtId="166" fontId="0" fillId="5" borderId="1" xfId="0" applyNumberFormat="1" applyFill="1" applyBorder="1"/>
    <xf numFmtId="0" fontId="4" fillId="6" borderId="1" xfId="0" applyFont="1" applyFill="1" applyBorder="1"/>
    <xf numFmtId="166" fontId="0" fillId="0" borderId="1" xfId="0" applyNumberFormat="1" applyBorder="1"/>
    <xf numFmtId="0" fontId="3" fillId="7" borderId="0" xfId="0" applyFont="1" applyFill="1" applyAlignment="1">
      <alignment vertical="top" wrapText="1"/>
    </xf>
    <xf numFmtId="164" fontId="0" fillId="0" borderId="1" xfId="0" applyNumberFormat="1" applyBorder="1"/>
    <xf numFmtId="166" fontId="4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1" width="3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 ht="30" customHeight="1">
      <c r="A5" s="3" t="s">
        <v>2</v>
      </c>
      <c r="B5" s="4" t="s">
        <v>3</v>
      </c>
    </row>
    <row r="6" spans="1:2" ht="30" customHeight="1">
      <c r="A6" s="3" t="s">
        <v>4</v>
      </c>
      <c r="B6" s="4" t="s">
        <v>5</v>
      </c>
    </row>
    <row r="7" spans="1:2" ht="30" customHeight="1">
      <c r="A7" s="3" t="s">
        <v>6</v>
      </c>
      <c r="B7" s="4" t="s">
        <v>7</v>
      </c>
    </row>
    <row r="8" spans="1:2" ht="30" customHeight="1">
      <c r="A8" s="3" t="s">
        <v>8</v>
      </c>
      <c r="B8" s="4" t="s">
        <v>9</v>
      </c>
    </row>
    <row r="9" spans="1:2" ht="30" customHeight="1">
      <c r="A9" s="3" t="s">
        <v>10</v>
      </c>
      <c r="B9" s="4" t="s">
        <v>11</v>
      </c>
    </row>
    <row r="10" spans="1:2" ht="30" customHeight="1">
      <c r="A10" s="3" t="s">
        <v>12</v>
      </c>
      <c r="B10" s="4" t="s">
        <v>13</v>
      </c>
    </row>
    <row r="11" spans="1:2" ht="30" customHeight="1">
      <c r="A11" s="3" t="s">
        <v>14</v>
      </c>
      <c r="B11" s="4" t="s">
        <v>15</v>
      </c>
    </row>
    <row r="12" spans="1:2" ht="30" customHeight="1">
      <c r="A12" s="3" t="s">
        <v>16</v>
      </c>
      <c r="B12" s="4" t="s">
        <v>17</v>
      </c>
    </row>
    <row r="13" spans="1:2" ht="30" customHeight="1">
      <c r="A13" s="3" t="s">
        <v>18</v>
      </c>
      <c r="B13" s="4" t="s">
        <v>19</v>
      </c>
    </row>
    <row r="14" spans="1:2" ht="30" customHeight="1">
      <c r="A14" s="3" t="s">
        <v>20</v>
      </c>
      <c r="B14" s="4" t="s">
        <v>21</v>
      </c>
    </row>
    <row r="15" spans="1:2" ht="30" customHeight="1">
      <c r="A15" s="3" t="s">
        <v>22</v>
      </c>
      <c r="B15" s="4">
        <v>6.4</v>
      </c>
    </row>
    <row r="16" spans="1:2" ht="30" customHeight="1">
      <c r="A16" s="3" t="s">
        <v>23</v>
      </c>
      <c r="B16" s="4" t="s">
        <v>24</v>
      </c>
    </row>
    <row r="17" spans="1:2" ht="30" customHeight="1">
      <c r="A17" s="3" t="s">
        <v>25</v>
      </c>
      <c r="B17" s="4" t="s">
        <v>26</v>
      </c>
    </row>
    <row r="18" spans="1:2" ht="30" customHeight="1">
      <c r="A18" s="3" t="s">
        <v>27</v>
      </c>
      <c r="B18" s="4" t="s">
        <v>28</v>
      </c>
    </row>
    <row r="19" spans="1:2" ht="30" customHeight="1">
      <c r="A19" s="3" t="s">
        <v>29</v>
      </c>
      <c r="B19" s="4" t="s">
        <v>30</v>
      </c>
    </row>
    <row r="20" spans="1:2" ht="30" customHeight="1">
      <c r="A20" s="3" t="s">
        <v>31</v>
      </c>
      <c r="B20" s="4" t="s">
        <v>32</v>
      </c>
    </row>
    <row r="21" spans="1:2" ht="30" customHeight="1">
      <c r="A21" s="3" t="s">
        <v>33</v>
      </c>
      <c r="B21" s="4" t="s">
        <v>34</v>
      </c>
    </row>
    <row r="22" spans="1:2" ht="30" customHeight="1">
      <c r="A22" s="3" t="s">
        <v>35</v>
      </c>
      <c r="B22" s="4" t="s">
        <v>36</v>
      </c>
    </row>
    <row r="24" spans="1:2" ht="110" customHeight="1">
      <c r="A24" s="5" t="s">
        <v>37</v>
      </c>
      <c r="B24" s="4" t="s">
        <v>38</v>
      </c>
    </row>
    <row r="26" spans="1:2" ht="70" customHeight="1">
      <c r="A26" s="5" t="s">
        <v>39</v>
      </c>
      <c r="B26" s="4" t="s">
        <v>40</v>
      </c>
    </row>
    <row r="29" spans="1:2">
      <c r="A29" s="3" t="s">
        <v>41</v>
      </c>
      <c r="B29" s="6">
        <v>0.795</v>
      </c>
    </row>
    <row r="30" spans="1:2">
      <c r="A30" s="3" t="s">
        <v>42</v>
      </c>
      <c r="B30" s="6">
        <v>0.8</v>
      </c>
    </row>
    <row r="31" spans="1:2">
      <c r="A31" s="3" t="s">
        <v>43</v>
      </c>
      <c r="B31" s="7">
        <v>0.5202</v>
      </c>
    </row>
    <row r="32" spans="1:2">
      <c r="A32" s="3" t="s">
        <v>44</v>
      </c>
      <c r="B32" s="7">
        <v>0.5413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cols>
    <col min="1" max="1" width="30.7109375" customWidth="1"/>
    <col min="2" max="8" width="13.7109375" customWidth="1"/>
  </cols>
  <sheetData>
    <row r="1" spans="1:2">
      <c r="A1" s="1" t="s">
        <v>45</v>
      </c>
    </row>
    <row r="2" spans="1:2">
      <c r="A2" s="2" t="s">
        <v>46</v>
      </c>
    </row>
    <row r="4" spans="1:2">
      <c r="A4" s="8" t="s">
        <v>47</v>
      </c>
    </row>
    <row r="5" spans="1:2">
      <c r="A5" t="s">
        <v>48</v>
      </c>
      <c r="B5" s="9">
        <v>0.795</v>
      </c>
    </row>
    <row r="6" spans="1:2">
      <c r="A6" t="s">
        <v>49</v>
      </c>
      <c r="B6" s="9">
        <v>45.5545</v>
      </c>
    </row>
    <row r="7" spans="1:2">
      <c r="A7" t="s">
        <v>50</v>
      </c>
      <c r="B7" s="9">
        <v>3.838</v>
      </c>
    </row>
    <row r="8" spans="1:2">
      <c r="A8" t="s">
        <v>51</v>
      </c>
      <c r="B8" s="9">
        <v>0.751</v>
      </c>
    </row>
    <row r="9" spans="1:2">
      <c r="A9" t="s">
        <v>52</v>
      </c>
      <c r="B9" s="10">
        <f>B7-B8</f>
        <v>0</v>
      </c>
    </row>
    <row r="10" spans="1:2">
      <c r="A10" t="s">
        <v>53</v>
      </c>
      <c r="B10" s="9">
        <v>8.977</v>
      </c>
    </row>
    <row r="11" spans="1:2" ht="28" customHeight="1">
      <c r="A11" s="4" t="s">
        <v>54</v>
      </c>
    </row>
    <row r="13" spans="1:2">
      <c r="A13" t="s">
        <v>55</v>
      </c>
      <c r="B13" s="9">
        <v>3.2</v>
      </c>
    </row>
    <row r="14" spans="1:2">
      <c r="A14" t="s">
        <v>56</v>
      </c>
      <c r="B14" s="9">
        <v>3.734</v>
      </c>
    </row>
    <row r="15" spans="1:2">
      <c r="A15" t="s">
        <v>57</v>
      </c>
      <c r="B15" s="9">
        <v>1.513</v>
      </c>
    </row>
    <row r="16" spans="1:2">
      <c r="A16" t="s">
        <v>58</v>
      </c>
      <c r="B16" s="9">
        <v>0</v>
      </c>
    </row>
    <row r="17" spans="1:7" ht="28" customHeight="1">
      <c r="A17" s="4" t="s">
        <v>59</v>
      </c>
    </row>
    <row r="19" spans="1:7">
      <c r="A19" t="s">
        <v>60</v>
      </c>
      <c r="B19" s="11">
        <v>0.19</v>
      </c>
    </row>
    <row r="20" spans="1:7">
      <c r="A20" t="s">
        <v>61</v>
      </c>
      <c r="B20" s="11">
        <v>0.015</v>
      </c>
    </row>
    <row r="21" spans="1:7">
      <c r="A21" t="s">
        <v>62</v>
      </c>
      <c r="B21" s="9">
        <v>4</v>
      </c>
    </row>
    <row r="22" spans="1:7">
      <c r="A22" t="s">
        <v>63</v>
      </c>
      <c r="B22" s="9">
        <v>8.6</v>
      </c>
    </row>
    <row r="24" spans="1:7">
      <c r="A24" s="8" t="s">
        <v>64</v>
      </c>
      <c r="B24" s="12" t="s">
        <v>66</v>
      </c>
      <c r="C24" s="12" t="s">
        <v>67</v>
      </c>
      <c r="D24" s="12" t="s">
        <v>68</v>
      </c>
      <c r="E24" s="12" t="s">
        <v>69</v>
      </c>
      <c r="F24" s="12" t="s">
        <v>70</v>
      </c>
    </row>
    <row r="25" spans="1:7">
      <c r="A25" t="s">
        <v>65</v>
      </c>
      <c r="B25" s="11">
        <v>0.06</v>
      </c>
      <c r="C25" s="11">
        <v>0.05</v>
      </c>
      <c r="D25" s="11">
        <v>0.04</v>
      </c>
      <c r="E25" s="11">
        <v>0.03</v>
      </c>
      <c r="F25" s="11">
        <v>0.025</v>
      </c>
    </row>
    <row r="27" spans="1:7">
      <c r="A27" s="8" t="s">
        <v>71</v>
      </c>
    </row>
    <row r="28" spans="1:7">
      <c r="A28" s="12"/>
      <c r="B28" s="12" t="s">
        <v>72</v>
      </c>
      <c r="C28" s="12" t="s">
        <v>66</v>
      </c>
      <c r="D28" s="12" t="s">
        <v>67</v>
      </c>
      <c r="E28" s="12" t="s">
        <v>68</v>
      </c>
      <c r="F28" s="12" t="s">
        <v>69</v>
      </c>
      <c r="G28" s="12" t="s">
        <v>70</v>
      </c>
    </row>
    <row r="29" spans="1:7">
      <c r="A29" t="s">
        <v>73</v>
      </c>
      <c r="B29" s="10">
        <f>B13</f>
        <v>0</v>
      </c>
      <c r="C29" s="10">
        <f>B29*(1+B25)</f>
        <v>0</v>
      </c>
      <c r="D29" s="10">
        <f>C29*(1+C25)</f>
        <v>0</v>
      </c>
      <c r="E29" s="10">
        <f>D29*(1+D25)</f>
        <v>0</v>
      </c>
      <c r="F29" s="10">
        <f>E29*(1+E25)</f>
        <v>0</v>
      </c>
      <c r="G29" s="10">
        <f>F29*(1+F25)</f>
        <v>0</v>
      </c>
    </row>
    <row r="30" spans="1:7">
      <c r="A30" t="s">
        <v>49</v>
      </c>
      <c r="B30" s="10">
        <f>B6</f>
        <v>0</v>
      </c>
      <c r="C30" s="10">
        <f>B$6</f>
        <v>0</v>
      </c>
      <c r="D30" s="10">
        <f>B$6</f>
        <v>0</v>
      </c>
      <c r="E30" s="10">
        <f>B$6</f>
        <v>0</v>
      </c>
      <c r="F30" s="10">
        <f>B$6</f>
        <v>0</v>
      </c>
      <c r="G30" s="10">
        <f>B$6</f>
        <v>0</v>
      </c>
    </row>
    <row r="31" spans="1:7">
      <c r="A31" t="s">
        <v>74</v>
      </c>
      <c r="C31" s="10">
        <f>1/(1+$B$19)^1</f>
        <v>0</v>
      </c>
      <c r="D31" s="10">
        <f>1/(1+$B$19)^2</f>
        <v>0</v>
      </c>
      <c r="E31" s="10">
        <f>1/(1+$B$19)^3</f>
        <v>0</v>
      </c>
      <c r="F31" s="10">
        <f>1/(1+$B$19)^4</f>
        <v>0</v>
      </c>
      <c r="G31" s="10">
        <f>1/(1+$B$19)^5</f>
        <v>0</v>
      </c>
    </row>
    <row r="32" spans="1:7">
      <c r="A32" t="s">
        <v>75</v>
      </c>
      <c r="C32" s="10">
        <f>C29*C31</f>
        <v>0</v>
      </c>
      <c r="D32" s="10">
        <f>D29*D31</f>
        <v>0</v>
      </c>
      <c r="E32" s="10">
        <f>E29*E31</f>
        <v>0</v>
      </c>
      <c r="F32" s="10">
        <f>F29*F31</f>
        <v>0</v>
      </c>
      <c r="G32" s="10">
        <f>G29*G31</f>
        <v>0</v>
      </c>
    </row>
    <row r="34" spans="1:2">
      <c r="A34" s="8" t="s">
        <v>76</v>
      </c>
    </row>
    <row r="35" spans="1:2">
      <c r="A35" t="s">
        <v>77</v>
      </c>
      <c r="B35" s="10">
        <f>SUM(C32:G32)</f>
        <v>0</v>
      </c>
    </row>
    <row r="36" spans="1:2">
      <c r="A36" t="s">
        <v>78</v>
      </c>
      <c r="B36" s="10">
        <f>G29*(1+$B$20)</f>
        <v>0</v>
      </c>
    </row>
    <row r="37" spans="1:2">
      <c r="A37" t="s">
        <v>79</v>
      </c>
      <c r="B37" s="10">
        <f>B36/($B$19-$B$20)</f>
        <v>0</v>
      </c>
    </row>
    <row r="38" spans="1:2">
      <c r="A38" t="s">
        <v>80</v>
      </c>
      <c r="B38" s="10">
        <f>B21*B22</f>
        <v>0</v>
      </c>
    </row>
    <row r="39" spans="1:2">
      <c r="A39" t="s">
        <v>81</v>
      </c>
      <c r="B39" s="10">
        <f>MIN(B37,B38)</f>
        <v>0</v>
      </c>
    </row>
    <row r="40" spans="1:2">
      <c r="A40" t="s">
        <v>82</v>
      </c>
      <c r="B40" s="10">
        <f>B39*G31</f>
        <v>0</v>
      </c>
    </row>
    <row r="41" spans="1:2">
      <c r="A41" t="s">
        <v>83</v>
      </c>
      <c r="B41" s="10">
        <f>B35+B40</f>
        <v>0</v>
      </c>
    </row>
    <row r="42" spans="1:2">
      <c r="A42" t="s">
        <v>84</v>
      </c>
      <c r="B42" s="10">
        <f>B9</f>
        <v>0</v>
      </c>
    </row>
    <row r="43" spans="1:2">
      <c r="A43" t="s">
        <v>85</v>
      </c>
      <c r="B43" s="10">
        <f>B41+B42</f>
        <v>0</v>
      </c>
    </row>
    <row r="44" spans="1:2">
      <c r="A44" s="3" t="s">
        <v>86</v>
      </c>
      <c r="B44" s="7">
        <f>B43/G30</f>
        <v>0</v>
      </c>
    </row>
    <row r="45" spans="1:2">
      <c r="A45" t="s">
        <v>87</v>
      </c>
      <c r="B45" s="13">
        <f>B40/B41</f>
        <v>0</v>
      </c>
    </row>
    <row r="47" spans="1:2">
      <c r="A47" s="8" t="s">
        <v>88</v>
      </c>
    </row>
    <row r="48" spans="1:2">
      <c r="A48" t="s">
        <v>89</v>
      </c>
      <c r="B48" s="10">
        <f>NPV(0.15,C29:G29)</f>
        <v>0</v>
      </c>
    </row>
    <row r="49" spans="1:2">
      <c r="A49" t="s">
        <v>90</v>
      </c>
      <c r="B49" s="10">
        <f>B39/(1.15^5)</f>
        <v>0</v>
      </c>
    </row>
    <row r="50" spans="1:2">
      <c r="A50" t="s">
        <v>84</v>
      </c>
      <c r="B50" s="10">
        <f>B9</f>
        <v>0</v>
      </c>
    </row>
    <row r="51" spans="1:2">
      <c r="A51" t="s">
        <v>91</v>
      </c>
      <c r="B51" s="10">
        <f>B48+B49+B50</f>
        <v>0</v>
      </c>
    </row>
    <row r="52" spans="1:2">
      <c r="A52" t="s">
        <v>92</v>
      </c>
      <c r="B52" s="7">
        <f>B51/G30</f>
        <v>0</v>
      </c>
    </row>
    <row r="54" spans="1:2">
      <c r="A54" s="8" t="s">
        <v>93</v>
      </c>
    </row>
    <row r="55" spans="1:2">
      <c r="A55" t="s">
        <v>94</v>
      </c>
      <c r="B55" s="13">
        <f>(B44-B5)/B5</f>
        <v>0</v>
      </c>
    </row>
    <row r="56" spans="1:2">
      <c r="A56" t="s">
        <v>95</v>
      </c>
      <c r="B56" s="13">
        <f>(B52-B5)/B5</f>
        <v>0</v>
      </c>
    </row>
    <row r="57" spans="1:2">
      <c r="A57" t="s">
        <v>96</v>
      </c>
      <c r="B57" s="6">
        <v>0.8</v>
      </c>
    </row>
    <row r="58" spans="1:2">
      <c r="A58" t="s">
        <v>97</v>
      </c>
      <c r="B58" s="13">
        <f>(B44-B57)/B57</f>
        <v>0</v>
      </c>
    </row>
    <row r="59" spans="1:2" ht="30" customHeight="1">
      <c r="A59" s="14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30.7109375" customWidth="1"/>
    <col min="2" max="4" width="14.7109375" customWidth="1"/>
  </cols>
  <sheetData>
    <row r="1" spans="1:4">
      <c r="A1" s="1" t="s">
        <v>99</v>
      </c>
    </row>
    <row r="3" spans="1:4">
      <c r="A3" s="12" t="s">
        <v>100</v>
      </c>
      <c r="B3" s="12" t="s">
        <v>101</v>
      </c>
      <c r="C3" s="12" t="s">
        <v>102</v>
      </c>
      <c r="D3" s="12" t="s">
        <v>103</v>
      </c>
    </row>
    <row r="5" spans="1:4">
      <c r="A5" s="3" t="s">
        <v>104</v>
      </c>
      <c r="B5" s="10">
        <v>2.6</v>
      </c>
      <c r="C5" s="10">
        <v>3.2</v>
      </c>
      <c r="D5" s="10">
        <v>3.9</v>
      </c>
    </row>
    <row r="6" spans="1:4">
      <c r="A6" s="3" t="s">
        <v>105</v>
      </c>
      <c r="B6" s="13">
        <v>0</v>
      </c>
      <c r="C6" s="13">
        <v>0.06</v>
      </c>
      <c r="D6" s="13">
        <v>0.1</v>
      </c>
    </row>
    <row r="7" spans="1:4">
      <c r="A7" s="3" t="s">
        <v>106</v>
      </c>
      <c r="B7" s="13">
        <v>0.015</v>
      </c>
      <c r="C7" s="13">
        <v>0.025</v>
      </c>
      <c r="D7" s="13">
        <v>0.04</v>
      </c>
    </row>
    <row r="8" spans="1:4">
      <c r="A8" s="3" t="s">
        <v>107</v>
      </c>
      <c r="B8" s="10">
        <v>0.21</v>
      </c>
      <c r="C8" s="10">
        <v>0.19</v>
      </c>
      <c r="D8" s="10">
        <v>0.17</v>
      </c>
    </row>
    <row r="9" spans="1:4">
      <c r="A9" s="3" t="s">
        <v>108</v>
      </c>
      <c r="B9" s="13">
        <v>0.01</v>
      </c>
      <c r="C9" s="13">
        <v>0.015</v>
      </c>
      <c r="D9" s="13">
        <v>0.02</v>
      </c>
    </row>
    <row r="10" spans="1:4">
      <c r="A10" s="3" t="s">
        <v>109</v>
      </c>
      <c r="B10" s="10">
        <v>3</v>
      </c>
      <c r="C10" s="10">
        <v>4</v>
      </c>
      <c r="D10" s="10">
        <v>5.5</v>
      </c>
    </row>
    <row r="11" spans="1:4">
      <c r="A11" s="3" t="s">
        <v>63</v>
      </c>
      <c r="B11" s="10">
        <v>6.5</v>
      </c>
      <c r="C11" s="10">
        <v>8.6</v>
      </c>
      <c r="D11" s="10">
        <v>10.5</v>
      </c>
    </row>
    <row r="12" spans="1:4">
      <c r="A12" s="3" t="s">
        <v>110</v>
      </c>
      <c r="B12" t="s">
        <v>111</v>
      </c>
      <c r="C12" t="s">
        <v>111</v>
      </c>
      <c r="D12" t="s">
        <v>111</v>
      </c>
    </row>
    <row r="13" spans="1:4">
      <c r="A13" s="3" t="s">
        <v>112</v>
      </c>
      <c r="B13" s="13">
        <v>0.4077</v>
      </c>
      <c r="C13" s="13">
        <v>0.4612</v>
      </c>
      <c r="D13" s="13">
        <v>0.5206000000000001</v>
      </c>
    </row>
    <row r="14" spans="1:4">
      <c r="A14" s="3" t="s">
        <v>113</v>
      </c>
      <c r="B14" s="10">
        <v>5.05</v>
      </c>
      <c r="C14" s="10">
        <v>5.8</v>
      </c>
      <c r="D14" s="10">
        <v>6.8</v>
      </c>
    </row>
    <row r="15" spans="1:4">
      <c r="A15" s="3" t="s">
        <v>114</v>
      </c>
      <c r="B15" s="15">
        <v>0.3556</v>
      </c>
      <c r="C15" s="15">
        <v>0.5202</v>
      </c>
      <c r="D15" s="15">
        <v>0.7691</v>
      </c>
    </row>
    <row r="16" spans="1:4">
      <c r="A16" s="3" t="s">
        <v>115</v>
      </c>
      <c r="B16" s="13">
        <v>-0.5527000000000001</v>
      </c>
      <c r="C16" s="13">
        <v>-0.3457</v>
      </c>
      <c r="D16" s="13">
        <v>-0.0326</v>
      </c>
    </row>
    <row r="18" spans="1:2">
      <c r="A18" s="8" t="s">
        <v>116</v>
      </c>
    </row>
    <row r="19" spans="1:2">
      <c r="A19" t="s">
        <v>117</v>
      </c>
      <c r="B19" s="13">
        <v>0.25</v>
      </c>
    </row>
    <row r="20" spans="1:2">
      <c r="A20" t="s">
        <v>118</v>
      </c>
      <c r="B20" s="13">
        <v>0.5</v>
      </c>
    </row>
    <row r="21" spans="1:2">
      <c r="A21" t="s">
        <v>119</v>
      </c>
      <c r="B21" s="13">
        <v>0.25</v>
      </c>
    </row>
    <row r="22" spans="1:2">
      <c r="A22" s="3" t="s">
        <v>120</v>
      </c>
      <c r="B22" s="7">
        <v>0.5413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121</v>
      </c>
    </row>
    <row r="2" spans="1:6">
      <c r="A2" t="s">
        <v>122</v>
      </c>
    </row>
    <row r="4" spans="1:6">
      <c r="A4" s="12" t="s">
        <v>123</v>
      </c>
      <c r="B4" s="16">
        <v>0.005</v>
      </c>
      <c r="C4" s="16">
        <v>0.01</v>
      </c>
      <c r="D4" s="16">
        <v>0.015</v>
      </c>
      <c r="E4" s="16">
        <v>0.02</v>
      </c>
      <c r="F4" s="16">
        <v>0.025</v>
      </c>
    </row>
    <row r="5" spans="1:6">
      <c r="A5" s="16">
        <v>0.15</v>
      </c>
      <c r="B5" s="15">
        <f>(MIN(('DCF Model'!$B$13*(1+'DCF Model'!$B$25)*(1+'DCF Model'!$C$25)*(1+'DCF Model'!$D$25)*(1+'DCF Model'!$E$25)*(1+'DCF Model'!$F$25)*(1+0.005)/(0.15-0.005)),'DCF Model'!$B$38)/(1+0.15)^5+NPV(0.15,'DCF Model'!$C$29:$G$29)+'DCF Model'!$B$9)/'DCF Model'!$G$30</f>
        <v>0</v>
      </c>
      <c r="C5" s="15">
        <f>(MIN(('DCF Model'!$B$13*(1+'DCF Model'!$B$25)*(1+'DCF Model'!$C$25)*(1+'DCF Model'!$D$25)*(1+'DCF Model'!$E$25)*(1+'DCF Model'!$F$25)*(1+0.01)/(0.15-0.01)),'DCF Model'!$B$38)/(1+0.15)^5+NPV(0.15,'DCF Model'!$C$29:$G$29)+'DCF Model'!$B$9)/'DCF Model'!$G$30</f>
        <v>0</v>
      </c>
      <c r="D5" s="15">
        <f>(MIN(('DCF Model'!$B$13*(1+'DCF Model'!$B$25)*(1+'DCF Model'!$C$25)*(1+'DCF Model'!$D$25)*(1+'DCF Model'!$E$25)*(1+'DCF Model'!$F$25)*(1+0.015)/(0.15-0.015)),'DCF Model'!$B$38)/(1+0.15)^5+NPV(0.15,'DCF Model'!$C$29:$G$29)+'DCF Model'!$B$9)/'DCF Model'!$G$30</f>
        <v>0</v>
      </c>
      <c r="E5" s="15">
        <f>(MIN(('DCF Model'!$B$13*(1+'DCF Model'!$B$25)*(1+'DCF Model'!$C$25)*(1+'DCF Model'!$D$25)*(1+'DCF Model'!$E$25)*(1+'DCF Model'!$F$25)*(1+0.02)/(0.15-0.02)),'DCF Model'!$B$38)/(1+0.15)^5+NPV(0.15,'DCF Model'!$C$29:$G$29)+'DCF Model'!$B$9)/'DCF Model'!$G$30</f>
        <v>0</v>
      </c>
      <c r="F5" s="15">
        <f>(MIN(('DCF Model'!$B$13*(1+'DCF Model'!$B$25)*(1+'DCF Model'!$C$25)*(1+'DCF Model'!$D$25)*(1+'DCF Model'!$E$25)*(1+'DCF Model'!$F$25)*(1+0.025)/(0.15-0.025)),'DCF Model'!$B$38)/(1+0.15)^5+NPV(0.15,'DCF Model'!$C$29:$G$29)+'DCF Model'!$B$9)/'DCF Model'!$G$30</f>
        <v>0</v>
      </c>
    </row>
    <row r="6" spans="1:6">
      <c r="A6" s="16">
        <v>0.17</v>
      </c>
      <c r="B6" s="15">
        <f>(MIN(('DCF Model'!$B$13*(1+'DCF Model'!$B$25)*(1+'DCF Model'!$C$25)*(1+'DCF Model'!$D$25)*(1+'DCF Model'!$E$25)*(1+'DCF Model'!$F$25)*(1+0.005)/(0.17-0.005)),'DCF Model'!$B$38)/(1+0.17)^5+NPV(0.17,'DCF Model'!$C$29:$G$29)+'DCF Model'!$B$9)/'DCF Model'!$G$30</f>
        <v>0</v>
      </c>
      <c r="C6" s="15">
        <f>(MIN(('DCF Model'!$B$13*(1+'DCF Model'!$B$25)*(1+'DCF Model'!$C$25)*(1+'DCF Model'!$D$25)*(1+'DCF Model'!$E$25)*(1+'DCF Model'!$F$25)*(1+0.01)/(0.17-0.01)),'DCF Model'!$B$38)/(1+0.17)^5+NPV(0.17,'DCF Model'!$C$29:$G$29)+'DCF Model'!$B$9)/'DCF Model'!$G$30</f>
        <v>0</v>
      </c>
      <c r="D6" s="15">
        <f>(MIN(('DCF Model'!$B$13*(1+'DCF Model'!$B$25)*(1+'DCF Model'!$C$25)*(1+'DCF Model'!$D$25)*(1+'DCF Model'!$E$25)*(1+'DCF Model'!$F$25)*(1+0.015)/(0.17-0.015)),'DCF Model'!$B$38)/(1+0.17)^5+NPV(0.17,'DCF Model'!$C$29:$G$29)+'DCF Model'!$B$9)/'DCF Model'!$G$30</f>
        <v>0</v>
      </c>
      <c r="E6" s="15">
        <f>(MIN(('DCF Model'!$B$13*(1+'DCF Model'!$B$25)*(1+'DCF Model'!$C$25)*(1+'DCF Model'!$D$25)*(1+'DCF Model'!$E$25)*(1+'DCF Model'!$F$25)*(1+0.02)/(0.17-0.02)),'DCF Model'!$B$38)/(1+0.17)^5+NPV(0.17,'DCF Model'!$C$29:$G$29)+'DCF Model'!$B$9)/'DCF Model'!$G$30</f>
        <v>0</v>
      </c>
      <c r="F6" s="15">
        <f>(MIN(('DCF Model'!$B$13*(1+'DCF Model'!$B$25)*(1+'DCF Model'!$C$25)*(1+'DCF Model'!$D$25)*(1+'DCF Model'!$E$25)*(1+'DCF Model'!$F$25)*(1+0.025)/(0.17-0.025)),'DCF Model'!$B$38)/(1+0.17)^5+NPV(0.17,'DCF Model'!$C$29:$G$29)+'DCF Model'!$B$9)/'DCF Model'!$G$30</f>
        <v>0</v>
      </c>
    </row>
    <row r="7" spans="1:6">
      <c r="A7" s="16">
        <v>0.19</v>
      </c>
      <c r="B7" s="15">
        <f>(MIN(('DCF Model'!$B$13*(1+'DCF Model'!$B$25)*(1+'DCF Model'!$C$25)*(1+'DCF Model'!$D$25)*(1+'DCF Model'!$E$25)*(1+'DCF Model'!$F$25)*(1+0.005)/(0.19-0.005)),'DCF Model'!$B$38)/(1+0.19)^5+NPV(0.19,'DCF Model'!$C$29:$G$29)+'DCF Model'!$B$9)/'DCF Model'!$G$30</f>
        <v>0</v>
      </c>
      <c r="C7" s="15">
        <f>(MIN(('DCF Model'!$B$13*(1+'DCF Model'!$B$25)*(1+'DCF Model'!$C$25)*(1+'DCF Model'!$D$25)*(1+'DCF Model'!$E$25)*(1+'DCF Model'!$F$25)*(1+0.01)/(0.19-0.01)),'DCF Model'!$B$38)/(1+0.19)^5+NPV(0.19,'DCF Model'!$C$29:$G$29)+'DCF Model'!$B$9)/'DCF Model'!$G$30</f>
        <v>0</v>
      </c>
      <c r="D7" s="15">
        <f>(MIN(('DCF Model'!$B$13*(1+'DCF Model'!$B$25)*(1+'DCF Model'!$C$25)*(1+'DCF Model'!$D$25)*(1+'DCF Model'!$E$25)*(1+'DCF Model'!$F$25)*(1+0.015)/(0.19-0.015)),'DCF Model'!$B$38)/(1+0.19)^5+NPV(0.19,'DCF Model'!$C$29:$G$29)+'DCF Model'!$B$9)/'DCF Model'!$G$30</f>
        <v>0</v>
      </c>
      <c r="E7" s="15">
        <f>(MIN(('DCF Model'!$B$13*(1+'DCF Model'!$B$25)*(1+'DCF Model'!$C$25)*(1+'DCF Model'!$D$25)*(1+'DCF Model'!$E$25)*(1+'DCF Model'!$F$25)*(1+0.02)/(0.19-0.02)),'DCF Model'!$B$38)/(1+0.19)^5+NPV(0.19,'DCF Model'!$C$29:$G$29)+'DCF Model'!$B$9)/'DCF Model'!$G$30</f>
        <v>0</v>
      </c>
      <c r="F7" s="15">
        <f>(MIN(('DCF Model'!$B$13*(1+'DCF Model'!$B$25)*(1+'DCF Model'!$C$25)*(1+'DCF Model'!$D$25)*(1+'DCF Model'!$E$25)*(1+'DCF Model'!$F$25)*(1+0.025)/(0.19-0.025)),'DCF Model'!$B$38)/(1+0.19)^5+NPV(0.19,'DCF Model'!$C$29:$G$29)+'DCF Model'!$B$9)/'DCF Model'!$G$30</f>
        <v>0</v>
      </c>
    </row>
    <row r="8" spans="1:6">
      <c r="A8" s="16">
        <v>0.21</v>
      </c>
      <c r="B8" s="15">
        <f>(MIN(('DCF Model'!$B$13*(1+'DCF Model'!$B$25)*(1+'DCF Model'!$C$25)*(1+'DCF Model'!$D$25)*(1+'DCF Model'!$E$25)*(1+'DCF Model'!$F$25)*(1+0.005)/(0.21-0.005)),'DCF Model'!$B$38)/(1+0.21)^5+NPV(0.21,'DCF Model'!$C$29:$G$29)+'DCF Model'!$B$9)/'DCF Model'!$G$30</f>
        <v>0</v>
      </c>
      <c r="C8" s="15">
        <f>(MIN(('DCF Model'!$B$13*(1+'DCF Model'!$B$25)*(1+'DCF Model'!$C$25)*(1+'DCF Model'!$D$25)*(1+'DCF Model'!$E$25)*(1+'DCF Model'!$F$25)*(1+0.01)/(0.21-0.01)),'DCF Model'!$B$38)/(1+0.21)^5+NPV(0.21,'DCF Model'!$C$29:$G$29)+'DCF Model'!$B$9)/'DCF Model'!$G$30</f>
        <v>0</v>
      </c>
      <c r="D8" s="15">
        <f>(MIN(('DCF Model'!$B$13*(1+'DCF Model'!$B$25)*(1+'DCF Model'!$C$25)*(1+'DCF Model'!$D$25)*(1+'DCF Model'!$E$25)*(1+'DCF Model'!$F$25)*(1+0.015)/(0.21-0.015)),'DCF Model'!$B$38)/(1+0.21)^5+NPV(0.21,'DCF Model'!$C$29:$G$29)+'DCF Model'!$B$9)/'DCF Model'!$G$30</f>
        <v>0</v>
      </c>
      <c r="E8" s="15">
        <f>(MIN(('DCF Model'!$B$13*(1+'DCF Model'!$B$25)*(1+'DCF Model'!$C$25)*(1+'DCF Model'!$D$25)*(1+'DCF Model'!$E$25)*(1+'DCF Model'!$F$25)*(1+0.02)/(0.21-0.02)),'DCF Model'!$B$38)/(1+0.21)^5+NPV(0.21,'DCF Model'!$C$29:$G$29)+'DCF Model'!$B$9)/'DCF Model'!$G$30</f>
        <v>0</v>
      </c>
      <c r="F8" s="15">
        <f>(MIN(('DCF Model'!$B$13*(1+'DCF Model'!$B$25)*(1+'DCF Model'!$C$25)*(1+'DCF Model'!$D$25)*(1+'DCF Model'!$E$25)*(1+'DCF Model'!$F$25)*(1+0.025)/(0.21-0.025)),'DCF Model'!$B$38)/(1+0.21)^5+NPV(0.21,'DCF Model'!$C$29:$G$29)+'DCF Model'!$B$9)/'DCF Model'!$G$30</f>
        <v>0</v>
      </c>
    </row>
    <row r="9" spans="1:6">
      <c r="A9" s="16">
        <v>0.23</v>
      </c>
      <c r="B9" s="15">
        <f>(MIN(('DCF Model'!$B$13*(1+'DCF Model'!$B$25)*(1+'DCF Model'!$C$25)*(1+'DCF Model'!$D$25)*(1+'DCF Model'!$E$25)*(1+'DCF Model'!$F$25)*(1+0.005)/(0.23-0.005)),'DCF Model'!$B$38)/(1+0.23)^5+NPV(0.23,'DCF Model'!$C$29:$G$29)+'DCF Model'!$B$9)/'DCF Model'!$G$30</f>
        <v>0</v>
      </c>
      <c r="C9" s="15">
        <f>(MIN(('DCF Model'!$B$13*(1+'DCF Model'!$B$25)*(1+'DCF Model'!$C$25)*(1+'DCF Model'!$D$25)*(1+'DCF Model'!$E$25)*(1+'DCF Model'!$F$25)*(1+0.01)/(0.23-0.01)),'DCF Model'!$B$38)/(1+0.23)^5+NPV(0.23,'DCF Model'!$C$29:$G$29)+'DCF Model'!$B$9)/'DCF Model'!$G$30</f>
        <v>0</v>
      </c>
      <c r="D9" s="15">
        <f>(MIN(('DCF Model'!$B$13*(1+'DCF Model'!$B$25)*(1+'DCF Model'!$C$25)*(1+'DCF Model'!$D$25)*(1+'DCF Model'!$E$25)*(1+'DCF Model'!$F$25)*(1+0.015)/(0.23-0.015)),'DCF Model'!$B$38)/(1+0.23)^5+NPV(0.23,'DCF Model'!$C$29:$G$29)+'DCF Model'!$B$9)/'DCF Model'!$G$30</f>
        <v>0</v>
      </c>
      <c r="E9" s="15">
        <f>(MIN(('DCF Model'!$B$13*(1+'DCF Model'!$B$25)*(1+'DCF Model'!$C$25)*(1+'DCF Model'!$D$25)*(1+'DCF Model'!$E$25)*(1+'DCF Model'!$F$25)*(1+0.02)/(0.23-0.02)),'DCF Model'!$B$38)/(1+0.23)^5+NPV(0.23,'DCF Model'!$C$29:$G$29)+'DCF Model'!$B$9)/'DCF Model'!$G$30</f>
        <v>0</v>
      </c>
      <c r="F9" s="15">
        <f>(MIN(('DCF Model'!$B$13*(1+'DCF Model'!$B$25)*(1+'DCF Model'!$C$25)*(1+'DCF Model'!$D$25)*(1+'DCF Model'!$E$25)*(1+'DCF Model'!$F$25)*(1+0.025)/(0.23-0.025)),'DCF Model'!$B$38)/(1+0.23)^5+NPV(0.23,'DCF Model'!$C$29:$G$29)+'DCF Model'!$B$9)/'DCF Model'!$G$30</f>
        <v>0</v>
      </c>
    </row>
    <row r="11" spans="1:6" ht="30" customHeight="1">
      <c r="A11" s="4" t="s">
        <v>124</v>
      </c>
    </row>
    <row r="13" spans="1:6">
      <c r="A13" s="3" t="s">
        <v>125</v>
      </c>
    </row>
    <row r="14" spans="1:6">
      <c r="A14" s="12" t="s">
        <v>123</v>
      </c>
      <c r="B14" s="12">
        <v>0.005</v>
      </c>
      <c r="C14" s="12">
        <v>0.01</v>
      </c>
      <c r="D14" s="12">
        <v>0.015</v>
      </c>
      <c r="E14" s="12">
        <v>0.02</v>
      </c>
      <c r="F14" s="12">
        <v>0.025</v>
      </c>
    </row>
    <row r="15" spans="1:6">
      <c r="A15" s="12">
        <v>0.15</v>
      </c>
      <c r="B15" s="15">
        <v>0.631</v>
      </c>
      <c r="C15" s="15">
        <v>0.644</v>
      </c>
      <c r="D15" s="15">
        <v>0.657</v>
      </c>
      <c r="E15" s="15">
        <v>0.671</v>
      </c>
      <c r="F15" s="15">
        <v>0.6860000000000001</v>
      </c>
    </row>
    <row r="16" spans="1:6">
      <c r="A16" s="12">
        <v>0.17</v>
      </c>
      <c r="B16" s="15">
        <v>0.5620000000000001</v>
      </c>
      <c r="C16" s="15">
        <v>0.57</v>
      </c>
      <c r="D16" s="15">
        <v>0.58</v>
      </c>
      <c r="E16" s="15">
        <v>0.589</v>
      </c>
      <c r="F16" s="15">
        <v>0.6</v>
      </c>
    </row>
    <row r="17" spans="1:6">
      <c r="A17" s="12">
        <v>0.19</v>
      </c>
      <c r="B17" s="15">
        <v>0.507</v>
      </c>
      <c r="C17" s="15">
        <v>0.513</v>
      </c>
      <c r="D17" s="15">
        <v>0.52</v>
      </c>
      <c r="E17" s="15">
        <v>0.527</v>
      </c>
      <c r="F17" s="15">
        <v>0.535</v>
      </c>
    </row>
    <row r="18" spans="1:6">
      <c r="A18" s="12">
        <v>0.21</v>
      </c>
      <c r="B18" s="15">
        <v>0.463</v>
      </c>
      <c r="C18" s="15">
        <v>0.468</v>
      </c>
      <c r="D18" s="15">
        <v>0.473</v>
      </c>
      <c r="E18" s="15">
        <v>0.478</v>
      </c>
      <c r="F18" s="15">
        <v>0.484</v>
      </c>
    </row>
    <row r="19" spans="1:6">
      <c r="A19" s="12">
        <v>0.23</v>
      </c>
      <c r="B19" s="15">
        <v>0.427</v>
      </c>
      <c r="C19" s="15">
        <v>0.431</v>
      </c>
      <c r="D19" s="15">
        <v>0.435</v>
      </c>
      <c r="E19" s="15">
        <v>0.439</v>
      </c>
      <c r="F19" s="15">
        <v>0.443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38.7109375" customWidth="1"/>
    <col min="2" max="4" width="14.7109375" customWidth="1"/>
  </cols>
  <sheetData>
    <row r="1" spans="1:4">
      <c r="A1" s="1" t="s">
        <v>126</v>
      </c>
    </row>
    <row r="2" spans="1:4">
      <c r="A2" s="2" t="s">
        <v>127</v>
      </c>
    </row>
    <row r="4" spans="1:4">
      <c r="A4" s="12"/>
      <c r="B4" s="12" t="s">
        <v>128</v>
      </c>
      <c r="C4" s="12" t="s">
        <v>129</v>
      </c>
      <c r="D4" s="12" t="s">
        <v>130</v>
      </c>
    </row>
    <row r="6" spans="1:4">
      <c r="A6" t="s">
        <v>131</v>
      </c>
      <c r="B6" s="10">
        <v>6.921</v>
      </c>
      <c r="C6" s="10">
        <v>6.727</v>
      </c>
      <c r="D6" s="10">
        <v>4.174</v>
      </c>
    </row>
    <row r="7" spans="1:4">
      <c r="A7" t="s">
        <v>132</v>
      </c>
      <c r="B7" s="10">
        <v>0.8120000000000001</v>
      </c>
      <c r="C7" s="10">
        <v>1.315</v>
      </c>
      <c r="D7" s="10">
        <v>0.44</v>
      </c>
    </row>
    <row r="8" spans="1:4">
      <c r="A8" s="3" t="inlineStr">
        <is>
          <t>= Reported FCF (Company definition, NZ$M)</t>
        </is>
      </c>
      <c r="B8" s="10">
        <v>6.109</v>
      </c>
      <c r="C8" s="10">
        <v>5.412000000000001</v>
      </c>
      <c r="D8" s="10">
        <v>3.734</v>
      </c>
    </row>
    <row r="9" spans="1:4">
      <c r="A9" t="s">
        <v>133</v>
      </c>
      <c r="B9" s="10">
        <v>1.935</v>
      </c>
      <c r="C9" s="10">
        <v>1.999</v>
      </c>
      <c r="D9" s="10">
        <v>2.221</v>
      </c>
    </row>
    <row r="10" spans="1:4">
      <c r="A10" s="3" t="inlineStr">
        <is>
          <t>= Owner FCF (NZ$M)</t>
        </is>
      </c>
      <c r="B10" s="10">
        <v>4.174</v>
      </c>
      <c r="C10" s="10">
        <v>3.413</v>
      </c>
      <c r="D10" s="10">
        <v>1.513</v>
      </c>
    </row>
    <row r="11" spans="1:4">
      <c r="A11" t="s">
        <v>134</v>
      </c>
      <c r="B11" s="10">
        <v>0</v>
      </c>
      <c r="C11" s="10">
        <v>0</v>
      </c>
      <c r="D11" s="10">
        <v>0</v>
      </c>
    </row>
    <row r="12" spans="1:4">
      <c r="A12" s="3" t="inlineStr">
        <is>
          <t>= Owner FCF after SBC (NZ$M)</t>
        </is>
      </c>
      <c r="B12" s="10">
        <v>4.174</v>
      </c>
      <c r="C12" s="10">
        <v>3.413</v>
      </c>
      <c r="D12" s="10">
        <v>1.513</v>
      </c>
    </row>
    <row r="14" spans="1:4">
      <c r="A14" s="3" t="s">
        <v>135</v>
      </c>
      <c r="B14">
        <v>86.78</v>
      </c>
      <c r="C14">
        <v>80.17</v>
      </c>
      <c r="D14">
        <v>81.70999999999999</v>
      </c>
    </row>
    <row r="15" spans="1:4">
      <c r="A15" t="s">
        <v>136</v>
      </c>
      <c r="B15" s="13">
        <v>0.07039640470154414</v>
      </c>
      <c r="C15" s="13">
        <v>0.06750654858425846</v>
      </c>
      <c r="D15" s="13">
        <v>0.04569820095459553</v>
      </c>
    </row>
    <row r="16" spans="1:4">
      <c r="A16" t="s">
        <v>137</v>
      </c>
      <c r="B16" s="13">
        <v>0.04809864023968657</v>
      </c>
      <c r="C16" s="13">
        <v>0.04257203442684296</v>
      </c>
      <c r="D16" s="13">
        <v>0.01851670542161302</v>
      </c>
    </row>
    <row r="19" spans="1:4">
      <c r="A19" s="3" t="s">
        <v>138</v>
      </c>
      <c r="D19" s="10">
        <v>3.109</v>
      </c>
    </row>
    <row r="20" spans="1:4">
      <c r="A20" t="s">
        <v>139</v>
      </c>
      <c r="D20" s="13">
        <v>0.8326191751472951</v>
      </c>
    </row>
    <row r="22" spans="1:4" ht="30" customHeight="1">
      <c r="A22" s="4" t="s">
        <v>140</v>
      </c>
    </row>
    <row r="23" spans="1:4" ht="30" customHeight="1">
      <c r="A23" s="4" t="s">
        <v>141</v>
      </c>
    </row>
    <row r="25" spans="1:4">
      <c r="A25" s="8" t="s">
        <v>142</v>
      </c>
    </row>
    <row r="26" spans="1:4">
      <c r="A26" t="s">
        <v>143</v>
      </c>
      <c r="B26" s="10">
        <v>3.03</v>
      </c>
      <c r="C26" s="10">
        <v>3.41</v>
      </c>
    </row>
    <row r="27" spans="1:4">
      <c r="A27" t="s">
        <v>144</v>
      </c>
      <c r="D27" s="10">
        <v>4.62</v>
      </c>
    </row>
    <row r="28" spans="1:4">
      <c r="A28" t="s">
        <v>145</v>
      </c>
      <c r="D28" s="10">
        <v>3.43</v>
      </c>
    </row>
    <row r="29" spans="1:4">
      <c r="A29" t="s">
        <v>146</v>
      </c>
      <c r="D29" s="10">
        <v>3.2</v>
      </c>
    </row>
    <row r="30" spans="1:4">
      <c r="A30" s="3" t="s">
        <v>147</v>
      </c>
      <c r="D30" s="7">
        <v>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30.7109375" customWidth="1"/>
    <col min="2" max="6" width="14.7109375" customWidth="1"/>
  </cols>
  <sheetData>
    <row r="1" spans="1:6">
      <c r="A1" s="1" t="s">
        <v>148</v>
      </c>
    </row>
    <row r="3" spans="1:6">
      <c r="A3" s="12" t="s">
        <v>100</v>
      </c>
      <c r="B3" s="12" t="s">
        <v>149</v>
      </c>
      <c r="C3" s="12" t="s">
        <v>150</v>
      </c>
      <c r="D3" s="12" t="s">
        <v>128</v>
      </c>
      <c r="E3" s="12" t="s">
        <v>129</v>
      </c>
      <c r="F3" s="12" t="s">
        <v>130</v>
      </c>
    </row>
    <row r="5" spans="1:6">
      <c r="A5" t="s">
        <v>135</v>
      </c>
      <c r="B5" s="10">
        <v>65.95999999999999</v>
      </c>
      <c r="C5" s="10">
        <v>82.73999999999999</v>
      </c>
      <c r="D5" s="10">
        <v>86.78</v>
      </c>
      <c r="E5" s="10">
        <v>80.17</v>
      </c>
      <c r="F5" s="10">
        <v>81.70999999999999</v>
      </c>
    </row>
    <row r="6" spans="1:6">
      <c r="A6" t="s">
        <v>151</v>
      </c>
      <c r="B6" s="10">
        <v>2.594</v>
      </c>
      <c r="C6" s="10">
        <v>1.292</v>
      </c>
      <c r="D6" s="10">
        <v>6.241</v>
      </c>
      <c r="E6" s="10">
        <v>3.3</v>
      </c>
      <c r="F6" s="10">
        <v>3.188</v>
      </c>
    </row>
    <row r="7" spans="1:6">
      <c r="A7" t="s">
        <v>152</v>
      </c>
      <c r="B7" s="10">
        <v>0.057</v>
      </c>
      <c r="C7" s="10">
        <v>0.028</v>
      </c>
      <c r="D7" s="10">
        <v>0.137</v>
      </c>
      <c r="E7" s="10">
        <v>0.07199999999999999</v>
      </c>
      <c r="F7" s="10">
        <v>0.07000000000000001</v>
      </c>
    </row>
    <row r="8" spans="1:6">
      <c r="A8" t="s">
        <v>153</v>
      </c>
      <c r="B8" s="10">
        <v>16.17</v>
      </c>
      <c r="C8" s="10">
        <v>16.17</v>
      </c>
      <c r="D8" s="10">
        <v>20.37</v>
      </c>
      <c r="E8" s="10">
        <v>21.06</v>
      </c>
      <c r="F8" s="10">
        <v>22.15</v>
      </c>
    </row>
    <row r="9" spans="1:6">
      <c r="A9" t="s">
        <v>154</v>
      </c>
      <c r="B9" s="10">
        <v>3.79</v>
      </c>
      <c r="C9" s="10">
        <v>3.767</v>
      </c>
      <c r="D9" s="10">
        <v>4.673</v>
      </c>
      <c r="E9" s="10">
        <v>5.344</v>
      </c>
      <c r="F9" s="10">
        <v>3.838</v>
      </c>
    </row>
    <row r="10" spans="1:6">
      <c r="A10" t="s">
        <v>49</v>
      </c>
      <c r="B10" s="10">
        <v>45.5545</v>
      </c>
      <c r="C10" s="10">
        <v>45.5545</v>
      </c>
      <c r="D10" s="10">
        <v>45.5545</v>
      </c>
      <c r="E10" s="10">
        <v>45.5545</v>
      </c>
      <c r="F10" s="10">
        <v>45.5545</v>
      </c>
    </row>
    <row r="11" spans="1:6">
      <c r="A11" t="s">
        <v>155</v>
      </c>
      <c r="B11" s="10">
        <v>0.77</v>
      </c>
      <c r="C11" s="10">
        <v>0.3</v>
      </c>
      <c r="D11" s="10">
        <v>0.78</v>
      </c>
      <c r="E11" s="10">
        <v>0.74</v>
      </c>
      <c r="F11" s="10">
        <v>0.59</v>
      </c>
    </row>
    <row r="13" spans="1:6">
      <c r="A13" s="8" t="s">
        <v>156</v>
      </c>
    </row>
    <row r="15" spans="1:6">
      <c r="A15" t="s">
        <v>157</v>
      </c>
      <c r="B15" s="13">
        <v>0.055</v>
      </c>
    </row>
    <row r="16" spans="1:6">
      <c r="A16" t="s">
        <v>158</v>
      </c>
      <c r="B16" s="13">
        <v>-0.03</v>
      </c>
    </row>
    <row r="17" spans="1:2">
      <c r="A17" t="s">
        <v>159</v>
      </c>
      <c r="B17" s="13">
        <v>0.053</v>
      </c>
    </row>
    <row r="18" spans="1:2">
      <c r="A18" t="s">
        <v>160</v>
      </c>
      <c r="B18" s="13">
        <v>0.08199999999999999</v>
      </c>
    </row>
    <row r="19" spans="1:2">
      <c r="A19" t="s">
        <v>161</v>
      </c>
      <c r="B19" s="13">
        <v>0.111</v>
      </c>
    </row>
    <row r="20" spans="1:2">
      <c r="A20" t="s">
        <v>162</v>
      </c>
      <c r="B20" s="13">
        <v>-0.398</v>
      </c>
    </row>
    <row r="22" spans="1:2" ht="45" customHeight="1">
      <c r="A22" s="4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28.7109375" customWidth="1"/>
    <col min="2" max="6" width="12.7109375" customWidth="1"/>
  </cols>
  <sheetData>
    <row r="1" spans="1:6">
      <c r="A1" s="1" t="s">
        <v>164</v>
      </c>
    </row>
    <row r="3" spans="1:6">
      <c r="A3" s="12" t="s">
        <v>165</v>
      </c>
      <c r="B3" s="12" t="s">
        <v>149</v>
      </c>
      <c r="C3" s="12" t="s">
        <v>150</v>
      </c>
      <c r="D3" s="12" t="s">
        <v>128</v>
      </c>
      <c r="E3" s="12" t="s">
        <v>129</v>
      </c>
      <c r="F3" s="12" t="s">
        <v>130</v>
      </c>
    </row>
    <row r="4" spans="1:6">
      <c r="A4" t="s">
        <v>166</v>
      </c>
      <c r="B4" s="10">
        <v>0.77</v>
      </c>
      <c r="C4" s="10">
        <v>0.3</v>
      </c>
      <c r="D4" s="10">
        <v>0.78</v>
      </c>
      <c r="E4" s="10">
        <v>0.74</v>
      </c>
      <c r="F4" s="10">
        <v>0.59</v>
      </c>
    </row>
    <row r="5" spans="1:6">
      <c r="A5" t="s">
        <v>167</v>
      </c>
      <c r="B5" s="10">
        <v>13.5</v>
      </c>
      <c r="C5" s="10">
        <v>10.6</v>
      </c>
      <c r="D5" s="10">
        <v>5.7</v>
      </c>
      <c r="E5" s="10">
        <v>10.2</v>
      </c>
      <c r="F5" s="10">
        <v>8.4</v>
      </c>
    </row>
    <row r="6" spans="1:6">
      <c r="A6" t="s">
        <v>168</v>
      </c>
      <c r="B6" s="10">
        <v>2.17</v>
      </c>
      <c r="C6" s="10">
        <v>0.84</v>
      </c>
      <c r="D6" s="10">
        <v>1.74</v>
      </c>
      <c r="E6" s="10">
        <v>1.6</v>
      </c>
      <c r="F6" s="10">
        <v>1.21</v>
      </c>
    </row>
    <row r="7" spans="1:6">
      <c r="A7" t="s">
        <v>169</v>
      </c>
      <c r="B7" s="10">
        <v>0.53</v>
      </c>
      <c r="C7" s="10">
        <v>0.17</v>
      </c>
      <c r="D7" s="10">
        <v>0.41</v>
      </c>
      <c r="E7" s="10">
        <v>0.42</v>
      </c>
      <c r="F7" s="10">
        <v>0.33</v>
      </c>
    </row>
    <row r="8" spans="1:6">
      <c r="A8" t="s">
        <v>170</v>
      </c>
      <c r="D8" s="10">
        <v>3.67</v>
      </c>
      <c r="E8" s="10">
        <v>2.94</v>
      </c>
    </row>
    <row r="10" spans="1:6">
      <c r="A10" s="3" t="s">
        <v>171</v>
      </c>
    </row>
    <row r="11" spans="1:6">
      <c r="A11" t="s">
        <v>172</v>
      </c>
      <c r="B11" s="10">
        <v>9.699999999999999</v>
      </c>
    </row>
    <row r="12" spans="1:6">
      <c r="A12" t="s">
        <v>173</v>
      </c>
      <c r="B12" s="10">
        <v>1.51</v>
      </c>
    </row>
    <row r="13" spans="1:6">
      <c r="A13" t="s">
        <v>174</v>
      </c>
      <c r="B13" s="10">
        <v>0.37</v>
      </c>
    </row>
    <row r="14" spans="1:6">
      <c r="A14" t="s">
        <v>175</v>
      </c>
      <c r="B14" s="10">
        <v>3.31</v>
      </c>
    </row>
    <row r="16" spans="1:6">
      <c r="A16" s="3" t="s">
        <v>176</v>
      </c>
    </row>
    <row r="17" spans="1:2">
      <c r="A17" t="s">
        <v>167</v>
      </c>
      <c r="B17" s="10">
        <v>11.4</v>
      </c>
    </row>
    <row r="18" spans="1:2">
      <c r="A18" t="s">
        <v>168</v>
      </c>
      <c r="B18" s="10">
        <v>1.63</v>
      </c>
    </row>
    <row r="19" spans="1:2">
      <c r="A19" t="s">
        <v>169</v>
      </c>
      <c r="B19" s="10">
        <v>0.44</v>
      </c>
    </row>
    <row r="20" spans="1:2">
      <c r="A20" t="s">
        <v>177</v>
      </c>
      <c r="B20" s="10">
        <v>4.1</v>
      </c>
    </row>
    <row r="21" spans="1:2">
      <c r="A21" t="s">
        <v>178</v>
      </c>
      <c r="B21" s="13">
        <v>0.077</v>
      </c>
    </row>
    <row r="23" spans="1:2">
      <c r="A23" s="3" t="s">
        <v>179</v>
      </c>
    </row>
    <row r="24" spans="1:2">
      <c r="A24" t="s">
        <v>167</v>
      </c>
      <c r="B24" s="10">
        <v>7.4</v>
      </c>
    </row>
    <row r="25" spans="1:2">
      <c r="A25" t="s">
        <v>168</v>
      </c>
      <c r="B25" s="10">
        <v>1.07</v>
      </c>
    </row>
    <row r="26" spans="1:2">
      <c r="A26" t="s">
        <v>177</v>
      </c>
      <c r="B26" s="10">
        <v>2.55</v>
      </c>
    </row>
    <row r="28" spans="1:2">
      <c r="A28" s="5" t="s">
        <v>180</v>
      </c>
    </row>
    <row r="29" spans="1:2" ht="140" customHeight="1">
      <c r="A29" s="4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6.7109375" customWidth="1"/>
    <col min="2" max="2" width="90.7109375" customWidth="1"/>
  </cols>
  <sheetData>
    <row r="1" spans="1:2">
      <c r="A1" s="1" t="s">
        <v>182</v>
      </c>
    </row>
    <row r="3" spans="1:2" ht="45" customHeight="1">
      <c r="A3" s="3" t="s">
        <v>183</v>
      </c>
      <c r="B3" s="4" t="s">
        <v>184</v>
      </c>
    </row>
    <row r="4" spans="1:2" ht="45" customHeight="1">
      <c r="A4" s="3" t="s">
        <v>185</v>
      </c>
      <c r="B4" s="4" t="s">
        <v>186</v>
      </c>
    </row>
    <row r="5" spans="1:2" ht="45" customHeight="1">
      <c r="A5" s="3" t="s">
        <v>187</v>
      </c>
      <c r="B5" s="4" t="s">
        <v>188</v>
      </c>
    </row>
    <row r="6" spans="1:2" ht="45" customHeight="1">
      <c r="A6" s="3" t="s">
        <v>189</v>
      </c>
      <c r="B6" s="4" t="s">
        <v>190</v>
      </c>
    </row>
    <row r="7" spans="1:2" ht="45" customHeight="1">
      <c r="A7" s="3" t="s">
        <v>191</v>
      </c>
      <c r="B7" s="4" t="s">
        <v>192</v>
      </c>
    </row>
    <row r="8" spans="1:2" ht="45" customHeight="1">
      <c r="A8" s="3" t="s">
        <v>193</v>
      </c>
      <c r="B8" s="4" t="s">
        <v>194</v>
      </c>
    </row>
    <row r="9" spans="1:2" ht="45" customHeight="1">
      <c r="A9" s="3" t="s">
        <v>195</v>
      </c>
      <c r="B9" s="4" t="s">
        <v>196</v>
      </c>
    </row>
    <row r="10" spans="1:2" ht="45" customHeight="1">
      <c r="A10" s="3" t="s">
        <v>197</v>
      </c>
      <c r="B10" s="4" t="s">
        <v>198</v>
      </c>
    </row>
    <row r="11" spans="1:2" ht="45" customHeight="1">
      <c r="A11" s="3" t="s">
        <v>199</v>
      </c>
      <c r="B11" s="4" t="s">
        <v>200</v>
      </c>
    </row>
    <row r="12" spans="1:2" ht="45" customHeight="1">
      <c r="A12" s="3" t="s">
        <v>201</v>
      </c>
      <c r="B12" s="4" t="s">
        <v>202</v>
      </c>
    </row>
    <row r="13" spans="1:2" ht="45" customHeight="1">
      <c r="A13" s="3" t="s">
        <v>203</v>
      </c>
      <c r="B13" s="4" t="s">
        <v>204</v>
      </c>
    </row>
    <row r="14" spans="1:2" ht="45" customHeight="1">
      <c r="A14" s="3" t="s">
        <v>205</v>
      </c>
      <c r="B14" s="4" t="s">
        <v>206</v>
      </c>
    </row>
    <row r="15" spans="1:2" ht="45" customHeight="1">
      <c r="A15" s="3" t="s">
        <v>207</v>
      </c>
      <c r="B15" s="4" t="s">
        <v>208</v>
      </c>
    </row>
    <row r="16" spans="1:2" ht="45" customHeight="1">
      <c r="A16" s="3" t="s">
        <v>209</v>
      </c>
      <c r="B16" s="4" t="s">
        <v>210</v>
      </c>
    </row>
    <row r="17" spans="1:2" ht="45" customHeight="1">
      <c r="A17" s="3" t="s">
        <v>211</v>
      </c>
      <c r="B17" s="4" t="s">
        <v>212</v>
      </c>
    </row>
    <row r="18" spans="1:2" ht="45" customHeight="1">
      <c r="A18" s="3" t="s">
        <v>213</v>
      </c>
      <c r="B18" s="4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Takeover Offer</vt:lpstr>
      <vt:lpstr>DCF Model</vt:lpstr>
      <vt:lpstr>Scenarios</vt:lpstr>
      <vt:lpstr>Sensitivity</vt:lpstr>
      <vt:lpstr>FCF Quality</vt:lpstr>
      <vt:lpstr>Historical</vt:lpstr>
      <vt:lpstr>Multiples Check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2026-07-31T04:29:04Z</dcterms:created>
  <dcterms:modified xsi:type="dcterms:W3CDTF">2026-07-31T04:29:04Z</dcterms:modified>
</cp:coreProperties>
</file>