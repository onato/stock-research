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<sst xmlns="http://schemas.openxmlformats.org/spreadsheetml/2006/main" count="351" uniqueCount="164">
  <si>
    <t xml:space="preserve">Ticker</t>
  </si>
  <si>
    <t xml:space="preserve">1913.HK</t>
  </si>
  <si>
    <t xml:space="preserve">Company</t>
  </si>
  <si>
    <t xml:space="preserve">Prada S.p.A.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</si>
  <si>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</si>
  <si>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</si>
  <si>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</si>
  <si>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</si>
  <si>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</si>
  <si>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</si>
  <si>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</si>
  <si>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</si>
  <si>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</si>
  <si>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</si>
  <si>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</si>
  <si>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</si>
  <si>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</si>
  <si>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</si>
  <si>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</si>
  <si>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</si>
  <si>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</si>
  <si>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</si>
  <si>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2026-10-16T23:17:18Z</t>
  </si>
  <si>
    <t xml:space="preserve">Drivers file</t>
  </si>
  <si>
    <t xml:space="preserve">1913.HK_Drivers.json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</si>
  <si>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</si>
  <si>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</si>
  <si>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</si>
  <si>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EUR at an 8.5% EUR WACC, leases charged as an operating cost, no SBC (cash-settled phantom plans already in EBITDA), Versace priced through the net-debt swing and the FY2026-2030 margin path rather than as a separate asset. Per-share values converted to HKD at EUR/HKD 8.8203 so they are comparable to the HKEX quote.
key_risks_to_valuation: Miu Miu growth normalisation -- the single largest swing factor in revenue and margin; Versace turnaround duration: each year of ~-10% Versace EBIT margin costs ~1pp of group margin; Chinese luxury demand (APAC ~33% of retail sales); EUR/HKD: a 5% EUR move shifts the HKD value 5% one-for-one; FY2025 group cash-flow lines and the June-2026 balance sheet are not on file; net debt is the reported Dec-2025 figure and the gross debt/cash split is estimated; Terminal value cap binds in all scenarios (Gordon at 8.5%/2.5% = ~17x vs 15x cap); the exit multiple is the main terminal judgment</t>
  </si>
  <si>
    <t xml:space="preserve">Data sources</t>
  </si>
  <si>
    <t xml:space="preserve">price: Yahoo Finance chart API (1913.HK, HKD) at inputs.price_as_of; 52-week range HK$34.52-52.00. EUR/HKD from Yahoo EURHKD=X; ADR parity via PRDSY.
financials: 1913.HK_Metrics.csv FY2018-FY2024 (group annual reports, EUR millions); FY2024 AR cash flow statement for lease principal, lease interest and PP&amp;E D&amp;A; FY2025 separate (parent-only) annual report for Versace financing facilities and outlook (lines 557-570, 1138-1172, 3797-3810).
qualitative: 1913.HK_Analysis.json (2026-10-17): FY2025 group results (revenue EUR5,718m, adj EBIT 23.2%, net income EUR852m, net financial debt EUR466m), Versace deal terms, FY2026 guidance.</t>
  </si>
  <si>
    <t xml:space="preserve">Scenario narrative: bear</t>
  </si>
  <si>
    <t xml:space="preserve">Miu Miu's trend normalises sharply (fashion-cycle risk on a youth-driven brand) while the larger Prada brand stays negative, exposing a one-brand growth story; Chinese luxury demand relapses (APAC ~33% of sales); Versace's turnaround stalls for years and remains loss-making, and group EBIT margin settles ~2-3pp below FY2025. Revenue barely grows in FY2027 after the Versace consolidation step-up. Exit cap 12x for a structurally slower, more cyclical business.</t>
  </si>
  <si>
    <t xml:space="preserve">Scenario narrative: base</t>
  </si>
  <si>
    <t xml:space="preserve">Miu Miu decelerates from hypergrowth to high single digits while the Prada brand grows low single digits; China stabilises but does not boom. Versace contracts in FY2026 through the creative-director vacuum, dilutes group EBIT margin to ~21%, then is re-launched on Prada's retail and industrial platform and reaches modest profitability by FY2030-31, restoring group reported EBIT to ~23%. Capex stays elevated near EUR550-600m for two years then fades. Group growth fades from 6% to 2.5%.</t>
  </si>
  <si>
    <t xml:space="preserve">Scenario narrative: bull</t>
  </si>
  <si>
    <t xml:space="preserve">Miu Miu keeps compounding as a second scale house (35-40% of retail), the Prada brand returns to mid-single-digit growth as China/APAC recovers, and a new Versace creative director lands well so the brand repeats the Miu Miu playbook (cheaply bought at ~EUR1.25bn vs Capri's $2.15bn). Group EBIT margin moves to ~25% by FY2030 with operating leverage; growth stays above the luxury market for most of the decade. Exit cap 18x.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</si>
  <si>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</si>
  <si>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</si>
  <si>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</si>
  <si>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</si>
  <si>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</si>
  <si>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</si>
  <si>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</si>
  <si>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</si>
  <si>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</si>
  <si>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</si>
  <si>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</si>
  <si>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</si>
  <si>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</si>
  <si>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</si>
  <si>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</si>
  <si>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</si>
  <si>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</si>
  <si>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</si>
  <si>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</si>
  <si>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</si>
  <si>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</si>
  <si>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</si>
  <si>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</si>
  <si>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</si>
  <si>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</si>
  <si>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</si>
  <si>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</si>
  <si>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</si>
  <si>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</si>
  <si>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</si>
  <si>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</si>
  <si>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</si>
  <si>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</si>
  <si>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</si>
  <si>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</si>
  <si>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</si>
  <si>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</si>
  <si>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</si>
  <si>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</si>
  <si>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</si>
  <si>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</si>
  <si>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</si>
  <si>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</si>
  <si>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FY2025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</si>
  <si>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</si>
  <si>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</si>
  <si>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</si>
  <si>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</si>
  <si>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</si>
  <si>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</si>
  <si>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</si>
  <si>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</si>
  <si>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</si>
  <si>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</si>
  <si>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</si>
  <si>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</si>
  <si>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</si>
  <si>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</si>
  <si>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</si>
  <si>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</si>
  <si>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</si>
  <si>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</si>
  <si>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</si>
  <si>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</si>
  <si>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</si>
  <si>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</si>
  <si>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</si>
  <si>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</si>
  <si>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</si>
  <si>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</si>
  <si>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</si>
  <si>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</si>
  <si>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1913.HK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</si>
  <si>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</si>
  <si>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</si>
  <si>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</si>
  <si>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</si>
  <si>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</si>
  <si>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</si>
  <si>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</si>
  <si>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</si>
  <si>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</si>
  <si>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</si>
  <si>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</si>
  <si>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</si>
  <si>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</si>
  <si>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</si>
  <si>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</si>
  <si>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</si>
  <si>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</si>
  <si>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</si>
  <si>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</si>
  <si>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</si>
  <si>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</si>
  <si>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</si>
  <si>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</si>
  <si>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</si>
  <si>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</si>
  <si>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</si>
  <si>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</si>
  <si>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</si>
  <si>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</si>
  <si>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</si>
  <si>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1913.HK owner-FCF component DCF: base case (millions, EUR)</t>
  </si>
  <si>
    <t xml:space="preserve">1913.HK owner-FCF component DCF: bull case (millions, EUR)</t>
  </si>
  <si>
    <t xml:space="preserve">1913.HK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</si>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</sst>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39.22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3142.148</v>
      </c>
      <c r="C2" s="0" t="n">
        <v>879.554</v>
      </c>
      <c r="D2" s="0" t="n">
        <v>2262.594</v>
      </c>
      <c r="E2" s="0" t="n">
        <v>72</v>
      </c>
      <c r="F2" s="0" t="n">
        <v>323.846</v>
      </c>
      <c r="G2" s="0" t="n">
        <v>10.3</v>
      </c>
      <c r="H2" s="0" t="n">
        <v>543.728</v>
      </c>
      <c r="I2" s="0" t="n">
        <v>205.443</v>
      </c>
      <c r="J2" s="0" t="n">
        <v>6.5</v>
      </c>
      <c r="K2" s="0" t="n">
        <v>0.08</v>
      </c>
      <c r="L2" s="0" t="n">
        <v>365.108</v>
      </c>
      <c r="M2" s="0" t="n">
        <v>282.135</v>
      </c>
      <c r="N2" s="0" t="n">
        <v>82.973</v>
      </c>
      <c r="O2" s="0" t="n">
        <v>2877.986</v>
      </c>
      <c r="P2" s="0" t="n">
        <v>4678.812</v>
      </c>
      <c r="Q2" s="0" t="n">
        <v>1781.743</v>
      </c>
      <c r="R2" s="0" t="n">
        <v>908.912</v>
      </c>
      <c r="S2" s="0" t="n">
        <v>599.821</v>
      </c>
      <c r="T2" s="0" t="n">
        <v>2558.824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3225.594</v>
      </c>
      <c r="C3" s="0" t="n">
        <v>905.982</v>
      </c>
      <c r="D3" s="0" t="n">
        <v>2319.612</v>
      </c>
      <c r="E3" s="0" t="n">
        <v>71.9</v>
      </c>
      <c r="F3" s="0" t="n">
        <v>306.779</v>
      </c>
      <c r="G3" s="0" t="n">
        <v>9.5</v>
      </c>
      <c r="H3" s="0" t="n">
        <v>985.398</v>
      </c>
      <c r="I3" s="0" t="n">
        <v>255.788</v>
      </c>
      <c r="J3" s="0" t="n">
        <v>7.9</v>
      </c>
      <c r="K3" s="0" t="n">
        <v>0.1</v>
      </c>
      <c r="L3" s="0" t="n">
        <v>809.895</v>
      </c>
      <c r="M3" s="0" t="n">
        <v>310.957</v>
      </c>
      <c r="N3" s="0" t="n">
        <v>498.938</v>
      </c>
      <c r="O3" s="0" t="n">
        <v>2967.158</v>
      </c>
      <c r="P3" s="0" t="n">
        <v>7038.439</v>
      </c>
      <c r="Q3" s="0" t="n">
        <v>4049.864</v>
      </c>
      <c r="R3" s="0" t="n">
        <v>825.605</v>
      </c>
      <c r="S3" s="0" t="n">
        <v>421.069</v>
      </c>
      <c r="T3" s="0" t="n">
        <v>2558.824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2422.739</v>
      </c>
      <c r="C4" s="0" t="n">
        <v>679.361</v>
      </c>
      <c r="D4" s="0" t="n">
        <v>1743.378</v>
      </c>
      <c r="E4" s="0" t="n">
        <v>72</v>
      </c>
      <c r="F4" s="0" t="n">
        <v>20.061</v>
      </c>
      <c r="G4" s="0" t="n">
        <v>0.8</v>
      </c>
      <c r="H4" s="0" t="n">
        <v>667.691</v>
      </c>
      <c r="I4" s="0" t="n">
        <v>-54.139</v>
      </c>
      <c r="J4" s="0" t="n">
        <v>-2.2</v>
      </c>
      <c r="K4" s="0" t="n">
        <v>-0.021</v>
      </c>
      <c r="L4" s="0" t="n">
        <v>592.419</v>
      </c>
      <c r="M4" s="0" t="n">
        <v>109.557</v>
      </c>
      <c r="N4" s="0" t="n">
        <v>482.862</v>
      </c>
      <c r="O4" s="0" t="n">
        <v>2832.057</v>
      </c>
      <c r="P4" s="0" t="n">
        <v>6527.927</v>
      </c>
      <c r="Q4" s="0" t="n">
        <v>3676.207</v>
      </c>
      <c r="R4" s="0" t="n">
        <v>751.777</v>
      </c>
      <c r="S4" s="0" t="n">
        <v>442.392</v>
      </c>
      <c r="T4" s="0" t="n">
        <v>2558.824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3365.667</v>
      </c>
      <c r="C5" s="0" t="n">
        <v>818.309</v>
      </c>
      <c r="D5" s="0" t="n">
        <v>2547.358</v>
      </c>
      <c r="E5" s="0" t="n">
        <v>75.7</v>
      </c>
      <c r="F5" s="0" t="n">
        <v>489.484</v>
      </c>
      <c r="G5" s="0" t="n">
        <v>14.5</v>
      </c>
      <c r="H5" s="0" t="n">
        <v>1113.702</v>
      </c>
      <c r="I5" s="0" t="n">
        <v>294.254</v>
      </c>
      <c r="J5" s="0" t="n">
        <v>8.7</v>
      </c>
      <c r="K5" s="0" t="n">
        <v>0.115</v>
      </c>
      <c r="L5" s="0" t="n">
        <v>1143.528</v>
      </c>
      <c r="M5" s="0" t="n">
        <v>219.628</v>
      </c>
      <c r="N5" s="0" t="n">
        <v>923.9</v>
      </c>
      <c r="O5" s="0" t="n">
        <v>3113.894</v>
      </c>
      <c r="P5" s="0" t="n">
        <v>6959.011</v>
      </c>
      <c r="Q5" s="0" t="n">
        <v>3830.368</v>
      </c>
      <c r="R5" s="0" t="n">
        <v>741.904</v>
      </c>
      <c r="S5" s="0" t="n">
        <v>981.786</v>
      </c>
      <c r="T5" s="0" t="n">
        <v>2558.824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4200.674</v>
      </c>
      <c r="C6" s="0" t="n">
        <v>888.58</v>
      </c>
      <c r="D6" s="0" t="n">
        <v>3312.094</v>
      </c>
      <c r="E6" s="0" t="n">
        <v>78.8</v>
      </c>
      <c r="F6" s="0" t="n">
        <v>775.99</v>
      </c>
      <c r="G6" s="0" t="n">
        <v>18.5</v>
      </c>
      <c r="H6" s="0" t="n">
        <v>1438.414</v>
      </c>
      <c r="I6" s="0" t="n">
        <v>465.193</v>
      </c>
      <c r="J6" s="0" t="n">
        <v>11.1</v>
      </c>
      <c r="K6" s="0" t="n">
        <v>0.182</v>
      </c>
      <c r="L6" s="0" t="n">
        <v>1123.697</v>
      </c>
      <c r="M6" s="0" t="n">
        <v>241.495</v>
      </c>
      <c r="N6" s="0" t="n">
        <v>882.202</v>
      </c>
      <c r="O6" s="0" t="n">
        <v>3482.217</v>
      </c>
      <c r="P6" s="0" t="n">
        <v>7377.578</v>
      </c>
      <c r="Q6" s="0" t="n">
        <v>3876.556</v>
      </c>
      <c r="R6" s="0" t="n">
        <v>556.503</v>
      </c>
      <c r="S6" s="0" t="n">
        <v>1091.622</v>
      </c>
      <c r="T6" s="0" t="n">
        <v>2558.824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4726.411</v>
      </c>
      <c r="C7" s="0" t="n">
        <v>924.64</v>
      </c>
      <c r="D7" s="0" t="n">
        <v>3801.771</v>
      </c>
      <c r="E7" s="0" t="n">
        <v>80.4</v>
      </c>
      <c r="F7" s="0" t="n">
        <v>1061.692</v>
      </c>
      <c r="G7" s="0" t="n">
        <v>22.5</v>
      </c>
      <c r="H7" s="0" t="n">
        <v>1738.072</v>
      </c>
      <c r="I7" s="0" t="n">
        <v>671.026</v>
      </c>
      <c r="J7" s="0" t="n">
        <v>14.2</v>
      </c>
      <c r="K7" s="0" t="n">
        <v>0.262</v>
      </c>
      <c r="L7" s="0" t="n">
        <v>1155.281</v>
      </c>
      <c r="M7" s="0" t="n">
        <v>759.676</v>
      </c>
      <c r="N7" s="0" t="n">
        <v>395.605</v>
      </c>
      <c r="O7" s="0" t="n">
        <v>3853.795</v>
      </c>
      <c r="P7" s="0" t="n">
        <v>7615.051</v>
      </c>
      <c r="Q7" s="0" t="n">
        <v>3738.242</v>
      </c>
      <c r="R7" s="0" t="n">
        <v>486.76</v>
      </c>
      <c r="S7" s="0" t="n">
        <v>689.519</v>
      </c>
      <c r="T7" s="0" t="n">
        <v>2558.824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5431.557</v>
      </c>
      <c r="C8" s="0" t="n">
        <v>1094.865</v>
      </c>
      <c r="D8" s="0" t="n">
        <v>4336.692</v>
      </c>
      <c r="E8" s="0" t="n">
        <v>79.8</v>
      </c>
      <c r="F8" s="0" t="n">
        <v>1279.55</v>
      </c>
      <c r="G8" s="0" t="n">
        <v>23.6</v>
      </c>
      <c r="H8" s="0" t="n">
        <v>2014.213</v>
      </c>
      <c r="I8" s="0" t="n">
        <v>838.907</v>
      </c>
      <c r="J8" s="0" t="n">
        <v>15.4</v>
      </c>
      <c r="K8" s="0" t="n">
        <v>0.328</v>
      </c>
      <c r="L8" s="0" t="n">
        <v>1651.617</v>
      </c>
      <c r="M8" s="0" t="n">
        <v>459.575</v>
      </c>
      <c r="N8" s="0" t="n">
        <v>1192.042</v>
      </c>
      <c r="O8" s="0" t="n">
        <v>4399.365</v>
      </c>
      <c r="P8" s="0" t="n">
        <v>8549.959</v>
      </c>
      <c r="Q8" s="0" t="n">
        <v>4130.529</v>
      </c>
      <c r="R8" s="0" t="n">
        <v>404.188</v>
      </c>
      <c r="S8" s="0" t="n">
        <v>1011.563</v>
      </c>
      <c r="T8" s="0" t="n">
        <v>2558.824</v>
      </c>
      <c r="AA8" s="0" t="s">
        <v>18</v>
      </c>
      <c r="AB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39.22</v>
      </c>
    </row>
    <row r="3" customFormat="false" ht="15" hidden="false" customHeight="false" outlineLevel="0" collapsed="false">
      <c r="A3" s="0" t="s">
        <v>74</v>
      </c>
      <c r="B3" s="3" t="n">
        <v>2558.824</v>
      </c>
    </row>
    <row r="4" customFormat="false" ht="15" hidden="false" customHeight="false" outlineLevel="0" collapsed="false">
      <c r="A4" s="0" t="s">
        <v>75</v>
      </c>
      <c r="B4" s="3" t="n">
        <v>466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6337</v>
      </c>
    </row>
    <row r="8" customFormat="false" ht="15" hidden="false" customHeight="false" outlineLevel="0" collapsed="false">
      <c r="A8" s="0" t="s">
        <v>79</v>
      </c>
      <c r="B8" s="3" t="s">
        <v>80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8.8203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-1.8</v>
      </c>
      <c r="D13" s="3" t="n">
        <v>1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33.5</v>
      </c>
      <c r="D14" s="3" t="n">
        <v>33</v>
      </c>
      <c r="E14" s="3" t="n">
        <v>33.5</v>
      </c>
      <c r="F14" s="3" t="n">
        <v>34</v>
      </c>
      <c r="G14" s="3" t="n">
        <v>34.5</v>
      </c>
      <c r="H14" s="3" t="n">
        <v>35</v>
      </c>
      <c r="I14" s="3" t="n">
        <v>35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9.8</v>
      </c>
      <c r="D16" s="3" t="n">
        <v>9.8</v>
      </c>
      <c r="E16" s="3" t="n">
        <v>9.8</v>
      </c>
      <c r="F16" s="3" t="n">
        <v>9.8</v>
      </c>
      <c r="G16" s="3" t="n">
        <v>9.8</v>
      </c>
      <c r="H16" s="3" t="n">
        <v>9.8</v>
      </c>
      <c r="I16" s="3" t="n">
        <v>9.8</v>
      </c>
      <c r="J16" s="3" t="n">
        <v>9.8</v>
      </c>
      <c r="K16" s="3" t="n">
        <v>9.8</v>
      </c>
      <c r="L16" s="3" t="n">
        <v>9.8</v>
      </c>
    </row>
    <row r="17" customFormat="false" ht="15" hidden="false" customHeight="false" outlineLevel="0" collapsed="false">
      <c r="A17" s="0" t="s">
        <v>99</v>
      </c>
      <c r="C17" s="3" t="n">
        <v>5.4</v>
      </c>
      <c r="D17" s="3" t="n">
        <v>5.5</v>
      </c>
      <c r="E17" s="3" t="n">
        <v>5.6</v>
      </c>
      <c r="F17" s="3" t="n">
        <v>5.7</v>
      </c>
      <c r="G17" s="3" t="n">
        <v>5.8</v>
      </c>
      <c r="H17" s="3" t="n">
        <v>5.9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100</v>
      </c>
      <c r="C18" s="3" t="n">
        <v>9.5</v>
      </c>
      <c r="D18" s="3" t="n">
        <v>9</v>
      </c>
      <c r="E18" s="3" t="n">
        <v>8.5</v>
      </c>
      <c r="F18" s="3" t="n">
        <v>8</v>
      </c>
      <c r="G18" s="3" t="n">
        <v>7.5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101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-15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2</v>
      </c>
      <c r="D27" s="3" t="n">
        <v>6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34.8</v>
      </c>
      <c r="D28" s="3" t="n">
        <v>35.6</v>
      </c>
      <c r="E28" s="3" t="n">
        <v>36.3</v>
      </c>
      <c r="F28" s="3" t="n">
        <v>36.8</v>
      </c>
      <c r="G28" s="3" t="n">
        <v>37.2</v>
      </c>
      <c r="H28" s="3" t="n">
        <v>37.4</v>
      </c>
      <c r="I28" s="3" t="n">
        <v>37.4</v>
      </c>
      <c r="J28" s="3" t="n">
        <v>37.4</v>
      </c>
      <c r="K28" s="3" t="n">
        <v>37.4</v>
      </c>
      <c r="L28" s="3" t="n">
        <v>37.4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9.6</v>
      </c>
      <c r="D30" s="3" t="n">
        <v>9.6</v>
      </c>
      <c r="E30" s="3" t="n">
        <v>9.6</v>
      </c>
      <c r="F30" s="3" t="n">
        <v>9.6</v>
      </c>
      <c r="G30" s="3" t="n">
        <v>9.6</v>
      </c>
      <c r="H30" s="3" t="n">
        <v>9.6</v>
      </c>
      <c r="I30" s="3" t="n">
        <v>9.6</v>
      </c>
      <c r="J30" s="3" t="n">
        <v>9.6</v>
      </c>
      <c r="K30" s="3" t="n">
        <v>9.6</v>
      </c>
      <c r="L30" s="3" t="n">
        <v>9.6</v>
      </c>
    </row>
    <row r="31" customFormat="false" ht="15" hidden="false" customHeight="false" outlineLevel="0" collapsed="false">
      <c r="A31" s="0" t="s">
        <v>99</v>
      </c>
      <c r="C31" s="3" t="n">
        <v>5.4</v>
      </c>
      <c r="D31" s="3" t="n">
        <v>5.5</v>
      </c>
      <c r="E31" s="3" t="n">
        <v>5.6</v>
      </c>
      <c r="F31" s="3" t="n">
        <v>5.7</v>
      </c>
      <c r="G31" s="3" t="n">
        <v>5.8</v>
      </c>
      <c r="H31" s="3" t="n">
        <v>5.9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100</v>
      </c>
      <c r="C32" s="3" t="n">
        <v>9.5</v>
      </c>
      <c r="D32" s="3" t="n">
        <v>9</v>
      </c>
      <c r="E32" s="3" t="n">
        <v>8.5</v>
      </c>
      <c r="F32" s="3" t="n">
        <v>8</v>
      </c>
      <c r="G32" s="3" t="n">
        <v>7.5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101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4</v>
      </c>
      <c r="D41" s="3" t="n">
        <v>9</v>
      </c>
      <c r="E41" s="3" t="n">
        <v>8.5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35.5</v>
      </c>
      <c r="D42" s="3" t="n">
        <v>36.8</v>
      </c>
      <c r="E42" s="3" t="n">
        <v>37.8</v>
      </c>
      <c r="F42" s="3" t="n">
        <v>38.6</v>
      </c>
      <c r="G42" s="3" t="n">
        <v>39.2</v>
      </c>
      <c r="H42" s="3" t="n">
        <v>39.5</v>
      </c>
      <c r="I42" s="3" t="n">
        <v>39.5</v>
      </c>
      <c r="J42" s="3" t="n">
        <v>39.5</v>
      </c>
      <c r="K42" s="3" t="n">
        <v>39.5</v>
      </c>
      <c r="L42" s="3" t="n">
        <v>39.5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9.4</v>
      </c>
      <c r="D44" s="3" t="n">
        <v>9.4</v>
      </c>
      <c r="E44" s="3" t="n">
        <v>9.4</v>
      </c>
      <c r="F44" s="3" t="n">
        <v>9.4</v>
      </c>
      <c r="G44" s="3" t="n">
        <v>9.4</v>
      </c>
      <c r="H44" s="3" t="n">
        <v>9.4</v>
      </c>
      <c r="I44" s="3" t="n">
        <v>9.4</v>
      </c>
      <c r="J44" s="3" t="n">
        <v>9.4</v>
      </c>
      <c r="K44" s="3" t="n">
        <v>9.4</v>
      </c>
      <c r="L44" s="3" t="n">
        <v>9.4</v>
      </c>
    </row>
    <row r="45" customFormat="false" ht="15" hidden="false" customHeight="false" outlineLevel="0" collapsed="false">
      <c r="A45" s="0" t="s">
        <v>99</v>
      </c>
      <c r="C45" s="3" t="n">
        <v>5.4</v>
      </c>
      <c r="D45" s="3" t="n">
        <v>5.5</v>
      </c>
      <c r="E45" s="3" t="n">
        <v>5.6</v>
      </c>
      <c r="F45" s="3" t="n">
        <v>5.7</v>
      </c>
      <c r="G45" s="3" t="n">
        <v>5.8</v>
      </c>
      <c r="H45" s="3" t="n">
        <v>5.9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100</v>
      </c>
      <c r="C46" s="3" t="n">
        <v>9.5</v>
      </c>
      <c r="D46" s="3" t="n">
        <v>9</v>
      </c>
      <c r="E46" s="3" t="n">
        <v>8.5</v>
      </c>
      <c r="F46" s="3" t="n">
        <v>8</v>
      </c>
      <c r="G46" s="3" t="n">
        <v>7.5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101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-15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-1.8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6337</v>
      </c>
      <c r="C6" s="0" t="n">
        <f aca="false">B6*(1+C5/100)</f>
        <v>6222.934</v>
      </c>
      <c r="D6" s="0" t="n">
        <f aca="false">C6*(1+D5/100)</f>
        <v>6285.16334</v>
      </c>
      <c r="E6" s="0" t="n">
        <f aca="false">D6*(1+E5/100)</f>
        <v>6410.8666068</v>
      </c>
      <c r="F6" s="0" t="n">
        <f aca="false">E6*(1+F5/100)</f>
        <v>6603.192605004</v>
      </c>
      <c r="G6" s="0" t="n">
        <f aca="false">F6*(1+G5/100)</f>
        <v>6801.28838315412</v>
      </c>
      <c r="H6" s="0" t="n">
        <f aca="false">G6*(1+H5/100)</f>
        <v>7005.32703464874</v>
      </c>
      <c r="I6" s="0" t="n">
        <f aca="false">H6*(1+I5/100)</f>
        <v>7180.46021051496</v>
      </c>
      <c r="J6" s="0" t="n">
        <f aca="false">I6*(1+J5/100)</f>
        <v>7359.97171577784</v>
      </c>
      <c r="K6" s="0" t="n">
        <f aca="false">J6*(1+K5/100)</f>
        <v>7507.17115009339</v>
      </c>
      <c r="L6" s="0" t="n">
        <f aca="false">K6*(1+L5/100)</f>
        <v>7657.31457309526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33.5</v>
      </c>
      <c r="D7" s="4" t="n">
        <f aca="false">Assumptions!D14</f>
        <v>33</v>
      </c>
      <c r="E7" s="4" t="n">
        <f aca="false">Assumptions!E14</f>
        <v>33.5</v>
      </c>
      <c r="F7" s="4" t="n">
        <f aca="false">Assumptions!F14</f>
        <v>34</v>
      </c>
      <c r="G7" s="4" t="n">
        <f aca="false">Assumptions!G14</f>
        <v>34.5</v>
      </c>
      <c r="H7" s="4" t="n">
        <f aca="false">Assumptions!H14</f>
        <v>35</v>
      </c>
      <c r="I7" s="4" t="n">
        <f aca="false">Assumptions!I14</f>
        <v>35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2084.68289</v>
      </c>
      <c r="D8" s="0" t="n">
        <f aca="false">D6*D7/100</f>
        <v>2074.1039022</v>
      </c>
      <c r="E8" s="0" t="n">
        <f aca="false">E6*E7/100</f>
        <v>2147.640313278</v>
      </c>
      <c r="F8" s="0" t="n">
        <f aca="false">F6*F7/100</f>
        <v>2245.08548570136</v>
      </c>
      <c r="G8" s="0" t="n">
        <f aca="false">G6*G7/100</f>
        <v>2346.44449218817</v>
      </c>
      <c r="H8" s="0" t="n">
        <f aca="false">H6*H7/100</f>
        <v>2451.86446212706</v>
      </c>
      <c r="I8" s="0" t="n">
        <f aca="false">I6*I7/100</f>
        <v>2513.16107368024</v>
      </c>
      <c r="J8" s="0" t="n">
        <f aca="false">J6*J7/100</f>
        <v>2575.99010052224</v>
      </c>
      <c r="K8" s="0" t="n">
        <f aca="false">K6*K7/100</f>
        <v>2627.50990253269</v>
      </c>
      <c r="L8" s="0" t="n">
        <f aca="false">L6*L7/100</f>
        <v>2680.06010058334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1474.835358</v>
      </c>
      <c r="D11" s="0" t="n">
        <f aca="false">D8+D10+D24</f>
        <v>1458.15789488</v>
      </c>
      <c r="E11" s="0" t="n">
        <f aca="false">E8+E10+E24</f>
        <v>1519.3753858116</v>
      </c>
      <c r="F11" s="0" t="n">
        <f aca="false">F8+F10+F24</f>
        <v>1597.97261041097</v>
      </c>
      <c r="G11" s="0" t="n">
        <f aca="false">G8+G10+G24</f>
        <v>1679.91823063907</v>
      </c>
      <c r="H11" s="0" t="n">
        <f aca="false">H8+H10+H24</f>
        <v>1765.34241273148</v>
      </c>
      <c r="I11" s="0" t="n">
        <f aca="false">I8+I10+I24</f>
        <v>1809.47597304977</v>
      </c>
      <c r="J11" s="0" t="n">
        <f aca="false">J8+J10+J24</f>
        <v>1854.71287237601</v>
      </c>
      <c r="K11" s="0" t="n">
        <f aca="false">K8+K10+K24</f>
        <v>1891.80712982353</v>
      </c>
      <c r="L11" s="0" t="n">
        <f aca="false">L8+L10+L24</f>
        <v>1929.64327242001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-336.038436</v>
      </c>
      <c r="D12" s="4" t="n">
        <f aca="false">-D6*Assumptions!D17/100</f>
        <v>-345.6839837</v>
      </c>
      <c r="E12" s="4" t="n">
        <f aca="false">-E6*Assumptions!E17/100</f>
        <v>-359.0085299808</v>
      </c>
      <c r="F12" s="4" t="n">
        <f aca="false">-F6*Assumptions!F17/100</f>
        <v>-376.381978485228</v>
      </c>
      <c r="G12" s="4" t="n">
        <f aca="false">-G6*Assumptions!G17/100</f>
        <v>-394.474726222939</v>
      </c>
      <c r="H12" s="4" t="n">
        <f aca="false">-H6*Assumptions!H17/100</f>
        <v>-413.314295044276</v>
      </c>
      <c r="I12" s="4" t="n">
        <f aca="false">-I6*Assumptions!I17/100</f>
        <v>-430.827612630898</v>
      </c>
      <c r="J12" s="4" t="n">
        <f aca="false">-J6*Assumptions!J17/100</f>
        <v>-441.59830294667</v>
      </c>
      <c r="K12" s="4" t="n">
        <f aca="false">-K6*Assumptions!K17/100</f>
        <v>-450.430269005604</v>
      </c>
      <c r="L12" s="4" t="n">
        <f aca="false">-L6*Assumptions!L17/100</f>
        <v>-459.438874385716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1138.796922</v>
      </c>
      <c r="D13" s="0" t="n">
        <f aca="false">D11+D12</f>
        <v>1112.47391118</v>
      </c>
      <c r="E13" s="0" t="n">
        <f aca="false">E11+E12</f>
        <v>1160.3668558308</v>
      </c>
      <c r="F13" s="0" t="n">
        <f aca="false">F11+F12</f>
        <v>1221.59063192574</v>
      </c>
      <c r="G13" s="0" t="n">
        <f aca="false">G11+G12</f>
        <v>1285.44350441613</v>
      </c>
      <c r="H13" s="0" t="n">
        <f aca="false">H11+H12</f>
        <v>1352.02811768721</v>
      </c>
      <c r="I13" s="0" t="n">
        <f aca="false">I11+I12</f>
        <v>1378.64836041887</v>
      </c>
      <c r="J13" s="0" t="n">
        <f aca="false">J11+J12</f>
        <v>1413.11456942934</v>
      </c>
      <c r="K13" s="0" t="n">
        <f aca="false">K11+K12</f>
        <v>1441.37686081793</v>
      </c>
      <c r="L13" s="0" t="n">
        <f aca="false">L11+L12</f>
        <v>1470.20439803429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819.93378384</v>
      </c>
      <c r="D15" s="0" t="n">
        <f aca="false">D13-MAX(0,D13)*D14/100</f>
        <v>800.9812160496</v>
      </c>
      <c r="E15" s="0" t="n">
        <f aca="false">E13-MAX(0,E13)*E14/100</f>
        <v>835.464136198176</v>
      </c>
      <c r="F15" s="0" t="n">
        <f aca="false">F13-MAX(0,F13)*F14/100</f>
        <v>879.545254986533</v>
      </c>
      <c r="G15" s="0" t="n">
        <f aca="false">G13-MAX(0,G13)*G14/100</f>
        <v>925.519323179613</v>
      </c>
      <c r="H15" s="0" t="n">
        <f aca="false">H13-MAX(0,H13)*H14/100</f>
        <v>973.460244734789</v>
      </c>
      <c r="I15" s="0" t="n">
        <f aca="false">I13-MAX(0,I13)*I14/100</f>
        <v>992.626819501588</v>
      </c>
      <c r="J15" s="0" t="n">
        <f aca="false">J13-MAX(0,J13)*J14/100</f>
        <v>1017.44248998913</v>
      </c>
      <c r="K15" s="0" t="n">
        <f aca="false">K13-MAX(0,K13)*K14/100</f>
        <v>1037.79133978891</v>
      </c>
      <c r="L15" s="0" t="n">
        <f aca="false">L13-MAX(0,L13)*L14/100</f>
        <v>1058.54716658469</v>
      </c>
    </row>
    <row r="16" customFormat="false" ht="15" hidden="false" customHeight="false" outlineLevel="0" collapsed="false">
      <c r="A16" s="0" t="s">
        <v>117</v>
      </c>
      <c r="C16" s="0" t="n">
        <f aca="false">-C12</f>
        <v>336.038436</v>
      </c>
      <c r="D16" s="0" t="n">
        <f aca="false">-D12</f>
        <v>345.6839837</v>
      </c>
      <c r="E16" s="0" t="n">
        <f aca="false">-E12</f>
        <v>359.0085299808</v>
      </c>
      <c r="F16" s="0" t="n">
        <f aca="false">-F12</f>
        <v>376.381978485228</v>
      </c>
      <c r="G16" s="0" t="n">
        <f aca="false">-G12</f>
        <v>394.474726222939</v>
      </c>
      <c r="H16" s="0" t="n">
        <f aca="false">-H12</f>
        <v>413.314295044276</v>
      </c>
      <c r="I16" s="0" t="n">
        <f aca="false">-I12</f>
        <v>430.827612630898</v>
      </c>
      <c r="J16" s="0" t="n">
        <f aca="false">-J12</f>
        <v>441.59830294667</v>
      </c>
      <c r="K16" s="0" t="n">
        <f aca="false">-K12</f>
        <v>450.430269005604</v>
      </c>
      <c r="L16" s="0" t="n">
        <f aca="false">-L12</f>
        <v>459.438874385716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-591.17873</v>
      </c>
      <c r="D17" s="4" t="n">
        <f aca="false">-D6*Assumptions!D18/100</f>
        <v>-565.6647006</v>
      </c>
      <c r="E17" s="4" t="n">
        <f aca="false">-E6*Assumptions!E18/100</f>
        <v>-544.923661578</v>
      </c>
      <c r="F17" s="4" t="n">
        <f aca="false">-F6*Assumptions!F18/100</f>
        <v>-528.25540840032</v>
      </c>
      <c r="G17" s="4" t="n">
        <f aca="false">-G6*Assumptions!G18/100</f>
        <v>-510.096628736559</v>
      </c>
      <c r="H17" s="4" t="n">
        <f aca="false">-H6*Assumptions!H18/100</f>
        <v>-490.372892425412</v>
      </c>
      <c r="I17" s="4" t="n">
        <f aca="false">-I6*Assumptions!I18/100</f>
        <v>-502.632214736047</v>
      </c>
      <c r="J17" s="4" t="n">
        <f aca="false">-J6*Assumptions!J18/100</f>
        <v>-515.198020104449</v>
      </c>
      <c r="K17" s="4" t="n">
        <f aca="false">-K6*Assumptions!K18/100</f>
        <v>-525.501980506538</v>
      </c>
      <c r="L17" s="4" t="n">
        <f aca="false">-L6*Assumptions!L18/100</f>
        <v>-536.012020116668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17.1099</v>
      </c>
      <c r="D18" s="4" t="n">
        <f aca="false">(D6-C6)*Assumptions!$B$23/100</f>
        <v>-9.33440099999998</v>
      </c>
      <c r="E18" s="4" t="n">
        <f aca="false">(E6-D6)*Assumptions!$B$23/100</f>
        <v>-18.85549002</v>
      </c>
      <c r="F18" s="4" t="n">
        <f aca="false">(F6-E6)*Assumptions!$B$23/100</f>
        <v>-28.8488997306</v>
      </c>
      <c r="G18" s="4" t="n">
        <f aca="false">(G6-F6)*Assumptions!$B$23/100</f>
        <v>-29.714366722518</v>
      </c>
      <c r="H18" s="4" t="n">
        <f aca="false">(H6-G6)*Assumptions!$B$23/100</f>
        <v>-30.6057977241936</v>
      </c>
      <c r="I18" s="4" t="n">
        <f aca="false">(I6-H6)*Assumptions!$B$23/100</f>
        <v>-26.2699763799327</v>
      </c>
      <c r="J18" s="4" t="n">
        <f aca="false">(J6-I6)*Assumptions!$B$23/100</f>
        <v>-26.926725789431</v>
      </c>
      <c r="K18" s="4" t="n">
        <f aca="false">(K6-J6)*Assumptions!$B$23/100</f>
        <v>-22.0799151473335</v>
      </c>
      <c r="L18" s="4" t="n">
        <f aca="false">(L6-K6)*Assumptions!$B$23/100</f>
        <v>-22.5215134502801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581.90338984</v>
      </c>
      <c r="D19" s="0" t="n">
        <f aca="false">D15+D16+D17+D18</f>
        <v>571.6660981496</v>
      </c>
      <c r="E19" s="0" t="n">
        <f aca="false">E15+E16+E17+E18</f>
        <v>630.693514580976</v>
      </c>
      <c r="F19" s="0" t="n">
        <f aca="false">F15+F16+F17+F18</f>
        <v>698.822925340841</v>
      </c>
      <c r="G19" s="0" t="n">
        <f aca="false">G15+G16+G17+G18</f>
        <v>780.183053943475</v>
      </c>
      <c r="H19" s="0" t="n">
        <f aca="false">H15+H16+H17+H18</f>
        <v>865.795849629459</v>
      </c>
      <c r="I19" s="0" t="n">
        <f aca="false">I15+I16+I17+I18</f>
        <v>894.552241016506</v>
      </c>
      <c r="J19" s="0" t="n">
        <f aca="false">J15+J16+J17+J18</f>
        <v>916.916047041919</v>
      </c>
      <c r="K19" s="0" t="n">
        <f aca="false">K15+K16+K17+K18</f>
        <v>940.639713140643</v>
      </c>
      <c r="L19" s="0" t="n">
        <f aca="false">L15+L16+L17+L18</f>
        <v>959.452507403456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536.316488331797</v>
      </c>
      <c r="D21" s="0" t="n">
        <f aca="false">D19*D20</f>
        <v>485.604789355986</v>
      </c>
      <c r="E21" s="0" t="n">
        <f aca="false">E19*E20</f>
        <v>493.775060193186</v>
      </c>
      <c r="F21" s="0" t="n">
        <f aca="false">F19*F20</f>
        <v>504.252652182855</v>
      </c>
      <c r="G21" s="0" t="n">
        <f aca="false">G19*G20</f>
        <v>518.857169352303</v>
      </c>
      <c r="H21" s="0" t="n">
        <f aca="false">H19*H20</f>
        <v>530.685315482208</v>
      </c>
      <c r="I21" s="0" t="n">
        <f aca="false">I19*I20</f>
        <v>505.356133093029</v>
      </c>
      <c r="J21" s="0" t="n">
        <f aca="false">J19*J20</f>
        <v>477.410171815996</v>
      </c>
      <c r="K21" s="0" t="n">
        <f aca="false">K19*K20</f>
        <v>451.393880130356</v>
      </c>
      <c r="L21" s="0" t="n">
        <f aca="false">L19*L20</f>
        <v>424.351850445127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9.8</v>
      </c>
      <c r="D23" s="4" t="n">
        <f aca="false">Assumptions!D16</f>
        <v>9.8</v>
      </c>
      <c r="E23" s="4" t="n">
        <f aca="false">Assumptions!E16</f>
        <v>9.8</v>
      </c>
      <c r="F23" s="4" t="n">
        <f aca="false">Assumptions!F16</f>
        <v>9.8</v>
      </c>
      <c r="G23" s="4" t="n">
        <f aca="false">Assumptions!G16</f>
        <v>9.8</v>
      </c>
      <c r="H23" s="4" t="n">
        <f aca="false">Assumptions!H16</f>
        <v>9.8</v>
      </c>
      <c r="I23" s="4" t="n">
        <f aca="false">Assumptions!I16</f>
        <v>9.8</v>
      </c>
      <c r="J23" s="4" t="n">
        <f aca="false">Assumptions!J16</f>
        <v>9.8</v>
      </c>
      <c r="K23" s="4" t="n">
        <f aca="false">Assumptions!K16</f>
        <v>9.8</v>
      </c>
      <c r="L23" s="4" t="n">
        <f aca="false">Assumptions!L16</f>
        <v>9.8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-609.847532</v>
      </c>
      <c r="D24" s="0" t="n">
        <f aca="false">-D6*D23/100</f>
        <v>-615.94600732</v>
      </c>
      <c r="E24" s="0" t="n">
        <f aca="false">-E6*E23/100</f>
        <v>-628.2649274664</v>
      </c>
      <c r="F24" s="0" t="n">
        <f aca="false">-F6*F23/100</f>
        <v>-647.112875290392</v>
      </c>
      <c r="G24" s="0" t="n">
        <f aca="false">-G6*G23/100</f>
        <v>-666.526261549104</v>
      </c>
      <c r="H24" s="0" t="n">
        <f aca="false">-H6*H23/100</f>
        <v>-686.522049395577</v>
      </c>
      <c r="I24" s="0" t="n">
        <f aca="false">-I6*I23/100</f>
        <v>-703.685100630466</v>
      </c>
      <c r="J24" s="0" t="n">
        <f aca="false">-J6*J23/100</f>
        <v>-721.277228146228</v>
      </c>
      <c r="K24" s="0" t="n">
        <f aca="false">-K6*K23/100</f>
        <v>-735.702772709152</v>
      </c>
      <c r="L24" s="0" t="n">
        <f aca="false">-L6*L23/100</f>
        <v>-750.416828163336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4928.00351038284</v>
      </c>
    </row>
    <row r="31" customFormat="false" ht="15" hidden="false" customHeight="false" outlineLevel="0" collapsed="false">
      <c r="A31" s="0" t="s">
        <v>126</v>
      </c>
      <c r="B31" s="0" t="n">
        <f aca="false">L19</f>
        <v>959.452507403456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15056.0239623312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11513.4300888415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11513.4300888415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5092.22220534153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10020.2257157244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9554.22571572437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32.9335417677823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-0.160287053345685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32.9335417677823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7528.01198116558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17.4077721219566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2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6337</v>
      </c>
      <c r="C6" s="0" t="n">
        <f aca="false">B6*(1+C5/100)</f>
        <v>6463.74</v>
      </c>
      <c r="D6" s="0" t="n">
        <f aca="false">C6*(1+D5/100)</f>
        <v>6851.5644</v>
      </c>
      <c r="E6" s="0" t="n">
        <f aca="false">D6*(1+E5/100)</f>
        <v>7262.658264</v>
      </c>
      <c r="F6" s="0" t="n">
        <f aca="false">E6*(1+F5/100)</f>
        <v>7662.10446852</v>
      </c>
      <c r="G6" s="0" t="n">
        <f aca="false">F6*(1+G5/100)</f>
        <v>8045.209691946</v>
      </c>
      <c r="H6" s="0" t="n">
        <f aca="false">G6*(1+H5/100)</f>
        <v>8407.24412808357</v>
      </c>
      <c r="I6" s="0" t="n">
        <f aca="false">H6*(1+I5/100)</f>
        <v>8743.53389320691</v>
      </c>
      <c r="J6" s="0" t="n">
        <f aca="false">I6*(1+J5/100)</f>
        <v>9049.55757946915</v>
      </c>
      <c r="K6" s="0" t="n">
        <f aca="false">J6*(1+K5/100)</f>
        <v>9321.04430685323</v>
      </c>
      <c r="L6" s="0" t="n">
        <f aca="false">K6*(1+L5/100)</f>
        <v>9554.07041452456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34.8</v>
      </c>
      <c r="D7" s="4" t="n">
        <f aca="false">Assumptions!D28</f>
        <v>35.6</v>
      </c>
      <c r="E7" s="4" t="n">
        <f aca="false">Assumptions!E28</f>
        <v>36.3</v>
      </c>
      <c r="F7" s="4" t="n">
        <f aca="false">Assumptions!F28</f>
        <v>36.8</v>
      </c>
      <c r="G7" s="4" t="n">
        <f aca="false">Assumptions!G28</f>
        <v>37.2</v>
      </c>
      <c r="H7" s="4" t="n">
        <f aca="false">Assumptions!H28</f>
        <v>37.4</v>
      </c>
      <c r="I7" s="4" t="n">
        <f aca="false">Assumptions!I28</f>
        <v>37.4</v>
      </c>
      <c r="J7" s="4" t="n">
        <f aca="false">Assumptions!J28</f>
        <v>37.4</v>
      </c>
      <c r="K7" s="4" t="n">
        <f aca="false">Assumptions!K28</f>
        <v>37.4</v>
      </c>
      <c r="L7" s="4" t="n">
        <f aca="false">Assumptions!L28</f>
        <v>37.4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2249.38152</v>
      </c>
      <c r="D8" s="0" t="n">
        <f aca="false">D6*D7/100</f>
        <v>2439.1569264</v>
      </c>
      <c r="E8" s="0" t="n">
        <f aca="false">E6*E7/100</f>
        <v>2636.344949832</v>
      </c>
      <c r="F8" s="0" t="n">
        <f aca="false">F6*F7/100</f>
        <v>2819.65444441536</v>
      </c>
      <c r="G8" s="0" t="n">
        <f aca="false">G6*G7/100</f>
        <v>2992.81800540391</v>
      </c>
      <c r="H8" s="0" t="n">
        <f aca="false">H6*H7/100</f>
        <v>3144.30930390326</v>
      </c>
      <c r="I8" s="0" t="n">
        <f aca="false">I6*I7/100</f>
        <v>3270.08167605939</v>
      </c>
      <c r="J8" s="0" t="n">
        <f aca="false">J6*J7/100</f>
        <v>3384.53453472146</v>
      </c>
      <c r="K8" s="0" t="n">
        <f aca="false">K6*K7/100</f>
        <v>3486.07057076311</v>
      </c>
      <c r="L8" s="0" t="n">
        <f aca="false">L6*L7/100</f>
        <v>3573.22233503219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1628.86248</v>
      </c>
      <c r="D11" s="0" t="n">
        <f aca="false">D8+D10+D24</f>
        <v>1781.406744</v>
      </c>
      <c r="E11" s="0" t="n">
        <f aca="false">E8+E10+E24</f>
        <v>1939.129756488</v>
      </c>
      <c r="F11" s="0" t="n">
        <f aca="false">F8+F10+F24</f>
        <v>2084.09241543744</v>
      </c>
      <c r="G11" s="0" t="n">
        <f aca="false">G8+G10+G24</f>
        <v>2220.4778749771</v>
      </c>
      <c r="H11" s="0" t="n">
        <f aca="false">H8+H10+H24</f>
        <v>2337.21386760723</v>
      </c>
      <c r="I11" s="0" t="n">
        <f aca="false">I8+I10+I24</f>
        <v>2430.70242231152</v>
      </c>
      <c r="J11" s="0" t="n">
        <f aca="false">J8+J10+J24</f>
        <v>2515.77700709242</v>
      </c>
      <c r="K11" s="0" t="n">
        <f aca="false">K8+K10+K24</f>
        <v>2591.2503173052</v>
      </c>
      <c r="L11" s="0" t="n">
        <f aca="false">L8+L10+L24</f>
        <v>2656.03157523783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-349.04196</v>
      </c>
      <c r="D12" s="4" t="n">
        <f aca="false">-D6*Assumptions!D31/100</f>
        <v>-376.836042</v>
      </c>
      <c r="E12" s="4" t="n">
        <f aca="false">-E6*Assumptions!E31/100</f>
        <v>-406.708862784</v>
      </c>
      <c r="F12" s="4" t="n">
        <f aca="false">-F6*Assumptions!F31/100</f>
        <v>-436.73995470564</v>
      </c>
      <c r="G12" s="4" t="n">
        <f aca="false">-G6*Assumptions!G31/100</f>
        <v>-466.622162132868</v>
      </c>
      <c r="H12" s="4" t="n">
        <f aca="false">-H6*Assumptions!H31/100</f>
        <v>-496.027403556931</v>
      </c>
      <c r="I12" s="4" t="n">
        <f aca="false">-I6*Assumptions!I31/100</f>
        <v>-524.612033592415</v>
      </c>
      <c r="J12" s="4" t="n">
        <f aca="false">-J6*Assumptions!J31/100</f>
        <v>-542.973454768149</v>
      </c>
      <c r="K12" s="4" t="n">
        <f aca="false">-K6*Assumptions!K31/100</f>
        <v>-559.262658411194</v>
      </c>
      <c r="L12" s="4" t="n">
        <f aca="false">-L6*Assumptions!L31/100</f>
        <v>-573.244224871474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1279.82052</v>
      </c>
      <c r="D13" s="0" t="n">
        <f aca="false">D11+D12</f>
        <v>1404.570702</v>
      </c>
      <c r="E13" s="0" t="n">
        <f aca="false">E11+E12</f>
        <v>1532.420893704</v>
      </c>
      <c r="F13" s="0" t="n">
        <f aca="false">F11+F12</f>
        <v>1647.3524607318</v>
      </c>
      <c r="G13" s="0" t="n">
        <f aca="false">G11+G12</f>
        <v>1753.85571284423</v>
      </c>
      <c r="H13" s="0" t="n">
        <f aca="false">H11+H12</f>
        <v>1841.1864640503</v>
      </c>
      <c r="I13" s="0" t="n">
        <f aca="false">I11+I12</f>
        <v>1906.09038871911</v>
      </c>
      <c r="J13" s="0" t="n">
        <f aca="false">J11+J12</f>
        <v>1972.80355232428</v>
      </c>
      <c r="K13" s="0" t="n">
        <f aca="false">K11+K12</f>
        <v>2031.987658894</v>
      </c>
      <c r="L13" s="0" t="n">
        <f aca="false">L11+L12</f>
        <v>2082.78735036635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921.4707744</v>
      </c>
      <c r="D15" s="0" t="n">
        <f aca="false">D13-MAX(0,D13)*D14/100</f>
        <v>1011.29090544</v>
      </c>
      <c r="E15" s="0" t="n">
        <f aca="false">E13-MAX(0,E13)*E14/100</f>
        <v>1103.34304346688</v>
      </c>
      <c r="F15" s="0" t="n">
        <f aca="false">F13-MAX(0,F13)*F14/100</f>
        <v>1186.0937717269</v>
      </c>
      <c r="G15" s="0" t="n">
        <f aca="false">G13-MAX(0,G13)*G14/100</f>
        <v>1262.77611324784</v>
      </c>
      <c r="H15" s="0" t="n">
        <f aca="false">H13-MAX(0,H13)*H14/100</f>
        <v>1325.65425411622</v>
      </c>
      <c r="I15" s="0" t="n">
        <f aca="false">I13-MAX(0,I13)*I14/100</f>
        <v>1372.38507987776</v>
      </c>
      <c r="J15" s="0" t="n">
        <f aca="false">J13-MAX(0,J13)*J14/100</f>
        <v>1420.41855767348</v>
      </c>
      <c r="K15" s="0" t="n">
        <f aca="false">K13-MAX(0,K13)*K14/100</f>
        <v>1463.03111440368</v>
      </c>
      <c r="L15" s="0" t="n">
        <f aca="false">L13-MAX(0,L13)*L14/100</f>
        <v>1499.60689226378</v>
      </c>
    </row>
    <row r="16" customFormat="false" ht="15" hidden="false" customHeight="false" outlineLevel="0" collapsed="false">
      <c r="A16" s="0" t="s">
        <v>117</v>
      </c>
      <c r="C16" s="0" t="n">
        <f aca="false">-C12</f>
        <v>349.04196</v>
      </c>
      <c r="D16" s="0" t="n">
        <f aca="false">-D12</f>
        <v>376.836042</v>
      </c>
      <c r="E16" s="0" t="n">
        <f aca="false">-E12</f>
        <v>406.708862784</v>
      </c>
      <c r="F16" s="0" t="n">
        <f aca="false">-F12</f>
        <v>436.73995470564</v>
      </c>
      <c r="G16" s="0" t="n">
        <f aca="false">-G12</f>
        <v>466.622162132868</v>
      </c>
      <c r="H16" s="0" t="n">
        <f aca="false">-H12</f>
        <v>496.027403556931</v>
      </c>
      <c r="I16" s="0" t="n">
        <f aca="false">-I12</f>
        <v>524.612033592415</v>
      </c>
      <c r="J16" s="0" t="n">
        <f aca="false">-J12</f>
        <v>542.973454768149</v>
      </c>
      <c r="K16" s="0" t="n">
        <f aca="false">-K12</f>
        <v>559.262658411194</v>
      </c>
      <c r="L16" s="0" t="n">
        <f aca="false">-L12</f>
        <v>573.244224871474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-614.0553</v>
      </c>
      <c r="D17" s="4" t="n">
        <f aca="false">-D6*Assumptions!D32/100</f>
        <v>-616.640796</v>
      </c>
      <c r="E17" s="4" t="n">
        <f aca="false">-E6*Assumptions!E32/100</f>
        <v>-617.32595244</v>
      </c>
      <c r="F17" s="4" t="n">
        <f aca="false">-F6*Assumptions!F32/100</f>
        <v>-612.9683574816</v>
      </c>
      <c r="G17" s="4" t="n">
        <f aca="false">-G6*Assumptions!G32/100</f>
        <v>-603.39072689595</v>
      </c>
      <c r="H17" s="4" t="n">
        <f aca="false">-H6*Assumptions!H32/100</f>
        <v>-588.50708896585</v>
      </c>
      <c r="I17" s="4" t="n">
        <f aca="false">-I6*Assumptions!I32/100</f>
        <v>-612.047372524484</v>
      </c>
      <c r="J17" s="4" t="n">
        <f aca="false">-J6*Assumptions!J32/100</f>
        <v>-633.469030562841</v>
      </c>
      <c r="K17" s="4" t="n">
        <f aca="false">-K6*Assumptions!K32/100</f>
        <v>-652.473101479726</v>
      </c>
      <c r="L17" s="4" t="n">
        <f aca="false">-L6*Assumptions!L32/100</f>
        <v>-668.784929016719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-19.011</v>
      </c>
      <c r="D18" s="4" t="n">
        <f aca="false">(D6-C6)*Assumptions!$B$37/100</f>
        <v>-58.1736600000001</v>
      </c>
      <c r="E18" s="4" t="n">
        <f aca="false">(E6-D6)*Assumptions!$B$37/100</f>
        <v>-61.6640796000001</v>
      </c>
      <c r="F18" s="4" t="n">
        <f aca="false">(F6-E6)*Assumptions!$B$37/100</f>
        <v>-59.916930678</v>
      </c>
      <c r="G18" s="4" t="n">
        <f aca="false">(G6-F6)*Assumptions!$B$37/100</f>
        <v>-57.4657835139001</v>
      </c>
      <c r="H18" s="4" t="n">
        <f aca="false">(H6-G6)*Assumptions!$B$37/100</f>
        <v>-54.3051654206354</v>
      </c>
      <c r="I18" s="4" t="n">
        <f aca="false">(I6-H6)*Assumptions!$B$37/100</f>
        <v>-50.4434647685015</v>
      </c>
      <c r="J18" s="4" t="n">
        <f aca="false">(J6-I6)*Assumptions!$B$37/100</f>
        <v>-45.9035529393361</v>
      </c>
      <c r="K18" s="4" t="n">
        <f aca="false">(K6-J6)*Assumptions!$B$37/100</f>
        <v>-40.7230091076113</v>
      </c>
      <c r="L18" s="4" t="n">
        <f aca="false">(L6-K6)*Assumptions!$B$37/100</f>
        <v>-34.9539161506996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637.4464344</v>
      </c>
      <c r="D19" s="0" t="n">
        <f aca="false">D15+D16+D17+D18</f>
        <v>713.312491440001</v>
      </c>
      <c r="E19" s="0" t="n">
        <f aca="false">E15+E16+E17+E18</f>
        <v>831.06187421088</v>
      </c>
      <c r="F19" s="0" t="n">
        <f aca="false">F15+F16+F17+F18</f>
        <v>949.948438272936</v>
      </c>
      <c r="G19" s="0" t="n">
        <f aca="false">G15+G16+G17+G18</f>
        <v>1068.54176497086</v>
      </c>
      <c r="H19" s="0" t="n">
        <f aca="false">H15+H16+H17+H18</f>
        <v>1178.86940328666</v>
      </c>
      <c r="I19" s="0" t="n">
        <f aca="false">I15+I16+I17+I18</f>
        <v>1234.50627617719</v>
      </c>
      <c r="J19" s="0" t="n">
        <f aca="false">J15+J16+J17+J18</f>
        <v>1284.01942893945</v>
      </c>
      <c r="K19" s="0" t="n">
        <f aca="false">K15+K16+K17+K18</f>
        <v>1329.09766222754</v>
      </c>
      <c r="L19" s="0" t="n">
        <f aca="false">L15+L16+L17+L18</f>
        <v>1369.11227196783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587.508234470046</v>
      </c>
      <c r="D21" s="0" t="n">
        <f aca="false">D19*D20</f>
        <v>605.927066992292</v>
      </c>
      <c r="E21" s="0" t="n">
        <f aca="false">E19*E20</f>
        <v>650.645071616718</v>
      </c>
      <c r="F21" s="0" t="n">
        <f aca="false">F19*F20</f>
        <v>685.458364438254</v>
      </c>
      <c r="G21" s="0" t="n">
        <f aca="false">G19*G20</f>
        <v>710.62881038642</v>
      </c>
      <c r="H21" s="0" t="n">
        <f aca="false">H19*H20</f>
        <v>722.582213189461</v>
      </c>
      <c r="I21" s="0" t="n">
        <f aca="false">I19*I20</f>
        <v>697.40512560682</v>
      </c>
      <c r="J21" s="0" t="n">
        <f aca="false">J19*J20</f>
        <v>668.549686923556</v>
      </c>
      <c r="K21" s="0" t="n">
        <f aca="false">K19*K20</f>
        <v>637.806954611719</v>
      </c>
      <c r="L21" s="0" t="n">
        <f aca="false">L19*L20</f>
        <v>605.538389439398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9.6</v>
      </c>
      <c r="D23" s="4" t="n">
        <f aca="false">Assumptions!D30</f>
        <v>9.6</v>
      </c>
      <c r="E23" s="4" t="n">
        <f aca="false">Assumptions!E30</f>
        <v>9.6</v>
      </c>
      <c r="F23" s="4" t="n">
        <f aca="false">Assumptions!F30</f>
        <v>9.6</v>
      </c>
      <c r="G23" s="4" t="n">
        <f aca="false">Assumptions!G30</f>
        <v>9.6</v>
      </c>
      <c r="H23" s="4" t="n">
        <f aca="false">Assumptions!H30</f>
        <v>9.6</v>
      </c>
      <c r="I23" s="4" t="n">
        <f aca="false">Assumptions!I30</f>
        <v>9.6</v>
      </c>
      <c r="J23" s="4" t="n">
        <f aca="false">Assumptions!J30</f>
        <v>9.6</v>
      </c>
      <c r="K23" s="4" t="n">
        <f aca="false">Assumptions!K30</f>
        <v>9.6</v>
      </c>
      <c r="L23" s="4" t="n">
        <f aca="false">Assumptions!L30</f>
        <v>9.6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-620.51904</v>
      </c>
      <c r="D24" s="0" t="n">
        <f aca="false">-D6*D23/100</f>
        <v>-657.7501824</v>
      </c>
      <c r="E24" s="0" t="n">
        <f aca="false">-E6*E23/100</f>
        <v>-697.215193344</v>
      </c>
      <c r="F24" s="0" t="n">
        <f aca="false">-F6*F23/100</f>
        <v>-735.56202897792</v>
      </c>
      <c r="G24" s="0" t="n">
        <f aca="false">-G6*G23/100</f>
        <v>-772.340130426816</v>
      </c>
      <c r="H24" s="0" t="n">
        <f aca="false">-H6*H23/100</f>
        <v>-807.095436296023</v>
      </c>
      <c r="I24" s="0" t="n">
        <f aca="false">-I6*I23/100</f>
        <v>-839.379253747864</v>
      </c>
      <c r="J24" s="0" t="n">
        <f aca="false">-J6*J23/100</f>
        <v>-868.757527629039</v>
      </c>
      <c r="K24" s="0" t="n">
        <f aca="false">-K6*K23/100</f>
        <v>-894.82025345791</v>
      </c>
      <c r="L24" s="0" t="n">
        <f aca="false">-L6*L23/100</f>
        <v>-917.190759794358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6572.04991767468</v>
      </c>
    </row>
    <row r="31" customFormat="false" ht="15" hidden="false" customHeight="false" outlineLevel="0" collapsed="false">
      <c r="A31" s="0" t="s">
        <v>126</v>
      </c>
      <c r="B31" s="0" t="n">
        <f aca="false">L19</f>
        <v>1369.11227196783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23389.0013127838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20536.6840795174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20536.6840795174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9083.07584159097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15655.1257592657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15189.1257592657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52.3571163684766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0.334959621837752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52.3571163684766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11226.7206301362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24.5886039685179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4</v>
      </c>
      <c r="D5" s="4" t="n">
        <f aca="false">Assumptions!D41</f>
        <v>9</v>
      </c>
      <c r="E5" s="4" t="n">
        <f aca="false">Assumptions!E41</f>
        <v>8.5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6337</v>
      </c>
      <c r="C6" s="0" t="n">
        <f aca="false">B6*(1+C5/100)</f>
        <v>6590.48</v>
      </c>
      <c r="D6" s="0" t="n">
        <f aca="false">C6*(1+D5/100)</f>
        <v>7183.6232</v>
      </c>
      <c r="E6" s="0" t="n">
        <f aca="false">D6*(1+E5/100)</f>
        <v>7794.231172</v>
      </c>
      <c r="F6" s="0" t="n">
        <f aca="false">E6*(1+F5/100)</f>
        <v>8417.76966576</v>
      </c>
      <c r="G6" s="0" t="n">
        <f aca="false">F6*(1+G5/100)</f>
        <v>9007.0135423632</v>
      </c>
      <c r="H6" s="0" t="n">
        <f aca="false">G6*(1+H5/100)</f>
        <v>9547.43435490499</v>
      </c>
      <c r="I6" s="0" t="n">
        <f aca="false">H6*(1+I5/100)</f>
        <v>10024.8060726502</v>
      </c>
      <c r="J6" s="0" t="n">
        <f aca="false">I6*(1+J5/100)</f>
        <v>10425.7983155563</v>
      </c>
      <c r="K6" s="0" t="n">
        <f aca="false">J6*(1+K5/100)</f>
        <v>10790.7012566007</v>
      </c>
      <c r="L6" s="0" t="n">
        <f aca="false">K6*(1+L5/100)</f>
        <v>11114.4222942987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35.5</v>
      </c>
      <c r="D7" s="4" t="n">
        <f aca="false">Assumptions!D42</f>
        <v>36.8</v>
      </c>
      <c r="E7" s="4" t="n">
        <f aca="false">Assumptions!E42</f>
        <v>37.8</v>
      </c>
      <c r="F7" s="4" t="n">
        <f aca="false">Assumptions!F42</f>
        <v>38.6</v>
      </c>
      <c r="G7" s="4" t="n">
        <f aca="false">Assumptions!G42</f>
        <v>39.2</v>
      </c>
      <c r="H7" s="4" t="n">
        <f aca="false">Assumptions!H42</f>
        <v>39.5</v>
      </c>
      <c r="I7" s="4" t="n">
        <f aca="false">Assumptions!I42</f>
        <v>39.5</v>
      </c>
      <c r="J7" s="4" t="n">
        <f aca="false">Assumptions!J42</f>
        <v>39.5</v>
      </c>
      <c r="K7" s="4" t="n">
        <f aca="false">Assumptions!K42</f>
        <v>39.5</v>
      </c>
      <c r="L7" s="4" t="n">
        <f aca="false">Assumptions!L42</f>
        <v>39.5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2339.6204</v>
      </c>
      <c r="D8" s="0" t="n">
        <f aca="false">D6*D7/100</f>
        <v>2643.5733376</v>
      </c>
      <c r="E8" s="0" t="n">
        <f aca="false">E6*E7/100</f>
        <v>2946.219383016</v>
      </c>
      <c r="F8" s="0" t="n">
        <f aca="false">F6*F7/100</f>
        <v>3249.25909098336</v>
      </c>
      <c r="G8" s="0" t="n">
        <f aca="false">G6*G7/100</f>
        <v>3530.74930860638</v>
      </c>
      <c r="H8" s="0" t="n">
        <f aca="false">H6*H7/100</f>
        <v>3771.23657018747</v>
      </c>
      <c r="I8" s="0" t="n">
        <f aca="false">I6*I7/100</f>
        <v>3959.79839869685</v>
      </c>
      <c r="J8" s="0" t="n">
        <f aca="false">J6*J7/100</f>
        <v>4118.19033464472</v>
      </c>
      <c r="K8" s="0" t="n">
        <f aca="false">K6*K7/100</f>
        <v>4262.32699635729</v>
      </c>
      <c r="L8" s="0" t="n">
        <f aca="false">L6*L7/100</f>
        <v>4390.196806248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1720.11528</v>
      </c>
      <c r="D11" s="0" t="n">
        <f aca="false">D8+D10+D24</f>
        <v>1968.3127568</v>
      </c>
      <c r="E11" s="0" t="n">
        <f aca="false">E8+E10+E24</f>
        <v>2213.561652848</v>
      </c>
      <c r="F11" s="0" t="n">
        <f aca="false">F8+F10+F24</f>
        <v>2457.98874240192</v>
      </c>
      <c r="G11" s="0" t="n">
        <f aca="false">G8+G10+G24</f>
        <v>2684.09003562423</v>
      </c>
      <c r="H11" s="0" t="n">
        <f aca="false">H8+H10+H24</f>
        <v>2873.7777408264</v>
      </c>
      <c r="I11" s="0" t="n">
        <f aca="false">I8+I10+I24</f>
        <v>3017.46662786772</v>
      </c>
      <c r="J11" s="0" t="n">
        <f aca="false">J8+J10+J24</f>
        <v>3138.16529298243</v>
      </c>
      <c r="K11" s="0" t="n">
        <f aca="false">K8+K10+K24</f>
        <v>3248.00107823682</v>
      </c>
      <c r="L11" s="0" t="n">
        <f aca="false">L8+L10+L24</f>
        <v>3345.44111058392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-355.88592</v>
      </c>
      <c r="D12" s="4" t="n">
        <f aca="false">-D6*Assumptions!D45/100</f>
        <v>-395.099276</v>
      </c>
      <c r="E12" s="4" t="n">
        <f aca="false">-E6*Assumptions!E45/100</f>
        <v>-436.476945632</v>
      </c>
      <c r="F12" s="4" t="n">
        <f aca="false">-F6*Assumptions!F45/100</f>
        <v>-479.81287094832</v>
      </c>
      <c r="G12" s="4" t="n">
        <f aca="false">-G6*Assumptions!G45/100</f>
        <v>-522.406785457066</v>
      </c>
      <c r="H12" s="4" t="n">
        <f aca="false">-H6*Assumptions!H45/100</f>
        <v>-563.298626939395</v>
      </c>
      <c r="I12" s="4" t="n">
        <f aca="false">-I6*Assumptions!I45/100</f>
        <v>-601.488364359015</v>
      </c>
      <c r="J12" s="4" t="n">
        <f aca="false">-J6*Assumptions!J45/100</f>
        <v>-625.547898933375</v>
      </c>
      <c r="K12" s="4" t="n">
        <f aca="false">-K6*Assumptions!K45/100</f>
        <v>-647.442075396043</v>
      </c>
      <c r="L12" s="4" t="n">
        <f aca="false">-L6*Assumptions!L45/100</f>
        <v>-666.865337657925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1364.22936</v>
      </c>
      <c r="D13" s="0" t="n">
        <f aca="false">D11+D12</f>
        <v>1573.2134808</v>
      </c>
      <c r="E13" s="0" t="n">
        <f aca="false">E11+E12</f>
        <v>1777.084707216</v>
      </c>
      <c r="F13" s="0" t="n">
        <f aca="false">F11+F12</f>
        <v>1978.1758714536</v>
      </c>
      <c r="G13" s="0" t="n">
        <f aca="false">G11+G12</f>
        <v>2161.68325016717</v>
      </c>
      <c r="H13" s="0" t="n">
        <f aca="false">H11+H12</f>
        <v>2310.47911388701</v>
      </c>
      <c r="I13" s="0" t="n">
        <f aca="false">I11+I12</f>
        <v>2415.97826350871</v>
      </c>
      <c r="J13" s="0" t="n">
        <f aca="false">J11+J12</f>
        <v>2512.61739404906</v>
      </c>
      <c r="K13" s="0" t="n">
        <f aca="false">K11+K12</f>
        <v>2600.55900284077</v>
      </c>
      <c r="L13" s="0" t="n">
        <f aca="false">L11+L12</f>
        <v>2678.575772926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982.2451392</v>
      </c>
      <c r="D15" s="0" t="n">
        <f aca="false">D13-MAX(0,D13)*D14/100</f>
        <v>1132.713706176</v>
      </c>
      <c r="E15" s="0" t="n">
        <f aca="false">E13-MAX(0,E13)*E14/100</f>
        <v>1279.50098919552</v>
      </c>
      <c r="F15" s="0" t="n">
        <f aca="false">F13-MAX(0,F13)*F14/100</f>
        <v>1424.28662744659</v>
      </c>
      <c r="G15" s="0" t="n">
        <f aca="false">G13-MAX(0,G13)*G14/100</f>
        <v>1556.41194012036</v>
      </c>
      <c r="H15" s="0" t="n">
        <f aca="false">H13-MAX(0,H13)*H14/100</f>
        <v>1663.54496199865</v>
      </c>
      <c r="I15" s="0" t="n">
        <f aca="false">I13-MAX(0,I13)*I14/100</f>
        <v>1739.50434972627</v>
      </c>
      <c r="J15" s="0" t="n">
        <f aca="false">J13-MAX(0,J13)*J14/100</f>
        <v>1809.08452371532</v>
      </c>
      <c r="K15" s="0" t="n">
        <f aca="false">K13-MAX(0,K13)*K14/100</f>
        <v>1872.40248204536</v>
      </c>
      <c r="L15" s="0" t="n">
        <f aca="false">L13-MAX(0,L13)*L14/100</f>
        <v>1928.57455650672</v>
      </c>
    </row>
    <row r="16" customFormat="false" ht="15" hidden="false" customHeight="false" outlineLevel="0" collapsed="false">
      <c r="A16" s="0" t="s">
        <v>117</v>
      </c>
      <c r="C16" s="0" t="n">
        <f aca="false">-C12</f>
        <v>355.88592</v>
      </c>
      <c r="D16" s="0" t="n">
        <f aca="false">-D12</f>
        <v>395.099276</v>
      </c>
      <c r="E16" s="0" t="n">
        <f aca="false">-E12</f>
        <v>436.476945632</v>
      </c>
      <c r="F16" s="0" t="n">
        <f aca="false">-F12</f>
        <v>479.81287094832</v>
      </c>
      <c r="G16" s="0" t="n">
        <f aca="false">-G12</f>
        <v>522.406785457066</v>
      </c>
      <c r="H16" s="0" t="n">
        <f aca="false">-H12</f>
        <v>563.298626939395</v>
      </c>
      <c r="I16" s="0" t="n">
        <f aca="false">-I12</f>
        <v>601.488364359015</v>
      </c>
      <c r="J16" s="0" t="n">
        <f aca="false">-J12</f>
        <v>625.547898933375</v>
      </c>
      <c r="K16" s="0" t="n">
        <f aca="false">-K12</f>
        <v>647.442075396043</v>
      </c>
      <c r="L16" s="0" t="n">
        <f aca="false">-L12</f>
        <v>666.865337657925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-626.0956</v>
      </c>
      <c r="D17" s="4" t="n">
        <f aca="false">-D6*Assumptions!D46/100</f>
        <v>-646.526088</v>
      </c>
      <c r="E17" s="4" t="n">
        <f aca="false">-E6*Assumptions!E46/100</f>
        <v>-662.50964962</v>
      </c>
      <c r="F17" s="4" t="n">
        <f aca="false">-F6*Assumptions!F46/100</f>
        <v>-673.4215732608</v>
      </c>
      <c r="G17" s="4" t="n">
        <f aca="false">-G6*Assumptions!G46/100</f>
        <v>-675.52601567724</v>
      </c>
      <c r="H17" s="4" t="n">
        <f aca="false">-H6*Assumptions!H46/100</f>
        <v>-668.32040484335</v>
      </c>
      <c r="I17" s="4" t="n">
        <f aca="false">-I6*Assumptions!I46/100</f>
        <v>-701.736425085517</v>
      </c>
      <c r="J17" s="4" t="n">
        <f aca="false">-J6*Assumptions!J46/100</f>
        <v>-729.805882088938</v>
      </c>
      <c r="K17" s="4" t="n">
        <f aca="false">-K6*Assumptions!K46/100</f>
        <v>-755.349087962051</v>
      </c>
      <c r="L17" s="4" t="n">
        <f aca="false">-L6*Assumptions!L46/100</f>
        <v>-778.009560600912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-38.0220000000001</v>
      </c>
      <c r="D18" s="4" t="n">
        <f aca="false">(D6-C6)*Assumptions!$B$51/100</f>
        <v>-88.9714800000001</v>
      </c>
      <c r="E18" s="4" t="n">
        <f aca="false">(E6-D6)*Assumptions!$B$51/100</f>
        <v>-91.5911958</v>
      </c>
      <c r="F18" s="4" t="n">
        <f aca="false">(F6-E6)*Assumptions!$B$51/100</f>
        <v>-93.530774064</v>
      </c>
      <c r="G18" s="4" t="n">
        <f aca="false">(G6-F6)*Assumptions!$B$51/100</f>
        <v>-88.3865814904802</v>
      </c>
      <c r="H18" s="4" t="n">
        <f aca="false">(H6-G6)*Assumptions!$B$51/100</f>
        <v>-81.0631218812688</v>
      </c>
      <c r="I18" s="4" t="n">
        <f aca="false">(I6-H6)*Assumptions!$B$51/100</f>
        <v>-71.6057576617876</v>
      </c>
      <c r="J18" s="4" t="n">
        <f aca="false">(J6-I6)*Assumptions!$B$51/100</f>
        <v>-60.1488364359015</v>
      </c>
      <c r="K18" s="4" t="n">
        <f aca="false">(K6-J6)*Assumptions!$B$51/100</f>
        <v>-54.7354411566701</v>
      </c>
      <c r="L18" s="4" t="n">
        <f aca="false">(L6-K6)*Assumptions!$B$51/100</f>
        <v>-48.5581556547033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674.0134592</v>
      </c>
      <c r="D19" s="0" t="n">
        <f aca="false">D15+D16+D17+D18</f>
        <v>792.315414176</v>
      </c>
      <c r="E19" s="0" t="n">
        <f aca="false">E15+E16+E17+E18</f>
        <v>961.87708940752</v>
      </c>
      <c r="F19" s="0" t="n">
        <f aca="false">F15+F16+F17+F18</f>
        <v>1137.14715107011</v>
      </c>
      <c r="G19" s="0" t="n">
        <f aca="false">G15+G16+G17+G18</f>
        <v>1314.90612840971</v>
      </c>
      <c r="H19" s="0" t="n">
        <f aca="false">H15+H16+H17+H18</f>
        <v>1477.46006221342</v>
      </c>
      <c r="I19" s="0" t="n">
        <f aca="false">I15+I16+I17+I18</f>
        <v>1567.65053133798</v>
      </c>
      <c r="J19" s="0" t="n">
        <f aca="false">J15+J16+J17+J18</f>
        <v>1644.67770412386</v>
      </c>
      <c r="K19" s="0" t="n">
        <f aca="false">K15+K16+K17+K18</f>
        <v>1709.76002832268</v>
      </c>
      <c r="L19" s="0" t="n">
        <f aca="false">L15+L16+L17+L18</f>
        <v>1768.87217790903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621.210561474654</v>
      </c>
      <c r="D21" s="0" t="n">
        <f aca="false">D19*D20</f>
        <v>673.036517382828</v>
      </c>
      <c r="E21" s="0" t="n">
        <f aca="false">E19*E20</f>
        <v>753.061362992126</v>
      </c>
      <c r="F21" s="0" t="n">
        <f aca="false">F19*F20</f>
        <v>820.536141640758</v>
      </c>
      <c r="G21" s="0" t="n">
        <f aca="false">G19*G20</f>
        <v>874.472302752792</v>
      </c>
      <c r="H21" s="0" t="n">
        <f aca="false">H19*H20</f>
        <v>905.60189167418</v>
      </c>
      <c r="I21" s="0" t="n">
        <f aca="false">I19*I20</f>
        <v>885.607093955709</v>
      </c>
      <c r="J21" s="0" t="n">
        <f aca="false">J19*J20</f>
        <v>856.333431878318</v>
      </c>
      <c r="K21" s="0" t="n">
        <f aca="false">K19*K20</f>
        <v>820.479087258107</v>
      </c>
      <c r="L21" s="0" t="n">
        <f aca="false">L19*L20</f>
        <v>782.346365353711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9.4</v>
      </c>
      <c r="D23" s="4" t="n">
        <f aca="false">Assumptions!D44</f>
        <v>9.4</v>
      </c>
      <c r="E23" s="4" t="n">
        <f aca="false">Assumptions!E44</f>
        <v>9.4</v>
      </c>
      <c r="F23" s="4" t="n">
        <f aca="false">Assumptions!F44</f>
        <v>9.4</v>
      </c>
      <c r="G23" s="4" t="n">
        <f aca="false">Assumptions!G44</f>
        <v>9.4</v>
      </c>
      <c r="H23" s="4" t="n">
        <f aca="false">Assumptions!H44</f>
        <v>9.4</v>
      </c>
      <c r="I23" s="4" t="n">
        <f aca="false">Assumptions!I44</f>
        <v>9.4</v>
      </c>
      <c r="J23" s="4" t="n">
        <f aca="false">Assumptions!J44</f>
        <v>9.4</v>
      </c>
      <c r="K23" s="4" t="n">
        <f aca="false">Assumptions!K44</f>
        <v>9.4</v>
      </c>
      <c r="L23" s="4" t="n">
        <f aca="false">Assumptions!L44</f>
        <v>9.4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-619.50512</v>
      </c>
      <c r="D24" s="0" t="n">
        <f aca="false">-D6*D23/100</f>
        <v>-675.2605808</v>
      </c>
      <c r="E24" s="0" t="n">
        <f aca="false">-E6*E23/100</f>
        <v>-732.657730168</v>
      </c>
      <c r="F24" s="0" t="n">
        <f aca="false">-F6*F23/100</f>
        <v>-791.27034858144</v>
      </c>
      <c r="G24" s="0" t="n">
        <f aca="false">-G6*G23/100</f>
        <v>-846.659272982141</v>
      </c>
      <c r="H24" s="0" t="n">
        <f aca="false">-H6*H23/100</f>
        <v>-897.458829361069</v>
      </c>
      <c r="I24" s="0" t="n">
        <f aca="false">-I6*I23/100</f>
        <v>-942.331770829123</v>
      </c>
      <c r="J24" s="0" t="n">
        <f aca="false">-J6*J23/100</f>
        <v>-980.025041662288</v>
      </c>
      <c r="K24" s="0" t="n">
        <f aca="false">-K6*K23/100</f>
        <v>-1014.32591812047</v>
      </c>
      <c r="L24" s="0" t="n">
        <f aca="false">-L6*L23/100</f>
        <v>-1044.75569566408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7992.68475636318</v>
      </c>
    </row>
    <row r="31" customFormat="false" ht="15" hidden="false" customHeight="false" outlineLevel="0" collapsed="false">
      <c r="A31" s="0" t="s">
        <v>126</v>
      </c>
      <c r="B31" s="0" t="n">
        <f aca="false">L19</f>
        <v>1768.87217790903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33126.1516953872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31839.6992023625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31839.6992023625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14082.2345763668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22074.91933273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21608.91933273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74.4862292953631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0.899189936138784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74.4862292953631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15182.8195270525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31.3592477558425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32.9335417677823</v>
      </c>
      <c r="C4" s="0" t="n">
        <f aca="false">B4/Assumptions!$B$2-1</f>
        <v>-0.160287053345685</v>
      </c>
      <c r="D4" s="4" t="n">
        <f aca="false">Assumptions!$B$24</f>
        <v>0.25</v>
      </c>
      <c r="E4" s="4" t="n">
        <f aca="false">DCF_Bear!$B$43</f>
        <v>32.9335417677823</v>
      </c>
      <c r="F4" s="4" t="n">
        <f aca="false">DCF_Bear!$B$47</f>
        <v>17.4077721219566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52.3571163684766</v>
      </c>
      <c r="C5" s="0" t="n">
        <f aca="false">B5/Assumptions!$B$2-1</f>
        <v>0.334959621837752</v>
      </c>
      <c r="D5" s="4" t="n">
        <f aca="false">Assumptions!$B$38</f>
        <v>0.5</v>
      </c>
      <c r="E5" s="4" t="n">
        <f aca="false">DCF_Base!$B$43</f>
        <v>52.3571163684766</v>
      </c>
      <c r="F5" s="4" t="n">
        <f aca="false">DCF_Base!$B$47</f>
        <v>24.5886039685179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74.4862292953631</v>
      </c>
      <c r="C6" s="0" t="n">
        <f aca="false">B6/Assumptions!$B$2-1</f>
        <v>0.899189936138784</v>
      </c>
      <c r="D6" s="4" t="n">
        <f aca="false">Assumptions!$B$52</f>
        <v>0.25</v>
      </c>
      <c r="E6" s="4" t="n">
        <f aca="false">DCF_Bull!$B$43</f>
        <v>74.4862292953631</v>
      </c>
      <c r="F6" s="4" t="n">
        <f aca="false">DCF_Bull!$B$47</f>
        <v>31.3592477558425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53.0335009500247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53.0335009500247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0.260467453639193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24.4860569537087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52.3571163684766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50.3822880873509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44.2704999520614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38.4448955371761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33.8631995527802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24.5886039685179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61.2527035058275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61.2527035058275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61.2527035058275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61.2527035058275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61.2527035058275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56.5949094735867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56.5949094735867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56.5949094735867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56.5949094735867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56.5949094735867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51.3134669700865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52.3571163684766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52.3571163684766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52.3571163684766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52.3571163684766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44.0931972818331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45.8308928199285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47.8168305777519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48.4969462482393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48.4969462482393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38.5043408093498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39.7601685482892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41.172974754596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42.7741551217437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44.6040755413411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2026-10-16T23:17:18Z</dcterms:created>
  <dc:creator>openpyxl</dc:creator>
  <dc:description/>
  <dc:language>en-NZ</dc:language>
  <cp:lastModifiedBy/>
  <dcterms:modified xsi:type="dcterms:W3CDTF">2026-10-16T23:17:18Z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