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<sst xmlns="http://schemas.openxmlformats.org/spreadsheetml/2006/main" count="375" uniqueCount="170">
  <si>
    <t xml:space="preserve">Ticker</t>
  </si>
  <si>
    <t xml:space="preserve">MDT</t>
  </si>
  <si>
    <t xml:space="preserve">Company</t>
  </si>
  <si>
    <t xml:space="preserve">Medtronic plc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</si>
  <si>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</si>
  <si>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</si>
  <si>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</si>
  <si>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</si>
  <si>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</si>
  <si>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</si>
  <si>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</si>
  <si>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</si>
  <si>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</si>
  <si>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</si>
  <si>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</si>
  <si>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</si>
  <si>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</si>
  <si>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</si>
  <si>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</si>
  <si>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</si>
  <si>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</si>
  <si>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2026-10-02T00:55:42Z</t>
  </si>
  <si>
    <t xml:space="preserve">Drivers file</t>
  </si>
  <si>
    <t xml:space="preserve">MDT_Drivers.json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</si>
  <si>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</si>
  <si>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</si>
  <si>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</si>
  <si>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Pro-forma continuing-operations owner-FCF DCF on a 10-year component build: the Diabetes unit (8.6% of revenue, ~3% operating margin) is stripped from the flows and the retained MiniMed stake is carried at market in the equity bridge pending the split-off exchange. Owner FCF is reported FCF less SBC and less the interest earned on the $7.1bn investment portfolio that is netted against debt. Cash taxes are modelled at the actual cash rate on EBIT (28% ramping to 25%), not the 17% non-GAAP rate; working capital is charged as a cash consumer. The share count is held flat because SBC is fully expensed; buybacks are value-neutral. The terminal value is capped at 18x year-10 owner FCF (15x bear).
key_risks_to_valuation: Exchange-offer mechanics: the MiniMed stake is valued at the MMED market price; if MMED trades materially lower before completion, or the offer is undersubscribed and Medtronic retains a stake it must dispose of later, the ~$3.9/share bridge item shrinks. The item is first-order neutral to completion itself.; Stranded cost and TSA roll-off after the separation are not disclosed; the model assumes ~$150m stranded cost removed over two years. The December 2026 Investor Day should quantify this.; Cash tax rate: the model charges 28% falling to 25% on EBIT. If cash taxes revert toward the ~21% GAAP provision rate the valuation is ~8% too low; if the IRS transfer-pricing dispute resolves adversely, cash taxes could exceed 30% for several years.; Terminal value is ~55-60% of enterprise value; the 18x cap binds in base and bull, so the value is not sensitive to terminal growth but is to the cap choice.; Tariffs (~$250m FY27 pre-tax, policy-dependent) and China VBP are modelled as a one-year margin step; escalation would compound through the margin path.; Working-capital drag has been 1.5-3.9% of revenue; the model charges ~0.6% of year-1 revenue. If separation-related outflows do not fade, year-1 FCF is overstated by ~$400-600m.</t>
  </si>
  <si>
    <t xml:space="preserve">Data sources</t>
  </si>
  <si>
    <t xml:space="preserve">price: Yahoo Finance chart API at inputs.price_as_of (regular close); 52-week range 73.31-106.33. MMED (MiniMed) close from the same endpoint, same timestamp.
financials: SEC EDGAR: FY2026 10-K (filed 2026-06-18, accession 0001628280-26-044354) for segment revenue/profit, interest income, D&amp;A split, cash flow; Q1 FY2027 10-Q (filed 2026-09-03, 0001628280-26-060473) for the 31 Jul 2026 balance sheet, diluted shares, Diabetes quarter; Q1 FY2027 earnings release 8-K Ex-99.1 (2026-09-01) for guidance and the 53rd-week estimate; SC TO-I/A (2026-09-17) for exchange-offer share counts; MiniMed Group 10-Q (CIK 0002062583, filed 2026-09-08) for MiniMed cash, debt and share count. SEC XBRL companyfacts for the historical series; research/MDT/Reports/MDT_Metrics.csv for annual rows FY2013-FY2026.
qualitative: research/MDT/Reports/MDT_Analysis.json (2026-10-02)</t>
  </si>
  <si>
    <t xml:space="preserve">Scenario narrative: bear</t>
  </si>
  <si>
    <t xml:space="preserve">The FY27 acceleration proves to be comps and the 53rd week: Boston Scientific and J&amp;J hold PFA share with second-generation catheters, Hugo stalls at niche placements while absorbing R&amp;D and fleet capex, a renewed China VBP round hits neurovascular and spine, and tariffs escalate beyond $250m. Stranded Diabetes costs are not removed and TSA income rolls off, holding the pre-SBC EBITDA margin at ~26.5%; cash taxes stay at 28-30% of EBIT with Pillar Two and the IRS dispute; working capital keeps consuming 30% of each revenue dollar. Growth settles at 2% and a cyclically-sensitive terminal multiple of 15x applies. Balance-sheet risk is not part of the bear case: $28bn of A-rated debt against ~$10bn EBITDA is comfortably serviced.</t>
  </si>
  <si>
    <t xml:space="preserve">Scenario narrative: base</t>
  </si>
  <si>
    <t xml:space="preserve">Continuing Medtronic (Cardiovascular, Neuroscience, Medical Surgical) grows ~5% underlying through FY29 as Cardiac Ablation Solutions keeps compounding on Affera/Sphere-9/Sphere-360 (88% growth in Q1 FY27, still gaining share against Boston Scientific's FARAPULSE and J&amp;J), Hugo ramps slowly in US urology then general surgery without denting Intuitive, and renal denervation reimbursement builds; CRM and spine grow mid-single digits, China VBP headwinds are 'mostly behind'. The pre-SBC EBITDA margin absorbs the ~$250m tariff headwind in FY27 and then expands ~30bp/yr toward 29.5% from mix and the removal of the loss-making Diabetes unit and its stranded costs. Cash taxes fall from 28% to 25% of EBIT as transition-tax instalments end. Growth fades to 2.5% by year 10 and the terminal value is capped at 18x owner FCF (Gordon at 7%/2.5% would be 20.5x).</t>
  </si>
  <si>
    <t xml:space="preserve">Scenario narrative: bull</t>
  </si>
  <si>
    <t xml:space="preserve">PFA becomes a three-player market in which Medtronic holds ~30% share and CAS exceeds $2bn by FY29; Hugo gains general-surgery and gynaecology indications and wins second-system placements at cost-sensitive hospitals; Symplicity renal denervation gets broad CMS coverage; the December 2026 Investor Day sets a 6%+ organic algorithm and the market re-rates Medtronic toward Boston Scientific. Margins expand 50bp/yr to 31% (mix plus TSA-funded stranded-cost removal), cash tax settles at 23% after the IRS matters close, and the 15% Investor-Day-style capital return (buybacks funded by the exchange-offer share retirement) keeps the count flat without extra cash. Terminal growth 2.75%, still capped at 18x.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</si>
  <si>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</si>
  <si>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</si>
  <si>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</si>
  <si>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</si>
  <si>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</si>
  <si>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</si>
  <si>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</si>
  <si>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</si>
  <si>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</si>
  <si>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</si>
  <si>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</si>
  <si>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</si>
  <si>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</si>
  <si>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</si>
  <si>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</si>
  <si>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</si>
  <si>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</si>
  <si>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</si>
  <si>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</si>
  <si>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</si>
  <si>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</si>
  <si>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</si>
  <si>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</si>
  <si>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</si>
  <si>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</si>
  <si>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</si>
  <si>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</si>
  <si>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</si>
  <si>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</si>
  <si>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</si>
  <si>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</si>
  <si>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</si>
  <si>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</si>
  <si>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</si>
  <si>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</si>
  <si>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</si>
  <si>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</si>
  <si>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</si>
  <si>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</si>
  <si>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</si>
  <si>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</si>
  <si>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</si>
  <si>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</si>
  <si>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</si>
  <si>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</si>
  <si>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</si>
  <si>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</si>
  <si>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</si>
  <si>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</si>
  <si>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</si>
  <si>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</si>
  <si>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</si>
  <si>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</si>
  <si>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</si>
  <si>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</si>
  <si>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</si>
  <si>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</si>
  <si>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</si>
  <si>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</si>
  <si>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</si>
  <si>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</si>
  <si>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</si>
  <si>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</si>
  <si>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</si>
  <si>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</si>
  <si>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</si>
  <si>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</si>
  <si>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</si>
  <si>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</si>
  <si>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</si>
  <si>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</si>
  <si>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</si>
  <si>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</si>
  <si>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</si>
  <si>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</si>
  <si>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</si>
  <si>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</si>
  <si>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</si>
  <si>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</si>
  <si>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MDT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</si>
  <si>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</si>
  <si>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</si>
  <si>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</si>
  <si>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</si>
  <si>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</si>
  <si>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</si>
  <si>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</si>
  <si>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</si>
  <si>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</si>
  <si>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</si>
  <si>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</si>
  <si>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</si>
  <si>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</si>
  <si>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</si>
  <si>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</si>
  <si>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</si>
  <si>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</si>
  <si>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</si>
  <si>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</si>
  <si>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</si>
  <si>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</si>
  <si>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</si>
  <si>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</si>
  <si>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</si>
  <si>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</si>
  <si>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</si>
  <si>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</si>
  <si>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</si>
  <si>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</si>
  <si>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</si>
  <si>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MDT owner-FCF component DCF: base case (millions, USD)</t>
  </si>
  <si>
    <t xml:space="preserve">MDT owner-FCF component DCF: bull case (millions, USD)</t>
  </si>
  <si>
    <t xml:space="preserve">MDT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</si>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</sst>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86.44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17113</v>
      </c>
      <c r="S2" s="0" t="n">
        <v>1172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16590</v>
      </c>
      <c r="C3" s="0" t="n">
        <v>4126</v>
      </c>
      <c r="F3" s="0" t="n">
        <v>4402</v>
      </c>
      <c r="G3" s="0" t="n">
        <v>26.5340566606389</v>
      </c>
      <c r="H3" s="0" t="n">
        <v>5221</v>
      </c>
      <c r="I3" s="0" t="n">
        <v>3467</v>
      </c>
      <c r="J3" s="0" t="n">
        <v>20.8981314044605</v>
      </c>
      <c r="K3" s="0" t="n">
        <v>3.4</v>
      </c>
      <c r="M3" s="0" t="n">
        <v>457</v>
      </c>
      <c r="O3" s="0" t="n">
        <v>18671</v>
      </c>
      <c r="S3" s="0" t="n">
        <v>919</v>
      </c>
      <c r="T3" s="0" t="n">
        <v>1027.5</v>
      </c>
      <c r="U3" s="0" t="n">
        <v>152</v>
      </c>
      <c r="V3" s="0" t="n">
        <v>1.04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17005</v>
      </c>
      <c r="C4" s="0" t="n">
        <v>4333</v>
      </c>
      <c r="D4" s="0" t="n">
        <v>12672</v>
      </c>
      <c r="E4" s="0" t="n">
        <v>74.5192590414584</v>
      </c>
      <c r="F4" s="0" t="n">
        <v>3813</v>
      </c>
      <c r="G4" s="0" t="n">
        <v>22.4228168185828</v>
      </c>
      <c r="H4" s="0" t="n">
        <v>4663</v>
      </c>
      <c r="I4" s="0" t="n">
        <v>3065</v>
      </c>
      <c r="J4" s="0" t="n">
        <v>18.0241105557189</v>
      </c>
      <c r="K4" s="0" t="n">
        <v>3.06</v>
      </c>
      <c r="L4" s="0" t="n">
        <v>4959</v>
      </c>
      <c r="M4" s="0" t="n">
        <v>396</v>
      </c>
      <c r="N4" s="0" t="n">
        <v>4563</v>
      </c>
      <c r="O4" s="0" t="n">
        <v>19443</v>
      </c>
      <c r="P4" s="0" t="n">
        <v>37943</v>
      </c>
      <c r="Q4" s="0" t="n">
        <v>18500</v>
      </c>
      <c r="R4" s="0" t="n">
        <v>11928</v>
      </c>
      <c r="S4" s="0" t="n">
        <v>1403</v>
      </c>
      <c r="T4" s="0" t="n">
        <v>1013.6</v>
      </c>
      <c r="U4" s="0" t="n">
        <v>145</v>
      </c>
      <c r="V4" s="0" t="n">
        <v>1.12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20261</v>
      </c>
      <c r="C5" s="0" t="n">
        <v>6309</v>
      </c>
      <c r="D5" s="0" t="n">
        <v>13952</v>
      </c>
      <c r="E5" s="0" t="n">
        <v>68.8613592616357</v>
      </c>
      <c r="F5" s="0" t="n">
        <v>3766</v>
      </c>
      <c r="G5" s="0" t="n">
        <v>18.5874339864765</v>
      </c>
      <c r="H5" s="0" t="n">
        <v>5072</v>
      </c>
      <c r="I5" s="0" t="n">
        <v>2675</v>
      </c>
      <c r="J5" s="0" t="n">
        <v>13.2027047036178</v>
      </c>
      <c r="K5" s="0" t="n">
        <v>2.44</v>
      </c>
      <c r="L5" s="0" t="n">
        <v>4902</v>
      </c>
      <c r="M5" s="0" t="n">
        <v>571</v>
      </c>
      <c r="N5" s="0" t="n">
        <v>4331</v>
      </c>
      <c r="O5" s="0" t="n">
        <v>53144</v>
      </c>
      <c r="P5" s="0" t="n">
        <v>106685</v>
      </c>
      <c r="Q5" s="0" t="n">
        <v>53455</v>
      </c>
      <c r="R5" s="0" t="n">
        <v>36186</v>
      </c>
      <c r="S5" s="0" t="n">
        <v>4843</v>
      </c>
      <c r="T5" s="0" t="n">
        <v>1421.648005</v>
      </c>
      <c r="U5" s="0" t="n">
        <v>439</v>
      </c>
      <c r="V5" s="0" t="n">
        <v>1.22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28833</v>
      </c>
      <c r="C6" s="0" t="n">
        <v>9142</v>
      </c>
      <c r="D6" s="0" t="n">
        <v>19691</v>
      </c>
      <c r="E6" s="0" t="n">
        <v>68.2932750667638</v>
      </c>
      <c r="F6" s="0" t="n">
        <v>5361</v>
      </c>
      <c r="G6" s="0" t="n">
        <v>18.593278535012</v>
      </c>
      <c r="H6" s="0" t="n">
        <v>8181</v>
      </c>
      <c r="I6" s="0" t="n">
        <v>3538</v>
      </c>
      <c r="J6" s="0" t="n">
        <v>12.2706620885791</v>
      </c>
      <c r="K6" s="0" t="n">
        <v>2.51</v>
      </c>
      <c r="L6" s="0" t="n">
        <v>5218</v>
      </c>
      <c r="M6" s="0" t="n">
        <v>1046</v>
      </c>
      <c r="N6" s="0" t="n">
        <v>4172</v>
      </c>
      <c r="O6" s="0" t="n">
        <v>51977</v>
      </c>
      <c r="P6" s="0" t="n">
        <v>99644</v>
      </c>
      <c r="Q6" s="0" t="n">
        <v>47581</v>
      </c>
      <c r="R6" s="0" t="n">
        <v>31102</v>
      </c>
      <c r="S6" s="0" t="n">
        <v>2876</v>
      </c>
      <c r="T6" s="0" t="n">
        <v>1425.9</v>
      </c>
      <c r="U6" s="0" t="n">
        <v>375</v>
      </c>
      <c r="V6" s="0" t="n">
        <v>1.52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29710</v>
      </c>
      <c r="C7" s="0" t="n">
        <v>9294</v>
      </c>
      <c r="D7" s="0" t="n">
        <v>20419</v>
      </c>
      <c r="E7" s="0" t="n">
        <v>68.7277011107371</v>
      </c>
      <c r="F7" s="0" t="n">
        <v>5383</v>
      </c>
      <c r="G7" s="0" t="n">
        <v>18.118478626725</v>
      </c>
      <c r="H7" s="0" t="n">
        <v>8300</v>
      </c>
      <c r="I7" s="0" t="n">
        <v>4028</v>
      </c>
      <c r="J7" s="0" t="n">
        <v>13.5577246718277</v>
      </c>
      <c r="K7" s="0" t="n">
        <v>2.92</v>
      </c>
      <c r="L7" s="0" t="n">
        <v>6880</v>
      </c>
      <c r="M7" s="0" t="n">
        <v>1254</v>
      </c>
      <c r="N7" s="0" t="n">
        <v>5626</v>
      </c>
      <c r="O7" s="0" t="n">
        <v>50330</v>
      </c>
      <c r="P7" s="0" t="n">
        <v>99857</v>
      </c>
      <c r="Q7" s="0" t="n">
        <v>49527</v>
      </c>
      <c r="R7" s="0" t="n">
        <v>33441</v>
      </c>
      <c r="S7" s="0" t="n">
        <v>4967</v>
      </c>
      <c r="T7" s="0" t="n">
        <v>1391.4</v>
      </c>
      <c r="U7" s="0" t="n">
        <v>348</v>
      </c>
      <c r="V7" s="0" t="n">
        <v>1.72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29953</v>
      </c>
      <c r="C8" s="0" t="n">
        <v>9067</v>
      </c>
      <c r="D8" s="0" t="n">
        <v>20898</v>
      </c>
      <c r="E8" s="0" t="n">
        <v>69.7693052448837</v>
      </c>
      <c r="F8" s="0" t="n">
        <v>6640</v>
      </c>
      <c r="G8" s="0" t="n">
        <v>22.1680632991687</v>
      </c>
      <c r="H8" s="0" t="n">
        <v>9284</v>
      </c>
      <c r="I8" s="0" t="n">
        <v>3104</v>
      </c>
      <c r="J8" s="0" t="n">
        <v>10.3629018796114</v>
      </c>
      <c r="K8" s="0" t="n">
        <v>2.29</v>
      </c>
      <c r="L8" s="0" t="n">
        <v>4684</v>
      </c>
      <c r="M8" s="0" t="n">
        <v>1068</v>
      </c>
      <c r="N8" s="0" t="n">
        <v>3616</v>
      </c>
      <c r="O8" s="0" t="n">
        <v>50822</v>
      </c>
      <c r="P8" s="0" t="n">
        <v>91393</v>
      </c>
      <c r="Q8" s="0" t="n">
        <v>40571</v>
      </c>
      <c r="R8" s="0" t="n">
        <v>25757</v>
      </c>
      <c r="S8" s="0" t="n">
        <v>3669</v>
      </c>
      <c r="T8" s="0" t="n">
        <v>1368.2</v>
      </c>
      <c r="U8" s="0" t="n">
        <v>344</v>
      </c>
      <c r="V8" s="0" t="n">
        <v>1.84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30557</v>
      </c>
      <c r="C9" s="0" t="n">
        <v>9155</v>
      </c>
      <c r="F9" s="0" t="n">
        <v>6268</v>
      </c>
      <c r="G9" s="0" t="n">
        <v>20.5124848643519</v>
      </c>
      <c r="H9" s="0" t="n">
        <v>8927</v>
      </c>
      <c r="I9" s="0" t="n">
        <v>4650</v>
      </c>
      <c r="J9" s="0" t="n">
        <v>15.2174624472298</v>
      </c>
      <c r="K9" s="0" t="n">
        <v>3.44</v>
      </c>
      <c r="L9" s="0" t="n">
        <v>7007</v>
      </c>
      <c r="M9" s="0" t="n">
        <v>1134</v>
      </c>
      <c r="N9" s="0" t="n">
        <v>5873</v>
      </c>
      <c r="O9" s="0" t="n">
        <v>50212</v>
      </c>
      <c r="P9" s="0" t="n">
        <v>89694</v>
      </c>
      <c r="Q9" s="0" t="n">
        <v>39482</v>
      </c>
      <c r="R9" s="0" t="n">
        <v>25324</v>
      </c>
      <c r="S9" s="0" t="n">
        <v>4393</v>
      </c>
      <c r="T9" s="0" t="n">
        <v>1357.5</v>
      </c>
      <c r="U9" s="0" t="n">
        <v>290</v>
      </c>
      <c r="V9" s="0" t="n">
        <v>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28913</v>
      </c>
      <c r="C10" s="0" t="n">
        <v>9424</v>
      </c>
      <c r="F10" s="0" t="n">
        <v>4791</v>
      </c>
      <c r="G10" s="0" t="n">
        <v>16.5704008577457</v>
      </c>
      <c r="H10" s="0" t="n">
        <v>7454</v>
      </c>
      <c r="I10" s="0" t="n">
        <v>4806</v>
      </c>
      <c r="J10" s="0" t="n">
        <v>16.6222806350085</v>
      </c>
      <c r="K10" s="0" t="n">
        <v>3.57</v>
      </c>
      <c r="L10" s="0" t="n">
        <v>7234</v>
      </c>
      <c r="M10" s="0" t="n">
        <v>1213</v>
      </c>
      <c r="N10" s="0" t="n">
        <v>6021</v>
      </c>
      <c r="O10" s="0" t="n">
        <v>50872</v>
      </c>
      <c r="P10" s="0" t="n">
        <v>90689</v>
      </c>
      <c r="Q10" s="0" t="n">
        <v>39817</v>
      </c>
      <c r="R10" s="0" t="n">
        <v>24797</v>
      </c>
      <c r="S10" s="0" t="n">
        <v>4140</v>
      </c>
      <c r="T10" s="0" t="n">
        <v>1351.1</v>
      </c>
      <c r="U10" s="0" t="n">
        <v>297</v>
      </c>
      <c r="V10" s="0" t="n">
        <v>2.16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30117</v>
      </c>
      <c r="C11" s="0" t="n">
        <v>10483</v>
      </c>
      <c r="F11" s="0" t="n">
        <v>4484</v>
      </c>
      <c r="G11" s="0" t="n">
        <v>14.8886011222897</v>
      </c>
      <c r="H11" s="0" t="n">
        <v>7186</v>
      </c>
      <c r="I11" s="0" t="n">
        <v>3630</v>
      </c>
      <c r="J11" s="0" t="n">
        <v>12.0529933260285</v>
      </c>
      <c r="K11" s="0" t="n">
        <v>2.68</v>
      </c>
      <c r="L11" s="0" t="n">
        <v>6240</v>
      </c>
      <c r="M11" s="0" t="n">
        <v>1355</v>
      </c>
      <c r="N11" s="0" t="n">
        <v>4885</v>
      </c>
      <c r="O11" s="0" t="n">
        <v>51602</v>
      </c>
      <c r="P11" s="0" t="n">
        <v>93083</v>
      </c>
      <c r="Q11" s="0" t="n">
        <v>41481</v>
      </c>
      <c r="R11" s="0" t="n">
        <v>26389</v>
      </c>
      <c r="S11" s="0" t="n">
        <v>3593</v>
      </c>
      <c r="T11" s="0" t="n">
        <v>1354</v>
      </c>
      <c r="U11" s="0" t="n">
        <v>344</v>
      </c>
      <c r="V11" s="0" t="n">
        <v>2.32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31686</v>
      </c>
      <c r="C12" s="0" t="n">
        <v>10145</v>
      </c>
      <c r="F12" s="0" t="n">
        <v>5752</v>
      </c>
      <c r="G12" s="0" t="n">
        <v>18.153127564224</v>
      </c>
      <c r="H12" s="0" t="n">
        <v>8459</v>
      </c>
      <c r="I12" s="0" t="n">
        <v>5062</v>
      </c>
      <c r="J12" s="0" t="n">
        <v>15.9755096888216</v>
      </c>
      <c r="K12" s="0" t="n">
        <v>3.75</v>
      </c>
      <c r="L12" s="0" t="n">
        <v>7346</v>
      </c>
      <c r="M12" s="0" t="n">
        <v>1368</v>
      </c>
      <c r="N12" s="0" t="n">
        <v>5978</v>
      </c>
      <c r="O12" s="0" t="n">
        <v>52722</v>
      </c>
      <c r="P12" s="0" t="n">
        <v>90981</v>
      </c>
      <c r="Q12" s="0" t="n">
        <v>38260</v>
      </c>
      <c r="R12" s="0" t="n">
        <v>24114</v>
      </c>
      <c r="S12" s="0" t="n">
        <v>3714</v>
      </c>
      <c r="T12" s="0" t="n">
        <v>1351.4</v>
      </c>
      <c r="U12" s="0" t="n">
        <v>359</v>
      </c>
      <c r="V12" s="0" t="n">
        <v>2.52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31227</v>
      </c>
      <c r="C13" s="0" t="n">
        <v>10719</v>
      </c>
      <c r="F13" s="0" t="n">
        <v>5485</v>
      </c>
      <c r="G13" s="0" t="n">
        <v>17.5649277868511</v>
      </c>
      <c r="H13" s="0" t="n">
        <v>8182</v>
      </c>
      <c r="I13" s="0" t="n">
        <v>3784</v>
      </c>
      <c r="J13" s="0" t="n">
        <v>12.1177186409197</v>
      </c>
      <c r="K13" s="0" t="n">
        <v>2.83</v>
      </c>
      <c r="L13" s="0" t="n">
        <v>6039</v>
      </c>
      <c r="M13" s="0" t="n">
        <v>1459</v>
      </c>
      <c r="N13" s="0" t="n">
        <v>4580</v>
      </c>
      <c r="O13" s="0" t="n">
        <v>51665</v>
      </c>
      <c r="P13" s="0" t="n">
        <v>90948</v>
      </c>
      <c r="Q13" s="0" t="n">
        <v>39283</v>
      </c>
      <c r="R13" s="0" t="n">
        <v>24364</v>
      </c>
      <c r="S13" s="0" t="n">
        <v>1543</v>
      </c>
      <c r="T13" s="0" t="n">
        <v>1332.8</v>
      </c>
      <c r="U13" s="0" t="n">
        <v>355</v>
      </c>
      <c r="V13" s="0" t="n">
        <v>2.72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32364</v>
      </c>
      <c r="C14" s="0" t="n">
        <v>11216</v>
      </c>
      <c r="F14" s="0" t="n">
        <v>5144</v>
      </c>
      <c r="G14" s="0" t="n">
        <v>15.8942034359165</v>
      </c>
      <c r="H14" s="0" t="n">
        <v>7791</v>
      </c>
      <c r="I14" s="0" t="n">
        <v>3705</v>
      </c>
      <c r="J14" s="0" t="n">
        <v>11.4479050797182</v>
      </c>
      <c r="K14" s="0" t="n">
        <v>2.77</v>
      </c>
      <c r="L14" s="0" t="n">
        <v>6787</v>
      </c>
      <c r="M14" s="0" t="n">
        <v>1587</v>
      </c>
      <c r="N14" s="0" t="n">
        <v>5200</v>
      </c>
      <c r="O14" s="0" t="n">
        <v>50420</v>
      </c>
      <c r="P14" s="0" t="n">
        <v>89981</v>
      </c>
      <c r="Q14" s="0" t="n">
        <v>39561</v>
      </c>
      <c r="R14" s="0" t="n">
        <v>25024</v>
      </c>
      <c r="S14" s="0" t="n">
        <v>1284</v>
      </c>
      <c r="T14" s="0" t="n">
        <v>1330.2</v>
      </c>
      <c r="U14" s="0" t="n">
        <v>393</v>
      </c>
      <c r="V14" s="0" t="n">
        <v>2.76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33537</v>
      </c>
      <c r="C15" s="0" t="n">
        <v>11632</v>
      </c>
      <c r="F15" s="0" t="n">
        <v>5955</v>
      </c>
      <c r="G15" s="0" t="n">
        <v>17.7565077377225</v>
      </c>
      <c r="H15" s="0" t="n">
        <v>8816</v>
      </c>
      <c r="I15" s="0" t="n">
        <v>4691</v>
      </c>
      <c r="J15" s="0" t="n">
        <v>13.9875361540985</v>
      </c>
      <c r="K15" s="0" t="n">
        <v>3.63</v>
      </c>
      <c r="L15" s="0" t="n">
        <v>7044</v>
      </c>
      <c r="M15" s="0" t="n">
        <v>1859</v>
      </c>
      <c r="N15" s="0" t="n">
        <v>5185</v>
      </c>
      <c r="O15" s="0" t="n">
        <v>48256</v>
      </c>
      <c r="P15" s="0" t="n">
        <v>91680</v>
      </c>
      <c r="Q15" s="0" t="n">
        <v>43424</v>
      </c>
      <c r="R15" s="0" t="n">
        <v>28516</v>
      </c>
      <c r="S15" s="0" t="n">
        <v>2218</v>
      </c>
      <c r="T15" s="0" t="n">
        <v>1289.9</v>
      </c>
      <c r="U15" s="0" t="n">
        <v>429</v>
      </c>
      <c r="V15" s="0" t="n">
        <v>2.8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36364</v>
      </c>
      <c r="C16" s="0" t="n">
        <v>12721</v>
      </c>
      <c r="F16" s="0" t="n">
        <v>6467</v>
      </c>
      <c r="G16" s="0" t="n">
        <v>17.7840721592784</v>
      </c>
      <c r="H16" s="0" t="n">
        <v>9425</v>
      </c>
      <c r="I16" s="0" t="n">
        <v>4837</v>
      </c>
      <c r="J16" s="0" t="n">
        <v>13.3016169838302</v>
      </c>
      <c r="K16" s="0" t="n">
        <v>3.75</v>
      </c>
      <c r="L16" s="0" t="n">
        <v>7330</v>
      </c>
      <c r="M16" s="0" t="n">
        <v>1904</v>
      </c>
      <c r="N16" s="0" t="n">
        <v>5426</v>
      </c>
      <c r="O16" s="0" t="n">
        <v>50072</v>
      </c>
      <c r="P16" s="0" t="n">
        <v>93028</v>
      </c>
      <c r="Q16" s="0" t="n">
        <v>42956</v>
      </c>
      <c r="R16" s="0" t="n">
        <v>27961</v>
      </c>
      <c r="S16" s="0" t="n">
        <v>1949</v>
      </c>
      <c r="T16" s="0" t="n">
        <v>1288.1</v>
      </c>
      <c r="U16" s="0" t="n">
        <v>457</v>
      </c>
      <c r="V16" s="0" t="n">
        <v>2.84</v>
      </c>
      <c r="AA16" s="0" t="s">
        <v>17</v>
      </c>
      <c r="AB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86.44</v>
      </c>
    </row>
    <row r="3" customFormat="false" ht="15" hidden="false" customHeight="false" outlineLevel="0" collapsed="false">
      <c r="A3" s="0" t="s">
        <v>81</v>
      </c>
      <c r="B3" s="3" t="n">
        <v>1285.1</v>
      </c>
    </row>
    <row r="4" customFormat="false" ht="15" hidden="false" customHeight="false" outlineLevel="0" collapsed="false">
      <c r="A4" s="0" t="s">
        <v>82</v>
      </c>
      <c r="B4" s="3" t="n">
        <v>19541</v>
      </c>
    </row>
    <row r="5" customFormat="false" ht="15" hidden="false" customHeight="false" outlineLevel="0" collapsed="false">
      <c r="A5" s="0" t="s">
        <v>83</v>
      </c>
      <c r="B5" s="3" t="n">
        <v>5609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33252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5.5</v>
      </c>
      <c r="D13" s="3" t="n">
        <v>1.5</v>
      </c>
      <c r="E13" s="3" t="n">
        <v>2.5</v>
      </c>
      <c r="F13" s="3" t="n">
        <v>2.5</v>
      </c>
      <c r="G13" s="3" t="n">
        <v>2.5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102</v>
      </c>
      <c r="C14" s="3" t="n">
        <v>27</v>
      </c>
      <c r="D14" s="3" t="n">
        <v>26.8</v>
      </c>
      <c r="E14" s="3" t="n">
        <v>26.6</v>
      </c>
      <c r="F14" s="3" t="n">
        <v>26.5</v>
      </c>
      <c r="G14" s="3" t="n">
        <v>26.5</v>
      </c>
      <c r="H14" s="3" t="n">
        <v>26.5</v>
      </c>
      <c r="I14" s="3" t="n">
        <v>26.5</v>
      </c>
      <c r="J14" s="3" t="n">
        <v>26.5</v>
      </c>
      <c r="K14" s="3" t="n">
        <v>26.5</v>
      </c>
      <c r="L14" s="3" t="n">
        <v>26.5</v>
      </c>
    </row>
    <row r="15" customFormat="false" ht="15" hidden="false" customHeight="false" outlineLevel="0" collapsed="false">
      <c r="A15" s="0" t="s">
        <v>103</v>
      </c>
      <c r="C15" s="3" t="n">
        <v>1.3</v>
      </c>
      <c r="D15" s="3" t="n">
        <v>1.3</v>
      </c>
      <c r="E15" s="3" t="n">
        <v>1.3</v>
      </c>
      <c r="F15" s="3" t="n">
        <v>1.3</v>
      </c>
      <c r="G15" s="3" t="n">
        <v>1.3</v>
      </c>
      <c r="H15" s="3" t="n">
        <v>1.3</v>
      </c>
      <c r="I15" s="3" t="n">
        <v>1.3</v>
      </c>
      <c r="J15" s="3" t="n">
        <v>1.3</v>
      </c>
      <c r="K15" s="3" t="n">
        <v>1.3</v>
      </c>
      <c r="L15" s="3" t="n">
        <v>1.3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8.3</v>
      </c>
      <c r="D17" s="3" t="n">
        <v>8</v>
      </c>
      <c r="E17" s="3" t="n">
        <v>7.5</v>
      </c>
      <c r="F17" s="3" t="n">
        <v>7</v>
      </c>
      <c r="G17" s="3" t="n">
        <v>6.5</v>
      </c>
      <c r="H17" s="3" t="n">
        <v>6</v>
      </c>
      <c r="I17" s="3" t="n">
        <v>5.5</v>
      </c>
      <c r="J17" s="3" t="n">
        <v>5</v>
      </c>
      <c r="K17" s="3" t="n">
        <v>5</v>
      </c>
      <c r="L17" s="3" t="n">
        <v>5</v>
      </c>
    </row>
    <row r="18" customFormat="false" ht="15" hidden="false" customHeight="false" outlineLevel="0" collapsed="false">
      <c r="A18" s="0" t="s">
        <v>106</v>
      </c>
      <c r="C18" s="3" t="n">
        <v>5.4</v>
      </c>
      <c r="D18" s="3" t="n">
        <v>5.4</v>
      </c>
      <c r="E18" s="3" t="n">
        <v>5.3</v>
      </c>
      <c r="F18" s="3" t="n">
        <v>5.3</v>
      </c>
      <c r="G18" s="3" t="n">
        <v>5.2</v>
      </c>
      <c r="H18" s="3" t="n">
        <v>5.2</v>
      </c>
      <c r="I18" s="3" t="n">
        <v>5.2</v>
      </c>
      <c r="J18" s="3" t="n">
        <v>5.2</v>
      </c>
      <c r="K18" s="3" t="n">
        <v>5.2</v>
      </c>
      <c r="L18" s="3" t="n">
        <v>5.2</v>
      </c>
    </row>
    <row r="19" customFormat="false" ht="15" hidden="false" customHeight="false" outlineLevel="0" collapsed="false">
      <c r="A19" s="0" t="s">
        <v>107</v>
      </c>
      <c r="C19" s="3" t="n">
        <v>30</v>
      </c>
      <c r="D19" s="3" t="n">
        <v>30</v>
      </c>
      <c r="E19" s="3" t="n">
        <v>29</v>
      </c>
      <c r="F19" s="3" t="n">
        <v>29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108</v>
      </c>
      <c r="B20" s="3" t="n">
        <v>7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15</v>
      </c>
    </row>
    <row r="23" customFormat="false" ht="15" hidden="false" customHeight="false" outlineLevel="0" collapsed="false">
      <c r="A23" s="0" t="s">
        <v>111</v>
      </c>
      <c r="B23" s="3" t="n">
        <v>-30</v>
      </c>
    </row>
    <row r="24" customFormat="false" ht="15" hidden="false" customHeight="false" outlineLevel="0" collapsed="false">
      <c r="A24" s="0" t="s">
        <v>112</v>
      </c>
      <c r="B24" s="3" t="n">
        <v>0.2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7</v>
      </c>
      <c r="D27" s="3" t="n">
        <v>4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102</v>
      </c>
      <c r="C28" s="3" t="n">
        <v>28</v>
      </c>
      <c r="D28" s="3" t="n">
        <v>28.3</v>
      </c>
      <c r="E28" s="3" t="n">
        <v>28.6</v>
      </c>
      <c r="F28" s="3" t="n">
        <v>28.9</v>
      </c>
      <c r="G28" s="3" t="n">
        <v>29.2</v>
      </c>
      <c r="H28" s="3" t="n">
        <v>29.5</v>
      </c>
      <c r="I28" s="3" t="n">
        <v>29.5</v>
      </c>
      <c r="J28" s="3" t="n">
        <v>29.5</v>
      </c>
      <c r="K28" s="3" t="n">
        <v>29.5</v>
      </c>
      <c r="L28" s="3" t="n">
        <v>29.5</v>
      </c>
    </row>
    <row r="29" customFormat="false" ht="15" hidden="false" customHeight="false" outlineLevel="0" collapsed="false">
      <c r="A29" s="0" t="s">
        <v>103</v>
      </c>
      <c r="C29" s="3" t="n">
        <v>1.25</v>
      </c>
      <c r="D29" s="3" t="n">
        <v>1.25</v>
      </c>
      <c r="E29" s="3" t="n">
        <v>1.25</v>
      </c>
      <c r="F29" s="3" t="n">
        <v>1.2</v>
      </c>
      <c r="G29" s="3" t="n">
        <v>1.2</v>
      </c>
      <c r="H29" s="3" t="n">
        <v>1.2</v>
      </c>
      <c r="I29" s="3" t="n">
        <v>1.2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8.3</v>
      </c>
      <c r="D31" s="3" t="n">
        <v>8</v>
      </c>
      <c r="E31" s="3" t="n">
        <v>7.5</v>
      </c>
      <c r="F31" s="3" t="n">
        <v>7</v>
      </c>
      <c r="G31" s="3" t="n">
        <v>6.5</v>
      </c>
      <c r="H31" s="3" t="n">
        <v>6</v>
      </c>
      <c r="I31" s="3" t="n">
        <v>5.5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106</v>
      </c>
      <c r="C32" s="3" t="n">
        <v>5.2</v>
      </c>
      <c r="D32" s="3" t="n">
        <v>5.2</v>
      </c>
      <c r="E32" s="3" t="n">
        <v>5.1</v>
      </c>
      <c r="F32" s="3" t="n">
        <v>5</v>
      </c>
      <c r="G32" s="3" t="n">
        <v>5</v>
      </c>
      <c r="H32" s="3" t="n">
        <v>4.9</v>
      </c>
      <c r="I32" s="3" t="n">
        <v>4.9</v>
      </c>
      <c r="J32" s="3" t="n">
        <v>4.8</v>
      </c>
      <c r="K32" s="3" t="n">
        <v>4.8</v>
      </c>
      <c r="L32" s="3" t="n">
        <v>4.8</v>
      </c>
    </row>
    <row r="33" customFormat="false" ht="15" hidden="false" customHeight="false" outlineLevel="0" collapsed="false">
      <c r="A33" s="0" t="s">
        <v>107</v>
      </c>
      <c r="C33" s="3" t="n">
        <v>28</v>
      </c>
      <c r="D33" s="3" t="n">
        <v>28</v>
      </c>
      <c r="E33" s="3" t="n">
        <v>27</v>
      </c>
      <c r="F33" s="3" t="n">
        <v>26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108</v>
      </c>
      <c r="B34" s="3" t="n">
        <v>7</v>
      </c>
    </row>
    <row r="35" customFormat="false" ht="15" hidden="false" customHeight="false" outlineLevel="0" collapsed="false">
      <c r="A35" s="0" t="s">
        <v>109</v>
      </c>
      <c r="B35" s="3" t="n">
        <v>2.5</v>
      </c>
    </row>
    <row r="36" customFormat="false" ht="15" hidden="false" customHeight="false" outlineLevel="0" collapsed="false">
      <c r="A36" s="0" t="s">
        <v>110</v>
      </c>
      <c r="B36" s="3" t="n">
        <v>18</v>
      </c>
    </row>
    <row r="37" customFormat="false" ht="15" hidden="false" customHeight="false" outlineLevel="0" collapsed="false">
      <c r="A37" s="0" t="s">
        <v>111</v>
      </c>
      <c r="B37" s="3" t="n">
        <v>-25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8</v>
      </c>
      <c r="D41" s="3" t="n">
        <v>5.5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102</v>
      </c>
      <c r="C42" s="3" t="n">
        <v>28.3</v>
      </c>
      <c r="D42" s="3" t="n">
        <v>28.8</v>
      </c>
      <c r="E42" s="3" t="n">
        <v>29.3</v>
      </c>
      <c r="F42" s="3" t="n">
        <v>29.8</v>
      </c>
      <c r="G42" s="3" t="n">
        <v>30.3</v>
      </c>
      <c r="H42" s="3" t="n">
        <v>30.8</v>
      </c>
      <c r="I42" s="3" t="n">
        <v>31</v>
      </c>
      <c r="J42" s="3" t="n">
        <v>31</v>
      </c>
      <c r="K42" s="3" t="n">
        <v>31</v>
      </c>
      <c r="L42" s="3" t="n">
        <v>31</v>
      </c>
    </row>
    <row r="43" customFormat="false" ht="15" hidden="false" customHeight="false" outlineLevel="0" collapsed="false">
      <c r="A43" s="0" t="s">
        <v>103</v>
      </c>
      <c r="C43" s="3" t="n">
        <v>1.25</v>
      </c>
      <c r="D43" s="3" t="n">
        <v>1.25</v>
      </c>
      <c r="E43" s="3" t="n">
        <v>1.2</v>
      </c>
      <c r="F43" s="3" t="n">
        <v>1.2</v>
      </c>
      <c r="G43" s="3" t="n">
        <v>1.2</v>
      </c>
      <c r="H43" s="3" t="n">
        <v>1.2</v>
      </c>
      <c r="I43" s="3" t="n">
        <v>1.2</v>
      </c>
      <c r="J43" s="3" t="n">
        <v>1.2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8.3</v>
      </c>
      <c r="D45" s="3" t="n">
        <v>8</v>
      </c>
      <c r="E45" s="3" t="n">
        <v>7.5</v>
      </c>
      <c r="F45" s="3" t="n">
        <v>7</v>
      </c>
      <c r="G45" s="3" t="n">
        <v>6.5</v>
      </c>
      <c r="H45" s="3" t="n">
        <v>6</v>
      </c>
      <c r="I45" s="3" t="n">
        <v>5.5</v>
      </c>
      <c r="J45" s="3" t="n">
        <v>5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106</v>
      </c>
      <c r="C46" s="3" t="n">
        <v>5.2</v>
      </c>
      <c r="D46" s="3" t="n">
        <v>5.1</v>
      </c>
      <c r="E46" s="3" t="n">
        <v>5</v>
      </c>
      <c r="F46" s="3" t="n">
        <v>4.9</v>
      </c>
      <c r="G46" s="3" t="n">
        <v>4.8</v>
      </c>
      <c r="H46" s="3" t="n">
        <v>4.7</v>
      </c>
      <c r="I46" s="3" t="n">
        <v>4.7</v>
      </c>
      <c r="J46" s="3" t="n">
        <v>4.6</v>
      </c>
      <c r="K46" s="3" t="n">
        <v>4.6</v>
      </c>
      <c r="L46" s="3" t="n">
        <v>4.6</v>
      </c>
    </row>
    <row r="47" customFormat="false" ht="15" hidden="false" customHeight="false" outlineLevel="0" collapsed="false">
      <c r="A47" s="0" t="s">
        <v>107</v>
      </c>
      <c r="C47" s="3" t="n">
        <v>27</v>
      </c>
      <c r="D47" s="3" t="n">
        <v>27</v>
      </c>
      <c r="E47" s="3" t="n">
        <v>26</v>
      </c>
      <c r="F47" s="3" t="n">
        <v>25</v>
      </c>
      <c r="G47" s="3" t="n">
        <v>24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108</v>
      </c>
      <c r="B48" s="3" t="n">
        <v>7</v>
      </c>
    </row>
    <row r="49" customFormat="false" ht="15" hidden="false" customHeight="false" outlineLevel="0" collapsed="false">
      <c r="A49" s="0" t="s">
        <v>109</v>
      </c>
      <c r="B49" s="3" t="n">
        <v>2.75</v>
      </c>
    </row>
    <row r="50" customFormat="false" ht="15" hidden="false" customHeight="false" outlineLevel="0" collapsed="false">
      <c r="A50" s="0" t="s">
        <v>110</v>
      </c>
      <c r="B50" s="3" t="n">
        <v>18</v>
      </c>
    </row>
    <row r="51" customFormat="false" ht="15" hidden="false" customHeight="false" outlineLevel="0" collapsed="false">
      <c r="A51" s="0" t="s">
        <v>111</v>
      </c>
      <c r="B51" s="3" t="n">
        <v>-22</v>
      </c>
    </row>
    <row r="52" customFormat="false" ht="15" hidden="false" customHeight="false" outlineLevel="0" collapsed="false">
      <c r="A52" s="0" t="s">
        <v>112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5.5</v>
      </c>
      <c r="D5" s="4" t="n">
        <f aca="false">Assumptions!D13</f>
        <v>1.5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33252</v>
      </c>
      <c r="C6" s="0" t="n">
        <f aca="false">B6*(1+C5/100)</f>
        <v>35080.86</v>
      </c>
      <c r="D6" s="0" t="n">
        <f aca="false">C6*(1+D5/100)</f>
        <v>35607.0729</v>
      </c>
      <c r="E6" s="0" t="n">
        <f aca="false">D6*(1+E5/100)</f>
        <v>36497.2497225</v>
      </c>
      <c r="F6" s="0" t="n">
        <f aca="false">E6*(1+F5/100)</f>
        <v>37409.6809655625</v>
      </c>
      <c r="G6" s="0" t="n">
        <f aca="false">F6*(1+G5/100)</f>
        <v>38344.9229897016</v>
      </c>
      <c r="H6" s="0" t="n">
        <f aca="false">G6*(1+H5/100)</f>
        <v>39111.8214494956</v>
      </c>
      <c r="I6" s="0" t="n">
        <f aca="false">H6*(1+I5/100)</f>
        <v>39894.0578784855</v>
      </c>
      <c r="J6" s="0" t="n">
        <f aca="false">I6*(1+J5/100)</f>
        <v>40691.9390360552</v>
      </c>
      <c r="K6" s="0" t="n">
        <f aca="false">J6*(1+K5/100)</f>
        <v>41505.7778167763</v>
      </c>
      <c r="L6" s="0" t="n">
        <f aca="false">K6*(1+L5/100)</f>
        <v>42335.8933731118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27</v>
      </c>
      <c r="D7" s="4" t="n">
        <f aca="false">Assumptions!D14</f>
        <v>26.8</v>
      </c>
      <c r="E7" s="4" t="n">
        <f aca="false">Assumptions!E14</f>
        <v>26.6</v>
      </c>
      <c r="F7" s="4" t="n">
        <f aca="false">Assumptions!F14</f>
        <v>26.5</v>
      </c>
      <c r="G7" s="4" t="n">
        <f aca="false">Assumptions!G14</f>
        <v>26.5</v>
      </c>
      <c r="H7" s="4" t="n">
        <f aca="false">Assumptions!H14</f>
        <v>26.5</v>
      </c>
      <c r="I7" s="4" t="n">
        <f aca="false">Assumptions!I14</f>
        <v>26.5</v>
      </c>
      <c r="J7" s="4" t="n">
        <f aca="false">Assumptions!J14</f>
        <v>26.5</v>
      </c>
      <c r="K7" s="4" t="n">
        <f aca="false">Assumptions!K14</f>
        <v>26.5</v>
      </c>
      <c r="L7" s="4" t="n">
        <f aca="false">Assumptions!L14</f>
        <v>26.5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9471.8322</v>
      </c>
      <c r="D8" s="0" t="n">
        <f aca="false">D6*D7/100</f>
        <v>9542.6955372</v>
      </c>
      <c r="E8" s="0" t="n">
        <f aca="false">E6*E7/100</f>
        <v>9708.268426185</v>
      </c>
      <c r="F8" s="0" t="n">
        <f aca="false">F6*F7/100</f>
        <v>9913.56545587406</v>
      </c>
      <c r="G8" s="0" t="n">
        <f aca="false">G6*G7/100</f>
        <v>10161.4045922709</v>
      </c>
      <c r="H8" s="0" t="n">
        <f aca="false">H6*H7/100</f>
        <v>10364.6326841163</v>
      </c>
      <c r="I8" s="0" t="n">
        <f aca="false">I6*I7/100</f>
        <v>10571.9253377987</v>
      </c>
      <c r="J8" s="0" t="n">
        <f aca="false">J6*J7/100</f>
        <v>10783.3638445546</v>
      </c>
      <c r="K8" s="0" t="n">
        <f aca="false">K6*K7/100</f>
        <v>10999.0311214457</v>
      </c>
      <c r="L8" s="0" t="n">
        <f aca="false">L6*L7/100</f>
        <v>11219.0117438746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1.3</v>
      </c>
      <c r="D9" s="4" t="n">
        <f aca="false">Assumptions!D15</f>
        <v>1.3</v>
      </c>
      <c r="E9" s="4" t="n">
        <f aca="false">Assumptions!E15</f>
        <v>1.3</v>
      </c>
      <c r="F9" s="4" t="n">
        <f aca="false">Assumptions!F15</f>
        <v>1.3</v>
      </c>
      <c r="G9" s="4" t="n">
        <f aca="false">Assumptions!G15</f>
        <v>1.3</v>
      </c>
      <c r="H9" s="4" t="n">
        <f aca="false">Assumptions!H15</f>
        <v>1.3</v>
      </c>
      <c r="I9" s="4" t="n">
        <f aca="false">Assumptions!I15</f>
        <v>1.3</v>
      </c>
      <c r="J9" s="4" t="n">
        <f aca="false">Assumptions!J15</f>
        <v>1.3</v>
      </c>
      <c r="K9" s="4" t="n">
        <f aca="false">Assumptions!K15</f>
        <v>1.3</v>
      </c>
      <c r="L9" s="4" t="n">
        <f aca="false">Assumptions!L15</f>
        <v>1.3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-456.05118</v>
      </c>
      <c r="D10" s="0" t="n">
        <f aca="false">-D6*D9/100</f>
        <v>-462.8919477</v>
      </c>
      <c r="E10" s="0" t="n">
        <f aca="false">-E6*E9/100</f>
        <v>-474.4642463925</v>
      </c>
      <c r="F10" s="0" t="n">
        <f aca="false">-F6*F9/100</f>
        <v>-486.325852552313</v>
      </c>
      <c r="G10" s="0" t="n">
        <f aca="false">-G6*G9/100</f>
        <v>-498.48399886612</v>
      </c>
      <c r="H10" s="0" t="n">
        <f aca="false">-H6*H9/100</f>
        <v>-508.453678843443</v>
      </c>
      <c r="I10" s="0" t="n">
        <f aca="false">-I6*I9/100</f>
        <v>-518.622752420312</v>
      </c>
      <c r="J10" s="0" t="n">
        <f aca="false">-J6*J9/100</f>
        <v>-528.995207468718</v>
      </c>
      <c r="K10" s="0" t="n">
        <f aca="false">-K6*K9/100</f>
        <v>-539.575111618092</v>
      </c>
      <c r="L10" s="0" t="n">
        <f aca="false">-L6*L9/100</f>
        <v>-550.366613850454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9015.78102</v>
      </c>
      <c r="D11" s="0" t="n">
        <f aca="false">D8+D10+D24</f>
        <v>9079.8035895</v>
      </c>
      <c r="E11" s="0" t="n">
        <f aca="false">E8+E10+E24</f>
        <v>9233.8041797925</v>
      </c>
      <c r="F11" s="0" t="n">
        <f aca="false">F8+F10+F24</f>
        <v>9427.23960332175</v>
      </c>
      <c r="G11" s="0" t="n">
        <f aca="false">G8+G10+G24</f>
        <v>9662.92059340479</v>
      </c>
      <c r="H11" s="0" t="n">
        <f aca="false">H8+H10+H24</f>
        <v>9856.17900527289</v>
      </c>
      <c r="I11" s="0" t="n">
        <f aca="false">I8+I10+I24</f>
        <v>10053.3025853783</v>
      </c>
      <c r="J11" s="0" t="n">
        <f aca="false">J8+J10+J24</f>
        <v>10254.3686370859</v>
      </c>
      <c r="K11" s="0" t="n">
        <f aca="false">K8+K10+K24</f>
        <v>10459.4560098276</v>
      </c>
      <c r="L11" s="0" t="n">
        <f aca="false">L8+L10+L24</f>
        <v>10668.6451300242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-2911.71138</v>
      </c>
      <c r="D12" s="4" t="n">
        <f aca="false">-D6*Assumptions!D17/100</f>
        <v>-2848.565832</v>
      </c>
      <c r="E12" s="4" t="n">
        <f aca="false">-E6*Assumptions!E17/100</f>
        <v>-2737.2937291875</v>
      </c>
      <c r="F12" s="4" t="n">
        <f aca="false">-F6*Assumptions!F17/100</f>
        <v>-2618.67766758938</v>
      </c>
      <c r="G12" s="4" t="n">
        <f aca="false">-G6*Assumptions!G17/100</f>
        <v>-2492.4199943306</v>
      </c>
      <c r="H12" s="4" t="n">
        <f aca="false">-H6*Assumptions!H17/100</f>
        <v>-2346.70928696974</v>
      </c>
      <c r="I12" s="4" t="n">
        <f aca="false">-I6*Assumptions!I17/100</f>
        <v>-2194.1731833167</v>
      </c>
      <c r="J12" s="4" t="n">
        <f aca="false">-J6*Assumptions!J17/100</f>
        <v>-2034.59695180276</v>
      </c>
      <c r="K12" s="4" t="n">
        <f aca="false">-K6*Assumptions!K17/100</f>
        <v>-2075.28889083882</v>
      </c>
      <c r="L12" s="4" t="n">
        <f aca="false">-L6*Assumptions!L17/100</f>
        <v>-2116.79466865559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6104.06964</v>
      </c>
      <c r="D13" s="0" t="n">
        <f aca="false">D11+D12</f>
        <v>6231.2377575</v>
      </c>
      <c r="E13" s="0" t="n">
        <f aca="false">E11+E12</f>
        <v>6496.510450605</v>
      </c>
      <c r="F13" s="0" t="n">
        <f aca="false">F11+F12</f>
        <v>6808.56193573237</v>
      </c>
      <c r="G13" s="0" t="n">
        <f aca="false">G11+G12</f>
        <v>7170.50059907419</v>
      </c>
      <c r="H13" s="0" t="n">
        <f aca="false">H11+H12</f>
        <v>7509.46971830315</v>
      </c>
      <c r="I13" s="0" t="n">
        <f aca="false">I11+I12</f>
        <v>7859.12940206164</v>
      </c>
      <c r="J13" s="0" t="n">
        <f aca="false">J11+J12</f>
        <v>8219.77168528315</v>
      </c>
      <c r="K13" s="0" t="n">
        <f aca="false">K11+K12</f>
        <v>8384.16711898881</v>
      </c>
      <c r="L13" s="0" t="n">
        <f aca="false">L11+L12</f>
        <v>8551.85046136859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29</v>
      </c>
      <c r="F14" s="4" t="n">
        <f aca="false">Assumptions!F19</f>
        <v>29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4272.848748</v>
      </c>
      <c r="D15" s="0" t="n">
        <f aca="false">D13-MAX(0,D13)*D14/100</f>
        <v>4361.86643025</v>
      </c>
      <c r="E15" s="0" t="n">
        <f aca="false">E13-MAX(0,E13)*E14/100</f>
        <v>4612.52241992955</v>
      </c>
      <c r="F15" s="0" t="n">
        <f aca="false">F13-MAX(0,F13)*F14/100</f>
        <v>4834.07897436999</v>
      </c>
      <c r="G15" s="0" t="n">
        <f aca="false">G13-MAX(0,G13)*G14/100</f>
        <v>5162.76043133342</v>
      </c>
      <c r="H15" s="0" t="n">
        <f aca="false">H13-MAX(0,H13)*H14/100</f>
        <v>5406.81819717827</v>
      </c>
      <c r="I15" s="0" t="n">
        <f aca="false">I13-MAX(0,I13)*I14/100</f>
        <v>5658.57316948438</v>
      </c>
      <c r="J15" s="0" t="n">
        <f aca="false">J13-MAX(0,J13)*J14/100</f>
        <v>5918.23561340387</v>
      </c>
      <c r="K15" s="0" t="n">
        <f aca="false">K13-MAX(0,K13)*K14/100</f>
        <v>6036.60032567195</v>
      </c>
      <c r="L15" s="0" t="n">
        <f aca="false">L13-MAX(0,L13)*L14/100</f>
        <v>6157.33233218539</v>
      </c>
    </row>
    <row r="16" customFormat="false" ht="15" hidden="false" customHeight="false" outlineLevel="0" collapsed="false">
      <c r="A16" s="0" t="s">
        <v>123</v>
      </c>
      <c r="C16" s="0" t="n">
        <f aca="false">-C12</f>
        <v>2911.71138</v>
      </c>
      <c r="D16" s="0" t="n">
        <f aca="false">-D12</f>
        <v>2848.565832</v>
      </c>
      <c r="E16" s="0" t="n">
        <f aca="false">-E12</f>
        <v>2737.2937291875</v>
      </c>
      <c r="F16" s="0" t="n">
        <f aca="false">-F12</f>
        <v>2618.67766758938</v>
      </c>
      <c r="G16" s="0" t="n">
        <f aca="false">-G12</f>
        <v>2492.4199943306</v>
      </c>
      <c r="H16" s="0" t="n">
        <f aca="false">-H12</f>
        <v>2346.70928696974</v>
      </c>
      <c r="I16" s="0" t="n">
        <f aca="false">-I12</f>
        <v>2194.1731833167</v>
      </c>
      <c r="J16" s="0" t="n">
        <f aca="false">-J12</f>
        <v>2034.59695180276</v>
      </c>
      <c r="K16" s="0" t="n">
        <f aca="false">-K12</f>
        <v>2075.28889083882</v>
      </c>
      <c r="L16" s="0" t="n">
        <f aca="false">-L12</f>
        <v>2116.79466865559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-1894.36644</v>
      </c>
      <c r="D17" s="4" t="n">
        <f aca="false">-D6*Assumptions!D18/100</f>
        <v>-1922.7819366</v>
      </c>
      <c r="E17" s="4" t="n">
        <f aca="false">-E6*Assumptions!E18/100</f>
        <v>-1934.3542352925</v>
      </c>
      <c r="F17" s="4" t="n">
        <f aca="false">-F6*Assumptions!F18/100</f>
        <v>-1982.71309117481</v>
      </c>
      <c r="G17" s="4" t="n">
        <f aca="false">-G6*Assumptions!G18/100</f>
        <v>-1993.93599546448</v>
      </c>
      <c r="H17" s="4" t="n">
        <f aca="false">-H6*Assumptions!H18/100</f>
        <v>-2033.81471537377</v>
      </c>
      <c r="I17" s="4" t="n">
        <f aca="false">-I6*Assumptions!I18/100</f>
        <v>-2074.49100968125</v>
      </c>
      <c r="J17" s="4" t="n">
        <f aca="false">-J6*Assumptions!J18/100</f>
        <v>-2115.98082987487</v>
      </c>
      <c r="K17" s="4" t="n">
        <f aca="false">-K6*Assumptions!K18/100</f>
        <v>-2158.30044647237</v>
      </c>
      <c r="L17" s="4" t="n">
        <f aca="false">-L6*Assumptions!L18/100</f>
        <v>-2201.46645540182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-548.658</v>
      </c>
      <c r="D18" s="4" t="n">
        <f aca="false">(D6-C6)*Assumptions!$B$23/100</f>
        <v>-157.86387</v>
      </c>
      <c r="E18" s="4" t="n">
        <f aca="false">(E6-D6)*Assumptions!$B$23/100</f>
        <v>-267.053046749999</v>
      </c>
      <c r="F18" s="4" t="n">
        <f aca="false">(F6-E6)*Assumptions!$B$23/100</f>
        <v>-273.72937291875</v>
      </c>
      <c r="G18" s="4" t="n">
        <f aca="false">(G6-F6)*Assumptions!$B$23/100</f>
        <v>-280.572607241717</v>
      </c>
      <c r="H18" s="4" t="n">
        <f aca="false">(H6-G6)*Assumptions!$B$23/100</f>
        <v>-230.069537938209</v>
      </c>
      <c r="I18" s="4" t="n">
        <f aca="false">(I6-H6)*Assumptions!$B$23/100</f>
        <v>-234.670928696974</v>
      </c>
      <c r="J18" s="4" t="n">
        <f aca="false">(J6-I6)*Assumptions!$B$23/100</f>
        <v>-239.364347270913</v>
      </c>
      <c r="K18" s="4" t="n">
        <f aca="false">(K6-J6)*Assumptions!$B$23/100</f>
        <v>-244.151634216331</v>
      </c>
      <c r="L18" s="4" t="n">
        <f aca="false">(L6-K6)*Assumptions!$B$23/100</f>
        <v>-249.034666900658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4741.535688</v>
      </c>
      <c r="D19" s="0" t="n">
        <f aca="false">D15+D16+D17+D18</f>
        <v>5129.78645565</v>
      </c>
      <c r="E19" s="0" t="n">
        <f aca="false">E15+E16+E17+E18</f>
        <v>5148.40886707455</v>
      </c>
      <c r="F19" s="0" t="n">
        <f aca="false">F15+F16+F17+F18</f>
        <v>5196.3141778658</v>
      </c>
      <c r="G19" s="0" t="n">
        <f aca="false">G15+G16+G17+G18</f>
        <v>5380.67182295782</v>
      </c>
      <c r="H19" s="0" t="n">
        <f aca="false">H15+H16+H17+H18</f>
        <v>5489.64323083603</v>
      </c>
      <c r="I19" s="0" t="n">
        <f aca="false">I15+I16+I17+I18</f>
        <v>5543.58441442286</v>
      </c>
      <c r="J19" s="0" t="n">
        <f aca="false">J15+J16+J17+J18</f>
        <v>5597.48738806085</v>
      </c>
      <c r="K19" s="0" t="n">
        <f aca="false">K15+K16+K17+K18</f>
        <v>5709.43713582206</v>
      </c>
      <c r="L19" s="0" t="n">
        <f aca="false">L15+L16+L17+L18</f>
        <v>5823.6258785385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4431.34176448598</v>
      </c>
      <c r="D21" s="0" t="n">
        <f aca="false">D19*D20</f>
        <v>4480.55415813608</v>
      </c>
      <c r="E21" s="0" t="n">
        <f aca="false">E19*E20</f>
        <v>4202.63522755899</v>
      </c>
      <c r="F21" s="0" t="n">
        <f aca="false">F19*F20</f>
        <v>3964.24320658849</v>
      </c>
      <c r="G21" s="0" t="n">
        <f aca="false">G19*G20</f>
        <v>3836.34464610612</v>
      </c>
      <c r="H21" s="0" t="n">
        <f aca="false">H19*H20</f>
        <v>3657.98107839454</v>
      </c>
      <c r="I21" s="0" t="n">
        <f aca="false">I19*I20</f>
        <v>3452.26576319728</v>
      </c>
      <c r="J21" s="0" t="n">
        <f aca="false">J19*J20</f>
        <v>3257.78862253939</v>
      </c>
      <c r="K21" s="0" t="n">
        <f aca="false">K19*K20</f>
        <v>3105.55550933661</v>
      </c>
      <c r="L21" s="0" t="n">
        <f aca="false">L19*L20</f>
        <v>2960.43609301247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37349.146069356</v>
      </c>
    </row>
    <row r="31" customFormat="false" ht="15" hidden="false" customHeight="false" outlineLevel="0" collapsed="false">
      <c r="A31" s="0" t="s">
        <v>132</v>
      </c>
      <c r="B31" s="0" t="n">
        <f aca="false">L19</f>
        <v>5823.6258785385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118801.967922185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87354.3881780775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87354.3881780775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44406.5413951871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81755.687464543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67823.687464543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52.7769725815446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-0.389438077492542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3487.18378920963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5707.48096273538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59.9317969157949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45693.0645854559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18.4775929490987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7</v>
      </c>
      <c r="D5" s="4" t="n">
        <f aca="false">Assumptions!D27</f>
        <v>4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33252</v>
      </c>
      <c r="C6" s="0" t="n">
        <f aca="false">B6*(1+C5/100)</f>
        <v>35579.64</v>
      </c>
      <c r="D6" s="0" t="n">
        <f aca="false">C6*(1+D5/100)</f>
        <v>37002.8256</v>
      </c>
      <c r="E6" s="0" t="n">
        <f aca="false">D6*(1+E5/100)</f>
        <v>38852.96688</v>
      </c>
      <c r="F6" s="0" t="n">
        <f aca="false">E6*(1+F5/100)</f>
        <v>40601.3503896</v>
      </c>
      <c r="G6" s="0" t="n">
        <f aca="false">F6*(1+G5/100)</f>
        <v>42225.404405184</v>
      </c>
      <c r="H6" s="0" t="n">
        <f aca="false">G6*(1+H5/100)</f>
        <v>43703.2935593654</v>
      </c>
      <c r="I6" s="0" t="n">
        <f aca="false">H6*(1+I5/100)</f>
        <v>45014.3923661464</v>
      </c>
      <c r="J6" s="0" t="n">
        <f aca="false">I6*(1+J5/100)</f>
        <v>46364.8241371308</v>
      </c>
      <c r="K6" s="0" t="n">
        <f aca="false">J6*(1+K5/100)</f>
        <v>47523.9447405591</v>
      </c>
      <c r="L6" s="0" t="n">
        <f aca="false">K6*(1+L5/100)</f>
        <v>48712.043359073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28</v>
      </c>
      <c r="D7" s="4" t="n">
        <f aca="false">Assumptions!D28</f>
        <v>28.3</v>
      </c>
      <c r="E7" s="4" t="n">
        <f aca="false">Assumptions!E28</f>
        <v>28.6</v>
      </c>
      <c r="F7" s="4" t="n">
        <f aca="false">Assumptions!F28</f>
        <v>28.9</v>
      </c>
      <c r="G7" s="4" t="n">
        <f aca="false">Assumptions!G28</f>
        <v>29.2</v>
      </c>
      <c r="H7" s="4" t="n">
        <f aca="false">Assumptions!H28</f>
        <v>29.5</v>
      </c>
      <c r="I7" s="4" t="n">
        <f aca="false">Assumptions!I28</f>
        <v>29.5</v>
      </c>
      <c r="J7" s="4" t="n">
        <f aca="false">Assumptions!J28</f>
        <v>29.5</v>
      </c>
      <c r="K7" s="4" t="n">
        <f aca="false">Assumptions!K28</f>
        <v>29.5</v>
      </c>
      <c r="L7" s="4" t="n">
        <f aca="false">Assumptions!L28</f>
        <v>29.5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9962.2992</v>
      </c>
      <c r="D8" s="0" t="n">
        <f aca="false">D6*D7/100</f>
        <v>10471.7996448</v>
      </c>
      <c r="E8" s="0" t="n">
        <f aca="false">E6*E7/100</f>
        <v>11111.94852768</v>
      </c>
      <c r="F8" s="0" t="n">
        <f aca="false">F6*F7/100</f>
        <v>11733.7902625944</v>
      </c>
      <c r="G8" s="0" t="n">
        <f aca="false">G6*G7/100</f>
        <v>12329.8180863137</v>
      </c>
      <c r="H8" s="0" t="n">
        <f aca="false">H6*H7/100</f>
        <v>12892.4716000128</v>
      </c>
      <c r="I8" s="0" t="n">
        <f aca="false">I6*I7/100</f>
        <v>13279.2457480132</v>
      </c>
      <c r="J8" s="0" t="n">
        <f aca="false">J6*J7/100</f>
        <v>13677.6231204536</v>
      </c>
      <c r="K8" s="0" t="n">
        <f aca="false">K6*K7/100</f>
        <v>14019.5636984649</v>
      </c>
      <c r="L8" s="0" t="n">
        <f aca="false">L6*L7/100</f>
        <v>14370.0527909265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1.25</v>
      </c>
      <c r="D9" s="4" t="n">
        <f aca="false">Assumptions!D29</f>
        <v>1.25</v>
      </c>
      <c r="E9" s="4" t="n">
        <f aca="false">Assumptions!E29</f>
        <v>1.25</v>
      </c>
      <c r="F9" s="4" t="n">
        <f aca="false">Assumptions!F29</f>
        <v>1.2</v>
      </c>
      <c r="G9" s="4" t="n">
        <f aca="false">Assumptions!G29</f>
        <v>1.2</v>
      </c>
      <c r="H9" s="4" t="n">
        <f aca="false">Assumptions!H29</f>
        <v>1.2</v>
      </c>
      <c r="I9" s="4" t="n">
        <f aca="false">Assumptions!I29</f>
        <v>1.2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-444.7455</v>
      </c>
      <c r="D10" s="0" t="n">
        <f aca="false">-D6*D9/100</f>
        <v>-462.53532</v>
      </c>
      <c r="E10" s="0" t="n">
        <f aca="false">-E6*E9/100</f>
        <v>-485.662086</v>
      </c>
      <c r="F10" s="0" t="n">
        <f aca="false">-F6*F9/100</f>
        <v>-487.2162046752</v>
      </c>
      <c r="G10" s="0" t="n">
        <f aca="false">-G6*G9/100</f>
        <v>-506.704852862208</v>
      </c>
      <c r="H10" s="0" t="n">
        <f aca="false">-H6*H9/100</f>
        <v>-524.439522712385</v>
      </c>
      <c r="I10" s="0" t="n">
        <f aca="false">-I6*I9/100</f>
        <v>-540.172708393757</v>
      </c>
      <c r="J10" s="0" t="n">
        <f aca="false">-J6*J9/100</f>
        <v>-556.37788964557</v>
      </c>
      <c r="K10" s="0" t="n">
        <f aca="false">-K6*K9/100</f>
        <v>-570.287336886709</v>
      </c>
      <c r="L10" s="0" t="n">
        <f aca="false">-L6*L9/100</f>
        <v>-584.544520308877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9517.5537</v>
      </c>
      <c r="D11" s="0" t="n">
        <f aca="false">D8+D10+D24</f>
        <v>10009.2643248</v>
      </c>
      <c r="E11" s="0" t="n">
        <f aca="false">E8+E10+E24</f>
        <v>10626.28644168</v>
      </c>
      <c r="F11" s="0" t="n">
        <f aca="false">F8+F10+F24</f>
        <v>11246.5740579192</v>
      </c>
      <c r="G11" s="0" t="n">
        <f aca="false">G8+G10+G24</f>
        <v>11823.1132334515</v>
      </c>
      <c r="H11" s="0" t="n">
        <f aca="false">H8+H10+H24</f>
        <v>12368.0320773004</v>
      </c>
      <c r="I11" s="0" t="n">
        <f aca="false">I8+I10+I24</f>
        <v>12739.0730396194</v>
      </c>
      <c r="J11" s="0" t="n">
        <f aca="false">J8+J10+J24</f>
        <v>13121.245230808</v>
      </c>
      <c r="K11" s="0" t="n">
        <f aca="false">K8+K10+K24</f>
        <v>13449.2763615782</v>
      </c>
      <c r="L11" s="0" t="n">
        <f aca="false">L8+L10+L24</f>
        <v>13785.5082706177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-2953.11012</v>
      </c>
      <c r="D12" s="4" t="n">
        <f aca="false">-D6*Assumptions!D31/100</f>
        <v>-2960.226048</v>
      </c>
      <c r="E12" s="4" t="n">
        <f aca="false">-E6*Assumptions!E31/100</f>
        <v>-2913.972516</v>
      </c>
      <c r="F12" s="4" t="n">
        <f aca="false">-F6*Assumptions!F31/100</f>
        <v>-2842.094527272</v>
      </c>
      <c r="G12" s="4" t="n">
        <f aca="false">-G6*Assumptions!G31/100</f>
        <v>-2744.65128633696</v>
      </c>
      <c r="H12" s="4" t="n">
        <f aca="false">-H6*Assumptions!H31/100</f>
        <v>-2622.19761356193</v>
      </c>
      <c r="I12" s="4" t="n">
        <f aca="false">-I6*Assumptions!I31/100</f>
        <v>-2475.79158013805</v>
      </c>
      <c r="J12" s="4" t="n">
        <f aca="false">-J6*Assumptions!J31/100</f>
        <v>-2318.24120685654</v>
      </c>
      <c r="K12" s="4" t="n">
        <f aca="false">-K6*Assumptions!K31/100</f>
        <v>-2376.19723702795</v>
      </c>
      <c r="L12" s="4" t="n">
        <f aca="false">-L6*Assumptions!L31/100</f>
        <v>-2435.60216795365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6564.44358</v>
      </c>
      <c r="D13" s="0" t="n">
        <f aca="false">D11+D12</f>
        <v>7049.0382768</v>
      </c>
      <c r="E13" s="0" t="n">
        <f aca="false">E11+E12</f>
        <v>7712.31392568</v>
      </c>
      <c r="F13" s="0" t="n">
        <f aca="false">F11+F12</f>
        <v>8404.4795306472</v>
      </c>
      <c r="G13" s="0" t="n">
        <f aca="false">G11+G12</f>
        <v>9078.46194711456</v>
      </c>
      <c r="H13" s="0" t="n">
        <f aca="false">H11+H12</f>
        <v>9745.83446373849</v>
      </c>
      <c r="I13" s="0" t="n">
        <f aca="false">I11+I12</f>
        <v>10263.2814594814</v>
      </c>
      <c r="J13" s="0" t="n">
        <f aca="false">J11+J12</f>
        <v>10803.0040239515</v>
      </c>
      <c r="K13" s="0" t="n">
        <f aca="false">K11+K12</f>
        <v>11073.0791245503</v>
      </c>
      <c r="L13" s="0" t="n">
        <f aca="false">L11+L12</f>
        <v>11349.906102664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27</v>
      </c>
      <c r="F14" s="4" t="n">
        <f aca="false">Assumptions!F33</f>
        <v>26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4726.3993776</v>
      </c>
      <c r="D15" s="0" t="n">
        <f aca="false">D13-MAX(0,D13)*D14/100</f>
        <v>5075.307559296</v>
      </c>
      <c r="E15" s="0" t="n">
        <f aca="false">E13-MAX(0,E13)*E14/100</f>
        <v>5629.9891657464</v>
      </c>
      <c r="F15" s="0" t="n">
        <f aca="false">F13-MAX(0,F13)*F14/100</f>
        <v>6219.31485267893</v>
      </c>
      <c r="G15" s="0" t="n">
        <f aca="false">G13-MAX(0,G13)*G14/100</f>
        <v>6808.84646033592</v>
      </c>
      <c r="H15" s="0" t="n">
        <f aca="false">H13-MAX(0,H13)*H14/100</f>
        <v>7309.37584780387</v>
      </c>
      <c r="I15" s="0" t="n">
        <f aca="false">I13-MAX(0,I13)*I14/100</f>
        <v>7697.46109461104</v>
      </c>
      <c r="J15" s="0" t="n">
        <f aca="false">J13-MAX(0,J13)*J14/100</f>
        <v>8102.25301796361</v>
      </c>
      <c r="K15" s="0" t="n">
        <f aca="false">K13-MAX(0,K13)*K14/100</f>
        <v>8304.8093434127</v>
      </c>
      <c r="L15" s="0" t="n">
        <f aca="false">L13-MAX(0,L13)*L14/100</f>
        <v>8512.42957699801</v>
      </c>
    </row>
    <row r="16" customFormat="false" ht="15" hidden="false" customHeight="false" outlineLevel="0" collapsed="false">
      <c r="A16" s="0" t="s">
        <v>123</v>
      </c>
      <c r="C16" s="0" t="n">
        <f aca="false">-C12</f>
        <v>2953.11012</v>
      </c>
      <c r="D16" s="0" t="n">
        <f aca="false">-D12</f>
        <v>2960.226048</v>
      </c>
      <c r="E16" s="0" t="n">
        <f aca="false">-E12</f>
        <v>2913.972516</v>
      </c>
      <c r="F16" s="0" t="n">
        <f aca="false">-F12</f>
        <v>2842.094527272</v>
      </c>
      <c r="G16" s="0" t="n">
        <f aca="false">-G12</f>
        <v>2744.65128633696</v>
      </c>
      <c r="H16" s="0" t="n">
        <f aca="false">-H12</f>
        <v>2622.19761356193</v>
      </c>
      <c r="I16" s="0" t="n">
        <f aca="false">-I12</f>
        <v>2475.79158013805</v>
      </c>
      <c r="J16" s="0" t="n">
        <f aca="false">-J12</f>
        <v>2318.24120685654</v>
      </c>
      <c r="K16" s="0" t="n">
        <f aca="false">-K12</f>
        <v>2376.19723702795</v>
      </c>
      <c r="L16" s="0" t="n">
        <f aca="false">-L12</f>
        <v>2435.60216795365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-1850.14128</v>
      </c>
      <c r="D17" s="4" t="n">
        <f aca="false">-D6*Assumptions!D32/100</f>
        <v>-1924.1469312</v>
      </c>
      <c r="E17" s="4" t="n">
        <f aca="false">-E6*Assumptions!E32/100</f>
        <v>-1981.50131088</v>
      </c>
      <c r="F17" s="4" t="n">
        <f aca="false">-F6*Assumptions!F32/100</f>
        <v>-2030.06751948</v>
      </c>
      <c r="G17" s="4" t="n">
        <f aca="false">-G6*Assumptions!G32/100</f>
        <v>-2111.2702202592</v>
      </c>
      <c r="H17" s="4" t="n">
        <f aca="false">-H6*Assumptions!H32/100</f>
        <v>-2141.46138440891</v>
      </c>
      <c r="I17" s="4" t="n">
        <f aca="false">-I6*Assumptions!I32/100</f>
        <v>-2205.70522594117</v>
      </c>
      <c r="J17" s="4" t="n">
        <f aca="false">-J6*Assumptions!J32/100</f>
        <v>-2225.51155858228</v>
      </c>
      <c r="K17" s="4" t="n">
        <f aca="false">-K6*Assumptions!K32/100</f>
        <v>-2281.14934754684</v>
      </c>
      <c r="L17" s="4" t="n">
        <f aca="false">-L6*Assumptions!L32/100</f>
        <v>-2338.17808123551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-581.91</v>
      </c>
      <c r="D18" s="4" t="n">
        <f aca="false">(D6-C6)*Assumptions!$B$37/100</f>
        <v>-355.796400000001</v>
      </c>
      <c r="E18" s="4" t="n">
        <f aca="false">(E6-D6)*Assumptions!$B$37/100</f>
        <v>-462.535320000001</v>
      </c>
      <c r="F18" s="4" t="n">
        <f aca="false">(F6-E6)*Assumptions!$B$37/100</f>
        <v>-437.095877399999</v>
      </c>
      <c r="G18" s="4" t="n">
        <f aca="false">(G6-F6)*Assumptions!$B$37/100</f>
        <v>-406.013503896</v>
      </c>
      <c r="H18" s="4" t="n">
        <f aca="false">(H6-G6)*Assumptions!$B$37/100</f>
        <v>-369.472288545359</v>
      </c>
      <c r="I18" s="4" t="n">
        <f aca="false">(I6-H6)*Assumptions!$B$37/100</f>
        <v>-327.774701695242</v>
      </c>
      <c r="J18" s="4" t="n">
        <f aca="false">(J6-I6)*Assumptions!$B$37/100</f>
        <v>-337.607942746099</v>
      </c>
      <c r="K18" s="4" t="n">
        <f aca="false">(K6-J6)*Assumptions!$B$37/100</f>
        <v>-289.780150857067</v>
      </c>
      <c r="L18" s="4" t="n">
        <f aca="false">(L6-K6)*Assumptions!$B$37/100</f>
        <v>-297.024654628493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5247.4582176</v>
      </c>
      <c r="D19" s="0" t="n">
        <f aca="false">D15+D16+D17+D18</f>
        <v>5755.590276096</v>
      </c>
      <c r="E19" s="0" t="n">
        <f aca="false">E15+E16+E17+E18</f>
        <v>6099.9250508664</v>
      </c>
      <c r="F19" s="0" t="n">
        <f aca="false">F15+F16+F17+F18</f>
        <v>6594.24598307093</v>
      </c>
      <c r="G19" s="0" t="n">
        <f aca="false">G15+G16+G17+G18</f>
        <v>7036.21402251768</v>
      </c>
      <c r="H19" s="0" t="n">
        <f aca="false">H15+H16+H17+H18</f>
        <v>7420.63978841153</v>
      </c>
      <c r="I19" s="0" t="n">
        <f aca="false">I15+I16+I17+I18</f>
        <v>7639.77274711267</v>
      </c>
      <c r="J19" s="0" t="n">
        <f aca="false">J15+J16+J17+J18</f>
        <v>7857.37472349177</v>
      </c>
      <c r="K19" s="0" t="n">
        <f aca="false">K15+K16+K17+K18</f>
        <v>8110.07708203675</v>
      </c>
      <c r="L19" s="0" t="n">
        <f aca="false">L15+L16+L17+L18</f>
        <v>8312.82900908767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4904.16655850467</v>
      </c>
      <c r="D21" s="0" t="n">
        <f aca="false">D19*D20</f>
        <v>5027.15545121495</v>
      </c>
      <c r="E21" s="0" t="n">
        <f aca="false">E19*E20</f>
        <v>4979.35586821556</v>
      </c>
      <c r="F21" s="0" t="n">
        <f aca="false">F19*F20</f>
        <v>5030.71868754844</v>
      </c>
      <c r="G21" s="0" t="n">
        <f aca="false">G19*G20</f>
        <v>5016.7233539443</v>
      </c>
      <c r="H21" s="0" t="n">
        <f aca="false">H19*H20</f>
        <v>4944.68561875143</v>
      </c>
      <c r="I21" s="0" t="n">
        <f aca="false">I19*I20</f>
        <v>4757.66650632135</v>
      </c>
      <c r="J21" s="0" t="n">
        <f aca="false">J19*J20</f>
        <v>4573.06362705141</v>
      </c>
      <c r="K21" s="0" t="n">
        <f aca="false">K19*K20</f>
        <v>4411.34457987817</v>
      </c>
      <c r="L21" s="0" t="n">
        <f aca="false">L19*L20</f>
        <v>4225.82074240666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47870.7009938369</v>
      </c>
    </row>
    <row r="31" customFormat="false" ht="15" hidden="false" customHeight="false" outlineLevel="0" collapsed="false">
      <c r="A31" s="0" t="s">
        <v>132</v>
      </c>
      <c r="B31" s="0" t="n">
        <f aca="false">L19</f>
        <v>8312.82900908767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189347.771873664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149630.922163578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149630.922163578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76064.7733633199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123935.474357157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110003.474357157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85.5991552074989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-0.00972749644263171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3566.0765868377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6768.48028773892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93.6409860958163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68165.1978745189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28.1073712566382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8</v>
      </c>
      <c r="D5" s="4" t="n">
        <f aca="false">Assumptions!D41</f>
        <v>5.5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33252</v>
      </c>
      <c r="C6" s="0" t="n">
        <f aca="false">B6*(1+C5/100)</f>
        <v>35912.16</v>
      </c>
      <c r="D6" s="0" t="n">
        <f aca="false">C6*(1+D5/100)</f>
        <v>37887.3288</v>
      </c>
      <c r="E6" s="0" t="n">
        <f aca="false">D6*(1+E5/100)</f>
        <v>40350.005172</v>
      </c>
      <c r="F6" s="0" t="n">
        <f aca="false">E6*(1+F5/100)</f>
        <v>42771.00548232</v>
      </c>
      <c r="G6" s="0" t="n">
        <f aca="false">F6*(1+G5/100)</f>
        <v>45123.4107838476</v>
      </c>
      <c r="H6" s="0" t="n">
        <f aca="false">G6*(1+H5/100)</f>
        <v>47379.58132304</v>
      </c>
      <c r="I6" s="0" t="n">
        <f aca="false">H6*(1+I5/100)</f>
        <v>49511.6624825768</v>
      </c>
      <c r="J6" s="0" t="n">
        <f aca="false">I6*(1+J5/100)</f>
        <v>51492.1289818799</v>
      </c>
      <c r="K6" s="0" t="n">
        <f aca="false">J6*(1+K5/100)</f>
        <v>53294.3534962457</v>
      </c>
      <c r="L6" s="0" t="n">
        <f aca="false">K6*(1+L5/100)</f>
        <v>54893.184101133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28.3</v>
      </c>
      <c r="D7" s="4" t="n">
        <f aca="false">Assumptions!D42</f>
        <v>28.8</v>
      </c>
      <c r="E7" s="4" t="n">
        <f aca="false">Assumptions!E42</f>
        <v>29.3</v>
      </c>
      <c r="F7" s="4" t="n">
        <f aca="false">Assumptions!F42</f>
        <v>29.8</v>
      </c>
      <c r="G7" s="4" t="n">
        <f aca="false">Assumptions!G42</f>
        <v>30.3</v>
      </c>
      <c r="H7" s="4" t="n">
        <f aca="false">Assumptions!H42</f>
        <v>30.8</v>
      </c>
      <c r="I7" s="4" t="n">
        <f aca="false">Assumptions!I42</f>
        <v>31</v>
      </c>
      <c r="J7" s="4" t="n">
        <f aca="false">Assumptions!J42</f>
        <v>31</v>
      </c>
      <c r="K7" s="4" t="n">
        <f aca="false">Assumptions!K42</f>
        <v>31</v>
      </c>
      <c r="L7" s="4" t="n">
        <f aca="false">Assumptions!L42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10163.14128</v>
      </c>
      <c r="D8" s="0" t="n">
        <f aca="false">D6*D7/100</f>
        <v>10911.5506944</v>
      </c>
      <c r="E8" s="0" t="n">
        <f aca="false">E6*E7/100</f>
        <v>11822.551515396</v>
      </c>
      <c r="F8" s="0" t="n">
        <f aca="false">F6*F7/100</f>
        <v>12745.7596337314</v>
      </c>
      <c r="G8" s="0" t="n">
        <f aca="false">G6*G7/100</f>
        <v>13672.3934675058</v>
      </c>
      <c r="H8" s="0" t="n">
        <f aca="false">H6*H7/100</f>
        <v>14592.9110474963</v>
      </c>
      <c r="I8" s="0" t="n">
        <f aca="false">I6*I7/100</f>
        <v>15348.6153695988</v>
      </c>
      <c r="J8" s="0" t="n">
        <f aca="false">J6*J7/100</f>
        <v>15962.5599843828</v>
      </c>
      <c r="K8" s="0" t="n">
        <f aca="false">K6*K7/100</f>
        <v>16521.2495838362</v>
      </c>
      <c r="L8" s="0" t="n">
        <f aca="false">L6*L7/100</f>
        <v>17016.8870713512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1.25</v>
      </c>
      <c r="D9" s="4" t="n">
        <f aca="false">Assumptions!D43</f>
        <v>1.25</v>
      </c>
      <c r="E9" s="4" t="n">
        <f aca="false">Assumptions!E43</f>
        <v>1.2</v>
      </c>
      <c r="F9" s="4" t="n">
        <f aca="false">Assumptions!F43</f>
        <v>1.2</v>
      </c>
      <c r="G9" s="4" t="n">
        <f aca="false">Assumptions!G43</f>
        <v>1.2</v>
      </c>
      <c r="H9" s="4" t="n">
        <f aca="false">Assumptions!H43</f>
        <v>1.2</v>
      </c>
      <c r="I9" s="4" t="n">
        <f aca="false">Assumptions!I43</f>
        <v>1.2</v>
      </c>
      <c r="J9" s="4" t="n">
        <f aca="false">Assumptions!J43</f>
        <v>1.2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-448.902</v>
      </c>
      <c r="D10" s="0" t="n">
        <f aca="false">-D6*D9/100</f>
        <v>-473.59161</v>
      </c>
      <c r="E10" s="0" t="n">
        <f aca="false">-E6*E9/100</f>
        <v>-484.200062064</v>
      </c>
      <c r="F10" s="0" t="n">
        <f aca="false">-F6*F9/100</f>
        <v>-513.25206578784</v>
      </c>
      <c r="G10" s="0" t="n">
        <f aca="false">-G6*G9/100</f>
        <v>-541.480929406171</v>
      </c>
      <c r="H10" s="0" t="n">
        <f aca="false">-H6*H9/100</f>
        <v>-568.55497587648</v>
      </c>
      <c r="I10" s="0" t="n">
        <f aca="false">-I6*I9/100</f>
        <v>-594.139949790921</v>
      </c>
      <c r="J10" s="0" t="n">
        <f aca="false">-J6*J9/100</f>
        <v>-617.905547782558</v>
      </c>
      <c r="K10" s="0" t="n">
        <f aca="false">-K6*K9/100</f>
        <v>-639.532241954948</v>
      </c>
      <c r="L10" s="0" t="n">
        <f aca="false">-L6*L9/100</f>
        <v>-658.718209213596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9714.23928</v>
      </c>
      <c r="D11" s="0" t="n">
        <f aca="false">D8+D10+D24</f>
        <v>10437.9590844</v>
      </c>
      <c r="E11" s="0" t="n">
        <f aca="false">E8+E10+E24</f>
        <v>11338.351453332</v>
      </c>
      <c r="F11" s="0" t="n">
        <f aca="false">F8+F10+F24</f>
        <v>12232.5075679435</v>
      </c>
      <c r="G11" s="0" t="n">
        <f aca="false">G8+G10+G24</f>
        <v>13130.9125380997</v>
      </c>
      <c r="H11" s="0" t="n">
        <f aca="false">H8+H10+H24</f>
        <v>14024.3560716198</v>
      </c>
      <c r="I11" s="0" t="n">
        <f aca="false">I8+I10+I24</f>
        <v>14754.4754198079</v>
      </c>
      <c r="J11" s="0" t="n">
        <f aca="false">J8+J10+J24</f>
        <v>15344.6544366002</v>
      </c>
      <c r="K11" s="0" t="n">
        <f aca="false">K8+K10+K24</f>
        <v>15881.7173418812</v>
      </c>
      <c r="L11" s="0" t="n">
        <f aca="false">L8+L10+L24</f>
        <v>16358.1688621376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-2980.70928</v>
      </c>
      <c r="D12" s="4" t="n">
        <f aca="false">-D6*Assumptions!D45/100</f>
        <v>-3030.986304</v>
      </c>
      <c r="E12" s="4" t="n">
        <f aca="false">-E6*Assumptions!E45/100</f>
        <v>-3026.2503879</v>
      </c>
      <c r="F12" s="4" t="n">
        <f aca="false">-F6*Assumptions!F45/100</f>
        <v>-2993.9703837624</v>
      </c>
      <c r="G12" s="4" t="n">
        <f aca="false">-G6*Assumptions!G45/100</f>
        <v>-2933.02170095009</v>
      </c>
      <c r="H12" s="4" t="n">
        <f aca="false">-H6*Assumptions!H45/100</f>
        <v>-2842.7748793824</v>
      </c>
      <c r="I12" s="4" t="n">
        <f aca="false">-I6*Assumptions!I45/100</f>
        <v>-2723.14143654172</v>
      </c>
      <c r="J12" s="4" t="n">
        <f aca="false">-J6*Assumptions!J45/100</f>
        <v>-2574.60644909399</v>
      </c>
      <c r="K12" s="4" t="n">
        <f aca="false">-K6*Assumptions!K45/100</f>
        <v>-2664.71767481228</v>
      </c>
      <c r="L12" s="4" t="n">
        <f aca="false">-L6*Assumptions!L45/100</f>
        <v>-2744.65920505665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6733.53</v>
      </c>
      <c r="D13" s="0" t="n">
        <f aca="false">D11+D12</f>
        <v>7406.9727804</v>
      </c>
      <c r="E13" s="0" t="n">
        <f aca="false">E11+E12</f>
        <v>8312.101065432</v>
      </c>
      <c r="F13" s="0" t="n">
        <f aca="false">F11+F12</f>
        <v>9238.53718418112</v>
      </c>
      <c r="G13" s="0" t="n">
        <f aca="false">G11+G12</f>
        <v>10197.8908371496</v>
      </c>
      <c r="H13" s="0" t="n">
        <f aca="false">H11+H12</f>
        <v>11181.5811922374</v>
      </c>
      <c r="I13" s="0" t="n">
        <f aca="false">I11+I12</f>
        <v>12031.3339832662</v>
      </c>
      <c r="J13" s="0" t="n">
        <f aca="false">J11+J12</f>
        <v>12770.0479875062</v>
      </c>
      <c r="K13" s="0" t="n">
        <f aca="false">K11+K12</f>
        <v>13216.9996670689</v>
      </c>
      <c r="L13" s="0" t="n">
        <f aca="false">L11+L12</f>
        <v>13613.509657081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26</v>
      </c>
      <c r="F14" s="4" t="n">
        <f aca="false">Assumptions!F47</f>
        <v>25</v>
      </c>
      <c r="G14" s="4" t="n">
        <f aca="false">Assumptions!G47</f>
        <v>24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4915.4769</v>
      </c>
      <c r="D15" s="0" t="n">
        <f aca="false">D13-MAX(0,D13)*D14/100</f>
        <v>5407.090129692</v>
      </c>
      <c r="E15" s="0" t="n">
        <f aca="false">E13-MAX(0,E13)*E14/100</f>
        <v>6150.95478841968</v>
      </c>
      <c r="F15" s="0" t="n">
        <f aca="false">F13-MAX(0,F13)*F14/100</f>
        <v>6928.90288813584</v>
      </c>
      <c r="G15" s="0" t="n">
        <f aca="false">G13-MAX(0,G13)*G14/100</f>
        <v>7750.39703623367</v>
      </c>
      <c r="H15" s="0" t="n">
        <f aca="false">H13-MAX(0,H13)*H14/100</f>
        <v>8609.81751802283</v>
      </c>
      <c r="I15" s="0" t="n">
        <f aca="false">I13-MAX(0,I13)*I14/100</f>
        <v>9264.12716711494</v>
      </c>
      <c r="J15" s="0" t="n">
        <f aca="false">J13-MAX(0,J13)*J14/100</f>
        <v>9832.93695037978</v>
      </c>
      <c r="K15" s="0" t="n">
        <f aca="false">K13-MAX(0,K13)*K14/100</f>
        <v>10177.0897436431</v>
      </c>
      <c r="L15" s="0" t="n">
        <f aca="false">L13-MAX(0,L13)*L14/100</f>
        <v>10482.4024359524</v>
      </c>
    </row>
    <row r="16" customFormat="false" ht="15" hidden="false" customHeight="false" outlineLevel="0" collapsed="false">
      <c r="A16" s="0" t="s">
        <v>123</v>
      </c>
      <c r="C16" s="0" t="n">
        <f aca="false">-C12</f>
        <v>2980.70928</v>
      </c>
      <c r="D16" s="0" t="n">
        <f aca="false">-D12</f>
        <v>3030.986304</v>
      </c>
      <c r="E16" s="0" t="n">
        <f aca="false">-E12</f>
        <v>3026.2503879</v>
      </c>
      <c r="F16" s="0" t="n">
        <f aca="false">-F12</f>
        <v>2993.9703837624</v>
      </c>
      <c r="G16" s="0" t="n">
        <f aca="false">-G12</f>
        <v>2933.02170095009</v>
      </c>
      <c r="H16" s="0" t="n">
        <f aca="false">-H12</f>
        <v>2842.7748793824</v>
      </c>
      <c r="I16" s="0" t="n">
        <f aca="false">-I12</f>
        <v>2723.14143654172</v>
      </c>
      <c r="J16" s="0" t="n">
        <f aca="false">-J12</f>
        <v>2574.60644909399</v>
      </c>
      <c r="K16" s="0" t="n">
        <f aca="false">-K12</f>
        <v>2664.71767481228</v>
      </c>
      <c r="L16" s="0" t="n">
        <f aca="false">-L12</f>
        <v>2744.65920505665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-1867.43232</v>
      </c>
      <c r="D17" s="4" t="n">
        <f aca="false">-D6*Assumptions!D46/100</f>
        <v>-1932.2537688</v>
      </c>
      <c r="E17" s="4" t="n">
        <f aca="false">-E6*Assumptions!E46/100</f>
        <v>-2017.5002586</v>
      </c>
      <c r="F17" s="4" t="n">
        <f aca="false">-F6*Assumptions!F46/100</f>
        <v>-2095.77926863368</v>
      </c>
      <c r="G17" s="4" t="n">
        <f aca="false">-G6*Assumptions!G46/100</f>
        <v>-2165.92371762469</v>
      </c>
      <c r="H17" s="4" t="n">
        <f aca="false">-H6*Assumptions!H46/100</f>
        <v>-2226.84032218288</v>
      </c>
      <c r="I17" s="4" t="n">
        <f aca="false">-I6*Assumptions!I46/100</f>
        <v>-2327.04813668111</v>
      </c>
      <c r="J17" s="4" t="n">
        <f aca="false">-J6*Assumptions!J46/100</f>
        <v>-2368.63793316647</v>
      </c>
      <c r="K17" s="4" t="n">
        <f aca="false">-K6*Assumptions!K46/100</f>
        <v>-2451.5402608273</v>
      </c>
      <c r="L17" s="4" t="n">
        <f aca="false">-L6*Assumptions!L46/100</f>
        <v>-2525.08646865212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-585.235200000001</v>
      </c>
      <c r="D18" s="4" t="n">
        <f aca="false">(D6-C6)*Assumptions!$B$51/100</f>
        <v>-434.537136</v>
      </c>
      <c r="E18" s="4" t="n">
        <f aca="false">(E6-D6)*Assumptions!$B$51/100</f>
        <v>-541.78880184</v>
      </c>
      <c r="F18" s="4" t="n">
        <f aca="false">(F6-E6)*Assumptions!$B$51/100</f>
        <v>-532.6200682704</v>
      </c>
      <c r="G18" s="4" t="n">
        <f aca="false">(G6-F6)*Assumptions!$B$51/100</f>
        <v>-517.529166336072</v>
      </c>
      <c r="H18" s="4" t="n">
        <f aca="false">(H6-G6)*Assumptions!$B$51/100</f>
        <v>-496.357518622324</v>
      </c>
      <c r="I18" s="4" t="n">
        <f aca="false">(I6-H6)*Assumptions!$B$51/100</f>
        <v>-469.057855098096</v>
      </c>
      <c r="J18" s="4" t="n">
        <f aca="false">(J6-I6)*Assumptions!$B$51/100</f>
        <v>-435.702629846676</v>
      </c>
      <c r="K18" s="4" t="n">
        <f aca="false">(K6-J6)*Assumptions!$B$51/100</f>
        <v>-396.489393160474</v>
      </c>
      <c r="L18" s="4" t="n">
        <f aca="false">(L6-K6)*Assumptions!$B$51/100</f>
        <v>-351.742733075222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5443.51866</v>
      </c>
      <c r="D19" s="0" t="n">
        <f aca="false">D15+D16+D17+D18</f>
        <v>6071.285528892</v>
      </c>
      <c r="E19" s="0" t="n">
        <f aca="false">E15+E16+E17+E18</f>
        <v>6617.91611587968</v>
      </c>
      <c r="F19" s="0" t="n">
        <f aca="false">F15+F16+F17+F18</f>
        <v>7294.47393499416</v>
      </c>
      <c r="G19" s="0" t="n">
        <f aca="false">G15+G16+G17+G18</f>
        <v>7999.965853223</v>
      </c>
      <c r="H19" s="0" t="n">
        <f aca="false">H15+H16+H17+H18</f>
        <v>8729.39455660002</v>
      </c>
      <c r="I19" s="0" t="n">
        <f aca="false">I15+I16+I17+I18</f>
        <v>9191.16261187746</v>
      </c>
      <c r="J19" s="0" t="n">
        <f aca="false">J15+J16+J17+J18</f>
        <v>9603.20283646062</v>
      </c>
      <c r="K19" s="0" t="n">
        <f aca="false">K15+K16+K17+K18</f>
        <v>9993.77776446758</v>
      </c>
      <c r="L19" s="0" t="n">
        <f aca="false">L15+L16+L17+L18</f>
        <v>10350.2324392817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5087.40061682243</v>
      </c>
      <c r="D21" s="0" t="n">
        <f aca="false">D19*D20</f>
        <v>5302.89591133898</v>
      </c>
      <c r="E21" s="0" t="n">
        <f aca="false">E19*E20</f>
        <v>5402.19087483434</v>
      </c>
      <c r="F21" s="0" t="n">
        <f aca="false">F19*F20</f>
        <v>5564.91923941252</v>
      </c>
      <c r="G21" s="0" t="n">
        <f aca="false">G19*G20</f>
        <v>5703.86508968927</v>
      </c>
      <c r="H21" s="0" t="n">
        <f aca="false">H19*H20</f>
        <v>5816.76418141662</v>
      </c>
      <c r="I21" s="0" t="n">
        <f aca="false">I19*I20</f>
        <v>5723.79414416599</v>
      </c>
      <c r="J21" s="0" t="n">
        <f aca="false">J19*J20</f>
        <v>5589.15148380488</v>
      </c>
      <c r="K21" s="0" t="n">
        <f aca="false">K19*K20</f>
        <v>5435.95294198109</v>
      </c>
      <c r="L21" s="0" t="n">
        <f aca="false">L19*L20</f>
        <v>5261.53333393863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2.75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54888.4678174048</v>
      </c>
    </row>
    <row r="31" customFormat="false" ht="15" hidden="false" customHeight="false" outlineLevel="0" collapsed="false">
      <c r="A31" s="0" t="s">
        <v>132</v>
      </c>
      <c r="B31" s="0" t="n">
        <f aca="false">L19</f>
        <v>10350.2324392817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250232.090149692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186304.18390707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186304.18390707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94707.6000108953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149596.0678283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135664.0678283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105.566934735274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0.221274117714873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3797.26672150895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8095.70720218012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114.821447165193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86815.2149498932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35.1092603816896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52.7769725815446</v>
      </c>
      <c r="C4" s="0" t="n">
        <f aca="false">B4/Assumptions!$B$2-1</f>
        <v>-0.389438077492542</v>
      </c>
      <c r="D4" s="4" t="n">
        <f aca="false">Assumptions!$B$24</f>
        <v>0.2</v>
      </c>
      <c r="E4" s="4" t="n">
        <f aca="false">DCF_Bear!$B$43</f>
        <v>59.9317969157949</v>
      </c>
      <c r="F4" s="4" t="n">
        <f aca="false">DCF_Bear!$B$47</f>
        <v>18.4775929490987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85.5991552074989</v>
      </c>
      <c r="C5" s="0" t="n">
        <f aca="false">B5/Assumptions!$B$2-1</f>
        <v>-0.00972749644263171</v>
      </c>
      <c r="D5" s="4" t="n">
        <f aca="false">Assumptions!$B$38</f>
        <v>0.5</v>
      </c>
      <c r="E5" s="4" t="n">
        <f aca="false">DCF_Base!$B$43</f>
        <v>93.6409860958163</v>
      </c>
      <c r="F5" s="4" t="n">
        <f aca="false">DCF_Base!$B$47</f>
        <v>28.1073712566382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105.566934735274</v>
      </c>
      <c r="C6" s="0" t="n">
        <f aca="false">B6/Assumptions!$B$2-1</f>
        <v>0.221274117714873</v>
      </c>
      <c r="D6" s="4" t="n">
        <f aca="false">Assumptions!$B$52</f>
        <v>0.3</v>
      </c>
      <c r="E6" s="4" t="n">
        <f aca="false">DCF_Bull!$B$43</f>
        <v>114.821447165193</v>
      </c>
      <c r="F6" s="4" t="n">
        <f aca="false">DCF_Bull!$B$47</f>
        <v>35.1092603816896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85.0250525406405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93.2532865806249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-0.0166415358424297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17.1962471228177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28.2819823326457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85.5991552074989</v>
      </c>
      <c r="C15" s="3" t="n">
        <v>7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66.023432750831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55.459599006597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47.3933938959031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41.0354779233915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28.1073712566382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101.914391386322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101.914391386322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101.914391386322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101.914391386322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101.914391386322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93.3630815861247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93.3630815861247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93.3630815861247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93.3630815861247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93.3630815861247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85.5991552074989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85.5991552074989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85.5991552074989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85.5991552074989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85.5991552074989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71.396848410979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75.5454671214221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78.541691745631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78.541691745631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78.541691745631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59.9140290693409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62.7505379214613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66.023432750831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69.8418100517623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72.1188240385562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2026-10-02T00:55:42Z</dcterms:created>
  <dc:creator>openpyxl</dc:creator>
  <dc:description/>
  <dc:language>en-NZ</dc:language>
  <cp:lastModifiedBy/>
  <dcterms:modified xsi:type="dcterms:W3CDTF">2026-10-02T00:55:42Z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