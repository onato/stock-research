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<sst xmlns="http://schemas.openxmlformats.org/spreadsheetml/2006/main" count="369" uniqueCount="171">
  <si>
    <t xml:space="preserve">Ticker</t>
  </si>
  <si>
    <t xml:space="preserve">ATD.TO</t>
  </si>
  <si>
    <t xml:space="preserve">Company</t>
  </si>
  <si>
    <t xml:space="preserve">Alimentation Couche-Tard Inc.</t>
  </si>
  <si>
    <t xml:space="preserve">Valuation date</t>
  </si>
  <si>
    <t xml:space="preserve">2026-10-10</t>
  </si>
  <si>
    <t xml:space="preserve">Current price</t>
  </si>
  <si>
    <t xml:space="preserve">Price as of</t>
  </si>
  <si>
    <t xml:space="preserve">2026-10-09T20:00:00Z regular TSX close (Friday); not an after-hours print</t>
  </si>
  <si>
    <t xml:space="preserve">Balance sheet date</t>
  </si>
  <si>
    <t xml:space="preserve">2026-07-19</t>
  </si>
  <si>
    <t xml:space="preserve">Model</t>
  </si>
  <si>
    <t xml:space="preserve">owner_fcf_dcf_component</t>
  </si>
  <si>
    <t xml:space="preserve">Currency (model)</t>
  </si>
  <si>
    <t xml:space="preserve">USD</t>
  </si>
  <si>
    <t xml:space="preserve">Currency (quote)</t>
  </si>
  <si>
    <t xml:space="preserve">CAD</t>
  </si>
  <si>
    <t xml:space="preserve">Units</t>
  </si>
  <si>
    <t xml:space="preserve">millions</t>
  </si>
  <si>
    <t xml:space="preserve">Engine</t>
  </si>
  <si>
    <t xml:space="preserve">dcf_engine v1</t>
  </si>
  <si>
    <t xml:space="preserve">Built at</t>
  </si>
  <si>
    <t xml:space="preserve">2026-10-10T06:00:43Z</t>
  </si>
  <si>
    <t xml:space="preserve">Drivers file</t>
  </si>
  <si>
    <t xml:space="preserve">ATD.TO_Drivers.json</t>
  </si>
  <si>
    <t xml:space="preserve">Convention</t>
  </si>
  <si>
    <t xml:space="preserve">Percents stored as percents; formulas divide by 100. Blue = input, green = link, black = formula.</t>
  </si>
  <si>
    <t xml:space="preserve">Methodology</t>
  </si>
  <si>
    <t xml:space="preserve">summary: Value the standalone convenience/fuel platform on owner FCF with leases charged as an operating cost, fuel margins allowed to normalise, SBC expensed (immaterial), the share count held flat, and the pending Zabka acquisition held NPV-neutral at the offer price until it closes and reports. The valuation is a margin call, not a revenue call: each 0.1pp of sustained EBITDA margin is roughly US$80m of EBITDA and ~C$1.4/share.
key_risks_to_valuation: Fuel gross-margin mean reversion: FY2026 US 47.5 cpg and Q1 FY2027 52.6 cpg vs ~45 cpg in FY2024-25; every 1 cpg on ~9.7bn US gallons is ~US$97m of EBITDA; Zabka (US$8.6bn, debt-funded, Couche-Tard's largest deal) closing at full price with integration risk in a franchise model unlike its own; held NPV-neutral here, so both the accretion and the overpayment cases sit outside the base numbers; Secular nicotine decline (39% of merchandise sales) and EV erosion of European fuel volumes (-2.2% same-store FY2026) not fully offset by food service and private label; Cash-tax normalisation: FY2026 cash tax of 440.5 vs ~930 book is a timing benefit the base unwinds to 23% by Y5; a slower unwind adds value, a faster one subtracts; Terminal cap at 18x FCF binds in the base (Gordon 20.5x); the valuation is capped-multiple-sensitive rather than growth-sensitive; FX: USD flows converted to CAD at 1.4254; a 5% CAD rally is ~C$4/share with no change in the business</t>
  </si>
  <si>
    <t xml:space="preserve">Data sources</t>
  </si>
  <si>
    <t xml:space="preserve">price: Yahoo Finance chart API at inputs.price_as_of; 52-week range C$68.30-95.15. FX: Yahoo CAD=X at the time in inputs.fx_note, parity-checked against ANCTF (US OTC).
financials: ATD.TO_Metrics.csv (FY2015-FY2026 annual, Q1 quarters; USD millions, lease-inclusive total_debt) and the FY2026 annual financial statements, MD&amp;A and AIF plus the Q1 FY2027 quarterly report (balance sheet, share count, Zabka subsequent event, FY2027 outlook) in research/ATD.TO/Extracted/.
qualitative: ATD.TO_Analysis.json (2026-10-10): Core + More FY2027-30 framework (adj EBITDA +6-8%, EPS +10%+, merchandise revenue +4-5%, Fit-to-Serve ~$850m), Zabka terms, bull/bear axes.</t>
  </si>
  <si>
    <t xml:space="preserve">Scenario narrative: bear</t>
  </si>
  <si>
    <t xml:space="preserve">Fuel margins revert to the FY2023-25 norm and nicotine/EV headwinds bite, taking the margin to 7.6%; Zabka adds leverage and integration cost without synergies inside the horizon; buybacks pause. EBITDA is flat for two years and grows ~2% thereafter, capitalised at 15x.</t>
  </si>
  <si>
    <t xml:space="preserve">Scenario narrative: base</t>
  </si>
  <si>
    <t xml:space="preserve">Core + More delivered at the low end: adjusted EBITDA ~5.7%/yr to FY2030 (guide 6-8%) because FY2026-27 fuel margins are a partial peak that gives some back, while Fit-to-Serve, food and private label hold the margin at 8.6-8.7%. Revenue is fuel-price noise and is modelled only to carry the margin. Zabka treated as NPV-neutral at the US$8.6bn offer. Cash tax normalises from 17% to 23% as bonus-depreciation deferrals unwind. Buybacks keep the count flat; their per-share compounding beyond that is not credited.</t>
  </si>
  <si>
    <t xml:space="preserve">Scenario narrative: bull</t>
  </si>
  <si>
    <t xml:space="preserve">Fuel economics stay structurally better (industry consolidation, volume-for-margin trade), Fit-to-Serve and food lift the margin above 9%, and Zabka is accretive on the TotalEnergies integration record. Adj EBITDA ~9%/yr to FY2030; management's 10%+ EPS guide is exceeded.</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</si>
  <si>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</si>
  <si>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</si>
  <si>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</si>
  <si>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</si>
  <si>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</si>
  <si>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</si>
  <si>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</si>
  <si>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</si>
  <si>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</si>
  <si>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</si>
  <si>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</si>
  <si>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</si>
  <si>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</si>
  <si>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</si>
  <si>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</si>
  <si>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</si>
  <si>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</si>
  <si>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</si>
  <si>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</si>
  <si>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</si>
  <si>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</si>
  <si>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</si>
  <si>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</si>
  <si>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</si>
  <si>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</si>
  <si>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</si>
  <si>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</si>
  <si>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InterestPaid</t>
  </si>
  <si>
    <t xml:space="preserve">LeasePrincipalPaid</t>
  </si>
  <si>
    <t xml:space="preserve">StoreCount</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</si>
  <si>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</si>
  <si>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</si>
  <si>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</si>
  <si>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</si>
  <si>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</si>
  <si>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</si>
  <si>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</si>
  <si>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</si>
  <si>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</si>
  <si>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</si>
  <si>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</si>
  <si>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</si>
  <si>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</si>
  <si>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</si>
  <si>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</si>
  <si>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</si>
  <si>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</si>
  <si>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</si>
  <si>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</si>
  <si>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</si>
  <si>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</si>
  <si>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</si>
  <si>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</si>
  <si>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</si>
  <si>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</si>
  <si>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</si>
  <si>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</si>
  <si>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</si>
  <si>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</si>
  <si>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</si>
  <si>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</si>
  <si>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</si>
  <si>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</si>
  <si>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</si>
  <si>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</si>
  <si>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</si>
  <si>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</si>
  <si>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</si>
  <si>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</si>
  <si>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</si>
  <si>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</si>
  <si>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</si>
  <si>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</si>
  <si>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</si>
  <si>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</si>
  <si>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</si>
  <si>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</si>
  <si>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</si>
  <si>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</si>
  <si>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ATD.TO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</si>
  <si>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</si>
  <si>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</si>
  <si>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</si>
  <si>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</si>
  <si>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</si>
  <si>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</si>
  <si>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</si>
  <si>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</si>
  <si>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</si>
  <si>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</si>
  <si>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</si>
  <si>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</si>
  <si>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</si>
  <si>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</si>
  <si>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</si>
  <si>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</si>
  <si>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</si>
  <si>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</si>
  <si>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</si>
  <si>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</si>
  <si>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</si>
  <si>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</si>
  <si>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</si>
  <si>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</si>
  <si>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</si>
  <si>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</si>
  <si>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</si>
  <si>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</si>
  <si>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</si>
  <si>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</si>
  <si>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ATD.TO owner-FCF component DCF: base case (millions, USD)</t>
  </si>
  <si>
    <t xml:space="preserve">ATD.TO owner-FCF component DCF: bull case (millions, USD)</t>
  </si>
  <si>
    <t xml:space="preserve">ATD.TO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</si>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</sst>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77.65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row>
    <row r="2" customFormat="false" ht="15" hidden="false" customHeight="false" outlineLevel="0" collapsed="false">
      <c r="A2" s="0" t="s">
        <v>67</v>
      </c>
      <c r="B2" s="0" t="n">
        <v>34529.9</v>
      </c>
      <c r="C2" s="0" t="n">
        <v>29261.9</v>
      </c>
      <c r="D2" s="0" t="n">
        <v>5268</v>
      </c>
      <c r="E2" s="0" t="n">
        <v>15.3</v>
      </c>
      <c r="F2" s="0" t="n">
        <v>1319.7</v>
      </c>
      <c r="G2" s="0" t="n">
        <v>3.8</v>
      </c>
      <c r="H2" s="0" t="n">
        <v>1875.5</v>
      </c>
      <c r="I2" s="0" t="n">
        <v>929.3</v>
      </c>
      <c r="J2" s="0" t="n">
        <v>2.7</v>
      </c>
      <c r="K2" s="0" t="n">
        <v>0.815</v>
      </c>
      <c r="L2" s="0" t="n">
        <v>1714.5</v>
      </c>
      <c r="M2" s="0" t="n">
        <v>634.5</v>
      </c>
      <c r="N2" s="0" t="n">
        <v>1080</v>
      </c>
      <c r="O2" s="0" t="n">
        <v>3889.1</v>
      </c>
      <c r="P2" s="0" t="n">
        <v>11028.4</v>
      </c>
      <c r="Q2" s="0" t="n">
        <v>7125.4</v>
      </c>
      <c r="R2" s="0" t="n">
        <v>3068.3</v>
      </c>
      <c r="S2" s="0" t="n">
        <v>575.8</v>
      </c>
      <c r="T2" s="0" t="n">
        <v>1137.422</v>
      </c>
      <c r="U2" s="0" t="n">
        <v>13.8</v>
      </c>
      <c r="AA2" s="0" t="s">
        <v>18</v>
      </c>
      <c r="AB2" s="0" t="s">
        <v>14</v>
      </c>
      <c r="AC2" s="0" t="n">
        <v>62.7</v>
      </c>
    </row>
    <row r="3" customFormat="false" ht="15" hidden="false" customHeight="false" outlineLevel="0" collapsed="false">
      <c r="A3" s="0" t="s">
        <v>68</v>
      </c>
      <c r="B3" s="0" t="n">
        <v>34144.6</v>
      </c>
      <c r="C3" s="0" t="n">
        <v>28063.1</v>
      </c>
      <c r="D3" s="0" t="n">
        <v>6081.5</v>
      </c>
      <c r="E3" s="0" t="n">
        <v>17.8</v>
      </c>
      <c r="F3" s="0" t="n">
        <v>1669.8</v>
      </c>
      <c r="G3" s="0" t="n">
        <v>4.9</v>
      </c>
      <c r="H3" s="0" t="n">
        <v>2332.2</v>
      </c>
      <c r="I3" s="0" t="n">
        <v>1193.5</v>
      </c>
      <c r="J3" s="0" t="n">
        <v>3.5</v>
      </c>
      <c r="K3" s="0" t="n">
        <v>1.05</v>
      </c>
      <c r="L3" s="0" t="n">
        <v>1887.9</v>
      </c>
      <c r="M3" s="0" t="n">
        <v>905.7</v>
      </c>
      <c r="N3" s="0" t="n">
        <v>982.2</v>
      </c>
      <c r="O3" s="0" t="n">
        <v>5043.6</v>
      </c>
      <c r="P3" s="0" t="n">
        <v>12303.9</v>
      </c>
      <c r="Q3" s="0" t="n">
        <v>7260.3</v>
      </c>
      <c r="R3" s="0" t="n">
        <v>2857</v>
      </c>
      <c r="S3" s="0" t="n">
        <v>599.4</v>
      </c>
      <c r="T3" s="0" t="n">
        <v>1138.39</v>
      </c>
      <c r="U3" s="0" t="n">
        <v>10.9</v>
      </c>
      <c r="AA3" s="0" t="s">
        <v>18</v>
      </c>
      <c r="AB3" s="0" t="s">
        <v>14</v>
      </c>
      <c r="AC3" s="0" t="n">
        <v>84.7</v>
      </c>
    </row>
    <row r="4" customFormat="false" ht="15" hidden="false" customHeight="false" outlineLevel="0" collapsed="false">
      <c r="A4" s="0" t="s">
        <v>69</v>
      </c>
      <c r="B4" s="0" t="n">
        <v>37904.5</v>
      </c>
      <c r="C4" s="0" t="n">
        <v>31422.7</v>
      </c>
      <c r="D4" s="0" t="n">
        <v>6481.8</v>
      </c>
      <c r="E4" s="0" t="n">
        <v>17.1</v>
      </c>
      <c r="F4" s="0" t="n">
        <v>1697.7</v>
      </c>
      <c r="G4" s="0" t="n">
        <v>4.5</v>
      </c>
      <c r="H4" s="0" t="n">
        <v>2395.7</v>
      </c>
      <c r="I4" s="0" t="n">
        <v>1208.9</v>
      </c>
      <c r="J4" s="0" t="n">
        <v>3.2</v>
      </c>
      <c r="K4" s="0" t="n">
        <v>1.06</v>
      </c>
      <c r="L4" s="0" t="n">
        <v>1925.5</v>
      </c>
      <c r="M4" s="0" t="n">
        <v>994.1</v>
      </c>
      <c r="N4" s="0" t="n">
        <v>931.4</v>
      </c>
      <c r="O4" s="0" t="n">
        <v>6009.6</v>
      </c>
      <c r="P4" s="0" t="n">
        <v>14185.6</v>
      </c>
      <c r="Q4" s="0" t="n">
        <v>8176</v>
      </c>
      <c r="R4" s="0" t="n">
        <v>3354.9</v>
      </c>
      <c r="S4" s="0" t="n">
        <v>637.6</v>
      </c>
      <c r="T4" s="0" t="n">
        <v>1138.586</v>
      </c>
      <c r="U4" s="0" t="n">
        <v>10.6</v>
      </c>
      <c r="AA4" s="0" t="s">
        <v>18</v>
      </c>
      <c r="AB4" s="0" t="s">
        <v>14</v>
      </c>
      <c r="AC4" s="0" t="n">
        <v>102.2</v>
      </c>
      <c r="AE4" s="0" t="n">
        <v>10869</v>
      </c>
    </row>
    <row r="5" customFormat="false" ht="15" hidden="false" customHeight="false" outlineLevel="0" collapsed="false">
      <c r="A5" s="0" t="s">
        <v>70</v>
      </c>
      <c r="B5" s="0" t="n">
        <v>51394.4</v>
      </c>
      <c r="C5" s="0" t="n">
        <v>43282.9</v>
      </c>
      <c r="D5" s="0" t="n">
        <v>8111.5</v>
      </c>
      <c r="E5" s="0" t="n">
        <v>15.8</v>
      </c>
      <c r="F5" s="0" t="n">
        <v>2041.1</v>
      </c>
      <c r="G5" s="0" t="n">
        <v>4</v>
      </c>
      <c r="H5" s="0" t="n">
        <v>2979.5</v>
      </c>
      <c r="I5" s="0" t="n">
        <v>1673.6</v>
      </c>
      <c r="J5" s="0" t="n">
        <v>3.3</v>
      </c>
      <c r="K5" s="0" t="n">
        <v>1.475</v>
      </c>
      <c r="L5" s="0" t="n">
        <v>2163.1</v>
      </c>
      <c r="M5" s="0" t="n">
        <v>1169.3</v>
      </c>
      <c r="N5" s="0" t="n">
        <v>993.8</v>
      </c>
      <c r="O5" s="0" t="n">
        <v>7563.4</v>
      </c>
      <c r="P5" s="0" t="n">
        <v>23140.6</v>
      </c>
      <c r="Q5" s="0" t="n">
        <v>15250.2</v>
      </c>
      <c r="R5" s="0" t="n">
        <v>8886.9</v>
      </c>
      <c r="S5" s="0" t="n">
        <v>666.2</v>
      </c>
      <c r="T5" s="0" t="n">
        <v>1133.756</v>
      </c>
      <c r="U5" s="0" t="n">
        <v>8.5</v>
      </c>
      <c r="AA5" s="0" t="s">
        <v>18</v>
      </c>
      <c r="AB5" s="0" t="s">
        <v>14</v>
      </c>
      <c r="AC5" s="0" t="n">
        <v>233.5</v>
      </c>
      <c r="AE5" s="0" t="n">
        <v>12740</v>
      </c>
    </row>
    <row r="6" customFormat="false" ht="15" hidden="false" customHeight="false" outlineLevel="0" collapsed="false">
      <c r="A6" s="0" t="s">
        <v>71</v>
      </c>
      <c r="B6" s="0" t="n">
        <v>59117.6</v>
      </c>
      <c r="C6" s="0" t="n">
        <v>49922.7</v>
      </c>
      <c r="D6" s="0" t="n">
        <v>9194.9</v>
      </c>
      <c r="E6" s="0" t="n">
        <v>15.6</v>
      </c>
      <c r="F6" s="0" t="n">
        <v>2488.9</v>
      </c>
      <c r="G6" s="0" t="n">
        <v>4.2</v>
      </c>
      <c r="H6" s="0" t="n">
        <v>3583</v>
      </c>
      <c r="I6" s="0" t="n">
        <v>1833.9</v>
      </c>
      <c r="J6" s="0" t="n">
        <v>3.1</v>
      </c>
      <c r="K6" s="0" t="n">
        <v>1.62</v>
      </c>
      <c r="L6" s="0" t="n">
        <v>3083.6</v>
      </c>
      <c r="M6" s="0" t="n">
        <v>1145.1</v>
      </c>
      <c r="N6" s="0" t="n">
        <v>1938.5</v>
      </c>
      <c r="O6" s="0" t="n">
        <v>8923.2</v>
      </c>
      <c r="P6" s="0" t="n">
        <v>22607.7</v>
      </c>
      <c r="Q6" s="0" t="n">
        <v>13426.6</v>
      </c>
      <c r="R6" s="0" t="n">
        <v>6951.4</v>
      </c>
      <c r="S6" s="0" t="n">
        <v>706.4</v>
      </c>
      <c r="T6" s="0" t="n">
        <v>1130.1</v>
      </c>
      <c r="U6" s="0" t="n">
        <v>15.4</v>
      </c>
      <c r="AA6" s="0" t="s">
        <v>18</v>
      </c>
      <c r="AB6" s="0" t="s">
        <v>14</v>
      </c>
      <c r="AC6" s="0" t="n">
        <v>291.1</v>
      </c>
      <c r="AE6" s="0" t="n">
        <v>12575</v>
      </c>
    </row>
    <row r="7" customFormat="false" ht="15" hidden="false" customHeight="false" outlineLevel="0" collapsed="false">
      <c r="A7" s="0" t="s">
        <v>72</v>
      </c>
      <c r="B7" s="0" t="n">
        <v>54132.4</v>
      </c>
      <c r="C7" s="0" t="n">
        <v>44397.7</v>
      </c>
      <c r="D7" s="0" t="n">
        <v>9734.7</v>
      </c>
      <c r="E7" s="0" t="n">
        <v>18</v>
      </c>
      <c r="F7" s="0" t="n">
        <v>3162.5</v>
      </c>
      <c r="G7" s="0" t="n">
        <v>5.8</v>
      </c>
      <c r="H7" s="0" t="n">
        <v>4524.8</v>
      </c>
      <c r="I7" s="0" t="n">
        <v>2353.6</v>
      </c>
      <c r="J7" s="0" t="n">
        <v>4.3</v>
      </c>
      <c r="K7" s="0" t="n">
        <v>2.09</v>
      </c>
      <c r="L7" s="0" t="n">
        <v>3720.7</v>
      </c>
      <c r="M7" s="0" t="n">
        <v>1408.2</v>
      </c>
      <c r="N7" s="0" t="n">
        <v>2312.5</v>
      </c>
      <c r="O7" s="0" t="n">
        <v>10066.6</v>
      </c>
      <c r="P7" s="0" t="n">
        <v>25679.5</v>
      </c>
      <c r="Q7" s="0" t="n">
        <v>15612.9</v>
      </c>
      <c r="R7" s="0" t="n">
        <v>10379.3</v>
      </c>
      <c r="S7" s="0" t="n">
        <v>3641.5</v>
      </c>
      <c r="T7" s="0" t="n">
        <v>1124.5</v>
      </c>
      <c r="U7" s="0" t="n">
        <v>14.3</v>
      </c>
      <c r="AA7" s="0" t="s">
        <v>18</v>
      </c>
      <c r="AB7" s="0" t="s">
        <v>14</v>
      </c>
      <c r="AC7" s="0" t="n">
        <v>329.3</v>
      </c>
      <c r="AD7" s="0" t="n">
        <v>380</v>
      </c>
      <c r="AE7" s="0" t="n">
        <v>12124</v>
      </c>
    </row>
    <row r="8" customFormat="false" ht="15" hidden="false" customHeight="false" outlineLevel="0" collapsed="false">
      <c r="A8" s="0" t="s">
        <v>73</v>
      </c>
      <c r="B8" s="0" t="n">
        <v>45760.1</v>
      </c>
      <c r="C8" s="0" t="n">
        <v>35644.8</v>
      </c>
      <c r="D8" s="0" t="n">
        <v>10115.3</v>
      </c>
      <c r="E8" s="0" t="n">
        <v>22.1</v>
      </c>
      <c r="F8" s="0" t="n">
        <v>3675.6</v>
      </c>
      <c r="G8" s="0" t="n">
        <v>8</v>
      </c>
      <c r="H8" s="0" t="n">
        <v>5060.5</v>
      </c>
      <c r="I8" s="0" t="n">
        <v>2705.5</v>
      </c>
      <c r="J8" s="0" t="n">
        <v>5.9</v>
      </c>
      <c r="K8" s="0" t="n">
        <v>2.44</v>
      </c>
      <c r="L8" s="0" t="n">
        <v>4086.6</v>
      </c>
      <c r="M8" s="0" t="n">
        <v>1189.1</v>
      </c>
      <c r="N8" s="0" t="n">
        <v>2897.5</v>
      </c>
      <c r="O8" s="0" t="n">
        <v>12180.9</v>
      </c>
      <c r="P8" s="0" t="n">
        <v>28394.5</v>
      </c>
      <c r="Q8" s="0" t="n">
        <v>16213.6</v>
      </c>
      <c r="R8" s="0" t="n">
        <v>9602</v>
      </c>
      <c r="S8" s="0" t="n">
        <v>3015.8</v>
      </c>
      <c r="T8" s="0" t="n">
        <v>1106.7</v>
      </c>
      <c r="U8" s="0" t="n">
        <v>18.9</v>
      </c>
      <c r="AA8" s="0" t="s">
        <v>18</v>
      </c>
      <c r="AB8" s="0" t="s">
        <v>14</v>
      </c>
      <c r="AD8" s="0" t="n">
        <v>404.2</v>
      </c>
      <c r="AE8" s="0" t="n">
        <v>12328</v>
      </c>
    </row>
    <row r="9" customFormat="false" ht="15" hidden="false" customHeight="false" outlineLevel="0" collapsed="false">
      <c r="A9" s="0" t="s">
        <v>74</v>
      </c>
      <c r="B9" s="0" t="n">
        <v>62809.9</v>
      </c>
      <c r="C9" s="0" t="n">
        <v>51805.1</v>
      </c>
      <c r="D9" s="0" t="n">
        <v>11004.8</v>
      </c>
      <c r="E9" s="0" t="n">
        <v>17.5</v>
      </c>
      <c r="F9" s="0" t="n">
        <v>3678.5</v>
      </c>
      <c r="G9" s="0" t="n">
        <v>5.9</v>
      </c>
      <c r="H9" s="0" t="n">
        <v>5244.3</v>
      </c>
      <c r="I9" s="0" t="n">
        <v>2683.3</v>
      </c>
      <c r="J9" s="0" t="n">
        <v>4.3</v>
      </c>
      <c r="K9" s="0" t="n">
        <v>2.52</v>
      </c>
      <c r="L9" s="0" t="n">
        <v>3944.9</v>
      </c>
      <c r="M9" s="0" t="n">
        <v>1664.5</v>
      </c>
      <c r="N9" s="0" t="n">
        <v>2280.4</v>
      </c>
      <c r="O9" s="0" t="n">
        <v>12437.6</v>
      </c>
      <c r="P9" s="0" t="n">
        <v>29591.6</v>
      </c>
      <c r="Q9" s="0" t="n">
        <v>17154</v>
      </c>
      <c r="R9" s="0" t="n">
        <v>9439.9</v>
      </c>
      <c r="S9" s="0" t="n">
        <v>2143.9</v>
      </c>
      <c r="T9" s="0" t="n">
        <v>1063.5</v>
      </c>
      <c r="U9" s="0" t="n">
        <v>23.6</v>
      </c>
      <c r="AA9" s="0" t="s">
        <v>18</v>
      </c>
      <c r="AB9" s="0" t="s">
        <v>14</v>
      </c>
      <c r="AD9" s="0" t="n">
        <v>443.6</v>
      </c>
      <c r="AE9" s="0" t="n">
        <v>12166</v>
      </c>
    </row>
    <row r="10" customFormat="false" ht="15" hidden="false" customHeight="false" outlineLevel="0" collapsed="false">
      <c r="A10" s="0" t="s">
        <v>75</v>
      </c>
      <c r="B10" s="0" t="n">
        <v>71856.7</v>
      </c>
      <c r="C10" s="0" t="n">
        <v>59804.6</v>
      </c>
      <c r="D10" s="0" t="n">
        <v>12052.1</v>
      </c>
      <c r="E10" s="0" t="n">
        <v>16.8</v>
      </c>
      <c r="F10" s="0" t="n">
        <v>4232</v>
      </c>
      <c r="G10" s="0" t="n">
        <v>5.9</v>
      </c>
      <c r="H10" s="0" t="n">
        <v>5761.7</v>
      </c>
      <c r="I10" s="0" t="n">
        <v>3090.9</v>
      </c>
      <c r="J10" s="0" t="n">
        <v>4.3</v>
      </c>
      <c r="K10" s="0" t="n">
        <v>3.06</v>
      </c>
      <c r="L10" s="0" t="n">
        <v>4344.6</v>
      </c>
      <c r="M10" s="0" t="n">
        <v>1803.8</v>
      </c>
      <c r="N10" s="0" t="n">
        <v>2540.8</v>
      </c>
      <c r="O10" s="0" t="n">
        <v>12564.5</v>
      </c>
      <c r="P10" s="0" t="n">
        <v>29058.4</v>
      </c>
      <c r="Q10" s="0" t="n">
        <v>16493.9</v>
      </c>
      <c r="R10" s="0" t="n">
        <v>9473.6</v>
      </c>
      <c r="S10" s="0" t="n">
        <v>834.2</v>
      </c>
      <c r="T10" s="0" t="n">
        <v>1009.5</v>
      </c>
      <c r="U10" s="0" t="n">
        <v>28.3</v>
      </c>
      <c r="AA10" s="0" t="s">
        <v>18</v>
      </c>
      <c r="AB10" s="0" t="s">
        <v>14</v>
      </c>
      <c r="AC10" s="0" t="n">
        <v>353.6</v>
      </c>
      <c r="AD10" s="0" t="n">
        <v>438.9</v>
      </c>
      <c r="AE10" s="0" t="n">
        <v>12432</v>
      </c>
    </row>
    <row r="11" customFormat="false" ht="15" hidden="false" customHeight="false" outlineLevel="0" collapsed="false">
      <c r="A11" s="0" t="s">
        <v>76</v>
      </c>
      <c r="B11" s="0" t="n">
        <v>69263.5</v>
      </c>
      <c r="C11" s="0" t="n">
        <v>57165.6</v>
      </c>
      <c r="D11" s="0" t="n">
        <v>12097.9</v>
      </c>
      <c r="E11" s="0" t="n">
        <v>17.5</v>
      </c>
      <c r="F11" s="0" t="n">
        <v>3810.2</v>
      </c>
      <c r="G11" s="0" t="n">
        <v>5.5</v>
      </c>
      <c r="H11" s="0" t="n">
        <v>5596.1</v>
      </c>
      <c r="I11" s="0" t="n">
        <v>2729.7</v>
      </c>
      <c r="J11" s="0" t="n">
        <v>3.9</v>
      </c>
      <c r="K11" s="0" t="n">
        <v>2.82</v>
      </c>
      <c r="L11" s="0" t="n">
        <v>4817.2</v>
      </c>
      <c r="M11" s="0" t="n">
        <v>1943.1</v>
      </c>
      <c r="N11" s="0" t="n">
        <v>2874.1</v>
      </c>
      <c r="O11" s="0" t="n">
        <v>13189.2</v>
      </c>
      <c r="P11" s="0" t="n">
        <v>36942.1</v>
      </c>
      <c r="Q11" s="0" t="n">
        <v>23640.7</v>
      </c>
      <c r="R11" s="0" t="n">
        <v>14471.7</v>
      </c>
      <c r="S11" s="0" t="n">
        <v>1309</v>
      </c>
      <c r="T11" s="0" t="n">
        <v>968.2</v>
      </c>
      <c r="U11" s="0" t="n">
        <v>30.9</v>
      </c>
      <c r="AA11" s="0" t="s">
        <v>18</v>
      </c>
      <c r="AB11" s="0" t="s">
        <v>14</v>
      </c>
      <c r="AC11" s="0" t="n">
        <v>491.3</v>
      </c>
      <c r="AD11" s="0" t="n">
        <v>478.9</v>
      </c>
      <c r="AE11" s="0" t="n">
        <v>14545</v>
      </c>
    </row>
    <row r="12" customFormat="false" ht="15" hidden="false" customHeight="false" outlineLevel="0" collapsed="false">
      <c r="A12" s="0" t="s">
        <v>77</v>
      </c>
      <c r="B12" s="0" t="n">
        <v>72856.8</v>
      </c>
      <c r="C12" s="0" t="n">
        <v>59835.5</v>
      </c>
      <c r="D12" s="0" t="n">
        <v>13021.3</v>
      </c>
      <c r="E12" s="0" t="n">
        <v>17.9</v>
      </c>
      <c r="F12" s="0" t="n">
        <v>3806.1</v>
      </c>
      <c r="G12" s="0" t="n">
        <v>5.2</v>
      </c>
      <c r="H12" s="0" t="n">
        <v>5940</v>
      </c>
      <c r="I12" s="0" t="n">
        <v>2580.4</v>
      </c>
      <c r="J12" s="0" t="n">
        <v>3.5</v>
      </c>
      <c r="K12" s="0" t="n">
        <v>2.71</v>
      </c>
      <c r="L12" s="0" t="n">
        <v>5037.1</v>
      </c>
      <c r="M12" s="0" t="n">
        <v>2326.6</v>
      </c>
      <c r="N12" s="0" t="n">
        <v>2710.5</v>
      </c>
      <c r="O12" s="0" t="n">
        <v>14946.8</v>
      </c>
      <c r="P12" s="0" t="n">
        <v>38301.9</v>
      </c>
      <c r="Q12" s="0" t="n">
        <v>23208.6</v>
      </c>
      <c r="R12" s="0" t="n">
        <v>13956.3</v>
      </c>
      <c r="S12" s="0" t="n">
        <v>2263</v>
      </c>
      <c r="T12" s="0" t="n">
        <v>950.6</v>
      </c>
      <c r="U12" s="0" t="n">
        <v>23</v>
      </c>
      <c r="AA12" s="0" t="s">
        <v>18</v>
      </c>
      <c r="AB12" s="0" t="s">
        <v>14</v>
      </c>
      <c r="AC12" s="0" t="n">
        <v>627.5</v>
      </c>
      <c r="AD12" s="0" t="n">
        <v>513.2</v>
      </c>
      <c r="AE12" s="0" t="n">
        <v>14477</v>
      </c>
    </row>
    <row r="13" customFormat="false" ht="15" hidden="false" customHeight="false" outlineLevel="0" collapsed="false">
      <c r="A13" s="0" t="s">
        <v>78</v>
      </c>
      <c r="B13" s="0" t="n">
        <v>76506.6</v>
      </c>
      <c r="C13" s="0" t="n">
        <v>62047.8</v>
      </c>
      <c r="D13" s="0" t="n">
        <v>14458.8</v>
      </c>
      <c r="E13" s="0" t="n">
        <v>18.9</v>
      </c>
      <c r="F13" s="0" t="n">
        <v>4641.1</v>
      </c>
      <c r="G13" s="0" t="n">
        <v>6.1</v>
      </c>
      <c r="H13" s="0" t="n">
        <v>7023.6</v>
      </c>
      <c r="I13" s="0" t="n">
        <v>3143.7</v>
      </c>
      <c r="J13" s="0" t="n">
        <v>4.1</v>
      </c>
      <c r="K13" s="0" t="n">
        <v>3.37</v>
      </c>
      <c r="L13" s="0" t="n">
        <v>5363.2</v>
      </c>
      <c r="M13" s="0" t="n">
        <v>1990.5</v>
      </c>
      <c r="N13" s="0" t="n">
        <v>3372.7</v>
      </c>
      <c r="O13" s="0" t="n">
        <v>16178.9</v>
      </c>
      <c r="P13" s="0" t="n">
        <v>43516.7</v>
      </c>
      <c r="Q13" s="0" t="n">
        <v>27209.8</v>
      </c>
      <c r="R13" s="0" t="n">
        <v>16446</v>
      </c>
      <c r="S13" s="0" t="n">
        <v>3111.3</v>
      </c>
      <c r="T13" s="0" t="n">
        <v>932.6</v>
      </c>
      <c r="U13" s="0" t="n">
        <v>27.1</v>
      </c>
      <c r="AA13" s="0" t="s">
        <v>18</v>
      </c>
      <c r="AB13" s="0" t="s">
        <v>14</v>
      </c>
      <c r="AC13" s="0" t="n">
        <v>724.5</v>
      </c>
      <c r="AD13" s="0" t="n">
        <v>581.7</v>
      </c>
      <c r="AE13" s="0" t="n">
        <v>14563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79</v>
      </c>
      <c r="B1" s="2" t="s">
        <v>80</v>
      </c>
    </row>
    <row r="2" customFormat="false" ht="15" hidden="false" customHeight="false" outlineLevel="0" collapsed="false">
      <c r="A2" s="0" t="s">
        <v>81</v>
      </c>
      <c r="B2" s="3" t="n">
        <v>77.65</v>
      </c>
    </row>
    <row r="3" customFormat="false" ht="15" hidden="false" customHeight="false" outlineLevel="0" collapsed="false">
      <c r="A3" s="0" t="s">
        <v>82</v>
      </c>
      <c r="B3" s="3" t="n">
        <v>918.9</v>
      </c>
    </row>
    <row r="4" customFormat="false" ht="15" hidden="false" customHeight="false" outlineLevel="0" collapsed="false">
      <c r="A4" s="0" t="s">
        <v>83</v>
      </c>
      <c r="B4" s="3" t="n">
        <v>7131</v>
      </c>
    </row>
    <row r="5" customFormat="false" ht="15" hidden="false" customHeight="false" outlineLevel="0" collapsed="false">
      <c r="A5" s="0" t="s">
        <v>84</v>
      </c>
      <c r="B5" s="3" t="n">
        <v>-128.1</v>
      </c>
    </row>
    <row r="6" customFormat="false" ht="15" hidden="false" customHeight="false" outlineLevel="0" collapsed="false">
      <c r="A6" s="0" t="s">
        <v>85</v>
      </c>
      <c r="B6" s="3" t="n">
        <v>15</v>
      </c>
    </row>
    <row r="7" customFormat="false" ht="15" hidden="false" customHeight="false" outlineLevel="0" collapsed="false">
      <c r="A7" s="0" t="s">
        <v>86</v>
      </c>
      <c r="B7" s="3" t="n">
        <v>76506.6</v>
      </c>
    </row>
    <row r="8" customFormat="false" ht="15" hidden="false" customHeight="false" outlineLevel="0" collapsed="false">
      <c r="A8" s="0" t="s">
        <v>87</v>
      </c>
      <c r="B8" s="3" t="s">
        <v>78</v>
      </c>
    </row>
    <row r="9" customFormat="false" ht="15" hidden="false" customHeight="false" outlineLevel="0" collapsed="false">
      <c r="A9" s="0" t="s">
        <v>88</v>
      </c>
      <c r="B9" s="3" t="s">
        <v>89</v>
      </c>
    </row>
    <row r="10" customFormat="false" ht="15" hidden="false" customHeight="false" outlineLevel="0" collapsed="false">
      <c r="A10" s="0" t="s">
        <v>90</v>
      </c>
      <c r="B10" s="3" t="n">
        <v>1.4254</v>
      </c>
    </row>
    <row r="12" customFormat="false" ht="15" hidden="false" customHeight="false" outlineLevel="0" collapsed="false">
      <c r="A12" s="2" t="s">
        <v>91</v>
      </c>
      <c r="C12" s="2" t="s">
        <v>92</v>
      </c>
      <c r="D12" s="2" t="s">
        <v>93</v>
      </c>
      <c r="E12" s="2" t="s">
        <v>94</v>
      </c>
      <c r="F12" s="2" t="s">
        <v>95</v>
      </c>
      <c r="G12" s="2" t="s">
        <v>96</v>
      </c>
      <c r="H12" s="2" t="s">
        <v>97</v>
      </c>
      <c r="I12" s="2" t="s">
        <v>98</v>
      </c>
      <c r="J12" s="2" t="s">
        <v>99</v>
      </c>
      <c r="K12" s="2" t="s">
        <v>100</v>
      </c>
      <c r="L12" s="2" t="s">
        <v>101</v>
      </c>
    </row>
    <row r="13" customFormat="false" ht="15" hidden="false" customHeight="false" outlineLevel="0" collapsed="false">
      <c r="A13" s="0" t="s">
        <v>102</v>
      </c>
      <c r="C13" s="3" t="n">
        <v>6</v>
      </c>
      <c r="D13" s="3" t="n">
        <v>0</v>
      </c>
      <c r="E13" s="3" t="n">
        <v>2</v>
      </c>
      <c r="F13" s="3" t="n">
        <v>2</v>
      </c>
      <c r="G13" s="3" t="n">
        <v>2</v>
      </c>
      <c r="H13" s="3" t="n">
        <v>2</v>
      </c>
      <c r="I13" s="3" t="n">
        <v>2</v>
      </c>
      <c r="J13" s="3" t="n">
        <v>2</v>
      </c>
      <c r="K13" s="3" t="n">
        <v>2</v>
      </c>
      <c r="L13" s="3" t="n">
        <v>2</v>
      </c>
    </row>
    <row r="14" customFormat="false" ht="15" hidden="false" customHeight="false" outlineLevel="0" collapsed="false">
      <c r="A14" s="0" t="s">
        <v>103</v>
      </c>
      <c r="C14" s="3" t="n">
        <v>8.1</v>
      </c>
      <c r="D14" s="3" t="n">
        <v>7.7</v>
      </c>
      <c r="E14" s="3" t="n">
        <v>7.6</v>
      </c>
      <c r="F14" s="3" t="n">
        <v>7.6</v>
      </c>
      <c r="G14" s="3" t="n">
        <v>7.6</v>
      </c>
      <c r="H14" s="3" t="n">
        <v>7.6</v>
      </c>
      <c r="I14" s="3" t="n">
        <v>7.6</v>
      </c>
      <c r="J14" s="3" t="n">
        <v>7.6</v>
      </c>
      <c r="K14" s="3" t="n">
        <v>7.6</v>
      </c>
      <c r="L14" s="3" t="n">
        <v>7.6</v>
      </c>
    </row>
    <row r="15" customFormat="false" ht="15" hidden="false" customHeight="false" outlineLevel="0" collapsed="false">
      <c r="A15" s="0" t="s">
        <v>104</v>
      </c>
      <c r="C15" s="3" t="n">
        <v>0.035</v>
      </c>
      <c r="D15" s="3" t="n">
        <v>0.035</v>
      </c>
      <c r="E15" s="3" t="n">
        <v>0.035</v>
      </c>
      <c r="F15" s="3" t="n">
        <v>0.035</v>
      </c>
      <c r="G15" s="3" t="n">
        <v>0.035</v>
      </c>
      <c r="H15" s="3" t="n">
        <v>0.035</v>
      </c>
      <c r="I15" s="3" t="n">
        <v>0.035</v>
      </c>
      <c r="J15" s="3" t="n">
        <v>0.035</v>
      </c>
      <c r="K15" s="3" t="n">
        <v>0.035</v>
      </c>
      <c r="L15" s="3" t="n">
        <v>0.035</v>
      </c>
    </row>
    <row r="16" customFormat="false" ht="15" hidden="false" customHeight="false" outlineLevel="0" collapsed="false">
      <c r="A16" s="0" t="s">
        <v>105</v>
      </c>
      <c r="C16" s="3" t="n">
        <v>1</v>
      </c>
      <c r="D16" s="3" t="n">
        <v>1.05</v>
      </c>
      <c r="E16" s="3" t="n">
        <v>1.05</v>
      </c>
      <c r="F16" s="3" t="n">
        <v>1.05</v>
      </c>
      <c r="G16" s="3" t="n">
        <v>1.05</v>
      </c>
      <c r="H16" s="3" t="n">
        <v>1.05</v>
      </c>
      <c r="I16" s="3" t="n">
        <v>1.05</v>
      </c>
      <c r="J16" s="3" t="n">
        <v>1.05</v>
      </c>
      <c r="K16" s="3" t="n">
        <v>1.05</v>
      </c>
      <c r="L16" s="3" t="n">
        <v>1.05</v>
      </c>
    </row>
    <row r="17" customFormat="false" ht="15" hidden="false" customHeight="false" outlineLevel="0" collapsed="false">
      <c r="A17" s="0" t="s">
        <v>106</v>
      </c>
      <c r="C17" s="3" t="n">
        <v>2.3</v>
      </c>
      <c r="D17" s="3" t="n">
        <v>2.35</v>
      </c>
      <c r="E17" s="3" t="n">
        <v>2.4</v>
      </c>
      <c r="F17" s="3" t="n">
        <v>2.4</v>
      </c>
      <c r="G17" s="3" t="n">
        <v>2.4</v>
      </c>
      <c r="H17" s="3" t="n">
        <v>2.4</v>
      </c>
      <c r="I17" s="3" t="n">
        <v>2.4</v>
      </c>
      <c r="J17" s="3" t="n">
        <v>2.4</v>
      </c>
      <c r="K17" s="3" t="n">
        <v>2.4</v>
      </c>
      <c r="L17" s="3" t="n">
        <v>2.4</v>
      </c>
    </row>
    <row r="18" customFormat="false" ht="15" hidden="false" customHeight="false" outlineLevel="0" collapsed="false">
      <c r="A18" s="0" t="s">
        <v>107</v>
      </c>
      <c r="C18" s="3" t="n">
        <v>2.7</v>
      </c>
      <c r="D18" s="3" t="n">
        <v>2.8</v>
      </c>
      <c r="E18" s="3" t="n">
        <v>2.8</v>
      </c>
      <c r="F18" s="3" t="n">
        <v>2.8</v>
      </c>
      <c r="G18" s="3" t="n">
        <v>2.8</v>
      </c>
      <c r="H18" s="3" t="n">
        <v>2.8</v>
      </c>
      <c r="I18" s="3" t="n">
        <v>2.8</v>
      </c>
      <c r="J18" s="3" t="n">
        <v>2.8</v>
      </c>
      <c r="K18" s="3" t="n">
        <v>2.8</v>
      </c>
      <c r="L18" s="3" t="n">
        <v>2.8</v>
      </c>
    </row>
    <row r="19" customFormat="false" ht="15" hidden="false" customHeight="false" outlineLevel="0" collapsed="false">
      <c r="A19" s="0" t="s">
        <v>108</v>
      </c>
      <c r="C19" s="3" t="n">
        <v>18</v>
      </c>
      <c r="D19" s="3" t="n">
        <v>21</v>
      </c>
      <c r="E19" s="3" t="n">
        <v>23</v>
      </c>
      <c r="F19" s="3" t="n">
        <v>24</v>
      </c>
      <c r="G19" s="3" t="n">
        <v>24</v>
      </c>
      <c r="H19" s="3" t="n">
        <v>24</v>
      </c>
      <c r="I19" s="3" t="n">
        <v>24</v>
      </c>
      <c r="J19" s="3" t="n">
        <v>24</v>
      </c>
      <c r="K19" s="3" t="n">
        <v>24</v>
      </c>
      <c r="L19" s="3" t="n">
        <v>24</v>
      </c>
    </row>
    <row r="20" customFormat="false" ht="15" hidden="false" customHeight="false" outlineLevel="0" collapsed="false">
      <c r="A20" s="0" t="s">
        <v>109</v>
      </c>
      <c r="B20" s="3" t="n">
        <v>7.5</v>
      </c>
    </row>
    <row r="21" customFormat="false" ht="15" hidden="false" customHeight="false" outlineLevel="0" collapsed="false">
      <c r="A21" s="0" t="s">
        <v>110</v>
      </c>
      <c r="B21" s="3" t="n">
        <v>2</v>
      </c>
    </row>
    <row r="22" customFormat="false" ht="15" hidden="false" customHeight="false" outlineLevel="0" collapsed="false">
      <c r="A22" s="0" t="s">
        <v>111</v>
      </c>
      <c r="B22" s="3" t="n">
        <v>15</v>
      </c>
    </row>
    <row r="23" customFormat="false" ht="15" hidden="false" customHeight="false" outlineLevel="0" collapsed="false">
      <c r="A23" s="0" t="s">
        <v>112</v>
      </c>
      <c r="B23" s="3" t="n">
        <v>0</v>
      </c>
    </row>
    <row r="24" customFormat="false" ht="15" hidden="false" customHeight="false" outlineLevel="0" collapsed="false">
      <c r="A24" s="0" t="s">
        <v>113</v>
      </c>
      <c r="B24" s="3" t="n">
        <v>0.25</v>
      </c>
    </row>
    <row r="26" customFormat="false" ht="15" hidden="false" customHeight="false" outlineLevel="0" collapsed="false">
      <c r="A26" s="2" t="s">
        <v>114</v>
      </c>
      <c r="C26" s="2" t="s">
        <v>92</v>
      </c>
      <c r="D26" s="2" t="s">
        <v>93</v>
      </c>
      <c r="E26" s="2" t="s">
        <v>94</v>
      </c>
      <c r="F26" s="2" t="s">
        <v>95</v>
      </c>
      <c r="G26" s="2" t="s">
        <v>96</v>
      </c>
      <c r="H26" s="2" t="s">
        <v>97</v>
      </c>
      <c r="I26" s="2" t="s">
        <v>98</v>
      </c>
      <c r="J26" s="2" t="s">
        <v>99</v>
      </c>
      <c r="K26" s="2" t="s">
        <v>100</v>
      </c>
      <c r="L26" s="2" t="s">
        <v>101</v>
      </c>
    </row>
    <row r="27" customFormat="false" ht="15" hidden="false" customHeight="false" outlineLevel="0" collapsed="false">
      <c r="A27" s="0" t="s">
        <v>102</v>
      </c>
      <c r="C27" s="3" t="n">
        <v>10</v>
      </c>
      <c r="D27" s="3" t="n">
        <v>4.5</v>
      </c>
      <c r="E27" s="3" t="n">
        <v>4.5</v>
      </c>
      <c r="F27" s="3" t="n">
        <v>4.5</v>
      </c>
      <c r="G27" s="3" t="n">
        <v>4</v>
      </c>
      <c r="H27" s="3" t="n">
        <v>3.5</v>
      </c>
      <c r="I27" s="3" t="n">
        <v>3</v>
      </c>
      <c r="J27" s="3" t="n">
        <v>3</v>
      </c>
      <c r="K27" s="3" t="n">
        <v>2.5</v>
      </c>
      <c r="L27" s="3" t="n">
        <v>2.5</v>
      </c>
    </row>
    <row r="28" customFormat="false" ht="15" hidden="false" customHeight="false" outlineLevel="0" collapsed="false">
      <c r="A28" s="0" t="s">
        <v>103</v>
      </c>
      <c r="C28" s="3" t="n">
        <v>8.5</v>
      </c>
      <c r="D28" s="3" t="n">
        <v>8.55</v>
      </c>
      <c r="E28" s="3" t="n">
        <v>8.6</v>
      </c>
      <c r="F28" s="3" t="n">
        <v>8.65</v>
      </c>
      <c r="G28" s="3" t="n">
        <v>8.7</v>
      </c>
      <c r="H28" s="3" t="n">
        <v>8.7</v>
      </c>
      <c r="I28" s="3" t="n">
        <v>8.7</v>
      </c>
      <c r="J28" s="3" t="n">
        <v>8.7</v>
      </c>
      <c r="K28" s="3" t="n">
        <v>8.7</v>
      </c>
      <c r="L28" s="3" t="n">
        <v>8.7</v>
      </c>
    </row>
    <row r="29" customFormat="false" ht="15" hidden="false" customHeight="false" outlineLevel="0" collapsed="false">
      <c r="A29" s="0" t="s">
        <v>104</v>
      </c>
      <c r="C29" s="3" t="n">
        <v>0.035</v>
      </c>
      <c r="D29" s="3" t="n">
        <v>0.035</v>
      </c>
      <c r="E29" s="3" t="n">
        <v>0.035</v>
      </c>
      <c r="F29" s="3" t="n">
        <v>0.035</v>
      </c>
      <c r="G29" s="3" t="n">
        <v>0.035</v>
      </c>
      <c r="H29" s="3" t="n">
        <v>0.035</v>
      </c>
      <c r="I29" s="3" t="n">
        <v>0.035</v>
      </c>
      <c r="J29" s="3" t="n">
        <v>0.035</v>
      </c>
      <c r="K29" s="3" t="n">
        <v>0.035</v>
      </c>
      <c r="L29" s="3" t="n">
        <v>0.035</v>
      </c>
    </row>
    <row r="30" customFormat="false" ht="15" hidden="false" customHeight="false" outlineLevel="0" collapsed="false">
      <c r="A30" s="0" t="s">
        <v>105</v>
      </c>
      <c r="C30" s="3" t="n">
        <v>0.95</v>
      </c>
      <c r="D30" s="3" t="n">
        <v>1</v>
      </c>
      <c r="E30" s="3" t="n">
        <v>1</v>
      </c>
      <c r="F30" s="3" t="n">
        <v>1</v>
      </c>
      <c r="G30" s="3" t="n">
        <v>1</v>
      </c>
      <c r="H30" s="3" t="n">
        <v>1</v>
      </c>
      <c r="I30" s="3" t="n">
        <v>1</v>
      </c>
      <c r="J30" s="3" t="n">
        <v>1</v>
      </c>
      <c r="K30" s="3" t="n">
        <v>1</v>
      </c>
      <c r="L30" s="3" t="n">
        <v>1</v>
      </c>
    </row>
    <row r="31" customFormat="false" ht="15" hidden="false" customHeight="false" outlineLevel="0" collapsed="false">
      <c r="A31" s="0" t="s">
        <v>106</v>
      </c>
      <c r="C31" s="3" t="n">
        <v>2.2</v>
      </c>
      <c r="D31" s="3" t="n">
        <v>2.25</v>
      </c>
      <c r="E31" s="3" t="n">
        <v>2.3</v>
      </c>
      <c r="F31" s="3" t="n">
        <v>2.3</v>
      </c>
      <c r="G31" s="3" t="n">
        <v>2.3</v>
      </c>
      <c r="H31" s="3" t="n">
        <v>2.3</v>
      </c>
      <c r="I31" s="3" t="n">
        <v>2.3</v>
      </c>
      <c r="J31" s="3" t="n">
        <v>2.3</v>
      </c>
      <c r="K31" s="3" t="n">
        <v>2.3</v>
      </c>
      <c r="L31" s="3" t="n">
        <v>2.3</v>
      </c>
    </row>
    <row r="32" customFormat="false" ht="15" hidden="false" customHeight="false" outlineLevel="0" collapsed="false">
      <c r="A32" s="0" t="s">
        <v>107</v>
      </c>
      <c r="C32" s="3" t="n">
        <v>2.5</v>
      </c>
      <c r="D32" s="3" t="n">
        <v>2.7</v>
      </c>
      <c r="E32" s="3" t="n">
        <v>2.7</v>
      </c>
      <c r="F32" s="3" t="n">
        <v>2.7</v>
      </c>
      <c r="G32" s="3" t="n">
        <v>2.7</v>
      </c>
      <c r="H32" s="3" t="n">
        <v>2.6</v>
      </c>
      <c r="I32" s="3" t="n">
        <v>2.6</v>
      </c>
      <c r="J32" s="3" t="n">
        <v>2.6</v>
      </c>
      <c r="K32" s="3" t="n">
        <v>2.6</v>
      </c>
      <c r="L32" s="3" t="n">
        <v>2.6</v>
      </c>
    </row>
    <row r="33" customFormat="false" ht="15" hidden="false" customHeight="false" outlineLevel="0" collapsed="false">
      <c r="A33" s="0" t="s">
        <v>108</v>
      </c>
      <c r="C33" s="3" t="n">
        <v>17</v>
      </c>
      <c r="D33" s="3" t="n">
        <v>19</v>
      </c>
      <c r="E33" s="3" t="n">
        <v>21</v>
      </c>
      <c r="F33" s="3" t="n">
        <v>22</v>
      </c>
      <c r="G33" s="3" t="n">
        <v>23</v>
      </c>
      <c r="H33" s="3" t="n">
        <v>23</v>
      </c>
      <c r="I33" s="3" t="n">
        <v>23</v>
      </c>
      <c r="J33" s="3" t="n">
        <v>23</v>
      </c>
      <c r="K33" s="3" t="n">
        <v>23</v>
      </c>
      <c r="L33" s="3" t="n">
        <v>23</v>
      </c>
    </row>
    <row r="34" customFormat="false" ht="15" hidden="false" customHeight="false" outlineLevel="0" collapsed="false">
      <c r="A34" s="0" t="s">
        <v>109</v>
      </c>
      <c r="B34" s="3" t="n">
        <v>7.5</v>
      </c>
    </row>
    <row r="35" customFormat="false" ht="15" hidden="false" customHeight="false" outlineLevel="0" collapsed="false">
      <c r="A35" s="0" t="s">
        <v>110</v>
      </c>
      <c r="B35" s="3" t="n">
        <v>2.5</v>
      </c>
    </row>
    <row r="36" customFormat="false" ht="15" hidden="false" customHeight="false" outlineLevel="0" collapsed="false">
      <c r="A36" s="0" t="s">
        <v>111</v>
      </c>
      <c r="B36" s="3" t="n">
        <v>18</v>
      </c>
    </row>
    <row r="37" customFormat="false" ht="15" hidden="false" customHeight="false" outlineLevel="0" collapsed="false">
      <c r="A37" s="0" t="s">
        <v>112</v>
      </c>
      <c r="B37" s="3" t="n">
        <v>0</v>
      </c>
    </row>
    <row r="38" customFormat="false" ht="15" hidden="false" customHeight="false" outlineLevel="0" collapsed="false">
      <c r="A38" s="0" t="s">
        <v>113</v>
      </c>
      <c r="B38" s="3" t="n">
        <v>0.5</v>
      </c>
    </row>
    <row r="40" customFormat="false" ht="15" hidden="false" customHeight="false" outlineLevel="0" collapsed="false">
      <c r="A40" s="2" t="s">
        <v>115</v>
      </c>
      <c r="C40" s="2" t="s">
        <v>92</v>
      </c>
      <c r="D40" s="2" t="s">
        <v>93</v>
      </c>
      <c r="E40" s="2" t="s">
        <v>94</v>
      </c>
      <c r="F40" s="2" t="s">
        <v>95</v>
      </c>
      <c r="G40" s="2" t="s">
        <v>96</v>
      </c>
      <c r="H40" s="2" t="s">
        <v>97</v>
      </c>
      <c r="I40" s="2" t="s">
        <v>98</v>
      </c>
      <c r="J40" s="2" t="s">
        <v>99</v>
      </c>
      <c r="K40" s="2" t="s">
        <v>100</v>
      </c>
      <c r="L40" s="2" t="s">
        <v>101</v>
      </c>
    </row>
    <row r="41" customFormat="false" ht="15" hidden="false" customHeight="false" outlineLevel="0" collapsed="false">
      <c r="A41" s="0" t="s">
        <v>102</v>
      </c>
      <c r="C41" s="3" t="n">
        <v>12</v>
      </c>
      <c r="D41" s="3" t="n">
        <v>6.5</v>
      </c>
      <c r="E41" s="3" t="n">
        <v>6</v>
      </c>
      <c r="F41" s="3" t="n">
        <v>5.5</v>
      </c>
      <c r="G41" s="3" t="n">
        <v>5</v>
      </c>
      <c r="H41" s="3" t="n">
        <v>4</v>
      </c>
      <c r="I41" s="3" t="n">
        <v>3.5</v>
      </c>
      <c r="J41" s="3" t="n">
        <v>3</v>
      </c>
      <c r="K41" s="3" t="n">
        <v>3</v>
      </c>
      <c r="L41" s="3" t="n">
        <v>3</v>
      </c>
    </row>
    <row r="42" customFormat="false" ht="15" hidden="false" customHeight="false" outlineLevel="0" collapsed="false">
      <c r="A42" s="0" t="s">
        <v>103</v>
      </c>
      <c r="C42" s="3" t="n">
        <v>8.7</v>
      </c>
      <c r="D42" s="3" t="n">
        <v>8.9</v>
      </c>
      <c r="E42" s="3" t="n">
        <v>9</v>
      </c>
      <c r="F42" s="3" t="n">
        <v>9.1</v>
      </c>
      <c r="G42" s="3" t="n">
        <v>9.2</v>
      </c>
      <c r="H42" s="3" t="n">
        <v>9.2</v>
      </c>
      <c r="I42" s="3" t="n">
        <v>9.2</v>
      </c>
      <c r="J42" s="3" t="n">
        <v>9.2</v>
      </c>
      <c r="K42" s="3" t="n">
        <v>9.2</v>
      </c>
      <c r="L42" s="3" t="n">
        <v>9.2</v>
      </c>
    </row>
    <row r="43" customFormat="false" ht="15" hidden="false" customHeight="false" outlineLevel="0" collapsed="false">
      <c r="A43" s="0" t="s">
        <v>104</v>
      </c>
      <c r="C43" s="3" t="n">
        <v>0.035</v>
      </c>
      <c r="D43" s="3" t="n">
        <v>0.035</v>
      </c>
      <c r="E43" s="3" t="n">
        <v>0.035</v>
      </c>
      <c r="F43" s="3" t="n">
        <v>0.035</v>
      </c>
      <c r="G43" s="3" t="n">
        <v>0.035</v>
      </c>
      <c r="H43" s="3" t="n">
        <v>0.035</v>
      </c>
      <c r="I43" s="3" t="n">
        <v>0.035</v>
      </c>
      <c r="J43" s="3" t="n">
        <v>0.035</v>
      </c>
      <c r="K43" s="3" t="n">
        <v>0.035</v>
      </c>
      <c r="L43" s="3" t="n">
        <v>0.035</v>
      </c>
    </row>
    <row r="44" customFormat="false" ht="15" hidden="false" customHeight="false" outlineLevel="0" collapsed="false">
      <c r="A44" s="0" t="s">
        <v>105</v>
      </c>
      <c r="C44" s="3" t="n">
        <v>0.95</v>
      </c>
      <c r="D44" s="3" t="n">
        <v>1</v>
      </c>
      <c r="E44" s="3" t="n">
        <v>1</v>
      </c>
      <c r="F44" s="3" t="n">
        <v>1</v>
      </c>
      <c r="G44" s="3" t="n">
        <v>1</v>
      </c>
      <c r="H44" s="3" t="n">
        <v>1</v>
      </c>
      <c r="I44" s="3" t="n">
        <v>1</v>
      </c>
      <c r="J44" s="3" t="n">
        <v>1</v>
      </c>
      <c r="K44" s="3" t="n">
        <v>1</v>
      </c>
      <c r="L44" s="3" t="n">
        <v>1</v>
      </c>
    </row>
    <row r="45" customFormat="false" ht="15" hidden="false" customHeight="false" outlineLevel="0" collapsed="false">
      <c r="A45" s="0" t="s">
        <v>106</v>
      </c>
      <c r="C45" s="3" t="n">
        <v>2.2</v>
      </c>
      <c r="D45" s="3" t="n">
        <v>2.25</v>
      </c>
      <c r="E45" s="3" t="n">
        <v>2.3</v>
      </c>
      <c r="F45" s="3" t="n">
        <v>2.3</v>
      </c>
      <c r="G45" s="3" t="n">
        <v>2.3</v>
      </c>
      <c r="H45" s="3" t="n">
        <v>2.3</v>
      </c>
      <c r="I45" s="3" t="n">
        <v>2.3</v>
      </c>
      <c r="J45" s="3" t="n">
        <v>2.3</v>
      </c>
      <c r="K45" s="3" t="n">
        <v>2.3</v>
      </c>
      <c r="L45" s="3" t="n">
        <v>2.3</v>
      </c>
    </row>
    <row r="46" customFormat="false" ht="15" hidden="false" customHeight="false" outlineLevel="0" collapsed="false">
      <c r="A46" s="0" t="s">
        <v>107</v>
      </c>
      <c r="C46" s="3" t="n">
        <v>2.5</v>
      </c>
      <c r="D46" s="3" t="n">
        <v>2.7</v>
      </c>
      <c r="E46" s="3" t="n">
        <v>2.7</v>
      </c>
      <c r="F46" s="3" t="n">
        <v>2.7</v>
      </c>
      <c r="G46" s="3" t="n">
        <v>2.6</v>
      </c>
      <c r="H46" s="3" t="n">
        <v>2.6</v>
      </c>
      <c r="I46" s="3" t="n">
        <v>2.6</v>
      </c>
      <c r="J46" s="3" t="n">
        <v>2.6</v>
      </c>
      <c r="K46" s="3" t="n">
        <v>2.6</v>
      </c>
      <c r="L46" s="3" t="n">
        <v>2.6</v>
      </c>
    </row>
    <row r="47" customFormat="false" ht="15" hidden="false" customHeight="false" outlineLevel="0" collapsed="false">
      <c r="A47" s="0" t="s">
        <v>108</v>
      </c>
      <c r="C47" s="3" t="n">
        <v>17</v>
      </c>
      <c r="D47" s="3" t="n">
        <v>19</v>
      </c>
      <c r="E47" s="3" t="n">
        <v>21</v>
      </c>
      <c r="F47" s="3" t="n">
        <v>22</v>
      </c>
      <c r="G47" s="3" t="n">
        <v>23</v>
      </c>
      <c r="H47" s="3" t="n">
        <v>23</v>
      </c>
      <c r="I47" s="3" t="n">
        <v>23</v>
      </c>
      <c r="J47" s="3" t="n">
        <v>23</v>
      </c>
      <c r="K47" s="3" t="n">
        <v>23</v>
      </c>
      <c r="L47" s="3" t="n">
        <v>23</v>
      </c>
    </row>
    <row r="48" customFormat="false" ht="15" hidden="false" customHeight="false" outlineLevel="0" collapsed="false">
      <c r="A48" s="0" t="s">
        <v>109</v>
      </c>
      <c r="B48" s="3" t="n">
        <v>7.5</v>
      </c>
    </row>
    <row r="49" customFormat="false" ht="15" hidden="false" customHeight="false" outlineLevel="0" collapsed="false">
      <c r="A49" s="0" t="s">
        <v>110</v>
      </c>
      <c r="B49" s="3" t="n">
        <v>3</v>
      </c>
    </row>
    <row r="50" customFormat="false" ht="15" hidden="false" customHeight="false" outlineLevel="0" collapsed="false">
      <c r="A50" s="0" t="s">
        <v>111</v>
      </c>
      <c r="B50" s="3" t="n">
        <v>20</v>
      </c>
    </row>
    <row r="51" customFormat="false" ht="15" hidden="false" customHeight="false" outlineLevel="0" collapsed="false">
      <c r="A51" s="0" t="s">
        <v>112</v>
      </c>
      <c r="B51" s="3" t="n">
        <v>0</v>
      </c>
    </row>
    <row r="52" customFormat="false" ht="15" hidden="false" customHeight="false" outlineLevel="0" collapsed="false">
      <c r="A52" s="0" t="s">
        <v>113</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116</v>
      </c>
    </row>
    <row r="3" customFormat="false" ht="15" hidden="false" customHeight="false" outlineLevel="0" collapsed="false">
      <c r="A3" s="0" t="s">
        <v>117</v>
      </c>
      <c r="B3" s="0" t="s">
        <v>78</v>
      </c>
      <c r="C3" s="2" t="s">
        <v>92</v>
      </c>
      <c r="D3" s="2" t="s">
        <v>93</v>
      </c>
      <c r="E3" s="2" t="s">
        <v>94</v>
      </c>
      <c r="F3" s="2" t="s">
        <v>95</v>
      </c>
      <c r="G3" s="2" t="s">
        <v>96</v>
      </c>
      <c r="H3" s="2" t="s">
        <v>97</v>
      </c>
      <c r="I3" s="2" t="s">
        <v>98</v>
      </c>
      <c r="J3" s="2" t="s">
        <v>99</v>
      </c>
      <c r="K3" s="2" t="s">
        <v>100</v>
      </c>
      <c r="L3" s="2" t="s">
        <v>101</v>
      </c>
    </row>
    <row r="4" customFormat="false" ht="15" hidden="false" customHeight="false" outlineLevel="0" collapsed="false">
      <c r="A4" s="0" t="s">
        <v>118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102</v>
      </c>
      <c r="C5" s="4" t="n">
        <f aca="false">Assumptions!C13</f>
        <v>6</v>
      </c>
      <c r="D5" s="4" t="n">
        <f aca="false">Assumptions!D13</f>
        <v>0</v>
      </c>
      <c r="E5" s="4" t="n">
        <f aca="false">Assumptions!E13</f>
        <v>2</v>
      </c>
      <c r="F5" s="4" t="n">
        <f aca="false">Assumptions!F13</f>
        <v>2</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76506.6</v>
      </c>
      <c r="C6" s="0" t="n">
        <f aca="false">B6*(1+C5/100)</f>
        <v>81096.996</v>
      </c>
      <c r="D6" s="0" t="n">
        <f aca="false">C6*(1+D5/100)</f>
        <v>81096.996</v>
      </c>
      <c r="E6" s="0" t="n">
        <f aca="false">D6*(1+E5/100)</f>
        <v>82718.93592</v>
      </c>
      <c r="F6" s="0" t="n">
        <f aca="false">E6*(1+F5/100)</f>
        <v>84373.3146384</v>
      </c>
      <c r="G6" s="0" t="n">
        <f aca="false">F6*(1+G5/100)</f>
        <v>86060.780931168</v>
      </c>
      <c r="H6" s="0" t="n">
        <f aca="false">G6*(1+H5/100)</f>
        <v>87781.9965497914</v>
      </c>
      <c r="I6" s="0" t="n">
        <f aca="false">H6*(1+I5/100)</f>
        <v>89537.6364807872</v>
      </c>
      <c r="J6" s="0" t="n">
        <f aca="false">I6*(1+J5/100)</f>
        <v>91328.389210403</v>
      </c>
      <c r="K6" s="0" t="n">
        <f aca="false">J6*(1+K5/100)</f>
        <v>93154.956994611</v>
      </c>
      <c r="L6" s="0" t="n">
        <f aca="false">K6*(1+L5/100)</f>
        <v>95018.0561345033</v>
      </c>
    </row>
    <row r="7" customFormat="false" ht="15" hidden="false" customHeight="false" outlineLevel="0" collapsed="false">
      <c r="A7" s="0" t="s">
        <v>103</v>
      </c>
      <c r="C7" s="4" t="n">
        <f aca="false">Assumptions!C14</f>
        <v>8.1</v>
      </c>
      <c r="D7" s="4" t="n">
        <f aca="false">Assumptions!D14</f>
        <v>7.7</v>
      </c>
      <c r="E7" s="4" t="n">
        <f aca="false">Assumptions!E14</f>
        <v>7.6</v>
      </c>
      <c r="F7" s="4" t="n">
        <f aca="false">Assumptions!F14</f>
        <v>7.6</v>
      </c>
      <c r="G7" s="4" t="n">
        <f aca="false">Assumptions!G14</f>
        <v>7.6</v>
      </c>
      <c r="H7" s="4" t="n">
        <f aca="false">Assumptions!H14</f>
        <v>7.6</v>
      </c>
      <c r="I7" s="4" t="n">
        <f aca="false">Assumptions!I14</f>
        <v>7.6</v>
      </c>
      <c r="J7" s="4" t="n">
        <f aca="false">Assumptions!J14</f>
        <v>7.6</v>
      </c>
      <c r="K7" s="4" t="n">
        <f aca="false">Assumptions!K14</f>
        <v>7.6</v>
      </c>
      <c r="L7" s="4" t="n">
        <f aca="false">Assumptions!L14</f>
        <v>7.6</v>
      </c>
    </row>
    <row r="8" customFormat="false" ht="15" hidden="false" customHeight="false" outlineLevel="0" collapsed="false">
      <c r="A8" s="0" t="s">
        <v>44</v>
      </c>
      <c r="C8" s="0" t="n">
        <f aca="false">C6*C7/100</f>
        <v>6568.856676</v>
      </c>
      <c r="D8" s="0" t="n">
        <f aca="false">D6*D7/100</f>
        <v>6244.468692</v>
      </c>
      <c r="E8" s="0" t="n">
        <f aca="false">E6*E7/100</f>
        <v>6286.63912992</v>
      </c>
      <c r="F8" s="0" t="n">
        <f aca="false">F6*F7/100</f>
        <v>6412.3719125184</v>
      </c>
      <c r="G8" s="0" t="n">
        <f aca="false">G6*G7/100</f>
        <v>6540.61935076877</v>
      </c>
      <c r="H8" s="0" t="n">
        <f aca="false">H6*H7/100</f>
        <v>6671.43173778415</v>
      </c>
      <c r="I8" s="0" t="n">
        <f aca="false">I6*I7/100</f>
        <v>6804.86037253983</v>
      </c>
      <c r="J8" s="0" t="n">
        <f aca="false">J6*J7/100</f>
        <v>6940.95757999063</v>
      </c>
      <c r="K8" s="0" t="n">
        <f aca="false">K6*K7/100</f>
        <v>7079.77673159044</v>
      </c>
      <c r="L8" s="0" t="n">
        <f aca="false">L6*L7/100</f>
        <v>7221.37226622225</v>
      </c>
    </row>
    <row r="9" customFormat="false" ht="15" hidden="false" customHeight="false" outlineLevel="0" collapsed="false">
      <c r="A9" s="0" t="s">
        <v>104</v>
      </c>
      <c r="C9" s="4" t="n">
        <f aca="false">Assumptions!C15</f>
        <v>0.035</v>
      </c>
      <c r="D9" s="4" t="n">
        <f aca="false">Assumptions!D15</f>
        <v>0.035</v>
      </c>
      <c r="E9" s="4" t="n">
        <f aca="false">Assumptions!E15</f>
        <v>0.035</v>
      </c>
      <c r="F9" s="4" t="n">
        <f aca="false">Assumptions!F15</f>
        <v>0.035</v>
      </c>
      <c r="G9" s="4" t="n">
        <f aca="false">Assumptions!G15</f>
        <v>0.035</v>
      </c>
      <c r="H9" s="4" t="n">
        <f aca="false">Assumptions!H15</f>
        <v>0.035</v>
      </c>
      <c r="I9" s="4" t="n">
        <f aca="false">Assumptions!I15</f>
        <v>0.035</v>
      </c>
      <c r="J9" s="4" t="n">
        <f aca="false">Assumptions!J15</f>
        <v>0.035</v>
      </c>
      <c r="K9" s="4" t="n">
        <f aca="false">Assumptions!K15</f>
        <v>0.035</v>
      </c>
      <c r="L9" s="4" t="n">
        <f aca="false">Assumptions!L15</f>
        <v>0.035</v>
      </c>
    </row>
    <row r="10" customFormat="false" ht="15" hidden="false" customHeight="false" outlineLevel="0" collapsed="false">
      <c r="A10" s="0" t="s">
        <v>119</v>
      </c>
      <c r="C10" s="0" t="n">
        <f aca="false">-C6*C9/100</f>
        <v>-28.3839486</v>
      </c>
      <c r="D10" s="0" t="n">
        <f aca="false">-D6*D9/100</f>
        <v>-28.3839486</v>
      </c>
      <c r="E10" s="0" t="n">
        <f aca="false">-E6*E9/100</f>
        <v>-28.951627572</v>
      </c>
      <c r="F10" s="0" t="n">
        <f aca="false">-F6*F9/100</f>
        <v>-29.53066012344</v>
      </c>
      <c r="G10" s="0" t="n">
        <f aca="false">-G6*G9/100</f>
        <v>-30.1212733259088</v>
      </c>
      <c r="H10" s="0" t="n">
        <f aca="false">-H6*H9/100</f>
        <v>-30.723698792427</v>
      </c>
      <c r="I10" s="0" t="n">
        <f aca="false">-I6*I9/100</f>
        <v>-31.3381727682755</v>
      </c>
      <c r="J10" s="0" t="n">
        <f aca="false">-J6*J9/100</f>
        <v>-31.964936223641</v>
      </c>
      <c r="K10" s="0" t="n">
        <f aca="false">-K6*K9/100</f>
        <v>-32.6042349481139</v>
      </c>
      <c r="L10" s="0" t="n">
        <f aca="false">-L6*L9/100</f>
        <v>-33.2563196470761</v>
      </c>
    </row>
    <row r="11" customFormat="false" ht="15" hidden="false" customHeight="false" outlineLevel="0" collapsed="false">
      <c r="A11" s="0" t="s">
        <v>120</v>
      </c>
      <c r="C11" s="0" t="n">
        <f aca="false">C8+C10+C24</f>
        <v>5729.5027674</v>
      </c>
      <c r="D11" s="0" t="n">
        <f aca="false">D8+D10+D24</f>
        <v>5364.5662854</v>
      </c>
      <c r="E11" s="0" t="n">
        <f aca="false">E8+E10+E24</f>
        <v>5389.138675188</v>
      </c>
      <c r="F11" s="0" t="n">
        <f aca="false">F8+F10+F24</f>
        <v>5496.92144869176</v>
      </c>
      <c r="G11" s="0" t="n">
        <f aca="false">G8+G10+G24</f>
        <v>5606.8598776656</v>
      </c>
      <c r="H11" s="0" t="n">
        <f aca="false">H8+H10+H24</f>
        <v>5718.99707521891</v>
      </c>
      <c r="I11" s="0" t="n">
        <f aca="false">I8+I10+I24</f>
        <v>5833.37701672329</v>
      </c>
      <c r="J11" s="0" t="n">
        <f aca="false">J8+J10+J24</f>
        <v>5950.04455705775</v>
      </c>
      <c r="K11" s="0" t="n">
        <f aca="false">K8+K10+K24</f>
        <v>6069.04544819891</v>
      </c>
      <c r="L11" s="0" t="n">
        <f aca="false">L8+L10+L24</f>
        <v>6190.42635716289</v>
      </c>
    </row>
    <row r="12" customFormat="false" ht="15" hidden="false" customHeight="false" outlineLevel="0" collapsed="false">
      <c r="A12" s="0" t="s">
        <v>121</v>
      </c>
      <c r="C12" s="4" t="n">
        <f aca="false">-C6*Assumptions!C17/100</f>
        <v>-1865.230908</v>
      </c>
      <c r="D12" s="4" t="n">
        <f aca="false">-D6*Assumptions!D17/100</f>
        <v>-1905.779406</v>
      </c>
      <c r="E12" s="4" t="n">
        <f aca="false">-E6*Assumptions!E17/100</f>
        <v>-1985.25446208</v>
      </c>
      <c r="F12" s="4" t="n">
        <f aca="false">-F6*Assumptions!F17/100</f>
        <v>-2024.9595513216</v>
      </c>
      <c r="G12" s="4" t="n">
        <f aca="false">-G6*Assumptions!G17/100</f>
        <v>-2065.45874234803</v>
      </c>
      <c r="H12" s="4" t="n">
        <f aca="false">-H6*Assumptions!H17/100</f>
        <v>-2106.76791719499</v>
      </c>
      <c r="I12" s="4" t="n">
        <f aca="false">-I6*Assumptions!I17/100</f>
        <v>-2148.90327553889</v>
      </c>
      <c r="J12" s="4" t="n">
        <f aca="false">-J6*Assumptions!J17/100</f>
        <v>-2191.88134104967</v>
      </c>
      <c r="K12" s="4" t="n">
        <f aca="false">-K6*Assumptions!K17/100</f>
        <v>-2235.71896787066</v>
      </c>
      <c r="L12" s="4" t="n">
        <f aca="false">-L6*Assumptions!L17/100</f>
        <v>-2280.43334722808</v>
      </c>
    </row>
    <row r="13" customFormat="false" ht="15" hidden="false" customHeight="false" outlineLevel="0" collapsed="false">
      <c r="A13" s="0" t="s">
        <v>122</v>
      </c>
      <c r="C13" s="0" t="n">
        <f aca="false">C11+C12</f>
        <v>3864.2718594</v>
      </c>
      <c r="D13" s="0" t="n">
        <f aca="false">D11+D12</f>
        <v>3458.7868794</v>
      </c>
      <c r="E13" s="0" t="n">
        <f aca="false">E11+E12</f>
        <v>3403.884213108</v>
      </c>
      <c r="F13" s="0" t="n">
        <f aca="false">F11+F12</f>
        <v>3471.96189737016</v>
      </c>
      <c r="G13" s="0" t="n">
        <f aca="false">G11+G12</f>
        <v>3541.40113531756</v>
      </c>
      <c r="H13" s="0" t="n">
        <f aca="false">H11+H12</f>
        <v>3612.22915802392</v>
      </c>
      <c r="I13" s="0" t="n">
        <f aca="false">I11+I12</f>
        <v>3684.4737411844</v>
      </c>
      <c r="J13" s="0" t="n">
        <f aca="false">J11+J12</f>
        <v>3758.16321600808</v>
      </c>
      <c r="K13" s="0" t="n">
        <f aca="false">K11+K12</f>
        <v>3833.32648032824</v>
      </c>
      <c r="L13" s="0" t="n">
        <f aca="false">L11+L12</f>
        <v>3909.99300993481</v>
      </c>
    </row>
    <row r="14" customFormat="false" ht="15" hidden="false" customHeight="false" outlineLevel="0" collapsed="false">
      <c r="A14" s="0" t="s">
        <v>108</v>
      </c>
      <c r="C14" s="4" t="n">
        <f aca="false">Assumptions!C19</f>
        <v>18</v>
      </c>
      <c r="D14" s="4" t="n">
        <f aca="false">Assumptions!D19</f>
        <v>21</v>
      </c>
      <c r="E14" s="4" t="n">
        <f aca="false">Assumptions!E19</f>
        <v>23</v>
      </c>
      <c r="F14" s="4" t="n">
        <f aca="false">Assumptions!F19</f>
        <v>24</v>
      </c>
      <c r="G14" s="4" t="n">
        <f aca="false">Assumptions!G19</f>
        <v>24</v>
      </c>
      <c r="H14" s="4" t="n">
        <f aca="false">Assumptions!H19</f>
        <v>24</v>
      </c>
      <c r="I14" s="4" t="n">
        <f aca="false">Assumptions!I19</f>
        <v>24</v>
      </c>
      <c r="J14" s="4" t="n">
        <f aca="false">Assumptions!J19</f>
        <v>24</v>
      </c>
      <c r="K14" s="4" t="n">
        <f aca="false">Assumptions!K19</f>
        <v>24</v>
      </c>
      <c r="L14" s="4" t="n">
        <f aca="false">Assumptions!L19</f>
        <v>24</v>
      </c>
    </row>
    <row r="15" customFormat="false" ht="15" hidden="false" customHeight="false" outlineLevel="0" collapsed="false">
      <c r="A15" s="0" t="s">
        <v>123</v>
      </c>
      <c r="C15" s="0" t="n">
        <f aca="false">C13-MAX(0,C13)*C14/100</f>
        <v>3168.702924708</v>
      </c>
      <c r="D15" s="0" t="n">
        <f aca="false">D13-MAX(0,D13)*D14/100</f>
        <v>2732.441634726</v>
      </c>
      <c r="E15" s="0" t="n">
        <f aca="false">E13-MAX(0,E13)*E14/100</f>
        <v>2620.99084409316</v>
      </c>
      <c r="F15" s="0" t="n">
        <f aca="false">F13-MAX(0,F13)*F14/100</f>
        <v>2638.69104200132</v>
      </c>
      <c r="G15" s="0" t="n">
        <f aca="false">G13-MAX(0,G13)*G14/100</f>
        <v>2691.46486284135</v>
      </c>
      <c r="H15" s="0" t="n">
        <f aca="false">H13-MAX(0,H13)*H14/100</f>
        <v>2745.29416009818</v>
      </c>
      <c r="I15" s="0" t="n">
        <f aca="false">I13-MAX(0,I13)*I14/100</f>
        <v>2800.20004330014</v>
      </c>
      <c r="J15" s="0" t="n">
        <f aca="false">J13-MAX(0,J13)*J14/100</f>
        <v>2856.20404416614</v>
      </c>
      <c r="K15" s="0" t="n">
        <f aca="false">K13-MAX(0,K13)*K14/100</f>
        <v>2913.32812504946</v>
      </c>
      <c r="L15" s="0" t="n">
        <f aca="false">L13-MAX(0,L13)*L14/100</f>
        <v>2971.59468755045</v>
      </c>
    </row>
    <row r="16" customFormat="false" ht="15" hidden="false" customHeight="false" outlineLevel="0" collapsed="false">
      <c r="A16" s="0" t="s">
        <v>124</v>
      </c>
      <c r="C16" s="0" t="n">
        <f aca="false">-C12</f>
        <v>1865.230908</v>
      </c>
      <c r="D16" s="0" t="n">
        <f aca="false">-D12</f>
        <v>1905.779406</v>
      </c>
      <c r="E16" s="0" t="n">
        <f aca="false">-E12</f>
        <v>1985.25446208</v>
      </c>
      <c r="F16" s="0" t="n">
        <f aca="false">-F12</f>
        <v>2024.9595513216</v>
      </c>
      <c r="G16" s="0" t="n">
        <f aca="false">-G12</f>
        <v>2065.45874234803</v>
      </c>
      <c r="H16" s="0" t="n">
        <f aca="false">-H12</f>
        <v>2106.76791719499</v>
      </c>
      <c r="I16" s="0" t="n">
        <f aca="false">-I12</f>
        <v>2148.90327553889</v>
      </c>
      <c r="J16" s="0" t="n">
        <f aca="false">-J12</f>
        <v>2191.88134104967</v>
      </c>
      <c r="K16" s="0" t="n">
        <f aca="false">-K12</f>
        <v>2235.71896787066</v>
      </c>
      <c r="L16" s="0" t="n">
        <f aca="false">-L12</f>
        <v>2280.43334722808</v>
      </c>
    </row>
    <row r="17" customFormat="false" ht="15" hidden="false" customHeight="false" outlineLevel="0" collapsed="false">
      <c r="A17" s="0" t="s">
        <v>125</v>
      </c>
      <c r="C17" s="4" t="n">
        <f aca="false">-C6*Assumptions!C18/100</f>
        <v>-2189.618892</v>
      </c>
      <c r="D17" s="4" t="n">
        <f aca="false">-D6*Assumptions!D18/100</f>
        <v>-2270.715888</v>
      </c>
      <c r="E17" s="4" t="n">
        <f aca="false">-E6*Assumptions!E18/100</f>
        <v>-2316.13020576</v>
      </c>
      <c r="F17" s="4" t="n">
        <f aca="false">-F6*Assumptions!F18/100</f>
        <v>-2362.4528098752</v>
      </c>
      <c r="G17" s="4" t="n">
        <f aca="false">-G6*Assumptions!G18/100</f>
        <v>-2409.7018660727</v>
      </c>
      <c r="H17" s="4" t="n">
        <f aca="false">-H6*Assumptions!H18/100</f>
        <v>-2457.89590339416</v>
      </c>
      <c r="I17" s="4" t="n">
        <f aca="false">-I6*Assumptions!I18/100</f>
        <v>-2507.05382146204</v>
      </c>
      <c r="J17" s="4" t="n">
        <f aca="false">-J6*Assumptions!J18/100</f>
        <v>-2557.19489789128</v>
      </c>
      <c r="K17" s="4" t="n">
        <f aca="false">-K6*Assumptions!K18/100</f>
        <v>-2608.33879584911</v>
      </c>
      <c r="L17" s="4" t="n">
        <f aca="false">-L6*Assumptions!L18/100</f>
        <v>-2660.50557176609</v>
      </c>
    </row>
    <row r="18" customFormat="false" ht="15" hidden="false" customHeight="false" outlineLevel="0" collapsed="false">
      <c r="A18" s="0" t="s">
        <v>126</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127</v>
      </c>
      <c r="C19" s="0" t="n">
        <f aca="false">C15+C16+C17+C18</f>
        <v>2844.314940708</v>
      </c>
      <c r="D19" s="0" t="n">
        <f aca="false">D15+D16+D17+D18</f>
        <v>2367.505152726</v>
      </c>
      <c r="E19" s="0" t="n">
        <f aca="false">E15+E16+E17+E18</f>
        <v>2290.11510041316</v>
      </c>
      <c r="F19" s="0" t="n">
        <f aca="false">F15+F16+F17+F18</f>
        <v>2301.19778344772</v>
      </c>
      <c r="G19" s="0" t="n">
        <f aca="false">G15+G16+G17+G18</f>
        <v>2347.22173911668</v>
      </c>
      <c r="H19" s="0" t="n">
        <f aca="false">H15+H16+H17+H18</f>
        <v>2394.16617389901</v>
      </c>
      <c r="I19" s="0" t="n">
        <f aca="false">I15+I16+I17+I18</f>
        <v>2442.04949737699</v>
      </c>
      <c r="J19" s="0" t="n">
        <f aca="false">J15+J16+J17+J18</f>
        <v>2490.89048732453</v>
      </c>
      <c r="K19" s="0" t="n">
        <f aca="false">K15+K16+K17+K18</f>
        <v>2540.70829707102</v>
      </c>
      <c r="L19" s="0" t="n">
        <f aca="false">L15+L16+L17+L18</f>
        <v>2591.52246301244</v>
      </c>
    </row>
    <row r="20" customFormat="false" ht="15" hidden="false" customHeight="false" outlineLevel="0" collapsed="false">
      <c r="A20" s="0" t="s">
        <v>128</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129</v>
      </c>
      <c r="C21" s="0" t="n">
        <f aca="false">C19*C20</f>
        <v>2645.8743634493</v>
      </c>
      <c r="D21" s="0" t="n">
        <f aca="false">D19*D20</f>
        <v>2048.67941825938</v>
      </c>
      <c r="E21" s="0" t="n">
        <f aca="false">E19*E20</f>
        <v>1843.45235547112</v>
      </c>
      <c r="F21" s="0" t="n">
        <f aca="false">F19*F20</f>
        <v>1723.13811936587</v>
      </c>
      <c r="G21" s="0" t="n">
        <f aca="false">G19*G20</f>
        <v>1634.97756442157</v>
      </c>
      <c r="H21" s="0" t="n">
        <f aca="false">H19*H20</f>
        <v>1551.32754949768</v>
      </c>
      <c r="I21" s="0" t="n">
        <f aca="false">I19*I20</f>
        <v>1471.95730277919</v>
      </c>
      <c r="J21" s="0" t="n">
        <f aca="false">J19*J20</f>
        <v>1396.64785938119</v>
      </c>
      <c r="K21" s="0" t="n">
        <f aca="false">K19*K20</f>
        <v>1325.19145727331</v>
      </c>
      <c r="L21" s="0" t="n">
        <f aca="false">L19*L20</f>
        <v>1257.39096411049</v>
      </c>
    </row>
    <row r="23" customFormat="false" ht="15" hidden="false" customHeight="false" outlineLevel="0" collapsed="false">
      <c r="A23" s="0" t="s">
        <v>105</v>
      </c>
      <c r="C23" s="4" t="n">
        <f aca="false">Assumptions!C16</f>
        <v>1</v>
      </c>
      <c r="D23" s="4" t="n">
        <f aca="false">Assumptions!D16</f>
        <v>1.05</v>
      </c>
      <c r="E23" s="4" t="n">
        <f aca="false">Assumptions!E16</f>
        <v>1.05</v>
      </c>
      <c r="F23" s="4" t="n">
        <f aca="false">Assumptions!F16</f>
        <v>1.05</v>
      </c>
      <c r="G23" s="4" t="n">
        <f aca="false">Assumptions!G16</f>
        <v>1.05</v>
      </c>
      <c r="H23" s="4" t="n">
        <f aca="false">Assumptions!H16</f>
        <v>1.05</v>
      </c>
      <c r="I23" s="4" t="n">
        <f aca="false">Assumptions!I16</f>
        <v>1.05</v>
      </c>
      <c r="J23" s="4" t="n">
        <f aca="false">Assumptions!J16</f>
        <v>1.05</v>
      </c>
      <c r="K23" s="4" t="n">
        <f aca="false">Assumptions!K16</f>
        <v>1.05</v>
      </c>
      <c r="L23" s="4" t="n">
        <f aca="false">Assumptions!L16</f>
        <v>1.05</v>
      </c>
    </row>
    <row r="24" customFormat="false" ht="15" hidden="false" customHeight="false" outlineLevel="0" collapsed="false">
      <c r="A24" s="0" t="s">
        <v>130</v>
      </c>
      <c r="C24" s="0" t="n">
        <f aca="false">-C6*C23/100</f>
        <v>-810.96996</v>
      </c>
      <c r="D24" s="0" t="n">
        <f aca="false">-D6*D23/100</f>
        <v>-851.518458</v>
      </c>
      <c r="E24" s="0" t="n">
        <f aca="false">-E6*E23/100</f>
        <v>-868.54882716</v>
      </c>
      <c r="F24" s="0" t="n">
        <f aca="false">-F6*F23/100</f>
        <v>-885.9198037032</v>
      </c>
      <c r="G24" s="0" t="n">
        <f aca="false">-G6*G23/100</f>
        <v>-903.638199777264</v>
      </c>
      <c r="H24" s="0" t="n">
        <f aca="false">-H6*H23/100</f>
        <v>-921.71096377281</v>
      </c>
      <c r="I24" s="0" t="n">
        <f aca="false">-I6*I23/100</f>
        <v>-940.145183048266</v>
      </c>
      <c r="J24" s="0" t="n">
        <f aca="false">-J6*J23/100</f>
        <v>-958.948086709231</v>
      </c>
      <c r="K24" s="0" t="n">
        <f aca="false">-K6*K23/100</f>
        <v>-978.127048443416</v>
      </c>
      <c r="L24" s="0" t="n">
        <f aca="false">-L6*L23/100</f>
        <v>-997.689589412284</v>
      </c>
    </row>
    <row r="26" customFormat="false" ht="15" hidden="false" customHeight="false" outlineLevel="0" collapsed="false">
      <c r="A26" s="2" t="s">
        <v>131</v>
      </c>
    </row>
    <row r="27" customFormat="false" ht="15" hidden="false" customHeight="false" outlineLevel="0" collapsed="false">
      <c r="A27" s="0" t="s">
        <v>109</v>
      </c>
      <c r="B27" s="4" t="n">
        <f aca="false">Assumptions!$B$20</f>
        <v>7.5</v>
      </c>
    </row>
    <row r="28" customFormat="false" ht="15" hidden="false" customHeight="false" outlineLevel="0" collapsed="false">
      <c r="A28" s="0" t="s">
        <v>110</v>
      </c>
      <c r="B28" s="4" t="n">
        <f aca="false">Assumptions!$B$21</f>
        <v>2</v>
      </c>
    </row>
    <row r="29" customFormat="false" ht="15" hidden="false" customHeight="false" outlineLevel="0" collapsed="false">
      <c r="A29" s="0" t="s">
        <v>111</v>
      </c>
      <c r="B29" s="4" t="n">
        <f aca="false">Assumptions!$B$22</f>
        <v>15</v>
      </c>
    </row>
    <row r="30" customFormat="false" ht="15" hidden="false" customHeight="false" outlineLevel="0" collapsed="false">
      <c r="A30" s="0" t="s">
        <v>132</v>
      </c>
      <c r="B30" s="0" t="n">
        <f aca="false">SUM(C21:L21)</f>
        <v>16898.6369540091</v>
      </c>
    </row>
    <row r="31" customFormat="false" ht="15" hidden="false" customHeight="false" outlineLevel="0" collapsed="false">
      <c r="A31" s="0" t="s">
        <v>133</v>
      </c>
      <c r="B31" s="0" t="n">
        <f aca="false">L19</f>
        <v>2591.52246301244</v>
      </c>
    </row>
    <row r="32" customFormat="false" ht="15" hidden="false" customHeight="false" outlineLevel="0" collapsed="false">
      <c r="A32" s="0" t="s">
        <v>134</v>
      </c>
      <c r="B32" s="0" t="n">
        <f aca="false">IF(B27&gt;B28,B31*(1+B28/100)/((B27-B28)/100),B31*B29)</f>
        <v>48060.9620413216</v>
      </c>
    </row>
    <row r="33" customFormat="false" ht="15" hidden="false" customHeight="false" outlineLevel="0" collapsed="false">
      <c r="A33" s="0" t="s">
        <v>135</v>
      </c>
      <c r="B33" s="0" t="n">
        <f aca="false">B31*B29</f>
        <v>38872.8369451866</v>
      </c>
    </row>
    <row r="34" customFormat="false" ht="15" hidden="false" customHeight="false" outlineLevel="0" collapsed="false">
      <c r="A34" s="0" t="s">
        <v>136</v>
      </c>
      <c r="B34" s="0" t="n">
        <f aca="false">MAX(0,MIN(B32,B33))</f>
        <v>38872.8369451866</v>
      </c>
    </row>
    <row r="35" customFormat="false" ht="15" hidden="false" customHeight="false" outlineLevel="0" collapsed="false">
      <c r="A35" s="0" t="s">
        <v>137</v>
      </c>
      <c r="B35" s="0" t="n">
        <f aca="false">B34/(1+B27/100)^L4</f>
        <v>18860.8644616574</v>
      </c>
    </row>
    <row r="36" customFormat="false" ht="15" hidden="false" customHeight="false" outlineLevel="0" collapsed="false">
      <c r="A36" s="0" t="s">
        <v>138</v>
      </c>
      <c r="B36" s="0" t="n">
        <f aca="false">B30+B35</f>
        <v>35759.5014156665</v>
      </c>
    </row>
    <row r="37" customFormat="false" ht="15" hidden="false" customHeight="false" outlineLevel="0" collapsed="false">
      <c r="A37" s="0" t="s">
        <v>139</v>
      </c>
      <c r="B37" s="0" t="n">
        <f aca="false">B36+Assumptions!$B$5-Assumptions!$B$4</f>
        <v>28500.4014156665</v>
      </c>
    </row>
    <row r="38" customFormat="false" ht="15" hidden="false" customHeight="false" outlineLevel="0" collapsed="false">
      <c r="A38" s="0" t="s">
        <v>140</v>
      </c>
      <c r="B38" s="0" t="n">
        <f aca="false">B37/Assumptions!$B$3*Assumptions!$B$10</f>
        <v>44.2098946325945</v>
      </c>
    </row>
    <row r="39" customFormat="false" ht="15" hidden="false" customHeight="false" outlineLevel="0" collapsed="false">
      <c r="A39" s="0" t="s">
        <v>141</v>
      </c>
      <c r="B39" s="4" t="n">
        <f aca="false">B38/Assumptions!$B$2-1</f>
        <v>-0.430651711106317</v>
      </c>
    </row>
    <row r="41" customFormat="false" ht="15" hidden="false" customHeight="false" outlineLevel="0" collapsed="false">
      <c r="A41" s="0" t="s">
        <v>142</v>
      </c>
      <c r="B41" s="0" t="n">
        <f aca="false">SUMPRODUCT(-C10:L10/(1+$B$27/100)^C4:L4)</f>
        <v>207.225372360948</v>
      </c>
    </row>
    <row r="42" customFormat="false" ht="15" hidden="false" customHeight="false" outlineLevel="0" collapsed="false">
      <c r="A42" s="0" t="s">
        <v>143</v>
      </c>
      <c r="B42" s="0" t="n">
        <f aca="false">IF(B27&gt;B28,-L10*(1+B28/100)/((B27-B28)/100),-L10*20)/(1+B27/100)^L4</f>
        <v>299.245084687679</v>
      </c>
    </row>
    <row r="43" customFormat="false" ht="15" hidden="false" customHeight="false" outlineLevel="0" collapsed="false">
      <c r="A43" s="0" t="s">
        <v>144</v>
      </c>
      <c r="B43" s="0" t="n">
        <f aca="false">(B37+B41+B42)/Assumptions!$B$3*Assumptions!$B$10</f>
        <v>44.9955328842836</v>
      </c>
    </row>
    <row r="45" customFormat="false" ht="15" hidden="false" customHeight="false" outlineLevel="0" collapsed="false">
      <c r="A45" s="0" t="s">
        <v>85</v>
      </c>
      <c r="B45" s="4" t="n">
        <f aca="false">Assumptions!$B$6</f>
        <v>15</v>
      </c>
    </row>
    <row r="46" customFormat="false" ht="15" hidden="false" customHeight="false" outlineLevel="0" collapsed="false">
      <c r="A46" s="0" t="s">
        <v>145</v>
      </c>
      <c r="B46" s="0" t="n">
        <f aca="false">MAX(0,MIN(IF(B45&gt;B28,B31*(1+B28/100)/((B45-B28)/100),B31*B29),B31*B29))</f>
        <v>20333.4839405592</v>
      </c>
    </row>
    <row r="47" customFormat="false" ht="15" hidden="false" customHeight="false" outlineLevel="0" collapsed="false">
      <c r="A47" s="0" t="s">
        <v>146</v>
      </c>
      <c r="B47" s="0" t="n">
        <f aca="false">(SUMPRODUCT(C19:L19/(1+B45/100)^C4:L4)+B46/(1+B45/100)^L4+Assumptions!$B$5-Assumptions!$B$4)/Assumptions!$B$3*Assumptions!$B$10</f>
        <v>15.7434908601992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147</v>
      </c>
    </row>
    <row r="3" customFormat="false" ht="15" hidden="false" customHeight="false" outlineLevel="0" collapsed="false">
      <c r="A3" s="0" t="s">
        <v>117</v>
      </c>
      <c r="B3" s="0" t="s">
        <v>78</v>
      </c>
      <c r="C3" s="2" t="s">
        <v>92</v>
      </c>
      <c r="D3" s="2" t="s">
        <v>93</v>
      </c>
      <c r="E3" s="2" t="s">
        <v>94</v>
      </c>
      <c r="F3" s="2" t="s">
        <v>95</v>
      </c>
      <c r="G3" s="2" t="s">
        <v>96</v>
      </c>
      <c r="H3" s="2" t="s">
        <v>97</v>
      </c>
      <c r="I3" s="2" t="s">
        <v>98</v>
      </c>
      <c r="J3" s="2" t="s">
        <v>99</v>
      </c>
      <c r="K3" s="2" t="s">
        <v>100</v>
      </c>
      <c r="L3" s="2" t="s">
        <v>101</v>
      </c>
    </row>
    <row r="4" customFormat="false" ht="15" hidden="false" customHeight="false" outlineLevel="0" collapsed="false">
      <c r="A4" s="0" t="s">
        <v>118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102</v>
      </c>
      <c r="C5" s="4" t="n">
        <f aca="false">Assumptions!C27</f>
        <v>10</v>
      </c>
      <c r="D5" s="4" t="n">
        <f aca="false">Assumptions!D27</f>
        <v>4.5</v>
      </c>
      <c r="E5" s="4" t="n">
        <f aca="false">Assumptions!E27</f>
        <v>4.5</v>
      </c>
      <c r="F5" s="4" t="n">
        <f aca="false">Assumptions!F27</f>
        <v>4.5</v>
      </c>
      <c r="G5" s="4" t="n">
        <f aca="false">Assumptions!G27</f>
        <v>4</v>
      </c>
      <c r="H5" s="4" t="n">
        <f aca="false">Assumptions!H27</f>
        <v>3.5</v>
      </c>
      <c r="I5" s="4" t="n">
        <f aca="false">Assumptions!I27</f>
        <v>3</v>
      </c>
      <c r="J5" s="4" t="n">
        <f aca="false">Assumptions!J27</f>
        <v>3</v>
      </c>
      <c r="K5" s="4" t="n">
        <f aca="false">Assumptions!K27</f>
        <v>2.5</v>
      </c>
      <c r="L5" s="4" t="n">
        <f aca="false">Assumptions!L27</f>
        <v>2.5</v>
      </c>
    </row>
    <row r="6" customFormat="false" ht="15" hidden="false" customHeight="false" outlineLevel="0" collapsed="false">
      <c r="A6" s="0" t="s">
        <v>38</v>
      </c>
      <c r="B6" s="3" t="n">
        <v>76506.6</v>
      </c>
      <c r="C6" s="0" t="n">
        <f aca="false">B6*(1+C5/100)</f>
        <v>84157.26</v>
      </c>
      <c r="D6" s="0" t="n">
        <f aca="false">C6*(1+D5/100)</f>
        <v>87944.3367</v>
      </c>
      <c r="E6" s="0" t="n">
        <f aca="false">D6*(1+E5/100)</f>
        <v>91901.8318515</v>
      </c>
      <c r="F6" s="0" t="n">
        <f aca="false">E6*(1+F5/100)</f>
        <v>96037.4142848175</v>
      </c>
      <c r="G6" s="0" t="n">
        <f aca="false">F6*(1+G5/100)</f>
        <v>99878.9108562102</v>
      </c>
      <c r="H6" s="0" t="n">
        <f aca="false">G6*(1+H5/100)</f>
        <v>103374.672736178</v>
      </c>
      <c r="I6" s="0" t="n">
        <f aca="false">H6*(1+I5/100)</f>
        <v>106475.912918263</v>
      </c>
      <c r="J6" s="0" t="n">
        <f aca="false">I6*(1+J5/100)</f>
        <v>109670.190305811</v>
      </c>
      <c r="K6" s="0" t="n">
        <f aca="false">J6*(1+K5/100)</f>
        <v>112411.945063456</v>
      </c>
      <c r="L6" s="0" t="n">
        <f aca="false">K6*(1+L5/100)</f>
        <v>115222.243690042</v>
      </c>
    </row>
    <row r="7" customFormat="false" ht="15" hidden="false" customHeight="false" outlineLevel="0" collapsed="false">
      <c r="A7" s="0" t="s">
        <v>103</v>
      </c>
      <c r="C7" s="4" t="n">
        <f aca="false">Assumptions!C28</f>
        <v>8.5</v>
      </c>
      <c r="D7" s="4" t="n">
        <f aca="false">Assumptions!D28</f>
        <v>8.55</v>
      </c>
      <c r="E7" s="4" t="n">
        <f aca="false">Assumptions!E28</f>
        <v>8.6</v>
      </c>
      <c r="F7" s="4" t="n">
        <f aca="false">Assumptions!F28</f>
        <v>8.65</v>
      </c>
      <c r="G7" s="4" t="n">
        <f aca="false">Assumptions!G28</f>
        <v>8.7</v>
      </c>
      <c r="H7" s="4" t="n">
        <f aca="false">Assumptions!H28</f>
        <v>8.7</v>
      </c>
      <c r="I7" s="4" t="n">
        <f aca="false">Assumptions!I28</f>
        <v>8.7</v>
      </c>
      <c r="J7" s="4" t="n">
        <f aca="false">Assumptions!J28</f>
        <v>8.7</v>
      </c>
      <c r="K7" s="4" t="n">
        <f aca="false">Assumptions!K28</f>
        <v>8.7</v>
      </c>
      <c r="L7" s="4" t="n">
        <f aca="false">Assumptions!L28</f>
        <v>8.7</v>
      </c>
    </row>
    <row r="8" customFormat="false" ht="15" hidden="false" customHeight="false" outlineLevel="0" collapsed="false">
      <c r="A8" s="0" t="s">
        <v>44</v>
      </c>
      <c r="C8" s="0" t="n">
        <f aca="false">C6*C7/100</f>
        <v>7153.3671</v>
      </c>
      <c r="D8" s="0" t="n">
        <f aca="false">D6*D7/100</f>
        <v>7519.24078785</v>
      </c>
      <c r="E8" s="0" t="n">
        <f aca="false">E6*E7/100</f>
        <v>7903.557539229</v>
      </c>
      <c r="F8" s="0" t="n">
        <f aca="false">F6*F7/100</f>
        <v>8307.23633563671</v>
      </c>
      <c r="G8" s="0" t="n">
        <f aca="false">G6*G7/100</f>
        <v>8689.46524449029</v>
      </c>
      <c r="H8" s="0" t="n">
        <f aca="false">H6*H7/100</f>
        <v>8993.59652804745</v>
      </c>
      <c r="I8" s="0" t="n">
        <f aca="false">I6*I7/100</f>
        <v>9263.40442388887</v>
      </c>
      <c r="J8" s="0" t="n">
        <f aca="false">J6*J7/100</f>
        <v>9541.30655660554</v>
      </c>
      <c r="K8" s="0" t="n">
        <f aca="false">K6*K7/100</f>
        <v>9779.83922052068</v>
      </c>
      <c r="L8" s="0" t="n">
        <f aca="false">L6*L7/100</f>
        <v>10024.3352010337</v>
      </c>
    </row>
    <row r="9" customFormat="false" ht="15" hidden="false" customHeight="false" outlineLevel="0" collapsed="false">
      <c r="A9" s="0" t="s">
        <v>104</v>
      </c>
      <c r="C9" s="4" t="n">
        <f aca="false">Assumptions!C29</f>
        <v>0.035</v>
      </c>
      <c r="D9" s="4" t="n">
        <f aca="false">Assumptions!D29</f>
        <v>0.035</v>
      </c>
      <c r="E9" s="4" t="n">
        <f aca="false">Assumptions!E29</f>
        <v>0.035</v>
      </c>
      <c r="F9" s="4" t="n">
        <f aca="false">Assumptions!F29</f>
        <v>0.035</v>
      </c>
      <c r="G9" s="4" t="n">
        <f aca="false">Assumptions!G29</f>
        <v>0.035</v>
      </c>
      <c r="H9" s="4" t="n">
        <f aca="false">Assumptions!H29</f>
        <v>0.035</v>
      </c>
      <c r="I9" s="4" t="n">
        <f aca="false">Assumptions!I29</f>
        <v>0.035</v>
      </c>
      <c r="J9" s="4" t="n">
        <f aca="false">Assumptions!J29</f>
        <v>0.035</v>
      </c>
      <c r="K9" s="4" t="n">
        <f aca="false">Assumptions!K29</f>
        <v>0.035</v>
      </c>
      <c r="L9" s="4" t="n">
        <f aca="false">Assumptions!L29</f>
        <v>0.035</v>
      </c>
    </row>
    <row r="10" customFormat="false" ht="15" hidden="false" customHeight="false" outlineLevel="0" collapsed="false">
      <c r="A10" s="0" t="s">
        <v>119</v>
      </c>
      <c r="C10" s="0" t="n">
        <f aca="false">-C6*C9/100</f>
        <v>-29.455041</v>
      </c>
      <c r="D10" s="0" t="n">
        <f aca="false">-D6*D9/100</f>
        <v>-30.780517845</v>
      </c>
      <c r="E10" s="0" t="n">
        <f aca="false">-E6*E9/100</f>
        <v>-32.165641148025</v>
      </c>
      <c r="F10" s="0" t="n">
        <f aca="false">-F6*F9/100</f>
        <v>-33.6130949996861</v>
      </c>
      <c r="G10" s="0" t="n">
        <f aca="false">-G6*G9/100</f>
        <v>-34.9576187996736</v>
      </c>
      <c r="H10" s="0" t="n">
        <f aca="false">-H6*H9/100</f>
        <v>-36.1811354576622</v>
      </c>
      <c r="I10" s="0" t="n">
        <f aca="false">-I6*I9/100</f>
        <v>-37.266569521392</v>
      </c>
      <c r="J10" s="0" t="n">
        <f aca="false">-J6*J9/100</f>
        <v>-38.3845666070338</v>
      </c>
      <c r="K10" s="0" t="n">
        <f aca="false">-K6*K9/100</f>
        <v>-39.3441807722096</v>
      </c>
      <c r="L10" s="0" t="n">
        <f aca="false">-L6*L9/100</f>
        <v>-40.3277852915149</v>
      </c>
    </row>
    <row r="11" customFormat="false" ht="15" hidden="false" customHeight="false" outlineLevel="0" collapsed="false">
      <c r="A11" s="0" t="s">
        <v>120</v>
      </c>
      <c r="C11" s="0" t="n">
        <f aca="false">C8+C10+C24</f>
        <v>6324.418089</v>
      </c>
      <c r="D11" s="0" t="n">
        <f aca="false">D8+D10+D24</f>
        <v>6609.016903005</v>
      </c>
      <c r="E11" s="0" t="n">
        <f aca="false">E8+E10+E24</f>
        <v>6952.37357956597</v>
      </c>
      <c r="F11" s="0" t="n">
        <f aca="false">F8+F10+F24</f>
        <v>7313.24909778885</v>
      </c>
      <c r="G11" s="0" t="n">
        <f aca="false">G8+G10+G24</f>
        <v>7655.71851712851</v>
      </c>
      <c r="H11" s="0" t="n">
        <f aca="false">H8+H10+H24</f>
        <v>7923.66866522801</v>
      </c>
      <c r="I11" s="0" t="n">
        <f aca="false">I8+I10+I24</f>
        <v>8161.37872518485</v>
      </c>
      <c r="J11" s="0" t="n">
        <f aca="false">J8+J10+J24</f>
        <v>8406.22008694039</v>
      </c>
      <c r="K11" s="0" t="n">
        <f aca="false">K8+K10+K24</f>
        <v>8616.3755891139</v>
      </c>
      <c r="L11" s="0" t="n">
        <f aca="false">L8+L10+L24</f>
        <v>8831.78497884175</v>
      </c>
    </row>
    <row r="12" customFormat="false" ht="15" hidden="false" customHeight="false" outlineLevel="0" collapsed="false">
      <c r="A12" s="0" t="s">
        <v>121</v>
      </c>
      <c r="C12" s="4" t="n">
        <f aca="false">-C6*Assumptions!C31/100</f>
        <v>-1851.45972</v>
      </c>
      <c r="D12" s="4" t="n">
        <f aca="false">-D6*Assumptions!D31/100</f>
        <v>-1978.74757575</v>
      </c>
      <c r="E12" s="4" t="n">
        <f aca="false">-E6*Assumptions!E31/100</f>
        <v>-2113.7421325845</v>
      </c>
      <c r="F12" s="4" t="n">
        <f aca="false">-F6*Assumptions!F31/100</f>
        <v>-2208.8605285508</v>
      </c>
      <c r="G12" s="4" t="n">
        <f aca="false">-G6*Assumptions!G31/100</f>
        <v>-2297.21494969283</v>
      </c>
      <c r="H12" s="4" t="n">
        <f aca="false">-H6*Assumptions!H31/100</f>
        <v>-2377.61747293208</v>
      </c>
      <c r="I12" s="4" t="n">
        <f aca="false">-I6*Assumptions!I31/100</f>
        <v>-2448.94599712005</v>
      </c>
      <c r="J12" s="4" t="n">
        <f aca="false">-J6*Assumptions!J31/100</f>
        <v>-2522.41437703365</v>
      </c>
      <c r="K12" s="4" t="n">
        <f aca="false">-K6*Assumptions!K31/100</f>
        <v>-2585.47473645949</v>
      </c>
      <c r="L12" s="4" t="n">
        <f aca="false">-L6*Assumptions!L31/100</f>
        <v>-2650.11160487098</v>
      </c>
    </row>
    <row r="13" customFormat="false" ht="15" hidden="false" customHeight="false" outlineLevel="0" collapsed="false">
      <c r="A13" s="0" t="s">
        <v>122</v>
      </c>
      <c r="C13" s="0" t="n">
        <f aca="false">C11+C12</f>
        <v>4472.958369</v>
      </c>
      <c r="D13" s="0" t="n">
        <f aca="false">D11+D12</f>
        <v>4630.269327255</v>
      </c>
      <c r="E13" s="0" t="n">
        <f aca="false">E11+E12</f>
        <v>4838.63144698147</v>
      </c>
      <c r="F13" s="0" t="n">
        <f aca="false">F11+F12</f>
        <v>5104.38856923805</v>
      </c>
      <c r="G13" s="0" t="n">
        <f aca="false">G11+G12</f>
        <v>5358.50356743568</v>
      </c>
      <c r="H13" s="0" t="n">
        <f aca="false">H11+H12</f>
        <v>5546.05119229593</v>
      </c>
      <c r="I13" s="0" t="n">
        <f aca="false">I11+I12</f>
        <v>5712.4327280648</v>
      </c>
      <c r="J13" s="0" t="n">
        <f aca="false">J11+J12</f>
        <v>5883.80570990675</v>
      </c>
      <c r="K13" s="0" t="n">
        <f aca="false">K11+K12</f>
        <v>6030.90085265442</v>
      </c>
      <c r="L13" s="0" t="n">
        <f aca="false">L11+L12</f>
        <v>6181.67337397078</v>
      </c>
    </row>
    <row r="14" customFormat="false" ht="15" hidden="false" customHeight="false" outlineLevel="0" collapsed="false">
      <c r="A14" s="0" t="s">
        <v>108</v>
      </c>
      <c r="C14" s="4" t="n">
        <f aca="false">Assumptions!C33</f>
        <v>17</v>
      </c>
      <c r="D14" s="4" t="n">
        <f aca="false">Assumptions!D33</f>
        <v>19</v>
      </c>
      <c r="E14" s="4" t="n">
        <f aca="false">Assumptions!E33</f>
        <v>21</v>
      </c>
      <c r="F14" s="4" t="n">
        <f aca="false">Assumptions!F33</f>
        <v>22</v>
      </c>
      <c r="G14" s="4" t="n">
        <f aca="false">Assumptions!G33</f>
        <v>23</v>
      </c>
      <c r="H14" s="4" t="n">
        <f aca="false">Assumptions!H33</f>
        <v>23</v>
      </c>
      <c r="I14" s="4" t="n">
        <f aca="false">Assumptions!I33</f>
        <v>23</v>
      </c>
      <c r="J14" s="4" t="n">
        <f aca="false">Assumptions!J33</f>
        <v>23</v>
      </c>
      <c r="K14" s="4" t="n">
        <f aca="false">Assumptions!K33</f>
        <v>23</v>
      </c>
      <c r="L14" s="4" t="n">
        <f aca="false">Assumptions!L33</f>
        <v>23</v>
      </c>
    </row>
    <row r="15" customFormat="false" ht="15" hidden="false" customHeight="false" outlineLevel="0" collapsed="false">
      <c r="A15" s="0" t="s">
        <v>123</v>
      </c>
      <c r="C15" s="0" t="n">
        <f aca="false">C13-MAX(0,C13)*C14/100</f>
        <v>3712.55544627</v>
      </c>
      <c r="D15" s="0" t="n">
        <f aca="false">D13-MAX(0,D13)*D14/100</f>
        <v>3750.51815507655</v>
      </c>
      <c r="E15" s="0" t="n">
        <f aca="false">E13-MAX(0,E13)*E14/100</f>
        <v>3822.51884311536</v>
      </c>
      <c r="F15" s="0" t="n">
        <f aca="false">F13-MAX(0,F13)*F14/100</f>
        <v>3981.42308400568</v>
      </c>
      <c r="G15" s="0" t="n">
        <f aca="false">G13-MAX(0,G13)*G14/100</f>
        <v>4126.04774692547</v>
      </c>
      <c r="H15" s="0" t="n">
        <f aca="false">H13-MAX(0,H13)*H14/100</f>
        <v>4270.45941806786</v>
      </c>
      <c r="I15" s="0" t="n">
        <f aca="false">I13-MAX(0,I13)*I14/100</f>
        <v>4398.5732006099</v>
      </c>
      <c r="J15" s="0" t="n">
        <f aca="false">J13-MAX(0,J13)*J14/100</f>
        <v>4530.53039662819</v>
      </c>
      <c r="K15" s="0" t="n">
        <f aca="false">K13-MAX(0,K13)*K14/100</f>
        <v>4643.7936565439</v>
      </c>
      <c r="L15" s="0" t="n">
        <f aca="false">L13-MAX(0,L13)*L14/100</f>
        <v>4759.8884979575</v>
      </c>
    </row>
    <row r="16" customFormat="false" ht="15" hidden="false" customHeight="false" outlineLevel="0" collapsed="false">
      <c r="A16" s="0" t="s">
        <v>124</v>
      </c>
      <c r="C16" s="0" t="n">
        <f aca="false">-C12</f>
        <v>1851.45972</v>
      </c>
      <c r="D16" s="0" t="n">
        <f aca="false">-D12</f>
        <v>1978.74757575</v>
      </c>
      <c r="E16" s="0" t="n">
        <f aca="false">-E12</f>
        <v>2113.7421325845</v>
      </c>
      <c r="F16" s="0" t="n">
        <f aca="false">-F12</f>
        <v>2208.8605285508</v>
      </c>
      <c r="G16" s="0" t="n">
        <f aca="false">-G12</f>
        <v>2297.21494969283</v>
      </c>
      <c r="H16" s="0" t="n">
        <f aca="false">-H12</f>
        <v>2377.61747293208</v>
      </c>
      <c r="I16" s="0" t="n">
        <f aca="false">-I12</f>
        <v>2448.94599712005</v>
      </c>
      <c r="J16" s="0" t="n">
        <f aca="false">-J12</f>
        <v>2522.41437703365</v>
      </c>
      <c r="K16" s="0" t="n">
        <f aca="false">-K12</f>
        <v>2585.47473645949</v>
      </c>
      <c r="L16" s="0" t="n">
        <f aca="false">-L12</f>
        <v>2650.11160487098</v>
      </c>
    </row>
    <row r="17" customFormat="false" ht="15" hidden="false" customHeight="false" outlineLevel="0" collapsed="false">
      <c r="A17" s="0" t="s">
        <v>125</v>
      </c>
      <c r="C17" s="4" t="n">
        <f aca="false">-C6*Assumptions!C32/100</f>
        <v>-2103.9315</v>
      </c>
      <c r="D17" s="4" t="n">
        <f aca="false">-D6*Assumptions!D32/100</f>
        <v>-2374.4970909</v>
      </c>
      <c r="E17" s="4" t="n">
        <f aca="false">-E6*Assumptions!E32/100</f>
        <v>-2481.3494599905</v>
      </c>
      <c r="F17" s="4" t="n">
        <f aca="false">-F6*Assumptions!F32/100</f>
        <v>-2593.01018569007</v>
      </c>
      <c r="G17" s="4" t="n">
        <f aca="false">-G6*Assumptions!G32/100</f>
        <v>-2696.73059311768</v>
      </c>
      <c r="H17" s="4" t="n">
        <f aca="false">-H6*Assumptions!H32/100</f>
        <v>-2687.74149114062</v>
      </c>
      <c r="I17" s="4" t="n">
        <f aca="false">-I6*Assumptions!I32/100</f>
        <v>-2768.37373587484</v>
      </c>
      <c r="J17" s="4" t="n">
        <f aca="false">-J6*Assumptions!J32/100</f>
        <v>-2851.42494795108</v>
      </c>
      <c r="K17" s="4" t="n">
        <f aca="false">-K6*Assumptions!K32/100</f>
        <v>-2922.71057164986</v>
      </c>
      <c r="L17" s="4" t="n">
        <f aca="false">-L6*Assumptions!L32/100</f>
        <v>-2995.7783359411</v>
      </c>
    </row>
    <row r="18" customFormat="false" ht="15" hidden="false" customHeight="false" outlineLevel="0" collapsed="false">
      <c r="A18" s="0" t="s">
        <v>126</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127</v>
      </c>
      <c r="C19" s="0" t="n">
        <f aca="false">C15+C16+C17+C18</f>
        <v>3460.08366627</v>
      </c>
      <c r="D19" s="0" t="n">
        <f aca="false">D15+D16+D17+D18</f>
        <v>3354.76863992655</v>
      </c>
      <c r="E19" s="0" t="n">
        <f aca="false">E15+E16+E17+E18</f>
        <v>3454.91151570936</v>
      </c>
      <c r="F19" s="0" t="n">
        <f aca="false">F15+F16+F17+F18</f>
        <v>3597.27342686641</v>
      </c>
      <c r="G19" s="0" t="n">
        <f aca="false">G15+G16+G17+G18</f>
        <v>3726.53210350063</v>
      </c>
      <c r="H19" s="0" t="n">
        <f aca="false">H15+H16+H17+H18</f>
        <v>3960.33539985933</v>
      </c>
      <c r="I19" s="0" t="n">
        <f aca="false">I15+I16+I17+I18</f>
        <v>4079.14546185511</v>
      </c>
      <c r="J19" s="0" t="n">
        <f aca="false">J15+J16+J17+J18</f>
        <v>4201.51982571076</v>
      </c>
      <c r="K19" s="0" t="n">
        <f aca="false">K15+K16+K17+K18</f>
        <v>4306.55782135353</v>
      </c>
      <c r="L19" s="0" t="n">
        <f aca="false">L15+L16+L17+L18</f>
        <v>4414.22176688737</v>
      </c>
    </row>
    <row r="20" customFormat="false" ht="15" hidden="false" customHeight="false" outlineLevel="0" collapsed="false">
      <c r="A20" s="0" t="s">
        <v>128</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129</v>
      </c>
      <c r="C21" s="0" t="n">
        <f aca="false">C19*C20</f>
        <v>3218.68248025116</v>
      </c>
      <c r="D21" s="0" t="n">
        <f aca="false">D19*D20</f>
        <v>2902.99071059085</v>
      </c>
      <c r="E21" s="0" t="n">
        <f aca="false">E19*E20</f>
        <v>2781.0675412907</v>
      </c>
      <c r="F21" s="0" t="n">
        <f aca="false">F19*F20</f>
        <v>2693.64024778804</v>
      </c>
      <c r="G21" s="0" t="n">
        <f aca="false">G19*G20</f>
        <v>2595.7481054232</v>
      </c>
      <c r="H21" s="0" t="n">
        <f aca="false">H19*H20</f>
        <v>2566.14493932443</v>
      </c>
      <c r="I21" s="0" t="n">
        <f aca="false">I19*I20</f>
        <v>2458.72491860853</v>
      </c>
      <c r="J21" s="0" t="n">
        <f aca="false">J19*J20</f>
        <v>2355.80154992259</v>
      </c>
      <c r="K21" s="0" t="n">
        <f aca="false">K19*K20</f>
        <v>2246.22938480991</v>
      </c>
      <c r="L21" s="0" t="n">
        <f aca="false">L19*L20</f>
        <v>2141.75359946991</v>
      </c>
    </row>
    <row r="23" customFormat="false" ht="15" hidden="false" customHeight="false" outlineLevel="0" collapsed="false">
      <c r="A23" s="0" t="s">
        <v>105</v>
      </c>
      <c r="C23" s="4" t="n">
        <f aca="false">Assumptions!C30</f>
        <v>0.95</v>
      </c>
      <c r="D23" s="4" t="n">
        <f aca="false">Assumptions!D30</f>
        <v>1</v>
      </c>
      <c r="E23" s="4" t="n">
        <f aca="false">Assumptions!E30</f>
        <v>1</v>
      </c>
      <c r="F23" s="4" t="n">
        <f aca="false">Assumptions!F30</f>
        <v>1</v>
      </c>
      <c r="G23" s="4" t="n">
        <f aca="false">Assumptions!G30</f>
        <v>1</v>
      </c>
      <c r="H23" s="4" t="n">
        <f aca="false">Assumptions!H30</f>
        <v>1</v>
      </c>
      <c r="I23" s="4" t="n">
        <f aca="false">Assumptions!I30</f>
        <v>1</v>
      </c>
      <c r="J23" s="4" t="n">
        <f aca="false">Assumptions!J30</f>
        <v>1</v>
      </c>
      <c r="K23" s="4" t="n">
        <f aca="false">Assumptions!K30</f>
        <v>1</v>
      </c>
      <c r="L23" s="4" t="n">
        <f aca="false">Assumptions!L30</f>
        <v>1</v>
      </c>
    </row>
    <row r="24" customFormat="false" ht="15" hidden="false" customHeight="false" outlineLevel="0" collapsed="false">
      <c r="A24" s="0" t="s">
        <v>130</v>
      </c>
      <c r="C24" s="0" t="n">
        <f aca="false">-C6*C23/100</f>
        <v>-799.49397</v>
      </c>
      <c r="D24" s="0" t="n">
        <f aca="false">-D6*D23/100</f>
        <v>-879.443367</v>
      </c>
      <c r="E24" s="0" t="n">
        <f aca="false">-E6*E23/100</f>
        <v>-919.018318515</v>
      </c>
      <c r="F24" s="0" t="n">
        <f aca="false">-F6*F23/100</f>
        <v>-960.374142848175</v>
      </c>
      <c r="G24" s="0" t="n">
        <f aca="false">-G6*G23/100</f>
        <v>-998.789108562102</v>
      </c>
      <c r="H24" s="0" t="n">
        <f aca="false">-H6*H23/100</f>
        <v>-1033.74672736178</v>
      </c>
      <c r="I24" s="0" t="n">
        <f aca="false">-I6*I23/100</f>
        <v>-1064.75912918263</v>
      </c>
      <c r="J24" s="0" t="n">
        <f aca="false">-J6*J23/100</f>
        <v>-1096.70190305811</v>
      </c>
      <c r="K24" s="0" t="n">
        <f aca="false">-K6*K23/100</f>
        <v>-1124.11945063456</v>
      </c>
      <c r="L24" s="0" t="n">
        <f aca="false">-L6*L23/100</f>
        <v>-1152.22243690042</v>
      </c>
    </row>
    <row r="26" customFormat="false" ht="15" hidden="false" customHeight="false" outlineLevel="0" collapsed="false">
      <c r="A26" s="2" t="s">
        <v>131</v>
      </c>
    </row>
    <row r="27" customFormat="false" ht="15" hidden="false" customHeight="false" outlineLevel="0" collapsed="false">
      <c r="A27" s="0" t="s">
        <v>109</v>
      </c>
      <c r="B27" s="4" t="n">
        <f aca="false">Assumptions!$B$34</f>
        <v>7.5</v>
      </c>
    </row>
    <row r="28" customFormat="false" ht="15" hidden="false" customHeight="false" outlineLevel="0" collapsed="false">
      <c r="A28" s="0" t="s">
        <v>110</v>
      </c>
      <c r="B28" s="4" t="n">
        <f aca="false">Assumptions!$B$35</f>
        <v>2.5</v>
      </c>
    </row>
    <row r="29" customFormat="false" ht="15" hidden="false" customHeight="false" outlineLevel="0" collapsed="false">
      <c r="A29" s="0" t="s">
        <v>111</v>
      </c>
      <c r="B29" s="4" t="n">
        <f aca="false">Assumptions!$B$36</f>
        <v>18</v>
      </c>
    </row>
    <row r="30" customFormat="false" ht="15" hidden="false" customHeight="false" outlineLevel="0" collapsed="false">
      <c r="A30" s="0" t="s">
        <v>132</v>
      </c>
      <c r="B30" s="0" t="n">
        <f aca="false">SUM(C21:L21)</f>
        <v>25960.7834774793</v>
      </c>
    </row>
    <row r="31" customFormat="false" ht="15" hidden="false" customHeight="false" outlineLevel="0" collapsed="false">
      <c r="A31" s="0" t="s">
        <v>133</v>
      </c>
      <c r="B31" s="0" t="n">
        <f aca="false">L19</f>
        <v>4414.22176688737</v>
      </c>
    </row>
    <row r="32" customFormat="false" ht="15" hidden="false" customHeight="false" outlineLevel="0" collapsed="false">
      <c r="A32" s="0" t="s">
        <v>134</v>
      </c>
      <c r="B32" s="0" t="n">
        <f aca="false">IF(B27&gt;B28,B31*(1+B28/100)/((B27-B28)/100),B31*B29)</f>
        <v>90491.5462211911</v>
      </c>
    </row>
    <row r="33" customFormat="false" ht="15" hidden="false" customHeight="false" outlineLevel="0" collapsed="false">
      <c r="A33" s="0" t="s">
        <v>135</v>
      </c>
      <c r="B33" s="0" t="n">
        <f aca="false">B31*B29</f>
        <v>79455.9918039727</v>
      </c>
    </row>
    <row r="34" customFormat="false" ht="15" hidden="false" customHeight="false" outlineLevel="0" collapsed="false">
      <c r="A34" s="0" t="s">
        <v>136</v>
      </c>
      <c r="B34" s="0" t="n">
        <f aca="false">MAX(0,MIN(B32,B33))</f>
        <v>79455.9918039727</v>
      </c>
    </row>
    <row r="35" customFormat="false" ht="15" hidden="false" customHeight="false" outlineLevel="0" collapsed="false">
      <c r="A35" s="0" t="s">
        <v>137</v>
      </c>
      <c r="B35" s="0" t="n">
        <f aca="false">B34/(1+B27/100)^L4</f>
        <v>38551.5647904585</v>
      </c>
    </row>
    <row r="36" customFormat="false" ht="15" hidden="false" customHeight="false" outlineLevel="0" collapsed="false">
      <c r="A36" s="0" t="s">
        <v>138</v>
      </c>
      <c r="B36" s="0" t="n">
        <f aca="false">B30+B35</f>
        <v>64512.3482679378</v>
      </c>
    </row>
    <row r="37" customFormat="false" ht="15" hidden="false" customHeight="false" outlineLevel="0" collapsed="false">
      <c r="A37" s="0" t="s">
        <v>139</v>
      </c>
      <c r="B37" s="0" t="n">
        <f aca="false">B36+Assumptions!$B$5-Assumptions!$B$4</f>
        <v>57253.2482679378</v>
      </c>
    </row>
    <row r="38" customFormat="false" ht="15" hidden="false" customHeight="false" outlineLevel="0" collapsed="false">
      <c r="A38" s="0" t="s">
        <v>140</v>
      </c>
      <c r="B38" s="0" t="n">
        <f aca="false">B37/Assumptions!$B$3*Assumptions!$B$10</f>
        <v>88.8113832638138</v>
      </c>
    </row>
    <row r="39" customFormat="false" ht="15" hidden="false" customHeight="false" outlineLevel="0" collapsed="false">
      <c r="A39" s="0" t="s">
        <v>141</v>
      </c>
      <c r="B39" s="4" t="n">
        <f aca="false">B38/Assumptions!$B$2-1</f>
        <v>0.143739642805071</v>
      </c>
    </row>
    <row r="41" customFormat="false" ht="15" hidden="false" customHeight="false" outlineLevel="0" collapsed="false">
      <c r="A41" s="0" t="s">
        <v>142</v>
      </c>
      <c r="B41" s="0" t="n">
        <f aca="false">SUMPRODUCT(-C10:L10/(1+$B$27/100)^C4:L4)</f>
        <v>236.964005479406</v>
      </c>
    </row>
    <row r="42" customFormat="false" ht="15" hidden="false" customHeight="false" outlineLevel="0" collapsed="false">
      <c r="A42" s="0" t="s">
        <v>143</v>
      </c>
      <c r="B42" s="0" t="n">
        <f aca="false">IF(B27&gt;B28,-L10*(1+B28/100)/((B27-B28)/100),-L10*20)/(1+B27/100)^L4</f>
        <v>401.119329588406</v>
      </c>
    </row>
    <row r="43" customFormat="false" ht="15" hidden="false" customHeight="false" outlineLevel="0" collapsed="false">
      <c r="A43" s="0" t="s">
        <v>144</v>
      </c>
      <c r="B43" s="0" t="n">
        <f aca="false">(B37+B41+B42)/Assumptions!$B$3*Assumptions!$B$10</f>
        <v>89.8011797441769</v>
      </c>
    </row>
    <row r="45" customFormat="false" ht="15" hidden="false" customHeight="false" outlineLevel="0" collapsed="false">
      <c r="A45" s="0" t="s">
        <v>85</v>
      </c>
      <c r="B45" s="4" t="n">
        <f aca="false">Assumptions!$B$6</f>
        <v>15</v>
      </c>
    </row>
    <row r="46" customFormat="false" ht="15" hidden="false" customHeight="false" outlineLevel="0" collapsed="false">
      <c r="A46" s="0" t="s">
        <v>145</v>
      </c>
      <c r="B46" s="0" t="n">
        <f aca="false">MAX(0,MIN(IF(B45&gt;B28,B31*(1+B28/100)/((B45-B28)/100),B31*B29),B31*B29))</f>
        <v>36196.6184884764</v>
      </c>
    </row>
    <row r="47" customFormat="false" ht="15" hidden="false" customHeight="false" outlineLevel="0" collapsed="false">
      <c r="A47" s="0" t="s">
        <v>146</v>
      </c>
      <c r="B47" s="0" t="n">
        <f aca="false">(SUMPRODUCT(C19:L19/(1+B45/100)^C4:L4)+B46/(1+B45/100)^L4+Assumptions!$B$5-Assumptions!$B$4)/Assumptions!$B$3*Assumptions!$B$10</f>
        <v>31.5657820062155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148</v>
      </c>
    </row>
    <row r="3" customFormat="false" ht="15" hidden="false" customHeight="false" outlineLevel="0" collapsed="false">
      <c r="A3" s="0" t="s">
        <v>117</v>
      </c>
      <c r="B3" s="0" t="s">
        <v>78</v>
      </c>
      <c r="C3" s="2" t="s">
        <v>92</v>
      </c>
      <c r="D3" s="2" t="s">
        <v>93</v>
      </c>
      <c r="E3" s="2" t="s">
        <v>94</v>
      </c>
      <c r="F3" s="2" t="s">
        <v>95</v>
      </c>
      <c r="G3" s="2" t="s">
        <v>96</v>
      </c>
      <c r="H3" s="2" t="s">
        <v>97</v>
      </c>
      <c r="I3" s="2" t="s">
        <v>98</v>
      </c>
      <c r="J3" s="2" t="s">
        <v>99</v>
      </c>
      <c r="K3" s="2" t="s">
        <v>100</v>
      </c>
      <c r="L3" s="2" t="s">
        <v>101</v>
      </c>
    </row>
    <row r="4" customFormat="false" ht="15" hidden="false" customHeight="false" outlineLevel="0" collapsed="false">
      <c r="A4" s="0" t="s">
        <v>118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102</v>
      </c>
      <c r="C5" s="4" t="n">
        <f aca="false">Assumptions!C41</f>
        <v>12</v>
      </c>
      <c r="D5" s="4" t="n">
        <f aca="false">Assumptions!D41</f>
        <v>6.5</v>
      </c>
      <c r="E5" s="4" t="n">
        <f aca="false">Assumptions!E41</f>
        <v>6</v>
      </c>
      <c r="F5" s="4" t="n">
        <f aca="false">Assumptions!F41</f>
        <v>5.5</v>
      </c>
      <c r="G5" s="4" t="n">
        <f aca="false">Assumptions!G41</f>
        <v>5</v>
      </c>
      <c r="H5" s="4" t="n">
        <f aca="false">Assumptions!H41</f>
        <v>4</v>
      </c>
      <c r="I5" s="4" t="n">
        <f aca="false">Assumptions!I41</f>
        <v>3.5</v>
      </c>
      <c r="J5" s="4" t="n">
        <f aca="false">Assumptions!J41</f>
        <v>3</v>
      </c>
      <c r="K5" s="4" t="n">
        <f aca="false">Assumptions!K41</f>
        <v>3</v>
      </c>
      <c r="L5" s="4" t="n">
        <f aca="false">Assumptions!L41</f>
        <v>3</v>
      </c>
    </row>
    <row r="6" customFormat="false" ht="15" hidden="false" customHeight="false" outlineLevel="0" collapsed="false">
      <c r="A6" s="0" t="s">
        <v>38</v>
      </c>
      <c r="B6" s="3" t="n">
        <v>76506.6</v>
      </c>
      <c r="C6" s="0" t="n">
        <f aca="false">B6*(1+C5/100)</f>
        <v>85687.392</v>
      </c>
      <c r="D6" s="0" t="n">
        <f aca="false">C6*(1+D5/100)</f>
        <v>91257.07248</v>
      </c>
      <c r="E6" s="0" t="n">
        <f aca="false">D6*(1+E5/100)</f>
        <v>96732.4968288</v>
      </c>
      <c r="F6" s="0" t="n">
        <f aca="false">E6*(1+F5/100)</f>
        <v>102052.784154384</v>
      </c>
      <c r="G6" s="0" t="n">
        <f aca="false">F6*(1+G5/100)</f>
        <v>107155.423362103</v>
      </c>
      <c r="H6" s="0" t="n">
        <f aca="false">G6*(1+H5/100)</f>
        <v>111441.640296587</v>
      </c>
      <c r="I6" s="0" t="n">
        <f aca="false">H6*(1+I5/100)</f>
        <v>115342.097706968</v>
      </c>
      <c r="J6" s="0" t="n">
        <f aca="false">I6*(1+J5/100)</f>
        <v>118802.360638177</v>
      </c>
      <c r="K6" s="0" t="n">
        <f aca="false">J6*(1+K5/100)</f>
        <v>122366.431457322</v>
      </c>
      <c r="L6" s="0" t="n">
        <f aca="false">K6*(1+L5/100)</f>
        <v>126037.424401042</v>
      </c>
    </row>
    <row r="7" customFormat="false" ht="15" hidden="false" customHeight="false" outlineLevel="0" collapsed="false">
      <c r="A7" s="0" t="s">
        <v>103</v>
      </c>
      <c r="C7" s="4" t="n">
        <f aca="false">Assumptions!C42</f>
        <v>8.7</v>
      </c>
      <c r="D7" s="4" t="n">
        <f aca="false">Assumptions!D42</f>
        <v>8.9</v>
      </c>
      <c r="E7" s="4" t="n">
        <f aca="false">Assumptions!E42</f>
        <v>9</v>
      </c>
      <c r="F7" s="4" t="n">
        <f aca="false">Assumptions!F42</f>
        <v>9.1</v>
      </c>
      <c r="G7" s="4" t="n">
        <f aca="false">Assumptions!G42</f>
        <v>9.2</v>
      </c>
      <c r="H7" s="4" t="n">
        <f aca="false">Assumptions!H42</f>
        <v>9.2</v>
      </c>
      <c r="I7" s="4" t="n">
        <f aca="false">Assumptions!I42</f>
        <v>9.2</v>
      </c>
      <c r="J7" s="4" t="n">
        <f aca="false">Assumptions!J42</f>
        <v>9.2</v>
      </c>
      <c r="K7" s="4" t="n">
        <f aca="false">Assumptions!K42</f>
        <v>9.2</v>
      </c>
      <c r="L7" s="4" t="n">
        <f aca="false">Assumptions!L42</f>
        <v>9.2</v>
      </c>
    </row>
    <row r="8" customFormat="false" ht="15" hidden="false" customHeight="false" outlineLevel="0" collapsed="false">
      <c r="A8" s="0" t="s">
        <v>44</v>
      </c>
      <c r="C8" s="0" t="n">
        <f aca="false">C6*C7/100</f>
        <v>7454.803104</v>
      </c>
      <c r="D8" s="0" t="n">
        <f aca="false">D6*D7/100</f>
        <v>8121.87945072</v>
      </c>
      <c r="E8" s="0" t="n">
        <f aca="false">E6*E7/100</f>
        <v>8705.924714592</v>
      </c>
      <c r="F8" s="0" t="n">
        <f aca="false">F6*F7/100</f>
        <v>9286.80335804895</v>
      </c>
      <c r="G8" s="0" t="n">
        <f aca="false">G6*G7/100</f>
        <v>9858.2989493135</v>
      </c>
      <c r="H8" s="0" t="n">
        <f aca="false">H6*H7/100</f>
        <v>10252.630907286</v>
      </c>
      <c r="I8" s="0" t="n">
        <f aca="false">I6*I7/100</f>
        <v>10611.472989041</v>
      </c>
      <c r="J8" s="0" t="n">
        <f aca="false">J6*J7/100</f>
        <v>10929.8171787123</v>
      </c>
      <c r="K8" s="0" t="n">
        <f aca="false">K6*K7/100</f>
        <v>11257.7116940736</v>
      </c>
      <c r="L8" s="0" t="n">
        <f aca="false">L6*L7/100</f>
        <v>11595.4430448959</v>
      </c>
    </row>
    <row r="9" customFormat="false" ht="15" hidden="false" customHeight="false" outlineLevel="0" collapsed="false">
      <c r="A9" s="0" t="s">
        <v>104</v>
      </c>
      <c r="C9" s="4" t="n">
        <f aca="false">Assumptions!C43</f>
        <v>0.035</v>
      </c>
      <c r="D9" s="4" t="n">
        <f aca="false">Assumptions!D43</f>
        <v>0.035</v>
      </c>
      <c r="E9" s="4" t="n">
        <f aca="false">Assumptions!E43</f>
        <v>0.035</v>
      </c>
      <c r="F9" s="4" t="n">
        <f aca="false">Assumptions!F43</f>
        <v>0.035</v>
      </c>
      <c r="G9" s="4" t="n">
        <f aca="false">Assumptions!G43</f>
        <v>0.035</v>
      </c>
      <c r="H9" s="4" t="n">
        <f aca="false">Assumptions!H43</f>
        <v>0.035</v>
      </c>
      <c r="I9" s="4" t="n">
        <f aca="false">Assumptions!I43</f>
        <v>0.035</v>
      </c>
      <c r="J9" s="4" t="n">
        <f aca="false">Assumptions!J43</f>
        <v>0.035</v>
      </c>
      <c r="K9" s="4" t="n">
        <f aca="false">Assumptions!K43</f>
        <v>0.035</v>
      </c>
      <c r="L9" s="4" t="n">
        <f aca="false">Assumptions!L43</f>
        <v>0.035</v>
      </c>
    </row>
    <row r="10" customFormat="false" ht="15" hidden="false" customHeight="false" outlineLevel="0" collapsed="false">
      <c r="A10" s="0" t="s">
        <v>119</v>
      </c>
      <c r="C10" s="0" t="n">
        <f aca="false">-C6*C9/100</f>
        <v>-29.9905872</v>
      </c>
      <c r="D10" s="0" t="n">
        <f aca="false">-D6*D9/100</f>
        <v>-31.939975368</v>
      </c>
      <c r="E10" s="0" t="n">
        <f aca="false">-E6*E9/100</f>
        <v>-33.85637389008</v>
      </c>
      <c r="F10" s="0" t="n">
        <f aca="false">-F6*F9/100</f>
        <v>-35.7184744540344</v>
      </c>
      <c r="G10" s="0" t="n">
        <f aca="false">-G6*G9/100</f>
        <v>-37.5043981767361</v>
      </c>
      <c r="H10" s="0" t="n">
        <f aca="false">-H6*H9/100</f>
        <v>-39.0045741038056</v>
      </c>
      <c r="I10" s="0" t="n">
        <f aca="false">-I6*I9/100</f>
        <v>-40.3697341974388</v>
      </c>
      <c r="J10" s="0" t="n">
        <f aca="false">-J6*J9/100</f>
        <v>-41.5808262233619</v>
      </c>
      <c r="K10" s="0" t="n">
        <f aca="false">-K6*K9/100</f>
        <v>-42.8282510100628</v>
      </c>
      <c r="L10" s="0" t="n">
        <f aca="false">-L6*L9/100</f>
        <v>-44.1130985403647</v>
      </c>
    </row>
    <row r="11" customFormat="false" ht="15" hidden="false" customHeight="false" outlineLevel="0" collapsed="false">
      <c r="A11" s="0" t="s">
        <v>120</v>
      </c>
      <c r="C11" s="0" t="n">
        <f aca="false">C8+C10+C24</f>
        <v>6610.7822928</v>
      </c>
      <c r="D11" s="0" t="n">
        <f aca="false">D8+D10+D24</f>
        <v>7177.368750552</v>
      </c>
      <c r="E11" s="0" t="n">
        <f aca="false">E8+E10+E24</f>
        <v>7704.74337241392</v>
      </c>
      <c r="F11" s="0" t="n">
        <f aca="false">F8+F10+F24</f>
        <v>8230.55704205107</v>
      </c>
      <c r="G11" s="0" t="n">
        <f aca="false">G8+G10+G24</f>
        <v>8749.24031751573</v>
      </c>
      <c r="H11" s="0" t="n">
        <f aca="false">H8+H10+H24</f>
        <v>9099.20993021636</v>
      </c>
      <c r="I11" s="0" t="n">
        <f aca="false">I8+I10+I24</f>
        <v>9417.68227777393</v>
      </c>
      <c r="J11" s="0" t="n">
        <f aca="false">J8+J10+J24</f>
        <v>9700.21274610715</v>
      </c>
      <c r="K11" s="0" t="n">
        <f aca="false">K8+K10+K24</f>
        <v>9991.21912849036</v>
      </c>
      <c r="L11" s="0" t="n">
        <f aca="false">L8+L10+L24</f>
        <v>10290.9557023451</v>
      </c>
    </row>
    <row r="12" customFormat="false" ht="15" hidden="false" customHeight="false" outlineLevel="0" collapsed="false">
      <c r="A12" s="0" t="s">
        <v>121</v>
      </c>
      <c r="C12" s="4" t="n">
        <f aca="false">-C6*Assumptions!C45/100</f>
        <v>-1885.122624</v>
      </c>
      <c r="D12" s="4" t="n">
        <f aca="false">-D6*Assumptions!D45/100</f>
        <v>-2053.2841308</v>
      </c>
      <c r="E12" s="4" t="n">
        <f aca="false">-E6*Assumptions!E45/100</f>
        <v>-2224.8474270624</v>
      </c>
      <c r="F12" s="4" t="n">
        <f aca="false">-F6*Assumptions!F45/100</f>
        <v>-2347.21403555083</v>
      </c>
      <c r="G12" s="4" t="n">
        <f aca="false">-G6*Assumptions!G45/100</f>
        <v>-2464.57473732837</v>
      </c>
      <c r="H12" s="4" t="n">
        <f aca="false">-H6*Assumptions!H45/100</f>
        <v>-2563.15772682151</v>
      </c>
      <c r="I12" s="4" t="n">
        <f aca="false">-I6*Assumptions!I45/100</f>
        <v>-2652.86824726026</v>
      </c>
      <c r="J12" s="4" t="n">
        <f aca="false">-J6*Assumptions!J45/100</f>
        <v>-2732.45429467807</v>
      </c>
      <c r="K12" s="4" t="n">
        <f aca="false">-K6*Assumptions!K45/100</f>
        <v>-2814.42792351841</v>
      </c>
      <c r="L12" s="4" t="n">
        <f aca="false">-L6*Assumptions!L45/100</f>
        <v>-2898.86076122396</v>
      </c>
    </row>
    <row r="13" customFormat="false" ht="15" hidden="false" customHeight="false" outlineLevel="0" collapsed="false">
      <c r="A13" s="0" t="s">
        <v>122</v>
      </c>
      <c r="C13" s="0" t="n">
        <f aca="false">C11+C12</f>
        <v>4725.6596688</v>
      </c>
      <c r="D13" s="0" t="n">
        <f aca="false">D11+D12</f>
        <v>5124.084619752</v>
      </c>
      <c r="E13" s="0" t="n">
        <f aca="false">E11+E12</f>
        <v>5479.89594535152</v>
      </c>
      <c r="F13" s="0" t="n">
        <f aca="false">F11+F12</f>
        <v>5883.34300650024</v>
      </c>
      <c r="G13" s="0" t="n">
        <f aca="false">G11+G12</f>
        <v>6284.66558018735</v>
      </c>
      <c r="H13" s="0" t="n">
        <f aca="false">H11+H12</f>
        <v>6536.05220339485</v>
      </c>
      <c r="I13" s="0" t="n">
        <f aca="false">I11+I12</f>
        <v>6764.81403051367</v>
      </c>
      <c r="J13" s="0" t="n">
        <f aca="false">J11+J12</f>
        <v>6967.75845142908</v>
      </c>
      <c r="K13" s="0" t="n">
        <f aca="false">K11+K12</f>
        <v>7176.79120497195</v>
      </c>
      <c r="L13" s="0" t="n">
        <f aca="false">L11+L12</f>
        <v>7392.09494112111</v>
      </c>
    </row>
    <row r="14" customFormat="false" ht="15" hidden="false" customHeight="false" outlineLevel="0" collapsed="false">
      <c r="A14" s="0" t="s">
        <v>108</v>
      </c>
      <c r="C14" s="4" t="n">
        <f aca="false">Assumptions!C47</f>
        <v>17</v>
      </c>
      <c r="D14" s="4" t="n">
        <f aca="false">Assumptions!D47</f>
        <v>19</v>
      </c>
      <c r="E14" s="4" t="n">
        <f aca="false">Assumptions!E47</f>
        <v>21</v>
      </c>
      <c r="F14" s="4" t="n">
        <f aca="false">Assumptions!F47</f>
        <v>22</v>
      </c>
      <c r="G14" s="4" t="n">
        <f aca="false">Assumptions!G47</f>
        <v>23</v>
      </c>
      <c r="H14" s="4" t="n">
        <f aca="false">Assumptions!H47</f>
        <v>23</v>
      </c>
      <c r="I14" s="4" t="n">
        <f aca="false">Assumptions!I47</f>
        <v>23</v>
      </c>
      <c r="J14" s="4" t="n">
        <f aca="false">Assumptions!J47</f>
        <v>23</v>
      </c>
      <c r="K14" s="4" t="n">
        <f aca="false">Assumptions!K47</f>
        <v>23</v>
      </c>
      <c r="L14" s="4" t="n">
        <f aca="false">Assumptions!L47</f>
        <v>23</v>
      </c>
    </row>
    <row r="15" customFormat="false" ht="15" hidden="false" customHeight="false" outlineLevel="0" collapsed="false">
      <c r="A15" s="0" t="s">
        <v>123</v>
      </c>
      <c r="C15" s="0" t="n">
        <f aca="false">C13-MAX(0,C13)*C14/100</f>
        <v>3922.297525104</v>
      </c>
      <c r="D15" s="0" t="n">
        <f aca="false">D13-MAX(0,D13)*D14/100</f>
        <v>4150.50854199912</v>
      </c>
      <c r="E15" s="0" t="n">
        <f aca="false">E13-MAX(0,E13)*E14/100</f>
        <v>4329.1177968277</v>
      </c>
      <c r="F15" s="0" t="n">
        <f aca="false">F13-MAX(0,F13)*F14/100</f>
        <v>4589.00754507019</v>
      </c>
      <c r="G15" s="0" t="n">
        <f aca="false">G13-MAX(0,G13)*G14/100</f>
        <v>4839.19249674426</v>
      </c>
      <c r="H15" s="0" t="n">
        <f aca="false">H13-MAX(0,H13)*H14/100</f>
        <v>5032.76019661403</v>
      </c>
      <c r="I15" s="0" t="n">
        <f aca="false">I13-MAX(0,I13)*I14/100</f>
        <v>5208.90680349552</v>
      </c>
      <c r="J15" s="0" t="n">
        <f aca="false">J13-MAX(0,J13)*J14/100</f>
        <v>5365.17400760039</v>
      </c>
      <c r="K15" s="0" t="n">
        <f aca="false">K13-MAX(0,K13)*K14/100</f>
        <v>5526.1292278284</v>
      </c>
      <c r="L15" s="0" t="n">
        <f aca="false">L13-MAX(0,L13)*L14/100</f>
        <v>5691.91310466325</v>
      </c>
    </row>
    <row r="16" customFormat="false" ht="15" hidden="false" customHeight="false" outlineLevel="0" collapsed="false">
      <c r="A16" s="0" t="s">
        <v>124</v>
      </c>
      <c r="C16" s="0" t="n">
        <f aca="false">-C12</f>
        <v>1885.122624</v>
      </c>
      <c r="D16" s="0" t="n">
        <f aca="false">-D12</f>
        <v>2053.2841308</v>
      </c>
      <c r="E16" s="0" t="n">
        <f aca="false">-E12</f>
        <v>2224.8474270624</v>
      </c>
      <c r="F16" s="0" t="n">
        <f aca="false">-F12</f>
        <v>2347.21403555083</v>
      </c>
      <c r="G16" s="0" t="n">
        <f aca="false">-G12</f>
        <v>2464.57473732837</v>
      </c>
      <c r="H16" s="0" t="n">
        <f aca="false">-H12</f>
        <v>2563.15772682151</v>
      </c>
      <c r="I16" s="0" t="n">
        <f aca="false">-I12</f>
        <v>2652.86824726026</v>
      </c>
      <c r="J16" s="0" t="n">
        <f aca="false">-J12</f>
        <v>2732.45429467807</v>
      </c>
      <c r="K16" s="0" t="n">
        <f aca="false">-K12</f>
        <v>2814.42792351841</v>
      </c>
      <c r="L16" s="0" t="n">
        <f aca="false">-L12</f>
        <v>2898.86076122396</v>
      </c>
    </row>
    <row r="17" customFormat="false" ht="15" hidden="false" customHeight="false" outlineLevel="0" collapsed="false">
      <c r="A17" s="0" t="s">
        <v>125</v>
      </c>
      <c r="C17" s="4" t="n">
        <f aca="false">-C6*Assumptions!C46/100</f>
        <v>-2142.1848</v>
      </c>
      <c r="D17" s="4" t="n">
        <f aca="false">-D6*Assumptions!D46/100</f>
        <v>-2463.94095696</v>
      </c>
      <c r="E17" s="4" t="n">
        <f aca="false">-E6*Assumptions!E46/100</f>
        <v>-2611.7774143776</v>
      </c>
      <c r="F17" s="4" t="n">
        <f aca="false">-F6*Assumptions!F46/100</f>
        <v>-2755.42517216837</v>
      </c>
      <c r="G17" s="4" t="n">
        <f aca="false">-G6*Assumptions!G46/100</f>
        <v>-2786.04100741468</v>
      </c>
      <c r="H17" s="4" t="n">
        <f aca="false">-H6*Assumptions!H46/100</f>
        <v>-2897.48264771127</v>
      </c>
      <c r="I17" s="4" t="n">
        <f aca="false">-I6*Assumptions!I46/100</f>
        <v>-2998.89454038117</v>
      </c>
      <c r="J17" s="4" t="n">
        <f aca="false">-J6*Assumptions!J46/100</f>
        <v>-3088.8613765926</v>
      </c>
      <c r="K17" s="4" t="n">
        <f aca="false">-K6*Assumptions!K46/100</f>
        <v>-3181.52721789038</v>
      </c>
      <c r="L17" s="4" t="n">
        <f aca="false">-L6*Assumptions!L46/100</f>
        <v>-3276.97303442709</v>
      </c>
    </row>
    <row r="18" customFormat="false" ht="15" hidden="false" customHeight="false" outlineLevel="0" collapsed="false">
      <c r="A18" s="0" t="s">
        <v>126</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127</v>
      </c>
      <c r="C19" s="0" t="n">
        <f aca="false">C15+C16+C17+C18</f>
        <v>3665.235349104</v>
      </c>
      <c r="D19" s="0" t="n">
        <f aca="false">D15+D16+D17+D18</f>
        <v>3739.85171583912</v>
      </c>
      <c r="E19" s="0" t="n">
        <f aca="false">E15+E16+E17+E18</f>
        <v>3942.1878095125</v>
      </c>
      <c r="F19" s="0" t="n">
        <f aca="false">F15+F16+F17+F18</f>
        <v>4180.79640845265</v>
      </c>
      <c r="G19" s="0" t="n">
        <f aca="false">G15+G16+G17+G18</f>
        <v>4517.72622665795</v>
      </c>
      <c r="H19" s="0" t="n">
        <f aca="false">H15+H16+H17+H18</f>
        <v>4698.43527572427</v>
      </c>
      <c r="I19" s="0" t="n">
        <f aca="false">I15+I16+I17+I18</f>
        <v>4862.88051037462</v>
      </c>
      <c r="J19" s="0" t="n">
        <f aca="false">J15+J16+J17+J18</f>
        <v>5008.76692568586</v>
      </c>
      <c r="K19" s="0" t="n">
        <f aca="false">K15+K16+K17+K18</f>
        <v>5159.02993345643</v>
      </c>
      <c r="L19" s="0" t="n">
        <f aca="false">L15+L16+L17+L18</f>
        <v>5313.80083146013</v>
      </c>
    </row>
    <row r="20" customFormat="false" ht="15" hidden="false" customHeight="false" outlineLevel="0" collapsed="false">
      <c r="A20" s="0" t="s">
        <v>128</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129</v>
      </c>
      <c r="C21" s="0" t="n">
        <f aca="false">C19*C20</f>
        <v>3409.52125498047</v>
      </c>
      <c r="D21" s="0" t="n">
        <f aca="false">D19*D20</f>
        <v>3236.21565459307</v>
      </c>
      <c r="E21" s="0" t="n">
        <f aca="false">E19*E20</f>
        <v>3173.305744259</v>
      </c>
      <c r="F21" s="0" t="n">
        <f aca="false">F19*F20</f>
        <v>3130.58256553651</v>
      </c>
      <c r="G21" s="0" t="n">
        <f aca="false">G19*G20</f>
        <v>3146.86120177311</v>
      </c>
      <c r="H21" s="0" t="n">
        <f aca="false">H19*H20</f>
        <v>3044.40525566888</v>
      </c>
      <c r="I21" s="0" t="n">
        <f aca="false">I19*I20</f>
        <v>2931.1250601091</v>
      </c>
      <c r="J21" s="0" t="n">
        <f aca="false">J19*J20</f>
        <v>2808.42680177895</v>
      </c>
      <c r="K21" s="0" t="n">
        <f aca="false">K19*K20</f>
        <v>2690.86474961146</v>
      </c>
      <c r="L21" s="0" t="n">
        <f aca="false">L19*L20</f>
        <v>2578.22389962773</v>
      </c>
    </row>
    <row r="23" customFormat="false" ht="15" hidden="false" customHeight="false" outlineLevel="0" collapsed="false">
      <c r="A23" s="0" t="s">
        <v>105</v>
      </c>
      <c r="C23" s="4" t="n">
        <f aca="false">Assumptions!C44</f>
        <v>0.95</v>
      </c>
      <c r="D23" s="4" t="n">
        <f aca="false">Assumptions!D44</f>
        <v>1</v>
      </c>
      <c r="E23" s="4" t="n">
        <f aca="false">Assumptions!E44</f>
        <v>1</v>
      </c>
      <c r="F23" s="4" t="n">
        <f aca="false">Assumptions!F44</f>
        <v>1</v>
      </c>
      <c r="G23" s="4" t="n">
        <f aca="false">Assumptions!G44</f>
        <v>1</v>
      </c>
      <c r="H23" s="4" t="n">
        <f aca="false">Assumptions!H44</f>
        <v>1</v>
      </c>
      <c r="I23" s="4" t="n">
        <f aca="false">Assumptions!I44</f>
        <v>1</v>
      </c>
      <c r="J23" s="4" t="n">
        <f aca="false">Assumptions!J44</f>
        <v>1</v>
      </c>
      <c r="K23" s="4" t="n">
        <f aca="false">Assumptions!K44</f>
        <v>1</v>
      </c>
      <c r="L23" s="4" t="n">
        <f aca="false">Assumptions!L44</f>
        <v>1</v>
      </c>
    </row>
    <row r="24" customFormat="false" ht="15" hidden="false" customHeight="false" outlineLevel="0" collapsed="false">
      <c r="A24" s="0" t="s">
        <v>130</v>
      </c>
      <c r="C24" s="0" t="n">
        <f aca="false">-C6*C23/100</f>
        <v>-814.030224</v>
      </c>
      <c r="D24" s="0" t="n">
        <f aca="false">-D6*D23/100</f>
        <v>-912.5707248</v>
      </c>
      <c r="E24" s="0" t="n">
        <f aca="false">-E6*E23/100</f>
        <v>-967.324968288</v>
      </c>
      <c r="F24" s="0" t="n">
        <f aca="false">-F6*F23/100</f>
        <v>-1020.52784154384</v>
      </c>
      <c r="G24" s="0" t="n">
        <f aca="false">-G6*G23/100</f>
        <v>-1071.55423362103</v>
      </c>
      <c r="H24" s="0" t="n">
        <f aca="false">-H6*H23/100</f>
        <v>-1114.41640296587</v>
      </c>
      <c r="I24" s="0" t="n">
        <f aca="false">-I6*I23/100</f>
        <v>-1153.42097706968</v>
      </c>
      <c r="J24" s="0" t="n">
        <f aca="false">-J6*J23/100</f>
        <v>-1188.02360638177</v>
      </c>
      <c r="K24" s="0" t="n">
        <f aca="false">-K6*K23/100</f>
        <v>-1223.66431457322</v>
      </c>
      <c r="L24" s="0" t="n">
        <f aca="false">-L6*L23/100</f>
        <v>-1260.37424401042</v>
      </c>
    </row>
    <row r="26" customFormat="false" ht="15" hidden="false" customHeight="false" outlineLevel="0" collapsed="false">
      <c r="A26" s="2" t="s">
        <v>131</v>
      </c>
    </row>
    <row r="27" customFormat="false" ht="15" hidden="false" customHeight="false" outlineLevel="0" collapsed="false">
      <c r="A27" s="0" t="s">
        <v>109</v>
      </c>
      <c r="B27" s="4" t="n">
        <f aca="false">Assumptions!$B$48</f>
        <v>7.5</v>
      </c>
    </row>
    <row r="28" customFormat="false" ht="15" hidden="false" customHeight="false" outlineLevel="0" collapsed="false">
      <c r="A28" s="0" t="s">
        <v>110</v>
      </c>
      <c r="B28" s="4" t="n">
        <f aca="false">Assumptions!$B$49</f>
        <v>3</v>
      </c>
    </row>
    <row r="29" customFormat="false" ht="15" hidden="false" customHeight="false" outlineLevel="0" collapsed="false">
      <c r="A29" s="0" t="s">
        <v>111</v>
      </c>
      <c r="B29" s="4" t="n">
        <f aca="false">Assumptions!$B$50</f>
        <v>20</v>
      </c>
    </row>
    <row r="30" customFormat="false" ht="15" hidden="false" customHeight="false" outlineLevel="0" collapsed="false">
      <c r="A30" s="0" t="s">
        <v>132</v>
      </c>
      <c r="B30" s="0" t="n">
        <f aca="false">SUM(C21:L21)</f>
        <v>30149.5321879383</v>
      </c>
    </row>
    <row r="31" customFormat="false" ht="15" hidden="false" customHeight="false" outlineLevel="0" collapsed="false">
      <c r="A31" s="0" t="s">
        <v>133</v>
      </c>
      <c r="B31" s="0" t="n">
        <f aca="false">L19</f>
        <v>5313.80083146013</v>
      </c>
    </row>
    <row r="32" customFormat="false" ht="15" hidden="false" customHeight="false" outlineLevel="0" collapsed="false">
      <c r="A32" s="0" t="s">
        <v>134</v>
      </c>
      <c r="B32" s="0" t="n">
        <f aca="false">IF(B27&gt;B28,B31*(1+B28/100)/((B27-B28)/100),B31*B29)</f>
        <v>121626.996808976</v>
      </c>
    </row>
    <row r="33" customFormat="false" ht="15" hidden="false" customHeight="false" outlineLevel="0" collapsed="false">
      <c r="A33" s="0" t="s">
        <v>135</v>
      </c>
      <c r="B33" s="0" t="n">
        <f aca="false">B31*B29</f>
        <v>106276.016629203</v>
      </c>
    </row>
    <row r="34" customFormat="false" ht="15" hidden="false" customHeight="false" outlineLevel="0" collapsed="false">
      <c r="A34" s="0" t="s">
        <v>136</v>
      </c>
      <c r="B34" s="0" t="n">
        <f aca="false">MAX(0,MIN(B32,B33))</f>
        <v>106276.016629203</v>
      </c>
    </row>
    <row r="35" customFormat="false" ht="15" hidden="false" customHeight="false" outlineLevel="0" collapsed="false">
      <c r="A35" s="0" t="s">
        <v>137</v>
      </c>
      <c r="B35" s="0" t="n">
        <f aca="false">B34/(1+B27/100)^L4</f>
        <v>51564.4779925545</v>
      </c>
    </row>
    <row r="36" customFormat="false" ht="15" hidden="false" customHeight="false" outlineLevel="0" collapsed="false">
      <c r="A36" s="0" t="s">
        <v>138</v>
      </c>
      <c r="B36" s="0" t="n">
        <f aca="false">B30+B35</f>
        <v>81714.0101804928</v>
      </c>
    </row>
    <row r="37" customFormat="false" ht="15" hidden="false" customHeight="false" outlineLevel="0" collapsed="false">
      <c r="A37" s="0" t="s">
        <v>139</v>
      </c>
      <c r="B37" s="0" t="n">
        <f aca="false">B36+Assumptions!$B$5-Assumptions!$B$4</f>
        <v>74454.9101804928</v>
      </c>
    </row>
    <row r="38" customFormat="false" ht="15" hidden="false" customHeight="false" outlineLevel="0" collapsed="false">
      <c r="A38" s="0" t="s">
        <v>140</v>
      </c>
      <c r="B38" s="0" t="n">
        <f aca="false">B37/Assumptions!$B$3*Assumptions!$B$10</f>
        <v>115.4946446526</v>
      </c>
    </row>
    <row r="39" customFormat="false" ht="15" hidden="false" customHeight="false" outlineLevel="0" collapsed="false">
      <c r="A39" s="0" t="s">
        <v>141</v>
      </c>
      <c r="B39" s="4" t="n">
        <f aca="false">B38/Assumptions!$B$2-1</f>
        <v>0.487374689666456</v>
      </c>
    </row>
    <row r="41" customFormat="false" ht="15" hidden="false" customHeight="false" outlineLevel="0" collapsed="false">
      <c r="A41" s="0" t="s">
        <v>142</v>
      </c>
      <c r="B41" s="0" t="n">
        <f aca="false">SUMPRODUCT(-C10:L10/(1+$B$27/100)^C4:L4)</f>
        <v>252.322889673927</v>
      </c>
    </row>
    <row r="42" customFormat="false" ht="15" hidden="false" customHeight="false" outlineLevel="0" collapsed="false">
      <c r="A42" s="0" t="s">
        <v>143</v>
      </c>
      <c r="B42" s="0" t="n">
        <f aca="false">IF(B27&gt;B28,-L10*(1+B28/100)/((B27-B28)/100),-L10*20)/(1+B27/100)^L4</f>
        <v>489.900217721325</v>
      </c>
    </row>
    <row r="43" customFormat="false" ht="15" hidden="false" customHeight="false" outlineLevel="0" collapsed="false">
      <c r="A43" s="0" t="s">
        <v>144</v>
      </c>
      <c r="B43" s="0" t="n">
        <f aca="false">(B37+B41+B42)/Assumptions!$B$3*Assumptions!$B$10</f>
        <v>116.645983010725</v>
      </c>
    </row>
    <row r="45" customFormat="false" ht="15" hidden="false" customHeight="false" outlineLevel="0" collapsed="false">
      <c r="A45" s="0" t="s">
        <v>85</v>
      </c>
      <c r="B45" s="4" t="n">
        <f aca="false">Assumptions!$B$6</f>
        <v>15</v>
      </c>
    </row>
    <row r="46" customFormat="false" ht="15" hidden="false" customHeight="false" outlineLevel="0" collapsed="false">
      <c r="A46" s="0" t="s">
        <v>145</v>
      </c>
      <c r="B46" s="0" t="n">
        <f aca="false">MAX(0,MIN(IF(B45&gt;B28,B31*(1+B28/100)/((B45-B28)/100),B31*B29),B31*B29))</f>
        <v>45610.1238033661</v>
      </c>
    </row>
    <row r="47" customFormat="false" ht="15" hidden="false" customHeight="false" outlineLevel="0" collapsed="false">
      <c r="A47" s="0" t="s">
        <v>146</v>
      </c>
      <c r="B47" s="0" t="n">
        <f aca="false">(SUMPRODUCT(C19:L19/(1+B45/100)^C4:L4)+B46/(1+B45/100)^L4+Assumptions!$B$5-Assumptions!$B$4)/Assumptions!$B$3*Assumptions!$B$10</f>
        <v>39.6105454543788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149</v>
      </c>
    </row>
    <row r="3" customFormat="false" ht="15" hidden="false" customHeight="false" outlineLevel="0" collapsed="false">
      <c r="A3" s="2" t="s">
        <v>150</v>
      </c>
      <c r="B3" s="2" t="s">
        <v>151</v>
      </c>
      <c r="C3" s="2" t="s">
        <v>141</v>
      </c>
      <c r="D3" s="2" t="s">
        <v>152</v>
      </c>
      <c r="E3" s="2" t="s">
        <v>144</v>
      </c>
      <c r="F3" s="2" t="s">
        <v>153</v>
      </c>
    </row>
    <row r="4" customFormat="false" ht="15" hidden="false" customHeight="false" outlineLevel="0" collapsed="false">
      <c r="A4" s="0" t="s">
        <v>154</v>
      </c>
      <c r="B4" s="4" t="n">
        <f aca="false">DCF_Bear!$B$38</f>
        <v>44.2098946325945</v>
      </c>
      <c r="C4" s="0" t="n">
        <f aca="false">B4/Assumptions!$B$2-1</f>
        <v>-0.430651711106317</v>
      </c>
      <c r="D4" s="4" t="n">
        <f aca="false">Assumptions!$B$24</f>
        <v>0.25</v>
      </c>
      <c r="E4" s="4" t="n">
        <f aca="false">DCF_Bear!$B$43</f>
        <v>44.9955328842836</v>
      </c>
      <c r="F4" s="4" t="n">
        <f aca="false">DCF_Bear!$B$47</f>
        <v>15.7434908601992</v>
      </c>
    </row>
    <row r="5" customFormat="false" ht="15" hidden="false" customHeight="false" outlineLevel="0" collapsed="false">
      <c r="A5" s="0" t="s">
        <v>155</v>
      </c>
      <c r="B5" s="4" t="n">
        <f aca="false">DCF_Base!$B$38</f>
        <v>88.8113832638138</v>
      </c>
      <c r="C5" s="0" t="n">
        <f aca="false">B5/Assumptions!$B$2-1</f>
        <v>0.143739642805071</v>
      </c>
      <c r="D5" s="4" t="n">
        <f aca="false">Assumptions!$B$38</f>
        <v>0.5</v>
      </c>
      <c r="E5" s="4" t="n">
        <f aca="false">DCF_Base!$B$43</f>
        <v>89.8011797441769</v>
      </c>
      <c r="F5" s="4" t="n">
        <f aca="false">DCF_Base!$B$47</f>
        <v>31.5657820062155</v>
      </c>
    </row>
    <row r="6" customFormat="false" ht="15" hidden="false" customHeight="false" outlineLevel="0" collapsed="false">
      <c r="A6" s="0" t="s">
        <v>156</v>
      </c>
      <c r="B6" s="4" t="n">
        <f aca="false">DCF_Bull!$B$38</f>
        <v>115.4946446526</v>
      </c>
      <c r="C6" s="0" t="n">
        <f aca="false">B6/Assumptions!$B$2-1</f>
        <v>0.487374689666456</v>
      </c>
      <c r="D6" s="4" t="n">
        <f aca="false">Assumptions!$B$52</f>
        <v>0.25</v>
      </c>
      <c r="E6" s="4" t="n">
        <f aca="false">DCF_Bull!$B$43</f>
        <v>116.645983010725</v>
      </c>
      <c r="F6" s="4" t="n">
        <f aca="false">DCF_Bull!$B$47</f>
        <v>39.6105454543788</v>
      </c>
    </row>
    <row r="8" customFormat="false" ht="15" hidden="false" customHeight="false" outlineLevel="0" collapsed="false">
      <c r="A8" s="0" t="s">
        <v>157</v>
      </c>
      <c r="B8" s="0" t="n">
        <f aca="false">SUMPRODUCT(B4:B6,D4:D6)</f>
        <v>84.3318264532056</v>
      </c>
    </row>
    <row r="9" customFormat="false" ht="15" hidden="false" customHeight="false" outlineLevel="0" collapsed="false">
      <c r="A9" s="0" t="s">
        <v>158</v>
      </c>
      <c r="B9" s="0" t="n">
        <f aca="false">SUMPRODUCT(E4:E6,D4:D6)</f>
        <v>85.3109688458407</v>
      </c>
    </row>
    <row r="10" customFormat="false" ht="15" hidden="false" customHeight="false" outlineLevel="0" collapsed="false">
      <c r="A10" s="0" t="s">
        <v>159</v>
      </c>
      <c r="B10" s="0" t="n">
        <f aca="false">1-Assumptions!$B$2/B8</f>
        <v>0.0792325594526669</v>
      </c>
    </row>
    <row r="11" customFormat="false" ht="15" hidden="false" customHeight="false" outlineLevel="0" collapsed="false">
      <c r="A11" s="0" t="s">
        <v>160</v>
      </c>
      <c r="B11" s="0" t="n">
        <f aca="false">IF(ABS(B9-B8)&gt;0.01*ABS(B8),(Assumptions!$B$2-B8)/(B9-B8)*100,"n/a")</f>
        <v>-682.416214788033</v>
      </c>
    </row>
    <row r="12" customFormat="false" ht="15" hidden="false" customHeight="false" outlineLevel="0" collapsed="false">
      <c r="A12" s="0" t="s">
        <v>161</v>
      </c>
      <c r="B12" s="0" t="n">
        <f aca="false">SUMPRODUCT(F4:F6,D4:D6)</f>
        <v>29.6214000817522</v>
      </c>
    </row>
    <row r="14" customFormat="false" ht="15" hidden="false" customHeight="false" outlineLevel="0" collapsed="false">
      <c r="A14" s="2" t="s">
        <v>162</v>
      </c>
      <c r="C14" s="0" t="s">
        <v>163</v>
      </c>
    </row>
    <row r="15" customFormat="false" ht="15" hidden="false" customHeight="false" outlineLevel="0" collapsed="false">
      <c r="A15" s="0" t="s">
        <v>164</v>
      </c>
      <c r="B15" s="0" t="n">
        <f aca="false">(SUMPRODUCT(DCF_Base!$C$19:$L$19/(1+$C$15/100)^DCF_Base!$C$4:$L$4)+MAX(0,MIN(IF($C$15&gt;DCF_Base!$B$28,DCF_Base!$L$19*(1+DCF_Base!$B$28/100)/(($C$15-DCF_Base!$B$28)/100),DCF_Base!$L$19*DCF_Base!$B$29),DCF_Base!$L$19*DCF_Base!$B$29))/(1+$C$15/100)^DCF_Base!$L$4+Assumptions!$B$5-Assumptions!$B$4)/Assumptions!$B$3*Assumptions!$B$10</f>
        <v>88.8113832638138</v>
      </c>
      <c r="C15" s="3" t="n">
        <v>7.5</v>
      </c>
    </row>
    <row r="16" customFormat="false" ht="15" hidden="false" customHeight="false" outlineLevel="0" collapsed="false">
      <c r="A16" s="0" t="s">
        <v>165</v>
      </c>
      <c r="B16" s="0" t="n">
        <f aca="false">(SUMPRODUCT(DCF_Base!$C$19:$L$19/(1+$C$16/100)^DCF_Base!$C$4:$L$4)+MAX(0,MIN(IF($C$16&gt;DCF_Base!$B$28,DCF_Base!$L$19*(1+DCF_Base!$B$28/100)/(($C$16-DCF_Base!$B$28)/100),DCF_Base!$L$19*DCF_Base!$B$29),DCF_Base!$L$19*DCF_Base!$B$29))/(1+$C$16/100)^DCF_Base!$L$4+Assumptions!$B$5-Assumptions!$B$4)/Assumptions!$B$3*Assumptions!$B$10</f>
        <v>71.8666157558384</v>
      </c>
      <c r="C16" s="3" t="n">
        <v>9</v>
      </c>
    </row>
    <row r="17" customFormat="false" ht="15" hidden="false" customHeight="false" outlineLevel="0" collapsed="false">
      <c r="A17" s="0" t="s">
        <v>166</v>
      </c>
      <c r="B17" s="0" t="n">
        <f aca="false">(SUMPRODUCT(DCF_Base!$C$19:$L$19/(1+$C$17/100)^DCF_Base!$C$4:$L$4)+MAX(0,MIN(IF($C$17&gt;DCF_Base!$B$28,DCF_Base!$L$19*(1+DCF_Base!$B$28/100)/(($C$17-DCF_Base!$B$28)/100),DCF_Base!$L$19*DCF_Base!$B$29),DCF_Base!$L$19*DCF_Base!$B$29))/(1+$C$17/100)^DCF_Base!$L$4+Assumptions!$B$5-Assumptions!$B$4)/Assumptions!$B$3*Assumptions!$B$10</f>
        <v>60.6544515562002</v>
      </c>
      <c r="C17" s="3" t="n">
        <v>10</v>
      </c>
    </row>
    <row r="18" customFormat="false" ht="15" hidden="false" customHeight="false" outlineLevel="0" collapsed="false">
      <c r="A18" s="0" t="s">
        <v>167</v>
      </c>
      <c r="B18" s="0" t="n">
        <f aca="false">(SUMPRODUCT(DCF_Base!$C$19:$L$19/(1+$C$18/100)^DCF_Base!$C$4:$L$4)+MAX(0,MIN(IF($C$18&gt;DCF_Base!$B$28,DCF_Base!$L$19*(1+DCF_Base!$B$28/100)/(($C$18-DCF_Base!$B$28)/100),DCF_Base!$L$19*DCF_Base!$B$29),DCF_Base!$L$19*DCF_Base!$B$29))/(1+$C$18/100)^DCF_Base!$L$4+Assumptions!$B$5-Assumptions!$B$4)/Assumptions!$B$3*Assumptions!$B$10</f>
        <v>52.0871569350114</v>
      </c>
      <c r="C18" s="3" t="n">
        <v>11</v>
      </c>
    </row>
    <row r="19" customFormat="false" ht="15" hidden="false" customHeight="false" outlineLevel="0" collapsed="false">
      <c r="A19" s="0" t="s">
        <v>168</v>
      </c>
      <c r="B19" s="0" t="n">
        <f aca="false">(SUMPRODUCT(DCF_Base!$C$19:$L$19/(1+$C$19/100)^DCF_Base!$C$4:$L$4)+MAX(0,MIN(IF($C$19&gt;DCF_Base!$B$28,DCF_Base!$L$19*(1+DCF_Base!$B$28/100)/(($C$19-DCF_Base!$B$28)/100),DCF_Base!$L$19*DCF_Base!$B$29),DCF_Base!$L$19*DCF_Base!$B$29))/(1+$C$19/100)^DCF_Base!$L$4+Assumptions!$B$5-Assumptions!$B$4)/Assumptions!$B$3*Assumptions!$B$10</f>
        <v>45.3291268792116</v>
      </c>
      <c r="C19" s="3" t="n">
        <v>12</v>
      </c>
    </row>
    <row r="20" customFormat="false" ht="15" hidden="false" customHeight="false" outlineLevel="0" collapsed="false">
      <c r="A20" s="0" t="s">
        <v>169</v>
      </c>
      <c r="B20" s="0" t="n">
        <f aca="false">(SUMPRODUCT(DCF_Base!$C$19:$L$19/(1+$C$20/100)^DCF_Base!$C$4:$L$4)+MAX(0,MIN(IF($C$20&gt;DCF_Base!$B$28,DCF_Base!$L$19*(1+DCF_Base!$B$28/100)/(($C$20-DCF_Base!$B$28)/100),DCF_Base!$L$19*DCF_Base!$B$29),DCF_Base!$L$19*DCF_Base!$B$29))/(1+$C$20/100)^DCF_Base!$L$4+Assumptions!$B$5-Assumptions!$B$4)/Assumptions!$B$3*Assumptions!$B$10</f>
        <v>31.5657820062155</v>
      </c>
      <c r="C20" s="3" t="n">
        <v>15</v>
      </c>
    </row>
    <row r="22" customFormat="false" ht="15" hidden="false" customHeight="false" outlineLevel="0" collapsed="false">
      <c r="A22" s="2" t="s">
        <v>170</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5.5</v>
      </c>
      <c r="B24" s="0" t="n">
        <f aca="false">(SUMPRODUCT(DCF_Base!$C$19:$L$19/(1+$A$24/100)^DCF_Base!$C$4:$L$4)+MAX(0,MIN(IF($A$24&gt;$B$23,DCF_Base!$L$19*(1+$B$23/100)/(($A$24-$B$23)/100),DCF_Base!$L$19*DCF_Base!$B$29),DCF_Base!$L$19*DCF_Base!$B$29))/(1+$A$24/100)^DCF_Base!$L$4+Assumptions!$B$5-Assumptions!$B$4)/Assumptions!$B$3*Assumptions!$B$10</f>
        <v>105.336188202654</v>
      </c>
      <c r="C24" s="0" t="n">
        <f aca="false">(SUMPRODUCT(DCF_Base!$C$19:$L$19/(1+$A$24/100)^DCF_Base!$C$4:$L$4)+MAX(0,MIN(IF($A$24&gt;$C$23,DCF_Base!$L$19*(1+$C$23/100)/(($A$24-$C$23)/100),DCF_Base!$L$19*DCF_Base!$B$29),DCF_Base!$L$19*DCF_Base!$B$29))/(1+$A$24/100)^DCF_Base!$L$4+Assumptions!$B$5-Assumptions!$B$4)/Assumptions!$B$3*Assumptions!$B$10</f>
        <v>105.336188202654</v>
      </c>
      <c r="D24" s="0" t="n">
        <f aca="false">(SUMPRODUCT(DCF_Base!$C$19:$L$19/(1+$A$24/100)^DCF_Base!$C$4:$L$4)+MAX(0,MIN(IF($A$24&gt;$D$23,DCF_Base!$L$19*(1+$D$23/100)/(($A$24-$D$23)/100),DCF_Base!$L$19*DCF_Base!$B$29),DCF_Base!$L$19*DCF_Base!$B$29))/(1+$A$24/100)^DCF_Base!$L$4+Assumptions!$B$5-Assumptions!$B$4)/Assumptions!$B$3*Assumptions!$B$10</f>
        <v>105.336188202654</v>
      </c>
      <c r="E24" s="0" t="n">
        <f aca="false">(SUMPRODUCT(DCF_Base!$C$19:$L$19/(1+$A$24/100)^DCF_Base!$C$4:$L$4)+MAX(0,MIN(IF($A$24&gt;$E$23,DCF_Base!$L$19*(1+$E$23/100)/(($A$24-$E$23)/100),DCF_Base!$L$19*DCF_Base!$B$29),DCF_Base!$L$19*DCF_Base!$B$29))/(1+$A$24/100)^DCF_Base!$L$4+Assumptions!$B$5-Assumptions!$B$4)/Assumptions!$B$3*Assumptions!$B$10</f>
        <v>105.336188202654</v>
      </c>
      <c r="F24" s="0" t="n">
        <f aca="false">(SUMPRODUCT(DCF_Base!$C$19:$L$19/(1+$A$24/100)^DCF_Base!$C$4:$L$4)+MAX(0,MIN(IF($A$24&gt;$F$23,DCF_Base!$L$19*(1+$F$23/100)/(($A$24-$F$23)/100),DCF_Base!$L$19*DCF_Base!$B$29),DCF_Base!$L$19*DCF_Base!$B$29))/(1+$A$24/100)^DCF_Base!$L$4+Assumptions!$B$5-Assumptions!$B$4)/Assumptions!$B$3*Assumptions!$B$10</f>
        <v>105.336188202654</v>
      </c>
    </row>
    <row r="25" customFormat="false" ht="15" hidden="false" customHeight="false" outlineLevel="0" collapsed="false">
      <c r="A25" s="3" t="n">
        <v>6.5</v>
      </c>
      <c r="B25" s="0" t="n">
        <f aca="false">(SUMPRODUCT(DCF_Base!$C$19:$L$19/(1+$A$25/100)^DCF_Base!$C$4:$L$4)+MAX(0,MIN(IF($A$25&gt;$B$23,DCF_Base!$L$19*(1+$B$23/100)/(($A$25-$B$23)/100),DCF_Base!$L$19*DCF_Base!$B$29),DCF_Base!$L$19*DCF_Base!$B$29))/(1+$A$25/100)^DCF_Base!$L$4+Assumptions!$B$5-Assumptions!$B$4)/Assumptions!$B$3*Assumptions!$B$10</f>
        <v>96.6784876152279</v>
      </c>
      <c r="C25" s="0" t="n">
        <f aca="false">(SUMPRODUCT(DCF_Base!$C$19:$L$19/(1+$A$25/100)^DCF_Base!$C$4:$L$4)+MAX(0,MIN(IF($A$25&gt;$C$23,DCF_Base!$L$19*(1+$C$23/100)/(($A$25-$C$23)/100),DCF_Base!$L$19*DCF_Base!$B$29),DCF_Base!$L$19*DCF_Base!$B$29))/(1+$A$25/100)^DCF_Base!$L$4+Assumptions!$B$5-Assumptions!$B$4)/Assumptions!$B$3*Assumptions!$B$10</f>
        <v>96.6784876152279</v>
      </c>
      <c r="D25" s="0" t="n">
        <f aca="false">(SUMPRODUCT(DCF_Base!$C$19:$L$19/(1+$A$25/100)^DCF_Base!$C$4:$L$4)+MAX(0,MIN(IF($A$25&gt;$D$23,DCF_Base!$L$19*(1+$D$23/100)/(($A$25-$D$23)/100),DCF_Base!$L$19*DCF_Base!$B$29),DCF_Base!$L$19*DCF_Base!$B$29))/(1+$A$25/100)^DCF_Base!$L$4+Assumptions!$B$5-Assumptions!$B$4)/Assumptions!$B$3*Assumptions!$B$10</f>
        <v>96.6784876152279</v>
      </c>
      <c r="E25" s="0" t="n">
        <f aca="false">(SUMPRODUCT(DCF_Base!$C$19:$L$19/(1+$A$25/100)^DCF_Base!$C$4:$L$4)+MAX(0,MIN(IF($A$25&gt;$E$23,DCF_Base!$L$19*(1+$E$23/100)/(($A$25-$E$23)/100),DCF_Base!$L$19*DCF_Base!$B$29),DCF_Base!$L$19*DCF_Base!$B$29))/(1+$A$25/100)^DCF_Base!$L$4+Assumptions!$B$5-Assumptions!$B$4)/Assumptions!$B$3*Assumptions!$B$10</f>
        <v>96.6784876152279</v>
      </c>
      <c r="F25" s="0" t="n">
        <f aca="false">(SUMPRODUCT(DCF_Base!$C$19:$L$19/(1+$A$25/100)^DCF_Base!$C$4:$L$4)+MAX(0,MIN(IF($A$25&gt;$F$23,DCF_Base!$L$19*(1+$F$23/100)/(($A$25-$F$23)/100),DCF_Base!$L$19*DCF_Base!$B$29),DCF_Base!$L$19*DCF_Base!$B$29))/(1+$A$25/100)^DCF_Base!$L$4+Assumptions!$B$5-Assumptions!$B$4)/Assumptions!$B$3*Assumptions!$B$10</f>
        <v>96.6784876152279</v>
      </c>
    </row>
    <row r="26" customFormat="false" ht="15" hidden="false" customHeight="false" outlineLevel="0" collapsed="false">
      <c r="A26" s="3" t="n">
        <v>7.5</v>
      </c>
      <c r="B26" s="0" t="n">
        <f aca="false">(SUMPRODUCT(DCF_Base!$C$19:$L$19/(1+$A$26/100)^DCF_Base!$C$4:$L$4)+MAX(0,MIN(IF($A$26&gt;$B$23,DCF_Base!$L$19*(1+$B$23/100)/(($A$26-$B$23)/100),DCF_Base!$L$19*DCF_Base!$B$29),DCF_Base!$L$19*DCF_Base!$B$29))/(1+$A$26/100)^DCF_Base!$L$4+Assumptions!$B$5-Assumptions!$B$4)/Assumptions!$B$3*Assumptions!$B$10</f>
        <v>85.2122318736646</v>
      </c>
      <c r="C26" s="0" t="n">
        <f aca="false">(SUMPRODUCT(DCF_Base!$C$19:$L$19/(1+$A$26/100)^DCF_Base!$C$4:$L$4)+MAX(0,MIN(IF($A$26&gt;$C$23,DCF_Base!$L$19*(1+$C$23/100)/(($A$26-$C$23)/100),DCF_Base!$L$19*DCF_Base!$B$29),DCF_Base!$L$19*DCF_Base!$B$29))/(1+$A$26/100)^DCF_Base!$L$4+Assumptions!$B$5-Assumptions!$B$4)/Assumptions!$B$3*Assumptions!$B$10</f>
        <v>88.8113832638138</v>
      </c>
      <c r="D26" s="0" t="n">
        <f aca="false">(SUMPRODUCT(DCF_Base!$C$19:$L$19/(1+$A$26/100)^DCF_Base!$C$4:$L$4)+MAX(0,MIN(IF($A$26&gt;$D$23,DCF_Base!$L$19*(1+$D$23/100)/(($A$26-$D$23)/100),DCF_Base!$L$19*DCF_Base!$B$29),DCF_Base!$L$19*DCF_Base!$B$29))/(1+$A$26/100)^DCF_Base!$L$4+Assumptions!$B$5-Assumptions!$B$4)/Assumptions!$B$3*Assumptions!$B$10</f>
        <v>88.8113832638138</v>
      </c>
      <c r="E26" s="0" t="n">
        <f aca="false">(SUMPRODUCT(DCF_Base!$C$19:$L$19/(1+$A$26/100)^DCF_Base!$C$4:$L$4)+MAX(0,MIN(IF($A$26&gt;$E$23,DCF_Base!$L$19*(1+$E$23/100)/(($A$26-$E$23)/100),DCF_Base!$L$19*DCF_Base!$B$29),DCF_Base!$L$19*DCF_Base!$B$29))/(1+$A$26/100)^DCF_Base!$L$4+Assumptions!$B$5-Assumptions!$B$4)/Assumptions!$B$3*Assumptions!$B$10</f>
        <v>88.8113832638138</v>
      </c>
      <c r="F26" s="0" t="n">
        <f aca="false">(SUMPRODUCT(DCF_Base!$C$19:$L$19/(1+$A$26/100)^DCF_Base!$C$4:$L$4)+MAX(0,MIN(IF($A$26&gt;$F$23,DCF_Base!$L$19*(1+$F$23/100)/(($A$26-$F$23)/100),DCF_Base!$L$19*DCF_Base!$B$29),DCF_Base!$L$19*DCF_Base!$B$29))/(1+$A$26/100)^DCF_Base!$L$4+Assumptions!$B$5-Assumptions!$B$4)/Assumptions!$B$3*Assumptions!$B$10</f>
        <v>88.8113832638138</v>
      </c>
    </row>
    <row r="27" customFormat="false" ht="15" hidden="false" customHeight="false" outlineLevel="0" collapsed="false">
      <c r="A27" s="3" t="n">
        <v>8.5</v>
      </c>
      <c r="B27" s="0" t="n">
        <f aca="false">(SUMPRODUCT(DCF_Base!$C$19:$L$19/(1+$A$27/100)^DCF_Base!$C$4:$L$4)+MAX(0,MIN(IF($A$27&gt;$B$23,DCF_Base!$L$19*(1+$B$23/100)/(($A$27-$B$23)/100),DCF_Base!$L$19*DCF_Base!$B$29),DCF_Base!$L$19*DCF_Base!$B$29))/(1+$A$27/100)^DCF_Base!$L$4+Assumptions!$B$5-Assumptions!$B$4)/Assumptions!$B$3*Assumptions!$B$10</f>
        <v>71.0544038025823</v>
      </c>
      <c r="C27" s="0" t="n">
        <f aca="false">(SUMPRODUCT(DCF_Base!$C$19:$L$19/(1+$A$27/100)^DCF_Base!$C$4:$L$4)+MAX(0,MIN(IF($A$27&gt;$C$23,DCF_Base!$L$19*(1+$C$23/100)/(($A$27-$C$23)/100),DCF_Base!$L$19*DCF_Base!$B$29),DCF_Base!$L$19*DCF_Base!$B$29))/(1+$A$27/100)^DCF_Base!$L$4+Assumptions!$B$5-Assumptions!$B$4)/Assumptions!$B$3*Assumptions!$B$10</f>
        <v>74.665288451329</v>
      </c>
      <c r="D27" s="0" t="n">
        <f aca="false">(SUMPRODUCT(DCF_Base!$C$19:$L$19/(1+$A$27/100)^DCF_Base!$C$4:$L$4)+MAX(0,MIN(IF($A$27&gt;$D$23,DCF_Base!$L$19*(1+$D$23/100)/(($A$27-$D$23)/100),DCF_Base!$L$19*DCF_Base!$B$29),DCF_Base!$L$19*DCF_Base!$B$29))/(1+$A$27/100)^DCF_Base!$L$4+Assumptions!$B$5-Assumptions!$B$4)/Assumptions!$B$3*Assumptions!$B$10</f>
        <v>78.8779872082001</v>
      </c>
      <c r="E27" s="0" t="n">
        <f aca="false">(SUMPRODUCT(DCF_Base!$C$19:$L$19/(1+$A$27/100)^DCF_Base!$C$4:$L$4)+MAX(0,MIN(IF($A$27&gt;$E$23,DCF_Base!$L$19*(1+$E$23/100)/(($A$27-$E$23)/100),DCF_Base!$L$19*DCF_Base!$B$29),DCF_Base!$L$19*DCF_Base!$B$29))/(1+$A$27/100)^DCF_Base!$L$4+Assumptions!$B$5-Assumptions!$B$4)/Assumptions!$B$3*Assumptions!$B$10</f>
        <v>81.6540974489032</v>
      </c>
      <c r="F27" s="0" t="n">
        <f aca="false">(SUMPRODUCT(DCF_Base!$C$19:$L$19/(1+$A$27/100)^DCF_Base!$C$4:$L$4)+MAX(0,MIN(IF($A$27&gt;$F$23,DCF_Base!$L$19*(1+$F$23/100)/(($A$27-$F$23)/100),DCF_Base!$L$19*DCF_Base!$B$29),DCF_Base!$L$19*DCF_Base!$B$29))/(1+$A$27/100)^DCF_Base!$L$4+Assumptions!$B$5-Assumptions!$B$4)/Assumptions!$B$3*Assumptions!$B$10</f>
        <v>81.6540974489032</v>
      </c>
    </row>
    <row r="28" customFormat="false" ht="15" hidden="false" customHeight="false" outlineLevel="0" collapsed="false">
      <c r="A28" s="3" t="n">
        <v>9.5</v>
      </c>
      <c r="B28" s="0" t="n">
        <f aca="false">(SUMPRODUCT(DCF_Base!$C$19:$L$19/(1+$A$28/100)^DCF_Base!$C$4:$L$4)+MAX(0,MIN(IF($A$28&gt;$B$23,DCF_Base!$L$19*(1+$B$23/100)/(($A$28-$B$23)/100),DCF_Base!$L$19*DCF_Base!$B$29),DCF_Base!$L$19*DCF_Base!$B$29))/(1+$A$28/100)^DCF_Base!$L$4+Assumptions!$B$5-Assumptions!$B$4)/Assumptions!$B$3*Assumptions!$B$10</f>
        <v>60.4563872705334</v>
      </c>
      <c r="C28" s="0" t="n">
        <f aca="false">(SUMPRODUCT(DCF_Base!$C$19:$L$19/(1+$A$28/100)^DCF_Base!$C$4:$L$4)+MAX(0,MIN(IF($A$28&gt;$C$23,DCF_Base!$L$19*(1+$C$23/100)/(($A$28-$C$23)/100),DCF_Base!$L$19*DCF_Base!$B$29),DCF_Base!$L$19*DCF_Base!$B$29))/(1+$A$28/100)^DCF_Base!$L$4+Assumptions!$B$5-Assumptions!$B$4)/Assumptions!$B$3*Assumptions!$B$10</f>
        <v>62.9776281041482</v>
      </c>
      <c r="D28" s="0" t="n">
        <f aca="false">(SUMPRODUCT(DCF_Base!$C$19:$L$19/(1+$A$28/100)^DCF_Base!$C$4:$L$4)+MAX(0,MIN(IF($A$28&gt;$D$23,DCF_Base!$L$19*(1+$D$23/100)/(($A$28-$D$23)/100),DCF_Base!$L$19*DCF_Base!$B$29),DCF_Base!$L$19*DCF_Base!$B$29))/(1+$A$28/100)^DCF_Base!$L$4+Assumptions!$B$5-Assumptions!$B$4)/Assumptions!$B$3*Assumptions!$B$10</f>
        <v>65.8590461997079</v>
      </c>
      <c r="E28" s="0" t="n">
        <f aca="false">(SUMPRODUCT(DCF_Base!$C$19:$L$19/(1+$A$28/100)^DCF_Base!$C$4:$L$4)+MAX(0,MIN(IF($A$28&gt;$E$23,DCF_Base!$L$19*(1+$E$23/100)/(($A$28-$E$23)/100),DCF_Base!$L$19*DCF_Base!$B$29),DCF_Base!$L$19*DCF_Base!$B$29))/(1+$A$28/100)^DCF_Base!$L$4+Assumptions!$B$5-Assumptions!$B$4)/Assumptions!$B$3*Assumptions!$B$10</f>
        <v>69.1837593868922</v>
      </c>
      <c r="F28" s="0" t="n">
        <f aca="false">(SUMPRODUCT(DCF_Base!$C$19:$L$19/(1+$A$28/100)^DCF_Base!$C$4:$L$4)+MAX(0,MIN(IF($A$28&gt;$F$23,DCF_Base!$L$19*(1+$F$23/100)/(($A$28-$F$23)/100),DCF_Base!$L$19*DCF_Base!$B$29),DCF_Base!$L$19*DCF_Base!$B$29))/(1+$A$28/100)^DCF_Base!$L$4+Assumptions!$B$5-Assumptions!$B$4)/Assumptions!$B$3*Assumptions!$B$10</f>
        <v>73.0625914386072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2026-10-10T06:00:43Z</dcterms:created>
  <dc:creator>openpyxl</dc:creator>
  <dc:description/>
  <dc:language>en-NZ</dc:language>
  <cp:lastModifiedBy/>
  <dcterms:modified xsi:type="dcterms:W3CDTF">2026-10-10T06:00:43Z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