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<sst xmlns="http://schemas.openxmlformats.org/spreadsheetml/2006/main" count="362" uniqueCount="167">
  <si>
    <t xml:space="preserve">Ticker</t>
  </si>
  <si>
    <t xml:space="preserve">1605.T</t>
  </si>
  <si>
    <t xml:space="preserve">Company</t>
  </si>
  <si>
    <t xml:space="preserve">INPEX CORPORATION</t>
  </si>
  <si>
    <t xml:space="preserve">Valuation date</t>
  </si>
  <si>
    <t xml:space="preserve">2026-10-26</t>
  </si>
  <si>
    <t xml:space="preserve">Current price</t>
  </si>
  <si>
    <t xml:space="preserve">Price as of</t>
  </si>
  <si>
    <t xml:space="preserve">2026-10-23T06:30:00Z regular close (Tokyo)</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</si>
  <si>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</si>
  <si>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</si>
  <si>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</si>
  <si>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</si>
  <si>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</si>
  <si>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</si>
  <si>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</si>
  <si>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</si>
  <si>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</si>
  <si>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</si>
  <si>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</si>
  <si>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</si>
  <si>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2026-10-26T00:12:01Z</t>
  </si>
  <si>
    <t xml:space="preserve">Drivers file</t>
  </si>
  <si>
    <t xml:space="preserve">1605.T_Drivers.json</t>
  </si>
  <si>
    <t xml:space="preserve">Convention</t>
  </si>
  <si>
    <t xml:space="preserve">Percents stored as percents; formulas divide by 100. Blue = input, green = link, black = formula.</t>
  </si>
  <si>
    <t xml:space="preserve">Methodology</t>
  </si>
  <si>
    <t xml:space="preserve">summary: Mid-cycle owner-FCF DCF for a commodity-cyclical E&amp;P: year 1 at guidance, then revert to the FY2025 template rather than extrapolating a Middle-East-conflict year. Flows are unlevered and attributable-only through a calibrated 69% tax/NCI leakage on EBIT (INPEX's fiscal regimes make EBITDA multiples meaningless; earnings multiples are the comparable). The Ichthys IJV loan book is carried in the bridge at book with its interest stripped from the flows; the equity-method stake is left in the flows via operating profit. Heavy Abadi build capex is charged explicitly for 2028-31 with only partial revenue credit inside the horizon, which is the main reason the value does not sit far above a 0.76x P/B price.
key_risks_to_valuation: Mid-cycle oil and yen: every $1/bbl is ~JPY5.5bn and every JPY1/USD ~JPY3.0bn of attributable profit; the base assumes $70 / JPY150 from 2027; Abadi LNG: FID mid-2027 is not taken; ~JPY2tn of INPEX-share capex is charged with revenue credit only from 2033 -- a cancellation would remove both, a cost overrun only the revenue; Loan book at book value (JPY1,282/share): depends on Ichthys upstream production sustaining the processing tariff through the 2030s (backfill needed); Leakage rate: the 69% calibration moves ~2pp year to year with PRRT, Abu Dhabi cost recovery and NCI distributions; 1pp of leakage is ~JPY11bn/yr of owner FCF; Strait of Hormuz / Abu Dhabi: H1 FY2026 crude volumes were -23%; a prolonged closure is the bear case's first leg; Terminal multiple: 12x owner FCF (2.4x terminal EV/EBITDA, ~10.5x NOPAT) is modestly above today's ~10x core EV/owner-FCF; implied_exit_multiple is reported per scenario</t>
  </si>
  <si>
    <t xml:space="preserve">Data sources</t>
  </si>
  <si>
    <t xml:space="preserve">price: Yahoo Finance chart API at inputs.price_as_of (regular Tokyo close); 52-week range 2,758-4,955
financials: 1605.T_Metrics.csv (core_metrics, IFRS from FY2024, J-GAAP before); kpis table for OtherCurrentFinancialAssets, InterestIncome, CashTaxesPaid, NCI, ShareRepurchases; 1605.T_Annual_FY2025.txt (P&amp;L, cash-flow statement incl. investing breakdown); 1605.T_HalfYear_H1-2026.txt (2026-06-30 balance sheet, share counts, revised FY2026 forecast and Brent/FX assumptions); 1605.T_SecuritiesReport_FY2025.txt (lease interest)
guidance: H1 FY2026 presentation (2026-08-07): FY2026 forecast revenue 1,973bn, OP 1,223bn, attributable profit 510bn at Brent $81.4 / JPY159.2; CFFO 1,055bn, investing 859bn incl. 200bn Abadi reserve; DPS 112, JPY140bn buyback; Brent/FX sensitivities from FY2025 presentation
qualitative: 1605.T_Analysis.json (2026-10-26): Abadi timeline, Ichthys concentration, Hormuz disruption, Vision 2035 targets</t>
  </si>
  <si>
    <t xml:space="preserve">Scenario narrative: bear</t>
  </si>
  <si>
    <t xml:space="preserve">Oversupply and transition: $60 Brent / JPY140 from 2027 with the Middle East disruption lingering, Abadi slipping past the horizon while its build capex is still largely spent, no Train 3, Japan domestic declining, and a 10x zero-growth terminal reflecting a depleting base under carbon pressure. Ichthys impairment and labour risk sit inside the lower margin.</t>
  </si>
  <si>
    <t xml:space="preserve">Scenario narrative: base</t>
  </si>
  <si>
    <t xml:space="preserve">INPEX is a two-thirds-taxed cash machine bolted to Ichthys LNG and Abu Dhabi crude, so the valuation turns on three things: where mid-cycle Brent sits in yen, how much of the next five years' cash goes into Abadi LNG before it produces anything, and whether the JPY1.49tn of IJV loans is treated as the asset it is. Base: FY2026 at guidance (record profit on $81 oil, a weak yen and ~95bn of one-offs despite Abu Dhabi shipping constraints), reverting in 2027 to the FY2025 mid-cycle template ($70, JPY150, 73.5-74% IFRS EBITDA margin, 69% leakage); capex peaks at 32-34% of revenue in 2028-31 for Abadi, which starts contributing from 2033 and lifts FY2035 revenue ~28% above FY2025. Terminal value binds at 12x owner FCF.</t>
  </si>
  <si>
    <t xml:space="preserve">Scenario narrative: bull</t>
  </si>
  <si>
    <t xml:space="preserve">Higher-for-longer: $80 Brent and JPY155 hold, the Pacific-basin LNG shortfall management describes materialises, Abu Dhabi volumes recover fully and expand, and Abadi reaches FID mid-2027 and first gas in 2032 alongside Ichthys backfill. Production approaches the Vision 2035 800 kboe/d target and FY2035 revenue is ~55% above FY2025 on a 75.5-76% margin.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</si>
  <si>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</si>
  <si>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</si>
  <si>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</si>
  <si>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</si>
  <si>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</si>
  <si>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</si>
  <si>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</si>
  <si>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</si>
  <si>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</si>
  <si>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</si>
  <si>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</si>
  <si>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</si>
  <si>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</si>
  <si>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</si>
  <si>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</si>
  <si>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</si>
  <si>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</si>
  <si>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</si>
  <si>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</si>
  <si>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</si>
  <si>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</si>
  <si>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</si>
  <si>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</si>
  <si>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</si>
  <si>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</si>
  <si>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</si>
  <si>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</si>
  <si>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</si>
  <si>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NonControllingInterests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</si>
  <si>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</si>
  <si>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</si>
  <si>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</si>
  <si>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</si>
  <si>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</si>
  <si>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</si>
  <si>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</si>
  <si>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</si>
  <si>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</si>
  <si>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</si>
  <si>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</si>
  <si>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</si>
  <si>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</si>
  <si>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</si>
  <si>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</si>
  <si>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</si>
  <si>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</si>
  <si>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</si>
  <si>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</si>
  <si>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</si>
  <si>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</si>
  <si>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</si>
  <si>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</si>
  <si>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</si>
  <si>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</si>
  <si>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</si>
  <si>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</si>
  <si>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</si>
  <si>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</si>
  <si>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</si>
  <si>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</si>
  <si>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</si>
  <si>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</si>
  <si>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</si>
  <si>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</si>
  <si>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</si>
  <si>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</si>
  <si>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</si>
  <si>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</si>
  <si>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</si>
  <si>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</si>
  <si>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</si>
  <si>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</si>
  <si>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</si>
  <si>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</si>
  <si>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</si>
  <si>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</si>
  <si>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1605.T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</si>
  <si>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</si>
  <si>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</si>
  <si>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</si>
  <si>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</si>
  <si>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</si>
  <si>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</si>
  <si>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</si>
  <si>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</si>
  <si>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</si>
  <si>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</si>
  <si>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</si>
  <si>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</si>
  <si>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</si>
  <si>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</si>
  <si>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</si>
  <si>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</si>
  <si>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</si>
  <si>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</si>
  <si>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</si>
  <si>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</si>
  <si>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</si>
  <si>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</si>
  <si>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</si>
  <si>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</si>
  <si>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</si>
  <si>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</si>
  <si>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</si>
  <si>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</si>
  <si>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</si>
  <si>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</si>
  <si>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1605.T owner-FCF component DCF: base case (millions, JPY)</t>
  </si>
  <si>
    <t xml:space="preserve">1605.T owner-FCF component DCF: bull case (millions, JPY)</t>
  </si>
  <si>
    <t xml:space="preserve">1605.T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</si>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</sst>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3860</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46.2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row>
    <row r="2" customFormat="false" ht="15" hidden="false" customHeight="false" outlineLevel="0" collapsed="false">
      <c r="A2" s="0" t="s">
        <v>65</v>
      </c>
      <c r="B2" s="0" t="n">
        <v>1009564</v>
      </c>
      <c r="C2" s="0" t="n">
        <v>526757</v>
      </c>
      <c r="D2" s="0" t="n">
        <v>482806</v>
      </c>
      <c r="E2" s="0" t="n">
        <v>47.8</v>
      </c>
      <c r="F2" s="0" t="n">
        <v>390139</v>
      </c>
      <c r="G2" s="0" t="n">
        <v>38.6</v>
      </c>
      <c r="H2" s="0" t="n">
        <v>547889</v>
      </c>
      <c r="I2" s="0" t="n">
        <v>16777</v>
      </c>
      <c r="J2" s="0" t="n">
        <v>1.7</v>
      </c>
      <c r="K2" s="0" t="n">
        <v>11.49</v>
      </c>
      <c r="L2" s="0" t="n">
        <v>183707</v>
      </c>
      <c r="M2" s="0" t="n">
        <v>564127</v>
      </c>
      <c r="N2" s="0" t="n">
        <v>-380420</v>
      </c>
      <c r="O2" s="0" t="n">
        <v>2932893</v>
      </c>
      <c r="P2" s="0" t="n">
        <v>4369841</v>
      </c>
      <c r="Q2" s="0" t="n">
        <v>1191038</v>
      </c>
      <c r="R2" s="0" t="n">
        <v>741566</v>
      </c>
      <c r="S2" s="0" t="n">
        <v>53813</v>
      </c>
      <c r="T2" s="0" t="n">
        <v>1460.3572</v>
      </c>
      <c r="V2" s="0" t="n">
        <v>18</v>
      </c>
      <c r="AA2" s="0" t="s">
        <v>17</v>
      </c>
      <c r="AB2" s="0" t="s">
        <v>14</v>
      </c>
      <c r="AC2" s="0" t="n">
        <v>-25505</v>
      </c>
      <c r="AD2" s="0" t="n">
        <v>245910</v>
      </c>
    </row>
    <row r="3" customFormat="false" ht="15" hidden="false" customHeight="false" outlineLevel="0" collapsed="false">
      <c r="A3" s="0" t="s">
        <v>66</v>
      </c>
      <c r="B3" s="0" t="n">
        <v>874423</v>
      </c>
      <c r="C3" s="0" t="n">
        <v>453846</v>
      </c>
      <c r="D3" s="0" t="n">
        <v>420576</v>
      </c>
      <c r="E3" s="0" t="n">
        <v>48.1</v>
      </c>
      <c r="F3" s="0" t="n">
        <v>336452</v>
      </c>
      <c r="G3" s="0" t="n">
        <v>38.5</v>
      </c>
      <c r="H3" s="0" t="n">
        <v>514244</v>
      </c>
      <c r="I3" s="0" t="n">
        <v>46168</v>
      </c>
      <c r="J3" s="0" t="n">
        <v>5.3</v>
      </c>
      <c r="K3" s="0" t="n">
        <v>31.61</v>
      </c>
      <c r="L3" s="0" t="n">
        <v>275810</v>
      </c>
      <c r="M3" s="0" t="n">
        <v>337637</v>
      </c>
      <c r="N3" s="0" t="n">
        <v>-61827</v>
      </c>
      <c r="O3" s="0" t="n">
        <v>2943170</v>
      </c>
      <c r="P3" s="0" t="n">
        <v>4312174</v>
      </c>
      <c r="Q3" s="0" t="n">
        <v>1104631</v>
      </c>
      <c r="R3" s="0" t="n">
        <v>687684</v>
      </c>
      <c r="S3" s="0" t="n">
        <v>316790</v>
      </c>
      <c r="T3" s="0" t="n">
        <v>1460.3571</v>
      </c>
      <c r="V3" s="0" t="n">
        <v>18</v>
      </c>
      <c r="AA3" s="0" t="s">
        <v>17</v>
      </c>
      <c r="AB3" s="0" t="s">
        <v>14</v>
      </c>
      <c r="AC3" s="0" t="n">
        <v>56131</v>
      </c>
      <c r="AD3" s="0" t="n">
        <v>264372</v>
      </c>
    </row>
    <row r="4" customFormat="false" ht="15" hidden="false" customHeight="false" outlineLevel="0" collapsed="false">
      <c r="A4" s="0" t="s">
        <v>67</v>
      </c>
      <c r="B4" s="0" t="n">
        <v>933701</v>
      </c>
      <c r="C4" s="0" t="n">
        <v>498039</v>
      </c>
      <c r="D4" s="0" t="n">
        <v>435662</v>
      </c>
      <c r="E4" s="0" t="n">
        <v>46.7</v>
      </c>
      <c r="F4" s="0" t="n">
        <v>357363</v>
      </c>
      <c r="G4" s="0" t="n">
        <v>38.3</v>
      </c>
      <c r="H4" s="0" t="n">
        <v>510393</v>
      </c>
      <c r="I4" s="0" t="n">
        <v>40362</v>
      </c>
      <c r="J4" s="0" t="n">
        <v>4.3</v>
      </c>
      <c r="K4" s="0" t="n">
        <v>27.64</v>
      </c>
      <c r="L4" s="0" t="n">
        <v>278539</v>
      </c>
      <c r="M4" s="0" t="n">
        <v>296823</v>
      </c>
      <c r="N4" s="0" t="n">
        <v>-18284</v>
      </c>
      <c r="O4" s="0" t="n">
        <v>2916680</v>
      </c>
      <c r="P4" s="0" t="n">
        <v>4255565</v>
      </c>
      <c r="Q4" s="0" t="n">
        <v>1096696</v>
      </c>
      <c r="R4" s="0" t="n">
        <v>698576</v>
      </c>
      <c r="S4" s="0" t="n">
        <v>276079</v>
      </c>
      <c r="T4" s="0" t="n">
        <v>1460.3571</v>
      </c>
      <c r="V4" s="0" t="n">
        <v>18</v>
      </c>
      <c r="AA4" s="0" t="s">
        <v>17</v>
      </c>
      <c r="AB4" s="0" t="s">
        <v>14</v>
      </c>
      <c r="AC4" s="0" t="n">
        <v>-2100</v>
      </c>
      <c r="AD4" s="0" t="n">
        <v>242188</v>
      </c>
    </row>
    <row r="5" customFormat="false" ht="15" hidden="false" customHeight="false" outlineLevel="0" collapsed="false">
      <c r="A5" s="0" t="s">
        <v>68</v>
      </c>
      <c r="B5" s="0" t="n">
        <v>971388</v>
      </c>
      <c r="C5" s="0" t="n">
        <v>413300</v>
      </c>
      <c r="D5" s="0" t="n">
        <v>558088</v>
      </c>
      <c r="E5" s="0" t="n">
        <v>57.5</v>
      </c>
      <c r="F5" s="0" t="n">
        <v>474281</v>
      </c>
      <c r="G5" s="0" t="n">
        <v>48.8</v>
      </c>
      <c r="H5" s="0" t="n">
        <v>621067</v>
      </c>
      <c r="I5" s="0" t="n">
        <v>96106</v>
      </c>
      <c r="J5" s="0" t="n">
        <v>9.9</v>
      </c>
      <c r="K5" s="0" t="n">
        <v>65.81</v>
      </c>
      <c r="L5" s="0" t="n">
        <v>238566</v>
      </c>
      <c r="M5" s="0" t="n">
        <v>243172</v>
      </c>
      <c r="N5" s="0" t="n">
        <v>-4606</v>
      </c>
      <c r="O5" s="0" t="n">
        <v>3006481</v>
      </c>
      <c r="P5" s="0" t="n">
        <v>4793545</v>
      </c>
      <c r="Q5" s="0" t="n">
        <v>1535961</v>
      </c>
      <c r="R5" s="0" t="n">
        <v>1141197</v>
      </c>
      <c r="S5" s="0" t="n">
        <v>239652</v>
      </c>
      <c r="T5" s="0" t="n">
        <v>1460.1998</v>
      </c>
      <c r="V5" s="0" t="n">
        <v>24</v>
      </c>
      <c r="AA5" s="0" t="s">
        <v>17</v>
      </c>
      <c r="AB5" s="0" t="s">
        <v>14</v>
      </c>
      <c r="AC5" s="0" t="n">
        <v>96783</v>
      </c>
      <c r="AD5" s="0" t="n">
        <v>251103</v>
      </c>
    </row>
    <row r="6" customFormat="false" ht="15" hidden="false" customHeight="false" outlineLevel="0" collapsed="false">
      <c r="A6" s="0" t="s">
        <v>69</v>
      </c>
      <c r="B6" s="0" t="n">
        <v>771046</v>
      </c>
      <c r="C6" s="0" t="n">
        <v>439852</v>
      </c>
      <c r="D6" s="0" t="n">
        <v>331194</v>
      </c>
      <c r="E6" s="0" t="n">
        <v>43</v>
      </c>
      <c r="F6" s="0" t="n">
        <v>248471</v>
      </c>
      <c r="G6" s="0" t="n">
        <v>32.2</v>
      </c>
      <c r="H6" s="0" t="n">
        <v>464020</v>
      </c>
      <c r="I6" s="0" t="n">
        <v>-111699</v>
      </c>
      <c r="J6" s="0" t="n">
        <v>-14.5</v>
      </c>
      <c r="K6" s="0" t="n">
        <v>-76.5</v>
      </c>
      <c r="L6" s="0" t="n">
        <v>292915</v>
      </c>
      <c r="M6" s="0" t="n">
        <v>168164</v>
      </c>
      <c r="N6" s="0" t="n">
        <v>124751</v>
      </c>
      <c r="O6" s="0" t="n">
        <v>2736541</v>
      </c>
      <c r="P6" s="0" t="n">
        <v>4634518</v>
      </c>
      <c r="Q6" s="0" t="n">
        <v>1633178</v>
      </c>
      <c r="R6" s="0" t="n">
        <v>1234846</v>
      </c>
      <c r="S6" s="0" t="n">
        <v>172405</v>
      </c>
      <c r="T6" s="0" t="n">
        <v>1460.2045</v>
      </c>
      <c r="V6" s="0" t="n">
        <v>24</v>
      </c>
      <c r="AA6" s="0" t="s">
        <v>17</v>
      </c>
      <c r="AB6" s="0" t="s">
        <v>14</v>
      </c>
      <c r="AC6" s="0" t="n">
        <v>-103806</v>
      </c>
      <c r="AD6" s="0" t="n">
        <v>264798</v>
      </c>
    </row>
    <row r="7" customFormat="false" ht="15" hidden="false" customHeight="false" outlineLevel="0" collapsed="false">
      <c r="A7" s="0" t="s">
        <v>70</v>
      </c>
      <c r="B7" s="0" t="n">
        <v>1244369</v>
      </c>
      <c r="C7" s="0" t="n">
        <v>568921</v>
      </c>
      <c r="D7" s="0" t="n">
        <v>675448</v>
      </c>
      <c r="E7" s="0" t="n">
        <v>54.3</v>
      </c>
      <c r="F7" s="0" t="n">
        <v>590657</v>
      </c>
      <c r="G7" s="0" t="n">
        <v>47.5</v>
      </c>
      <c r="H7" s="0" t="n">
        <v>862933</v>
      </c>
      <c r="I7" s="0" t="n">
        <v>223048</v>
      </c>
      <c r="J7" s="0" t="n">
        <v>17.9</v>
      </c>
      <c r="K7" s="0" t="n">
        <v>153.87</v>
      </c>
      <c r="L7" s="0" t="n">
        <v>445457</v>
      </c>
      <c r="M7" s="0" t="n">
        <v>174044</v>
      </c>
      <c r="N7" s="0" t="n">
        <v>271413</v>
      </c>
      <c r="O7" s="0" t="n">
        <v>3124065</v>
      </c>
      <c r="P7" s="0" t="n">
        <v>5158196</v>
      </c>
      <c r="Q7" s="0" t="n">
        <v>1811786</v>
      </c>
      <c r="R7" s="0" t="n">
        <v>1180214</v>
      </c>
      <c r="S7" s="0" t="n">
        <v>191213</v>
      </c>
      <c r="T7" s="0" t="n">
        <v>1386.5176</v>
      </c>
      <c r="V7" s="0" t="n">
        <v>48</v>
      </c>
      <c r="AA7" s="0" t="s">
        <v>17</v>
      </c>
      <c r="AB7" s="0" t="s">
        <v>14</v>
      </c>
      <c r="AC7" s="0" t="n">
        <v>213924</v>
      </c>
      <c r="AD7" s="0" t="n">
        <v>222344</v>
      </c>
    </row>
    <row r="8" customFormat="false" ht="15" hidden="false" customHeight="false" outlineLevel="0" collapsed="false">
      <c r="A8" s="0" t="s">
        <v>71</v>
      </c>
      <c r="B8" s="0" t="n">
        <v>2324660</v>
      </c>
      <c r="C8" s="0" t="n">
        <v>943414</v>
      </c>
      <c r="D8" s="0" t="n">
        <v>1381245</v>
      </c>
      <c r="E8" s="0" t="n">
        <v>59.4</v>
      </c>
      <c r="F8" s="0" t="n">
        <v>1246408</v>
      </c>
      <c r="G8" s="0" t="n">
        <v>53.6</v>
      </c>
      <c r="H8" s="0" t="n">
        <v>1618712</v>
      </c>
      <c r="I8" s="0" t="n">
        <v>438276</v>
      </c>
      <c r="J8" s="0" t="n">
        <v>18.9</v>
      </c>
      <c r="K8" s="0" t="n">
        <v>320.69</v>
      </c>
      <c r="L8" s="0" t="n">
        <v>751284</v>
      </c>
      <c r="M8" s="0" t="n">
        <v>228072</v>
      </c>
      <c r="N8" s="0" t="n">
        <v>523212</v>
      </c>
      <c r="O8" s="0" t="n">
        <v>3776844</v>
      </c>
      <c r="P8" s="0" t="n">
        <v>6262304</v>
      </c>
      <c r="Q8" s="0" t="n">
        <v>2223943</v>
      </c>
      <c r="R8" s="0" t="n">
        <v>1270247</v>
      </c>
      <c r="S8" s="0" t="n">
        <v>211656</v>
      </c>
      <c r="T8" s="0" t="n">
        <v>1305.9943</v>
      </c>
      <c r="V8" s="0" t="n">
        <v>62</v>
      </c>
      <c r="AA8" s="0" t="s">
        <v>17</v>
      </c>
      <c r="AB8" s="0" t="s">
        <v>14</v>
      </c>
      <c r="AC8" s="0" t="n">
        <v>441897</v>
      </c>
      <c r="AD8" s="0" t="n">
        <v>261517</v>
      </c>
    </row>
    <row r="9" customFormat="false" ht="15" hidden="false" customHeight="false" outlineLevel="0" collapsed="false">
      <c r="A9" s="0" t="s">
        <v>72</v>
      </c>
      <c r="B9" s="0" t="n">
        <v>2165702</v>
      </c>
      <c r="C9" s="0" t="n">
        <v>893934</v>
      </c>
      <c r="D9" s="0" t="n">
        <v>1271768</v>
      </c>
      <c r="E9" s="0" t="n">
        <v>58.7</v>
      </c>
      <c r="F9" s="0" t="n">
        <v>1121844</v>
      </c>
      <c r="G9" s="0" t="n">
        <v>51.8</v>
      </c>
      <c r="H9" s="0" t="n">
        <v>1467056</v>
      </c>
      <c r="I9" s="0" t="n">
        <v>371531</v>
      </c>
      <c r="J9" s="0" t="n">
        <v>17.2</v>
      </c>
      <c r="K9" s="0" t="n">
        <v>287.05</v>
      </c>
      <c r="L9" s="0" t="n">
        <v>786324</v>
      </c>
      <c r="M9" s="0" t="n">
        <v>213392</v>
      </c>
      <c r="N9" s="0" t="n">
        <v>572932</v>
      </c>
      <c r="O9" s="0" t="n">
        <v>4139353</v>
      </c>
      <c r="P9" s="0" t="n">
        <v>6523182</v>
      </c>
      <c r="Q9" s="0" t="n">
        <v>2104000</v>
      </c>
      <c r="R9" s="0" t="n">
        <v>1056982</v>
      </c>
      <c r="S9" s="0" t="n">
        <v>200879</v>
      </c>
      <c r="T9" s="0" t="n">
        <v>1258.2445</v>
      </c>
      <c r="V9" s="0" t="n">
        <v>74</v>
      </c>
      <c r="AA9" s="0" t="s">
        <v>17</v>
      </c>
      <c r="AB9" s="0" t="s">
        <v>14</v>
      </c>
      <c r="AC9" s="0" t="n">
        <v>381335</v>
      </c>
      <c r="AD9" s="0" t="n">
        <v>279829</v>
      </c>
    </row>
    <row r="10" customFormat="false" ht="15" hidden="false" customHeight="false" outlineLevel="0" collapsed="false">
      <c r="A10" s="0" t="s">
        <v>73</v>
      </c>
      <c r="B10" s="0" t="n">
        <v>2265837</v>
      </c>
      <c r="C10" s="0" t="n">
        <v>915310</v>
      </c>
      <c r="D10" s="0" t="n">
        <v>1350527</v>
      </c>
      <c r="E10" s="0" t="n">
        <v>59.6</v>
      </c>
      <c r="F10" s="0" t="n">
        <v>1271789</v>
      </c>
      <c r="G10" s="0" t="n">
        <v>56.1</v>
      </c>
      <c r="H10" s="0" t="n">
        <v>1631019</v>
      </c>
      <c r="I10" s="0" t="n">
        <v>427344</v>
      </c>
      <c r="J10" s="0" t="n">
        <v>18.9</v>
      </c>
      <c r="K10" s="0" t="n">
        <v>345.07</v>
      </c>
      <c r="L10" s="0" t="n">
        <v>654737</v>
      </c>
      <c r="M10" s="0" t="n">
        <v>301061</v>
      </c>
      <c r="N10" s="0" t="n">
        <v>353676</v>
      </c>
      <c r="O10" s="0" t="n">
        <v>4821805</v>
      </c>
      <c r="P10" s="0" t="n">
        <v>7380863</v>
      </c>
      <c r="Q10" s="0" t="n">
        <v>2243029</v>
      </c>
      <c r="R10" s="0" t="n">
        <v>1063911</v>
      </c>
      <c r="S10" s="0" t="n">
        <v>241675</v>
      </c>
      <c r="T10" s="0" t="n">
        <v>1197.5998</v>
      </c>
      <c r="V10" s="0" t="n">
        <v>86</v>
      </c>
      <c r="AA10" s="0" t="s">
        <v>17</v>
      </c>
      <c r="AB10" s="0" t="s">
        <v>14</v>
      </c>
      <c r="AC10" s="0" t="n">
        <v>434238</v>
      </c>
      <c r="AD10" s="0" t="n">
        <v>316027</v>
      </c>
    </row>
    <row r="11" customFormat="false" ht="15" hidden="false" customHeight="false" outlineLevel="0" collapsed="false">
      <c r="A11" s="0" t="s">
        <v>74</v>
      </c>
      <c r="B11" s="0" t="n">
        <v>2011351</v>
      </c>
      <c r="C11" s="0" t="n">
        <v>864515</v>
      </c>
      <c r="D11" s="0" t="n">
        <v>1146836</v>
      </c>
      <c r="E11" s="0" t="n">
        <v>57</v>
      </c>
      <c r="F11" s="0" t="n">
        <v>1135440</v>
      </c>
      <c r="G11" s="0" t="n">
        <v>56.5</v>
      </c>
      <c r="H11" s="0" t="n">
        <v>1486812</v>
      </c>
      <c r="I11" s="0" t="n">
        <v>393836</v>
      </c>
      <c r="J11" s="0" t="n">
        <v>19.6</v>
      </c>
      <c r="K11" s="0" t="n">
        <v>330.56</v>
      </c>
      <c r="L11" s="0" t="n">
        <v>693893</v>
      </c>
      <c r="M11" s="0" t="n">
        <v>294026</v>
      </c>
      <c r="N11" s="0" t="n">
        <v>399867</v>
      </c>
      <c r="O11" s="0" t="n">
        <v>4747158</v>
      </c>
      <c r="P11" s="0" t="n">
        <v>7735198</v>
      </c>
      <c r="Q11" s="0" t="n">
        <v>2712295</v>
      </c>
      <c r="R11" s="0" t="n">
        <v>1244746</v>
      </c>
      <c r="S11" s="0" t="n">
        <v>168407</v>
      </c>
      <c r="T11" s="0" t="n">
        <v>1165.3937</v>
      </c>
      <c r="V11" s="0" t="n">
        <v>100</v>
      </c>
      <c r="AA11" s="0" t="s">
        <v>17</v>
      </c>
      <c r="AB11" s="0" t="s">
        <v>14</v>
      </c>
      <c r="AC11" s="0" t="n">
        <v>429638</v>
      </c>
      <c r="AD11" s="0" t="n">
        <v>275745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3860</v>
      </c>
    </row>
    <row r="3" customFormat="false" ht="15" hidden="false" customHeight="false" outlineLevel="0" collapsed="false">
      <c r="A3" s="0" t="s">
        <v>78</v>
      </c>
      <c r="B3" s="3" t="n">
        <v>1162.22</v>
      </c>
    </row>
    <row r="4" customFormat="false" ht="15" hidden="false" customHeight="false" outlineLevel="0" collapsed="false">
      <c r="A4" s="0" t="s">
        <v>79</v>
      </c>
      <c r="B4" s="3" t="n">
        <v>357758</v>
      </c>
    </row>
    <row r="5" customFormat="false" ht="15" hidden="false" customHeight="false" outlineLevel="0" collapsed="false">
      <c r="A5" s="0" t="s">
        <v>80</v>
      </c>
      <c r="B5" s="3" t="n">
        <v>1490176</v>
      </c>
    </row>
    <row r="6" customFormat="false" ht="15" hidden="false" customHeight="false" outlineLevel="0" collapsed="false">
      <c r="A6" s="0" t="s">
        <v>81</v>
      </c>
      <c r="B6" s="3" t="n">
        <v>15</v>
      </c>
    </row>
    <row r="7" customFormat="false" ht="15" hidden="false" customHeight="false" outlineLevel="0" collapsed="false">
      <c r="A7" s="0" t="s">
        <v>82</v>
      </c>
      <c r="B7" s="3" t="n">
        <v>2011351</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-1.9</v>
      </c>
      <c r="D13" s="3" t="n">
        <v>-16</v>
      </c>
      <c r="E13" s="3" t="n">
        <v>0</v>
      </c>
      <c r="F13" s="3" t="n">
        <v>0.5</v>
      </c>
      <c r="G13" s="3" t="n">
        <v>0.5</v>
      </c>
      <c r="H13" s="3" t="n">
        <v>0.5</v>
      </c>
      <c r="I13" s="3" t="n">
        <v>0.5</v>
      </c>
      <c r="J13" s="3" t="n">
        <v>0</v>
      </c>
      <c r="K13" s="3" t="n">
        <v>0</v>
      </c>
      <c r="L13" s="3" t="n">
        <v>0</v>
      </c>
    </row>
    <row r="14" customFormat="false" ht="15" hidden="false" customHeight="false" outlineLevel="0" collapsed="false">
      <c r="A14" s="0" t="s">
        <v>99</v>
      </c>
      <c r="C14" s="3" t="n">
        <v>80</v>
      </c>
      <c r="D14" s="3" t="n">
        <v>68</v>
      </c>
      <c r="E14" s="3" t="n">
        <v>68</v>
      </c>
      <c r="F14" s="3" t="n">
        <v>68</v>
      </c>
      <c r="G14" s="3" t="n">
        <v>68</v>
      </c>
      <c r="H14" s="3" t="n">
        <v>67.5</v>
      </c>
      <c r="I14" s="3" t="n">
        <v>67</v>
      </c>
      <c r="J14" s="3" t="n">
        <v>67</v>
      </c>
      <c r="K14" s="3" t="n">
        <v>66.5</v>
      </c>
      <c r="L14" s="3" t="n">
        <v>66</v>
      </c>
    </row>
    <row r="15" customFormat="false" ht="15" hidden="false" customHeight="false" outlineLevel="0" collapsed="false">
      <c r="A15" s="0" t="s">
        <v>100</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101</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102</v>
      </c>
      <c r="C17" s="3" t="n">
        <v>19</v>
      </c>
      <c r="D17" s="3" t="n">
        <v>19</v>
      </c>
      <c r="E17" s="3" t="n">
        <v>19</v>
      </c>
      <c r="F17" s="3" t="n">
        <v>19</v>
      </c>
      <c r="G17" s="3" t="n">
        <v>19</v>
      </c>
      <c r="H17" s="3" t="n">
        <v>19</v>
      </c>
      <c r="I17" s="3" t="n">
        <v>19</v>
      </c>
      <c r="J17" s="3" t="n">
        <v>19</v>
      </c>
      <c r="K17" s="3" t="n">
        <v>19</v>
      </c>
      <c r="L17" s="3" t="n">
        <v>19</v>
      </c>
    </row>
    <row r="18" customFormat="false" ht="15" hidden="false" customHeight="false" outlineLevel="0" collapsed="false">
      <c r="A18" s="0" t="s">
        <v>103</v>
      </c>
      <c r="C18" s="3" t="n">
        <v>29</v>
      </c>
      <c r="D18" s="3" t="n">
        <v>23</v>
      </c>
      <c r="E18" s="3" t="n">
        <v>27</v>
      </c>
      <c r="F18" s="3" t="n">
        <v>29</v>
      </c>
      <c r="G18" s="3" t="n">
        <v>29</v>
      </c>
      <c r="H18" s="3" t="n">
        <v>27</v>
      </c>
      <c r="I18" s="3" t="n">
        <v>25</v>
      </c>
      <c r="J18" s="3" t="n">
        <v>23</v>
      </c>
      <c r="K18" s="3" t="n">
        <v>22</v>
      </c>
      <c r="L18" s="3" t="n">
        <v>21</v>
      </c>
    </row>
    <row r="19" customFormat="false" ht="15" hidden="false" customHeight="false" outlineLevel="0" collapsed="false">
      <c r="A19" s="0" t="s">
        <v>104</v>
      </c>
      <c r="C19" s="3" t="n">
        <v>67</v>
      </c>
      <c r="D19" s="3" t="n">
        <v>69</v>
      </c>
      <c r="E19" s="3" t="n">
        <v>69</v>
      </c>
      <c r="F19" s="3" t="n">
        <v>69</v>
      </c>
      <c r="G19" s="3" t="n">
        <v>69</v>
      </c>
      <c r="H19" s="3" t="n">
        <v>69</v>
      </c>
      <c r="I19" s="3" t="n">
        <v>69</v>
      </c>
      <c r="J19" s="3" t="n">
        <v>69</v>
      </c>
      <c r="K19" s="3" t="n">
        <v>69</v>
      </c>
      <c r="L19" s="3" t="n">
        <v>69</v>
      </c>
    </row>
    <row r="20" customFormat="false" ht="15" hidden="false" customHeight="false" outlineLevel="0" collapsed="false">
      <c r="A20" s="0" t="s">
        <v>105</v>
      </c>
      <c r="B20" s="3" t="n">
        <v>8</v>
      </c>
    </row>
    <row r="21" customFormat="false" ht="15" hidden="false" customHeight="false" outlineLevel="0" collapsed="false">
      <c r="A21" s="0" t="s">
        <v>106</v>
      </c>
      <c r="B21" s="3" t="n">
        <v>0</v>
      </c>
    </row>
    <row r="22" customFormat="false" ht="15" hidden="false" customHeight="false" outlineLevel="0" collapsed="false">
      <c r="A22" s="0" t="s">
        <v>107</v>
      </c>
      <c r="B22" s="3" t="n">
        <v>10</v>
      </c>
    </row>
    <row r="23" customFormat="false" ht="15" hidden="false" customHeight="false" outlineLevel="0" collapsed="false">
      <c r="A23" s="0" t="s">
        <v>108</v>
      </c>
      <c r="B23" s="3" t="n">
        <v>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-1.9</v>
      </c>
      <c r="D27" s="3" t="n">
        <v>-1</v>
      </c>
      <c r="E27" s="3" t="n">
        <v>2</v>
      </c>
      <c r="F27" s="3" t="n">
        <v>2</v>
      </c>
      <c r="G27" s="3" t="n">
        <v>2</v>
      </c>
      <c r="H27" s="3" t="n">
        <v>2</v>
      </c>
      <c r="I27" s="3" t="n">
        <v>2</v>
      </c>
      <c r="J27" s="3" t="n">
        <v>5</v>
      </c>
      <c r="K27" s="3" t="n">
        <v>7</v>
      </c>
      <c r="L27" s="3" t="n">
        <v>6</v>
      </c>
    </row>
    <row r="28" customFormat="false" ht="15" hidden="false" customHeight="false" outlineLevel="0" collapsed="false">
      <c r="A28" s="0" t="s">
        <v>99</v>
      </c>
      <c r="C28" s="3" t="n">
        <v>81</v>
      </c>
      <c r="D28" s="3" t="n">
        <v>74</v>
      </c>
      <c r="E28" s="3" t="n">
        <v>73.5</v>
      </c>
      <c r="F28" s="3" t="n">
        <v>73.5</v>
      </c>
      <c r="G28" s="3" t="n">
        <v>73.5</v>
      </c>
      <c r="H28" s="3" t="n">
        <v>73.5</v>
      </c>
      <c r="I28" s="3" t="n">
        <v>73.5</v>
      </c>
      <c r="J28" s="3" t="n">
        <v>73</v>
      </c>
      <c r="K28" s="3" t="n">
        <v>73</v>
      </c>
      <c r="L28" s="3" t="n">
        <v>73</v>
      </c>
    </row>
    <row r="29" customFormat="false" ht="15" hidden="false" customHeight="false" outlineLevel="0" collapsed="false">
      <c r="A29" s="0" t="s">
        <v>100</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101</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102</v>
      </c>
      <c r="C31" s="3" t="n">
        <v>19</v>
      </c>
      <c r="D31" s="3" t="n">
        <v>17.5</v>
      </c>
      <c r="E31" s="3" t="n">
        <v>17.5</v>
      </c>
      <c r="F31" s="3" t="n">
        <v>17.5</v>
      </c>
      <c r="G31" s="3" t="n">
        <v>17.5</v>
      </c>
      <c r="H31" s="3" t="n">
        <v>17.5</v>
      </c>
      <c r="I31" s="3" t="n">
        <v>17.5</v>
      </c>
      <c r="J31" s="3" t="n">
        <v>17.5</v>
      </c>
      <c r="K31" s="3" t="n">
        <v>18</v>
      </c>
      <c r="L31" s="3" t="n">
        <v>18</v>
      </c>
    </row>
    <row r="32" customFormat="false" ht="15" hidden="false" customHeight="false" outlineLevel="0" collapsed="false">
      <c r="A32" s="0" t="s">
        <v>103</v>
      </c>
      <c r="C32" s="3" t="n">
        <v>29</v>
      </c>
      <c r="D32" s="3" t="n">
        <v>24</v>
      </c>
      <c r="E32" s="3" t="n">
        <v>32</v>
      </c>
      <c r="F32" s="3" t="n">
        <v>34</v>
      </c>
      <c r="G32" s="3" t="n">
        <v>34</v>
      </c>
      <c r="H32" s="3" t="n">
        <v>32</v>
      </c>
      <c r="I32" s="3" t="n">
        <v>28</v>
      </c>
      <c r="J32" s="3" t="n">
        <v>24</v>
      </c>
      <c r="K32" s="3" t="n">
        <v>22</v>
      </c>
      <c r="L32" s="3" t="n">
        <v>20</v>
      </c>
    </row>
    <row r="33" customFormat="false" ht="15" hidden="false" customHeight="false" outlineLevel="0" collapsed="false">
      <c r="A33" s="0" t="s">
        <v>104</v>
      </c>
      <c r="C33" s="3" t="n">
        <v>67</v>
      </c>
      <c r="D33" s="3" t="n">
        <v>69</v>
      </c>
      <c r="E33" s="3" t="n">
        <v>69</v>
      </c>
      <c r="F33" s="3" t="n">
        <v>69</v>
      </c>
      <c r="G33" s="3" t="n">
        <v>69</v>
      </c>
      <c r="H33" s="3" t="n">
        <v>69</v>
      </c>
      <c r="I33" s="3" t="n">
        <v>69</v>
      </c>
      <c r="J33" s="3" t="n">
        <v>69</v>
      </c>
      <c r="K33" s="3" t="n">
        <v>69</v>
      </c>
      <c r="L33" s="3" t="n">
        <v>69</v>
      </c>
    </row>
    <row r="34" customFormat="false" ht="15" hidden="false" customHeight="false" outlineLevel="0" collapsed="false">
      <c r="A34" s="0" t="s">
        <v>105</v>
      </c>
      <c r="B34" s="3" t="n">
        <v>8</v>
      </c>
    </row>
    <row r="35" customFormat="false" ht="15" hidden="false" customHeight="false" outlineLevel="0" collapsed="false">
      <c r="A35" s="0" t="s">
        <v>106</v>
      </c>
      <c r="B35" s="3" t="n">
        <v>1</v>
      </c>
    </row>
    <row r="36" customFormat="false" ht="15" hidden="false" customHeight="false" outlineLevel="0" collapsed="false">
      <c r="A36" s="0" t="s">
        <v>107</v>
      </c>
      <c r="B36" s="3" t="n">
        <v>12</v>
      </c>
    </row>
    <row r="37" customFormat="false" ht="15" hidden="false" customHeight="false" outlineLevel="0" collapsed="false">
      <c r="A37" s="0" t="s">
        <v>108</v>
      </c>
      <c r="B37" s="3" t="n">
        <v>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-1.9</v>
      </c>
      <c r="D41" s="3" t="n">
        <v>6</v>
      </c>
      <c r="E41" s="3" t="n">
        <v>3</v>
      </c>
      <c r="F41" s="3" t="n">
        <v>3</v>
      </c>
      <c r="G41" s="3" t="n">
        <v>3</v>
      </c>
      <c r="H41" s="3" t="n">
        <v>3</v>
      </c>
      <c r="I41" s="3" t="n">
        <v>4</v>
      </c>
      <c r="J41" s="3" t="n">
        <v>8</v>
      </c>
      <c r="K41" s="3" t="n">
        <v>10</v>
      </c>
      <c r="L41" s="3" t="n">
        <v>8</v>
      </c>
    </row>
    <row r="42" customFormat="false" ht="15" hidden="false" customHeight="false" outlineLevel="0" collapsed="false">
      <c r="A42" s="0" t="s">
        <v>99</v>
      </c>
      <c r="C42" s="3" t="n">
        <v>81</v>
      </c>
      <c r="D42" s="3" t="n">
        <v>76</v>
      </c>
      <c r="E42" s="3" t="n">
        <v>76</v>
      </c>
      <c r="F42" s="3" t="n">
        <v>76</v>
      </c>
      <c r="G42" s="3" t="n">
        <v>76</v>
      </c>
      <c r="H42" s="3" t="n">
        <v>76</v>
      </c>
      <c r="I42" s="3" t="n">
        <v>76</v>
      </c>
      <c r="J42" s="3" t="n">
        <v>75.5</v>
      </c>
      <c r="K42" s="3" t="n">
        <v>75.5</v>
      </c>
      <c r="L42" s="3" t="n">
        <v>75.5</v>
      </c>
    </row>
    <row r="43" customFormat="false" ht="15" hidden="false" customHeight="false" outlineLevel="0" collapsed="false">
      <c r="A43" s="0" t="s">
        <v>100</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101</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102</v>
      </c>
      <c r="C45" s="3" t="n">
        <v>19</v>
      </c>
      <c r="D45" s="3" t="n">
        <v>17</v>
      </c>
      <c r="E45" s="3" t="n">
        <v>17</v>
      </c>
      <c r="F45" s="3" t="n">
        <v>17</v>
      </c>
      <c r="G45" s="3" t="n">
        <v>17</v>
      </c>
      <c r="H45" s="3" t="n">
        <v>17</v>
      </c>
      <c r="I45" s="3" t="n">
        <v>17</v>
      </c>
      <c r="J45" s="3" t="n">
        <v>17</v>
      </c>
      <c r="K45" s="3" t="n">
        <v>17.5</v>
      </c>
      <c r="L45" s="3" t="n">
        <v>17.5</v>
      </c>
    </row>
    <row r="46" customFormat="false" ht="15" hidden="false" customHeight="false" outlineLevel="0" collapsed="false">
      <c r="A46" s="0" t="s">
        <v>103</v>
      </c>
      <c r="C46" s="3" t="n">
        <v>29</v>
      </c>
      <c r="D46" s="3" t="n">
        <v>25</v>
      </c>
      <c r="E46" s="3" t="n">
        <v>32</v>
      </c>
      <c r="F46" s="3" t="n">
        <v>34</v>
      </c>
      <c r="G46" s="3" t="n">
        <v>34</v>
      </c>
      <c r="H46" s="3" t="n">
        <v>32</v>
      </c>
      <c r="I46" s="3" t="n">
        <v>27</v>
      </c>
      <c r="J46" s="3" t="n">
        <v>23</v>
      </c>
      <c r="K46" s="3" t="n">
        <v>20</v>
      </c>
      <c r="L46" s="3" t="n">
        <v>19</v>
      </c>
    </row>
    <row r="47" customFormat="false" ht="15" hidden="false" customHeight="false" outlineLevel="0" collapsed="false">
      <c r="A47" s="0" t="s">
        <v>104</v>
      </c>
      <c r="C47" s="3" t="n">
        <v>67</v>
      </c>
      <c r="D47" s="3" t="n">
        <v>69</v>
      </c>
      <c r="E47" s="3" t="n">
        <v>69</v>
      </c>
      <c r="F47" s="3" t="n">
        <v>69</v>
      </c>
      <c r="G47" s="3" t="n">
        <v>69</v>
      </c>
      <c r="H47" s="3" t="n">
        <v>69</v>
      </c>
      <c r="I47" s="3" t="n">
        <v>69</v>
      </c>
      <c r="J47" s="3" t="n">
        <v>69</v>
      </c>
      <c r="K47" s="3" t="n">
        <v>69</v>
      </c>
      <c r="L47" s="3" t="n">
        <v>69</v>
      </c>
    </row>
    <row r="48" customFormat="false" ht="15" hidden="false" customHeight="false" outlineLevel="0" collapsed="false">
      <c r="A48" s="0" t="s">
        <v>105</v>
      </c>
      <c r="B48" s="3" t="n">
        <v>8</v>
      </c>
    </row>
    <row r="49" customFormat="false" ht="15" hidden="false" customHeight="false" outlineLevel="0" collapsed="false">
      <c r="A49" s="0" t="s">
        <v>106</v>
      </c>
      <c r="B49" s="3" t="n">
        <v>1.5</v>
      </c>
    </row>
    <row r="50" customFormat="false" ht="15" hidden="false" customHeight="false" outlineLevel="0" collapsed="false">
      <c r="A50" s="0" t="s">
        <v>107</v>
      </c>
      <c r="B50" s="3" t="n">
        <v>12</v>
      </c>
    </row>
    <row r="51" customFormat="false" ht="15" hidden="false" customHeight="false" outlineLevel="0" collapsed="false">
      <c r="A51" s="0" t="s">
        <v>108</v>
      </c>
      <c r="B51" s="3" t="n">
        <v>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-1.9</v>
      </c>
      <c r="D5" s="4" t="n">
        <f aca="false">Assumptions!D13</f>
        <v>-16</v>
      </c>
      <c r="E5" s="4" t="n">
        <f aca="false">Assumptions!E13</f>
        <v>0</v>
      </c>
      <c r="F5" s="4" t="n">
        <f aca="false">Assumptions!F13</f>
        <v>0.5</v>
      </c>
      <c r="G5" s="4" t="n">
        <f aca="false">Assumptions!G13</f>
        <v>0.5</v>
      </c>
      <c r="H5" s="4" t="n">
        <f aca="false">Assumptions!H13</f>
        <v>0.5</v>
      </c>
      <c r="I5" s="4" t="n">
        <f aca="false">Assumptions!I13</f>
        <v>0.5</v>
      </c>
      <c r="J5" s="4" t="n">
        <f aca="false">Assumptions!J13</f>
        <v>0</v>
      </c>
      <c r="K5" s="4" t="n">
        <f aca="false">Assumptions!K13</f>
        <v>0</v>
      </c>
      <c r="L5" s="4" t="n">
        <f aca="false">Assumptions!L13</f>
        <v>0</v>
      </c>
    </row>
    <row r="6" customFormat="false" ht="15" hidden="false" customHeight="false" outlineLevel="0" collapsed="false">
      <c r="A6" s="0" t="s">
        <v>37</v>
      </c>
      <c r="B6" s="3" t="n">
        <v>2011351</v>
      </c>
      <c r="C6" s="0" t="n">
        <f aca="false">B6*(1+C5/100)</f>
        <v>1973135.331</v>
      </c>
      <c r="D6" s="0" t="n">
        <f aca="false">C6*(1+D5/100)</f>
        <v>1657433.67804</v>
      </c>
      <c r="E6" s="0" t="n">
        <f aca="false">D6*(1+E5/100)</f>
        <v>1657433.67804</v>
      </c>
      <c r="F6" s="0" t="n">
        <f aca="false">E6*(1+F5/100)</f>
        <v>1665720.8464302</v>
      </c>
      <c r="G6" s="0" t="n">
        <f aca="false">F6*(1+G5/100)</f>
        <v>1674049.45066235</v>
      </c>
      <c r="H6" s="0" t="n">
        <f aca="false">G6*(1+H5/100)</f>
        <v>1682419.69791566</v>
      </c>
      <c r="I6" s="0" t="n">
        <f aca="false">H6*(1+I5/100)</f>
        <v>1690831.79640524</v>
      </c>
      <c r="J6" s="0" t="n">
        <f aca="false">I6*(1+J5/100)</f>
        <v>1690831.79640524</v>
      </c>
      <c r="K6" s="0" t="n">
        <f aca="false">J6*(1+K5/100)</f>
        <v>1690831.79640524</v>
      </c>
      <c r="L6" s="0" t="n">
        <f aca="false">K6*(1+L5/100)</f>
        <v>1690831.79640524</v>
      </c>
    </row>
    <row r="7" customFormat="false" ht="15" hidden="false" customHeight="false" outlineLevel="0" collapsed="false">
      <c r="A7" s="0" t="s">
        <v>99</v>
      </c>
      <c r="C7" s="4" t="n">
        <f aca="false">Assumptions!C14</f>
        <v>80</v>
      </c>
      <c r="D7" s="4" t="n">
        <f aca="false">Assumptions!D14</f>
        <v>68</v>
      </c>
      <c r="E7" s="4" t="n">
        <f aca="false">Assumptions!E14</f>
        <v>68</v>
      </c>
      <c r="F7" s="4" t="n">
        <f aca="false">Assumptions!F14</f>
        <v>68</v>
      </c>
      <c r="G7" s="4" t="n">
        <f aca="false">Assumptions!G14</f>
        <v>68</v>
      </c>
      <c r="H7" s="4" t="n">
        <f aca="false">Assumptions!H14</f>
        <v>67.5</v>
      </c>
      <c r="I7" s="4" t="n">
        <f aca="false">Assumptions!I14</f>
        <v>67</v>
      </c>
      <c r="J7" s="4" t="n">
        <f aca="false">Assumptions!J14</f>
        <v>67</v>
      </c>
      <c r="K7" s="4" t="n">
        <f aca="false">Assumptions!K14</f>
        <v>66.5</v>
      </c>
      <c r="L7" s="4" t="n">
        <f aca="false">Assumptions!L14</f>
        <v>66</v>
      </c>
    </row>
    <row r="8" customFormat="false" ht="15" hidden="false" customHeight="false" outlineLevel="0" collapsed="false">
      <c r="A8" s="0" t="s">
        <v>43</v>
      </c>
      <c r="C8" s="0" t="n">
        <f aca="false">C6*C7/100</f>
        <v>1578508.2648</v>
      </c>
      <c r="D8" s="0" t="n">
        <f aca="false">D6*D7/100</f>
        <v>1127054.9010672</v>
      </c>
      <c r="E8" s="0" t="n">
        <f aca="false">E6*E7/100</f>
        <v>1127054.9010672</v>
      </c>
      <c r="F8" s="0" t="n">
        <f aca="false">F6*F7/100</f>
        <v>1132690.17557254</v>
      </c>
      <c r="G8" s="0" t="n">
        <f aca="false">G6*G7/100</f>
        <v>1138353.6264504</v>
      </c>
      <c r="H8" s="0" t="n">
        <f aca="false">H6*H7/100</f>
        <v>1135633.29609307</v>
      </c>
      <c r="I8" s="0" t="n">
        <f aca="false">I6*I7/100</f>
        <v>1132857.30359151</v>
      </c>
      <c r="J8" s="0" t="n">
        <f aca="false">J6*J7/100</f>
        <v>1132857.30359151</v>
      </c>
      <c r="K8" s="0" t="n">
        <f aca="false">K6*K7/100</f>
        <v>1124403.14460948</v>
      </c>
      <c r="L8" s="0" t="n">
        <f aca="false">L6*L7/100</f>
        <v>1115948.98562746</v>
      </c>
    </row>
    <row r="9" customFormat="false" ht="15" hidden="false" customHeight="false" outlineLevel="0" collapsed="false">
      <c r="A9" s="0" t="s">
        <v>100</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1558776.91149</v>
      </c>
      <c r="D11" s="0" t="n">
        <f aca="false">D8+D10+D24</f>
        <v>1110480.5642868</v>
      </c>
      <c r="E11" s="0" t="n">
        <f aca="false">E8+E10+E24</f>
        <v>1110480.5642868</v>
      </c>
      <c r="F11" s="0" t="n">
        <f aca="false">F8+F10+F24</f>
        <v>1116032.96710823</v>
      </c>
      <c r="G11" s="0" t="n">
        <f aca="false">G8+G10+G24</f>
        <v>1121613.13194377</v>
      </c>
      <c r="H11" s="0" t="n">
        <f aca="false">H8+H10+H24</f>
        <v>1118809.09911392</v>
      </c>
      <c r="I11" s="0" t="n">
        <f aca="false">I8+I10+I24</f>
        <v>1115948.98562746</v>
      </c>
      <c r="J11" s="0" t="n">
        <f aca="false">J8+J10+J24</f>
        <v>1115948.98562746</v>
      </c>
      <c r="K11" s="0" t="n">
        <f aca="false">K8+K10+K24</f>
        <v>1107494.82664543</v>
      </c>
      <c r="L11" s="0" t="n">
        <f aca="false">L8+L10+L24</f>
        <v>1099040.66766341</v>
      </c>
    </row>
    <row r="12" customFormat="false" ht="15" hidden="false" customHeight="false" outlineLevel="0" collapsed="false">
      <c r="A12" s="0" t="s">
        <v>117</v>
      </c>
      <c r="C12" s="4" t="n">
        <f aca="false">-C6*Assumptions!C17/100</f>
        <v>-374895.71289</v>
      </c>
      <c r="D12" s="4" t="n">
        <f aca="false">-D6*Assumptions!D17/100</f>
        <v>-314912.3988276</v>
      </c>
      <c r="E12" s="4" t="n">
        <f aca="false">-E6*Assumptions!E17/100</f>
        <v>-314912.3988276</v>
      </c>
      <c r="F12" s="4" t="n">
        <f aca="false">-F6*Assumptions!F17/100</f>
        <v>-316486.960821738</v>
      </c>
      <c r="G12" s="4" t="n">
        <f aca="false">-G6*Assumptions!G17/100</f>
        <v>-318069.395625847</v>
      </c>
      <c r="H12" s="4" t="n">
        <f aca="false">-H6*Assumptions!H17/100</f>
        <v>-319659.742603976</v>
      </c>
      <c r="I12" s="4" t="n">
        <f aca="false">-I6*Assumptions!I17/100</f>
        <v>-321258.041316996</v>
      </c>
      <c r="J12" s="4" t="n">
        <f aca="false">-J6*Assumptions!J17/100</f>
        <v>-321258.041316996</v>
      </c>
      <c r="K12" s="4" t="n">
        <f aca="false">-K6*Assumptions!K17/100</f>
        <v>-321258.041316996</v>
      </c>
      <c r="L12" s="4" t="n">
        <f aca="false">-L6*Assumptions!L17/100</f>
        <v>-321258.041316996</v>
      </c>
    </row>
    <row r="13" customFormat="false" ht="15" hidden="false" customHeight="false" outlineLevel="0" collapsed="false">
      <c r="A13" s="0" t="s">
        <v>118</v>
      </c>
      <c r="C13" s="0" t="n">
        <f aca="false">C11+C12</f>
        <v>1183881.1986</v>
      </c>
      <c r="D13" s="0" t="n">
        <f aca="false">D11+D12</f>
        <v>795568.1654592</v>
      </c>
      <c r="E13" s="0" t="n">
        <f aca="false">E11+E12</f>
        <v>795568.1654592</v>
      </c>
      <c r="F13" s="0" t="n">
        <f aca="false">F11+F12</f>
        <v>799546.006286496</v>
      </c>
      <c r="G13" s="0" t="n">
        <f aca="false">G11+G12</f>
        <v>803543.736317928</v>
      </c>
      <c r="H13" s="0" t="n">
        <f aca="false">H11+H12</f>
        <v>799149.356509939</v>
      </c>
      <c r="I13" s="0" t="n">
        <f aca="false">I11+I12</f>
        <v>794690.944310463</v>
      </c>
      <c r="J13" s="0" t="n">
        <f aca="false">J11+J12</f>
        <v>794690.944310463</v>
      </c>
      <c r="K13" s="0" t="n">
        <f aca="false">K11+K12</f>
        <v>786236.785328437</v>
      </c>
      <c r="L13" s="0" t="n">
        <f aca="false">L11+L12</f>
        <v>777782.626346411</v>
      </c>
    </row>
    <row r="14" customFormat="false" ht="15" hidden="false" customHeight="false" outlineLevel="0" collapsed="false">
      <c r="A14" s="0" t="s">
        <v>104</v>
      </c>
      <c r="C14" s="4" t="n">
        <f aca="false">Assumptions!C19</f>
        <v>67</v>
      </c>
      <c r="D14" s="4" t="n">
        <f aca="false">Assumptions!D19</f>
        <v>69</v>
      </c>
      <c r="E14" s="4" t="n">
        <f aca="false">Assumptions!E19</f>
        <v>69</v>
      </c>
      <c r="F14" s="4" t="n">
        <f aca="false">Assumptions!F19</f>
        <v>69</v>
      </c>
      <c r="G14" s="4" t="n">
        <f aca="false">Assumptions!G19</f>
        <v>69</v>
      </c>
      <c r="H14" s="4" t="n">
        <f aca="false">Assumptions!H19</f>
        <v>69</v>
      </c>
      <c r="I14" s="4" t="n">
        <f aca="false">Assumptions!I19</f>
        <v>69</v>
      </c>
      <c r="J14" s="4" t="n">
        <f aca="false">Assumptions!J19</f>
        <v>69</v>
      </c>
      <c r="K14" s="4" t="n">
        <f aca="false">Assumptions!K19</f>
        <v>69</v>
      </c>
      <c r="L14" s="4" t="n">
        <f aca="false">Assumptions!L19</f>
        <v>69</v>
      </c>
    </row>
    <row r="15" customFormat="false" ht="15" hidden="false" customHeight="false" outlineLevel="0" collapsed="false">
      <c r="A15" s="0" t="s">
        <v>119</v>
      </c>
      <c r="C15" s="0" t="n">
        <f aca="false">C13-MAX(0,C13)*C14/100</f>
        <v>390680.795538</v>
      </c>
      <c r="D15" s="0" t="n">
        <f aca="false">D13-MAX(0,D13)*D14/100</f>
        <v>246626.131292352</v>
      </c>
      <c r="E15" s="0" t="n">
        <f aca="false">E13-MAX(0,E13)*E14/100</f>
        <v>246626.131292352</v>
      </c>
      <c r="F15" s="0" t="n">
        <f aca="false">F13-MAX(0,F13)*F14/100</f>
        <v>247859.261948814</v>
      </c>
      <c r="G15" s="0" t="n">
        <f aca="false">G13-MAX(0,G13)*G14/100</f>
        <v>249098.558258558</v>
      </c>
      <c r="H15" s="0" t="n">
        <f aca="false">H13-MAX(0,H13)*H14/100</f>
        <v>247736.300518081</v>
      </c>
      <c r="I15" s="0" t="n">
        <f aca="false">I13-MAX(0,I13)*I14/100</f>
        <v>246354.192736244</v>
      </c>
      <c r="J15" s="0" t="n">
        <f aca="false">J13-MAX(0,J13)*J14/100</f>
        <v>246354.192736244</v>
      </c>
      <c r="K15" s="0" t="n">
        <f aca="false">K13-MAX(0,K13)*K14/100</f>
        <v>243733.403451815</v>
      </c>
      <c r="L15" s="0" t="n">
        <f aca="false">L13-MAX(0,L13)*L14/100</f>
        <v>241112.614167387</v>
      </c>
    </row>
    <row r="16" customFormat="false" ht="15" hidden="false" customHeight="false" outlineLevel="0" collapsed="false">
      <c r="A16" s="0" t="s">
        <v>120</v>
      </c>
      <c r="C16" s="0" t="n">
        <f aca="false">-C12</f>
        <v>374895.71289</v>
      </c>
      <c r="D16" s="0" t="n">
        <f aca="false">-D12</f>
        <v>314912.3988276</v>
      </c>
      <c r="E16" s="0" t="n">
        <f aca="false">-E12</f>
        <v>314912.3988276</v>
      </c>
      <c r="F16" s="0" t="n">
        <f aca="false">-F12</f>
        <v>316486.960821738</v>
      </c>
      <c r="G16" s="0" t="n">
        <f aca="false">-G12</f>
        <v>318069.395625847</v>
      </c>
      <c r="H16" s="0" t="n">
        <f aca="false">-H12</f>
        <v>319659.742603976</v>
      </c>
      <c r="I16" s="0" t="n">
        <f aca="false">-I12</f>
        <v>321258.041316996</v>
      </c>
      <c r="J16" s="0" t="n">
        <f aca="false">-J12</f>
        <v>321258.041316996</v>
      </c>
      <c r="K16" s="0" t="n">
        <f aca="false">-K12</f>
        <v>321258.041316996</v>
      </c>
      <c r="L16" s="0" t="n">
        <f aca="false">-L12</f>
        <v>321258.041316996</v>
      </c>
    </row>
    <row r="17" customFormat="false" ht="15" hidden="false" customHeight="false" outlineLevel="0" collapsed="false">
      <c r="A17" s="0" t="s">
        <v>121</v>
      </c>
      <c r="C17" s="4" t="n">
        <f aca="false">-C6*Assumptions!C18/100</f>
        <v>-572209.24599</v>
      </c>
      <c r="D17" s="4" t="n">
        <f aca="false">-D6*Assumptions!D18/100</f>
        <v>-381209.7459492</v>
      </c>
      <c r="E17" s="4" t="n">
        <f aca="false">-E6*Assumptions!E18/100</f>
        <v>-447507.0930708</v>
      </c>
      <c r="F17" s="4" t="n">
        <f aca="false">-F6*Assumptions!F18/100</f>
        <v>-483059.045464758</v>
      </c>
      <c r="G17" s="4" t="n">
        <f aca="false">-G6*Assumptions!G18/100</f>
        <v>-485474.340692082</v>
      </c>
      <c r="H17" s="4" t="n">
        <f aca="false">-H6*Assumptions!H18/100</f>
        <v>-454253.318437229</v>
      </c>
      <c r="I17" s="4" t="n">
        <f aca="false">-I6*Assumptions!I18/100</f>
        <v>-422707.94910131</v>
      </c>
      <c r="J17" s="4" t="n">
        <f aca="false">-J6*Assumptions!J18/100</f>
        <v>-388891.313173205</v>
      </c>
      <c r="K17" s="4" t="n">
        <f aca="false">-K6*Assumptions!K18/100</f>
        <v>-371982.995209153</v>
      </c>
      <c r="L17" s="4" t="n">
        <f aca="false">-L6*Assumptions!L18/100</f>
        <v>-355074.6772451</v>
      </c>
    </row>
    <row r="18" customFormat="false" ht="15" hidden="false" customHeight="false" outlineLevel="0" collapsed="false">
      <c r="A18" s="0" t="s">
        <v>122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193367.262438</v>
      </c>
      <c r="D19" s="0" t="n">
        <f aca="false">D15+D16+D17+D18</f>
        <v>180328.784170752</v>
      </c>
      <c r="E19" s="0" t="n">
        <f aca="false">E15+E16+E17+E18</f>
        <v>114031.437049152</v>
      </c>
      <c r="F19" s="0" t="n">
        <f aca="false">F15+F16+F17+F18</f>
        <v>81287.1773057938</v>
      </c>
      <c r="G19" s="0" t="n">
        <f aca="false">G15+G16+G17+G18</f>
        <v>81693.6131923227</v>
      </c>
      <c r="H19" s="0" t="n">
        <f aca="false">H15+H16+H17+H18</f>
        <v>113142.724684828</v>
      </c>
      <c r="I19" s="0" t="n">
        <f aca="false">I15+I16+I17+I18</f>
        <v>144904.284951929</v>
      </c>
      <c r="J19" s="0" t="n">
        <f aca="false">J15+J16+J17+J18</f>
        <v>178720.920880034</v>
      </c>
      <c r="K19" s="0" t="n">
        <f aca="false">K15+K16+K17+K18</f>
        <v>193008.449559658</v>
      </c>
      <c r="L19" s="0" t="n">
        <f aca="false">L15+L16+L17+L18</f>
        <v>207295.978239282</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179043.761516667</v>
      </c>
      <c r="D21" s="0" t="n">
        <f aca="false">D19*D20</f>
        <v>154602.867087407</v>
      </c>
      <c r="E21" s="0" t="n">
        <f aca="false">E19*E20</f>
        <v>90521.8312194788</v>
      </c>
      <c r="F21" s="0" t="n">
        <f aca="false">F19*F20</f>
        <v>59748.5019693168</v>
      </c>
      <c r="G21" s="0" t="n">
        <f aca="false">G19*G20</f>
        <v>55599.3004436698</v>
      </c>
      <c r="H21" s="0" t="n">
        <f aca="false">H19*H20</f>
        <v>71299.108599176</v>
      </c>
      <c r="I21" s="0" t="n">
        <f aca="false">I19*I20</f>
        <v>84550.258501778</v>
      </c>
      <c r="J21" s="0" t="n">
        <f aca="false">J19*J20</f>
        <v>96557.3525610218</v>
      </c>
      <c r="K21" s="0" t="n">
        <f aca="false">K19*K20</f>
        <v>96552.2775398633</v>
      </c>
      <c r="L21" s="0" t="n">
        <f aca="false">L19*L20</f>
        <v>96018.14722658</v>
      </c>
    </row>
    <row r="23" customFormat="false" ht="15" hidden="false" customHeight="false" outlineLevel="0" collapsed="false">
      <c r="A23" s="0" t="s">
        <v>101</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126</v>
      </c>
      <c r="C24" s="0" t="n">
        <f aca="false">-C6*C23/100</f>
        <v>-19731.35331</v>
      </c>
      <c r="D24" s="0" t="n">
        <f aca="false">-D6*D23/100</f>
        <v>-16574.3367804</v>
      </c>
      <c r="E24" s="0" t="n">
        <f aca="false">-E6*E23/100</f>
        <v>-16574.3367804</v>
      </c>
      <c r="F24" s="0" t="n">
        <f aca="false">-F6*F23/100</f>
        <v>-16657.208464302</v>
      </c>
      <c r="G24" s="0" t="n">
        <f aca="false">-G6*G23/100</f>
        <v>-16740.4945066235</v>
      </c>
      <c r="H24" s="0" t="n">
        <f aca="false">-H6*H23/100</f>
        <v>-16824.1969791566</v>
      </c>
      <c r="I24" s="0" t="n">
        <f aca="false">-I6*I23/100</f>
        <v>-16908.3179640524</v>
      </c>
      <c r="J24" s="0" t="n">
        <f aca="false">-J6*J23/100</f>
        <v>-16908.3179640524</v>
      </c>
      <c r="K24" s="0" t="n">
        <f aca="false">-K6*K23/100</f>
        <v>-16908.3179640524</v>
      </c>
      <c r="L24" s="0" t="n">
        <f aca="false">-L6*L23/100</f>
        <v>-16908.3179640524</v>
      </c>
    </row>
    <row r="26" customFormat="false" ht="15" hidden="false" customHeight="false" outlineLevel="0" collapsed="false">
      <c r="A26" s="2" t="s">
        <v>127</v>
      </c>
    </row>
    <row r="27" customFormat="false" ht="15" hidden="false" customHeight="false" outlineLevel="0" collapsed="false">
      <c r="A27" s="0" t="s">
        <v>105</v>
      </c>
      <c r="B27" s="4" t="n">
        <f aca="false">Assumptions!$B$20</f>
        <v>8</v>
      </c>
    </row>
    <row r="28" customFormat="false" ht="15" hidden="false" customHeight="false" outlineLevel="0" collapsed="false">
      <c r="A28" s="0" t="s">
        <v>106</v>
      </c>
      <c r="B28" s="4" t="n">
        <f aca="false">Assumptions!$B$21</f>
        <v>0</v>
      </c>
    </row>
    <row r="29" customFormat="false" ht="15" hidden="false" customHeight="false" outlineLevel="0" collapsed="false">
      <c r="A29" s="0" t="s">
        <v>107</v>
      </c>
      <c r="B29" s="4" t="n">
        <f aca="false">Assumptions!$B$22</f>
        <v>10</v>
      </c>
    </row>
    <row r="30" customFormat="false" ht="15" hidden="false" customHeight="false" outlineLevel="0" collapsed="false">
      <c r="A30" s="0" t="s">
        <v>128</v>
      </c>
      <c r="B30" s="0" t="n">
        <f aca="false">SUM(C21:L21)</f>
        <v>984493.406664959</v>
      </c>
    </row>
    <row r="31" customFormat="false" ht="15" hidden="false" customHeight="false" outlineLevel="0" collapsed="false">
      <c r="A31" s="0" t="s">
        <v>129</v>
      </c>
      <c r="B31" s="0" t="n">
        <f aca="false">L19</f>
        <v>207295.978239282</v>
      </c>
    </row>
    <row r="32" customFormat="false" ht="15" hidden="false" customHeight="false" outlineLevel="0" collapsed="false">
      <c r="A32" s="0" t="s">
        <v>130</v>
      </c>
      <c r="B32" s="0" t="n">
        <f aca="false">IF(B27&gt;B28,B31*(1+B28/100)/((B27-B28)/100),B31*B29)</f>
        <v>2591199.72799103</v>
      </c>
    </row>
    <row r="33" customFormat="false" ht="15" hidden="false" customHeight="false" outlineLevel="0" collapsed="false">
      <c r="A33" s="0" t="s">
        <v>131</v>
      </c>
      <c r="B33" s="0" t="n">
        <f aca="false">B31*B29</f>
        <v>2072959.78239282</v>
      </c>
    </row>
    <row r="34" customFormat="false" ht="15" hidden="false" customHeight="false" outlineLevel="0" collapsed="false">
      <c r="A34" s="0" t="s">
        <v>132</v>
      </c>
      <c r="B34" s="0" t="n">
        <f aca="false">MAX(0,MIN(B32,B33))</f>
        <v>2072959.78239282</v>
      </c>
    </row>
    <row r="35" customFormat="false" ht="15" hidden="false" customHeight="false" outlineLevel="0" collapsed="false">
      <c r="A35" s="0" t="s">
        <v>133</v>
      </c>
      <c r="B35" s="0" t="n">
        <f aca="false">B34/(1+B27/100)^L4</f>
        <v>960181.4722658</v>
      </c>
    </row>
    <row r="36" customFormat="false" ht="15" hidden="false" customHeight="false" outlineLevel="0" collapsed="false">
      <c r="A36" s="0" t="s">
        <v>134</v>
      </c>
      <c r="B36" s="0" t="n">
        <f aca="false">B30+B35</f>
        <v>1944674.87893076</v>
      </c>
    </row>
    <row r="37" customFormat="false" ht="15" hidden="false" customHeight="false" outlineLevel="0" collapsed="false">
      <c r="A37" s="0" t="s">
        <v>135</v>
      </c>
      <c r="B37" s="0" t="n">
        <f aca="false">B36+Assumptions!$B$5-Assumptions!$B$4</f>
        <v>3077092.87893076</v>
      </c>
    </row>
    <row r="38" customFormat="false" ht="15" hidden="false" customHeight="false" outlineLevel="0" collapsed="false">
      <c r="A38" s="0" t="s">
        <v>136</v>
      </c>
      <c r="B38" s="0" t="n">
        <f aca="false">B37/Assumptions!$B$3*Assumptions!$B$10</f>
        <v>2647.59931762554</v>
      </c>
    </row>
    <row r="39" customFormat="false" ht="15" hidden="false" customHeight="false" outlineLevel="0" collapsed="false">
      <c r="A39" s="0" t="s">
        <v>137</v>
      </c>
      <c r="B39" s="4" t="n">
        <f aca="false">B38/Assumptions!$B$2-1</f>
        <v>-0.314093441029652</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2647.59931762554</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1381973.18826188</v>
      </c>
    </row>
    <row r="47" customFormat="false" ht="15" hidden="false" customHeight="false" outlineLevel="0" collapsed="false">
      <c r="A47" s="0" t="s">
        <v>142</v>
      </c>
      <c r="B47" s="0" t="n">
        <f aca="false">(SUMPRODUCT(C19:L19/(1+B45/100)^C4:L4)+B46/(1+B45/100)^L4+Assumptions!$B$5-Assumptions!$B$4)/Assumptions!$B$3*Assumptions!$B$10</f>
        <v>1900.25096923053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-1.9</v>
      </c>
      <c r="D5" s="4" t="n">
        <f aca="false">Assumptions!D27</f>
        <v>-1</v>
      </c>
      <c r="E5" s="4" t="n">
        <f aca="false">Assumptions!E27</f>
        <v>2</v>
      </c>
      <c r="F5" s="4" t="n">
        <f aca="false">Assumptions!F27</f>
        <v>2</v>
      </c>
      <c r="G5" s="4" t="n">
        <f aca="false">Assumptions!G27</f>
        <v>2</v>
      </c>
      <c r="H5" s="4" t="n">
        <f aca="false">Assumptions!H27</f>
        <v>2</v>
      </c>
      <c r="I5" s="4" t="n">
        <f aca="false">Assumptions!I27</f>
        <v>2</v>
      </c>
      <c r="J5" s="4" t="n">
        <f aca="false">Assumptions!J27</f>
        <v>5</v>
      </c>
      <c r="K5" s="4" t="n">
        <f aca="false">Assumptions!K27</f>
        <v>7</v>
      </c>
      <c r="L5" s="4" t="n">
        <f aca="false">Assumptions!L27</f>
        <v>6</v>
      </c>
    </row>
    <row r="6" customFormat="false" ht="15" hidden="false" customHeight="false" outlineLevel="0" collapsed="false">
      <c r="A6" s="0" t="s">
        <v>37</v>
      </c>
      <c r="B6" s="3" t="n">
        <v>2011351</v>
      </c>
      <c r="C6" s="0" t="n">
        <f aca="false">B6*(1+C5/100)</f>
        <v>1973135.331</v>
      </c>
      <c r="D6" s="0" t="n">
        <f aca="false">C6*(1+D5/100)</f>
        <v>1953403.97769</v>
      </c>
      <c r="E6" s="0" t="n">
        <f aca="false">D6*(1+E5/100)</f>
        <v>1992472.0572438</v>
      </c>
      <c r="F6" s="0" t="n">
        <f aca="false">E6*(1+F5/100)</f>
        <v>2032321.49838868</v>
      </c>
      <c r="G6" s="0" t="n">
        <f aca="false">F6*(1+G5/100)</f>
        <v>2072967.92835645</v>
      </c>
      <c r="H6" s="0" t="n">
        <f aca="false">G6*(1+H5/100)</f>
        <v>2114427.28692358</v>
      </c>
      <c r="I6" s="0" t="n">
        <f aca="false">H6*(1+I5/100)</f>
        <v>2156715.83266205</v>
      </c>
      <c r="J6" s="0" t="n">
        <f aca="false">I6*(1+J5/100)</f>
        <v>2264551.62429515</v>
      </c>
      <c r="K6" s="0" t="n">
        <f aca="false">J6*(1+K5/100)</f>
        <v>2423070.23799581</v>
      </c>
      <c r="L6" s="0" t="n">
        <f aca="false">K6*(1+L5/100)</f>
        <v>2568454.45227556</v>
      </c>
    </row>
    <row r="7" customFormat="false" ht="15" hidden="false" customHeight="false" outlineLevel="0" collapsed="false">
      <c r="A7" s="0" t="s">
        <v>99</v>
      </c>
      <c r="C7" s="4" t="n">
        <f aca="false">Assumptions!C28</f>
        <v>81</v>
      </c>
      <c r="D7" s="4" t="n">
        <f aca="false">Assumptions!D28</f>
        <v>74</v>
      </c>
      <c r="E7" s="4" t="n">
        <f aca="false">Assumptions!E28</f>
        <v>73.5</v>
      </c>
      <c r="F7" s="4" t="n">
        <f aca="false">Assumptions!F28</f>
        <v>73.5</v>
      </c>
      <c r="G7" s="4" t="n">
        <f aca="false">Assumptions!G28</f>
        <v>73.5</v>
      </c>
      <c r="H7" s="4" t="n">
        <f aca="false">Assumptions!H28</f>
        <v>73.5</v>
      </c>
      <c r="I7" s="4" t="n">
        <f aca="false">Assumptions!I28</f>
        <v>73.5</v>
      </c>
      <c r="J7" s="4" t="n">
        <f aca="false">Assumptions!J28</f>
        <v>73</v>
      </c>
      <c r="K7" s="4" t="n">
        <f aca="false">Assumptions!K28</f>
        <v>73</v>
      </c>
      <c r="L7" s="4" t="n">
        <f aca="false">Assumptions!L28</f>
        <v>73</v>
      </c>
    </row>
    <row r="8" customFormat="false" ht="15" hidden="false" customHeight="false" outlineLevel="0" collapsed="false">
      <c r="A8" s="0" t="s">
        <v>43</v>
      </c>
      <c r="C8" s="0" t="n">
        <f aca="false">C6*C7/100</f>
        <v>1598239.61811</v>
      </c>
      <c r="D8" s="0" t="n">
        <f aca="false">D6*D7/100</f>
        <v>1445518.9434906</v>
      </c>
      <c r="E8" s="0" t="n">
        <f aca="false">E6*E7/100</f>
        <v>1464466.96207419</v>
      </c>
      <c r="F8" s="0" t="n">
        <f aca="false">F6*F7/100</f>
        <v>1493756.30131568</v>
      </c>
      <c r="G8" s="0" t="n">
        <f aca="false">G6*G7/100</f>
        <v>1523631.42734199</v>
      </c>
      <c r="H8" s="0" t="n">
        <f aca="false">H6*H7/100</f>
        <v>1554104.05588883</v>
      </c>
      <c r="I8" s="0" t="n">
        <f aca="false">I6*I7/100</f>
        <v>1585186.13700661</v>
      </c>
      <c r="J8" s="0" t="n">
        <f aca="false">J6*J7/100</f>
        <v>1653122.68573546</v>
      </c>
      <c r="K8" s="0" t="n">
        <f aca="false">K6*K7/100</f>
        <v>1768841.27373694</v>
      </c>
      <c r="L8" s="0" t="n">
        <f aca="false">L6*L7/100</f>
        <v>1874971.75016116</v>
      </c>
    </row>
    <row r="9" customFormat="false" ht="15" hidden="false" customHeight="false" outlineLevel="0" collapsed="false">
      <c r="A9" s="0" t="s">
        <v>100</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1578508.2648</v>
      </c>
      <c r="D11" s="0" t="n">
        <f aca="false">D8+D10+D24</f>
        <v>1425984.9037137</v>
      </c>
      <c r="E11" s="0" t="n">
        <f aca="false">E8+E10+E24</f>
        <v>1444542.24150176</v>
      </c>
      <c r="F11" s="0" t="n">
        <f aca="false">F8+F10+F24</f>
        <v>1473433.08633179</v>
      </c>
      <c r="G11" s="0" t="n">
        <f aca="false">G8+G10+G24</f>
        <v>1502901.74805843</v>
      </c>
      <c r="H11" s="0" t="n">
        <f aca="false">H8+H10+H24</f>
        <v>1532959.78301959</v>
      </c>
      <c r="I11" s="0" t="n">
        <f aca="false">I8+I10+I24</f>
        <v>1563618.97867999</v>
      </c>
      <c r="J11" s="0" t="n">
        <f aca="false">J8+J10+J24</f>
        <v>1630477.16949251</v>
      </c>
      <c r="K11" s="0" t="n">
        <f aca="false">K8+K10+K24</f>
        <v>1744610.57135699</v>
      </c>
      <c r="L11" s="0" t="n">
        <f aca="false">L8+L10+L24</f>
        <v>1849287.20563841</v>
      </c>
    </row>
    <row r="12" customFormat="false" ht="15" hidden="false" customHeight="false" outlineLevel="0" collapsed="false">
      <c r="A12" s="0" t="s">
        <v>117</v>
      </c>
      <c r="C12" s="4" t="n">
        <f aca="false">-C6*Assumptions!C31/100</f>
        <v>-374895.71289</v>
      </c>
      <c r="D12" s="4" t="n">
        <f aca="false">-D6*Assumptions!D31/100</f>
        <v>-341845.69609575</v>
      </c>
      <c r="E12" s="4" t="n">
        <f aca="false">-E6*Assumptions!E31/100</f>
        <v>-348682.610017665</v>
      </c>
      <c r="F12" s="4" t="n">
        <f aca="false">-F6*Assumptions!F31/100</f>
        <v>-355656.262218018</v>
      </c>
      <c r="G12" s="4" t="n">
        <f aca="false">-G6*Assumptions!G31/100</f>
        <v>-362769.387462379</v>
      </c>
      <c r="H12" s="4" t="n">
        <f aca="false">-H6*Assumptions!H31/100</f>
        <v>-370024.775211626</v>
      </c>
      <c r="I12" s="4" t="n">
        <f aca="false">-I6*Assumptions!I31/100</f>
        <v>-377425.270715859</v>
      </c>
      <c r="J12" s="4" t="n">
        <f aca="false">-J6*Assumptions!J31/100</f>
        <v>-396296.534251652</v>
      </c>
      <c r="K12" s="4" t="n">
        <f aca="false">-K6*Assumptions!K31/100</f>
        <v>-436152.642839247</v>
      </c>
      <c r="L12" s="4" t="n">
        <f aca="false">-L6*Assumptions!L31/100</f>
        <v>-462321.801409601</v>
      </c>
    </row>
    <row r="13" customFormat="false" ht="15" hidden="false" customHeight="false" outlineLevel="0" collapsed="false">
      <c r="A13" s="0" t="s">
        <v>118</v>
      </c>
      <c r="C13" s="0" t="n">
        <f aca="false">C11+C12</f>
        <v>1203612.55191</v>
      </c>
      <c r="D13" s="0" t="n">
        <f aca="false">D11+D12</f>
        <v>1084139.20761795</v>
      </c>
      <c r="E13" s="0" t="n">
        <f aca="false">E11+E12</f>
        <v>1095859.63148409</v>
      </c>
      <c r="F13" s="0" t="n">
        <f aca="false">F11+F12</f>
        <v>1117776.82411377</v>
      </c>
      <c r="G13" s="0" t="n">
        <f aca="false">G11+G12</f>
        <v>1140132.36059605</v>
      </c>
      <c r="H13" s="0" t="n">
        <f aca="false">H11+H12</f>
        <v>1162935.00780797</v>
      </c>
      <c r="I13" s="0" t="n">
        <f aca="false">I11+I12</f>
        <v>1186193.70796413</v>
      </c>
      <c r="J13" s="0" t="n">
        <f aca="false">J11+J12</f>
        <v>1234180.63524086</v>
      </c>
      <c r="K13" s="0" t="n">
        <f aca="false">K11+K12</f>
        <v>1308457.92851774</v>
      </c>
      <c r="L13" s="0" t="n">
        <f aca="false">L11+L12</f>
        <v>1386965.4042288</v>
      </c>
    </row>
    <row r="14" customFormat="false" ht="15" hidden="false" customHeight="false" outlineLevel="0" collapsed="false">
      <c r="A14" s="0" t="s">
        <v>104</v>
      </c>
      <c r="C14" s="4" t="n">
        <f aca="false">Assumptions!C33</f>
        <v>67</v>
      </c>
      <c r="D14" s="4" t="n">
        <f aca="false">Assumptions!D33</f>
        <v>69</v>
      </c>
      <c r="E14" s="4" t="n">
        <f aca="false">Assumptions!E33</f>
        <v>69</v>
      </c>
      <c r="F14" s="4" t="n">
        <f aca="false">Assumptions!F33</f>
        <v>69</v>
      </c>
      <c r="G14" s="4" t="n">
        <f aca="false">Assumptions!G33</f>
        <v>69</v>
      </c>
      <c r="H14" s="4" t="n">
        <f aca="false">Assumptions!H33</f>
        <v>69</v>
      </c>
      <c r="I14" s="4" t="n">
        <f aca="false">Assumptions!I33</f>
        <v>69</v>
      </c>
      <c r="J14" s="4" t="n">
        <f aca="false">Assumptions!J33</f>
        <v>69</v>
      </c>
      <c r="K14" s="4" t="n">
        <f aca="false">Assumptions!K33</f>
        <v>69</v>
      </c>
      <c r="L14" s="4" t="n">
        <f aca="false">Assumptions!L33</f>
        <v>69</v>
      </c>
    </row>
    <row r="15" customFormat="false" ht="15" hidden="false" customHeight="false" outlineLevel="0" collapsed="false">
      <c r="A15" s="0" t="s">
        <v>119</v>
      </c>
      <c r="C15" s="0" t="n">
        <f aca="false">C13-MAX(0,C13)*C14/100</f>
        <v>397192.1421303</v>
      </c>
      <c r="D15" s="0" t="n">
        <f aca="false">D13-MAX(0,D13)*D14/100</f>
        <v>336083.154361564</v>
      </c>
      <c r="E15" s="0" t="n">
        <f aca="false">E13-MAX(0,E13)*E14/100</f>
        <v>339716.485760068</v>
      </c>
      <c r="F15" s="0" t="n">
        <f aca="false">F13-MAX(0,F13)*F14/100</f>
        <v>346510.815475269</v>
      </c>
      <c r="G15" s="0" t="n">
        <f aca="false">G13-MAX(0,G13)*G14/100</f>
        <v>353441.031784775</v>
      </c>
      <c r="H15" s="0" t="n">
        <f aca="false">H13-MAX(0,H13)*H14/100</f>
        <v>360509.85242047</v>
      </c>
      <c r="I15" s="0" t="n">
        <f aca="false">I13-MAX(0,I13)*I14/100</f>
        <v>367720.04946888</v>
      </c>
      <c r="J15" s="0" t="n">
        <f aca="false">J13-MAX(0,J13)*J14/100</f>
        <v>382595.996924666</v>
      </c>
      <c r="K15" s="0" t="n">
        <f aca="false">K13-MAX(0,K13)*K14/100</f>
        <v>405621.957840499</v>
      </c>
      <c r="L15" s="0" t="n">
        <f aca="false">L13-MAX(0,L13)*L14/100</f>
        <v>429959.275310929</v>
      </c>
    </row>
    <row r="16" customFormat="false" ht="15" hidden="false" customHeight="false" outlineLevel="0" collapsed="false">
      <c r="A16" s="0" t="s">
        <v>120</v>
      </c>
      <c r="C16" s="0" t="n">
        <f aca="false">-C12</f>
        <v>374895.71289</v>
      </c>
      <c r="D16" s="0" t="n">
        <f aca="false">-D12</f>
        <v>341845.69609575</v>
      </c>
      <c r="E16" s="0" t="n">
        <f aca="false">-E12</f>
        <v>348682.610017665</v>
      </c>
      <c r="F16" s="0" t="n">
        <f aca="false">-F12</f>
        <v>355656.262218018</v>
      </c>
      <c r="G16" s="0" t="n">
        <f aca="false">-G12</f>
        <v>362769.387462379</v>
      </c>
      <c r="H16" s="0" t="n">
        <f aca="false">-H12</f>
        <v>370024.775211626</v>
      </c>
      <c r="I16" s="0" t="n">
        <f aca="false">-I12</f>
        <v>377425.270715859</v>
      </c>
      <c r="J16" s="0" t="n">
        <f aca="false">-J12</f>
        <v>396296.534251652</v>
      </c>
      <c r="K16" s="0" t="n">
        <f aca="false">-K12</f>
        <v>436152.642839247</v>
      </c>
      <c r="L16" s="0" t="n">
        <f aca="false">-L12</f>
        <v>462321.801409601</v>
      </c>
    </row>
    <row r="17" customFormat="false" ht="15" hidden="false" customHeight="false" outlineLevel="0" collapsed="false">
      <c r="A17" s="0" t="s">
        <v>121</v>
      </c>
      <c r="C17" s="4" t="n">
        <f aca="false">-C6*Assumptions!C32/100</f>
        <v>-572209.24599</v>
      </c>
      <c r="D17" s="4" t="n">
        <f aca="false">-D6*Assumptions!D32/100</f>
        <v>-468816.9546456</v>
      </c>
      <c r="E17" s="4" t="n">
        <f aca="false">-E6*Assumptions!E32/100</f>
        <v>-637591.058318016</v>
      </c>
      <c r="F17" s="4" t="n">
        <f aca="false">-F6*Assumptions!F32/100</f>
        <v>-690989.30945215</v>
      </c>
      <c r="G17" s="4" t="n">
        <f aca="false">-G6*Assumptions!G32/100</f>
        <v>-704809.095641193</v>
      </c>
      <c r="H17" s="4" t="n">
        <f aca="false">-H6*Assumptions!H32/100</f>
        <v>-676616.731815545</v>
      </c>
      <c r="I17" s="4" t="n">
        <f aca="false">-I6*Assumptions!I32/100</f>
        <v>-603880.433145374</v>
      </c>
      <c r="J17" s="4" t="n">
        <f aca="false">-J6*Assumptions!J32/100</f>
        <v>-543492.389830837</v>
      </c>
      <c r="K17" s="4" t="n">
        <f aca="false">-K6*Assumptions!K32/100</f>
        <v>-533075.452359079</v>
      </c>
      <c r="L17" s="4" t="n">
        <f aca="false">-L6*Assumptions!L32/100</f>
        <v>-513690.890455113</v>
      </c>
    </row>
    <row r="18" customFormat="false" ht="15" hidden="false" customHeight="false" outlineLevel="0" collapsed="false">
      <c r="A18" s="0" t="s">
        <v>122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123</v>
      </c>
      <c r="C19" s="0" t="n">
        <f aca="false">C15+C16+C17+C18</f>
        <v>199878.6090303</v>
      </c>
      <c r="D19" s="0" t="n">
        <f aca="false">D15+D16+D17+D18</f>
        <v>209111.895811714</v>
      </c>
      <c r="E19" s="0" t="n">
        <f aca="false">E15+E16+E17+E18</f>
        <v>50808.0374597168</v>
      </c>
      <c r="F19" s="0" t="n">
        <f aca="false">F15+F16+F17+F18</f>
        <v>11177.7682411376</v>
      </c>
      <c r="G19" s="0" t="n">
        <f aca="false">G15+G16+G17+G18</f>
        <v>11401.3236059607</v>
      </c>
      <c r="H19" s="0" t="n">
        <f aca="false">H15+H16+H17+H18</f>
        <v>53917.8958165513</v>
      </c>
      <c r="I19" s="0" t="n">
        <f aca="false">I15+I16+I17+I18</f>
        <v>141264.887039364</v>
      </c>
      <c r="J19" s="0" t="n">
        <f aca="false">J15+J16+J17+J18</f>
        <v>235400.141345481</v>
      </c>
      <c r="K19" s="0" t="n">
        <f aca="false">K15+K16+K17+K18</f>
        <v>308699.148320667</v>
      </c>
      <c r="L19" s="0" t="n">
        <f aca="false">L15+L16+L17+L18</f>
        <v>378590.186265418</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185072.786139167</v>
      </c>
      <c r="D21" s="0" t="n">
        <f aca="false">D19*D20</f>
        <v>179279.746066285</v>
      </c>
      <c r="E21" s="0" t="n">
        <f aca="false">E19*E20</f>
        <v>40333.0582384837</v>
      </c>
      <c r="F21" s="0" t="n">
        <f aca="false">F19*F20</f>
        <v>8215.99334487625</v>
      </c>
      <c r="G21" s="0" t="n">
        <f aca="false">G19*G20</f>
        <v>7759.54927016113</v>
      </c>
      <c r="H21" s="0" t="n">
        <f aca="false">H19*H20</f>
        <v>33977.4202890382</v>
      </c>
      <c r="I21" s="0" t="n">
        <f aca="false">I19*I20</f>
        <v>82426.7047752593</v>
      </c>
      <c r="J21" s="0" t="n">
        <f aca="false">J19*J20</f>
        <v>127179.37177633</v>
      </c>
      <c r="K21" s="0" t="n">
        <f aca="false">K19*K20</f>
        <v>154426.430101775</v>
      </c>
      <c r="L21" s="0" t="n">
        <f aca="false">L19*L20</f>
        <v>175360.508930909</v>
      </c>
    </row>
    <row r="23" customFormat="false" ht="15" hidden="false" customHeight="false" outlineLevel="0" collapsed="false">
      <c r="A23" s="0" t="s">
        <v>101</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126</v>
      </c>
      <c r="C24" s="0" t="n">
        <f aca="false">-C6*C23/100</f>
        <v>-19731.35331</v>
      </c>
      <c r="D24" s="0" t="n">
        <f aca="false">-D6*D23/100</f>
        <v>-19534.0397769</v>
      </c>
      <c r="E24" s="0" t="n">
        <f aca="false">-E6*E23/100</f>
        <v>-19924.720572438</v>
      </c>
      <c r="F24" s="0" t="n">
        <f aca="false">-F6*F23/100</f>
        <v>-20323.2149838868</v>
      </c>
      <c r="G24" s="0" t="n">
        <f aca="false">-G6*G23/100</f>
        <v>-20729.6792835645</v>
      </c>
      <c r="H24" s="0" t="n">
        <f aca="false">-H6*H23/100</f>
        <v>-21144.2728692358</v>
      </c>
      <c r="I24" s="0" t="n">
        <f aca="false">-I6*I23/100</f>
        <v>-21567.1583266205</v>
      </c>
      <c r="J24" s="0" t="n">
        <f aca="false">-J6*J23/100</f>
        <v>-22645.5162429515</v>
      </c>
      <c r="K24" s="0" t="n">
        <f aca="false">-K6*K23/100</f>
        <v>-24230.7023799581</v>
      </c>
      <c r="L24" s="0" t="n">
        <f aca="false">-L6*L23/100</f>
        <v>-25684.5445227556</v>
      </c>
    </row>
    <row r="26" customFormat="false" ht="15" hidden="false" customHeight="false" outlineLevel="0" collapsed="false">
      <c r="A26" s="2" t="s">
        <v>127</v>
      </c>
    </row>
    <row r="27" customFormat="false" ht="15" hidden="false" customHeight="false" outlineLevel="0" collapsed="false">
      <c r="A27" s="0" t="s">
        <v>105</v>
      </c>
      <c r="B27" s="4" t="n">
        <f aca="false">Assumptions!$B$34</f>
        <v>8</v>
      </c>
    </row>
    <row r="28" customFormat="false" ht="15" hidden="false" customHeight="false" outlineLevel="0" collapsed="false">
      <c r="A28" s="0" t="s">
        <v>106</v>
      </c>
      <c r="B28" s="4" t="n">
        <f aca="false">Assumptions!$B$35</f>
        <v>1</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994031.568932284</v>
      </c>
    </row>
    <row r="31" customFormat="false" ht="15" hidden="false" customHeight="false" outlineLevel="0" collapsed="false">
      <c r="A31" s="0" t="s">
        <v>129</v>
      </c>
      <c r="B31" s="0" t="n">
        <f aca="false">L19</f>
        <v>378590.186265418</v>
      </c>
    </row>
    <row r="32" customFormat="false" ht="15" hidden="false" customHeight="false" outlineLevel="0" collapsed="false">
      <c r="A32" s="0" t="s">
        <v>130</v>
      </c>
      <c r="B32" s="0" t="n">
        <f aca="false">IF(B27&gt;B28,B31*(1+B28/100)/((B27-B28)/100),B31*B29)</f>
        <v>5462515.54468674</v>
      </c>
    </row>
    <row r="33" customFormat="false" ht="15" hidden="false" customHeight="false" outlineLevel="0" collapsed="false">
      <c r="A33" s="0" t="s">
        <v>131</v>
      </c>
      <c r="B33" s="0" t="n">
        <f aca="false">B31*B29</f>
        <v>4543082.23518501</v>
      </c>
    </row>
    <row r="34" customFormat="false" ht="15" hidden="false" customHeight="false" outlineLevel="0" collapsed="false">
      <c r="A34" s="0" t="s">
        <v>132</v>
      </c>
      <c r="B34" s="0" t="n">
        <f aca="false">MAX(0,MIN(B32,B33))</f>
        <v>4543082.23518501</v>
      </c>
    </row>
    <row r="35" customFormat="false" ht="15" hidden="false" customHeight="false" outlineLevel="0" collapsed="false">
      <c r="A35" s="0" t="s">
        <v>133</v>
      </c>
      <c r="B35" s="0" t="n">
        <f aca="false">B34/(1+B27/100)^L4</f>
        <v>2104326.10717091</v>
      </c>
    </row>
    <row r="36" customFormat="false" ht="15" hidden="false" customHeight="false" outlineLevel="0" collapsed="false">
      <c r="A36" s="0" t="s">
        <v>134</v>
      </c>
      <c r="B36" s="0" t="n">
        <f aca="false">B30+B35</f>
        <v>3098357.67610319</v>
      </c>
    </row>
    <row r="37" customFormat="false" ht="15" hidden="false" customHeight="false" outlineLevel="0" collapsed="false">
      <c r="A37" s="0" t="s">
        <v>135</v>
      </c>
      <c r="B37" s="0" t="n">
        <f aca="false">B36+Assumptions!$B$5-Assumptions!$B$4</f>
        <v>4230775.67610319</v>
      </c>
    </row>
    <row r="38" customFormat="false" ht="15" hidden="false" customHeight="false" outlineLevel="0" collapsed="false">
      <c r="A38" s="0" t="s">
        <v>136</v>
      </c>
      <c r="B38" s="0" t="n">
        <f aca="false">B37/Assumptions!$B$3*Assumptions!$B$10</f>
        <v>3640.25371797353</v>
      </c>
    </row>
    <row r="39" customFormat="false" ht="15" hidden="false" customHeight="false" outlineLevel="0" collapsed="false">
      <c r="A39" s="0" t="s">
        <v>137</v>
      </c>
      <c r="B39" s="4" t="n">
        <f aca="false">B38/Assumptions!$B$2-1</f>
        <v>-0.0569290886078943</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3640.25371797353</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2731257.77234337</v>
      </c>
    </row>
    <row r="47" customFormat="false" ht="15" hidden="false" customHeight="false" outlineLevel="0" collapsed="false">
      <c r="A47" s="0" t="s">
        <v>142</v>
      </c>
      <c r="B47" s="0" t="n">
        <f aca="false">(SUMPRODUCT(C19:L19/(1+B45/100)^C4:L4)+B46/(1+B45/100)^L4+Assumptions!$B$5-Assumptions!$B$4)/Assumptions!$B$3*Assumptions!$B$10</f>
        <v>2167.9532869218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-1.9</v>
      </c>
      <c r="D5" s="4" t="n">
        <f aca="false">Assumptions!D41</f>
        <v>6</v>
      </c>
      <c r="E5" s="4" t="n">
        <f aca="false">Assumptions!E41</f>
        <v>3</v>
      </c>
      <c r="F5" s="4" t="n">
        <f aca="false">Assumptions!F41</f>
        <v>3</v>
      </c>
      <c r="G5" s="4" t="n">
        <f aca="false">Assumptions!G41</f>
        <v>3</v>
      </c>
      <c r="H5" s="4" t="n">
        <f aca="false">Assumptions!H41</f>
        <v>3</v>
      </c>
      <c r="I5" s="4" t="n">
        <f aca="false">Assumptions!I41</f>
        <v>4</v>
      </c>
      <c r="J5" s="4" t="n">
        <f aca="false">Assumptions!J41</f>
        <v>8</v>
      </c>
      <c r="K5" s="4" t="n">
        <f aca="false">Assumptions!K41</f>
        <v>10</v>
      </c>
      <c r="L5" s="4" t="n">
        <f aca="false">Assumptions!L41</f>
        <v>8</v>
      </c>
    </row>
    <row r="6" customFormat="false" ht="15" hidden="false" customHeight="false" outlineLevel="0" collapsed="false">
      <c r="A6" s="0" t="s">
        <v>37</v>
      </c>
      <c r="B6" s="3" t="n">
        <v>2011351</v>
      </c>
      <c r="C6" s="0" t="n">
        <f aca="false">B6*(1+C5/100)</f>
        <v>1973135.331</v>
      </c>
      <c r="D6" s="0" t="n">
        <f aca="false">C6*(1+D5/100)</f>
        <v>2091523.45086</v>
      </c>
      <c r="E6" s="0" t="n">
        <f aca="false">D6*(1+E5/100)</f>
        <v>2154269.1543858</v>
      </c>
      <c r="F6" s="0" t="n">
        <f aca="false">E6*(1+F5/100)</f>
        <v>2218897.22901737</v>
      </c>
      <c r="G6" s="0" t="n">
        <f aca="false">F6*(1+G5/100)</f>
        <v>2285464.1458879</v>
      </c>
      <c r="H6" s="0" t="n">
        <f aca="false">G6*(1+H5/100)</f>
        <v>2354028.07026453</v>
      </c>
      <c r="I6" s="0" t="n">
        <f aca="false">H6*(1+I5/100)</f>
        <v>2448189.19307511</v>
      </c>
      <c r="J6" s="0" t="n">
        <f aca="false">I6*(1+J5/100)</f>
        <v>2644044.32852112</v>
      </c>
      <c r="K6" s="0" t="n">
        <f aca="false">J6*(1+K5/100)</f>
        <v>2908448.76137324</v>
      </c>
      <c r="L6" s="0" t="n">
        <f aca="false">K6*(1+L5/100)</f>
        <v>3141124.6622831</v>
      </c>
    </row>
    <row r="7" customFormat="false" ht="15" hidden="false" customHeight="false" outlineLevel="0" collapsed="false">
      <c r="A7" s="0" t="s">
        <v>99</v>
      </c>
      <c r="C7" s="4" t="n">
        <f aca="false">Assumptions!C42</f>
        <v>81</v>
      </c>
      <c r="D7" s="4" t="n">
        <f aca="false">Assumptions!D42</f>
        <v>76</v>
      </c>
      <c r="E7" s="4" t="n">
        <f aca="false">Assumptions!E42</f>
        <v>76</v>
      </c>
      <c r="F7" s="4" t="n">
        <f aca="false">Assumptions!F42</f>
        <v>76</v>
      </c>
      <c r="G7" s="4" t="n">
        <f aca="false">Assumptions!G42</f>
        <v>76</v>
      </c>
      <c r="H7" s="4" t="n">
        <f aca="false">Assumptions!H42</f>
        <v>76</v>
      </c>
      <c r="I7" s="4" t="n">
        <f aca="false">Assumptions!I42</f>
        <v>76</v>
      </c>
      <c r="J7" s="4" t="n">
        <f aca="false">Assumptions!J42</f>
        <v>75.5</v>
      </c>
      <c r="K7" s="4" t="n">
        <f aca="false">Assumptions!K42</f>
        <v>75.5</v>
      </c>
      <c r="L7" s="4" t="n">
        <f aca="false">Assumptions!L42</f>
        <v>75.5</v>
      </c>
    </row>
    <row r="8" customFormat="false" ht="15" hidden="false" customHeight="false" outlineLevel="0" collapsed="false">
      <c r="A8" s="0" t="s">
        <v>43</v>
      </c>
      <c r="C8" s="0" t="n">
        <f aca="false">C6*C7/100</f>
        <v>1598239.61811</v>
      </c>
      <c r="D8" s="0" t="n">
        <f aca="false">D6*D7/100</f>
        <v>1589557.8226536</v>
      </c>
      <c r="E8" s="0" t="n">
        <f aca="false">E6*E7/100</f>
        <v>1637244.55733321</v>
      </c>
      <c r="F8" s="0" t="n">
        <f aca="false">F6*F7/100</f>
        <v>1686361.8940532</v>
      </c>
      <c r="G8" s="0" t="n">
        <f aca="false">G6*G7/100</f>
        <v>1736952.7508748</v>
      </c>
      <c r="H8" s="0" t="n">
        <f aca="false">H6*H7/100</f>
        <v>1789061.33340104</v>
      </c>
      <c r="I8" s="0" t="n">
        <f aca="false">I6*I7/100</f>
        <v>1860623.78673709</v>
      </c>
      <c r="J8" s="0" t="n">
        <f aca="false">J6*J7/100</f>
        <v>1996253.46803345</v>
      </c>
      <c r="K8" s="0" t="n">
        <f aca="false">K6*K7/100</f>
        <v>2195878.81483679</v>
      </c>
      <c r="L8" s="0" t="n">
        <f aca="false">L6*L7/100</f>
        <v>2371549.12002374</v>
      </c>
    </row>
    <row r="9" customFormat="false" ht="15" hidden="false" customHeight="false" outlineLevel="0" collapsed="false">
      <c r="A9" s="0" t="s">
        <v>100</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115</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116</v>
      </c>
      <c r="C11" s="0" t="n">
        <f aca="false">C8+C10+C24</f>
        <v>1578508.2648</v>
      </c>
      <c r="D11" s="0" t="n">
        <f aca="false">D8+D10+D24</f>
        <v>1568642.588145</v>
      </c>
      <c r="E11" s="0" t="n">
        <f aca="false">E8+E10+E24</f>
        <v>1615701.86578935</v>
      </c>
      <c r="F11" s="0" t="n">
        <f aca="false">F8+F10+F24</f>
        <v>1664172.92176303</v>
      </c>
      <c r="G11" s="0" t="n">
        <f aca="false">G8+G10+G24</f>
        <v>1714098.10941592</v>
      </c>
      <c r="H11" s="0" t="n">
        <f aca="false">H8+H10+H24</f>
        <v>1765521.0526984</v>
      </c>
      <c r="I11" s="0" t="n">
        <f aca="false">I8+I10+I24</f>
        <v>1836141.89480634</v>
      </c>
      <c r="J11" s="0" t="n">
        <f aca="false">J8+J10+J24</f>
        <v>1969813.02474824</v>
      </c>
      <c r="K11" s="0" t="n">
        <f aca="false">K8+K10+K24</f>
        <v>2166794.32722306</v>
      </c>
      <c r="L11" s="0" t="n">
        <f aca="false">L8+L10+L24</f>
        <v>2340137.87340091</v>
      </c>
    </row>
    <row r="12" customFormat="false" ht="15" hidden="false" customHeight="false" outlineLevel="0" collapsed="false">
      <c r="A12" s="0" t="s">
        <v>117</v>
      </c>
      <c r="C12" s="4" t="n">
        <f aca="false">-C6*Assumptions!C45/100</f>
        <v>-374895.71289</v>
      </c>
      <c r="D12" s="4" t="n">
        <f aca="false">-D6*Assumptions!D45/100</f>
        <v>-355558.9866462</v>
      </c>
      <c r="E12" s="4" t="n">
        <f aca="false">-E6*Assumptions!E45/100</f>
        <v>-366225.756245586</v>
      </c>
      <c r="F12" s="4" t="n">
        <f aca="false">-F6*Assumptions!F45/100</f>
        <v>-377212.528932954</v>
      </c>
      <c r="G12" s="4" t="n">
        <f aca="false">-G6*Assumptions!G45/100</f>
        <v>-388528.904800942</v>
      </c>
      <c r="H12" s="4" t="n">
        <f aca="false">-H6*Assumptions!H45/100</f>
        <v>-400184.771944971</v>
      </c>
      <c r="I12" s="4" t="n">
        <f aca="false">-I6*Assumptions!I45/100</f>
        <v>-416192.162822769</v>
      </c>
      <c r="J12" s="4" t="n">
        <f aca="false">-J6*Assumptions!J45/100</f>
        <v>-449487.535848591</v>
      </c>
      <c r="K12" s="4" t="n">
        <f aca="false">-K6*Assumptions!K45/100</f>
        <v>-508978.533240316</v>
      </c>
      <c r="L12" s="4" t="n">
        <f aca="false">-L6*Assumptions!L45/100</f>
        <v>-549696.815899542</v>
      </c>
    </row>
    <row r="13" customFormat="false" ht="15" hidden="false" customHeight="false" outlineLevel="0" collapsed="false">
      <c r="A13" s="0" t="s">
        <v>118</v>
      </c>
      <c r="C13" s="0" t="n">
        <f aca="false">C11+C12</f>
        <v>1203612.55191</v>
      </c>
      <c r="D13" s="0" t="n">
        <f aca="false">D11+D12</f>
        <v>1213083.6014988</v>
      </c>
      <c r="E13" s="0" t="n">
        <f aca="false">E11+E12</f>
        <v>1249476.10954376</v>
      </c>
      <c r="F13" s="0" t="n">
        <f aca="false">F11+F12</f>
        <v>1286960.39283008</v>
      </c>
      <c r="G13" s="0" t="n">
        <f aca="false">G11+G12</f>
        <v>1325569.20461498</v>
      </c>
      <c r="H13" s="0" t="n">
        <f aca="false">H11+H12</f>
        <v>1365336.28075343</v>
      </c>
      <c r="I13" s="0" t="n">
        <f aca="false">I11+I12</f>
        <v>1419949.73198357</v>
      </c>
      <c r="J13" s="0" t="n">
        <f aca="false">J11+J12</f>
        <v>1520325.48889965</v>
      </c>
      <c r="K13" s="0" t="n">
        <f aca="false">K11+K12</f>
        <v>1657815.79398274</v>
      </c>
      <c r="L13" s="0" t="n">
        <f aca="false">L11+L12</f>
        <v>1790441.05750136</v>
      </c>
    </row>
    <row r="14" customFormat="false" ht="15" hidden="false" customHeight="false" outlineLevel="0" collapsed="false">
      <c r="A14" s="0" t="s">
        <v>104</v>
      </c>
      <c r="C14" s="4" t="n">
        <f aca="false">Assumptions!C47</f>
        <v>67</v>
      </c>
      <c r="D14" s="4" t="n">
        <f aca="false">Assumptions!D47</f>
        <v>69</v>
      </c>
      <c r="E14" s="4" t="n">
        <f aca="false">Assumptions!E47</f>
        <v>69</v>
      </c>
      <c r="F14" s="4" t="n">
        <f aca="false">Assumptions!F47</f>
        <v>69</v>
      </c>
      <c r="G14" s="4" t="n">
        <f aca="false">Assumptions!G47</f>
        <v>69</v>
      </c>
      <c r="H14" s="4" t="n">
        <f aca="false">Assumptions!H47</f>
        <v>69</v>
      </c>
      <c r="I14" s="4" t="n">
        <f aca="false">Assumptions!I47</f>
        <v>69</v>
      </c>
      <c r="J14" s="4" t="n">
        <f aca="false">Assumptions!J47</f>
        <v>69</v>
      </c>
      <c r="K14" s="4" t="n">
        <f aca="false">Assumptions!K47</f>
        <v>69</v>
      </c>
      <c r="L14" s="4" t="n">
        <f aca="false">Assumptions!L47</f>
        <v>69</v>
      </c>
    </row>
    <row r="15" customFormat="false" ht="15" hidden="false" customHeight="false" outlineLevel="0" collapsed="false">
      <c r="A15" s="0" t="s">
        <v>119</v>
      </c>
      <c r="C15" s="0" t="n">
        <f aca="false">C13-MAX(0,C13)*C14/100</f>
        <v>397192.1421303</v>
      </c>
      <c r="D15" s="0" t="n">
        <f aca="false">D13-MAX(0,D13)*D14/100</f>
        <v>376055.916464628</v>
      </c>
      <c r="E15" s="0" t="n">
        <f aca="false">E13-MAX(0,E13)*E14/100</f>
        <v>387337.593958567</v>
      </c>
      <c r="F15" s="0" t="n">
        <f aca="false">F13-MAX(0,F13)*F14/100</f>
        <v>398957.721777324</v>
      </c>
      <c r="G15" s="0" t="n">
        <f aca="false">G13-MAX(0,G13)*G14/100</f>
        <v>410926.453430644</v>
      </c>
      <c r="H15" s="0" t="n">
        <f aca="false">H13-MAX(0,H13)*H14/100</f>
        <v>423254.247033563</v>
      </c>
      <c r="I15" s="0" t="n">
        <f aca="false">I13-MAX(0,I13)*I14/100</f>
        <v>440184.416914906</v>
      </c>
      <c r="J15" s="0" t="n">
        <f aca="false">J13-MAX(0,J13)*J14/100</f>
        <v>471300.90155889</v>
      </c>
      <c r="K15" s="0" t="n">
        <f aca="false">K13-MAX(0,K13)*K14/100</f>
        <v>513922.896134651</v>
      </c>
      <c r="L15" s="0" t="n">
        <f aca="false">L13-MAX(0,L13)*L14/100</f>
        <v>555036.727825423</v>
      </c>
    </row>
    <row r="16" customFormat="false" ht="15" hidden="false" customHeight="false" outlineLevel="0" collapsed="false">
      <c r="A16" s="0" t="s">
        <v>120</v>
      </c>
      <c r="C16" s="0" t="n">
        <f aca="false">-C12</f>
        <v>374895.71289</v>
      </c>
      <c r="D16" s="0" t="n">
        <f aca="false">-D12</f>
        <v>355558.9866462</v>
      </c>
      <c r="E16" s="0" t="n">
        <f aca="false">-E12</f>
        <v>366225.756245586</v>
      </c>
      <c r="F16" s="0" t="n">
        <f aca="false">-F12</f>
        <v>377212.528932954</v>
      </c>
      <c r="G16" s="0" t="n">
        <f aca="false">-G12</f>
        <v>388528.904800942</v>
      </c>
      <c r="H16" s="0" t="n">
        <f aca="false">-H12</f>
        <v>400184.771944971</v>
      </c>
      <c r="I16" s="0" t="n">
        <f aca="false">-I12</f>
        <v>416192.162822769</v>
      </c>
      <c r="J16" s="0" t="n">
        <f aca="false">-J12</f>
        <v>449487.535848591</v>
      </c>
      <c r="K16" s="0" t="n">
        <f aca="false">-K12</f>
        <v>508978.533240316</v>
      </c>
      <c r="L16" s="0" t="n">
        <f aca="false">-L12</f>
        <v>549696.815899542</v>
      </c>
    </row>
    <row r="17" customFormat="false" ht="15" hidden="false" customHeight="false" outlineLevel="0" collapsed="false">
      <c r="A17" s="0" t="s">
        <v>121</v>
      </c>
      <c r="C17" s="4" t="n">
        <f aca="false">-C6*Assumptions!C46/100</f>
        <v>-572209.24599</v>
      </c>
      <c r="D17" s="4" t="n">
        <f aca="false">-D6*Assumptions!D46/100</f>
        <v>-522880.862715</v>
      </c>
      <c r="E17" s="4" t="n">
        <f aca="false">-E6*Assumptions!E46/100</f>
        <v>-689366.129403456</v>
      </c>
      <c r="F17" s="4" t="n">
        <f aca="false">-F6*Assumptions!F46/100</f>
        <v>-754425.057865907</v>
      </c>
      <c r="G17" s="4" t="n">
        <f aca="false">-G6*Assumptions!G46/100</f>
        <v>-777057.809601885</v>
      </c>
      <c r="H17" s="4" t="n">
        <f aca="false">-H6*Assumptions!H46/100</f>
        <v>-753288.98248465</v>
      </c>
      <c r="I17" s="4" t="n">
        <f aca="false">-I6*Assumptions!I46/100</f>
        <v>-661011.082130281</v>
      </c>
      <c r="J17" s="4" t="n">
        <f aca="false">-J6*Assumptions!J46/100</f>
        <v>-608130.195559858</v>
      </c>
      <c r="K17" s="4" t="n">
        <f aca="false">-K6*Assumptions!K46/100</f>
        <v>-581689.752274647</v>
      </c>
      <c r="L17" s="4" t="n">
        <f aca="false">-L6*Assumptions!L46/100</f>
        <v>-596813.685833788</v>
      </c>
    </row>
    <row r="18" customFormat="false" ht="15" hidden="false" customHeight="false" outlineLevel="0" collapsed="false">
      <c r="A18" s="0" t="s">
        <v>122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123</v>
      </c>
      <c r="C19" s="0" t="n">
        <f aca="false">C15+C16+C17+C18</f>
        <v>199878.6090303</v>
      </c>
      <c r="D19" s="0" t="n">
        <f aca="false">D15+D16+D17+D18</f>
        <v>208734.040395828</v>
      </c>
      <c r="E19" s="0" t="n">
        <f aca="false">E15+E16+E17+E18</f>
        <v>64197.2208006969</v>
      </c>
      <c r="F19" s="0" t="n">
        <f aca="false">F15+F16+F17+F18</f>
        <v>21745.1928443703</v>
      </c>
      <c r="G19" s="0" t="n">
        <f aca="false">G15+G16+G17+G18</f>
        <v>22397.5486297015</v>
      </c>
      <c r="H19" s="0" t="n">
        <f aca="false">H15+H16+H17+H18</f>
        <v>70150.0364938831</v>
      </c>
      <c r="I19" s="0" t="n">
        <f aca="false">I15+I16+I17+I18</f>
        <v>195365.497607394</v>
      </c>
      <c r="J19" s="0" t="n">
        <f aca="false">J15+J16+J17+J18</f>
        <v>312658.241847623</v>
      </c>
      <c r="K19" s="0" t="n">
        <f aca="false">K15+K16+K17+K18</f>
        <v>441211.67710032</v>
      </c>
      <c r="L19" s="0" t="n">
        <f aca="false">L15+L16+L17+L18</f>
        <v>507919.857891176</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185072.786139167</v>
      </c>
      <c r="D21" s="0" t="n">
        <f aca="false">D19*D20</f>
        <v>178955.795949784</v>
      </c>
      <c r="E21" s="0" t="n">
        <f aca="false">E19*E20</f>
        <v>50961.8236554838</v>
      </c>
      <c r="F21" s="0" t="n">
        <f aca="false">F19*F20</f>
        <v>15983.365895428</v>
      </c>
      <c r="G21" s="0" t="n">
        <f aca="false">G19*G20</f>
        <v>15243.3952521212</v>
      </c>
      <c r="H21" s="0" t="n">
        <f aca="false">H19*H20</f>
        <v>44206.4223231865</v>
      </c>
      <c r="I21" s="0" t="n">
        <f aca="false">I19*I20</f>
        <v>113993.891419522</v>
      </c>
      <c r="J21" s="0" t="n">
        <f aca="false">J19*J20</f>
        <v>168919.519553364</v>
      </c>
      <c r="K21" s="0" t="n">
        <f aca="false">K19*K20</f>
        <v>220715.685755774</v>
      </c>
      <c r="L21" s="0" t="n">
        <f aca="false">L19*L20</f>
        <v>235265.170644091</v>
      </c>
    </row>
    <row r="23" customFormat="false" ht="15" hidden="false" customHeight="false" outlineLevel="0" collapsed="false">
      <c r="A23" s="0" t="s">
        <v>101</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126</v>
      </c>
      <c r="C24" s="0" t="n">
        <f aca="false">-C6*C23/100</f>
        <v>-19731.35331</v>
      </c>
      <c r="D24" s="0" t="n">
        <f aca="false">-D6*D23/100</f>
        <v>-20915.2345086</v>
      </c>
      <c r="E24" s="0" t="n">
        <f aca="false">-E6*E23/100</f>
        <v>-21542.691543858</v>
      </c>
      <c r="F24" s="0" t="n">
        <f aca="false">-F6*F23/100</f>
        <v>-22188.9722901737</v>
      </c>
      <c r="G24" s="0" t="n">
        <f aca="false">-G6*G23/100</f>
        <v>-22854.641458879</v>
      </c>
      <c r="H24" s="0" t="n">
        <f aca="false">-H6*H23/100</f>
        <v>-23540.2807026453</v>
      </c>
      <c r="I24" s="0" t="n">
        <f aca="false">-I6*I23/100</f>
        <v>-24481.8919307511</v>
      </c>
      <c r="J24" s="0" t="n">
        <f aca="false">-J6*J23/100</f>
        <v>-26440.4432852112</v>
      </c>
      <c r="K24" s="0" t="n">
        <f aca="false">-K6*K23/100</f>
        <v>-29084.4876137324</v>
      </c>
      <c r="L24" s="0" t="n">
        <f aca="false">-L6*L23/100</f>
        <v>-31411.246622831</v>
      </c>
    </row>
    <row r="26" customFormat="false" ht="15" hidden="false" customHeight="false" outlineLevel="0" collapsed="false">
      <c r="A26" s="2" t="s">
        <v>127</v>
      </c>
    </row>
    <row r="27" customFormat="false" ht="15" hidden="false" customHeight="false" outlineLevel="0" collapsed="false">
      <c r="A27" s="0" t="s">
        <v>105</v>
      </c>
      <c r="B27" s="4" t="n">
        <f aca="false">Assumptions!$B$48</f>
        <v>8</v>
      </c>
    </row>
    <row r="28" customFormat="false" ht="15" hidden="false" customHeight="false" outlineLevel="0" collapsed="false">
      <c r="A28" s="0" t="s">
        <v>106</v>
      </c>
      <c r="B28" s="4" t="n">
        <f aca="false">Assumptions!$B$49</f>
        <v>1.5</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1229317.85658792</v>
      </c>
    </row>
    <row r="31" customFormat="false" ht="15" hidden="false" customHeight="false" outlineLevel="0" collapsed="false">
      <c r="A31" s="0" t="s">
        <v>129</v>
      </c>
      <c r="B31" s="0" t="n">
        <f aca="false">L19</f>
        <v>507919.857891176</v>
      </c>
    </row>
    <row r="32" customFormat="false" ht="15" hidden="false" customHeight="false" outlineLevel="0" collapsed="false">
      <c r="A32" s="0" t="s">
        <v>130</v>
      </c>
      <c r="B32" s="0" t="n">
        <f aca="false">IF(B27&gt;B28,B31*(1+B28/100)/((B27-B28)/100),B31*B29)</f>
        <v>7931363.93476221</v>
      </c>
    </row>
    <row r="33" customFormat="false" ht="15" hidden="false" customHeight="false" outlineLevel="0" collapsed="false">
      <c r="A33" s="0" t="s">
        <v>131</v>
      </c>
      <c r="B33" s="0" t="n">
        <f aca="false">B31*B29</f>
        <v>6095038.29469412</v>
      </c>
    </row>
    <row r="34" customFormat="false" ht="15" hidden="false" customHeight="false" outlineLevel="0" collapsed="false">
      <c r="A34" s="0" t="s">
        <v>132</v>
      </c>
      <c r="B34" s="0" t="n">
        <f aca="false">MAX(0,MIN(B32,B33))</f>
        <v>6095038.29469412</v>
      </c>
    </row>
    <row r="35" customFormat="false" ht="15" hidden="false" customHeight="false" outlineLevel="0" collapsed="false">
      <c r="A35" s="0" t="s">
        <v>133</v>
      </c>
      <c r="B35" s="0" t="n">
        <f aca="false">B34/(1+B27/100)^L4</f>
        <v>2823182.04772909</v>
      </c>
    </row>
    <row r="36" customFormat="false" ht="15" hidden="false" customHeight="false" outlineLevel="0" collapsed="false">
      <c r="A36" s="0" t="s">
        <v>134</v>
      </c>
      <c r="B36" s="0" t="n">
        <f aca="false">B30+B35</f>
        <v>4052499.90431701</v>
      </c>
    </row>
    <row r="37" customFormat="false" ht="15" hidden="false" customHeight="false" outlineLevel="0" collapsed="false">
      <c r="A37" s="0" t="s">
        <v>135</v>
      </c>
      <c r="B37" s="0" t="n">
        <f aca="false">B36+Assumptions!$B$5-Assumptions!$B$4</f>
        <v>5184917.90431701</v>
      </c>
    </row>
    <row r="38" customFormat="false" ht="15" hidden="false" customHeight="false" outlineLevel="0" collapsed="false">
      <c r="A38" s="0" t="s">
        <v>136</v>
      </c>
      <c r="B38" s="0" t="n">
        <f aca="false">B37/Assumptions!$B$3*Assumptions!$B$10</f>
        <v>4461.21896398015</v>
      </c>
    </row>
    <row r="39" customFormat="false" ht="15" hidden="false" customHeight="false" outlineLevel="0" collapsed="false">
      <c r="A39" s="0" t="s">
        <v>137</v>
      </c>
      <c r="B39" s="4" t="n">
        <f aca="false">B38/Assumptions!$B$2-1</f>
        <v>0.155756208285014</v>
      </c>
    </row>
    <row r="41" customFormat="false" ht="15" hidden="false" customHeight="false" outlineLevel="0" collapsed="false">
      <c r="A41" s="0" t="s">
        <v>138</v>
      </c>
      <c r="B41" s="0" t="n">
        <f aca="false">SUMPRODUCT(-C10:L10/(1+$B$27/100)^C4:L4)</f>
        <v>0</v>
      </c>
    </row>
    <row r="42" customFormat="false" ht="15" hidden="false" customHeight="false" outlineLevel="0" collapsed="false">
      <c r="A42" s="0" t="s">
        <v>139</v>
      </c>
      <c r="B42" s="0" t="n">
        <f aca="false">IF(B27&gt;B28,-L10*(1+B28/100)/((B27-B28)/100),-L10*20)/(1+B27/100)^L4</f>
        <v>0</v>
      </c>
    </row>
    <row r="43" customFormat="false" ht="15" hidden="false" customHeight="false" outlineLevel="0" collapsed="false">
      <c r="A43" s="0" t="s">
        <v>140</v>
      </c>
      <c r="B43" s="0" t="n">
        <f aca="false">(B37+B41+B42)/Assumptions!$B$3*Assumptions!$B$10</f>
        <v>4461.21896398015</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3818804.8574781</v>
      </c>
    </row>
    <row r="47" customFormat="false" ht="15" hidden="false" customHeight="false" outlineLevel="0" collapsed="false">
      <c r="A47" s="0" t="s">
        <v>142</v>
      </c>
      <c r="B47" s="0" t="n">
        <f aca="false">(SUMPRODUCT(C19:L19/(1+B45/100)^C4:L4)+B46/(1+B45/100)^L4+Assumptions!$B$5-Assumptions!$B$4)/Assumptions!$B$3*Assumptions!$B$10</f>
        <v>2521.6732447522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2647.59931762554</v>
      </c>
      <c r="C4" s="0" t="n">
        <f aca="false">B4/Assumptions!$B$2-1</f>
        <v>-0.314093441029652</v>
      </c>
      <c r="D4" s="4" t="n">
        <f aca="false">Assumptions!$B$24</f>
        <v>0.25</v>
      </c>
      <c r="E4" s="4" t="n">
        <f aca="false">DCF_Bear!$B$43</f>
        <v>2647.59931762554</v>
      </c>
      <c r="F4" s="4" t="n">
        <f aca="false">DCF_Bear!$B$47</f>
        <v>1900.25096923053</v>
      </c>
    </row>
    <row r="5" customFormat="false" ht="15" hidden="false" customHeight="false" outlineLevel="0" collapsed="false">
      <c r="A5" s="0" t="s">
        <v>151</v>
      </c>
      <c r="B5" s="4" t="n">
        <f aca="false">DCF_Base!$B$38</f>
        <v>3640.25371797353</v>
      </c>
      <c r="C5" s="0" t="n">
        <f aca="false">B5/Assumptions!$B$2-1</f>
        <v>-0.0569290886078943</v>
      </c>
      <c r="D5" s="4" t="n">
        <f aca="false">Assumptions!$B$38</f>
        <v>0.5</v>
      </c>
      <c r="E5" s="4" t="n">
        <f aca="false">DCF_Base!$B$43</f>
        <v>3640.25371797353</v>
      </c>
      <c r="F5" s="4" t="n">
        <f aca="false">DCF_Base!$B$47</f>
        <v>2167.9532869218</v>
      </c>
    </row>
    <row r="6" customFormat="false" ht="15" hidden="false" customHeight="false" outlineLevel="0" collapsed="false">
      <c r="A6" s="0" t="s">
        <v>152</v>
      </c>
      <c r="B6" s="4" t="n">
        <f aca="false">DCF_Bull!$B$38</f>
        <v>4461.21896398015</v>
      </c>
      <c r="C6" s="0" t="n">
        <f aca="false">B6/Assumptions!$B$2-1</f>
        <v>0.155756208285014</v>
      </c>
      <c r="D6" s="4" t="n">
        <f aca="false">Assumptions!$B$52</f>
        <v>0.25</v>
      </c>
      <c r="E6" s="4" t="n">
        <f aca="false">DCF_Bull!$B$43</f>
        <v>4461.21896398015</v>
      </c>
      <c r="F6" s="4" t="n">
        <f aca="false">DCF_Bull!$B$47</f>
        <v>2521.6732447522</v>
      </c>
    </row>
    <row r="8" customFormat="false" ht="15" hidden="false" customHeight="false" outlineLevel="0" collapsed="false">
      <c r="A8" s="0" t="s">
        <v>153</v>
      </c>
      <c r="B8" s="0" t="n">
        <f aca="false">SUMPRODUCT(B4:B6,D4:D6)</f>
        <v>3597.33142938819</v>
      </c>
    </row>
    <row r="9" customFormat="false" ht="15" hidden="false" customHeight="false" outlineLevel="0" collapsed="false">
      <c r="A9" s="0" t="s">
        <v>154</v>
      </c>
      <c r="B9" s="0" t="n">
        <f aca="false">SUMPRODUCT(E4:E6,D4:D6)</f>
        <v>3597.33142938819</v>
      </c>
    </row>
    <row r="10" customFormat="false" ht="15" hidden="false" customHeight="false" outlineLevel="0" collapsed="false">
      <c r="A10" s="0" t="s">
        <v>155</v>
      </c>
      <c r="B10" s="0" t="n">
        <f aca="false">1-Assumptions!$B$2/B8</f>
        <v>-0.0730176175778401</v>
      </c>
    </row>
    <row r="11" customFormat="false" ht="15" hidden="false" customHeight="false" outlineLevel="0" collapsed="false">
      <c r="A11" s="0" t="s">
        <v>156</v>
      </c>
      <c r="B11" s="0" t="str">
        <f aca="false">IF(ABS(B9-B8)&gt;0.01*ABS(B8),(Assumptions!$B$2-B8)/(B9-B8)*100,"n/a")</f>
        <v>n/a</v>
      </c>
    </row>
    <row r="12" customFormat="false" ht="15" hidden="false" customHeight="false" outlineLevel="0" collapsed="false">
      <c r="A12" s="0" t="s">
        <v>157</v>
      </c>
      <c r="B12" s="0" t="n">
        <f aca="false">SUMPRODUCT(F4:F6,D4:D6)</f>
        <v>2189.45769695658</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3640.25371797353</v>
      </c>
      <c r="C15" s="3" t="n">
        <v>8</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3437.41019221683</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3155.58527126283</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2867.9456981931</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2638.10182677754</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2167.9532869218</v>
      </c>
      <c r="C20" s="3" t="n">
        <v>15</v>
      </c>
    </row>
    <row r="22" customFormat="false" ht="15" hidden="false" customHeight="false" outlineLevel="0" collapsed="false">
      <c r="A22" s="2" t="s">
        <v>166</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4110.86665284561</v>
      </c>
      <c r="C24" s="0" t="n">
        <f aca="false">(SUMPRODUCT(DCF_Base!$C$19:$L$19/(1+$A$24/100)^DCF_Base!$C$4:$L$4)+MAX(0,MIN(IF($A$24&gt;$C$23,DCF_Base!$L$19*(1+$C$23/100)/(($A$24-$C$23)/100),DCF_Base!$L$19*DCF_Base!$B$29),DCF_Base!$L$19*DCF_Base!$B$29))/(1+$A$24/100)^DCF_Base!$L$4+Assumptions!$B$5-Assumptions!$B$4)/Assumptions!$B$3*Assumptions!$B$10</f>
        <v>4110.86665284561</v>
      </c>
      <c r="D24" s="0" t="n">
        <f aca="false">(SUMPRODUCT(DCF_Base!$C$19:$L$19/(1+$A$24/100)^DCF_Base!$C$4:$L$4)+MAX(0,MIN(IF($A$24&gt;$D$23,DCF_Base!$L$19*(1+$D$23/100)/(($A$24-$D$23)/100),DCF_Base!$L$19*DCF_Base!$B$29),DCF_Base!$L$19*DCF_Base!$B$29))/(1+$A$24/100)^DCF_Base!$L$4+Assumptions!$B$5-Assumptions!$B$4)/Assumptions!$B$3*Assumptions!$B$10</f>
        <v>4110.86665284561</v>
      </c>
      <c r="E24" s="0" t="n">
        <f aca="false">(SUMPRODUCT(DCF_Base!$C$19:$L$19/(1+$A$24/100)^DCF_Base!$C$4:$L$4)+MAX(0,MIN(IF($A$24&gt;$E$23,DCF_Base!$L$19*(1+$E$23/100)/(($A$24-$E$23)/100),DCF_Base!$L$19*DCF_Base!$B$29),DCF_Base!$L$19*DCF_Base!$B$29))/(1+$A$24/100)^DCF_Base!$L$4+Assumptions!$B$5-Assumptions!$B$4)/Assumptions!$B$3*Assumptions!$B$10</f>
        <v>4110.86665284561</v>
      </c>
      <c r="F24" s="0" t="n">
        <f aca="false">(SUMPRODUCT(DCF_Base!$C$19:$L$19/(1+$A$24/100)^DCF_Base!$C$4:$L$4)+MAX(0,MIN(IF($A$24&gt;$F$23,DCF_Base!$L$19*(1+$F$23/100)/(($A$24-$F$23)/100),DCF_Base!$L$19*DCF_Base!$B$29),DCF_Base!$L$19*DCF_Base!$B$29))/(1+$A$24/100)^DCF_Base!$L$4+Assumptions!$B$5-Assumptions!$B$4)/Assumptions!$B$3*Assumptions!$B$10</f>
        <v>4110.86665284561</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3863.93613471917</v>
      </c>
      <c r="C25" s="0" t="n">
        <f aca="false">(SUMPRODUCT(DCF_Base!$C$19:$L$19/(1+$A$25/100)^DCF_Base!$C$4:$L$4)+MAX(0,MIN(IF($A$25&gt;$C$23,DCF_Base!$L$19*(1+$C$23/100)/(($A$25-$C$23)/100),DCF_Base!$L$19*DCF_Base!$B$29),DCF_Base!$L$19*DCF_Base!$B$29))/(1+$A$25/100)^DCF_Base!$L$4+Assumptions!$B$5-Assumptions!$B$4)/Assumptions!$B$3*Assumptions!$B$10</f>
        <v>3863.93613471917</v>
      </c>
      <c r="D25" s="0" t="n">
        <f aca="false">(SUMPRODUCT(DCF_Base!$C$19:$L$19/(1+$A$25/100)^DCF_Base!$C$4:$L$4)+MAX(0,MIN(IF($A$25&gt;$D$23,DCF_Base!$L$19*(1+$D$23/100)/(($A$25-$D$23)/100),DCF_Base!$L$19*DCF_Base!$B$29),DCF_Base!$L$19*DCF_Base!$B$29))/(1+$A$25/100)^DCF_Base!$L$4+Assumptions!$B$5-Assumptions!$B$4)/Assumptions!$B$3*Assumptions!$B$10</f>
        <v>3863.93613471917</v>
      </c>
      <c r="E25" s="0" t="n">
        <f aca="false">(SUMPRODUCT(DCF_Base!$C$19:$L$19/(1+$A$25/100)^DCF_Base!$C$4:$L$4)+MAX(0,MIN(IF($A$25&gt;$E$23,DCF_Base!$L$19*(1+$E$23/100)/(($A$25-$E$23)/100),DCF_Base!$L$19*DCF_Base!$B$29),DCF_Base!$L$19*DCF_Base!$B$29))/(1+$A$25/100)^DCF_Base!$L$4+Assumptions!$B$5-Assumptions!$B$4)/Assumptions!$B$3*Assumptions!$B$10</f>
        <v>3863.93613471917</v>
      </c>
      <c r="F25" s="0" t="n">
        <f aca="false">(SUMPRODUCT(DCF_Base!$C$19:$L$19/(1+$A$25/100)^DCF_Base!$C$4:$L$4)+MAX(0,MIN(IF($A$25&gt;$F$23,DCF_Base!$L$19*(1+$F$23/100)/(($A$25-$F$23)/100),DCF_Base!$L$19*DCF_Base!$B$29),DCF_Base!$L$19*DCF_Base!$B$29))/(1+$A$25/100)^DCF_Base!$L$4+Assumptions!$B$5-Assumptions!$B$4)/Assumptions!$B$3*Assumptions!$B$10</f>
        <v>3863.93613471917</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3640.25371797353</v>
      </c>
      <c r="C26" s="0" t="n">
        <f aca="false">(SUMPRODUCT(DCF_Base!$C$19:$L$19/(1+$A$26/100)^DCF_Base!$C$4:$L$4)+MAX(0,MIN(IF($A$26&gt;$C$23,DCF_Base!$L$19*(1+$C$23/100)/(($A$26-$C$23)/100),DCF_Base!$L$19*DCF_Base!$B$29),DCF_Base!$L$19*DCF_Base!$B$29))/(1+$A$26/100)^DCF_Base!$L$4+Assumptions!$B$5-Assumptions!$B$4)/Assumptions!$B$3*Assumptions!$B$10</f>
        <v>3640.25371797353</v>
      </c>
      <c r="D26" s="0" t="n">
        <f aca="false">(SUMPRODUCT(DCF_Base!$C$19:$L$19/(1+$A$26/100)^DCF_Base!$C$4:$L$4)+MAX(0,MIN(IF($A$26&gt;$D$23,DCF_Base!$L$19*(1+$D$23/100)/(($A$26-$D$23)/100),DCF_Base!$L$19*DCF_Base!$B$29),DCF_Base!$L$19*DCF_Base!$B$29))/(1+$A$26/100)^DCF_Base!$L$4+Assumptions!$B$5-Assumptions!$B$4)/Assumptions!$B$3*Assumptions!$B$10</f>
        <v>3640.25371797353</v>
      </c>
      <c r="E26" s="0" t="n">
        <f aca="false">(SUMPRODUCT(DCF_Base!$C$19:$L$19/(1+$A$26/100)^DCF_Base!$C$4:$L$4)+MAX(0,MIN(IF($A$26&gt;$E$23,DCF_Base!$L$19*(1+$E$23/100)/(($A$26-$E$23)/100),DCF_Base!$L$19*DCF_Base!$B$29),DCF_Base!$L$19*DCF_Base!$B$29))/(1+$A$26/100)^DCF_Base!$L$4+Assumptions!$B$5-Assumptions!$B$4)/Assumptions!$B$3*Assumptions!$B$10</f>
        <v>3640.25371797353</v>
      </c>
      <c r="F26" s="0" t="n">
        <f aca="false">(SUMPRODUCT(DCF_Base!$C$19:$L$19/(1+$A$26/100)^DCF_Base!$C$4:$L$4)+MAX(0,MIN(IF($A$26&gt;$F$23,DCF_Base!$L$19*(1+$F$23/100)/(($A$26-$F$23)/100),DCF_Base!$L$19*DCF_Base!$B$29),DCF_Base!$L$19*DCF_Base!$B$29))/(1+$A$26/100)^DCF_Base!$L$4+Assumptions!$B$5-Assumptions!$B$4)/Assumptions!$B$3*Assumptions!$B$10</f>
        <v>3640.25371797353</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3315.09975868776</v>
      </c>
      <c r="C27" s="0" t="n">
        <f aca="false">(SUMPRODUCT(DCF_Base!$C$19:$L$19/(1+$A$27/100)^DCF_Base!$C$4:$L$4)+MAX(0,MIN(IF($A$27&gt;$C$23,DCF_Base!$L$19*(1+$C$23/100)/(($A$27-$C$23)/100),DCF_Base!$L$19*DCF_Base!$B$29),DCF_Base!$L$19*DCF_Base!$B$29))/(1+$A$27/100)^DCF_Base!$L$4+Assumptions!$B$5-Assumptions!$B$4)/Assumptions!$B$3*Assumptions!$B$10</f>
        <v>3413.12797379561</v>
      </c>
      <c r="D27" s="0" t="n">
        <f aca="false">(SUMPRODUCT(DCF_Base!$C$19:$L$19/(1+$A$27/100)^DCF_Base!$C$4:$L$4)+MAX(0,MIN(IF($A$27&gt;$D$23,DCF_Base!$L$19*(1+$D$23/100)/(($A$27-$D$23)/100),DCF_Base!$L$19*DCF_Base!$B$29),DCF_Base!$L$19*DCF_Base!$B$29))/(1+$A$27/100)^DCF_Base!$L$4+Assumptions!$B$5-Assumptions!$B$4)/Assumptions!$B$3*Assumptions!$B$10</f>
        <v>3437.41019221683</v>
      </c>
      <c r="E27" s="0" t="n">
        <f aca="false">(SUMPRODUCT(DCF_Base!$C$19:$L$19/(1+$A$27/100)^DCF_Base!$C$4:$L$4)+MAX(0,MIN(IF($A$27&gt;$E$23,DCF_Base!$L$19*(1+$E$23/100)/(($A$27-$E$23)/100),DCF_Base!$L$19*DCF_Base!$B$29),DCF_Base!$L$19*DCF_Base!$B$29))/(1+$A$27/100)^DCF_Base!$L$4+Assumptions!$B$5-Assumptions!$B$4)/Assumptions!$B$3*Assumptions!$B$10</f>
        <v>3437.41019221683</v>
      </c>
      <c r="F27" s="0" t="n">
        <f aca="false">(SUMPRODUCT(DCF_Base!$C$19:$L$19/(1+$A$27/100)^DCF_Base!$C$4:$L$4)+MAX(0,MIN(IF($A$27&gt;$F$23,DCF_Base!$L$19*(1+$F$23/100)/(($A$27-$F$23)/100),DCF_Base!$L$19*DCF_Base!$B$29),DCF_Base!$L$19*DCF_Base!$B$29))/(1+$A$27/100)^DCF_Base!$L$4+Assumptions!$B$5-Assumptions!$B$4)/Assumptions!$B$3*Assumptions!$B$10</f>
        <v>3437.41019221683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3002.08670211226</v>
      </c>
      <c r="C28" s="0" t="n">
        <f aca="false">(SUMPRODUCT(DCF_Base!$C$19:$L$19/(1+$A$28/100)^DCF_Base!$C$4:$L$4)+MAX(0,MIN(IF($A$28&gt;$C$23,DCF_Base!$L$19*(1+$C$23/100)/(($A$28-$C$23)/100),DCF_Base!$L$19*DCF_Base!$B$29),DCF_Base!$L$19*DCF_Base!$B$29))/(1+$A$28/100)^DCF_Base!$L$4+Assumptions!$B$5-Assumptions!$B$4)/Assumptions!$B$3*Assumptions!$B$10</f>
        <v>3074.79655065727</v>
      </c>
      <c r="D28" s="0" t="n">
        <f aca="false">(SUMPRODUCT(DCF_Base!$C$19:$L$19/(1+$A$28/100)^DCF_Base!$C$4:$L$4)+MAX(0,MIN(IF($A$28&gt;$D$23,DCF_Base!$L$19*(1+$D$23/100)/(($A$28-$D$23)/100),DCF_Base!$L$19*DCF_Base!$B$29),DCF_Base!$L$19*DCF_Base!$B$29))/(1+$A$28/100)^DCF_Base!$L$4+Assumptions!$B$5-Assumptions!$B$4)/Assumptions!$B$3*Assumptions!$B$10</f>
        <v>3155.58527126283</v>
      </c>
      <c r="E28" s="0" t="n">
        <f aca="false">(SUMPRODUCT(DCF_Base!$C$19:$L$19/(1+$A$28/100)^DCF_Base!$C$4:$L$4)+MAX(0,MIN(IF($A$28&gt;$E$23,DCF_Base!$L$19*(1+$E$23/100)/(($A$28-$E$23)/100),DCF_Base!$L$19*DCF_Base!$B$29),DCF_Base!$L$19*DCF_Base!$B$29))/(1+$A$28/100)^DCF_Base!$L$4+Assumptions!$B$5-Assumptions!$B$4)/Assumptions!$B$3*Assumptions!$B$10</f>
        <v>3245.87854723376</v>
      </c>
      <c r="F28" s="0" t="n">
        <f aca="false">(SUMPRODUCT(DCF_Base!$C$19:$L$19/(1+$A$28/100)^DCF_Base!$C$4:$L$4)+MAX(0,MIN(IF($A$28&gt;$F$23,DCF_Base!$L$19*(1+$F$23/100)/(($A$28-$F$23)/100),DCF_Base!$L$19*DCF_Base!$B$29),DCF_Base!$L$19*DCF_Base!$B$29))/(1+$A$28/100)^DCF_Base!$L$4+Assumptions!$B$5-Assumptions!$B$4)/Assumptions!$B$3*Assumptions!$B$10</f>
        <v>3253.2661789041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2026-10-26T00:12:01Z</dcterms:created>
  <dc:creator>openpyxl</dc:creator>
  <dc:description/>
  <dc:language>en-NZ</dc:language>
  <cp:lastModifiedBy/>
  <dcterms:modified xsi:type="dcterms:W3CDTF">2026-10-26T00:12:01Z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