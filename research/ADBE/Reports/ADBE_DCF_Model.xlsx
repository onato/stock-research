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Reconciliation" sheetId="2" state="visible" r:id="rId2"/>
    <sheet xmlns:r="http://schemas.openxmlformats.org/officeDocument/2006/relationships" name="Actuals" sheetId="3" state="visible" r:id="rId3"/>
    <sheet xmlns:r="http://schemas.openxmlformats.org/officeDocument/2006/relationships" name="Assumptions" sheetId="4" state="visible" r:id="rId4"/>
    <sheet xmlns:r="http://schemas.openxmlformats.org/officeDocument/2006/relationships" name="DCF_Bear" sheetId="5" state="visible" r:id="rId5"/>
    <sheet xmlns:r="http://schemas.openxmlformats.org/officeDocument/2006/relationships" name="DCF_Base" sheetId="6" state="visible" r:id="rId6"/>
    <sheet xmlns:r="http://schemas.openxmlformats.org/officeDocument/2006/relationships" name="DCF_Bull" sheetId="7" state="visible" r:id="rId7"/>
    <sheet xmlns:r="http://schemas.openxmlformats.org/officeDocument/2006/relationships" name="FCF_Quality" sheetId="8" state="visible" r:id="rId8"/>
    <sheet xmlns:r="http://schemas.openxmlformats.org/officeDocument/2006/relationships" name="Valuation" sheetId="9" state="visible" r:id="rId9"/>
  </sheets>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0%"/>
    <numFmt numFmtId="167" formatCode="0.0x"/>
    <numFmt numFmtId="168" formatCode="0.0000"/>
  </numFmts>
  <fonts count="8">
    <font>
      <name val="Calibri"/>
      <family val="2"/>
      <color theme="1"/>
      <sz val="11"/>
      <scheme val="minor"/>
    </font>
    <font>
      <b val="1"/>
      <sz val="13"/>
    </font>
    <font>
      <b val="1"/>
    </font>
    <font>
      <i val="1"/>
    </font>
    <font>
      <b val="1"/>
      <color rgb="000000CC"/>
    </font>
    <font>
      <b val="1"/>
      <color rgb="00FFFFFF"/>
    </font>
    <font>
      <color rgb="00007700"/>
    </font>
    <font/>
  </fonts>
  <fills count="5">
    <fill>
      <patternFill/>
    </fill>
    <fill>
      <patternFill patternType="gray125"/>
    </fill>
    <fill>
      <patternFill patternType="solid">
        <fgColor rgb="00333333"/>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164" fontId="4" fillId="0" borderId="0" pivotButton="0" quotePrefix="0" xfId="0"/>
    <xf numFmtId="0" fontId="5" fillId="2" borderId="0" pivotButton="0" quotePrefix="0" xfId="0"/>
    <xf numFmtId="164" fontId="0" fillId="0" borderId="0" pivotButton="0" quotePrefix="0" xfId="0"/>
    <xf numFmtId="164" fontId="6" fillId="3" borderId="0" pivotButton="0" quotePrefix="0" xfId="0"/>
    <xf numFmtId="0" fontId="5" fillId="2" borderId="0" applyAlignment="1" pivotButton="0" quotePrefix="0" xfId="0">
      <alignment horizontal="center"/>
    </xf>
    <xf numFmtId="3" fontId="4" fillId="0" borderId="0" pivotButton="0" quotePrefix="0" xfId="0"/>
    <xf numFmtId="165" fontId="4" fillId="0" borderId="0" pivotButton="0" quotePrefix="0" xfId="0"/>
    <xf numFmtId="0" fontId="4" fillId="0" borderId="0" pivotButton="0" quotePrefix="0" xfId="0"/>
    <xf numFmtId="166" fontId="4" fillId="4" borderId="0" pivotButton="0" quotePrefix="0" xfId="0"/>
    <xf numFmtId="3" fontId="4" fillId="4" borderId="0" pivotButton="0" quotePrefix="0" xfId="0"/>
    <xf numFmtId="165" fontId="4" fillId="4" borderId="0" pivotButton="0" quotePrefix="0" xfId="0"/>
    <xf numFmtId="164" fontId="4" fillId="4" borderId="0" pivotButton="0" quotePrefix="0" xfId="0"/>
    <xf numFmtId="0" fontId="0" fillId="2" borderId="0" pivotButton="0" quotePrefix="0" xfId="0"/>
    <xf numFmtId="167" fontId="4" fillId="4" borderId="0" pivotButton="0" quotePrefix="0" xfId="0"/>
    <xf numFmtId="166" fontId="2" fillId="0" borderId="0" pivotButton="0" quotePrefix="0" xfId="0"/>
    <xf numFmtId="166" fontId="0" fillId="0" borderId="0" pivotButton="0" quotePrefix="0" xfId="0"/>
    <xf numFmtId="3" fontId="6" fillId="0" borderId="0" pivotButton="0" quotePrefix="0" xfId="0"/>
    <xf numFmtId="3" fontId="0" fillId="0" borderId="0" pivotButton="0" quotePrefix="0" xfId="0"/>
    <xf numFmtId="3" fontId="2" fillId="0" borderId="0" pivotButton="0" quotePrefix="0" xfId="0"/>
    <xf numFmtId="168" fontId="0" fillId="0" borderId="0" pivotButton="0" quotePrefix="0" xfId="0"/>
    <xf numFmtId="0" fontId="7" fillId="0" borderId="0" pivotButton="0" quotePrefix="0" xfId="0"/>
    <xf numFmtId="167" fontId="0" fillId="0" borderId="0" pivotButton="0" quotePrefix="0" xfId="0"/>
    <xf numFmtId="165" fontId="0" fillId="0" borderId="0" pivotButton="0" quotePrefix="0" xfId="0"/>
    <xf numFmtId="164" fontId="2" fillId="3" borderId="0" pivotButton="0" quotePrefix="0" xfId="0"/>
    <xf numFmtId="164" fontId="2" fillId="0" borderId="0" pivotButton="0" quotePrefix="0" xfId="0"/>
    <xf numFmtId="164" fontId="6" fillId="0" borderId="0" pivotButton="0" quotePrefix="0" xfId="0"/>
    <xf numFmtId="166" fontId="6" fillId="0" borderId="0" pivotButton="0" quotePrefix="0" xfId="0"/>
    <xf numFmtId="0" fontId="0" fillId="0" borderId="0" applyAlignment="1" pivotButton="0" quotePrefix="0" xfId="0">
      <alignment wrapText="1"/>
    </xf>
    <xf numFmtId="166" fontId="4" fillId="0" borderId="0" pivotButton="0" quotePrefix="0" xfId="0"/>
    <xf numFmtId="166" fontId="5" fillId="2"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96" customWidth="1" min="2" max="2"/>
  </cols>
  <sheetData>
    <row r="1">
      <c r="A1" s="1" t="inlineStr">
        <is>
          <t>Adobe Inc. (ADBE) -- Owner-FCF DCF Model</t>
        </is>
      </c>
    </row>
    <row r="2">
      <c r="A2" s="2" t="inlineStr"/>
      <c r="B2" s="3" t="inlineStr"/>
    </row>
    <row r="3">
      <c r="A3" s="2" t="inlineStr">
        <is>
          <t>Version</t>
        </is>
      </c>
      <c r="B3" s="3" t="inlineStr">
        <is>
          <t>2026-08-28 rebuild. Supersedes the 2026-06-30 model (price-refreshed 2026-08-12).</t>
        </is>
      </c>
    </row>
    <row r="4">
      <c r="A4" s="2" t="inlineStr">
        <is>
          <t>Supersedes</t>
        </is>
      </c>
      <c r="B4" s="3" t="inlineStr">
        <is>
          <t>Prior model valued ADBE on reported FCF with SBC as non-cash, a FLAT 41.45% FCF margin, a 5-year horizon, a stale 397.5m share count, and the pre-2026-07-21 entry-price formula.</t>
        </is>
      </c>
    </row>
    <row r="5">
      <c r="A5" s="2" t="inlineStr">
        <is>
          <t>Built by</t>
        </is>
      </c>
      <c r="B5" s="3" t="inlineStr">
        <is>
          <t>dcf-analyst agent (Claude Opus 5), 2026-08-28, at the user's request.</t>
        </is>
      </c>
    </row>
    <row r="6">
      <c r="A6" s="2" t="inlineStr">
        <is>
          <t>Model</t>
        </is>
      </c>
      <c r="B6" s="3" t="inlineStr">
        <is>
          <t>Owner-FCF DCF, three scenarios, probability-weighted, 10-year explicit horizon.</t>
        </is>
      </c>
    </row>
    <row r="7">
      <c r="A7" s="2" t="inlineStr">
        <is>
          <t>Routing</t>
        </is>
      </c>
      <c r="B7" s="3" t="inlineStr">
        <is>
          <t>dcf-methods/SKILL.md routes an application-software operating company to owner-FCF. Confirmed, not assumed.</t>
        </is>
      </c>
    </row>
    <row r="8">
      <c r="A8" s="2" t="inlineStr"/>
      <c r="B8" s="3" t="inlineStr"/>
    </row>
    <row r="9">
      <c r="A9" s="2" t="inlineStr">
        <is>
          <t>DATA VINTAGE</t>
        </is>
      </c>
      <c r="B9" s="3" t="inlineStr">
        <is>
          <t>Every figure below goes stale. Refresh before relying on this file.</t>
        </is>
      </c>
    </row>
    <row r="10">
      <c r="A10" s="2" t="inlineStr">
        <is>
          <t>Price</t>
        </is>
      </c>
      <c r="B10" s="3" t="inlineStr">
        <is>
          <t>$289.15 USD, Yahoo regularMarketPrice, as of 2026-08-27T20:00:00Z regular close (Yahoo regularMarketPrice).</t>
        </is>
      </c>
    </row>
    <row r="11">
      <c r="A11" s="2" t="inlineStr">
        <is>
          <t>52-week range</t>
        </is>
      </c>
      <c r="B11" s="3" t="inlineStr">
        <is>
          <t>$190.12 - $370.86.</t>
        </is>
      </c>
    </row>
    <row r="12">
      <c r="A12" s="2" t="inlineStr">
        <is>
          <t>Balance sheet</t>
        </is>
      </c>
      <c r="B12" s="3" t="inlineStr">
        <is>
          <t>Q2-FY2026 10-Q dated 2026-05-29: cash $4,919m, debt $6,645m, net DEBT $1,726m.</t>
        </is>
      </c>
    </row>
    <row r="13">
      <c r="A13" s="2" t="inlineStr">
        <is>
          <t>Share count</t>
        </is>
      </c>
      <c r="B13" s="3" t="inlineStr">
        <is>
          <t>402.5m fully diluted, Q2-FY2026 10-Q. Held FLAT (see SBC policy).</t>
        </is>
      </c>
    </row>
    <row r="14">
      <c r="A14" s="2" t="inlineStr">
        <is>
          <t>FY0 base</t>
        </is>
      </c>
      <c r="B14" s="3" t="inlineStr">
        <is>
          <t>TTM = FY2025 + H1-FY2026 - H1-FY2025. Revenue $25,198m, reported FCF $10,280m, owner FCF $7,833m.</t>
        </is>
      </c>
    </row>
    <row r="15">
      <c r="A15" s="2" t="inlineStr">
        <is>
          <t>Guidance</t>
        </is>
      </c>
      <c r="B15" s="3" t="inlineStr">
        <is>
          <t>FY2026 revenue $26.50-26.60bn (raised); non-GAAP EPS $24.35-24.45; non-GAAP op margin ~45%; total ending ARR growth ~10.2% incl. ~$480m acquired Semrush ARR.</t>
        </is>
      </c>
    </row>
    <row r="16">
      <c r="A16" s="2" t="inlineStr">
        <is>
          <t>Fiscal year</t>
        </is>
      </c>
      <c r="B16" s="3" t="inlineStr">
        <is>
          <t>Friday nearest Nov 30 (52/53-week). FY2025 ended 2025-11-28.</t>
        </is>
      </c>
    </row>
    <row r="17">
      <c r="A17" s="2" t="inlineStr"/>
      <c r="B17" s="3" t="inlineStr"/>
    </row>
    <row r="18">
      <c r="A18" s="2" t="inlineStr">
        <is>
          <t>METHODOLOGY</t>
        </is>
      </c>
      <c r="B18" s="3" t="inlineStr"/>
    </row>
    <row r="19">
      <c r="A19" s="2" t="inlineStr">
        <is>
          <t>SBC policy</t>
        </is>
      </c>
      <c r="B19" s="3" t="inlineStr">
        <is>
          <t>SBC is EXPENSED in the flows (incl. $418m cash taxes on net-share settlement) AND the share count is held FLAT. Charging both would double-count grant dilution. Buybacks are therefore value-neutral here: they are the mechanism keeping the count flat.</t>
        </is>
      </c>
    </row>
    <row r="20">
      <c r="A20" s="2" t="inlineStr">
        <is>
          <t>Interest income</t>
        </is>
      </c>
      <c r="B20" s="3" t="inlineStr">
        <is>
          <t>NOT stripped. Adobe holds net DEBT ($1,726m), not net cash. Interest income is stripped only when net cash is added back to EV; that does not apply.</t>
        </is>
      </c>
    </row>
    <row r="21">
      <c r="A21" s="2" t="inlineStr">
        <is>
          <t>Margin build</t>
        </is>
      </c>
      <c r="B21" s="3" t="inlineStr">
        <is>
          <t>Components per year: adj EBITDA -&gt; less SBC -&gt; less D&amp;A -&gt; tax -&gt; add D&amp;A -&gt; less capex -&gt; add working capital. The latest FCF margin is never carried forward flat.</t>
        </is>
      </c>
    </row>
    <row r="22">
      <c r="A22" s="2" t="inlineStr">
        <is>
          <t>Working capital</t>
        </is>
      </c>
      <c r="B22" s="3" t="inlineStr">
        <is>
          <t>Modelled on the CHANGE in revenue (deferred revenue tracks bookings growth). 5-year actual dDR/dRevenue averaged 29%; base uses 25%, bear 15%.</t>
        </is>
      </c>
    </row>
    <row r="23">
      <c r="A23" s="2" t="inlineStr">
        <is>
          <t>Horizon</t>
        </is>
      </c>
      <c r="B23" s="3" t="inlineStr">
        <is>
          <t>10 years. Base owner-FCF margin is flat by year 5, but bear compresses through year 8, so a 5-year capitalization would misstate the downside.</t>
        </is>
      </c>
    </row>
    <row r="24">
      <c r="A24" s="2" t="inlineStr">
        <is>
          <t>WACC</t>
        </is>
      </c>
      <c r="B24" s="3" t="inlineStr">
        <is>
          <t>9.5% USD: 4.3% risk-free + 1.15 beta x 5.0% ERP = 10.05% CoE, blended with ~3.0% after-tax cost of debt at 94.6/5.4 weights = 9.67%, rounded to 9.5%. Applied UNIFORMLY across scenarios so risk is charged once -- in the flows, not again in the discount rate.</t>
        </is>
      </c>
    </row>
    <row r="25">
      <c r="A25" s="2" t="inlineStr">
        <is>
          <t>Terminal value</t>
        </is>
      </c>
      <c r="B25" s="3" t="inlineStr">
        <is>
          <t>MAX(0, MIN(Gordon, cap x FCF_10)). Cap 17x base / 20x bull / 12x bear, set from the DE-RATED recent multiple range, NOT the FY2020-21 bubble (85.9x P/E in FY2021).</t>
        </is>
      </c>
    </row>
    <row r="26">
      <c r="A26" s="2" t="inlineStr">
        <is>
          <t>Entry price</t>
        </is>
      </c>
      <c r="B26" s="3" t="inlineStr">
        <is>
          <t>Price at which interim FCF + terminal value deliver a 15% IRR, less net debt, per share. Terminal value itself is still built at WACC (it is the fair exit price); only the discounting back uses 15%.</t>
        </is>
      </c>
    </row>
    <row r="27">
      <c r="A27" s="2" t="inlineStr"/>
      <c r="B27" s="3" t="inlineStr"/>
    </row>
    <row r="28">
      <c r="A28" s="2" t="inlineStr">
        <is>
          <t>SCENARIO JUDGMENT</t>
        </is>
      </c>
      <c r="B28" s="3" t="inlineStr">
        <is>
          <t>Driver paths are the dcf-analyst agent's, set 2026-08-28 on Q2-FY2026 actuals and FY2026 guidance. Weights 30/50/20 bear/base/bull -- NOT the 15/50/35 house default; raised bear for two unresolved leadership vacancies and a structural (not cyclical) downside case.</t>
        </is>
      </c>
    </row>
    <row r="29">
      <c r="A29" s="2" t="inlineStr"/>
      <c r="B29" s="3" t="inlineStr"/>
    </row>
    <row r="30">
      <c r="A30" s="2" t="inlineStr">
        <is>
          <t>REFRESH AFTER NEXT PRINT</t>
        </is>
      </c>
      <c r="B30" s="3" t="inlineStr">
        <is>
          <t>Q3-FY2026 results due mid-September 2026. Refresh: price, the Q3 balance sheet (net debt, diluted shares after continued buybacks and the Semrush/Topaz cash outlays), FY2026 guidance, and above all NET-NEW DIGITAL MEDIA ARR -- management has pre-warned it will look soft by design. Also watch for a permanent CEO.</t>
        </is>
      </c>
    </row>
    <row r="31">
      <c r="A31" s="2" t="inlineStr">
        <is>
          <t>ARR WARNING</t>
        </is>
      </c>
      <c r="B31" s="3" t="inlineStr">
        <is>
          <t>Digital Media ARR ($19.20bn FY2025) and Total Adobe ARR ($25.20bn FY2025, $27.10bn Q2-FY2026) are DIFFERENT definitions after the FY2026 redefinition. Never chain them: 19,200 -&gt; 26,060 is not 36% growth. Reported growth is ~10-11%.</t>
        </is>
      </c>
    </row>
    <row r="32">
      <c r="A32" s="2" t="inlineStr"/>
      <c r="B32" s="3" t="inlineStr"/>
    </row>
    <row r="33">
      <c r="A33" s="2" t="inlineStr">
        <is>
          <t>COLOUR LEGEND</t>
        </is>
      </c>
      <c r="B33" s="3" t="inlineStr">
        <is>
          <t>Blue bold = hardcoded input. Yellow fill = key lever (edit these). Black = formula. Green = cross-sheet link. Light green fill = headline result.</t>
        </is>
      </c>
    </row>
    <row r="34">
      <c r="A34" s="2" t="inlineStr">
        <is>
          <t>Editing</t>
        </is>
      </c>
      <c r="B34" s="3" t="inlineStr">
        <is>
          <t>Only rows 5, 7, 9 and 14 on each DCF tab are drivers. Everything else is formula-derived; never paste a value over a formula.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74" customWidth="1" min="1" max="1"/>
    <col width="14" customWidth="1" min="2" max="2"/>
    <col width="14" customWidth="1" min="3" max="3"/>
  </cols>
  <sheetData>
    <row r="1">
      <c r="A1" s="1" t="inlineStr">
        <is>
          <t>Reconciliation -- prior model (2026-06-30) to this one</t>
        </is>
      </c>
    </row>
    <row r="3">
      <c r="A3" s="4" t="inlineStr">
        <is>
          <t>Prior version dated 2026-06-30, price then $275.30. Figures below hardcoded; bridge is approximate.</t>
        </is>
      </c>
    </row>
    <row r="5">
      <c r="A5" s="2" t="inlineStr">
        <is>
          <t>Prior per-share values (hardcoded)</t>
        </is>
      </c>
    </row>
    <row r="6">
      <c r="A6" t="inlineStr">
        <is>
          <t>Bear</t>
        </is>
      </c>
      <c r="B6" s="5" t="n">
        <v>271.86</v>
      </c>
    </row>
    <row r="7">
      <c r="A7" t="inlineStr">
        <is>
          <t>Base</t>
        </is>
      </c>
      <c r="B7" s="5" t="n">
        <v>444.4</v>
      </c>
    </row>
    <row r="8">
      <c r="A8" t="inlineStr">
        <is>
          <t>Bull</t>
        </is>
      </c>
      <c r="B8" s="5" t="n">
        <v>641.1900000000001</v>
      </c>
    </row>
    <row r="9">
      <c r="A9" t="inlineStr">
        <is>
          <t>Weighted (25/50/25)</t>
        </is>
      </c>
      <c r="B9" s="5" t="n">
        <v>450.46</v>
      </c>
    </row>
    <row r="11">
      <c r="A11" s="2" t="inlineStr">
        <is>
          <t>Bridge to new weighted IV</t>
        </is>
      </c>
    </row>
    <row r="12">
      <c r="A12" s="6" t="inlineStr">
        <is>
          <t>Item</t>
        </is>
      </c>
      <c r="B12" s="6" t="inlineStr">
        <is>
          <t>$/share</t>
        </is>
      </c>
      <c r="C12" s="6" t="inlineStr">
        <is>
          <t>Running</t>
        </is>
      </c>
    </row>
    <row r="13">
      <c r="A13" s="3" t="inlineStr">
        <is>
          <t>Prior weighted IV (25/50/25 weights)</t>
        </is>
      </c>
      <c r="B13" s="7" t="n">
        <v>450.46</v>
      </c>
    </row>
    <row r="14">
      <c r="A14" s="3" t="inlineStr">
        <is>
          <t>Reweight to 30/50/20 for unresolved CEO/CFO vacancies and structural (not cyclical) bear case</t>
        </is>
      </c>
      <c r="B14" s="7" t="n">
        <v>-18.46</v>
      </c>
      <c r="C14" s="7" t="n">
        <v>432</v>
      </c>
    </row>
    <row r="15">
      <c r="A15" s="3" t="inlineStr">
        <is>
          <t>New driver paths, 10-year horizon, TTM base, component margin build, refreshed 402.5m share count -- measured on the STREET basis so it is comparable with the prior SBC-as-non-cash treatment</t>
        </is>
      </c>
      <c r="B15" s="7" t="n">
        <v>-4.12</v>
      </c>
      <c r="C15" s="7" t="n">
        <v>427.87</v>
      </c>
    </row>
    <row r="16">
      <c r="A16" s="3" t="inlineStr">
        <is>
          <t>SBC expensed in full (incl. $418m cash taxes on net-share settlement), share count held flat -- the house owner-FCF policy the prior version did not apply</t>
        </is>
      </c>
      <c r="B16" s="7" t="n">
        <v>-98.84999999999999</v>
      </c>
      <c r="C16" s="7" t="n">
        <v>329.03</v>
      </c>
    </row>
    <row r="17">
      <c r="A17" s="3" t="inlineStr">
        <is>
          <t>New weighted IV</t>
        </is>
      </c>
      <c r="B17" s="7" t="n">
        <v>329.03</v>
      </c>
    </row>
    <row r="19">
      <c r="A19" s="2" t="inlineStr">
        <is>
          <t>New weighted IV (LIVE -- authoritative)</t>
        </is>
      </c>
      <c r="B19" s="8">
        <f>Valuation!B12</f>
        <v/>
      </c>
    </row>
    <row r="21">
      <c r="A21" s="2" t="inlineStr">
        <is>
          <t>Nature of change</t>
        </is>
      </c>
    </row>
    <row r="22" ht="60" customHeight="1">
      <c r="A22" s="3" t="inlineStr">
        <is>
          <t>METHODOLOGY REBUILD, not a driver refresh. The prior DCF predates this repo's owner-FCF policy: it valued Adobe on reported FCF with SBC treated as non-cash, carried a FLAT 41.45% FCF margin forward instead of building margins from components, ran a 5-year horizon, used a stale 397.5m share count, and computed the entry price as terminal-value-per-share discounted at 15% (the formula corrected on 2026-07-21, which the memory notes made entry prices 40-50% too low). Every scenario driver has therefore been re-judged deliberately, which is the exception to the usual do-not-re-derive rule and is stated here explicitly.</t>
        </is>
      </c>
    </row>
    <row r="24">
      <c r="A24" s="2" t="inlineStr">
        <is>
          <t>Deliberately unchanged</t>
        </is>
      </c>
    </row>
    <row r="25" ht="34" customHeight="1">
      <c r="A25" s="3" t="inlineStr">
        <is>
          <t>WACC 9.5% -- effectively unchanged (prior base 10%, scenario-varied 9-12%). Now built explicitly from a USD CAPM (4.3% rf, 5.0% ERP, beta 1.15 =&gt; 9.67%) and applied UNIFORMLY, because the prior model's per-scenario WACC spread charged risk twice -- once in the flows and again in the discount rate. Would move on a material change in the risk-free rate or Adobe's beta.</t>
        </is>
      </c>
    </row>
    <row r="26" ht="34" customHeight="1">
      <c r="A26" s="3" t="inlineStr">
        <is>
          <t>Terminal growth 3.0% base -- unchanged from prior. Still consistent with long-run nominal GDP for a dominant subscription platform. Bear cut to 1.0% to match a genuinely eroding business; bull 3.5%.</t>
        </is>
      </c>
    </row>
    <row r="27" ht="34" customHeight="1">
      <c r="A27" s="3" t="inlineStr">
        <is>
          <t>Net debt $1,726m -- unchanged. Same Q2-FY2026 (2026-05-29) balance sheet as the prior version -- $6,645m debt less $4,919m cash. Would move on the Q3-FY2026 10-Q, especially given continued buybacks and the Semrush/Topaz cash outlays.</t>
        </is>
      </c>
    </row>
    <row r="28" ht="34" customHeight="1">
      <c r="A28" s="3" t="inlineStr">
        <is>
          <t>Equity CAGR rejected as growth driver -- unchanged judgment. Still a buyback artifact, not deterioration. Would only move if buybacks stopped and equity kept falling.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Reported actuals and current guidance (all hardcoded)</t>
        </is>
      </c>
    </row>
    <row r="3">
      <c r="A3" s="2" t="inlineStr">
        <is>
          <t>USD millions except shares</t>
        </is>
      </c>
      <c r="B3" s="9" t="inlineStr">
        <is>
          <t>FY2020</t>
        </is>
      </c>
      <c r="C3" s="9" t="inlineStr">
        <is>
          <t>FY2021</t>
        </is>
      </c>
      <c r="D3" s="9" t="inlineStr">
        <is>
          <t>FY2022</t>
        </is>
      </c>
      <c r="E3" s="9" t="inlineStr">
        <is>
          <t>FY2023</t>
        </is>
      </c>
      <c r="F3" s="9" t="inlineStr">
        <is>
          <t>FY2024</t>
        </is>
      </c>
      <c r="G3" s="9" t="inlineStr">
        <is>
          <t>FY2025</t>
        </is>
      </c>
      <c r="H3" s="9" t="inlineStr">
        <is>
          <t>TTM</t>
        </is>
      </c>
    </row>
    <row r="4">
      <c r="A4" t="inlineStr">
        <is>
          <t>Revenue</t>
        </is>
      </c>
      <c r="B4" s="10" t="n">
        <v>12868</v>
      </c>
      <c r="C4" s="10" t="n">
        <v>15785</v>
      </c>
      <c r="D4" s="10" t="n">
        <v>17606</v>
      </c>
      <c r="E4" s="10" t="n">
        <v>19409</v>
      </c>
      <c r="F4" s="10" t="n">
        <v>21505</v>
      </c>
      <c r="G4" s="10" t="n">
        <v>23769</v>
      </c>
      <c r="H4" s="10" t="n">
        <v>25198</v>
      </c>
    </row>
    <row r="5">
      <c r="A5" t="inlineStr">
        <is>
          <t>Operating cash flow</t>
        </is>
      </c>
      <c r="B5" s="10" t="n">
        <v>5727</v>
      </c>
      <c r="C5" s="10" t="n">
        <v>7230</v>
      </c>
      <c r="D5" s="10" t="n">
        <v>7838</v>
      </c>
      <c r="E5" s="10" t="n">
        <v>7302</v>
      </c>
      <c r="F5" s="10" t="n">
        <v>8056</v>
      </c>
      <c r="G5" s="10" t="n">
        <v>10031</v>
      </c>
      <c r="H5" s="10" t="n">
        <v>10481</v>
      </c>
    </row>
    <row r="6">
      <c r="A6" t="inlineStr">
        <is>
          <t>Capex</t>
        </is>
      </c>
      <c r="B6" s="10" t="n">
        <v>419</v>
      </c>
      <c r="C6" s="10" t="n">
        <v>348</v>
      </c>
      <c r="D6" s="10" t="n">
        <v>442</v>
      </c>
      <c r="E6" s="10" t="n">
        <v>360</v>
      </c>
      <c r="F6" s="10" t="n">
        <v>183</v>
      </c>
      <c r="G6" s="10" t="n">
        <v>179</v>
      </c>
      <c r="H6" s="10" t="n">
        <v>201</v>
      </c>
    </row>
    <row r="7">
      <c r="A7" t="inlineStr">
        <is>
          <t>Free cash flow (reported)</t>
        </is>
      </c>
      <c r="B7" s="10" t="n">
        <v>5308</v>
      </c>
      <c r="C7" s="10" t="n">
        <v>6882</v>
      </c>
      <c r="D7" s="10" t="n">
        <v>7396</v>
      </c>
      <c r="E7" s="10" t="n">
        <v>6942</v>
      </c>
      <c r="F7" s="10" t="n">
        <v>7873</v>
      </c>
      <c r="G7" s="10" t="n">
        <v>9852</v>
      </c>
      <c r="H7" s="10" t="n">
        <v>10280</v>
      </c>
    </row>
    <row r="8">
      <c r="A8" t="inlineStr">
        <is>
          <t>SBC (cash flow add-back)</t>
        </is>
      </c>
      <c r="B8" s="10" t="n">
        <v>909</v>
      </c>
      <c r="C8" s="10" t="n">
        <v>1069</v>
      </c>
      <c r="D8" s="10" t="n">
        <v>1440</v>
      </c>
      <c r="E8" s="10" t="n">
        <v>1718</v>
      </c>
      <c r="F8" s="10" t="n">
        <v>1833</v>
      </c>
      <c r="G8" s="10" t="n">
        <v>1942</v>
      </c>
      <c r="H8" s="10" t="n">
        <v>2029</v>
      </c>
    </row>
    <row r="9">
      <c r="A9" t="inlineStr">
        <is>
          <t>Equity-award cash taxes</t>
        </is>
      </c>
      <c r="B9" s="10" t="n">
        <v>681</v>
      </c>
      <c r="C9" s="10" t="n">
        <v>719</v>
      </c>
      <c r="D9" s="10" t="n">
        <v>518</v>
      </c>
      <c r="E9" s="10" t="n">
        <v>589</v>
      </c>
      <c r="F9" s="10" t="n">
        <v>677</v>
      </c>
      <c r="G9" s="10" t="n">
        <v>475</v>
      </c>
      <c r="H9" s="10" t="n">
        <v>418</v>
      </c>
    </row>
    <row r="10">
      <c r="A10" t="inlineStr">
        <is>
          <t>D&amp;A</t>
        </is>
      </c>
      <c r="B10" s="10" t="n">
        <v>757</v>
      </c>
      <c r="C10" s="10" t="n">
        <v>788</v>
      </c>
      <c r="D10" s="10" t="n">
        <v>856</v>
      </c>
      <c r="E10" s="10" t="n">
        <v>872</v>
      </c>
      <c r="F10" s="10" t="n">
        <v>857</v>
      </c>
      <c r="G10" s="10" t="n">
        <v>818</v>
      </c>
      <c r="H10" s="10" t="n">
        <v>759</v>
      </c>
    </row>
    <row r="11">
      <c r="A11" t="inlineStr">
        <is>
          <t>Cash taxes paid</t>
        </is>
      </c>
      <c r="B11" s="10" t="n">
        <v>469</v>
      </c>
      <c r="C11" s="10" t="n">
        <v>843</v>
      </c>
      <c r="D11" s="10" t="n">
        <v>778</v>
      </c>
      <c r="E11" s="10" t="n">
        <v>1854</v>
      </c>
      <c r="F11" s="10" t="n">
        <v>1727</v>
      </c>
      <c r="G11" s="10" t="n">
        <v>2219</v>
      </c>
      <c r="H11" s="10" t="n">
        <v>2126</v>
      </c>
    </row>
    <row r="12">
      <c r="A12" t="inlineStr">
        <is>
          <t>Interest income</t>
        </is>
      </c>
      <c r="B12" s="10" t="n">
        <v>43</v>
      </c>
      <c r="C12" s="10" t="n">
        <v>17</v>
      </c>
      <c r="D12" s="10" t="n">
        <v>61</v>
      </c>
      <c r="E12" s="10" t="n">
        <v>269</v>
      </c>
      <c r="F12" s="10" t="n">
        <v>341</v>
      </c>
      <c r="G12" s="10" t="n">
        <v>264</v>
      </c>
      <c r="H12" s="10" t="n">
        <v>264</v>
      </c>
    </row>
    <row r="13">
      <c r="A13" t="inlineStr">
        <is>
          <t>Net income</t>
        </is>
      </c>
      <c r="B13" s="10" t="n">
        <v>5260</v>
      </c>
      <c r="C13" s="10" t="n">
        <v>4822</v>
      </c>
      <c r="D13" s="10" t="n">
        <v>4756</v>
      </c>
      <c r="E13" s="10" t="n">
        <v>5428</v>
      </c>
      <c r="F13" s="10" t="n">
        <v>5560</v>
      </c>
      <c r="G13" s="10" t="n">
        <v>7130</v>
      </c>
      <c r="H13" s="10" t="n">
        <v>7229</v>
      </c>
    </row>
    <row r="14">
      <c r="A14" t="inlineStr">
        <is>
          <t>Shareholders equity</t>
        </is>
      </c>
      <c r="B14" s="10" t="n">
        <v>13264</v>
      </c>
      <c r="C14" s="10" t="n">
        <v>14797</v>
      </c>
      <c r="D14" s="10" t="n">
        <v>14051</v>
      </c>
      <c r="E14" s="10" t="n">
        <v>16518</v>
      </c>
      <c r="F14" s="10" t="n">
        <v>14105</v>
      </c>
      <c r="G14" s="10" t="n">
        <v>11623</v>
      </c>
      <c r="H14" s="10" t="n">
        <v>11518</v>
      </c>
    </row>
    <row r="15">
      <c r="A15" t="inlineStr">
        <is>
          <t>Deferred revenue</t>
        </is>
      </c>
      <c r="B15" s="10" t="n">
        <v>3629</v>
      </c>
      <c r="C15" s="10" t="n">
        <v>4733</v>
      </c>
      <c r="D15" s="10" t="n">
        <v>5297</v>
      </c>
      <c r="E15" s="10" t="n">
        <v>5837</v>
      </c>
      <c r="F15" s="10" t="n">
        <v>6131</v>
      </c>
      <c r="G15" s="10" t="n">
        <v>6905</v>
      </c>
    </row>
    <row r="16">
      <c r="A16" t="inlineStr">
        <is>
          <t>Buybacks</t>
        </is>
      </c>
      <c r="B16" s="10" t="n">
        <v>3050</v>
      </c>
      <c r="C16" s="10" t="n">
        <v>3950</v>
      </c>
      <c r="D16" s="10" t="n">
        <v>6550</v>
      </c>
      <c r="E16" s="10" t="n">
        <v>4400</v>
      </c>
      <c r="F16" s="10" t="n">
        <v>9500</v>
      </c>
      <c r="G16" s="10" t="n">
        <v>11281</v>
      </c>
    </row>
    <row r="17">
      <c r="A17" t="inlineStr">
        <is>
          <t>Diluted shares</t>
        </is>
      </c>
      <c r="B17" s="11" t="n">
        <v>485.5</v>
      </c>
      <c r="C17" s="11" t="n">
        <v>481</v>
      </c>
      <c r="D17" s="11" t="n">
        <v>470.9</v>
      </c>
      <c r="E17" s="11" t="n">
        <v>459.1</v>
      </c>
      <c r="F17" s="11" t="n">
        <v>449.7</v>
      </c>
      <c r="G17" s="11" t="n">
        <v>427</v>
      </c>
      <c r="H17" s="11" t="n">
        <v>402.5</v>
      </c>
    </row>
    <row r="19">
      <c r="A19" s="4" t="inlineStr">
        <is>
          <t>Source: FY2020-FY2025 10-K filings; TTM = FY2025 + H1-FY2026 - H1-FY2025 per the Q2-FY2026 10-Q (2026-05-29).</t>
        </is>
      </c>
    </row>
    <row r="21">
      <c r="A21" s="2" t="inlineStr">
        <is>
          <t>Balance sheet snapshot at 2026-05-29</t>
        </is>
      </c>
    </row>
    <row r="22">
      <c r="A22" t="inlineStr">
        <is>
          <t>Cash and equivalents</t>
        </is>
      </c>
      <c r="B22" s="10" t="n">
        <v>4919</v>
      </c>
    </row>
    <row r="23">
      <c r="A23" t="inlineStr">
        <is>
          <t>Total debt</t>
        </is>
      </c>
      <c r="B23" s="10" t="n">
        <v>6645</v>
      </c>
    </row>
    <row r="24">
      <c r="A24" t="inlineStr">
        <is>
          <t>Net DEBT</t>
        </is>
      </c>
      <c r="B24" s="10" t="n">
        <v>1726</v>
      </c>
    </row>
    <row r="25">
      <c r="A25" t="inlineStr">
        <is>
          <t>Diluted shares (m)</t>
        </is>
      </c>
      <c r="B25" s="11" t="n">
        <v>402.5</v>
      </c>
    </row>
    <row r="27">
      <c r="A27" s="2" t="inlineStr">
        <is>
          <t>Buyback status</t>
        </is>
      </c>
    </row>
    <row r="28" ht="42" customHeight="1">
      <c r="A28" s="3" t="inlineStr">
        <is>
          <t>Two authorizations totalling $50bn run to March 2028 and April 2030, against a ~$116bn market cap. FY2025 repurchases were $11,281m; H1-FY2026 $4,589m. The flat share count in this model is genuinely funded, not a convention.</t>
        </is>
      </c>
    </row>
    <row r="30">
      <c r="A30" s="2" t="inlineStr">
        <is>
          <t>FY2026 guidance (Q2-FY2026, 11 June 2026)</t>
        </is>
      </c>
    </row>
    <row r="31">
      <c r="A31" t="inlineStr">
        <is>
          <t>Revenue</t>
        </is>
      </c>
      <c r="B31" s="12" t="inlineStr">
        <is>
          <t>$26.50-26.60bn (raised)</t>
        </is>
      </c>
    </row>
    <row r="32">
      <c r="A32" t="inlineStr">
        <is>
          <t>Non-GAAP EPS</t>
        </is>
      </c>
      <c r="B32" s="12" t="inlineStr">
        <is>
          <t>$24.35-24.45 (raised)</t>
        </is>
      </c>
    </row>
    <row r="33">
      <c r="A33" t="inlineStr">
        <is>
          <t>Non-GAAP operating margin</t>
        </is>
      </c>
      <c r="B33" s="12" t="inlineStr">
        <is>
          <t>~45% (maintained)</t>
        </is>
      </c>
    </row>
    <row r="34">
      <c r="A34" t="inlineStr">
        <is>
          <t>Total ending ARR growth</t>
        </is>
      </c>
      <c r="B34" s="12" t="inlineStr">
        <is>
          <t>~10.2% incl. ~$480m acquired Semrush ARR</t>
        </is>
      </c>
    </row>
    <row r="35">
      <c r="A35" t="inlineStr">
        <is>
          <t>Q3-FY2026 revenue</t>
        </is>
      </c>
      <c r="B35" s="12" t="inlineStr">
        <is>
          <t>$6.67-6.72bn</t>
        </is>
      </c>
    </row>
  </sheetData>
  <mergeCells count="5">
    <mergeCell ref="B34:F34"/>
    <mergeCell ref="B33:F33"/>
    <mergeCell ref="B31:F31"/>
    <mergeCell ref="B32:F32"/>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62" customWidth="1" min="5" max="5"/>
  </cols>
  <sheetData>
    <row r="1">
      <c r="A1" s="1" t="inlineStr">
        <is>
          <t>Global assumptions and scenario settings</t>
        </is>
      </c>
    </row>
    <row r="3">
      <c r="A3" s="2" t="inlineStr">
        <is>
          <t>Globals</t>
        </is>
      </c>
    </row>
    <row r="4" ht="30" customHeight="1">
      <c r="A4" t="inlineStr">
        <is>
          <t>WACC</t>
        </is>
      </c>
      <c r="B4" s="13" t="n">
        <v>0.095</v>
      </c>
      <c r="E4" s="3" t="inlineStr">
        <is>
          <t>USD CAPM: 4.3% rf + 1.15 beta x 5.0% ERP = 10.05% CoE; blended with ~3.0% after-tax cost of debt at 94.6/5.4 weights = 9.67%, rounded. Same rate in all three scenarios so risk is charged once.</t>
        </is>
      </c>
    </row>
    <row r="5" ht="30" customHeight="1">
      <c r="A5" t="inlineStr">
        <is>
          <t>Working capital capture</t>
        </is>
      </c>
      <c r="B5" s="13" t="n">
        <v>0.25</v>
      </c>
      <c r="E5" s="3" t="inlineStr">
        <is>
          <t>Share of the YoY revenue INCREASE that converts to cash via deferred revenue. 5-year actual dDR/dRevenue averaged 29%. Bear uses 15% on its own tab.</t>
        </is>
      </c>
    </row>
    <row r="6" ht="30" customHeight="1">
      <c r="A6" t="inlineStr">
        <is>
          <t>Net debt (USD m)</t>
        </is>
      </c>
      <c r="B6" s="14" t="n">
        <v>1726</v>
      </c>
      <c r="E6" s="3" t="inlineStr">
        <is>
          <t>Positive = net debt. $6,645m debt less $4,919m cash at 2026-05-29.</t>
        </is>
      </c>
    </row>
    <row r="7" ht="30" customHeight="1">
      <c r="A7" t="inlineStr">
        <is>
          <t>Diluted shares (m)</t>
        </is>
      </c>
      <c r="B7" s="15" t="n">
        <v>402.5</v>
      </c>
      <c r="E7" s="3" t="inlineStr">
        <is>
          <t>Q2-FY2026 10-Q, fully diluted. HELD FLAT because SBC is expensed.</t>
        </is>
      </c>
    </row>
    <row r="8" ht="30" customHeight="1">
      <c r="A8" t="inlineStr">
        <is>
          <t>Current price (USD)</t>
        </is>
      </c>
      <c r="B8" s="16" t="n">
        <v>289.15</v>
      </c>
      <c r="E8" s="3" t="inlineStr">
        <is>
          <t>Yahoo close 2026-08-27T20:00:00Z. 52-week range $190.12-$370.86.</t>
        </is>
      </c>
    </row>
    <row r="9" ht="30" customHeight="1">
      <c r="A9" t="inlineStr">
        <is>
          <t>FY0 revenue (USD m)</t>
        </is>
      </c>
      <c r="B9" s="14" t="n">
        <v>25198</v>
      </c>
      <c r="E9" s="3" t="inlineStr">
        <is>
          <t>TTM = FY2025 + H1-FY2026 - H1-FY2025.</t>
        </is>
      </c>
    </row>
    <row r="10" ht="30" customHeight="1">
      <c r="A10" t="inlineStr">
        <is>
          <t>FY0 owner FCF (USD m)</t>
        </is>
      </c>
      <c r="B10" s="14" t="n">
        <v>7833</v>
      </c>
      <c r="E10" s="3" t="inlineStr">
        <is>
          <t>Reported FCF $10,280m less SBC $2,029m less equity-award taxes $418m.</t>
        </is>
      </c>
    </row>
    <row r="12">
      <c r="A12" s="2" t="inlineStr">
        <is>
          <t>Per scenario</t>
        </is>
      </c>
    </row>
    <row r="13">
      <c r="A13" s="17" t="inlineStr"/>
      <c r="B13" s="9" t="inlineStr">
        <is>
          <t>Bear</t>
        </is>
      </c>
      <c r="C13" s="9" t="inlineStr">
        <is>
          <t>Base</t>
        </is>
      </c>
      <c r="D13" s="9" t="inlineStr">
        <is>
          <t>Bull</t>
        </is>
      </c>
    </row>
    <row r="14">
      <c r="A14" t="inlineStr">
        <is>
          <t>Terminal growth</t>
        </is>
      </c>
      <c r="B14" s="13" t="n">
        <v>0.01</v>
      </c>
      <c r="C14" s="13" t="n">
        <v>0.03</v>
      </c>
      <c r="D14" s="13" t="n">
        <v>0.035</v>
      </c>
    </row>
    <row r="15">
      <c r="A15" t="inlineStr">
        <is>
          <t>Terminal cap (x FCF_10)</t>
        </is>
      </c>
      <c r="B15" s="18" t="n">
        <v>12</v>
      </c>
      <c r="C15" s="18" t="n">
        <v>17</v>
      </c>
      <c r="D15" s="18" t="n">
        <v>20</v>
      </c>
    </row>
    <row r="16">
      <c r="A16" t="inlineStr">
        <is>
          <t>WC capture</t>
        </is>
      </c>
      <c r="B16" s="13" t="n">
        <v>0.15</v>
      </c>
      <c r="C16" s="13" t="n">
        <v>0.25</v>
      </c>
      <c r="D16" s="13" t="n">
        <v>0.28</v>
      </c>
    </row>
    <row r="17">
      <c r="A17" t="inlineStr">
        <is>
          <t>Probability weight</t>
        </is>
      </c>
      <c r="B17" s="13" t="n">
        <v>0.3</v>
      </c>
      <c r="C17" s="13" t="n">
        <v>0.5</v>
      </c>
      <c r="D17" s="13" t="n">
        <v>0.2</v>
      </c>
    </row>
    <row r="18">
      <c r="A18" s="2" t="inlineStr">
        <is>
          <t>Weights check (must be 100%)</t>
        </is>
      </c>
      <c r="B18" s="19">
        <f>SUM(B17:D17)</f>
        <v/>
      </c>
    </row>
    <row r="20" ht="100" customHeight="1">
      <c r="A20" s="2" t="inlineStr">
        <is>
          <t>Weights rationale</t>
        </is>
      </c>
      <c r="B20" s="3" t="inlineStr">
        <is>
          <t>Deliberately NOT the 15/50/35 house default. Bear is raised to 30% and bull cut to 20% because the bear case here is structural rather than cyclical, and three independent things would each have to go right for the bull: freemium conversion at scale, Firefly monetization outrunning substitution, and a successful CEO transition. Adobe has two unresolved leadership vacancies (no permanent CEO five months after the March 2026 announcement; interim CFO), has itself deferred planned Creative Cloud price increases, and AI-first ARR is still under 2% of the ~$27bn base -- so the disruption risk is immediate and already visible while the offset is unproven. Offsetting that, ~96-97% subscription revenue, $10bn+ of annual cash generation and an investment-grade balance sheet mean the bear case is margin and growth erosion, NOT solvency, which is why bear stays at 30% rather than higher.</t>
        </is>
      </c>
    </row>
    <row r="22" ht="110" customHeight="1">
      <c r="A22" s="2" t="inlineStr">
        <is>
          <t>Bear narrative</t>
        </is>
      </c>
      <c r="B22" s="3" t="inlineStr">
        <is>
          <t>The structural-decline case, which is what the market is actually pricing. Deferring the planned Creative Cloud price increases is treated as what it looks like: an admission that AI-native substitutes have become good enough to cap what Adobe can charge its professional base. Growth decelerates to roughly 1% by FY2028 and turns mildly negative as seats churn to Canva, Figma and generative tools, so revenue is lower in year 10 than in year 1. The freemium pivot plus AI compute permanently compresses adjusted EBITDA margin from 48% to 38%, and SBC RISES as a share of a shrinking top line because retention comp in a decline is sticky. The deferred-revenue tailwind collapses with growth. This is a genuine erosion path, not a haircut.</t>
        </is>
      </c>
    </row>
    <row r="23" ht="110" customHeight="1">
      <c r="A23" s="2" t="inlineStr">
        <is>
          <t>Base narrative</t>
        </is>
      </c>
      <c r="B23" s="3" t="inlineStr">
        <is>
          <t>Adobe grows into the low-to-mid single digits off the TTM base as the deliberate freemium pivot trades near-term ARR growth for funnel: FY2026 lands on the raised $26.50-26.60bn guidance (~5.5% off the $25.2bn TTM base, ~12% off FY2025 including roughly $480m of acquired Semrush ARR), reaccelerates modestly in FY2027-28 as paid conversion and AI-credit monetization begin to land, then fades to a 3% terminal. Adjusted EBITDA margin holds near management's ~45% non-GAAP operating-margin target plus D&amp;A (48-49%), absorbing AI inference costs against subscription scale. SBC eases from 9.7% to 8.0% of revenue. The axes here are Creative Cloud pricing power against Canva/OpenAI substitution, and whether the 90M+ freemium MAU funnel converts before the legacy $20bn+ base erodes.</t>
        </is>
      </c>
    </row>
    <row r="24" ht="110" customHeight="1">
      <c r="A24" s="2" t="inlineStr">
        <is>
          <t>Bull narrative</t>
        </is>
      </c>
      <c r="B24" s="3" t="inlineStr">
        <is>
          <t>The freemium bet pays off: AI-first ARR compounds off its $500m base, Firefly monetization scales, and paid conversion from the 90M+ creative freemium MAUs (growing 70%+ YoY) reaccelerates total growth to double digits from FY2027, exactly as management has guided investors to expect. Enterprise ($10m+ ARR) customers keep growing 20%+, GenStudio establishes the content supply chain as a category, and Semrush plus Topaz prove accretive. Operating leverage carries adjusted EBITDA margin to 52% while SBC falls to 7.5% of revenue. A permanent AI-native CEO is named and the leadership discount unwinds.</t>
        </is>
      </c>
    </row>
  </sheetData>
  <mergeCells count="4">
    <mergeCell ref="B23:E23"/>
    <mergeCell ref="B24:E24"/>
    <mergeCell ref="B22:E22"/>
    <mergeCell ref="B20:E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3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ADBE owner-FCF DCF -- Bear case</t>
        </is>
      </c>
    </row>
    <row r="2">
      <c r="A2" s="4" t="inlineStr">
        <is>
          <t>Only rows 5, 7, 9 and 14 are drivers (yellow). Everything else is formula-derived.</t>
        </is>
      </c>
    </row>
    <row r="3">
      <c r="A3" s="2" t="inlineStr">
        <is>
          <t>USD millions</t>
        </is>
      </c>
      <c r="B3" s="6" t="inlineStr">
        <is>
          <t>FY0 TTM</t>
        </is>
      </c>
      <c r="C3" s="9" t="inlineStr">
        <is>
          <t>FY2026E</t>
        </is>
      </c>
      <c r="D3" s="9" t="inlineStr">
        <is>
          <t>FY2027E</t>
        </is>
      </c>
      <c r="E3" s="9" t="inlineStr">
        <is>
          <t>FY2028E</t>
        </is>
      </c>
      <c r="F3" s="9" t="inlineStr">
        <is>
          <t>FY2029E</t>
        </is>
      </c>
      <c r="G3" s="9" t="inlineStr">
        <is>
          <t>FY2030E</t>
        </is>
      </c>
      <c r="H3" s="9" t="inlineStr">
        <is>
          <t>FY2031E</t>
        </is>
      </c>
      <c r="I3" s="9" t="inlineStr">
        <is>
          <t>FY2032E</t>
        </is>
      </c>
      <c r="J3" s="9" t="inlineStr">
        <is>
          <t>FY2033E</t>
        </is>
      </c>
      <c r="K3" s="9" t="inlineStr">
        <is>
          <t>FY2034E</t>
        </is>
      </c>
      <c r="L3" s="9" t="inlineStr">
        <is>
          <t>FY2035E</t>
        </is>
      </c>
    </row>
    <row r="4">
      <c r="A4" t="inlineStr">
        <is>
          <t>Year index</t>
        </is>
      </c>
      <c r="B4" s="12" t="n">
        <v>0</v>
      </c>
      <c r="C4" s="12" t="n">
        <v>1</v>
      </c>
      <c r="D4" s="12" t="n">
        <v>2</v>
      </c>
      <c r="E4" s="12" t="n">
        <v>3</v>
      </c>
      <c r="F4" s="12" t="n">
        <v>4</v>
      </c>
      <c r="G4" s="12" t="n">
        <v>5</v>
      </c>
      <c r="H4" s="12" t="n">
        <v>6</v>
      </c>
      <c r="I4" s="12" t="n">
        <v>7</v>
      </c>
      <c r="J4" s="12" t="n">
        <v>8</v>
      </c>
      <c r="K4" s="12" t="n">
        <v>9</v>
      </c>
      <c r="L4" s="12" t="n">
        <v>10</v>
      </c>
    </row>
    <row r="5">
      <c r="A5" t="inlineStr">
        <is>
          <t>Revenue growth YoY</t>
        </is>
      </c>
      <c r="B5" s="20" t="n"/>
      <c r="C5" s="13" t="n">
        <v>0.045</v>
      </c>
      <c r="D5" s="13" t="n">
        <v>0.03</v>
      </c>
      <c r="E5" s="13" t="n">
        <v>0.015</v>
      </c>
      <c r="F5" s="13" t="n">
        <v>0.005</v>
      </c>
      <c r="G5" s="13" t="n">
        <v>0</v>
      </c>
      <c r="H5" s="13" t="n">
        <v>-0.005</v>
      </c>
      <c r="I5" s="13" t="n">
        <v>-0.01</v>
      </c>
      <c r="J5" s="13" t="n">
        <v>-0.01</v>
      </c>
      <c r="K5" s="13" t="n">
        <v>-0.005</v>
      </c>
      <c r="L5" s="13" t="n">
        <v>0</v>
      </c>
    </row>
    <row r="6">
      <c r="A6" t="inlineStr">
        <is>
          <t>Revenue</t>
        </is>
      </c>
      <c r="B6" s="21">
        <f>Assumptions!$B$9</f>
        <v/>
      </c>
      <c r="C6" s="22">
        <f>B6*(1+C5)</f>
        <v/>
      </c>
      <c r="D6" s="22">
        <f>C6*(1+D5)</f>
        <v/>
      </c>
      <c r="E6" s="22">
        <f>D6*(1+E5)</f>
        <v/>
      </c>
      <c r="F6" s="22">
        <f>E6*(1+F5)</f>
        <v/>
      </c>
      <c r="G6" s="22">
        <f>F6*(1+G5)</f>
        <v/>
      </c>
      <c r="H6" s="22">
        <f>G6*(1+H5)</f>
        <v/>
      </c>
      <c r="I6" s="22">
        <f>H6*(1+I5)</f>
        <v/>
      </c>
      <c r="J6" s="22">
        <f>I6*(1+J5)</f>
        <v/>
      </c>
      <c r="K6" s="22">
        <f>J6*(1+K5)</f>
        <v/>
      </c>
      <c r="L6" s="22">
        <f>K6*(1+L5)</f>
        <v/>
      </c>
    </row>
    <row r="7">
      <c r="A7" t="inlineStr">
        <is>
          <t>Adj EBITDA margin</t>
        </is>
      </c>
      <c r="B7" s="20" t="n"/>
      <c r="C7" s="13" t="n">
        <v>0.47</v>
      </c>
      <c r="D7" s="13" t="n">
        <v>0.455</v>
      </c>
      <c r="E7" s="13" t="n">
        <v>0.44</v>
      </c>
      <c r="F7" s="13" t="n">
        <v>0.425</v>
      </c>
      <c r="G7" s="13" t="n">
        <v>0.41</v>
      </c>
      <c r="H7" s="13" t="n">
        <v>0.4</v>
      </c>
      <c r="I7" s="13" t="n">
        <v>0.39</v>
      </c>
      <c r="J7" s="13" t="n">
        <v>0.385</v>
      </c>
      <c r="K7" s="13" t="n">
        <v>0.38</v>
      </c>
      <c r="L7" s="13" t="n">
        <v>0.38</v>
      </c>
    </row>
    <row r="8">
      <c r="A8" t="inlineStr">
        <is>
          <t>Adjusted EBITDA</t>
        </is>
      </c>
      <c r="B8" s="22" t="n"/>
      <c r="C8" s="22">
        <f>C6*C7</f>
        <v/>
      </c>
      <c r="D8" s="22">
        <f>D6*D7</f>
        <v/>
      </c>
      <c r="E8" s="22">
        <f>E6*E7</f>
        <v/>
      </c>
      <c r="F8" s="22">
        <f>F6*F7</f>
        <v/>
      </c>
      <c r="G8" s="22">
        <f>G6*G7</f>
        <v/>
      </c>
      <c r="H8" s="22">
        <f>H6*H7</f>
        <v/>
      </c>
      <c r="I8" s="22">
        <f>I6*I7</f>
        <v/>
      </c>
      <c r="J8" s="22">
        <f>J6*J7</f>
        <v/>
      </c>
      <c r="K8" s="22">
        <f>K6*K7</f>
        <v/>
      </c>
      <c r="L8" s="22">
        <f>L6*L7</f>
        <v/>
      </c>
    </row>
    <row r="9">
      <c r="A9" t="inlineStr">
        <is>
          <t>SBC % of revenue</t>
        </is>
      </c>
      <c r="B9" s="20" t="n"/>
      <c r="C9" s="13" t="n">
        <v>0.098</v>
      </c>
      <c r="D9" s="13" t="n">
        <v>0.1</v>
      </c>
      <c r="E9" s="13" t="n">
        <v>0.102</v>
      </c>
      <c r="F9" s="13" t="n">
        <v>0.105</v>
      </c>
      <c r="G9" s="13" t="n">
        <v>0.108</v>
      </c>
      <c r="H9" s="13" t="n">
        <v>0.11</v>
      </c>
      <c r="I9" s="13" t="n">
        <v>0.11</v>
      </c>
      <c r="J9" s="13" t="n">
        <v>0.11</v>
      </c>
      <c r="K9" s="13" t="n">
        <v>0.11</v>
      </c>
      <c r="L9" s="13" t="n">
        <v>0.11</v>
      </c>
    </row>
    <row r="10">
      <c r="A10" t="inlineStr">
        <is>
          <t>SBC (incl. equity-award taxes)</t>
        </is>
      </c>
      <c r="B10" s="22" t="n"/>
      <c r="C10" s="22">
        <f>-C6*C9</f>
        <v/>
      </c>
      <c r="D10" s="22">
        <f>-D6*D9</f>
        <v/>
      </c>
      <c r="E10" s="22">
        <f>-E6*E9</f>
        <v/>
      </c>
      <c r="F10" s="22">
        <f>-F6*F9</f>
        <v/>
      </c>
      <c r="G10" s="22">
        <f>-G6*G9</f>
        <v/>
      </c>
      <c r="H10" s="22">
        <f>-H6*H9</f>
        <v/>
      </c>
      <c r="I10" s="22">
        <f>-I6*I9</f>
        <v/>
      </c>
      <c r="J10" s="22">
        <f>-J6*J9</f>
        <v/>
      </c>
      <c r="K10" s="22">
        <f>-K6*K9</f>
        <v/>
      </c>
      <c r="L10" s="22">
        <f>-L6*L9</f>
        <v/>
      </c>
    </row>
    <row r="11">
      <c r="A11" t="inlineStr">
        <is>
          <t>Owner EBITDA (post-SBC)</t>
        </is>
      </c>
      <c r="B11" s="22" t="n"/>
      <c r="C11" s="22">
        <f>C8+C10</f>
        <v/>
      </c>
      <c r="D11" s="22">
        <f>D8+D10</f>
        <v/>
      </c>
      <c r="E11" s="22">
        <f>E8+E10</f>
        <v/>
      </c>
      <c r="F11" s="22">
        <f>F8+F10</f>
        <v/>
      </c>
      <c r="G11" s="22">
        <f>G8+G10</f>
        <v/>
      </c>
      <c r="H11" s="22">
        <f>H8+H10</f>
        <v/>
      </c>
      <c r="I11" s="22">
        <f>I8+I10</f>
        <v/>
      </c>
      <c r="J11" s="22">
        <f>J8+J10</f>
        <v/>
      </c>
      <c r="K11" s="22">
        <f>K8+K10</f>
        <v/>
      </c>
      <c r="L11" s="22">
        <f>L8+L10</f>
        <v/>
      </c>
    </row>
    <row r="12">
      <c r="A12" t="inlineStr">
        <is>
          <t>D&amp;A</t>
        </is>
      </c>
      <c r="B12" s="22" t="n"/>
      <c r="C12" s="22">
        <f>-C6*0.033</f>
        <v/>
      </c>
      <c r="D12" s="22">
        <f>-D6*0.034</f>
        <v/>
      </c>
      <c r="E12" s="22">
        <f>-E6*0.035</f>
        <v/>
      </c>
      <c r="F12" s="22">
        <f>-F6*0.035</f>
        <v/>
      </c>
      <c r="G12" s="22">
        <f>-G6*0.036000000000000004</f>
        <v/>
      </c>
      <c r="H12" s="22">
        <f>-H6*0.036000000000000004</f>
        <v/>
      </c>
      <c r="I12" s="22">
        <f>-I6*0.036000000000000004</f>
        <v/>
      </c>
      <c r="J12" s="22">
        <f>-J6*0.036000000000000004</f>
        <v/>
      </c>
      <c r="K12" s="22">
        <f>-K6*0.036000000000000004</f>
        <v/>
      </c>
      <c r="L12" s="22">
        <f>-L6*0.036000000000000004</f>
        <v/>
      </c>
    </row>
    <row r="13">
      <c r="A13" t="inlineStr">
        <is>
          <t>EBIT (SBC expensed)</t>
        </is>
      </c>
      <c r="B13" s="22" t="n"/>
      <c r="C13" s="22">
        <f>C11+C12</f>
        <v/>
      </c>
      <c r="D13" s="22">
        <f>D11+D12</f>
        <v/>
      </c>
      <c r="E13" s="22">
        <f>E11+E12</f>
        <v/>
      </c>
      <c r="F13" s="22">
        <f>F11+F12</f>
        <v/>
      </c>
      <c r="G13" s="22">
        <f>G11+G12</f>
        <v/>
      </c>
      <c r="H13" s="22">
        <f>H11+H12</f>
        <v/>
      </c>
      <c r="I13" s="22">
        <f>I11+I12</f>
        <v/>
      </c>
      <c r="J13" s="22">
        <f>J11+J12</f>
        <v/>
      </c>
      <c r="K13" s="22">
        <f>K11+K12</f>
        <v/>
      </c>
      <c r="L13" s="22">
        <f>L11+L12</f>
        <v/>
      </c>
    </row>
    <row r="14">
      <c r="A14" t="inlineStr">
        <is>
          <t>Cash tax rate</t>
        </is>
      </c>
      <c r="B14" s="20" t="n"/>
      <c r="C14" s="13" t="n">
        <v>0.27</v>
      </c>
      <c r="D14" s="13" t="n">
        <v>0.27</v>
      </c>
      <c r="E14" s="13" t="n">
        <v>0.27</v>
      </c>
      <c r="F14" s="13" t="n">
        <v>0.275</v>
      </c>
      <c r="G14" s="13" t="n">
        <v>0.275</v>
      </c>
      <c r="H14" s="13" t="n">
        <v>0.28</v>
      </c>
      <c r="I14" s="13" t="n">
        <v>0.28</v>
      </c>
      <c r="J14" s="13" t="n">
        <v>0.28</v>
      </c>
      <c r="K14" s="13" t="n">
        <v>0.28</v>
      </c>
      <c r="L14" s="13" t="n">
        <v>0.28</v>
      </c>
    </row>
    <row r="15">
      <c r="A15" t="inlineStr">
        <is>
          <t>NOPAT</t>
        </is>
      </c>
      <c r="B15" s="22" t="n"/>
      <c r="C15" s="22">
        <f>C13*(1-C14)</f>
        <v/>
      </c>
      <c r="D15" s="22">
        <f>D13*(1-D14)</f>
        <v/>
      </c>
      <c r="E15" s="22">
        <f>E13*(1-E14)</f>
        <v/>
      </c>
      <c r="F15" s="22">
        <f>F13*(1-F14)</f>
        <v/>
      </c>
      <c r="G15" s="22">
        <f>G13*(1-G14)</f>
        <v/>
      </c>
      <c r="H15" s="22">
        <f>H13*(1-H14)</f>
        <v/>
      </c>
      <c r="I15" s="22">
        <f>I13*(1-I14)</f>
        <v/>
      </c>
      <c r="J15" s="22">
        <f>J13*(1-J14)</f>
        <v/>
      </c>
      <c r="K15" s="22">
        <f>K13*(1-K14)</f>
        <v/>
      </c>
      <c r="L15" s="22">
        <f>L13*(1-L14)</f>
        <v/>
      </c>
    </row>
    <row r="16">
      <c r="A16" t="inlineStr">
        <is>
          <t>add back D&amp;A</t>
        </is>
      </c>
      <c r="B16" s="22" t="n"/>
      <c r="C16" s="22">
        <f>-C12</f>
        <v/>
      </c>
      <c r="D16" s="22">
        <f>-D12</f>
        <v/>
      </c>
      <c r="E16" s="22">
        <f>-E12</f>
        <v/>
      </c>
      <c r="F16" s="22">
        <f>-F12</f>
        <v/>
      </c>
      <c r="G16" s="22">
        <f>-G12</f>
        <v/>
      </c>
      <c r="H16" s="22">
        <f>-H12</f>
        <v/>
      </c>
      <c r="I16" s="22">
        <f>-I12</f>
        <v/>
      </c>
      <c r="J16" s="22">
        <f>-J12</f>
        <v/>
      </c>
      <c r="K16" s="22">
        <f>-K12</f>
        <v/>
      </c>
      <c r="L16" s="22">
        <f>-L12</f>
        <v/>
      </c>
    </row>
    <row r="17">
      <c r="A17" t="inlineStr">
        <is>
          <t>less capex</t>
        </is>
      </c>
      <c r="B17" s="22" t="n"/>
      <c r="C17" s="22">
        <f>-C6*0.011000000000000001</f>
        <v/>
      </c>
      <c r="D17" s="22">
        <f>-D6*0.012</f>
        <v/>
      </c>
      <c r="E17" s="22">
        <f>-E6*0.013000000000000001</f>
        <v/>
      </c>
      <c r="F17" s="22">
        <f>-F6*0.013999999999999999</f>
        <v/>
      </c>
      <c r="G17" s="22">
        <f>-G6*0.013999999999999999</f>
        <v/>
      </c>
      <c r="H17" s="22">
        <f>-H6*0.015</f>
        <v/>
      </c>
      <c r="I17" s="22">
        <f>-I6*0.015</f>
        <v/>
      </c>
      <c r="J17" s="22">
        <f>-J6*0.015</f>
        <v/>
      </c>
      <c r="K17" s="22">
        <f>-K6*0.015</f>
        <v/>
      </c>
      <c r="L17" s="22">
        <f>-L6*0.015</f>
        <v/>
      </c>
    </row>
    <row r="18">
      <c r="A18" t="inlineStr">
        <is>
          <t>add working capital</t>
        </is>
      </c>
      <c r="B18" s="22" t="n"/>
      <c r="C18" s="22">
        <f>Assumptions!$B$16*(C6-B6)</f>
        <v/>
      </c>
      <c r="D18" s="22">
        <f>Assumptions!$B$16*(D6-C6)</f>
        <v/>
      </c>
      <c r="E18" s="22">
        <f>Assumptions!$B$16*(E6-D6)</f>
        <v/>
      </c>
      <c r="F18" s="22">
        <f>Assumptions!$B$16*(F6-E6)</f>
        <v/>
      </c>
      <c r="G18" s="22">
        <f>Assumptions!$B$16*(G6-F6)</f>
        <v/>
      </c>
      <c r="H18" s="22">
        <f>Assumptions!$B$16*(H6-G6)</f>
        <v/>
      </c>
      <c r="I18" s="22">
        <f>Assumptions!$B$16*(I6-H6)</f>
        <v/>
      </c>
      <c r="J18" s="22">
        <f>Assumptions!$B$16*(J6-I6)</f>
        <v/>
      </c>
      <c r="K18" s="22">
        <f>Assumptions!$B$16*(K6-J6)</f>
        <v/>
      </c>
      <c r="L18" s="22">
        <f>Assumptions!$B$16*(L6-K6)</f>
        <v/>
      </c>
    </row>
    <row r="19">
      <c r="A19" t="inlineStr">
        <is>
          <t>Unlevered owner FCF</t>
        </is>
      </c>
      <c r="B19" s="22" t="n"/>
      <c r="C19" s="23">
        <f>C15+C16+C17+C18</f>
        <v/>
      </c>
      <c r="D19" s="23">
        <f>D15+D16+D17+D18</f>
        <v/>
      </c>
      <c r="E19" s="23">
        <f>E15+E16+E17+E18</f>
        <v/>
      </c>
      <c r="F19" s="23">
        <f>F15+F16+F17+F18</f>
        <v/>
      </c>
      <c r="G19" s="23">
        <f>G15+G16+G17+G18</f>
        <v/>
      </c>
      <c r="H19" s="23">
        <f>H15+H16+H17+H18</f>
        <v/>
      </c>
      <c r="I19" s="23">
        <f>I15+I16+I17+I18</f>
        <v/>
      </c>
      <c r="J19" s="23">
        <f>J15+J16+J17+J18</f>
        <v/>
      </c>
      <c r="K19" s="23">
        <f>K15+K16+K17+K18</f>
        <v/>
      </c>
      <c r="L19" s="23">
        <f>L15+L16+L17+L18</f>
        <v/>
      </c>
    </row>
    <row r="20">
      <c r="A20" t="inlineStr">
        <is>
          <t>Discount factor</t>
        </is>
      </c>
      <c r="B20" s="24" t="n"/>
      <c r="C20" s="24">
        <f>1/(1+Assumptions!$B$4)^C4</f>
        <v/>
      </c>
      <c r="D20" s="24">
        <f>1/(1+Assumptions!$B$4)^D4</f>
        <v/>
      </c>
      <c r="E20" s="24">
        <f>1/(1+Assumptions!$B$4)^E4</f>
        <v/>
      </c>
      <c r="F20" s="24">
        <f>1/(1+Assumptions!$B$4)^F4</f>
        <v/>
      </c>
      <c r="G20" s="24">
        <f>1/(1+Assumptions!$B$4)^G4</f>
        <v/>
      </c>
      <c r="H20" s="24">
        <f>1/(1+Assumptions!$B$4)^H4</f>
        <v/>
      </c>
      <c r="I20" s="24">
        <f>1/(1+Assumptions!$B$4)^I4</f>
        <v/>
      </c>
      <c r="J20" s="24">
        <f>1/(1+Assumptions!$B$4)^J4</f>
        <v/>
      </c>
      <c r="K20" s="24">
        <f>1/(1+Assumptions!$B$4)^K4</f>
        <v/>
      </c>
      <c r="L20" s="24">
        <f>1/(1+Assumptions!$B$4)^L4</f>
        <v/>
      </c>
    </row>
    <row r="21">
      <c r="A21" t="inlineStr">
        <is>
          <t>PV of FCF</t>
        </is>
      </c>
      <c r="B21" s="22" t="n"/>
      <c r="C21" s="22">
        <f>C19*C20</f>
        <v/>
      </c>
      <c r="D21" s="22">
        <f>D19*D20</f>
        <v/>
      </c>
      <c r="E21" s="22">
        <f>E19*E20</f>
        <v/>
      </c>
      <c r="F21" s="22">
        <f>F19*F20</f>
        <v/>
      </c>
      <c r="G21" s="22">
        <f>G19*G20</f>
        <v/>
      </c>
      <c r="H21" s="22">
        <f>H19*H20</f>
        <v/>
      </c>
      <c r="I21" s="22">
        <f>I19*I20</f>
        <v/>
      </c>
      <c r="J21" s="22">
        <f>J19*J20</f>
        <v/>
      </c>
      <c r="K21" s="22">
        <f>K19*K20</f>
        <v/>
      </c>
      <c r="L21" s="22">
        <f>L19*L20</f>
        <v/>
      </c>
    </row>
    <row r="23">
      <c r="A23" t="inlineStr">
        <is>
          <t>Memo: FCF before SBC (street)</t>
        </is>
      </c>
      <c r="B23" s="22" t="n"/>
      <c r="C23" s="22">
        <f>C19-C10</f>
        <v/>
      </c>
      <c r="D23" s="22">
        <f>D19-D10</f>
        <v/>
      </c>
      <c r="E23" s="22">
        <f>E19-E10</f>
        <v/>
      </c>
      <c r="F23" s="22">
        <f>F19-F10</f>
        <v/>
      </c>
      <c r="G23" s="22">
        <f>G19-G10</f>
        <v/>
      </c>
      <c r="H23" s="22">
        <f>H19-H10</f>
        <v/>
      </c>
      <c r="I23" s="22">
        <f>I19-I10</f>
        <v/>
      </c>
      <c r="J23" s="22">
        <f>J19-J10</f>
        <v/>
      </c>
      <c r="K23" s="22">
        <f>K19-K10</f>
        <v/>
      </c>
      <c r="L23" s="22">
        <f>L19-L10</f>
        <v/>
      </c>
    </row>
    <row r="24">
      <c r="A24" t="inlineStr">
        <is>
          <t>Memo: owner-FCF margin</t>
        </is>
      </c>
      <c r="B24" s="20" t="n"/>
      <c r="C24" s="20">
        <f>C19/C6</f>
        <v/>
      </c>
      <c r="D24" s="20">
        <f>D19/D6</f>
        <v/>
      </c>
      <c r="E24" s="20">
        <f>E19/E6</f>
        <v/>
      </c>
      <c r="F24" s="20">
        <f>F19/F6</f>
        <v/>
      </c>
      <c r="G24" s="20">
        <f>G19/G6</f>
        <v/>
      </c>
      <c r="H24" s="20">
        <f>H19/H6</f>
        <v/>
      </c>
      <c r="I24" s="20">
        <f>I19/I6</f>
        <v/>
      </c>
      <c r="J24" s="20">
        <f>J19/J6</f>
        <v/>
      </c>
      <c r="K24" s="20">
        <f>K19/K6</f>
        <v/>
      </c>
      <c r="L24" s="20">
        <f>L19/L6</f>
        <v/>
      </c>
    </row>
    <row r="26">
      <c r="A26" s="25" t="inlineStr">
        <is>
          <t>Sum of PV of FCF</t>
        </is>
      </c>
      <c r="B26" s="22">
        <f>SUM(C21:L21)</f>
        <v/>
      </c>
    </row>
    <row r="27">
      <c r="A27" s="25" t="inlineStr">
        <is>
          <t>Terminal growth</t>
        </is>
      </c>
      <c r="B27" s="20">
        <f>Assumptions!$B$14</f>
        <v/>
      </c>
    </row>
    <row r="28">
      <c r="A28" s="25" t="inlineStr">
        <is>
          <t>Terminal-year FCF x (1+g)</t>
        </is>
      </c>
      <c r="B28" s="22">
        <f>L19*(1+B27)</f>
        <v/>
      </c>
    </row>
    <row r="29">
      <c r="A29" s="25" t="inlineStr">
        <is>
          <t>Gordon terminal value</t>
        </is>
      </c>
      <c r="B29" s="22">
        <f>B28/(Assumptions!$B$4-B27)</f>
        <v/>
      </c>
    </row>
    <row r="30">
      <c r="A30" s="25" t="inlineStr">
        <is>
          <t>Cap terminal value</t>
        </is>
      </c>
      <c r="B30" s="22">
        <f>Assumptions!$B$15*L19</f>
        <v/>
      </c>
    </row>
    <row r="31">
      <c r="A31" s="25" t="inlineStr">
        <is>
          <t>Terminal value used</t>
        </is>
      </c>
      <c r="B31" s="22">
        <f>MAX(0,MIN(B29,B30))</f>
        <v/>
      </c>
      <c r="C31" t="inlineStr">
        <is>
          <t>TV = MAX(0, MIN(Gordon, cap)). The zero floor matters when terminal FCF is negative.</t>
        </is>
      </c>
    </row>
    <row r="32">
      <c r="A32" s="25" t="inlineStr">
        <is>
          <t>Implied exit multiple</t>
        </is>
      </c>
      <c r="B32" s="26">
        <f>B31/L19</f>
        <v/>
      </c>
    </row>
    <row r="33">
      <c r="A33" s="25" t="inlineStr">
        <is>
          <t>PV of terminal value</t>
        </is>
      </c>
      <c r="B33" s="22">
        <f>B31*L20</f>
        <v/>
      </c>
    </row>
    <row r="34">
      <c r="A34" s="25" t="inlineStr">
        <is>
          <t>Enterprise value</t>
        </is>
      </c>
      <c r="B34" s="22">
        <f>B26+B33</f>
        <v/>
      </c>
    </row>
    <row r="35">
      <c r="A35" s="25" t="inlineStr">
        <is>
          <t>less net debt</t>
        </is>
      </c>
      <c r="B35" s="22">
        <f>-Assumptions!$B$6</f>
        <v/>
      </c>
    </row>
    <row r="36">
      <c r="A36" s="25" t="inlineStr">
        <is>
          <t>Equity value</t>
        </is>
      </c>
      <c r="B36" s="22">
        <f>B34+B35</f>
        <v/>
      </c>
    </row>
    <row r="37">
      <c r="A37" s="25" t="inlineStr">
        <is>
          <t>Diluted shares (m)</t>
        </is>
      </c>
      <c r="B37" s="27">
        <f>Assumptions!$B$7</f>
        <v/>
      </c>
    </row>
    <row r="38">
      <c r="A38" s="2" t="inlineStr">
        <is>
          <t>VALUE PER SHARE</t>
        </is>
      </c>
      <c r="B38" s="28">
        <f>B36/B37</f>
        <v/>
      </c>
    </row>
    <row r="39">
      <c r="A39" s="25" t="inlineStr">
        <is>
          <t>Upside vs current price</t>
        </is>
      </c>
      <c r="B39" s="20">
        <f>B38/Assumptions!$B$8-1</f>
        <v/>
      </c>
    </row>
    <row r="41">
      <c r="A41" t="inlineStr">
        <is>
          <t>Street memo: PV of SBC (explicit)</t>
        </is>
      </c>
      <c r="B41" s="22">
        <f>SUMPRODUCT(-C10:L10,1/(1+Assumptions!$B$4)^C4:L4)</f>
        <v/>
      </c>
    </row>
    <row r="42">
      <c r="A42" t="inlineStr">
        <is>
          <t>Street memo: PV of SBC (terminal)</t>
        </is>
      </c>
      <c r="B42" s="22">
        <f>(-L10*(1+B27)/(Assumptions!$B$4-B27))*L20</f>
        <v/>
      </c>
    </row>
    <row r="43">
      <c r="A43" s="2" t="inlineStr">
        <is>
          <t>Street value per share</t>
        </is>
      </c>
      <c r="B43" s="29">
        <f>(B36+B41+B42)/B37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3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ADBE owner-FCF DCF -- Base case</t>
        </is>
      </c>
    </row>
    <row r="2">
      <c r="A2" s="4" t="inlineStr">
        <is>
          <t>Only rows 5, 7, 9 and 14 are drivers (yellow). Everything else is formula-derived.</t>
        </is>
      </c>
    </row>
    <row r="3">
      <c r="A3" s="2" t="inlineStr">
        <is>
          <t>USD millions</t>
        </is>
      </c>
      <c r="B3" s="6" t="inlineStr">
        <is>
          <t>FY0 TTM</t>
        </is>
      </c>
      <c r="C3" s="9" t="inlineStr">
        <is>
          <t>FY2026E</t>
        </is>
      </c>
      <c r="D3" s="9" t="inlineStr">
        <is>
          <t>FY2027E</t>
        </is>
      </c>
      <c r="E3" s="9" t="inlineStr">
        <is>
          <t>FY2028E</t>
        </is>
      </c>
      <c r="F3" s="9" t="inlineStr">
        <is>
          <t>FY2029E</t>
        </is>
      </c>
      <c r="G3" s="9" t="inlineStr">
        <is>
          <t>FY2030E</t>
        </is>
      </c>
      <c r="H3" s="9" t="inlineStr">
        <is>
          <t>FY2031E</t>
        </is>
      </c>
      <c r="I3" s="9" t="inlineStr">
        <is>
          <t>FY2032E</t>
        </is>
      </c>
      <c r="J3" s="9" t="inlineStr">
        <is>
          <t>FY2033E</t>
        </is>
      </c>
      <c r="K3" s="9" t="inlineStr">
        <is>
          <t>FY2034E</t>
        </is>
      </c>
      <c r="L3" s="9" t="inlineStr">
        <is>
          <t>FY2035E</t>
        </is>
      </c>
    </row>
    <row r="4">
      <c r="A4" t="inlineStr">
        <is>
          <t>Year index</t>
        </is>
      </c>
      <c r="B4" s="12" t="n">
        <v>0</v>
      </c>
      <c r="C4" s="12" t="n">
        <v>1</v>
      </c>
      <c r="D4" s="12" t="n">
        <v>2</v>
      </c>
      <c r="E4" s="12" t="n">
        <v>3</v>
      </c>
      <c r="F4" s="12" t="n">
        <v>4</v>
      </c>
      <c r="G4" s="12" t="n">
        <v>5</v>
      </c>
      <c r="H4" s="12" t="n">
        <v>6</v>
      </c>
      <c r="I4" s="12" t="n">
        <v>7</v>
      </c>
      <c r="J4" s="12" t="n">
        <v>8</v>
      </c>
      <c r="K4" s="12" t="n">
        <v>9</v>
      </c>
      <c r="L4" s="12" t="n">
        <v>10</v>
      </c>
    </row>
    <row r="5">
      <c r="A5" t="inlineStr">
        <is>
          <t>Revenue growth YoY</t>
        </is>
      </c>
      <c r="B5" s="20" t="n"/>
      <c r="C5" s="13" t="n">
        <v>0.055</v>
      </c>
      <c r="D5" s="13" t="n">
        <v>0.075</v>
      </c>
      <c r="E5" s="13" t="n">
        <v>0.07000000000000001</v>
      </c>
      <c r="F5" s="13" t="n">
        <v>0.065</v>
      </c>
      <c r="G5" s="13" t="n">
        <v>0.06</v>
      </c>
      <c r="H5" s="13" t="n">
        <v>0.055</v>
      </c>
      <c r="I5" s="13" t="n">
        <v>0.05</v>
      </c>
      <c r="J5" s="13" t="n">
        <v>0.045</v>
      </c>
      <c r="K5" s="13" t="n">
        <v>0.04</v>
      </c>
      <c r="L5" s="13" t="n">
        <v>0.035</v>
      </c>
    </row>
    <row r="6">
      <c r="A6" t="inlineStr">
        <is>
          <t>Revenue</t>
        </is>
      </c>
      <c r="B6" s="21">
        <f>Assumptions!$B$9</f>
        <v/>
      </c>
      <c r="C6" s="22">
        <f>B6*(1+C5)</f>
        <v/>
      </c>
      <c r="D6" s="22">
        <f>C6*(1+D5)</f>
        <v/>
      </c>
      <c r="E6" s="22">
        <f>D6*(1+E5)</f>
        <v/>
      </c>
      <c r="F6" s="22">
        <f>E6*(1+F5)</f>
        <v/>
      </c>
      <c r="G6" s="22">
        <f>F6*(1+G5)</f>
        <v/>
      </c>
      <c r="H6" s="22">
        <f>G6*(1+H5)</f>
        <v/>
      </c>
      <c r="I6" s="22">
        <f>H6*(1+I5)</f>
        <v/>
      </c>
      <c r="J6" s="22">
        <f>I6*(1+J5)</f>
        <v/>
      </c>
      <c r="K6" s="22">
        <f>J6*(1+K5)</f>
        <v/>
      </c>
      <c r="L6" s="22">
        <f>K6*(1+L5)</f>
        <v/>
      </c>
    </row>
    <row r="7">
      <c r="A7" t="inlineStr">
        <is>
          <t>Adj EBITDA margin</t>
        </is>
      </c>
      <c r="B7" s="20" t="n"/>
      <c r="C7" s="13" t="n">
        <v>0.48</v>
      </c>
      <c r="D7" s="13" t="n">
        <v>0.48</v>
      </c>
      <c r="E7" s="13" t="n">
        <v>0.482</v>
      </c>
      <c r="F7" s="13" t="n">
        <v>0.484</v>
      </c>
      <c r="G7" s="13" t="n">
        <v>0.486</v>
      </c>
      <c r="H7" s="13" t="n">
        <v>0.488</v>
      </c>
      <c r="I7" s="13" t="n">
        <v>0.49</v>
      </c>
      <c r="J7" s="13" t="n">
        <v>0.49</v>
      </c>
      <c r="K7" s="13" t="n">
        <v>0.49</v>
      </c>
      <c r="L7" s="13" t="n">
        <v>0.49</v>
      </c>
    </row>
    <row r="8">
      <c r="A8" t="inlineStr">
        <is>
          <t>Adjusted EBITDA</t>
        </is>
      </c>
      <c r="B8" s="22" t="n"/>
      <c r="C8" s="22">
        <f>C6*C7</f>
        <v/>
      </c>
      <c r="D8" s="22">
        <f>D6*D7</f>
        <v/>
      </c>
      <c r="E8" s="22">
        <f>E6*E7</f>
        <v/>
      </c>
      <c r="F8" s="22">
        <f>F6*F7</f>
        <v/>
      </c>
      <c r="G8" s="22">
        <f>G6*G7</f>
        <v/>
      </c>
      <c r="H8" s="22">
        <f>H6*H7</f>
        <v/>
      </c>
      <c r="I8" s="22">
        <f>I6*I7</f>
        <v/>
      </c>
      <c r="J8" s="22">
        <f>J6*J7</f>
        <v/>
      </c>
      <c r="K8" s="22">
        <f>K6*K7</f>
        <v/>
      </c>
      <c r="L8" s="22">
        <f>L6*L7</f>
        <v/>
      </c>
    </row>
    <row r="9">
      <c r="A9" t="inlineStr">
        <is>
          <t>SBC % of revenue</t>
        </is>
      </c>
      <c r="B9" s="20" t="n"/>
      <c r="C9" s="13" t="n">
        <v>0.096</v>
      </c>
      <c r="D9" s="13" t="n">
        <v>0.094</v>
      </c>
      <c r="E9" s="13" t="n">
        <v>0.092</v>
      </c>
      <c r="F9" s="13" t="n">
        <v>0.09</v>
      </c>
      <c r="G9" s="13" t="n">
        <v>0.08800000000000001</v>
      </c>
      <c r="H9" s="13" t="n">
        <v>0.08599999999999999</v>
      </c>
      <c r="I9" s="13" t="n">
        <v>0.08400000000000001</v>
      </c>
      <c r="J9" s="13" t="n">
        <v>0.08199999999999999</v>
      </c>
      <c r="K9" s="13" t="n">
        <v>0.08</v>
      </c>
      <c r="L9" s="13" t="n">
        <v>0.08</v>
      </c>
    </row>
    <row r="10">
      <c r="A10" t="inlineStr">
        <is>
          <t>SBC (incl. equity-award taxes)</t>
        </is>
      </c>
      <c r="B10" s="22" t="n"/>
      <c r="C10" s="22">
        <f>-C6*C9</f>
        <v/>
      </c>
      <c r="D10" s="22">
        <f>-D6*D9</f>
        <v/>
      </c>
      <c r="E10" s="22">
        <f>-E6*E9</f>
        <v/>
      </c>
      <c r="F10" s="22">
        <f>-F6*F9</f>
        <v/>
      </c>
      <c r="G10" s="22">
        <f>-G6*G9</f>
        <v/>
      </c>
      <c r="H10" s="22">
        <f>-H6*H9</f>
        <v/>
      </c>
      <c r="I10" s="22">
        <f>-I6*I9</f>
        <v/>
      </c>
      <c r="J10" s="22">
        <f>-J6*J9</f>
        <v/>
      </c>
      <c r="K10" s="22">
        <f>-K6*K9</f>
        <v/>
      </c>
      <c r="L10" s="22">
        <f>-L6*L9</f>
        <v/>
      </c>
    </row>
    <row r="11">
      <c r="A11" t="inlineStr">
        <is>
          <t>Owner EBITDA (post-SBC)</t>
        </is>
      </c>
      <c r="B11" s="22" t="n"/>
      <c r="C11" s="22">
        <f>C8+C10</f>
        <v/>
      </c>
      <c r="D11" s="22">
        <f>D8+D10</f>
        <v/>
      </c>
      <c r="E11" s="22">
        <f>E8+E10</f>
        <v/>
      </c>
      <c r="F11" s="22">
        <f>F8+F10</f>
        <v/>
      </c>
      <c r="G11" s="22">
        <f>G8+G10</f>
        <v/>
      </c>
      <c r="H11" s="22">
        <f>H8+H10</f>
        <v/>
      </c>
      <c r="I11" s="22">
        <f>I8+I10</f>
        <v/>
      </c>
      <c r="J11" s="22">
        <f>J8+J10</f>
        <v/>
      </c>
      <c r="K11" s="22">
        <f>K8+K10</f>
        <v/>
      </c>
      <c r="L11" s="22">
        <f>L8+L10</f>
        <v/>
      </c>
    </row>
    <row r="12">
      <c r="A12" t="inlineStr">
        <is>
          <t>D&amp;A</t>
        </is>
      </c>
      <c r="B12" s="22" t="n"/>
      <c r="C12" s="22">
        <f>-C6*0.032</f>
        <v/>
      </c>
      <c r="D12" s="22">
        <f>-D6*0.032</f>
        <v/>
      </c>
      <c r="E12" s="22">
        <f>-E6*0.031</f>
        <v/>
      </c>
      <c r="F12" s="22">
        <f>-F6*0.03</f>
        <v/>
      </c>
      <c r="G12" s="22">
        <f>-G6*0.03</f>
        <v/>
      </c>
      <c r="H12" s="22">
        <f>-H6*0.028999999999999998</f>
        <v/>
      </c>
      <c r="I12" s="22">
        <f>-I6*0.028999999999999998</f>
        <v/>
      </c>
      <c r="J12" s="22">
        <f>-J6*0.027999999999999997</f>
        <v/>
      </c>
      <c r="K12" s="22">
        <f>-K6*0.027999999999999997</f>
        <v/>
      </c>
      <c r="L12" s="22">
        <f>-L6*0.027999999999999997</f>
        <v/>
      </c>
    </row>
    <row r="13">
      <c r="A13" t="inlineStr">
        <is>
          <t>EBIT (SBC expensed)</t>
        </is>
      </c>
      <c r="B13" s="22" t="n"/>
      <c r="C13" s="22">
        <f>C11+C12</f>
        <v/>
      </c>
      <c r="D13" s="22">
        <f>D11+D12</f>
        <v/>
      </c>
      <c r="E13" s="22">
        <f>E11+E12</f>
        <v/>
      </c>
      <c r="F13" s="22">
        <f>F11+F12</f>
        <v/>
      </c>
      <c r="G13" s="22">
        <f>G11+G12</f>
        <v/>
      </c>
      <c r="H13" s="22">
        <f>H11+H12</f>
        <v/>
      </c>
      <c r="I13" s="22">
        <f>I11+I12</f>
        <v/>
      </c>
      <c r="J13" s="22">
        <f>J11+J12</f>
        <v/>
      </c>
      <c r="K13" s="22">
        <f>K11+K12</f>
        <v/>
      </c>
      <c r="L13" s="22">
        <f>L11+L12</f>
        <v/>
      </c>
    </row>
    <row r="14">
      <c r="A14" t="inlineStr">
        <is>
          <t>Cash tax rate</t>
        </is>
      </c>
      <c r="B14" s="20" t="n"/>
      <c r="C14" s="13" t="n">
        <v>0.26</v>
      </c>
      <c r="D14" s="13" t="n">
        <v>0.26</v>
      </c>
      <c r="E14" s="13" t="n">
        <v>0.265</v>
      </c>
      <c r="F14" s="13" t="n">
        <v>0.265</v>
      </c>
      <c r="G14" s="13" t="n">
        <v>0.27</v>
      </c>
      <c r="H14" s="13" t="n">
        <v>0.27</v>
      </c>
      <c r="I14" s="13" t="n">
        <v>0.27</v>
      </c>
      <c r="J14" s="13" t="n">
        <v>0.27</v>
      </c>
      <c r="K14" s="13" t="n">
        <v>0.27</v>
      </c>
      <c r="L14" s="13" t="n">
        <v>0.27</v>
      </c>
    </row>
    <row r="15">
      <c r="A15" t="inlineStr">
        <is>
          <t>NOPAT</t>
        </is>
      </c>
      <c r="B15" s="22" t="n"/>
      <c r="C15" s="22">
        <f>C13*(1-C14)</f>
        <v/>
      </c>
      <c r="D15" s="22">
        <f>D13*(1-D14)</f>
        <v/>
      </c>
      <c r="E15" s="22">
        <f>E13*(1-E14)</f>
        <v/>
      </c>
      <c r="F15" s="22">
        <f>F13*(1-F14)</f>
        <v/>
      </c>
      <c r="G15" s="22">
        <f>G13*(1-G14)</f>
        <v/>
      </c>
      <c r="H15" s="22">
        <f>H13*(1-H14)</f>
        <v/>
      </c>
      <c r="I15" s="22">
        <f>I13*(1-I14)</f>
        <v/>
      </c>
      <c r="J15" s="22">
        <f>J13*(1-J14)</f>
        <v/>
      </c>
      <c r="K15" s="22">
        <f>K13*(1-K14)</f>
        <v/>
      </c>
      <c r="L15" s="22">
        <f>L13*(1-L14)</f>
        <v/>
      </c>
    </row>
    <row r="16">
      <c r="A16" t="inlineStr">
        <is>
          <t>add back D&amp;A</t>
        </is>
      </c>
      <c r="B16" s="22" t="n"/>
      <c r="C16" s="22">
        <f>-C12</f>
        <v/>
      </c>
      <c r="D16" s="22">
        <f>-D12</f>
        <v/>
      </c>
      <c r="E16" s="22">
        <f>-E12</f>
        <v/>
      </c>
      <c r="F16" s="22">
        <f>-F12</f>
        <v/>
      </c>
      <c r="G16" s="22">
        <f>-G12</f>
        <v/>
      </c>
      <c r="H16" s="22">
        <f>-H12</f>
        <v/>
      </c>
      <c r="I16" s="22">
        <f>-I12</f>
        <v/>
      </c>
      <c r="J16" s="22">
        <f>-J12</f>
        <v/>
      </c>
      <c r="K16" s="22">
        <f>-K12</f>
        <v/>
      </c>
      <c r="L16" s="22">
        <f>-L12</f>
        <v/>
      </c>
    </row>
    <row r="17">
      <c r="A17" t="inlineStr">
        <is>
          <t>less capex</t>
        </is>
      </c>
      <c r="B17" s="22" t="n"/>
      <c r="C17" s="22">
        <f>-C6*0.01</f>
        <v/>
      </c>
      <c r="D17" s="22">
        <f>-D6*0.011000000000000001</f>
        <v/>
      </c>
      <c r="E17" s="22">
        <f>-E6*0.012</f>
        <v/>
      </c>
      <c r="F17" s="22">
        <f>-F6*0.012</f>
        <v/>
      </c>
      <c r="G17" s="22">
        <f>-G6*0.013000000000000001</f>
        <v/>
      </c>
      <c r="H17" s="22">
        <f>-H6*0.013000000000000001</f>
        <v/>
      </c>
      <c r="I17" s="22">
        <f>-I6*0.013000000000000001</f>
        <v/>
      </c>
      <c r="J17" s="22">
        <f>-J6*0.013000000000000001</f>
        <v/>
      </c>
      <c r="K17" s="22">
        <f>-K6*0.013000000000000001</f>
        <v/>
      </c>
      <c r="L17" s="22">
        <f>-L6*0.013000000000000001</f>
        <v/>
      </c>
    </row>
    <row r="18">
      <c r="A18" t="inlineStr">
        <is>
          <t>add working capital</t>
        </is>
      </c>
      <c r="B18" s="22" t="n"/>
      <c r="C18" s="22">
        <f>Assumptions!$C$16*(C6-B6)</f>
        <v/>
      </c>
      <c r="D18" s="22">
        <f>Assumptions!$C$16*(D6-C6)</f>
        <v/>
      </c>
      <c r="E18" s="22">
        <f>Assumptions!$C$16*(E6-D6)</f>
        <v/>
      </c>
      <c r="F18" s="22">
        <f>Assumptions!$C$16*(F6-E6)</f>
        <v/>
      </c>
      <c r="G18" s="22">
        <f>Assumptions!$C$16*(G6-F6)</f>
        <v/>
      </c>
      <c r="H18" s="22">
        <f>Assumptions!$C$16*(H6-G6)</f>
        <v/>
      </c>
      <c r="I18" s="22">
        <f>Assumptions!$C$16*(I6-H6)</f>
        <v/>
      </c>
      <c r="J18" s="22">
        <f>Assumptions!$C$16*(J6-I6)</f>
        <v/>
      </c>
      <c r="K18" s="22">
        <f>Assumptions!$C$16*(K6-J6)</f>
        <v/>
      </c>
      <c r="L18" s="22">
        <f>Assumptions!$C$16*(L6-K6)</f>
        <v/>
      </c>
    </row>
    <row r="19">
      <c r="A19" t="inlineStr">
        <is>
          <t>Unlevered owner FCF</t>
        </is>
      </c>
      <c r="B19" s="22" t="n"/>
      <c r="C19" s="23">
        <f>C15+C16+C17+C18</f>
        <v/>
      </c>
      <c r="D19" s="23">
        <f>D15+D16+D17+D18</f>
        <v/>
      </c>
      <c r="E19" s="23">
        <f>E15+E16+E17+E18</f>
        <v/>
      </c>
      <c r="F19" s="23">
        <f>F15+F16+F17+F18</f>
        <v/>
      </c>
      <c r="G19" s="23">
        <f>G15+G16+G17+G18</f>
        <v/>
      </c>
      <c r="H19" s="23">
        <f>H15+H16+H17+H18</f>
        <v/>
      </c>
      <c r="I19" s="23">
        <f>I15+I16+I17+I18</f>
        <v/>
      </c>
      <c r="J19" s="23">
        <f>J15+J16+J17+J18</f>
        <v/>
      </c>
      <c r="K19" s="23">
        <f>K15+K16+K17+K18</f>
        <v/>
      </c>
      <c r="L19" s="23">
        <f>L15+L16+L17+L18</f>
        <v/>
      </c>
    </row>
    <row r="20">
      <c r="A20" t="inlineStr">
        <is>
          <t>Discount factor</t>
        </is>
      </c>
      <c r="B20" s="24" t="n"/>
      <c r="C20" s="24">
        <f>1/(1+Assumptions!$B$4)^C4</f>
        <v/>
      </c>
      <c r="D20" s="24">
        <f>1/(1+Assumptions!$B$4)^D4</f>
        <v/>
      </c>
      <c r="E20" s="24">
        <f>1/(1+Assumptions!$B$4)^E4</f>
        <v/>
      </c>
      <c r="F20" s="24">
        <f>1/(1+Assumptions!$B$4)^F4</f>
        <v/>
      </c>
      <c r="G20" s="24">
        <f>1/(1+Assumptions!$B$4)^G4</f>
        <v/>
      </c>
      <c r="H20" s="24">
        <f>1/(1+Assumptions!$B$4)^H4</f>
        <v/>
      </c>
      <c r="I20" s="24">
        <f>1/(1+Assumptions!$B$4)^I4</f>
        <v/>
      </c>
      <c r="J20" s="24">
        <f>1/(1+Assumptions!$B$4)^J4</f>
        <v/>
      </c>
      <c r="K20" s="24">
        <f>1/(1+Assumptions!$B$4)^K4</f>
        <v/>
      </c>
      <c r="L20" s="24">
        <f>1/(1+Assumptions!$B$4)^L4</f>
        <v/>
      </c>
    </row>
    <row r="21">
      <c r="A21" t="inlineStr">
        <is>
          <t>PV of FCF</t>
        </is>
      </c>
      <c r="B21" s="22" t="n"/>
      <c r="C21" s="22">
        <f>C19*C20</f>
        <v/>
      </c>
      <c r="D21" s="22">
        <f>D19*D20</f>
        <v/>
      </c>
      <c r="E21" s="22">
        <f>E19*E20</f>
        <v/>
      </c>
      <c r="F21" s="22">
        <f>F19*F20</f>
        <v/>
      </c>
      <c r="G21" s="22">
        <f>G19*G20</f>
        <v/>
      </c>
      <c r="H21" s="22">
        <f>H19*H20</f>
        <v/>
      </c>
      <c r="I21" s="22">
        <f>I19*I20</f>
        <v/>
      </c>
      <c r="J21" s="22">
        <f>J19*J20</f>
        <v/>
      </c>
      <c r="K21" s="22">
        <f>K19*K20</f>
        <v/>
      </c>
      <c r="L21" s="22">
        <f>L19*L20</f>
        <v/>
      </c>
    </row>
    <row r="23">
      <c r="A23" t="inlineStr">
        <is>
          <t>Memo: FCF before SBC (street)</t>
        </is>
      </c>
      <c r="B23" s="22" t="n"/>
      <c r="C23" s="22">
        <f>C19-C10</f>
        <v/>
      </c>
      <c r="D23" s="22">
        <f>D19-D10</f>
        <v/>
      </c>
      <c r="E23" s="22">
        <f>E19-E10</f>
        <v/>
      </c>
      <c r="F23" s="22">
        <f>F19-F10</f>
        <v/>
      </c>
      <c r="G23" s="22">
        <f>G19-G10</f>
        <v/>
      </c>
      <c r="H23" s="22">
        <f>H19-H10</f>
        <v/>
      </c>
      <c r="I23" s="22">
        <f>I19-I10</f>
        <v/>
      </c>
      <c r="J23" s="22">
        <f>J19-J10</f>
        <v/>
      </c>
      <c r="K23" s="22">
        <f>K19-K10</f>
        <v/>
      </c>
      <c r="L23" s="22">
        <f>L19-L10</f>
        <v/>
      </c>
    </row>
    <row r="24">
      <c r="A24" t="inlineStr">
        <is>
          <t>Memo: owner-FCF margin</t>
        </is>
      </c>
      <c r="B24" s="20" t="n"/>
      <c r="C24" s="20">
        <f>C19/C6</f>
        <v/>
      </c>
      <c r="D24" s="20">
        <f>D19/D6</f>
        <v/>
      </c>
      <c r="E24" s="20">
        <f>E19/E6</f>
        <v/>
      </c>
      <c r="F24" s="20">
        <f>F19/F6</f>
        <v/>
      </c>
      <c r="G24" s="20">
        <f>G19/G6</f>
        <v/>
      </c>
      <c r="H24" s="20">
        <f>H19/H6</f>
        <v/>
      </c>
      <c r="I24" s="20">
        <f>I19/I6</f>
        <v/>
      </c>
      <c r="J24" s="20">
        <f>J19/J6</f>
        <v/>
      </c>
      <c r="K24" s="20">
        <f>K19/K6</f>
        <v/>
      </c>
      <c r="L24" s="20">
        <f>L19/L6</f>
        <v/>
      </c>
    </row>
    <row r="26">
      <c r="A26" s="25" t="inlineStr">
        <is>
          <t>Sum of PV of FCF</t>
        </is>
      </c>
      <c r="B26" s="22">
        <f>SUM(C21:L21)</f>
        <v/>
      </c>
    </row>
    <row r="27">
      <c r="A27" s="25" t="inlineStr">
        <is>
          <t>Terminal growth</t>
        </is>
      </c>
      <c r="B27" s="20">
        <f>Assumptions!$C$14</f>
        <v/>
      </c>
    </row>
    <row r="28">
      <c r="A28" s="25" t="inlineStr">
        <is>
          <t>Terminal-year FCF x (1+g)</t>
        </is>
      </c>
      <c r="B28" s="22">
        <f>L19*(1+B27)</f>
        <v/>
      </c>
    </row>
    <row r="29">
      <c r="A29" s="25" t="inlineStr">
        <is>
          <t>Gordon terminal value</t>
        </is>
      </c>
      <c r="B29" s="22">
        <f>B28/(Assumptions!$B$4-B27)</f>
        <v/>
      </c>
    </row>
    <row r="30">
      <c r="A30" s="25" t="inlineStr">
        <is>
          <t>Cap terminal value</t>
        </is>
      </c>
      <c r="B30" s="22">
        <f>Assumptions!$C$15*L19</f>
        <v/>
      </c>
    </row>
    <row r="31">
      <c r="A31" s="25" t="inlineStr">
        <is>
          <t>Terminal value used</t>
        </is>
      </c>
      <c r="B31" s="22">
        <f>MAX(0,MIN(B29,B30))</f>
        <v/>
      </c>
      <c r="C31" t="inlineStr">
        <is>
          <t>TV = MAX(0, MIN(Gordon, cap)). The zero floor matters when terminal FCF is negative.</t>
        </is>
      </c>
    </row>
    <row r="32">
      <c r="A32" s="25" t="inlineStr">
        <is>
          <t>Implied exit multiple</t>
        </is>
      </c>
      <c r="B32" s="26">
        <f>B31/L19</f>
        <v/>
      </c>
    </row>
    <row r="33">
      <c r="A33" s="25" t="inlineStr">
        <is>
          <t>PV of terminal value</t>
        </is>
      </c>
      <c r="B33" s="22">
        <f>B31*L20</f>
        <v/>
      </c>
    </row>
    <row r="34">
      <c r="A34" s="25" t="inlineStr">
        <is>
          <t>Enterprise value</t>
        </is>
      </c>
      <c r="B34" s="22">
        <f>B26+B33</f>
        <v/>
      </c>
    </row>
    <row r="35">
      <c r="A35" s="25" t="inlineStr">
        <is>
          <t>less net debt</t>
        </is>
      </c>
      <c r="B35" s="22">
        <f>-Assumptions!$B$6</f>
        <v/>
      </c>
    </row>
    <row r="36">
      <c r="A36" s="25" t="inlineStr">
        <is>
          <t>Equity value</t>
        </is>
      </c>
      <c r="B36" s="22">
        <f>B34+B35</f>
        <v/>
      </c>
    </row>
    <row r="37">
      <c r="A37" s="25" t="inlineStr">
        <is>
          <t>Diluted shares (m)</t>
        </is>
      </c>
      <c r="B37" s="27">
        <f>Assumptions!$B$7</f>
        <v/>
      </c>
    </row>
    <row r="38">
      <c r="A38" s="2" t="inlineStr">
        <is>
          <t>VALUE PER SHARE</t>
        </is>
      </c>
      <c r="B38" s="28">
        <f>B36/B37</f>
        <v/>
      </c>
    </row>
    <row r="39">
      <c r="A39" s="25" t="inlineStr">
        <is>
          <t>Upside vs current price</t>
        </is>
      </c>
      <c r="B39" s="20">
        <f>B38/Assumptions!$B$8-1</f>
        <v/>
      </c>
    </row>
    <row r="41">
      <c r="A41" t="inlineStr">
        <is>
          <t>Street memo: PV of SBC (explicit)</t>
        </is>
      </c>
      <c r="B41" s="22">
        <f>SUMPRODUCT(-C10:L10,1/(1+Assumptions!$B$4)^C4:L4)</f>
        <v/>
      </c>
    </row>
    <row r="42">
      <c r="A42" t="inlineStr">
        <is>
          <t>Street memo: PV of SBC (terminal)</t>
        </is>
      </c>
      <c r="B42" s="22">
        <f>(-L10*(1+B27)/(Assumptions!$B$4-B27))*L20</f>
        <v/>
      </c>
    </row>
    <row r="43">
      <c r="A43" s="2" t="inlineStr">
        <is>
          <t>Street value per share</t>
        </is>
      </c>
      <c r="B43" s="29">
        <f>(B36+B41+B42)/B37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3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ADBE owner-FCF DCF -- Bull case</t>
        </is>
      </c>
    </row>
    <row r="2">
      <c r="A2" s="4" t="inlineStr">
        <is>
          <t>Only rows 5, 7, 9 and 14 are drivers (yellow). Everything else is formula-derived.</t>
        </is>
      </c>
    </row>
    <row r="3">
      <c r="A3" s="2" t="inlineStr">
        <is>
          <t>USD millions</t>
        </is>
      </c>
      <c r="B3" s="6" t="inlineStr">
        <is>
          <t>FY0 TTM</t>
        </is>
      </c>
      <c r="C3" s="9" t="inlineStr">
        <is>
          <t>FY2026E</t>
        </is>
      </c>
      <c r="D3" s="9" t="inlineStr">
        <is>
          <t>FY2027E</t>
        </is>
      </c>
      <c r="E3" s="9" t="inlineStr">
        <is>
          <t>FY2028E</t>
        </is>
      </c>
      <c r="F3" s="9" t="inlineStr">
        <is>
          <t>FY2029E</t>
        </is>
      </c>
      <c r="G3" s="9" t="inlineStr">
        <is>
          <t>FY2030E</t>
        </is>
      </c>
      <c r="H3" s="9" t="inlineStr">
        <is>
          <t>FY2031E</t>
        </is>
      </c>
      <c r="I3" s="9" t="inlineStr">
        <is>
          <t>FY2032E</t>
        </is>
      </c>
      <c r="J3" s="9" t="inlineStr">
        <is>
          <t>FY2033E</t>
        </is>
      </c>
      <c r="K3" s="9" t="inlineStr">
        <is>
          <t>FY2034E</t>
        </is>
      </c>
      <c r="L3" s="9" t="inlineStr">
        <is>
          <t>FY2035E</t>
        </is>
      </c>
    </row>
    <row r="4">
      <c r="A4" t="inlineStr">
        <is>
          <t>Year index</t>
        </is>
      </c>
      <c r="B4" s="12" t="n">
        <v>0</v>
      </c>
      <c r="C4" s="12" t="n">
        <v>1</v>
      </c>
      <c r="D4" s="12" t="n">
        <v>2</v>
      </c>
      <c r="E4" s="12" t="n">
        <v>3</v>
      </c>
      <c r="F4" s="12" t="n">
        <v>4</v>
      </c>
      <c r="G4" s="12" t="n">
        <v>5</v>
      </c>
      <c r="H4" s="12" t="n">
        <v>6</v>
      </c>
      <c r="I4" s="12" t="n">
        <v>7</v>
      </c>
      <c r="J4" s="12" t="n">
        <v>8</v>
      </c>
      <c r="K4" s="12" t="n">
        <v>9</v>
      </c>
      <c r="L4" s="12" t="n">
        <v>10</v>
      </c>
    </row>
    <row r="5">
      <c r="A5" t="inlineStr">
        <is>
          <t>Revenue growth YoY</t>
        </is>
      </c>
      <c r="B5" s="20" t="n"/>
      <c r="C5" s="13" t="n">
        <v>0.06</v>
      </c>
      <c r="D5" s="13" t="n">
        <v>0.1</v>
      </c>
      <c r="E5" s="13" t="n">
        <v>0.11</v>
      </c>
      <c r="F5" s="13" t="n">
        <v>0.105</v>
      </c>
      <c r="G5" s="13" t="n">
        <v>0.1</v>
      </c>
      <c r="H5" s="13" t="n">
        <v>0.09</v>
      </c>
      <c r="I5" s="13" t="n">
        <v>0.08</v>
      </c>
      <c r="J5" s="13" t="n">
        <v>0.07000000000000001</v>
      </c>
      <c r="K5" s="13" t="n">
        <v>0.06</v>
      </c>
      <c r="L5" s="13" t="n">
        <v>0.05</v>
      </c>
    </row>
    <row r="6">
      <c r="A6" t="inlineStr">
        <is>
          <t>Revenue</t>
        </is>
      </c>
      <c r="B6" s="21">
        <f>Assumptions!$B$9</f>
        <v/>
      </c>
      <c r="C6" s="22">
        <f>B6*(1+C5)</f>
        <v/>
      </c>
      <c r="D6" s="22">
        <f>C6*(1+D5)</f>
        <v/>
      </c>
      <c r="E6" s="22">
        <f>D6*(1+E5)</f>
        <v/>
      </c>
      <c r="F6" s="22">
        <f>E6*(1+F5)</f>
        <v/>
      </c>
      <c r="G6" s="22">
        <f>F6*(1+G5)</f>
        <v/>
      </c>
      <c r="H6" s="22">
        <f>G6*(1+H5)</f>
        <v/>
      </c>
      <c r="I6" s="22">
        <f>H6*(1+I5)</f>
        <v/>
      </c>
      <c r="J6" s="22">
        <f>I6*(1+J5)</f>
        <v/>
      </c>
      <c r="K6" s="22">
        <f>J6*(1+K5)</f>
        <v/>
      </c>
      <c r="L6" s="22">
        <f>K6*(1+L5)</f>
        <v/>
      </c>
    </row>
    <row r="7">
      <c r="A7" t="inlineStr">
        <is>
          <t>Adj EBITDA margin</t>
        </is>
      </c>
      <c r="B7" s="20" t="n"/>
      <c r="C7" s="13" t="n">
        <v>0.482</v>
      </c>
      <c r="D7" s="13" t="n">
        <v>0.488</v>
      </c>
      <c r="E7" s="13" t="n">
        <v>0.495</v>
      </c>
      <c r="F7" s="13" t="n">
        <v>0.5</v>
      </c>
      <c r="G7" s="13" t="n">
        <v>0.505</v>
      </c>
      <c r="H7" s="13" t="n">
        <v>0.51</v>
      </c>
      <c r="I7" s="13" t="n">
        <v>0.515</v>
      </c>
      <c r="J7" s="13" t="n">
        <v>0.52</v>
      </c>
      <c r="K7" s="13" t="n">
        <v>0.52</v>
      </c>
      <c r="L7" s="13" t="n">
        <v>0.52</v>
      </c>
    </row>
    <row r="8">
      <c r="A8" t="inlineStr">
        <is>
          <t>Adjusted EBITDA</t>
        </is>
      </c>
      <c r="B8" s="22" t="n"/>
      <c r="C8" s="22">
        <f>C6*C7</f>
        <v/>
      </c>
      <c r="D8" s="22">
        <f>D6*D7</f>
        <v/>
      </c>
      <c r="E8" s="22">
        <f>E6*E7</f>
        <v/>
      </c>
      <c r="F8" s="22">
        <f>F6*F7</f>
        <v/>
      </c>
      <c r="G8" s="22">
        <f>G6*G7</f>
        <v/>
      </c>
      <c r="H8" s="22">
        <f>H6*H7</f>
        <v/>
      </c>
      <c r="I8" s="22">
        <f>I6*I7</f>
        <v/>
      </c>
      <c r="J8" s="22">
        <f>J6*J7</f>
        <v/>
      </c>
      <c r="K8" s="22">
        <f>K6*K7</f>
        <v/>
      </c>
      <c r="L8" s="22">
        <f>L6*L7</f>
        <v/>
      </c>
    </row>
    <row r="9">
      <c r="A9" t="inlineStr">
        <is>
          <t>SBC % of revenue</t>
        </is>
      </c>
      <c r="B9" s="20" t="n"/>
      <c r="C9" s="13" t="n">
        <v>0.095</v>
      </c>
      <c r="D9" s="13" t="n">
        <v>0.092</v>
      </c>
      <c r="E9" s="13" t="n">
        <v>0.08800000000000001</v>
      </c>
      <c r="F9" s="13" t="n">
        <v>0.08500000000000001</v>
      </c>
      <c r="G9" s="13" t="n">
        <v>0.08199999999999999</v>
      </c>
      <c r="H9" s="13" t="n">
        <v>0.08</v>
      </c>
      <c r="I9" s="13" t="n">
        <v>0.078</v>
      </c>
      <c r="J9" s="13" t="n">
        <v>0.075</v>
      </c>
      <c r="K9" s="13" t="n">
        <v>0.075</v>
      </c>
      <c r="L9" s="13" t="n">
        <v>0.075</v>
      </c>
    </row>
    <row r="10">
      <c r="A10" t="inlineStr">
        <is>
          <t>SBC (incl. equity-award taxes)</t>
        </is>
      </c>
      <c r="B10" s="22" t="n"/>
      <c r="C10" s="22">
        <f>-C6*C9</f>
        <v/>
      </c>
      <c r="D10" s="22">
        <f>-D6*D9</f>
        <v/>
      </c>
      <c r="E10" s="22">
        <f>-E6*E9</f>
        <v/>
      </c>
      <c r="F10" s="22">
        <f>-F6*F9</f>
        <v/>
      </c>
      <c r="G10" s="22">
        <f>-G6*G9</f>
        <v/>
      </c>
      <c r="H10" s="22">
        <f>-H6*H9</f>
        <v/>
      </c>
      <c r="I10" s="22">
        <f>-I6*I9</f>
        <v/>
      </c>
      <c r="J10" s="22">
        <f>-J6*J9</f>
        <v/>
      </c>
      <c r="K10" s="22">
        <f>-K6*K9</f>
        <v/>
      </c>
      <c r="L10" s="22">
        <f>-L6*L9</f>
        <v/>
      </c>
    </row>
    <row r="11">
      <c r="A11" t="inlineStr">
        <is>
          <t>Owner EBITDA (post-SBC)</t>
        </is>
      </c>
      <c r="B11" s="22" t="n"/>
      <c r="C11" s="22">
        <f>C8+C10</f>
        <v/>
      </c>
      <c r="D11" s="22">
        <f>D8+D10</f>
        <v/>
      </c>
      <c r="E11" s="22">
        <f>E8+E10</f>
        <v/>
      </c>
      <c r="F11" s="22">
        <f>F8+F10</f>
        <v/>
      </c>
      <c r="G11" s="22">
        <f>G8+G10</f>
        <v/>
      </c>
      <c r="H11" s="22">
        <f>H8+H10</f>
        <v/>
      </c>
      <c r="I11" s="22">
        <f>I8+I10</f>
        <v/>
      </c>
      <c r="J11" s="22">
        <f>J8+J10</f>
        <v/>
      </c>
      <c r="K11" s="22">
        <f>K8+K10</f>
        <v/>
      </c>
      <c r="L11" s="22">
        <f>L8+L10</f>
        <v/>
      </c>
    </row>
    <row r="12">
      <c r="A12" t="inlineStr">
        <is>
          <t>D&amp;A</t>
        </is>
      </c>
      <c r="B12" s="22" t="n"/>
      <c r="C12" s="22">
        <f>-C6*0.032</f>
        <v/>
      </c>
      <c r="D12" s="22">
        <f>-D6*0.031</f>
        <v/>
      </c>
      <c r="E12" s="22">
        <f>-E6*0.03</f>
        <v/>
      </c>
      <c r="F12" s="22">
        <f>-F6*0.028999999999999998</f>
        <v/>
      </c>
      <c r="G12" s="22">
        <f>-G6*0.027999999999999997</f>
        <v/>
      </c>
      <c r="H12" s="22">
        <f>-H6*0.027999999999999997</f>
        <v/>
      </c>
      <c r="I12" s="22">
        <f>-I6*0.027000000000000003</f>
        <v/>
      </c>
      <c r="J12" s="22">
        <f>-J6*0.027000000000000003</f>
        <v/>
      </c>
      <c r="K12" s="22">
        <f>-K6*0.026000000000000002</f>
        <v/>
      </c>
      <c r="L12" s="22">
        <f>-L6*0.026000000000000002</f>
        <v/>
      </c>
    </row>
    <row r="13">
      <c r="A13" t="inlineStr">
        <is>
          <t>EBIT (SBC expensed)</t>
        </is>
      </c>
      <c r="B13" s="22" t="n"/>
      <c r="C13" s="22">
        <f>C11+C12</f>
        <v/>
      </c>
      <c r="D13" s="22">
        <f>D11+D12</f>
        <v/>
      </c>
      <c r="E13" s="22">
        <f>E11+E12</f>
        <v/>
      </c>
      <c r="F13" s="22">
        <f>F11+F12</f>
        <v/>
      </c>
      <c r="G13" s="22">
        <f>G11+G12</f>
        <v/>
      </c>
      <c r="H13" s="22">
        <f>H11+H12</f>
        <v/>
      </c>
      <c r="I13" s="22">
        <f>I11+I12</f>
        <v/>
      </c>
      <c r="J13" s="22">
        <f>J11+J12</f>
        <v/>
      </c>
      <c r="K13" s="22">
        <f>K11+K12</f>
        <v/>
      </c>
      <c r="L13" s="22">
        <f>L11+L12</f>
        <v/>
      </c>
    </row>
    <row r="14">
      <c r="A14" t="inlineStr">
        <is>
          <t>Cash tax rate</t>
        </is>
      </c>
      <c r="B14" s="20" t="n"/>
      <c r="C14" s="13" t="n">
        <v>0.26</v>
      </c>
      <c r="D14" s="13" t="n">
        <v>0.26</v>
      </c>
      <c r="E14" s="13" t="n">
        <v>0.265</v>
      </c>
      <c r="F14" s="13" t="n">
        <v>0.265</v>
      </c>
      <c r="G14" s="13" t="n">
        <v>0.27</v>
      </c>
      <c r="H14" s="13" t="n">
        <v>0.27</v>
      </c>
      <c r="I14" s="13" t="n">
        <v>0.27</v>
      </c>
      <c r="J14" s="13" t="n">
        <v>0.27</v>
      </c>
      <c r="K14" s="13" t="n">
        <v>0.27</v>
      </c>
      <c r="L14" s="13" t="n">
        <v>0.27</v>
      </c>
    </row>
    <row r="15">
      <c r="A15" t="inlineStr">
        <is>
          <t>NOPAT</t>
        </is>
      </c>
      <c r="B15" s="22" t="n"/>
      <c r="C15" s="22">
        <f>C13*(1-C14)</f>
        <v/>
      </c>
      <c r="D15" s="22">
        <f>D13*(1-D14)</f>
        <v/>
      </c>
      <c r="E15" s="22">
        <f>E13*(1-E14)</f>
        <v/>
      </c>
      <c r="F15" s="22">
        <f>F13*(1-F14)</f>
        <v/>
      </c>
      <c r="G15" s="22">
        <f>G13*(1-G14)</f>
        <v/>
      </c>
      <c r="H15" s="22">
        <f>H13*(1-H14)</f>
        <v/>
      </c>
      <c r="I15" s="22">
        <f>I13*(1-I14)</f>
        <v/>
      </c>
      <c r="J15" s="22">
        <f>J13*(1-J14)</f>
        <v/>
      </c>
      <c r="K15" s="22">
        <f>K13*(1-K14)</f>
        <v/>
      </c>
      <c r="L15" s="22">
        <f>L13*(1-L14)</f>
        <v/>
      </c>
    </row>
    <row r="16">
      <c r="A16" t="inlineStr">
        <is>
          <t>add back D&amp;A</t>
        </is>
      </c>
      <c r="B16" s="22" t="n"/>
      <c r="C16" s="22">
        <f>-C12</f>
        <v/>
      </c>
      <c r="D16" s="22">
        <f>-D12</f>
        <v/>
      </c>
      <c r="E16" s="22">
        <f>-E12</f>
        <v/>
      </c>
      <c r="F16" s="22">
        <f>-F12</f>
        <v/>
      </c>
      <c r="G16" s="22">
        <f>-G12</f>
        <v/>
      </c>
      <c r="H16" s="22">
        <f>-H12</f>
        <v/>
      </c>
      <c r="I16" s="22">
        <f>-I12</f>
        <v/>
      </c>
      <c r="J16" s="22">
        <f>-J12</f>
        <v/>
      </c>
      <c r="K16" s="22">
        <f>-K12</f>
        <v/>
      </c>
      <c r="L16" s="22">
        <f>-L12</f>
        <v/>
      </c>
    </row>
    <row r="17">
      <c r="A17" t="inlineStr">
        <is>
          <t>less capex</t>
        </is>
      </c>
      <c r="B17" s="22" t="n"/>
      <c r="C17" s="22">
        <f>-C6*0.01</f>
        <v/>
      </c>
      <c r="D17" s="22">
        <f>-D6*0.011000000000000001</f>
        <v/>
      </c>
      <c r="E17" s="22">
        <f>-E6*0.012</f>
        <v/>
      </c>
      <c r="F17" s="22">
        <f>-F6*0.012</f>
        <v/>
      </c>
      <c r="G17" s="22">
        <f>-G6*0.012</f>
        <v/>
      </c>
      <c r="H17" s="22">
        <f>-H6*0.012</f>
        <v/>
      </c>
      <c r="I17" s="22">
        <f>-I6*0.012</f>
        <v/>
      </c>
      <c r="J17" s="22">
        <f>-J6*0.012</f>
        <v/>
      </c>
      <c r="K17" s="22">
        <f>-K6*0.012</f>
        <v/>
      </c>
      <c r="L17" s="22">
        <f>-L6*0.012</f>
        <v/>
      </c>
    </row>
    <row r="18">
      <c r="A18" t="inlineStr">
        <is>
          <t>add working capital</t>
        </is>
      </c>
      <c r="B18" s="22" t="n"/>
      <c r="C18" s="22">
        <f>Assumptions!$D$16*(C6-B6)</f>
        <v/>
      </c>
      <c r="D18" s="22">
        <f>Assumptions!$D$16*(D6-C6)</f>
        <v/>
      </c>
      <c r="E18" s="22">
        <f>Assumptions!$D$16*(E6-D6)</f>
        <v/>
      </c>
      <c r="F18" s="22">
        <f>Assumptions!$D$16*(F6-E6)</f>
        <v/>
      </c>
      <c r="G18" s="22">
        <f>Assumptions!$D$16*(G6-F6)</f>
        <v/>
      </c>
      <c r="H18" s="22">
        <f>Assumptions!$D$16*(H6-G6)</f>
        <v/>
      </c>
      <c r="I18" s="22">
        <f>Assumptions!$D$16*(I6-H6)</f>
        <v/>
      </c>
      <c r="J18" s="22">
        <f>Assumptions!$D$16*(J6-I6)</f>
        <v/>
      </c>
      <c r="K18" s="22">
        <f>Assumptions!$D$16*(K6-J6)</f>
        <v/>
      </c>
      <c r="L18" s="22">
        <f>Assumptions!$D$16*(L6-K6)</f>
        <v/>
      </c>
    </row>
    <row r="19">
      <c r="A19" t="inlineStr">
        <is>
          <t>Unlevered owner FCF</t>
        </is>
      </c>
      <c r="B19" s="22" t="n"/>
      <c r="C19" s="23">
        <f>C15+C16+C17+C18</f>
        <v/>
      </c>
      <c r="D19" s="23">
        <f>D15+D16+D17+D18</f>
        <v/>
      </c>
      <c r="E19" s="23">
        <f>E15+E16+E17+E18</f>
        <v/>
      </c>
      <c r="F19" s="23">
        <f>F15+F16+F17+F18</f>
        <v/>
      </c>
      <c r="G19" s="23">
        <f>G15+G16+G17+G18</f>
        <v/>
      </c>
      <c r="H19" s="23">
        <f>H15+H16+H17+H18</f>
        <v/>
      </c>
      <c r="I19" s="23">
        <f>I15+I16+I17+I18</f>
        <v/>
      </c>
      <c r="J19" s="23">
        <f>J15+J16+J17+J18</f>
        <v/>
      </c>
      <c r="K19" s="23">
        <f>K15+K16+K17+K18</f>
        <v/>
      </c>
      <c r="L19" s="23">
        <f>L15+L16+L17+L18</f>
        <v/>
      </c>
    </row>
    <row r="20">
      <c r="A20" t="inlineStr">
        <is>
          <t>Discount factor</t>
        </is>
      </c>
      <c r="B20" s="24" t="n"/>
      <c r="C20" s="24">
        <f>1/(1+Assumptions!$B$4)^C4</f>
        <v/>
      </c>
      <c r="D20" s="24">
        <f>1/(1+Assumptions!$B$4)^D4</f>
        <v/>
      </c>
      <c r="E20" s="24">
        <f>1/(1+Assumptions!$B$4)^E4</f>
        <v/>
      </c>
      <c r="F20" s="24">
        <f>1/(1+Assumptions!$B$4)^F4</f>
        <v/>
      </c>
      <c r="G20" s="24">
        <f>1/(1+Assumptions!$B$4)^G4</f>
        <v/>
      </c>
      <c r="H20" s="24">
        <f>1/(1+Assumptions!$B$4)^H4</f>
        <v/>
      </c>
      <c r="I20" s="24">
        <f>1/(1+Assumptions!$B$4)^I4</f>
        <v/>
      </c>
      <c r="J20" s="24">
        <f>1/(1+Assumptions!$B$4)^J4</f>
        <v/>
      </c>
      <c r="K20" s="24">
        <f>1/(1+Assumptions!$B$4)^K4</f>
        <v/>
      </c>
      <c r="L20" s="24">
        <f>1/(1+Assumptions!$B$4)^L4</f>
        <v/>
      </c>
    </row>
    <row r="21">
      <c r="A21" t="inlineStr">
        <is>
          <t>PV of FCF</t>
        </is>
      </c>
      <c r="B21" s="22" t="n"/>
      <c r="C21" s="22">
        <f>C19*C20</f>
        <v/>
      </c>
      <c r="D21" s="22">
        <f>D19*D20</f>
        <v/>
      </c>
      <c r="E21" s="22">
        <f>E19*E20</f>
        <v/>
      </c>
      <c r="F21" s="22">
        <f>F19*F20</f>
        <v/>
      </c>
      <c r="G21" s="22">
        <f>G19*G20</f>
        <v/>
      </c>
      <c r="H21" s="22">
        <f>H19*H20</f>
        <v/>
      </c>
      <c r="I21" s="22">
        <f>I19*I20</f>
        <v/>
      </c>
      <c r="J21" s="22">
        <f>J19*J20</f>
        <v/>
      </c>
      <c r="K21" s="22">
        <f>K19*K20</f>
        <v/>
      </c>
      <c r="L21" s="22">
        <f>L19*L20</f>
        <v/>
      </c>
    </row>
    <row r="23">
      <c r="A23" t="inlineStr">
        <is>
          <t>Memo: FCF before SBC (street)</t>
        </is>
      </c>
      <c r="B23" s="22" t="n"/>
      <c r="C23" s="22">
        <f>C19-C10</f>
        <v/>
      </c>
      <c r="D23" s="22">
        <f>D19-D10</f>
        <v/>
      </c>
      <c r="E23" s="22">
        <f>E19-E10</f>
        <v/>
      </c>
      <c r="F23" s="22">
        <f>F19-F10</f>
        <v/>
      </c>
      <c r="G23" s="22">
        <f>G19-G10</f>
        <v/>
      </c>
      <c r="H23" s="22">
        <f>H19-H10</f>
        <v/>
      </c>
      <c r="I23" s="22">
        <f>I19-I10</f>
        <v/>
      </c>
      <c r="J23" s="22">
        <f>J19-J10</f>
        <v/>
      </c>
      <c r="K23" s="22">
        <f>K19-K10</f>
        <v/>
      </c>
      <c r="L23" s="22">
        <f>L19-L10</f>
        <v/>
      </c>
    </row>
    <row r="24">
      <c r="A24" t="inlineStr">
        <is>
          <t>Memo: owner-FCF margin</t>
        </is>
      </c>
      <c r="B24" s="20" t="n"/>
      <c r="C24" s="20">
        <f>C19/C6</f>
        <v/>
      </c>
      <c r="D24" s="20">
        <f>D19/D6</f>
        <v/>
      </c>
      <c r="E24" s="20">
        <f>E19/E6</f>
        <v/>
      </c>
      <c r="F24" s="20">
        <f>F19/F6</f>
        <v/>
      </c>
      <c r="G24" s="20">
        <f>G19/G6</f>
        <v/>
      </c>
      <c r="H24" s="20">
        <f>H19/H6</f>
        <v/>
      </c>
      <c r="I24" s="20">
        <f>I19/I6</f>
        <v/>
      </c>
      <c r="J24" s="20">
        <f>J19/J6</f>
        <v/>
      </c>
      <c r="K24" s="20">
        <f>K19/K6</f>
        <v/>
      </c>
      <c r="L24" s="20">
        <f>L19/L6</f>
        <v/>
      </c>
    </row>
    <row r="26">
      <c r="A26" s="25" t="inlineStr">
        <is>
          <t>Sum of PV of FCF</t>
        </is>
      </c>
      <c r="B26" s="22">
        <f>SUM(C21:L21)</f>
        <v/>
      </c>
    </row>
    <row r="27">
      <c r="A27" s="25" t="inlineStr">
        <is>
          <t>Terminal growth</t>
        </is>
      </c>
      <c r="B27" s="20">
        <f>Assumptions!$D$14</f>
        <v/>
      </c>
    </row>
    <row r="28">
      <c r="A28" s="25" t="inlineStr">
        <is>
          <t>Terminal-year FCF x (1+g)</t>
        </is>
      </c>
      <c r="B28" s="22">
        <f>L19*(1+B27)</f>
        <v/>
      </c>
    </row>
    <row r="29">
      <c r="A29" s="25" t="inlineStr">
        <is>
          <t>Gordon terminal value</t>
        </is>
      </c>
      <c r="B29" s="22">
        <f>B28/(Assumptions!$B$4-B27)</f>
        <v/>
      </c>
    </row>
    <row r="30">
      <c r="A30" s="25" t="inlineStr">
        <is>
          <t>Cap terminal value</t>
        </is>
      </c>
      <c r="B30" s="22">
        <f>Assumptions!$D$15*L19</f>
        <v/>
      </c>
    </row>
    <row r="31">
      <c r="A31" s="25" t="inlineStr">
        <is>
          <t>Terminal value used</t>
        </is>
      </c>
      <c r="B31" s="22">
        <f>MAX(0,MIN(B29,B30))</f>
        <v/>
      </c>
      <c r="C31" t="inlineStr">
        <is>
          <t>TV = MAX(0, MIN(Gordon, cap)). The zero floor matters when terminal FCF is negative.</t>
        </is>
      </c>
    </row>
    <row r="32">
      <c r="A32" s="25" t="inlineStr">
        <is>
          <t>Implied exit multiple</t>
        </is>
      </c>
      <c r="B32" s="26">
        <f>B31/L19</f>
        <v/>
      </c>
    </row>
    <row r="33">
      <c r="A33" s="25" t="inlineStr">
        <is>
          <t>PV of terminal value</t>
        </is>
      </c>
      <c r="B33" s="22">
        <f>B31*L20</f>
        <v/>
      </c>
    </row>
    <row r="34">
      <c r="A34" s="25" t="inlineStr">
        <is>
          <t>Enterprise value</t>
        </is>
      </c>
      <c r="B34" s="22">
        <f>B26+B33</f>
        <v/>
      </c>
    </row>
    <row r="35">
      <c r="A35" s="25" t="inlineStr">
        <is>
          <t>less net debt</t>
        </is>
      </c>
      <c r="B35" s="22">
        <f>-Assumptions!$B$6</f>
        <v/>
      </c>
    </row>
    <row r="36">
      <c r="A36" s="25" t="inlineStr">
        <is>
          <t>Equity value</t>
        </is>
      </c>
      <c r="B36" s="22">
        <f>B34+B35</f>
        <v/>
      </c>
    </row>
    <row r="37">
      <c r="A37" s="25" t="inlineStr">
        <is>
          <t>Diluted shares (m)</t>
        </is>
      </c>
      <c r="B37" s="27">
        <f>Assumptions!$B$7</f>
        <v/>
      </c>
    </row>
    <row r="38">
      <c r="A38" s="2" t="inlineStr">
        <is>
          <t>VALUE PER SHARE</t>
        </is>
      </c>
      <c r="B38" s="28">
        <f>B36/B37</f>
        <v/>
      </c>
    </row>
    <row r="39">
      <c r="A39" s="25" t="inlineStr">
        <is>
          <t>Upside vs current price</t>
        </is>
      </c>
      <c r="B39" s="20">
        <f>B38/Assumptions!$B$8-1</f>
        <v/>
      </c>
    </row>
    <row r="41">
      <c r="A41" t="inlineStr">
        <is>
          <t>Street memo: PV of SBC (explicit)</t>
        </is>
      </c>
      <c r="B41" s="22">
        <f>SUMPRODUCT(-C10:L10,1/(1+Assumptions!$B$4)^C4:L4)</f>
        <v/>
      </c>
    </row>
    <row r="42">
      <c r="A42" t="inlineStr">
        <is>
          <t>Street memo: PV of SBC (terminal)</t>
        </is>
      </c>
      <c r="B42" s="22">
        <f>(-L10*(1+B27)/(Assumptions!$B$4-B27))*L20</f>
        <v/>
      </c>
    </row>
    <row r="43">
      <c r="A43" s="2" t="inlineStr">
        <is>
          <t>Street value per share</t>
        </is>
      </c>
      <c r="B43" s="29">
        <f>(B36+B41+B42)/B37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Reported FCF reconciled to owner FCF</t>
        </is>
      </c>
    </row>
    <row r="2">
      <c r="A2" s="4" t="inlineStr">
        <is>
          <t>Shows how much of headline FCF is compensation cost and working-capital timing.</t>
        </is>
      </c>
    </row>
    <row r="4">
      <c r="A4" s="2" t="inlineStr">
        <is>
          <t>USD millions</t>
        </is>
      </c>
      <c r="B4" s="6" t="inlineStr">
        <is>
          <t>FY2020</t>
        </is>
      </c>
      <c r="C4" s="6" t="inlineStr">
        <is>
          <t>FY2021</t>
        </is>
      </c>
      <c r="D4" s="6" t="inlineStr">
        <is>
          <t>FY2022</t>
        </is>
      </c>
      <c r="E4" s="6" t="inlineStr">
        <is>
          <t>FY2023</t>
        </is>
      </c>
      <c r="F4" s="6" t="inlineStr">
        <is>
          <t>FY2024</t>
        </is>
      </c>
      <c r="G4" s="6" t="inlineStr">
        <is>
          <t>FY2025</t>
        </is>
      </c>
      <c r="H4" s="6" t="inlineStr">
        <is>
          <t>TTM</t>
        </is>
      </c>
    </row>
    <row r="5">
      <c r="A5" s="25" t="inlineStr">
        <is>
          <t>Free cash flow (company definition)</t>
        </is>
      </c>
      <c r="B5" s="22">
        <f>Actuals!B7</f>
        <v/>
      </c>
      <c r="C5" s="22">
        <f>Actuals!C7</f>
        <v/>
      </c>
      <c r="D5" s="22">
        <f>Actuals!D7</f>
        <v/>
      </c>
      <c r="E5" s="22">
        <f>Actuals!E7</f>
        <v/>
      </c>
      <c r="F5" s="22">
        <f>Actuals!F7</f>
        <v/>
      </c>
      <c r="G5" s="22">
        <f>Actuals!G7</f>
        <v/>
      </c>
      <c r="H5" s="22">
        <f>Actuals!H7</f>
        <v/>
      </c>
    </row>
    <row r="6">
      <c r="A6" s="25" t="inlineStr">
        <is>
          <t>less: SBC (cash flow add-back)</t>
        </is>
      </c>
      <c r="B6" s="22">
        <f>-Actuals!B8</f>
        <v/>
      </c>
      <c r="C6" s="22">
        <f>-Actuals!C8</f>
        <v/>
      </c>
      <c r="D6" s="22">
        <f>-Actuals!D8</f>
        <v/>
      </c>
      <c r="E6" s="22">
        <f>-Actuals!E8</f>
        <v/>
      </c>
      <c r="F6" s="22">
        <f>-Actuals!F8</f>
        <v/>
      </c>
      <c r="G6" s="22">
        <f>-Actuals!G8</f>
        <v/>
      </c>
      <c r="H6" s="22">
        <f>-Actuals!H8</f>
        <v/>
      </c>
    </row>
    <row r="7">
      <c r="A7" s="25" t="inlineStr">
        <is>
          <t>less: equity-award cash taxes</t>
        </is>
      </c>
      <c r="B7" s="22">
        <f>-Actuals!B9</f>
        <v/>
      </c>
      <c r="C7" s="22">
        <f>-Actuals!C9</f>
        <v/>
      </c>
      <c r="D7" s="22">
        <f>-Actuals!D9</f>
        <v/>
      </c>
      <c r="E7" s="22">
        <f>-Actuals!E9</f>
        <v/>
      </c>
      <c r="F7" s="22">
        <f>-Actuals!F9</f>
        <v/>
      </c>
      <c r="G7" s="22">
        <f>-Actuals!G9</f>
        <v/>
      </c>
      <c r="H7" s="22">
        <f>-Actuals!H9</f>
        <v/>
      </c>
    </row>
    <row r="8">
      <c r="A8" s="25" t="inlineStr">
        <is>
          <t>less: interest income</t>
        </is>
      </c>
      <c r="B8" s="22">
        <f>0</f>
        <v/>
      </c>
      <c r="C8" s="22">
        <f>0</f>
        <v/>
      </c>
      <c r="D8" s="22">
        <f>0</f>
        <v/>
      </c>
      <c r="E8" s="22">
        <f>0</f>
        <v/>
      </c>
      <c r="F8" s="22">
        <f>0</f>
        <v/>
      </c>
      <c r="G8" s="22">
        <f>0</f>
        <v/>
      </c>
      <c r="H8" s="22">
        <f>0</f>
        <v/>
      </c>
    </row>
    <row r="9">
      <c r="A9" s="2" t="inlineStr">
        <is>
          <t>Owner FCF</t>
        </is>
      </c>
      <c r="B9" s="23">
        <f>SUM(B5:B8)</f>
        <v/>
      </c>
      <c r="C9" s="23">
        <f>SUM(C5:C8)</f>
        <v/>
      </c>
      <c r="D9" s="23">
        <f>SUM(D5:D8)</f>
        <v/>
      </c>
      <c r="E9" s="23">
        <f>SUM(E5:E8)</f>
        <v/>
      </c>
      <c r="F9" s="23">
        <f>SUM(F5:F8)</f>
        <v/>
      </c>
      <c r="G9" s="23">
        <f>SUM(G5:G8)</f>
        <v/>
      </c>
      <c r="H9" s="23">
        <f>SUM(H5:H8)</f>
        <v/>
      </c>
    </row>
    <row r="10">
      <c r="A10" t="inlineStr">
        <is>
          <t>Reported FCF margin</t>
        </is>
      </c>
      <c r="B10" s="20">
        <f>Actuals!B7/Actuals!B4</f>
        <v/>
      </c>
      <c r="C10" s="20">
        <f>Actuals!C7/Actuals!C4</f>
        <v/>
      </c>
      <c r="D10" s="20">
        <f>Actuals!D7/Actuals!D4</f>
        <v/>
      </c>
      <c r="E10" s="20">
        <f>Actuals!E7/Actuals!E4</f>
        <v/>
      </c>
      <c r="F10" s="20">
        <f>Actuals!F7/Actuals!F4</f>
        <v/>
      </c>
      <c r="G10" s="20">
        <f>Actuals!G7/Actuals!G4</f>
        <v/>
      </c>
      <c r="H10" s="20">
        <f>Actuals!H7/Actuals!H4</f>
        <v/>
      </c>
    </row>
    <row r="11">
      <c r="A11" s="2" t="inlineStr">
        <is>
          <t>Owner FCF margin</t>
        </is>
      </c>
      <c r="B11" s="19">
        <f>B9/Actuals!B4</f>
        <v/>
      </c>
      <c r="C11" s="19">
        <f>C9/Actuals!C4</f>
        <v/>
      </c>
      <c r="D11" s="19">
        <f>D9/Actuals!D4</f>
        <v/>
      </c>
      <c r="E11" s="19">
        <f>E9/Actuals!E4</f>
        <v/>
      </c>
      <c r="F11" s="19">
        <f>F9/Actuals!F4</f>
        <v/>
      </c>
      <c r="G11" s="19">
        <f>G9/Actuals!G4</f>
        <v/>
      </c>
      <c r="H11" s="19">
        <f>H9/Actuals!H4</f>
        <v/>
      </c>
    </row>
    <row r="13">
      <c r="A13" s="2" t="inlineStr">
        <is>
          <t>Memo: deferred-revenue increase</t>
        </is>
      </c>
      <c r="C13" s="22">
        <f>Actuals!C15-Actuals!B15</f>
        <v/>
      </c>
      <c r="D13" s="22">
        <f>Actuals!D15-Actuals!C15</f>
        <v/>
      </c>
      <c r="E13" s="22">
        <f>Actuals!E15-Actuals!D15</f>
        <v/>
      </c>
      <c r="F13" s="22">
        <f>Actuals!F15-Actuals!E15</f>
        <v/>
      </c>
      <c r="G13" s="22">
        <f>Actuals!G15-Actuals!F15</f>
        <v/>
      </c>
    </row>
    <row r="14">
      <c r="A14" t="inlineStr">
        <is>
          <t>as % of reported FCF</t>
        </is>
      </c>
      <c r="C14" s="20">
        <f>(Actuals!C15-Actuals!B15)/Actuals!C7</f>
        <v/>
      </c>
      <c r="D14" s="20">
        <f>(Actuals!D15-Actuals!C15)/Actuals!D7</f>
        <v/>
      </c>
      <c r="E14" s="20">
        <f>(Actuals!E15-Actuals!D15)/Actuals!E7</f>
        <v/>
      </c>
      <c r="F14" s="20">
        <f>(Actuals!F15-Actuals!E15)/Actuals!F7</f>
        <v/>
      </c>
      <c r="G14" s="20">
        <f>(Actuals!G15-Actuals!F15)/Actuals!G7</f>
        <v/>
      </c>
    </row>
    <row r="16">
      <c r="A16" s="2" t="inlineStr">
        <is>
          <t>Memo: cash tax rate (cash taxes / net income)</t>
        </is>
      </c>
      <c r="B16" s="20">
        <f>Actuals!B11/Actuals!B13</f>
        <v/>
      </c>
      <c r="C16" s="20">
        <f>Actuals!C11/Actuals!C13</f>
        <v/>
      </c>
      <c r="D16" s="20">
        <f>Actuals!D11/Actuals!D13</f>
        <v/>
      </c>
      <c r="E16" s="20">
        <f>Actuals!E11/Actuals!E13</f>
        <v/>
      </c>
      <c r="F16" s="20">
        <f>Actuals!F11/Actuals!F13</f>
        <v/>
      </c>
      <c r="G16" s="20">
        <f>Actuals!G11/Actuals!G13</f>
        <v/>
      </c>
      <c r="H16" s="20">
        <f>Actuals!H11/Actuals!H13</f>
        <v/>
      </c>
    </row>
    <row r="17" ht="32" customHeight="1">
      <c r="A17" s="3" t="inlineStr">
        <is>
          <t>Cash tax rate stepped up sharply at FY2023 (8.9% of net income in FY2020 to ~31% FY2023-25) as prior-year benefits ran out. The forward model uses 26-27% of EBIT, NOT the depressed early-period rate.</t>
        </is>
      </c>
    </row>
    <row r="19" ht="32" customHeight="1">
      <c r="A19" s="3" t="inlineStr">
        <is>
          <t>Interest income is NOT deducted: Adobe carries net DEBT of $1,726m, so its cash is netted against debt in the bridge rather than added to enterprise value. Stripping the interest as well would understate value.</t>
        </is>
      </c>
    </row>
  </sheetData>
  <mergeCells count="2">
    <mergeCell ref="A19:H19"/>
    <mergeCell ref="A17:H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2" customWidth="1" min="7" max="7"/>
  </cols>
  <sheetData>
    <row r="1">
      <c r="A1" s="1" t="inlineStr">
        <is>
          <t>Valuation summary</t>
        </is>
      </c>
    </row>
    <row r="3">
      <c r="A3" s="6" t="inlineStr">
        <is>
          <t>Scenario</t>
        </is>
      </c>
      <c r="B3" s="6" t="inlineStr">
        <is>
          <t>Value/share</t>
        </is>
      </c>
      <c r="C3" s="6" t="inlineStr">
        <is>
          <t>Upside</t>
        </is>
      </c>
      <c r="D3" s="6" t="inlineStr">
        <is>
          <t>Probability</t>
        </is>
      </c>
      <c r="E3" s="6" t="inlineStr">
        <is>
          <t>Street value/share</t>
        </is>
      </c>
    </row>
    <row r="4">
      <c r="A4" t="inlineStr">
        <is>
          <t>Bear</t>
        </is>
      </c>
      <c r="B4" s="30">
        <f>DCF_Bear!$B$38</f>
        <v/>
      </c>
      <c r="C4" s="20">
        <f>B4/Assumptions!$B$8-1</f>
        <v/>
      </c>
      <c r="D4" s="31">
        <f>Assumptions!$B$17</f>
        <v/>
      </c>
      <c r="E4" s="30">
        <f>DCF_Bear!$B$43</f>
        <v/>
      </c>
    </row>
    <row r="5">
      <c r="A5" t="inlineStr">
        <is>
          <t>Base</t>
        </is>
      </c>
      <c r="B5" s="30">
        <f>DCF_Base!$B$38</f>
        <v/>
      </c>
      <c r="C5" s="20">
        <f>B5/Assumptions!$B$8-1</f>
        <v/>
      </c>
      <c r="D5" s="31">
        <f>Assumptions!$C$17</f>
        <v/>
      </c>
      <c r="E5" s="30">
        <f>DCF_Base!$B$43</f>
        <v/>
      </c>
    </row>
    <row r="6">
      <c r="A6" t="inlineStr">
        <is>
          <t>Bull</t>
        </is>
      </c>
      <c r="B6" s="30">
        <f>DCF_Bull!$B$38</f>
        <v/>
      </c>
      <c r="C6" s="20">
        <f>B6/Assumptions!$B$8-1</f>
        <v/>
      </c>
      <c r="D6" s="31">
        <f>Assumptions!$D$17</f>
        <v/>
      </c>
      <c r="E6" s="30">
        <f>DCF_Bull!$B$43</f>
        <v/>
      </c>
    </row>
    <row r="8">
      <c r="A8" s="2" t="inlineStr">
        <is>
          <t>Probability-weighted value</t>
        </is>
      </c>
      <c r="B8" s="28">
        <f>SUMPRODUCT(B4:B6,D4:D6)</f>
        <v/>
      </c>
      <c r="E8" s="29">
        <f>SUMPRODUCT(E4:E6,D4:D6)</f>
        <v/>
      </c>
    </row>
    <row r="9">
      <c r="A9" t="inlineStr">
        <is>
          <t>Current price</t>
        </is>
      </c>
      <c r="B9" s="30">
        <f>Assumptions!$B$8</f>
        <v/>
      </c>
    </row>
    <row r="10">
      <c r="A10" t="inlineStr">
        <is>
          <t>Upside vs weighted</t>
        </is>
      </c>
      <c r="B10" s="20">
        <f>B8/Assumptions!$B$8-1</f>
        <v/>
      </c>
    </row>
    <row r="11">
      <c r="A11" t="inlineStr">
        <is>
          <t>Margin of safety</t>
        </is>
      </c>
      <c r="B11" s="20">
        <f>1-Assumptions!$B$8/B8</f>
        <v/>
      </c>
    </row>
    <row r="12">
      <c r="A12" t="inlineStr">
        <is>
          <t>Band position (0% house, 100% street)</t>
        </is>
      </c>
      <c r="B12" s="20">
        <f>(Assumptions!$B$8-B8)/(E8-B8)</f>
        <v/>
      </c>
    </row>
    <row r="13" ht="28" customHeight="1">
      <c r="A13" s="32" t="inlineStr">
        <is>
          <t>Band position is NEGATIVE: the market is paying less than the fully-SBC-expensed house value, i.e. below the floor of the accounting-regime band.</t>
        </is>
      </c>
    </row>
    <row r="15">
      <c r="A15" s="2" t="inlineStr">
        <is>
          <t>Required-return table (base case)</t>
        </is>
      </c>
    </row>
    <row r="16">
      <c r="A16" s="6" t="inlineStr">
        <is>
          <t>Required return</t>
        </is>
      </c>
      <c r="B16" s="6" t="inlineStr">
        <is>
          <t>Value per share</t>
        </is>
      </c>
    </row>
    <row r="17">
      <c r="A17" s="33" t="n">
        <v>0.09</v>
      </c>
      <c r="B17" s="7">
        <f>(SUMPRODUCT(DCF_Base!C19:DCF_Base!L19,1/(1+$A$17)^DCF_Base!C4:DCF_Base!L4)+MAX(0,MIN(DCF_Base!$B$29,DCF_Base!$B$30))/(1+$A$17)^10-Assumptions!$B$6)/Assumptions!$B$7</f>
        <v/>
      </c>
    </row>
    <row r="18">
      <c r="A18" s="33" t="n">
        <v>0.095</v>
      </c>
      <c r="B18" s="7">
        <f>(SUMPRODUCT(DCF_Base!C19:DCF_Base!L19,1/(1+$A$18)^DCF_Base!C4:DCF_Base!L4)+MAX(0,MIN(DCF_Base!$B$29,DCF_Base!$B$30))/(1+$A$18)^10-Assumptions!$B$6)/Assumptions!$B$7</f>
        <v/>
      </c>
    </row>
    <row r="19">
      <c r="A19" s="33" t="n">
        <v>0.1</v>
      </c>
      <c r="B19" s="7">
        <f>(SUMPRODUCT(DCF_Base!C19:DCF_Base!L19,1/(1+$A$19)^DCF_Base!C4:DCF_Base!L4)+MAX(0,MIN(DCF_Base!$B$29,DCF_Base!$B$30))/(1+$A$19)^10-Assumptions!$B$6)/Assumptions!$B$7</f>
        <v/>
      </c>
    </row>
    <row r="20">
      <c r="A20" s="33" t="n">
        <v>0.11</v>
      </c>
      <c r="B20" s="7">
        <f>(SUMPRODUCT(DCF_Base!C19:DCF_Base!L19,1/(1+$A$20)^DCF_Base!C4:DCF_Base!L4)+MAX(0,MIN(DCF_Base!$B$29,DCF_Base!$B$30))/(1+$A$20)^10-Assumptions!$B$6)/Assumptions!$B$7</f>
        <v/>
      </c>
    </row>
    <row r="21">
      <c r="A21" s="33" t="n">
        <v>0.12</v>
      </c>
      <c r="B21" s="7">
        <f>(SUMPRODUCT(DCF_Base!C19:DCF_Base!L19,1/(1+$A$21)^DCF_Base!C4:DCF_Base!L4)+MAX(0,MIN(DCF_Base!$B$29,DCF_Base!$B$30))/(1+$A$21)^10-Assumptions!$B$6)/Assumptions!$B$7</f>
        <v/>
      </c>
    </row>
    <row r="22">
      <c r="A22" s="33" t="n">
        <v>0.15</v>
      </c>
      <c r="B22" s="7">
        <f>(SUMPRODUCT(DCF_Base!C19:DCF_Base!L19,1/(1+$A$22)^DCF_Base!C4:DCF_Base!L4)+MAX(0,MIN(DCF_Base!$B$29,DCF_Base!$B$30))/(1+$A$22)^10-Assumptions!$B$6)/Assumptions!$B$7</f>
        <v/>
      </c>
    </row>
    <row r="23">
      <c r="A23" s="4" t="inlineStr">
        <is>
          <t>9.5% is the model's own WACC. Today's price implies roughly a 12.6% IRR on base-case flows.</t>
        </is>
      </c>
    </row>
    <row r="25">
      <c r="A25" s="2" t="inlineStr">
        <is>
          <t>15% hurdle entry price</t>
        </is>
      </c>
    </row>
    <row r="26">
      <c r="A26" s="6" t="inlineStr">
        <is>
          <t>Scenario</t>
        </is>
      </c>
      <c r="B26" s="6" t="inlineStr">
        <is>
          <t>Entry price</t>
        </is>
      </c>
      <c r="C26" s="6" t="inlineStr">
        <is>
          <t>Probability</t>
        </is>
      </c>
    </row>
    <row r="27">
      <c r="A27" t="inlineStr">
        <is>
          <t>Bear</t>
        </is>
      </c>
      <c r="B27" s="7">
        <f>(SUMPRODUCT(DCF_Bear!C19:DCF_Bear!L19,1/(1+0.15)^DCF_Bear!C4:DCF_Bear!L4)+MAX(0,MIN(DCF_Bear!$B$29,DCF_Bear!$B$30))/(1+0.15)^10-Assumptions!$B$6)/Assumptions!$B$7</f>
        <v/>
      </c>
      <c r="C27" s="31">
        <f>Assumptions!$B$17</f>
        <v/>
      </c>
    </row>
    <row r="28">
      <c r="A28" t="inlineStr">
        <is>
          <t>Base</t>
        </is>
      </c>
      <c r="B28" s="7">
        <f>(SUMPRODUCT(DCF_Base!C19:DCF_Base!L19,1/(1+0.15)^DCF_Base!C4:DCF_Base!L4)+MAX(0,MIN(DCF_Base!$B$29,DCF_Base!$B$30))/(1+0.15)^10-Assumptions!$B$6)/Assumptions!$B$7</f>
        <v/>
      </c>
      <c r="C28" s="31">
        <f>Assumptions!$C$17</f>
        <v/>
      </c>
    </row>
    <row r="29">
      <c r="A29" t="inlineStr">
        <is>
          <t>Bull</t>
        </is>
      </c>
      <c r="B29" s="7">
        <f>(SUMPRODUCT(DCF_Bull!C19:DCF_Bull!L19,1/(1+0.15)^DCF_Bull!C4:DCF_Bull!L4)+MAX(0,MIN(DCF_Bull!$B$29,DCF_Bull!$B$30))/(1+0.15)^10-Assumptions!$B$6)/Assumptions!$B$7</f>
        <v/>
      </c>
      <c r="C29" s="31">
        <f>Assumptions!$D$17</f>
        <v/>
      </c>
    </row>
    <row r="30">
      <c r="A30" s="2" t="inlineStr">
        <is>
          <t>Weighted entry price (buy below)</t>
        </is>
      </c>
      <c r="B30" s="28">
        <f>SUMPRODUCT(B27:B29,C27:C29)</f>
        <v/>
      </c>
    </row>
    <row r="31">
      <c r="A31" t="inlineStr">
        <is>
          <t>Discount to current price</t>
        </is>
      </c>
      <c r="B31" s="20">
        <f>B30/Assumptions!$B$8-1</f>
        <v/>
      </c>
    </row>
    <row r="33">
      <c r="A33" s="2" t="inlineStr">
        <is>
          <t>Sensitivity: WACC (rows) x terminal growth (cols), base case</t>
        </is>
      </c>
    </row>
    <row r="34">
      <c r="A34" s="6" t="inlineStr">
        <is>
          <t>WACC \ g</t>
        </is>
      </c>
      <c r="B34" s="34" t="n">
        <v>0.02</v>
      </c>
      <c r="C34" s="34" t="n">
        <v>0.025</v>
      </c>
      <c r="D34" s="34" t="n">
        <v>0.03</v>
      </c>
      <c r="E34" s="34" t="n">
        <v>0.035</v>
      </c>
      <c r="F34" s="34" t="n">
        <v>0.04</v>
      </c>
    </row>
    <row r="35">
      <c r="A35" s="34" t="n">
        <v>0.075</v>
      </c>
      <c r="B35" s="7">
        <f>IF($A$35&gt;B34,(SUMPRODUCT(DCF_Base!C19:DCF_Base!L19,1/(1+$A$35)^DCF_Base!C4:DCF_Base!L4)+MAX(0,MIN(DCF_Base!$L$19*(1+B34)/($A$35-B34),Assumptions!$C$15*DCF_Base!$L$19))/(1+$A$35)^10-Assumptions!$B$6)/Assumptions!$B$7,"n/a")</f>
        <v/>
      </c>
      <c r="C35" s="7">
        <f>IF($A$35&gt;C34,(SUMPRODUCT(DCF_Base!C19:DCF_Base!L19,1/(1+$A$35)^DCF_Base!C4:DCF_Base!L4)+MAX(0,MIN(DCF_Base!$L$19*(1+C34)/($A$35-C34),Assumptions!$C$15*DCF_Base!$L$19))/(1+$A$35)^10-Assumptions!$B$6)/Assumptions!$B$7,"n/a")</f>
        <v/>
      </c>
      <c r="D35" s="7">
        <f>IF($A$35&gt;D34,(SUMPRODUCT(DCF_Base!C19:DCF_Base!L19,1/(1+$A$35)^DCF_Base!C4:DCF_Base!L4)+MAX(0,MIN(DCF_Base!$L$19*(1+D34)/($A$35-D34),Assumptions!$C$15*DCF_Base!$L$19))/(1+$A$35)^10-Assumptions!$B$6)/Assumptions!$B$7,"n/a")</f>
        <v/>
      </c>
      <c r="E35" s="7">
        <f>IF($A$35&gt;E34,(SUMPRODUCT(DCF_Base!C19:DCF_Base!L19,1/(1+$A$35)^DCF_Base!C4:DCF_Base!L4)+MAX(0,MIN(DCF_Base!$L$19*(1+E34)/($A$35-E34),Assumptions!$C$15*DCF_Base!$L$19))/(1+$A$35)^10-Assumptions!$B$6)/Assumptions!$B$7,"n/a")</f>
        <v/>
      </c>
      <c r="F35" s="7">
        <f>IF($A$35&gt;F34,(SUMPRODUCT(DCF_Base!C19:DCF_Base!L19,1/(1+$A$35)^DCF_Base!C4:DCF_Base!L4)+MAX(0,MIN(DCF_Base!$L$19*(1+F34)/($A$35-F34),Assumptions!$C$15*DCF_Base!$L$19))/(1+$A$35)^10-Assumptions!$B$6)/Assumptions!$B$7,"n/a")</f>
        <v/>
      </c>
    </row>
    <row r="36">
      <c r="A36" s="34" t="n">
        <v>0.08500000000000001</v>
      </c>
      <c r="B36" s="7">
        <f>IF($A$36&gt;B34,(SUMPRODUCT(DCF_Base!C19:DCF_Base!L19,1/(1+$A$36)^DCF_Base!C4:DCF_Base!L4)+MAX(0,MIN(DCF_Base!$L$19*(1+B34)/($A$36-B34),Assumptions!$C$15*DCF_Base!$L$19))/(1+$A$36)^10-Assumptions!$B$6)/Assumptions!$B$7,"n/a")</f>
        <v/>
      </c>
      <c r="C36" s="7">
        <f>IF($A$36&gt;C34,(SUMPRODUCT(DCF_Base!C19:DCF_Base!L19,1/(1+$A$36)^DCF_Base!C4:DCF_Base!L4)+MAX(0,MIN(DCF_Base!$L$19*(1+C34)/($A$36-C34),Assumptions!$C$15*DCF_Base!$L$19))/(1+$A$36)^10-Assumptions!$B$6)/Assumptions!$B$7,"n/a")</f>
        <v/>
      </c>
      <c r="D36" s="7">
        <f>IF($A$36&gt;D34,(SUMPRODUCT(DCF_Base!C19:DCF_Base!L19,1/(1+$A$36)^DCF_Base!C4:DCF_Base!L4)+MAX(0,MIN(DCF_Base!$L$19*(1+D34)/($A$36-D34),Assumptions!$C$15*DCF_Base!$L$19))/(1+$A$36)^10-Assumptions!$B$6)/Assumptions!$B$7,"n/a")</f>
        <v/>
      </c>
      <c r="E36" s="7">
        <f>IF($A$36&gt;E34,(SUMPRODUCT(DCF_Base!C19:DCF_Base!L19,1/(1+$A$36)^DCF_Base!C4:DCF_Base!L4)+MAX(0,MIN(DCF_Base!$L$19*(1+E34)/($A$36-E34),Assumptions!$C$15*DCF_Base!$L$19))/(1+$A$36)^10-Assumptions!$B$6)/Assumptions!$B$7,"n/a")</f>
        <v/>
      </c>
      <c r="F36" s="7">
        <f>IF($A$36&gt;F34,(SUMPRODUCT(DCF_Base!C19:DCF_Base!L19,1/(1+$A$36)^DCF_Base!C4:DCF_Base!L4)+MAX(0,MIN(DCF_Base!$L$19*(1+F34)/($A$36-F34),Assumptions!$C$15*DCF_Base!$L$19))/(1+$A$36)^10-Assumptions!$B$6)/Assumptions!$B$7,"n/a")</f>
        <v/>
      </c>
    </row>
    <row r="37">
      <c r="A37" s="34" t="n">
        <v>0.095</v>
      </c>
      <c r="B37" s="7">
        <f>IF($A$37&gt;B34,(SUMPRODUCT(DCF_Base!C19:DCF_Base!L19,1/(1+$A$37)^DCF_Base!C4:DCF_Base!L4)+MAX(0,MIN(DCF_Base!$L$19*(1+B34)/($A$37-B34),Assumptions!$C$15*DCF_Base!$L$19))/(1+$A$37)^10-Assumptions!$B$6)/Assumptions!$B$7,"n/a")</f>
        <v/>
      </c>
      <c r="C37" s="7">
        <f>IF($A$37&gt;C34,(SUMPRODUCT(DCF_Base!C19:DCF_Base!L19,1/(1+$A$37)^DCF_Base!C4:DCF_Base!L4)+MAX(0,MIN(DCF_Base!$L$19*(1+C34)/($A$37-C34),Assumptions!$C$15*DCF_Base!$L$19))/(1+$A$37)^10-Assumptions!$B$6)/Assumptions!$B$7,"n/a")</f>
        <v/>
      </c>
      <c r="D37" s="35">
        <f>IF($A$37&gt;D34,(SUMPRODUCT(DCF_Base!C19:DCF_Base!L19,1/(1+$A$37)^DCF_Base!C4:DCF_Base!L4)+MAX(0,MIN(DCF_Base!$L$19*(1+D34)/($A$37-D34),Assumptions!$C$15*DCF_Base!$L$19))/(1+$A$37)^10-Assumptions!$B$6)/Assumptions!$B$7,"n/a")</f>
        <v/>
      </c>
      <c r="E37" s="7">
        <f>IF($A$37&gt;E34,(SUMPRODUCT(DCF_Base!C19:DCF_Base!L19,1/(1+$A$37)^DCF_Base!C4:DCF_Base!L4)+MAX(0,MIN(DCF_Base!$L$19*(1+E34)/($A$37-E34),Assumptions!$C$15*DCF_Base!$L$19))/(1+$A$37)^10-Assumptions!$B$6)/Assumptions!$B$7,"n/a")</f>
        <v/>
      </c>
      <c r="F37" s="7">
        <f>IF($A$37&gt;F34,(SUMPRODUCT(DCF_Base!C19:DCF_Base!L19,1/(1+$A$37)^DCF_Base!C4:DCF_Base!L4)+MAX(0,MIN(DCF_Base!$L$19*(1+F34)/($A$37-F34),Assumptions!$C$15*DCF_Base!$L$19))/(1+$A$37)^10-Assumptions!$B$6)/Assumptions!$B$7,"n/a")</f>
        <v/>
      </c>
    </row>
    <row r="38">
      <c r="A38" s="34" t="n">
        <v>0.105</v>
      </c>
      <c r="B38" s="7">
        <f>IF($A$38&gt;B34,(SUMPRODUCT(DCF_Base!C19:DCF_Base!L19,1/(1+$A$38)^DCF_Base!C4:DCF_Base!L4)+MAX(0,MIN(DCF_Base!$L$19*(1+B34)/($A$38-B34),Assumptions!$C$15*DCF_Base!$L$19))/(1+$A$38)^10-Assumptions!$B$6)/Assumptions!$B$7,"n/a")</f>
        <v/>
      </c>
      <c r="C38" s="7">
        <f>IF($A$38&gt;C34,(SUMPRODUCT(DCF_Base!C19:DCF_Base!L19,1/(1+$A$38)^DCF_Base!C4:DCF_Base!L4)+MAX(0,MIN(DCF_Base!$L$19*(1+C34)/($A$38-C34),Assumptions!$C$15*DCF_Base!$L$19))/(1+$A$38)^10-Assumptions!$B$6)/Assumptions!$B$7,"n/a")</f>
        <v/>
      </c>
      <c r="D38" s="7">
        <f>IF($A$38&gt;D34,(SUMPRODUCT(DCF_Base!C19:DCF_Base!L19,1/(1+$A$38)^DCF_Base!C4:DCF_Base!L4)+MAX(0,MIN(DCF_Base!$L$19*(1+D34)/($A$38-D34),Assumptions!$C$15*DCF_Base!$L$19))/(1+$A$38)^10-Assumptions!$B$6)/Assumptions!$B$7,"n/a")</f>
        <v/>
      </c>
      <c r="E38" s="7">
        <f>IF($A$38&gt;E34,(SUMPRODUCT(DCF_Base!C19:DCF_Base!L19,1/(1+$A$38)^DCF_Base!C4:DCF_Base!L4)+MAX(0,MIN(DCF_Base!$L$19*(1+E34)/($A$38-E34),Assumptions!$C$15*DCF_Base!$L$19))/(1+$A$38)^10-Assumptions!$B$6)/Assumptions!$B$7,"n/a")</f>
        <v/>
      </c>
      <c r="F38" s="7">
        <f>IF($A$38&gt;F34,(SUMPRODUCT(DCF_Base!C19:DCF_Base!L19,1/(1+$A$38)^DCF_Base!C4:DCF_Base!L4)+MAX(0,MIN(DCF_Base!$L$19*(1+F34)/($A$38-F34),Assumptions!$C$15*DCF_Base!$L$19))/(1+$A$38)^10-Assumptions!$B$6)/Assumptions!$B$7,"n/a")</f>
        <v/>
      </c>
    </row>
    <row r="39">
      <c r="A39" s="34" t="n">
        <v>0.115</v>
      </c>
      <c r="B39" s="7">
        <f>IF($A$39&gt;B34,(SUMPRODUCT(DCF_Base!C19:DCF_Base!L19,1/(1+$A$39)^DCF_Base!C4:DCF_Base!L4)+MAX(0,MIN(DCF_Base!$L$19*(1+B34)/($A$39-B34),Assumptions!$C$15*DCF_Base!$L$19))/(1+$A$39)^10-Assumptions!$B$6)/Assumptions!$B$7,"n/a")</f>
        <v/>
      </c>
      <c r="C39" s="7">
        <f>IF($A$39&gt;C34,(SUMPRODUCT(DCF_Base!C19:DCF_Base!L19,1/(1+$A$39)^DCF_Base!C4:DCF_Base!L4)+MAX(0,MIN(DCF_Base!$L$19*(1+C34)/($A$39-C34),Assumptions!$C$15*DCF_Base!$L$19))/(1+$A$39)^10-Assumptions!$B$6)/Assumptions!$B$7,"n/a")</f>
        <v/>
      </c>
      <c r="D39" s="7">
        <f>IF($A$39&gt;D34,(SUMPRODUCT(DCF_Base!C19:DCF_Base!L19,1/(1+$A$39)^DCF_Base!C4:DCF_Base!L4)+MAX(0,MIN(DCF_Base!$L$19*(1+D34)/($A$39-D34),Assumptions!$C$15*DCF_Base!$L$19))/(1+$A$39)^10-Assumptions!$B$6)/Assumptions!$B$7,"n/a")</f>
        <v/>
      </c>
      <c r="E39" s="7">
        <f>IF($A$39&gt;E34,(SUMPRODUCT(DCF_Base!C19:DCF_Base!L19,1/(1+$A$39)^DCF_Base!C4:DCF_Base!L4)+MAX(0,MIN(DCF_Base!$L$19*(1+E34)/($A$39-E34),Assumptions!$C$15*DCF_Base!$L$19))/(1+$A$39)^10-Assumptions!$B$6)/Assumptions!$B$7,"n/a")</f>
        <v/>
      </c>
      <c r="F39" s="7">
        <f>IF($A$39&gt;F34,(SUMPRODUCT(DCF_Base!C19:DCF_Base!L19,1/(1+$A$39)^DCF_Base!C4:DCF_Base!L4)+MAX(0,MIN(DCF_Base!$L$19*(1+F34)/($A$39-F34),Assumptions!$C$15*DCF_Base!$L$19))/(1+$A$39)^10-Assumptions!$B$6)/Assumptions!$B$7,"n/a")</f>
        <v/>
      </c>
    </row>
    <row r="40">
      <c r="A40" s="32" t="inlineStr">
        <is>
          <t>Highlighted cell is the house pair (9.5% WACC, 3.0% terminal growth). Flat regions at low WACC are the 17x terminal cap binding, which is intended.</t>
        </is>
      </c>
    </row>
  </sheetData>
  <mergeCells count="2">
    <mergeCell ref="A13:F13"/>
    <mergeCell ref="A40:F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2026-08-28T01:43:04Z</dcterms:created>
  <dcterms:modified xsi:type="dcterms:W3CDTF">2026-08-28T01:43:04Z</dcterms:modified>
</cp:coreProperties>
</file>