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<sst xmlns="http://schemas.openxmlformats.org/spreadsheetml/2006/main" count="310" uniqueCount="169">
  <si>
    <t xml:space="preserve">Ticker</t>
  </si>
  <si>
    <t xml:space="preserve">SGRO.L</t>
  </si>
  <si>
    <t xml:space="preserve">Company</t>
  </si>
  <si>
    <t xml:space="preserve">SEGRO plc</t>
  </si>
  <si>
    <t xml:space="preserve">Valuation date</t>
  </si>
  <si>
    <t xml:space="preserve">2026-10-10</t>
  </si>
  <si>
    <t xml:space="preserve">Current price</t>
  </si>
  <si>
    <t xml:space="preserve">Price as of</t>
  </si>
  <si>
    <t xml:space="preserve">2026-10-09T16:35:59Z (LSE regular close; Yahoo v8 chart meta; 52-week range 632.2-997.4)</t>
  </si>
  <si>
    <t xml:space="preserve">Balance sheet date</t>
  </si>
  <si>
    <t xml:space="preserve">2026-06-30</t>
  </si>
  <si>
    <t xml:space="preserve">Model</t>
  </si>
  <si>
    <t xml:space="preserve">REIT AFFO capitalisation at cost of equity (engine route) with deal-completes vs deal-breaks scenario weighting</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</si>
  <si>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</si>
  <si>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</si>
  <si>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</si>
  <si>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</si>
  <si>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</si>
  <si>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</si>
  <si>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</si>
  <si>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</si>
  <si>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</si>
  <si>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2026-10-10T01:28:58Z</t>
  </si>
  <si>
    <t xml:space="preserve">Drivers file</t>
  </si>
  <si>
    <t xml:space="preserve">SGRO.L_Drivers.json</t>
  </si>
  <si>
    <t xml:space="preserve">Convention</t>
  </si>
  <si>
    <t xml:space="preserve">Percents stored as percents; formulas divide by 100. Blue = input, green = link, black = formula.</t>
  </si>
  <si>
    <t xml:space="preserve">Methodology</t>
  </si>
  <si>
    <t xml:space="preserve">summary: SEGRO is valued as a merger-arbitrage position, not as a going-concern REIT, because a shareholder-approved Prologis scheme sets the near-term outcome. Base and bull are the scheme receipts (blended stock-plus-capped-cash consideration plus permitted dividends) discounted at an 8% arbitrage return over a year; bear is the standalone business valued the house way for a REIT -- adjusted (EPRA) earnings less refurbishment spend, i.e. AFFO, capitalised at an 8% GBP cost of equity with no net-debt deduction because the flow is post-interest. Statutory earnings, book-value growth and reported free cash flow are set aside as IAS 40 revaluation noise and development-capex timing. The finding is that the price already embeds near-certain completion: the probability-weighted value lands below the price because a 15% break probability against a ~40% fall to the house standalone value outweighs a 2-4% spread to the consideration. The investment question is therefore not SEGRO's intrinsic value but whether a sub-8% annualised, 85%-probability arbitrage with that asymmetry is worth holding; for a new buyer it is not, and for an existing holder the case for selling into the spread is strong unless they want to own Prologis.
key_risks_to_valuation: Consideration mark: 75% of the deal value is PLD stock. Each USD 1 on PLD moves the base ~0.68p (~0.7%); a 10% PLD fall to USD 116 takes the blended consideration to ~866p, below the current price. refresh_price.py does not refresh PLD or GBPUSD.; Break probability and break price: the weighted value is most sensitive to the 15% break weight and to whether the break price is the house standalone (~565p) or the undisturbed level (~742p); at 742p the weighted value rises ~27p.; Timing: each extra quarter of regulatory delay costs ~2% of the base value at an 8% arbitrage rate; CMA Phase 2 or EC Phase II would push completion into H2 2027.; Permitted dividends: the ~22p FY2026 final is assumed received; completion before the record date or a stricter scheme term removes it (~2% of base).; Standalone floor: the bear capitalises FY2026E AFFO at 8% with a 17x exit; at the market's own ~7% pre-bid cost of equity the standalone value is ~700p, so the floor is itself a judgment, and capitalised development interest (c.GBP 70m/yr) left inside adjusted earnings flatters it by ~5p/share of AFFO.</t>
  </si>
  <si>
    <t xml:space="preserve">Data sources</t>
  </si>
  <si>
    <t xml:space="preserve">price: Yahoo Finance v8 chart API at inputs.price_as_of (LSE regular close); 52-week range 632.2-997.4. PLD and GBPUSD marks from the same API at the timestamps in deal_analysis.
financials: SGRO.L Metrics CSV / core_metrics and kpis (adjusted/EPRA earnings and EPS, EPRA NTA, LTV, gross and net rental income, dividends, share counts) adjudicated from the FY2021-FY2025 annual reports and the H1 2026 results presentation (30-Jul-2026: adjusted income statement, net debt, LTV, cost of debt, EBITDA), the 8-Jul-2026 H1 trading update (905p pro forma NAV, capex guidance) and the H1 2026 property analysis report. FY2025 AR: adjusted earnings table and diluted share count (lines 10465-10482), capital expenditure paragraph with spend on existing completed properties and capitalised interest (lines 2884-2900), net debt table (lines 10592-10606).
qualitative: SGRO.L_Analysis.json (2026-10-10): scheme terms and timetable, regulatory conditions, guidance, risk register, bull/bear points.</t>
  </si>
  <si>
    <t xml:space="preserve">Scenario narrative: bear</t>
  </si>
  <si>
    <t xml:space="preserve">The scheme fails: a regulatory block or remedy package Prologis will not accept, a Court refusal, or a walk-away on a material adverse change in a stressed market. SEGRO reverts to standalone with a year of subordinated strategy and deal costs behind it, the Prologis-funded acceleration of the GBP 1.6bn land bank and 2.5GW data-centre pipeline is gone, and the shares re-rate from a deal multiple back to an income multiple. FY2026 adjusted earnings still grow ~6% (banked), AFFO ~34p; thereafter 2.5-3% growth as indexed rent and reversion capture are offset by a 2.8% debt book repricing toward 4%+ and capitalised interest unwinding, with refurbishment spend edging up to 9% of revenue -- all of which the 17x exit prices. Capitalised at an 8% GBP cost of equity, the standalone AFFO stream is worth ~566p, about 0.63x the 902p EPRA NTA and well below the ~742p undisturbed price. The market would probably stop nearer the undisturbed level than the house value on day one, but the house value is the number a fresh buyer should underwrite.</t>
  </si>
  <si>
    <t xml:space="preserve">Scenario narrative: base</t>
  </si>
  <si>
    <t xml:space="preserve">The Prologis scheme completes on its agreed terms during 2027 after Court sanction and the four regulatory clearances (UK CMA, EU Commission, Italian Golden Power, UK NSIA). Every holder elects the 1,031.7p cash alternative, it is scaled to the 25% cap, and the remaining 75% is settled in 0.0920 PLD shares marked at the last PLD close and GBPUSD rate (933.1p blended); the FY2026 interim and a permitted ~22p final dividend are collected on the way. Discounted a full year at an 8% merger-arbitrage required return to absorb Phase 2 slippage, the receipts are worth ~884p today (~907p at the targeted H1 2027 timing). SEGRO's own FY2026 operations (adjusted earnings +6%, AFFO ~34p) matter only as the dividend stream and as the floor under the stock.</t>
  </si>
  <si>
    <t xml:space="preserve">Scenario narrative: bull</t>
  </si>
  <si>
    <t xml:space="preserve">The deal completes and the stock leg is worth more at completion than today: PLD recovers to ~USD 145, where the exchange ratio was struck at parity with the cash in July 2026 (52-week high USD 153), or sterling weakens, lifting the blended consideration to ~1,014p; plus the permitted final dividend, ~1,036p of receipts worth ~959p today. A competing bid is the alternative route to the same number: Prologis's 'Best and Final' statement caps its own terms, and the GBP 14bn size and pan-European antitrust footprint make an interloper (Blackstone, GIC, Goodman) unlikely but not impossible. There is no bull case for SEGRO's own operations inside a one-year horizon.</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</si>
  <si>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</si>
  <si>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</si>
  <si>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</si>
  <si>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</si>
  <si>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</si>
  <si>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</si>
  <si>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</si>
  <si>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</si>
  <si>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</si>
  <si>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</si>
  <si>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</si>
  <si>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</si>
  <si>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</si>
  <si>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</si>
  <si>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</si>
  <si>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</si>
  <si>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</si>
  <si>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</si>
  <si>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</si>
  <si>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</si>
  <si>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</si>
  <si>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</si>
  <si>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</si>
  <si>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</si>
  <si>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</si>
  <si>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</si>
  <si>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</si>
  <si>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DividendPerShareDeclared</t>
  </si>
  <si>
    <t xml:space="preserve">EPRAEPS</t>
  </si>
  <si>
    <t xml:space="preserve">EPRAEarnings</t>
  </si>
  <si>
    <t xml:space="preserve">GrossRentalIncome</t>
  </si>
  <si>
    <t xml:space="preserve">InterestPaid</t>
  </si>
  <si>
    <t xml:space="preserve">LTV</t>
  </si>
  <si>
    <t xml:space="preserve">NAVPerShare</t>
  </si>
  <si>
    <t xml:space="preserve">NTAPerShare</t>
  </si>
  <si>
    <t xml:space="preserve">NetDebtToEBITDA</t>
  </si>
  <si>
    <t xml:space="preserve">NetRentalIncome</t>
  </si>
  <si>
    <t xml:space="preserve">Occupancy</t>
  </si>
  <si>
    <t xml:space="preserve">ProfitAfterTaxTotal</t>
  </si>
  <si>
    <t xml:space="preserve">ShareIssuanceProceeds</t>
  </si>
  <si>
    <t xml:space="preserve">ShareOfJVProfit</t>
  </si>
  <si>
    <t xml:space="preserve">TotalCashCapex</t>
  </si>
  <si>
    <t xml:space="preserve">TotalEquityInclNCI</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</si>
  <si>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</si>
  <si>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</si>
  <si>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</si>
  <si>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</si>
  <si>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</si>
  <si>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</si>
  <si>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</si>
  <si>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</si>
  <si>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</si>
  <si>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</si>
  <si>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</si>
  <si>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</si>
  <si>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</si>
  <si>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</si>
  <si>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</si>
  <si>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</si>
  <si>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</si>
  <si>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</si>
  <si>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</si>
  <si>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</si>
  <si>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</si>
  <si>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</si>
  <si>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</si>
  <si>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</si>
  <si>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</si>
  <si>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</si>
  <si>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</si>
  <si>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</si>
  <si>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</si>
  <si>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</si>
  <si>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</si>
  <si>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</si>
  <si>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</si>
  <si>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</si>
  <si>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SGRO.L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</si>
  <si>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</si>
  <si>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</si>
  <si>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</si>
  <si>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</si>
  <si>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</si>
  <si>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</si>
  <si>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</si>
  <si>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</si>
  <si>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</si>
  <si>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</si>
  <si>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</si>
  <si>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</si>
  <si>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</si>
  <si>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</si>
  <si>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</si>
  <si>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</si>
  <si>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</si>
  <si>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</si>
  <si>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</si>
  <si>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</si>
  <si>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</si>
  <si>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</si>
  <si>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</si>
  <si>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</si>
  <si>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</si>
  <si>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</si>
  <si>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</si>
  <si>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</si>
  <si>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</si>
  <si>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</si>
  <si>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SGRO.L owner-FCF component DCF: base case (millions, GBP)</t>
  </si>
  <si>
    <t xml:space="preserve">SGRO.L owner-FCF component DCF: bull case (millions, GBP)</t>
  </si>
  <si>
    <t xml:space="preserve">SGRO.L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</si>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</sst>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919.2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c r="AN1" s="2" t="s">
        <v>75</v>
      </c>
      <c r="AO1" s="2" t="s">
        <v>76</v>
      </c>
      <c r="AP1" s="2" t="s">
        <v>77</v>
      </c>
      <c r="AQ1" s="2" t="s">
        <v>78</v>
      </c>
      <c r="AR1" s="2" t="s">
        <v>79</v>
      </c>
    </row>
    <row r="2" customFormat="false" ht="15" hidden="false" customHeight="false" outlineLevel="0" collapsed="false">
      <c r="A2" s="0" t="s">
        <v>80</v>
      </c>
      <c r="B2" s="0" t="n">
        <v>432</v>
      </c>
      <c r="C2" s="0" t="n">
        <v>104</v>
      </c>
      <c r="D2" s="0" t="n">
        <v>328</v>
      </c>
      <c r="E2" s="0" t="n">
        <v>75.9</v>
      </c>
      <c r="F2" s="0" t="n">
        <v>1501</v>
      </c>
      <c r="G2" s="0" t="n">
        <v>347.5</v>
      </c>
      <c r="I2" s="0" t="n">
        <v>1427</v>
      </c>
      <c r="J2" s="0" t="n">
        <v>330.3</v>
      </c>
      <c r="K2" s="0" t="n">
        <v>1.236</v>
      </c>
      <c r="L2" s="0" t="n">
        <v>199</v>
      </c>
      <c r="M2" s="0" t="n">
        <v>5</v>
      </c>
      <c r="N2" s="0" t="n">
        <v>194</v>
      </c>
      <c r="O2" s="0" t="n">
        <v>9659</v>
      </c>
      <c r="P2" s="0" t="n">
        <v>12667</v>
      </c>
      <c r="Q2" s="0" t="n">
        <v>2996</v>
      </c>
      <c r="R2" s="0" t="n">
        <v>2414</v>
      </c>
      <c r="S2" s="0" t="n">
        <v>89</v>
      </c>
      <c r="T2" s="0" t="n">
        <v>1154.5</v>
      </c>
      <c r="U2" s="0" t="n">
        <v>10</v>
      </c>
      <c r="AA2" s="0" t="s">
        <v>18</v>
      </c>
      <c r="AB2" s="0" t="s">
        <v>14</v>
      </c>
      <c r="AD2" s="0" t="n">
        <v>25.4</v>
      </c>
      <c r="AE2" s="0" t="n">
        <v>292</v>
      </c>
      <c r="AG2" s="0" t="n">
        <v>94</v>
      </c>
      <c r="AI2" s="0" t="n">
        <v>809</v>
      </c>
      <c r="AJ2" s="0" t="n">
        <v>814</v>
      </c>
      <c r="AN2" s="0" t="n">
        <v>1429</v>
      </c>
      <c r="AO2" s="0" t="n">
        <v>672</v>
      </c>
      <c r="AP2" s="0" t="n">
        <v>236</v>
      </c>
      <c r="AQ2" s="0" t="n">
        <v>1221</v>
      </c>
      <c r="AR2" s="0" t="n">
        <v>9671</v>
      </c>
    </row>
    <row r="3" customFormat="false" ht="15" hidden="false" customHeight="false" outlineLevel="0" collapsed="false">
      <c r="A3" s="0" t="s">
        <v>81</v>
      </c>
      <c r="B3" s="0" t="n">
        <v>546</v>
      </c>
      <c r="C3" s="0" t="n">
        <v>140</v>
      </c>
      <c r="D3" s="0" t="n">
        <v>406</v>
      </c>
      <c r="E3" s="0" t="n">
        <v>74.4</v>
      </c>
      <c r="F3" s="0" t="n">
        <v>4477</v>
      </c>
      <c r="G3" s="0" t="n">
        <v>820</v>
      </c>
      <c r="I3" s="0" t="n">
        <v>4060</v>
      </c>
      <c r="J3" s="0" t="n">
        <v>743.6</v>
      </c>
      <c r="K3" s="0" t="n">
        <v>3.381</v>
      </c>
      <c r="L3" s="0" t="n">
        <v>327</v>
      </c>
      <c r="M3" s="0" t="n">
        <v>7</v>
      </c>
      <c r="N3" s="0" t="n">
        <v>320</v>
      </c>
      <c r="O3" s="0" t="n">
        <v>13436</v>
      </c>
      <c r="P3" s="0" t="n">
        <v>17783</v>
      </c>
      <c r="Q3" s="0" t="n">
        <v>4347</v>
      </c>
      <c r="R3" s="0" t="n">
        <v>3406</v>
      </c>
      <c r="S3" s="0" t="n">
        <v>85</v>
      </c>
      <c r="T3" s="0" t="n">
        <v>1201</v>
      </c>
      <c r="U3" s="0" t="n">
        <v>13</v>
      </c>
      <c r="AA3" s="0" t="s">
        <v>18</v>
      </c>
      <c r="AB3" s="0" t="s">
        <v>14</v>
      </c>
      <c r="AD3" s="0" t="n">
        <v>29.1</v>
      </c>
      <c r="AE3" s="0" t="n">
        <v>348</v>
      </c>
      <c r="AG3" s="0" t="n">
        <v>100</v>
      </c>
      <c r="AH3" s="0" t="n">
        <v>24.6</v>
      </c>
      <c r="AI3" s="0" t="n">
        <v>1115</v>
      </c>
      <c r="AJ3" s="0" t="n">
        <v>1137</v>
      </c>
      <c r="AN3" s="0" t="n">
        <v>4067</v>
      </c>
      <c r="AO3" s="0" t="n">
        <v>1</v>
      </c>
      <c r="AP3" s="0" t="n">
        <v>461</v>
      </c>
      <c r="AQ3" s="0" t="n">
        <v>1713</v>
      </c>
    </row>
    <row r="4" customFormat="false" ht="15" hidden="false" customHeight="false" outlineLevel="0" collapsed="false">
      <c r="A4" s="0" t="s">
        <v>82</v>
      </c>
      <c r="B4" s="0" t="n">
        <v>669</v>
      </c>
      <c r="C4" s="0" t="n">
        <v>214</v>
      </c>
      <c r="D4" s="0" t="n">
        <v>455</v>
      </c>
      <c r="E4" s="0" t="n">
        <v>68</v>
      </c>
      <c r="F4" s="0" t="n">
        <v>-1694</v>
      </c>
      <c r="G4" s="0" t="n">
        <v>-253.2</v>
      </c>
      <c r="I4" s="0" t="n">
        <v>-1927</v>
      </c>
      <c r="J4" s="0" t="n">
        <v>-288</v>
      </c>
      <c r="K4" s="0" t="n">
        <v>-1.597</v>
      </c>
      <c r="L4" s="0" t="n">
        <v>213</v>
      </c>
      <c r="M4" s="0" t="n">
        <v>9</v>
      </c>
      <c r="N4" s="0" t="n">
        <v>204</v>
      </c>
      <c r="O4" s="0" t="n">
        <v>11373</v>
      </c>
      <c r="P4" s="0" t="n">
        <v>17348</v>
      </c>
      <c r="Q4" s="0" t="n">
        <v>5975</v>
      </c>
      <c r="R4" s="0" t="n">
        <v>4884</v>
      </c>
      <c r="S4" s="0" t="n">
        <v>162</v>
      </c>
      <c r="T4" s="0" t="n">
        <v>1210</v>
      </c>
      <c r="U4" s="0" t="n">
        <v>9</v>
      </c>
      <c r="AA4" s="0" t="s">
        <v>18</v>
      </c>
      <c r="AB4" s="0" t="s">
        <v>14</v>
      </c>
      <c r="AD4" s="0" t="n">
        <v>31</v>
      </c>
      <c r="AE4" s="0" t="n">
        <v>374</v>
      </c>
      <c r="AF4" s="0" t="n">
        <v>488</v>
      </c>
      <c r="AG4" s="0" t="n">
        <v>131</v>
      </c>
      <c r="AH4" s="0" t="n">
        <v>34.2</v>
      </c>
      <c r="AI4" s="0" t="n">
        <v>938</v>
      </c>
      <c r="AJ4" s="0" t="n">
        <v>966</v>
      </c>
      <c r="AL4" s="0" t="n">
        <v>412</v>
      </c>
      <c r="AN4" s="0" t="n">
        <v>-1930</v>
      </c>
      <c r="AO4" s="0" t="n">
        <v>0</v>
      </c>
      <c r="AP4" s="0" t="n">
        <v>-144</v>
      </c>
      <c r="AQ4" s="0" t="n">
        <v>1481</v>
      </c>
    </row>
    <row r="5" customFormat="false" ht="15" hidden="false" customHeight="false" outlineLevel="0" collapsed="false">
      <c r="A5" s="0" t="s">
        <v>83</v>
      </c>
      <c r="B5" s="0" t="n">
        <v>749</v>
      </c>
      <c r="C5" s="0" t="n">
        <v>161</v>
      </c>
      <c r="D5" s="0" t="n">
        <v>588</v>
      </c>
      <c r="E5" s="0" t="n">
        <v>78.5</v>
      </c>
      <c r="F5" s="0" t="n">
        <v>-180</v>
      </c>
      <c r="G5" s="0" t="n">
        <v>-24</v>
      </c>
      <c r="I5" s="0" t="n">
        <v>-253</v>
      </c>
      <c r="J5" s="0" t="n">
        <v>-33.8</v>
      </c>
      <c r="K5" s="0" t="n">
        <v>-0.207</v>
      </c>
      <c r="L5" s="0" t="n">
        <v>431</v>
      </c>
      <c r="M5" s="0" t="n">
        <v>29</v>
      </c>
      <c r="N5" s="0" t="n">
        <v>402</v>
      </c>
      <c r="O5" s="0" t="n">
        <v>10904</v>
      </c>
      <c r="P5" s="0" t="n">
        <v>17306</v>
      </c>
      <c r="Q5" s="0" t="n">
        <v>6402</v>
      </c>
      <c r="R5" s="0" t="n">
        <v>5348</v>
      </c>
      <c r="S5" s="0" t="n">
        <v>376</v>
      </c>
      <c r="T5" s="0" t="n">
        <v>1223.4</v>
      </c>
      <c r="U5" s="0" t="n">
        <v>10</v>
      </c>
      <c r="AA5" s="0" t="s">
        <v>18</v>
      </c>
      <c r="AB5" s="0" t="s">
        <v>14</v>
      </c>
      <c r="AD5" s="0" t="n">
        <v>33.9</v>
      </c>
      <c r="AE5" s="0" t="n">
        <v>413</v>
      </c>
      <c r="AF5" s="0" t="n">
        <v>547</v>
      </c>
      <c r="AG5" s="0" t="n">
        <v>199</v>
      </c>
      <c r="AH5" s="0" t="n">
        <v>36.9</v>
      </c>
      <c r="AI5" s="0" t="n">
        <v>886</v>
      </c>
      <c r="AJ5" s="0" t="n">
        <v>907</v>
      </c>
      <c r="AL5" s="0" t="n">
        <v>462</v>
      </c>
      <c r="AO5" s="0" t="n">
        <v>0</v>
      </c>
      <c r="AP5" s="0" t="n">
        <v>-76</v>
      </c>
      <c r="AQ5" s="0" t="n">
        <v>868</v>
      </c>
    </row>
    <row r="6" customFormat="false" ht="15" hidden="false" customHeight="false" outlineLevel="0" collapsed="false">
      <c r="A6" s="0" t="s">
        <v>84</v>
      </c>
      <c r="B6" s="0" t="n">
        <v>675</v>
      </c>
      <c r="C6" s="0" t="n">
        <v>144</v>
      </c>
      <c r="D6" s="0" t="n">
        <v>531</v>
      </c>
      <c r="E6" s="0" t="n">
        <v>78.7</v>
      </c>
      <c r="F6" s="0" t="n">
        <v>703</v>
      </c>
      <c r="G6" s="0" t="n">
        <v>104.1</v>
      </c>
      <c r="I6" s="0" t="n">
        <v>594</v>
      </c>
      <c r="J6" s="0" t="n">
        <v>88</v>
      </c>
      <c r="K6" s="0" t="n">
        <v>0.446</v>
      </c>
      <c r="L6" s="0" t="n">
        <v>330</v>
      </c>
      <c r="M6" s="0" t="n">
        <v>24</v>
      </c>
      <c r="N6" s="0" t="n">
        <v>306</v>
      </c>
      <c r="O6" s="0" t="n">
        <v>12049</v>
      </c>
      <c r="P6" s="0" t="n">
        <v>17574</v>
      </c>
      <c r="Q6" s="0" t="n">
        <v>5525</v>
      </c>
      <c r="R6" s="0" t="n">
        <v>4607</v>
      </c>
      <c r="S6" s="0" t="n">
        <v>363</v>
      </c>
      <c r="T6" s="0" t="n">
        <v>1332</v>
      </c>
      <c r="U6" s="0" t="n">
        <v>7</v>
      </c>
      <c r="AA6" s="0" t="s">
        <v>18</v>
      </c>
      <c r="AB6" s="0" t="s">
        <v>14</v>
      </c>
      <c r="AD6" s="0" t="n">
        <v>34.5</v>
      </c>
      <c r="AE6" s="0" t="n">
        <v>458</v>
      </c>
      <c r="AF6" s="0" t="n">
        <v>592</v>
      </c>
      <c r="AG6" s="0" t="n">
        <v>209</v>
      </c>
      <c r="AH6" s="0" t="n">
        <v>30.6</v>
      </c>
      <c r="AI6" s="0" t="n">
        <v>889</v>
      </c>
      <c r="AJ6" s="0" t="n">
        <v>907</v>
      </c>
      <c r="AL6" s="0" t="n">
        <v>500</v>
      </c>
      <c r="AO6" s="0" t="n">
        <v>889</v>
      </c>
      <c r="AP6" s="0" t="n">
        <v>53</v>
      </c>
      <c r="AQ6" s="0" t="n">
        <v>1024</v>
      </c>
    </row>
    <row r="7" customFormat="false" ht="15" hidden="false" customHeight="false" outlineLevel="0" collapsed="false">
      <c r="A7" s="0" t="s">
        <v>85</v>
      </c>
      <c r="B7" s="0" t="n">
        <v>726</v>
      </c>
      <c r="C7" s="0" t="n">
        <v>154</v>
      </c>
      <c r="D7" s="0" t="n">
        <v>572</v>
      </c>
      <c r="E7" s="0" t="n">
        <v>78.8</v>
      </c>
      <c r="F7" s="0" t="n">
        <v>663</v>
      </c>
      <c r="G7" s="0" t="n">
        <v>91.3</v>
      </c>
      <c r="H7" s="0" t="n">
        <v>579</v>
      </c>
      <c r="I7" s="0" t="n">
        <v>551</v>
      </c>
      <c r="J7" s="0" t="n">
        <v>75.9</v>
      </c>
      <c r="K7" s="0" t="n">
        <v>0.407</v>
      </c>
      <c r="L7" s="0" t="n">
        <v>396</v>
      </c>
      <c r="M7" s="0" t="n">
        <v>29</v>
      </c>
      <c r="N7" s="0" t="n">
        <v>367</v>
      </c>
      <c r="O7" s="0" t="n">
        <v>12273</v>
      </c>
      <c r="P7" s="0" t="n">
        <v>18181</v>
      </c>
      <c r="Q7" s="0" t="n">
        <v>5908</v>
      </c>
      <c r="R7" s="0" t="n">
        <v>4951</v>
      </c>
      <c r="S7" s="0" t="n">
        <v>111</v>
      </c>
      <c r="T7" s="0" t="n">
        <v>1355.3</v>
      </c>
      <c r="U7" s="0" t="n">
        <v>5</v>
      </c>
      <c r="AA7" s="0" t="s">
        <v>18</v>
      </c>
      <c r="AB7" s="0" t="s">
        <v>14</v>
      </c>
      <c r="AD7" s="0" t="n">
        <v>36.6</v>
      </c>
      <c r="AE7" s="0" t="n">
        <v>495</v>
      </c>
      <c r="AF7" s="0" t="n">
        <v>637</v>
      </c>
      <c r="AG7" s="0" t="n">
        <v>172</v>
      </c>
      <c r="AH7" s="0" t="n">
        <v>33.6</v>
      </c>
      <c r="AI7" s="0" t="n">
        <v>906</v>
      </c>
      <c r="AJ7" s="0" t="n">
        <v>925</v>
      </c>
      <c r="AL7" s="0" t="n">
        <v>543</v>
      </c>
      <c r="AO7" s="0" t="n">
        <v>0</v>
      </c>
      <c r="AP7" s="0" t="n">
        <v>109</v>
      </c>
      <c r="AQ7" s="0" t="n">
        <v>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86</v>
      </c>
      <c r="B1" s="2" t="s">
        <v>87</v>
      </c>
    </row>
    <row r="2" customFormat="false" ht="15" hidden="false" customHeight="false" outlineLevel="0" collapsed="false">
      <c r="A2" s="0" t="s">
        <v>88</v>
      </c>
      <c r="B2" s="3" t="n">
        <v>919.2</v>
      </c>
    </row>
    <row r="3" customFormat="false" ht="15" hidden="false" customHeight="false" outlineLevel="0" collapsed="false">
      <c r="A3" s="0" t="s">
        <v>89</v>
      </c>
      <c r="B3" s="3" t="n">
        <v>1355.3</v>
      </c>
    </row>
    <row r="4" customFormat="false" ht="15" hidden="false" customHeight="false" outlineLevel="0" collapsed="false">
      <c r="A4" s="0" t="s">
        <v>90</v>
      </c>
      <c r="B4" s="3" t="n">
        <v>0</v>
      </c>
    </row>
    <row r="5" customFormat="false" ht="15" hidden="false" customHeight="false" outlineLevel="0" collapsed="false">
      <c r="A5" s="0" t="s">
        <v>91</v>
      </c>
      <c r="B5" s="3" t="n">
        <v>0</v>
      </c>
    </row>
    <row r="6" customFormat="false" ht="15" hidden="false" customHeight="false" outlineLevel="0" collapsed="false">
      <c r="A6" s="0" t="s">
        <v>92</v>
      </c>
      <c r="B6" s="3" t="n">
        <v>15</v>
      </c>
    </row>
    <row r="7" customFormat="false" ht="15" hidden="false" customHeight="false" outlineLevel="0" collapsed="false">
      <c r="A7" s="0" t="s">
        <v>93</v>
      </c>
      <c r="B7" s="3" t="n">
        <v>726</v>
      </c>
    </row>
    <row r="8" customFormat="false" ht="15" hidden="false" customHeight="false" outlineLevel="0" collapsed="false">
      <c r="A8" s="0" t="s">
        <v>94</v>
      </c>
      <c r="B8" s="3" t="s">
        <v>85</v>
      </c>
    </row>
    <row r="9" customFormat="false" ht="15" hidden="false" customHeight="false" outlineLevel="0" collapsed="false">
      <c r="A9" s="0" t="s">
        <v>95</v>
      </c>
      <c r="B9" s="3" t="s">
        <v>96</v>
      </c>
    </row>
    <row r="10" customFormat="false" ht="15" hidden="false" customHeight="false" outlineLevel="0" collapsed="false">
      <c r="A10" s="0" t="s">
        <v>97</v>
      </c>
      <c r="B10" s="3" t="n">
        <v>100</v>
      </c>
    </row>
    <row r="12" customFormat="false" ht="15" hidden="false" customHeight="false" outlineLevel="0" collapsed="false">
      <c r="A12" s="2" t="s">
        <v>98</v>
      </c>
      <c r="C12" s="2" t="s">
        <v>99</v>
      </c>
    </row>
    <row r="13" customFormat="false" ht="15" hidden="false" customHeight="false" outlineLevel="0" collapsed="false">
      <c r="A13" s="0" t="s">
        <v>100</v>
      </c>
      <c r="C13" s="3" t="n">
        <v>6</v>
      </c>
    </row>
    <row r="14" customFormat="false" ht="15" hidden="false" customHeight="false" outlineLevel="0" collapsed="false">
      <c r="A14" s="0" t="s">
        <v>101</v>
      </c>
      <c r="C14" s="3" t="n">
        <v>68.2</v>
      </c>
    </row>
    <row r="15" customFormat="false" ht="15" hidden="false" customHeight="false" outlineLevel="0" collapsed="false">
      <c r="A15" s="0" t="s">
        <v>102</v>
      </c>
      <c r="C15" s="3" t="n">
        <v>0</v>
      </c>
    </row>
    <row r="16" customFormat="false" ht="15" hidden="false" customHeight="false" outlineLevel="0" collapsed="false">
      <c r="A16" s="0" t="s">
        <v>103</v>
      </c>
      <c r="C16" s="3" t="n">
        <v>0</v>
      </c>
    </row>
    <row r="17" customFormat="false" ht="15" hidden="false" customHeight="false" outlineLevel="0" collapsed="false">
      <c r="A17" s="0" t="s">
        <v>104</v>
      </c>
      <c r="C17" s="3" t="n">
        <v>0</v>
      </c>
    </row>
    <row r="18" customFormat="false" ht="15" hidden="false" customHeight="false" outlineLevel="0" collapsed="false">
      <c r="A18" s="0" t="s">
        <v>105</v>
      </c>
      <c r="C18" s="3" t="n">
        <v>8.4</v>
      </c>
    </row>
    <row r="19" customFormat="false" ht="15" hidden="false" customHeight="false" outlineLevel="0" collapsed="false">
      <c r="A19" s="0" t="s">
        <v>106</v>
      </c>
      <c r="C19" s="3" t="n">
        <v>0</v>
      </c>
    </row>
    <row r="20" customFormat="false" ht="15" hidden="false" customHeight="false" outlineLevel="0" collapsed="false">
      <c r="A20" s="0" t="s">
        <v>107</v>
      </c>
      <c r="B20" s="3" t="n">
        <v>8</v>
      </c>
    </row>
    <row r="21" customFormat="false" ht="15" hidden="false" customHeight="false" outlineLevel="0" collapsed="false">
      <c r="A21" s="0" t="s">
        <v>108</v>
      </c>
      <c r="B21" s="3" t="n">
        <v>2.5</v>
      </c>
    </row>
    <row r="22" customFormat="false" ht="15" hidden="false" customHeight="false" outlineLevel="0" collapsed="false">
      <c r="A22" s="0" t="s">
        <v>109</v>
      </c>
      <c r="B22" s="3" t="n">
        <v>17</v>
      </c>
    </row>
    <row r="23" customFormat="false" ht="15" hidden="false" customHeight="false" outlineLevel="0" collapsed="false">
      <c r="A23" s="0" t="s">
        <v>110</v>
      </c>
      <c r="B23" s="3" t="n">
        <v>0</v>
      </c>
    </row>
    <row r="24" customFormat="false" ht="15" hidden="false" customHeight="false" outlineLevel="0" collapsed="false">
      <c r="A24" s="0" t="s">
        <v>111</v>
      </c>
      <c r="B24" s="3" t="n">
        <v>0.15</v>
      </c>
    </row>
    <row r="26" customFormat="false" ht="15" hidden="false" customHeight="false" outlineLevel="0" collapsed="false">
      <c r="A26" s="2" t="s">
        <v>112</v>
      </c>
      <c r="C26" s="2" t="s">
        <v>99</v>
      </c>
    </row>
    <row r="27" customFormat="false" ht="15" hidden="false" customHeight="false" outlineLevel="0" collapsed="false">
      <c r="A27" s="0" t="s">
        <v>100</v>
      </c>
      <c r="C27" s="3" t="n">
        <v>6</v>
      </c>
    </row>
    <row r="28" customFormat="false" ht="15" hidden="false" customHeight="false" outlineLevel="0" collapsed="false">
      <c r="A28" s="0" t="s">
        <v>101</v>
      </c>
      <c r="C28" s="3" t="n">
        <v>68.2</v>
      </c>
    </row>
    <row r="29" customFormat="false" ht="15" hidden="false" customHeight="false" outlineLevel="0" collapsed="false">
      <c r="A29" s="0" t="s">
        <v>102</v>
      </c>
      <c r="C29" s="3" t="n">
        <v>0</v>
      </c>
    </row>
    <row r="30" customFormat="false" ht="15" hidden="false" customHeight="false" outlineLevel="0" collapsed="false">
      <c r="A30" s="0" t="s">
        <v>103</v>
      </c>
      <c r="C30" s="3" t="n">
        <v>0</v>
      </c>
    </row>
    <row r="31" customFormat="false" ht="15" hidden="false" customHeight="false" outlineLevel="0" collapsed="false">
      <c r="A31" s="0" t="s">
        <v>104</v>
      </c>
      <c r="C31" s="3" t="n">
        <v>0</v>
      </c>
    </row>
    <row r="32" customFormat="false" ht="15" hidden="false" customHeight="false" outlineLevel="0" collapsed="false">
      <c r="A32" s="0" t="s">
        <v>105</v>
      </c>
      <c r="C32" s="3" t="n">
        <v>8.4</v>
      </c>
    </row>
    <row r="33" customFormat="false" ht="15" hidden="false" customHeight="false" outlineLevel="0" collapsed="false">
      <c r="A33" s="0" t="s">
        <v>106</v>
      </c>
      <c r="C33" s="3" t="n">
        <v>0</v>
      </c>
    </row>
    <row r="34" customFormat="false" ht="15" hidden="false" customHeight="false" outlineLevel="0" collapsed="false">
      <c r="A34" s="0" t="s">
        <v>107</v>
      </c>
      <c r="B34" s="3" t="n">
        <v>8</v>
      </c>
    </row>
    <row r="35" customFormat="false" ht="15" hidden="false" customHeight="false" outlineLevel="0" collapsed="false">
      <c r="A35" s="0" t="s">
        <v>108</v>
      </c>
      <c r="B35" s="3" t="n">
        <v>4.5</v>
      </c>
    </row>
    <row r="36" customFormat="false" ht="15" hidden="false" customHeight="false" outlineLevel="0" collapsed="false">
      <c r="A36" s="0" t="s">
        <v>109</v>
      </c>
      <c r="B36" s="3" t="n">
        <v>27.13</v>
      </c>
    </row>
    <row r="37" customFormat="false" ht="15" hidden="false" customHeight="false" outlineLevel="0" collapsed="false">
      <c r="A37" s="0" t="s">
        <v>110</v>
      </c>
      <c r="B37" s="3" t="n">
        <v>0</v>
      </c>
    </row>
    <row r="38" customFormat="false" ht="15" hidden="false" customHeight="false" outlineLevel="0" collapsed="false">
      <c r="A38" s="0" t="s">
        <v>111</v>
      </c>
      <c r="B38" s="3" t="n">
        <v>0.65</v>
      </c>
    </row>
    <row r="40" customFormat="false" ht="15" hidden="false" customHeight="false" outlineLevel="0" collapsed="false">
      <c r="A40" s="2" t="s">
        <v>113</v>
      </c>
      <c r="C40" s="2" t="s">
        <v>99</v>
      </c>
    </row>
    <row r="41" customFormat="false" ht="15" hidden="false" customHeight="false" outlineLevel="0" collapsed="false">
      <c r="A41" s="0" t="s">
        <v>100</v>
      </c>
      <c r="C41" s="3" t="n">
        <v>6</v>
      </c>
    </row>
    <row r="42" customFormat="false" ht="15" hidden="false" customHeight="false" outlineLevel="0" collapsed="false">
      <c r="A42" s="0" t="s">
        <v>101</v>
      </c>
      <c r="C42" s="3" t="n">
        <v>68.2</v>
      </c>
    </row>
    <row r="43" customFormat="false" ht="15" hidden="false" customHeight="false" outlineLevel="0" collapsed="false">
      <c r="A43" s="0" t="s">
        <v>102</v>
      </c>
      <c r="C43" s="3" t="n">
        <v>0</v>
      </c>
    </row>
    <row r="44" customFormat="false" ht="15" hidden="false" customHeight="false" outlineLevel="0" collapsed="false">
      <c r="A44" s="0" t="s">
        <v>103</v>
      </c>
      <c r="C44" s="3" t="n">
        <v>0</v>
      </c>
    </row>
    <row r="45" customFormat="false" ht="15" hidden="false" customHeight="false" outlineLevel="0" collapsed="false">
      <c r="A45" s="0" t="s">
        <v>104</v>
      </c>
      <c r="C45" s="3" t="n">
        <v>0</v>
      </c>
    </row>
    <row r="46" customFormat="false" ht="15" hidden="false" customHeight="false" outlineLevel="0" collapsed="false">
      <c r="A46" s="0" t="s">
        <v>105</v>
      </c>
      <c r="C46" s="3" t="n">
        <v>8.4</v>
      </c>
    </row>
    <row r="47" customFormat="false" ht="15" hidden="false" customHeight="false" outlineLevel="0" collapsed="false">
      <c r="A47" s="0" t="s">
        <v>106</v>
      </c>
      <c r="C47" s="3" t="n">
        <v>0</v>
      </c>
    </row>
    <row r="48" customFormat="false" ht="15" hidden="false" customHeight="false" outlineLevel="0" collapsed="false">
      <c r="A48" s="0" t="s">
        <v>107</v>
      </c>
      <c r="B48" s="3" t="n">
        <v>8</v>
      </c>
    </row>
    <row r="49" customFormat="false" ht="15" hidden="false" customHeight="false" outlineLevel="0" collapsed="false">
      <c r="A49" s="0" t="s">
        <v>108</v>
      </c>
      <c r="B49" s="3" t="n">
        <v>4.5</v>
      </c>
    </row>
    <row r="50" customFormat="false" ht="15" hidden="false" customHeight="false" outlineLevel="0" collapsed="false">
      <c r="A50" s="0" t="s">
        <v>109</v>
      </c>
      <c r="B50" s="3" t="n">
        <v>29.52</v>
      </c>
    </row>
    <row r="51" customFormat="false" ht="15" hidden="false" customHeight="false" outlineLevel="0" collapsed="false">
      <c r="A51" s="0" t="s">
        <v>110</v>
      </c>
      <c r="B51" s="3" t="n">
        <v>0</v>
      </c>
    </row>
    <row r="52" customFormat="false" ht="15" hidden="false" customHeight="false" outlineLevel="0" collapsed="false">
      <c r="A52" s="0" t="s">
        <v>111</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85</v>
      </c>
      <c r="C3" s="2" t="s">
        <v>99</v>
      </c>
    </row>
    <row r="4" customFormat="false" ht="15" hidden="false" customHeight="false" outlineLevel="0" collapsed="false">
      <c r="A4" s="0" t="s">
        <v>116</v>
      </c>
      <c r="B4" s="0" t="n">
        <v>0</v>
      </c>
      <c r="C4" s="0" t="n">
        <f aca="false">B4+1</f>
        <v>1</v>
      </c>
    </row>
    <row r="5" customFormat="false" ht="15" hidden="false" customHeight="false" outlineLevel="0" collapsed="false">
      <c r="A5" s="0" t="s">
        <v>100</v>
      </c>
      <c r="C5" s="4" t="n">
        <f aca="false">Assumptions!C13</f>
        <v>6</v>
      </c>
    </row>
    <row r="6" customFormat="false" ht="15" hidden="false" customHeight="false" outlineLevel="0" collapsed="false">
      <c r="A6" s="0" t="s">
        <v>38</v>
      </c>
      <c r="B6" s="3" t="n">
        <v>726</v>
      </c>
      <c r="C6" s="0" t="n">
        <f aca="false">B6*(1+C5/100)</f>
        <v>769.56</v>
      </c>
    </row>
    <row r="7" customFormat="false" ht="15" hidden="false" customHeight="false" outlineLevel="0" collapsed="false">
      <c r="A7" s="0" t="s">
        <v>101</v>
      </c>
      <c r="C7" s="4" t="n">
        <f aca="false">Assumptions!C14</f>
        <v>68.2</v>
      </c>
    </row>
    <row r="8" customFormat="false" ht="15" hidden="false" customHeight="false" outlineLevel="0" collapsed="false">
      <c r="A8" s="0" t="s">
        <v>44</v>
      </c>
      <c r="C8" s="0" t="n">
        <f aca="false">C6*C7/100</f>
        <v>524.83992</v>
      </c>
    </row>
    <row r="9" customFormat="false" ht="15" hidden="false" customHeight="false" outlineLevel="0" collapsed="false">
      <c r="A9" s="0" t="s">
        <v>102</v>
      </c>
      <c r="C9" s="4" t="n">
        <f aca="false">Assumptions!C15</f>
        <v>0</v>
      </c>
    </row>
    <row r="10" customFormat="false" ht="15" hidden="false" customHeight="false" outlineLevel="0" collapsed="false">
      <c r="A10" s="0" t="s">
        <v>117</v>
      </c>
      <c r="C10" s="0" t="n">
        <f aca="false">-C6*C9/100</f>
        <v>-0</v>
      </c>
    </row>
    <row r="11" customFormat="false" ht="15" hidden="false" customHeight="false" outlineLevel="0" collapsed="false">
      <c r="A11" s="0" t="s">
        <v>118</v>
      </c>
      <c r="C11" s="0" t="n">
        <f aca="false">C8+C10+C24</f>
        <v>524.83992</v>
      </c>
    </row>
    <row r="12" customFormat="false" ht="15" hidden="false" customHeight="false" outlineLevel="0" collapsed="false">
      <c r="A12" s="0" t="s">
        <v>119</v>
      </c>
      <c r="C12" s="4" t="n">
        <f aca="false">-C6*Assumptions!C17/100</f>
        <v>-0</v>
      </c>
    </row>
    <row r="13" customFormat="false" ht="15" hidden="false" customHeight="false" outlineLevel="0" collapsed="false">
      <c r="A13" s="0" t="s">
        <v>120</v>
      </c>
      <c r="C13" s="0" t="n">
        <f aca="false">C11+C12</f>
        <v>524.83992</v>
      </c>
    </row>
    <row r="14" customFormat="false" ht="15" hidden="false" customHeight="false" outlineLevel="0" collapsed="false">
      <c r="A14" s="0" t="s">
        <v>106</v>
      </c>
      <c r="C14" s="4" t="n">
        <f aca="false">Assumptions!C19</f>
        <v>0</v>
      </c>
    </row>
    <row r="15" customFormat="false" ht="15" hidden="false" customHeight="false" outlineLevel="0" collapsed="false">
      <c r="A15" s="0" t="s">
        <v>121</v>
      </c>
      <c r="C15" s="0" t="n">
        <f aca="false">C13-MAX(0,C13)*C14/100</f>
        <v>524.83992</v>
      </c>
    </row>
    <row r="16" customFormat="false" ht="15" hidden="false" customHeight="false" outlineLevel="0" collapsed="false">
      <c r="A16" s="0" t="s">
        <v>122</v>
      </c>
      <c r="C16" s="0" t="n">
        <f aca="false">-C12</f>
        <v>0</v>
      </c>
    </row>
    <row r="17" customFormat="false" ht="15" hidden="false" customHeight="false" outlineLevel="0" collapsed="false">
      <c r="A17" s="0" t="s">
        <v>123</v>
      </c>
      <c r="C17" s="4" t="n">
        <f aca="false">-C6*Assumptions!C18/100</f>
        <v>-64.64304</v>
      </c>
    </row>
    <row r="18" customFormat="false" ht="15" hidden="false" customHeight="false" outlineLevel="0" collapsed="false">
      <c r="A18" s="0" t="s">
        <v>124</v>
      </c>
      <c r="C18" s="4" t="n">
        <f aca="false">(C6-B6)*Assumptions!$B$23/100</f>
        <v>0</v>
      </c>
    </row>
    <row r="19" customFormat="false" ht="15" hidden="false" customHeight="false" outlineLevel="0" collapsed="false">
      <c r="A19" s="0" t="s">
        <v>125</v>
      </c>
      <c r="C19" s="0" t="n">
        <f aca="false">C15+C16+C17+C18</f>
        <v>460.19688</v>
      </c>
    </row>
    <row r="20" customFormat="false" ht="15" hidden="false" customHeight="false" outlineLevel="0" collapsed="false">
      <c r="A20" s="0" t="s">
        <v>126</v>
      </c>
      <c r="C20" s="0" t="n">
        <f aca="false">1/(1+$B$27/100)^C4</f>
        <v>0.925925925925926</v>
      </c>
    </row>
    <row r="21" customFormat="false" ht="15" hidden="false" customHeight="false" outlineLevel="0" collapsed="false">
      <c r="A21" s="0" t="s">
        <v>127</v>
      </c>
      <c r="C21" s="0" t="n">
        <f aca="false">C19*C20</f>
        <v>426.108222222222</v>
      </c>
    </row>
    <row r="23" customFormat="false" ht="15" hidden="false" customHeight="false" outlineLevel="0" collapsed="false">
      <c r="A23" s="0" t="s">
        <v>103</v>
      </c>
      <c r="C23" s="4" t="n">
        <f aca="false">Assumptions!C16</f>
        <v>0</v>
      </c>
    </row>
    <row r="24" customFormat="false" ht="15" hidden="false" customHeight="false" outlineLevel="0" collapsed="false">
      <c r="A24" s="0" t="s">
        <v>128</v>
      </c>
      <c r="C24" s="0" t="n">
        <f aca="false">-C6*C23/100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8</v>
      </c>
    </row>
    <row r="28" customFormat="false" ht="15" hidden="false" customHeight="false" outlineLevel="0" collapsed="false">
      <c r="A28" s="0" t="s">
        <v>108</v>
      </c>
      <c r="B28" s="4" t="n">
        <f aca="false">Assumptions!$B$21</f>
        <v>2.5</v>
      </c>
    </row>
    <row r="29" customFormat="false" ht="15" hidden="false" customHeight="false" outlineLevel="0" collapsed="false">
      <c r="A29" s="0" t="s">
        <v>109</v>
      </c>
      <c r="B29" s="4" t="n">
        <f aca="false">Assumptions!$B$22</f>
        <v>17</v>
      </c>
    </row>
    <row r="30" customFormat="false" ht="15" hidden="false" customHeight="false" outlineLevel="0" collapsed="false">
      <c r="A30" s="0" t="s">
        <v>130</v>
      </c>
      <c r="B30" s="0" t="n">
        <f aca="false">SUM(C21)</f>
        <v>426.108222222222</v>
      </c>
    </row>
    <row r="31" customFormat="false" ht="15" hidden="false" customHeight="false" outlineLevel="0" collapsed="false">
      <c r="A31" s="0" t="s">
        <v>131</v>
      </c>
      <c r="B31" s="0" t="n">
        <f aca="false">C19</f>
        <v>460.19688</v>
      </c>
    </row>
    <row r="32" customFormat="false" ht="15" hidden="false" customHeight="false" outlineLevel="0" collapsed="false">
      <c r="A32" s="0" t="s">
        <v>132</v>
      </c>
      <c r="B32" s="0" t="n">
        <f aca="false">IF(B27&gt;B28,B31*(1+B28/100)/((B27-B28)/100),B31*B29)</f>
        <v>8576.3964</v>
      </c>
    </row>
    <row r="33" customFormat="false" ht="15" hidden="false" customHeight="false" outlineLevel="0" collapsed="false">
      <c r="A33" s="0" t="s">
        <v>133</v>
      </c>
      <c r="B33" s="0" t="n">
        <f aca="false">B31*B29</f>
        <v>7823.34696</v>
      </c>
    </row>
    <row r="34" customFormat="false" ht="15" hidden="false" customHeight="false" outlineLevel="0" collapsed="false">
      <c r="A34" s="0" t="s">
        <v>134</v>
      </c>
      <c r="B34" s="0" t="n">
        <f aca="false">MAX(0,MIN(B32,B33))</f>
        <v>7823.34696</v>
      </c>
    </row>
    <row r="35" customFormat="false" ht="15" hidden="false" customHeight="false" outlineLevel="0" collapsed="false">
      <c r="A35" s="0" t="s">
        <v>135</v>
      </c>
      <c r="B35" s="0" t="n">
        <f aca="false">B34/(1+B27/100)^C4</f>
        <v>7243.83977777778</v>
      </c>
    </row>
    <row r="36" customFormat="false" ht="15" hidden="false" customHeight="false" outlineLevel="0" collapsed="false">
      <c r="A36" s="0" t="s">
        <v>136</v>
      </c>
      <c r="B36" s="0" t="n">
        <f aca="false">B30+B35</f>
        <v>7669.948</v>
      </c>
    </row>
    <row r="37" customFormat="false" ht="15" hidden="false" customHeight="false" outlineLevel="0" collapsed="false">
      <c r="A37" s="0" t="s">
        <v>137</v>
      </c>
      <c r="B37" s="0" t="n">
        <f aca="false">B36+Assumptions!$B$5-Assumptions!$B$4</f>
        <v>7669.948</v>
      </c>
    </row>
    <row r="38" customFormat="false" ht="15" hidden="false" customHeight="false" outlineLevel="0" collapsed="false">
      <c r="A38" s="0" t="s">
        <v>138</v>
      </c>
      <c r="B38" s="0" t="n">
        <f aca="false">B37/Assumptions!$B$3*Assumptions!$B$10</f>
        <v>565.922526377924</v>
      </c>
    </row>
    <row r="39" customFormat="false" ht="15" hidden="false" customHeight="false" outlineLevel="0" collapsed="false">
      <c r="A39" s="0" t="s">
        <v>139</v>
      </c>
      <c r="B39" s="4" t="n">
        <f aca="false">B38/Assumptions!$B$2-1</f>
        <v>-0.384331455202433</v>
      </c>
    </row>
    <row r="41" customFormat="false" ht="15" hidden="false" customHeight="false" outlineLevel="0" collapsed="false">
      <c r="A41" s="0" t="s">
        <v>140</v>
      </c>
      <c r="B41" s="0" t="n">
        <f aca="false">SUMPRODUCT(-C10/(1+$B$27/100)^C4)</f>
        <v>0</v>
      </c>
    </row>
    <row r="42" customFormat="false" ht="15" hidden="false" customHeight="false" outlineLevel="0" collapsed="false">
      <c r="A42" s="0" t="s">
        <v>141</v>
      </c>
      <c r="B42" s="0" t="n">
        <f aca="false">IF(B27&gt;B28,-C10*(1+B28/100)/((B27-B28)/100),-C10*20)/(1+B27/100)^C4</f>
        <v>0</v>
      </c>
    </row>
    <row r="43" customFormat="false" ht="15" hidden="false" customHeight="false" outlineLevel="0" collapsed="false">
      <c r="A43" s="0" t="s">
        <v>142</v>
      </c>
      <c r="B43" s="0" t="n">
        <f aca="false">(B37+B41+B42)/Assumptions!$B$3*Assumptions!$B$10</f>
        <v>565.922526377924</v>
      </c>
    </row>
    <row r="45" customFormat="false" ht="15" hidden="false" customHeight="false" outlineLevel="0" collapsed="false">
      <c r="A45" s="0" t="s">
        <v>92</v>
      </c>
      <c r="B45" s="4" t="n">
        <f aca="false">Assumptions!$B$6</f>
        <v>15</v>
      </c>
    </row>
    <row r="46" customFormat="false" ht="15" hidden="false" customHeight="false" outlineLevel="0" collapsed="false">
      <c r="A46" s="0" t="s">
        <v>143</v>
      </c>
      <c r="B46" s="0" t="n">
        <f aca="false">MAX(0,MIN(IF(B45&gt;B28,B31*(1+B28/100)/((B45-B28)/100),B31*B29),B31*B29))</f>
        <v>3773.614416</v>
      </c>
    </row>
    <row r="47" customFormat="false" ht="15" hidden="false" customHeight="false" outlineLevel="0" collapsed="false">
      <c r="A47" s="0" t="s">
        <v>144</v>
      </c>
      <c r="B47" s="0" t="n">
        <f aca="false">(SUMPRODUCT(C19/(1+B45/100)^C4)+B46/(1+B45/100)^C4+Assumptions!$B$5-Assumptions!$B$4)/Assumptions!$B$3*Assumptions!$B$10</f>
        <v>271.642812661403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85</v>
      </c>
      <c r="C3" s="2" t="s">
        <v>99</v>
      </c>
    </row>
    <row r="4" customFormat="false" ht="15" hidden="false" customHeight="false" outlineLevel="0" collapsed="false">
      <c r="A4" s="0" t="s">
        <v>116</v>
      </c>
      <c r="B4" s="0" t="n">
        <v>0</v>
      </c>
      <c r="C4" s="0" t="n">
        <f aca="false">B4+1</f>
        <v>1</v>
      </c>
    </row>
    <row r="5" customFormat="false" ht="15" hidden="false" customHeight="false" outlineLevel="0" collapsed="false">
      <c r="A5" s="0" t="s">
        <v>100</v>
      </c>
      <c r="C5" s="4" t="n">
        <f aca="false">Assumptions!C27</f>
        <v>6</v>
      </c>
    </row>
    <row r="6" customFormat="false" ht="15" hidden="false" customHeight="false" outlineLevel="0" collapsed="false">
      <c r="A6" s="0" t="s">
        <v>38</v>
      </c>
      <c r="B6" s="3" t="n">
        <v>726</v>
      </c>
      <c r="C6" s="0" t="n">
        <f aca="false">B6*(1+C5/100)</f>
        <v>769.56</v>
      </c>
    </row>
    <row r="7" customFormat="false" ht="15" hidden="false" customHeight="false" outlineLevel="0" collapsed="false">
      <c r="A7" s="0" t="s">
        <v>101</v>
      </c>
      <c r="C7" s="4" t="n">
        <f aca="false">Assumptions!C28</f>
        <v>68.2</v>
      </c>
    </row>
    <row r="8" customFormat="false" ht="15" hidden="false" customHeight="false" outlineLevel="0" collapsed="false">
      <c r="A8" s="0" t="s">
        <v>44</v>
      </c>
      <c r="C8" s="0" t="n">
        <f aca="false">C6*C7/100</f>
        <v>524.83992</v>
      </c>
    </row>
    <row r="9" customFormat="false" ht="15" hidden="false" customHeight="false" outlineLevel="0" collapsed="false">
      <c r="A9" s="0" t="s">
        <v>102</v>
      </c>
      <c r="C9" s="4" t="n">
        <f aca="false">Assumptions!C29</f>
        <v>0</v>
      </c>
    </row>
    <row r="10" customFormat="false" ht="15" hidden="false" customHeight="false" outlineLevel="0" collapsed="false">
      <c r="A10" s="0" t="s">
        <v>117</v>
      </c>
      <c r="C10" s="0" t="n">
        <f aca="false">-C6*C9/100</f>
        <v>-0</v>
      </c>
    </row>
    <row r="11" customFormat="false" ht="15" hidden="false" customHeight="false" outlineLevel="0" collapsed="false">
      <c r="A11" s="0" t="s">
        <v>118</v>
      </c>
      <c r="C11" s="0" t="n">
        <f aca="false">C8+C10+C24</f>
        <v>524.83992</v>
      </c>
    </row>
    <row r="12" customFormat="false" ht="15" hidden="false" customHeight="false" outlineLevel="0" collapsed="false">
      <c r="A12" s="0" t="s">
        <v>119</v>
      </c>
      <c r="C12" s="4" t="n">
        <f aca="false">-C6*Assumptions!C31/100</f>
        <v>-0</v>
      </c>
    </row>
    <row r="13" customFormat="false" ht="15" hidden="false" customHeight="false" outlineLevel="0" collapsed="false">
      <c r="A13" s="0" t="s">
        <v>120</v>
      </c>
      <c r="C13" s="0" t="n">
        <f aca="false">C11+C12</f>
        <v>524.83992</v>
      </c>
    </row>
    <row r="14" customFormat="false" ht="15" hidden="false" customHeight="false" outlineLevel="0" collapsed="false">
      <c r="A14" s="0" t="s">
        <v>106</v>
      </c>
      <c r="C14" s="4" t="n">
        <f aca="false">Assumptions!C33</f>
        <v>0</v>
      </c>
    </row>
    <row r="15" customFormat="false" ht="15" hidden="false" customHeight="false" outlineLevel="0" collapsed="false">
      <c r="A15" s="0" t="s">
        <v>121</v>
      </c>
      <c r="C15" s="0" t="n">
        <f aca="false">C13-MAX(0,C13)*C14/100</f>
        <v>524.83992</v>
      </c>
    </row>
    <row r="16" customFormat="false" ht="15" hidden="false" customHeight="false" outlineLevel="0" collapsed="false">
      <c r="A16" s="0" t="s">
        <v>122</v>
      </c>
      <c r="C16" s="0" t="n">
        <f aca="false">-C12</f>
        <v>0</v>
      </c>
    </row>
    <row r="17" customFormat="false" ht="15" hidden="false" customHeight="false" outlineLevel="0" collapsed="false">
      <c r="A17" s="0" t="s">
        <v>123</v>
      </c>
      <c r="C17" s="4" t="n">
        <f aca="false">-C6*Assumptions!C32/100</f>
        <v>-64.64304</v>
      </c>
    </row>
    <row r="18" customFormat="false" ht="15" hidden="false" customHeight="false" outlineLevel="0" collapsed="false">
      <c r="A18" s="0" t="s">
        <v>124</v>
      </c>
      <c r="C18" s="4" t="n">
        <f aca="false">(C6-B6)*Assumptions!$B$37/100</f>
        <v>0</v>
      </c>
    </row>
    <row r="19" customFormat="false" ht="15" hidden="false" customHeight="false" outlineLevel="0" collapsed="false">
      <c r="A19" s="0" t="s">
        <v>125</v>
      </c>
      <c r="C19" s="0" t="n">
        <f aca="false">C15+C16+C17+C18</f>
        <v>460.19688</v>
      </c>
    </row>
    <row r="20" customFormat="false" ht="15" hidden="false" customHeight="false" outlineLevel="0" collapsed="false">
      <c r="A20" s="0" t="s">
        <v>126</v>
      </c>
      <c r="C20" s="0" t="n">
        <f aca="false">1/(1+$B$27/100)^C4</f>
        <v>0.925925925925926</v>
      </c>
    </row>
    <row r="21" customFormat="false" ht="15" hidden="false" customHeight="false" outlineLevel="0" collapsed="false">
      <c r="A21" s="0" t="s">
        <v>127</v>
      </c>
      <c r="C21" s="0" t="n">
        <f aca="false">C19*C20</f>
        <v>426.108222222222</v>
      </c>
    </row>
    <row r="23" customFormat="false" ht="15" hidden="false" customHeight="false" outlineLevel="0" collapsed="false">
      <c r="A23" s="0" t="s">
        <v>103</v>
      </c>
      <c r="C23" s="4" t="n">
        <f aca="false">Assumptions!C30</f>
        <v>0</v>
      </c>
    </row>
    <row r="24" customFormat="false" ht="15" hidden="false" customHeight="false" outlineLevel="0" collapsed="false">
      <c r="A24" s="0" t="s">
        <v>128</v>
      </c>
      <c r="C24" s="0" t="n">
        <f aca="false">-C6*C23/100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8</v>
      </c>
    </row>
    <row r="28" customFormat="false" ht="15" hidden="false" customHeight="false" outlineLevel="0" collapsed="false">
      <c r="A28" s="0" t="s">
        <v>108</v>
      </c>
      <c r="B28" s="4" t="n">
        <f aca="false">Assumptions!$B$35</f>
        <v>4.5</v>
      </c>
    </row>
    <row r="29" customFormat="false" ht="15" hidden="false" customHeight="false" outlineLevel="0" collapsed="false">
      <c r="A29" s="0" t="s">
        <v>109</v>
      </c>
      <c r="B29" s="4" t="n">
        <f aca="false">Assumptions!$B$36</f>
        <v>27.13</v>
      </c>
    </row>
    <row r="30" customFormat="false" ht="15" hidden="false" customHeight="false" outlineLevel="0" collapsed="false">
      <c r="A30" s="0" t="s">
        <v>130</v>
      </c>
      <c r="B30" s="0" t="n">
        <f aca="false">SUM(C21)</f>
        <v>426.108222222222</v>
      </c>
    </row>
    <row r="31" customFormat="false" ht="15" hidden="false" customHeight="false" outlineLevel="0" collapsed="false">
      <c r="A31" s="0" t="s">
        <v>131</v>
      </c>
      <c r="B31" s="0" t="n">
        <f aca="false">C19</f>
        <v>460.19688</v>
      </c>
    </row>
    <row r="32" customFormat="false" ht="15" hidden="false" customHeight="false" outlineLevel="0" collapsed="false">
      <c r="A32" s="0" t="s">
        <v>132</v>
      </c>
      <c r="B32" s="0" t="n">
        <f aca="false">IF(B27&gt;B28,B31*(1+B28/100)/((B27-B28)/100),B31*B29)</f>
        <v>13740.1639885714</v>
      </c>
    </row>
    <row r="33" customFormat="false" ht="15" hidden="false" customHeight="false" outlineLevel="0" collapsed="false">
      <c r="A33" s="0" t="s">
        <v>133</v>
      </c>
      <c r="B33" s="0" t="n">
        <f aca="false">B31*B29</f>
        <v>12485.1413544</v>
      </c>
    </row>
    <row r="34" customFormat="false" ht="15" hidden="false" customHeight="false" outlineLevel="0" collapsed="false">
      <c r="A34" s="0" t="s">
        <v>134</v>
      </c>
      <c r="B34" s="0" t="n">
        <f aca="false">MAX(0,MIN(B32,B33))</f>
        <v>12485.1413544</v>
      </c>
    </row>
    <row r="35" customFormat="false" ht="15" hidden="false" customHeight="false" outlineLevel="0" collapsed="false">
      <c r="A35" s="0" t="s">
        <v>135</v>
      </c>
      <c r="B35" s="0" t="n">
        <f aca="false">B34/(1+B27/100)^C4</f>
        <v>11560.3160688889</v>
      </c>
    </row>
    <row r="36" customFormat="false" ht="15" hidden="false" customHeight="false" outlineLevel="0" collapsed="false">
      <c r="A36" s="0" t="s">
        <v>136</v>
      </c>
      <c r="B36" s="0" t="n">
        <f aca="false">B30+B35</f>
        <v>11986.4242911111</v>
      </c>
    </row>
    <row r="37" customFormat="false" ht="15" hidden="false" customHeight="false" outlineLevel="0" collapsed="false">
      <c r="A37" s="0" t="s">
        <v>137</v>
      </c>
      <c r="B37" s="0" t="n">
        <f aca="false">B36+Assumptions!$B$5-Assumptions!$B$4</f>
        <v>11986.4242911111</v>
      </c>
    </row>
    <row r="38" customFormat="false" ht="15" hidden="false" customHeight="false" outlineLevel="0" collapsed="false">
      <c r="A38" s="0" t="s">
        <v>138</v>
      </c>
      <c r="B38" s="0" t="n">
        <f aca="false">B37/Assumptions!$B$3*Assumptions!$B$10</f>
        <v>884.411148167278</v>
      </c>
    </row>
    <row r="39" customFormat="false" ht="15" hidden="false" customHeight="false" outlineLevel="0" collapsed="false">
      <c r="A39" s="0" t="s">
        <v>139</v>
      </c>
      <c r="B39" s="4" t="n">
        <f aca="false">B38/Assumptions!$B$2-1</f>
        <v>-0.0378468797135798</v>
      </c>
    </row>
    <row r="41" customFormat="false" ht="15" hidden="false" customHeight="false" outlineLevel="0" collapsed="false">
      <c r="A41" s="0" t="s">
        <v>140</v>
      </c>
      <c r="B41" s="0" t="n">
        <f aca="false">SUMPRODUCT(-C10/(1+$B$27/100)^C4)</f>
        <v>0</v>
      </c>
    </row>
    <row r="42" customFormat="false" ht="15" hidden="false" customHeight="false" outlineLevel="0" collapsed="false">
      <c r="A42" s="0" t="s">
        <v>141</v>
      </c>
      <c r="B42" s="0" t="n">
        <f aca="false">IF(B27&gt;B28,-C10*(1+B28/100)/((B27-B28)/100),-C10*20)/(1+B27/100)^C4</f>
        <v>0</v>
      </c>
    </row>
    <row r="43" customFormat="false" ht="15" hidden="false" customHeight="false" outlineLevel="0" collapsed="false">
      <c r="A43" s="0" t="s">
        <v>142</v>
      </c>
      <c r="B43" s="0" t="n">
        <f aca="false">(B37+B41+B42)/Assumptions!$B$3*Assumptions!$B$10</f>
        <v>884.411148167278</v>
      </c>
    </row>
    <row r="45" customFormat="false" ht="15" hidden="false" customHeight="false" outlineLevel="0" collapsed="false">
      <c r="A45" s="0" t="s">
        <v>92</v>
      </c>
      <c r="B45" s="4" t="n">
        <f aca="false">Assumptions!$B$6</f>
        <v>15</v>
      </c>
    </row>
    <row r="46" customFormat="false" ht="15" hidden="false" customHeight="false" outlineLevel="0" collapsed="false">
      <c r="A46" s="0" t="s">
        <v>143</v>
      </c>
      <c r="B46" s="0" t="n">
        <f aca="false">MAX(0,MIN(IF(B45&gt;B28,B31*(1+B28/100)/((B45-B28)/100),B31*B29),B31*B29))</f>
        <v>4580.05466285714</v>
      </c>
    </row>
    <row r="47" customFormat="false" ht="15" hidden="false" customHeight="false" outlineLevel="0" collapsed="false">
      <c r="A47" s="0" t="s">
        <v>144</v>
      </c>
      <c r="B47" s="0" t="n">
        <f aca="false">(SUMPRODUCT(C19/(1+B45/100)^C4)+B46/(1+B45/100)^C4+Assumptions!$B$5-Assumptions!$B$4)/Assumptions!$B$3*Assumptions!$B$10</f>
        <v>323.384300787385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85</v>
      </c>
      <c r="C3" s="2" t="s">
        <v>99</v>
      </c>
    </row>
    <row r="4" customFormat="false" ht="15" hidden="false" customHeight="false" outlineLevel="0" collapsed="false">
      <c r="A4" s="0" t="s">
        <v>116</v>
      </c>
      <c r="B4" s="0" t="n">
        <v>0</v>
      </c>
      <c r="C4" s="0" t="n">
        <f aca="false">B4+1</f>
        <v>1</v>
      </c>
    </row>
    <row r="5" customFormat="false" ht="15" hidden="false" customHeight="false" outlineLevel="0" collapsed="false">
      <c r="A5" s="0" t="s">
        <v>100</v>
      </c>
      <c r="C5" s="4" t="n">
        <f aca="false">Assumptions!C41</f>
        <v>6</v>
      </c>
    </row>
    <row r="6" customFormat="false" ht="15" hidden="false" customHeight="false" outlineLevel="0" collapsed="false">
      <c r="A6" s="0" t="s">
        <v>38</v>
      </c>
      <c r="B6" s="3" t="n">
        <v>726</v>
      </c>
      <c r="C6" s="0" t="n">
        <f aca="false">B6*(1+C5/100)</f>
        <v>769.56</v>
      </c>
    </row>
    <row r="7" customFormat="false" ht="15" hidden="false" customHeight="false" outlineLevel="0" collapsed="false">
      <c r="A7" s="0" t="s">
        <v>101</v>
      </c>
      <c r="C7" s="4" t="n">
        <f aca="false">Assumptions!C42</f>
        <v>68.2</v>
      </c>
    </row>
    <row r="8" customFormat="false" ht="15" hidden="false" customHeight="false" outlineLevel="0" collapsed="false">
      <c r="A8" s="0" t="s">
        <v>44</v>
      </c>
      <c r="C8" s="0" t="n">
        <f aca="false">C6*C7/100</f>
        <v>524.83992</v>
      </c>
    </row>
    <row r="9" customFormat="false" ht="15" hidden="false" customHeight="false" outlineLevel="0" collapsed="false">
      <c r="A9" s="0" t="s">
        <v>102</v>
      </c>
      <c r="C9" s="4" t="n">
        <f aca="false">Assumptions!C43</f>
        <v>0</v>
      </c>
    </row>
    <row r="10" customFormat="false" ht="15" hidden="false" customHeight="false" outlineLevel="0" collapsed="false">
      <c r="A10" s="0" t="s">
        <v>117</v>
      </c>
      <c r="C10" s="0" t="n">
        <f aca="false">-C6*C9/100</f>
        <v>-0</v>
      </c>
    </row>
    <row r="11" customFormat="false" ht="15" hidden="false" customHeight="false" outlineLevel="0" collapsed="false">
      <c r="A11" s="0" t="s">
        <v>118</v>
      </c>
      <c r="C11" s="0" t="n">
        <f aca="false">C8+C10+C24</f>
        <v>524.83992</v>
      </c>
    </row>
    <row r="12" customFormat="false" ht="15" hidden="false" customHeight="false" outlineLevel="0" collapsed="false">
      <c r="A12" s="0" t="s">
        <v>119</v>
      </c>
      <c r="C12" s="4" t="n">
        <f aca="false">-C6*Assumptions!C45/100</f>
        <v>-0</v>
      </c>
    </row>
    <row r="13" customFormat="false" ht="15" hidden="false" customHeight="false" outlineLevel="0" collapsed="false">
      <c r="A13" s="0" t="s">
        <v>120</v>
      </c>
      <c r="C13" s="0" t="n">
        <f aca="false">C11+C12</f>
        <v>524.83992</v>
      </c>
    </row>
    <row r="14" customFormat="false" ht="15" hidden="false" customHeight="false" outlineLevel="0" collapsed="false">
      <c r="A14" s="0" t="s">
        <v>106</v>
      </c>
      <c r="C14" s="4" t="n">
        <f aca="false">Assumptions!C47</f>
        <v>0</v>
      </c>
    </row>
    <row r="15" customFormat="false" ht="15" hidden="false" customHeight="false" outlineLevel="0" collapsed="false">
      <c r="A15" s="0" t="s">
        <v>121</v>
      </c>
      <c r="C15" s="0" t="n">
        <f aca="false">C13-MAX(0,C13)*C14/100</f>
        <v>524.83992</v>
      </c>
    </row>
    <row r="16" customFormat="false" ht="15" hidden="false" customHeight="false" outlineLevel="0" collapsed="false">
      <c r="A16" s="0" t="s">
        <v>122</v>
      </c>
      <c r="C16" s="0" t="n">
        <f aca="false">-C12</f>
        <v>0</v>
      </c>
    </row>
    <row r="17" customFormat="false" ht="15" hidden="false" customHeight="false" outlineLevel="0" collapsed="false">
      <c r="A17" s="0" t="s">
        <v>123</v>
      </c>
      <c r="C17" s="4" t="n">
        <f aca="false">-C6*Assumptions!C46/100</f>
        <v>-64.64304</v>
      </c>
    </row>
    <row r="18" customFormat="false" ht="15" hidden="false" customHeight="false" outlineLevel="0" collapsed="false">
      <c r="A18" s="0" t="s">
        <v>124</v>
      </c>
      <c r="C18" s="4" t="n">
        <f aca="false">(C6-B6)*Assumptions!$B$51/100</f>
        <v>0</v>
      </c>
    </row>
    <row r="19" customFormat="false" ht="15" hidden="false" customHeight="false" outlineLevel="0" collapsed="false">
      <c r="A19" s="0" t="s">
        <v>125</v>
      </c>
      <c r="C19" s="0" t="n">
        <f aca="false">C15+C16+C17+C18</f>
        <v>460.19688</v>
      </c>
    </row>
    <row r="20" customFormat="false" ht="15" hidden="false" customHeight="false" outlineLevel="0" collapsed="false">
      <c r="A20" s="0" t="s">
        <v>126</v>
      </c>
      <c r="C20" s="0" t="n">
        <f aca="false">1/(1+$B$27/100)^C4</f>
        <v>0.925925925925926</v>
      </c>
    </row>
    <row r="21" customFormat="false" ht="15" hidden="false" customHeight="false" outlineLevel="0" collapsed="false">
      <c r="A21" s="0" t="s">
        <v>127</v>
      </c>
      <c r="C21" s="0" t="n">
        <f aca="false">C19*C20</f>
        <v>426.108222222222</v>
      </c>
    </row>
    <row r="23" customFormat="false" ht="15" hidden="false" customHeight="false" outlineLevel="0" collapsed="false">
      <c r="A23" s="0" t="s">
        <v>103</v>
      </c>
      <c r="C23" s="4" t="n">
        <f aca="false">Assumptions!C44</f>
        <v>0</v>
      </c>
    </row>
    <row r="24" customFormat="false" ht="15" hidden="false" customHeight="false" outlineLevel="0" collapsed="false">
      <c r="A24" s="0" t="s">
        <v>128</v>
      </c>
      <c r="C24" s="0" t="n">
        <f aca="false">-C6*C23/100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8</v>
      </c>
    </row>
    <row r="28" customFormat="false" ht="15" hidden="false" customHeight="false" outlineLevel="0" collapsed="false">
      <c r="A28" s="0" t="s">
        <v>108</v>
      </c>
      <c r="B28" s="4" t="n">
        <f aca="false">Assumptions!$B$49</f>
        <v>4.5</v>
      </c>
    </row>
    <row r="29" customFormat="false" ht="15" hidden="false" customHeight="false" outlineLevel="0" collapsed="false">
      <c r="A29" s="0" t="s">
        <v>109</v>
      </c>
      <c r="B29" s="4" t="n">
        <f aca="false">Assumptions!$B$50</f>
        <v>29.52</v>
      </c>
    </row>
    <row r="30" customFormat="false" ht="15" hidden="false" customHeight="false" outlineLevel="0" collapsed="false">
      <c r="A30" s="0" t="s">
        <v>130</v>
      </c>
      <c r="B30" s="0" t="n">
        <f aca="false">SUM(C21)</f>
        <v>426.108222222222</v>
      </c>
    </row>
    <row r="31" customFormat="false" ht="15" hidden="false" customHeight="false" outlineLevel="0" collapsed="false">
      <c r="A31" s="0" t="s">
        <v>131</v>
      </c>
      <c r="B31" s="0" t="n">
        <f aca="false">C19</f>
        <v>460.19688</v>
      </c>
    </row>
    <row r="32" customFormat="false" ht="15" hidden="false" customHeight="false" outlineLevel="0" collapsed="false">
      <c r="A32" s="0" t="s">
        <v>132</v>
      </c>
      <c r="B32" s="0" t="n">
        <f aca="false">IF(B27&gt;B28,B31*(1+B28/100)/((B27-B28)/100),B31*B29)</f>
        <v>13740.1639885714</v>
      </c>
    </row>
    <row r="33" customFormat="false" ht="15" hidden="false" customHeight="false" outlineLevel="0" collapsed="false">
      <c r="A33" s="0" t="s">
        <v>133</v>
      </c>
      <c r="B33" s="0" t="n">
        <f aca="false">B31*B29</f>
        <v>13585.0118976</v>
      </c>
    </row>
    <row r="34" customFormat="false" ht="15" hidden="false" customHeight="false" outlineLevel="0" collapsed="false">
      <c r="A34" s="0" t="s">
        <v>134</v>
      </c>
      <c r="B34" s="0" t="n">
        <f aca="false">MAX(0,MIN(B32,B33))</f>
        <v>13585.0118976</v>
      </c>
    </row>
    <row r="35" customFormat="false" ht="15" hidden="false" customHeight="false" outlineLevel="0" collapsed="false">
      <c r="A35" s="0" t="s">
        <v>135</v>
      </c>
      <c r="B35" s="0" t="n">
        <f aca="false">B34/(1+B27/100)^C4</f>
        <v>12578.71472</v>
      </c>
    </row>
    <row r="36" customFormat="false" ht="15" hidden="false" customHeight="false" outlineLevel="0" collapsed="false">
      <c r="A36" s="0" t="s">
        <v>136</v>
      </c>
      <c r="B36" s="0" t="n">
        <f aca="false">B30+B35</f>
        <v>13004.8229422222</v>
      </c>
    </row>
    <row r="37" customFormat="false" ht="15" hidden="false" customHeight="false" outlineLevel="0" collapsed="false">
      <c r="A37" s="0" t="s">
        <v>137</v>
      </c>
      <c r="B37" s="0" t="n">
        <f aca="false">B36+Assumptions!$B$5-Assumptions!$B$4</f>
        <v>13004.8229422222</v>
      </c>
    </row>
    <row r="38" customFormat="false" ht="15" hidden="false" customHeight="false" outlineLevel="0" collapsed="false">
      <c r="A38" s="0" t="s">
        <v>138</v>
      </c>
      <c r="B38" s="0" t="n">
        <f aca="false">B37/Assumptions!$B$3*Assumptions!$B$10</f>
        <v>959.553083614124</v>
      </c>
    </row>
    <row r="39" customFormat="false" ht="15" hidden="false" customHeight="false" outlineLevel="0" collapsed="false">
      <c r="A39" s="0" t="s">
        <v>139</v>
      </c>
      <c r="B39" s="4" t="n">
        <f aca="false">B38/Assumptions!$B$2-1</f>
        <v>0.0439002215123194</v>
      </c>
    </row>
    <row r="41" customFormat="false" ht="15" hidden="false" customHeight="false" outlineLevel="0" collapsed="false">
      <c r="A41" s="0" t="s">
        <v>140</v>
      </c>
      <c r="B41" s="0" t="n">
        <f aca="false">SUMPRODUCT(-C10/(1+$B$27/100)^C4)</f>
        <v>0</v>
      </c>
    </row>
    <row r="42" customFormat="false" ht="15" hidden="false" customHeight="false" outlineLevel="0" collapsed="false">
      <c r="A42" s="0" t="s">
        <v>141</v>
      </c>
      <c r="B42" s="0" t="n">
        <f aca="false">IF(B27&gt;B28,-C10*(1+B28/100)/((B27-B28)/100),-C10*20)/(1+B27/100)^C4</f>
        <v>0</v>
      </c>
    </row>
    <row r="43" customFormat="false" ht="15" hidden="false" customHeight="false" outlineLevel="0" collapsed="false">
      <c r="A43" s="0" t="s">
        <v>142</v>
      </c>
      <c r="B43" s="0" t="n">
        <f aca="false">(B37+B41+B42)/Assumptions!$B$3*Assumptions!$B$10</f>
        <v>959.553083614124</v>
      </c>
    </row>
    <row r="45" customFormat="false" ht="15" hidden="false" customHeight="false" outlineLevel="0" collapsed="false">
      <c r="A45" s="0" t="s">
        <v>92</v>
      </c>
      <c r="B45" s="4" t="n">
        <f aca="false">Assumptions!$B$6</f>
        <v>15</v>
      </c>
    </row>
    <row r="46" customFormat="false" ht="15" hidden="false" customHeight="false" outlineLevel="0" collapsed="false">
      <c r="A46" s="0" t="s">
        <v>143</v>
      </c>
      <c r="B46" s="0" t="n">
        <f aca="false">MAX(0,MIN(IF(B45&gt;B28,B31*(1+B28/100)/((B45-B28)/100),B31*B29),B31*B29))</f>
        <v>4580.05466285714</v>
      </c>
    </row>
    <row r="47" customFormat="false" ht="15" hidden="false" customHeight="false" outlineLevel="0" collapsed="false">
      <c r="A47" s="0" t="s">
        <v>144</v>
      </c>
      <c r="B47" s="0" t="n">
        <f aca="false">(SUMPRODUCT(C19/(1+B45/100)^C4)+B46/(1+B45/100)^C4+Assumptions!$B$5-Assumptions!$B$4)/Assumptions!$B$3*Assumptions!$B$10</f>
        <v>323.384300787385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565.922526377924</v>
      </c>
      <c r="C4" s="0" t="n">
        <f aca="false">B4/Assumptions!$B$2-1</f>
        <v>-0.384331455202433</v>
      </c>
      <c r="D4" s="4" t="n">
        <f aca="false">Assumptions!$B$24</f>
        <v>0.15</v>
      </c>
      <c r="E4" s="4" t="n">
        <f aca="false">DCF_Bear!$B$43</f>
        <v>565.922526377924</v>
      </c>
      <c r="F4" s="4" t="n">
        <f aca="false">DCF_Bear!$B$47</f>
        <v>271.642812661403</v>
      </c>
    </row>
    <row r="5" customFormat="false" ht="15" hidden="false" customHeight="false" outlineLevel="0" collapsed="false">
      <c r="A5" s="0" t="s">
        <v>153</v>
      </c>
      <c r="B5" s="4" t="n">
        <f aca="false">DCF_Base!$B$38</f>
        <v>884.411148167278</v>
      </c>
      <c r="C5" s="0" t="n">
        <f aca="false">B5/Assumptions!$B$2-1</f>
        <v>-0.0378468797135798</v>
      </c>
      <c r="D5" s="4" t="n">
        <f aca="false">Assumptions!$B$38</f>
        <v>0.65</v>
      </c>
      <c r="E5" s="4" t="n">
        <f aca="false">DCF_Base!$B$43</f>
        <v>884.411148167278</v>
      </c>
      <c r="F5" s="4" t="n">
        <f aca="false">DCF_Base!$B$47</f>
        <v>323.384300787385</v>
      </c>
    </row>
    <row r="6" customFormat="false" ht="15" hidden="false" customHeight="false" outlineLevel="0" collapsed="false">
      <c r="A6" s="0" t="s">
        <v>154</v>
      </c>
      <c r="B6" s="4" t="n">
        <f aca="false">DCF_Bull!$B$38</f>
        <v>959.553083614124</v>
      </c>
      <c r="C6" s="0" t="n">
        <f aca="false">B6/Assumptions!$B$2-1</f>
        <v>0.0439002215123194</v>
      </c>
      <c r="D6" s="4" t="n">
        <f aca="false">Assumptions!$B$52</f>
        <v>0.2</v>
      </c>
      <c r="E6" s="4" t="n">
        <f aca="false">DCF_Bull!$B$43</f>
        <v>959.553083614124</v>
      </c>
      <c r="F6" s="4" t="n">
        <f aca="false">DCF_Bull!$B$47</f>
        <v>323.384300787385</v>
      </c>
    </row>
    <row r="8" customFormat="false" ht="15" hidden="false" customHeight="false" outlineLevel="0" collapsed="false">
      <c r="A8" s="0" t="s">
        <v>155</v>
      </c>
      <c r="B8" s="0" t="n">
        <f aca="false">SUMPRODUCT(B4:B6,D4:D6)</f>
        <v>851.666241988244</v>
      </c>
    </row>
    <row r="9" customFormat="false" ht="15" hidden="false" customHeight="false" outlineLevel="0" collapsed="false">
      <c r="A9" s="0" t="s">
        <v>156</v>
      </c>
      <c r="B9" s="0" t="n">
        <f aca="false">SUMPRODUCT(E4:E6,D4:D6)</f>
        <v>851.666241988244</v>
      </c>
    </row>
    <row r="10" customFormat="false" ht="15" hidden="false" customHeight="false" outlineLevel="0" collapsed="false">
      <c r="A10" s="0" t="s">
        <v>157</v>
      </c>
      <c r="B10" s="0" t="n">
        <f aca="false">1-Assumptions!$B$2/B8</f>
        <v>-0.0792960372059557</v>
      </c>
    </row>
    <row r="11" customFormat="false" ht="15" hidden="false" customHeight="false" outlineLevel="0" collapsed="false">
      <c r="A11" s="0" t="s">
        <v>158</v>
      </c>
      <c r="B11" s="0" t="str">
        <f aca="false">IF(ABS(B9-B8)&gt;0.01*ABS(B8),(Assumptions!$B$2-B8)/(B9-B8)*100,"n/a")</f>
        <v>n/a</v>
      </c>
    </row>
    <row r="12" customFormat="false" ht="15" hidden="false" customHeight="false" outlineLevel="0" collapsed="false">
      <c r="A12" s="0" t="s">
        <v>159</v>
      </c>
      <c r="B12" s="0" t="n">
        <f aca="false">SUMPRODUCT(F4:F6,D4:D6)</f>
        <v>315.623077568488</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(1+$C$15/100)^DCF_Base!$C$4)+MAX(0,MIN(IF($C$15&gt;DCF_Base!$B$28,DCF_Base!$C$19*(1+DCF_Base!$B$28/100)/(($C$15-DCF_Base!$B$28)/100),DCF_Base!$C$19*DCF_Base!$B$29),DCF_Base!$C$19*DCF_Base!$B$29))/(1+$C$15/100)^DCF_Base!$C$4+Assumptions!$B$5-Assumptions!$B$4)/Assumptions!$B$3*Assumptions!$B$10</f>
        <v>884.411148167278</v>
      </c>
      <c r="C15" s="3" t="n">
        <v>8</v>
      </c>
    </row>
    <row r="16" customFormat="false" ht="15" hidden="false" customHeight="false" outlineLevel="0" collapsed="false">
      <c r="A16" s="0" t="s">
        <v>163</v>
      </c>
      <c r="B16" s="0" t="n">
        <f aca="false">(SUMPRODUCT(DCF_Base!$C$19/(1+$C$16/100)^DCF_Base!$C$4)+MAX(0,MIN(IF($C$16&gt;DCF_Base!$B$28,DCF_Base!$C$19*(1+DCF_Base!$B$28/100)/(($C$16-DCF_Base!$B$28)/100),DCF_Base!$C$19*DCF_Base!$B$29),DCF_Base!$C$19*DCF_Base!$B$29))/(1+$C$16/100)^DCF_Base!$C$4+Assumptions!$B$5-Assumptions!$B$4)/Assumptions!$B$3*Assumptions!$B$10</f>
        <v>754.563368503898</v>
      </c>
      <c r="C16" s="3" t="n">
        <v>9</v>
      </c>
    </row>
    <row r="17" customFormat="false" ht="15" hidden="false" customHeight="false" outlineLevel="0" collapsed="false">
      <c r="A17" s="0" t="s">
        <v>164</v>
      </c>
      <c r="B17" s="0" t="n">
        <f aca="false">(SUMPRODUCT(DCF_Base!$C$19/(1+$C$17/100)^DCF_Base!$C$4)+MAX(0,MIN(IF($C$17&gt;DCF_Base!$B$28,DCF_Base!$C$19*(1+DCF_Base!$B$28/100)/(($C$17-DCF_Base!$B$28)/100),DCF_Base!$C$19*DCF_Base!$B$29),DCF_Base!$C$19*DCF_Base!$B$29))/(1+$C$17/100)^DCF_Base!$C$4+Assumptions!$B$5-Assumptions!$B$4)/Assumptions!$B$3*Assumptions!$B$10</f>
        <v>617.370028775917</v>
      </c>
      <c r="C17" s="3" t="n">
        <v>10</v>
      </c>
    </row>
    <row r="18" customFormat="false" ht="15" hidden="false" customHeight="false" outlineLevel="0" collapsed="false">
      <c r="A18" s="0" t="s">
        <v>165</v>
      </c>
      <c r="B18" s="0" t="n">
        <f aca="false">(SUMPRODUCT(DCF_Base!$C$19/(1+$C$18/100)^DCF_Base!$C$4)+MAX(0,MIN(IF($C$18&gt;DCF_Base!$B$28,DCF_Base!$C$19*(1+DCF_Base!$B$28/100)/(($C$18-DCF_Base!$B$28)/100),DCF_Base!$C$19*DCF_Base!$B$29),DCF_Base!$C$19*DCF_Base!$B$29))/(1+$C$18/100)^DCF_Base!$C$4+Assumptions!$B$5-Assumptions!$B$4)/Assumptions!$B$3*Assumptions!$B$10</f>
        <v>522.390024348853</v>
      </c>
      <c r="C18" s="3" t="n">
        <v>11</v>
      </c>
    </row>
    <row r="19" customFormat="false" ht="15" hidden="false" customHeight="false" outlineLevel="0" collapsed="false">
      <c r="A19" s="0" t="s">
        <v>166</v>
      </c>
      <c r="B19" s="0" t="n">
        <f aca="false">(SUMPRODUCT(DCF_Base!$C$19/(1+$C$19/100)^DCF_Base!$C$4)+MAX(0,MIN(IF($C$19&gt;DCF_Base!$B$28,DCF_Base!$C$19*(1+DCF_Base!$B$28/100)/(($C$19-DCF_Base!$B$28)/100),DCF_Base!$C$19*DCF_Base!$B$29),DCF_Base!$C$19*DCF_Base!$B$29))/(1+$C$19/100)^DCF_Base!$C$4+Assumptions!$B$5-Assumptions!$B$4)/Assumptions!$B$3*Assumptions!$B$10</f>
        <v>452.738021102339</v>
      </c>
      <c r="C19" s="3" t="n">
        <v>12</v>
      </c>
    </row>
    <row r="20" customFormat="false" ht="15" hidden="false" customHeight="false" outlineLevel="0" collapsed="false">
      <c r="A20" s="0" t="s">
        <v>167</v>
      </c>
      <c r="B20" s="0" t="n">
        <f aca="false">(SUMPRODUCT(DCF_Base!$C$19/(1+$C$20/100)^DCF_Base!$C$4)+MAX(0,MIN(IF($C$20&gt;DCF_Base!$B$28,DCF_Base!$C$19*(1+DCF_Base!$B$28/100)/(($C$20-DCF_Base!$B$28)/100),DCF_Base!$C$19*DCF_Base!$B$29),DCF_Base!$C$19*DCF_Base!$B$29))/(1+$C$20/100)^DCF_Base!$C$4+Assumptions!$B$5-Assumptions!$B$4)/Assumptions!$B$3*Assumptions!$B$10</f>
        <v>323.384300787385</v>
      </c>
      <c r="C20" s="3" t="n">
        <v>15</v>
      </c>
    </row>
    <row r="22" customFormat="false" ht="15" hidden="false" customHeight="false" outlineLevel="0" collapsed="false">
      <c r="A22" s="2" t="s">
        <v>168</v>
      </c>
    </row>
    <row r="23" customFormat="false" ht="15" hidden="false" customHeight="false" outlineLevel="0" collapsed="false">
      <c r="B23" s="3" t="n">
        <v>3.5</v>
      </c>
      <c r="C23" s="3" t="n">
        <v>4</v>
      </c>
      <c r="D23" s="3" t="n">
        <v>4.5</v>
      </c>
      <c r="E23" s="3" t="n">
        <v>5</v>
      </c>
      <c r="F23" s="3" t="n">
        <v>5.5</v>
      </c>
    </row>
    <row r="24" customFormat="false" ht="15" hidden="false" customHeight="false" outlineLevel="0" collapsed="false">
      <c r="A24" s="3" t="n">
        <v>6</v>
      </c>
      <c r="B24" s="0" t="n">
        <f aca="false">(SUMPRODUCT(DCF_Base!$C$19/(1+$A$24/100)^DCF_Base!$C$4)+MAX(0,MIN(IF($A$24&gt;$B$23,DCF_Base!$C$19*(1+$B$23/100)/(($A$24-$B$23)/100),DCF_Base!$C$19*DCF_Base!$B$29),DCF_Base!$C$19*DCF_Base!$B$29))/(1+$A$24/100)^DCF_Base!$C$4+Assumptions!$B$5-Assumptions!$B$4)/Assumptions!$B$3*Assumptions!$B$10</f>
        <v>901.098150962886</v>
      </c>
      <c r="C24" s="0" t="n">
        <f aca="false">(SUMPRODUCT(DCF_Base!$C$19/(1+$A$24/100)^DCF_Base!$C$4)+MAX(0,MIN(IF($A$24&gt;$C$23,DCF_Base!$C$19*(1+$C$23/100)/(($A$24-$C$23)/100),DCF_Base!$C$19*DCF_Base!$B$29),DCF_Base!$C$19*DCF_Base!$B$29))/(1+$A$24/100)^DCF_Base!$C$4+Assumptions!$B$5-Assumptions!$B$4)/Assumptions!$B$3*Assumptions!$B$10</f>
        <v>901.098150962886</v>
      </c>
      <c r="D24" s="0" t="n">
        <f aca="false">(SUMPRODUCT(DCF_Base!$C$19/(1+$A$24/100)^DCF_Base!$C$4)+MAX(0,MIN(IF($A$24&gt;$D$23,DCF_Base!$C$19*(1+$D$23/100)/(($A$24-$D$23)/100),DCF_Base!$C$19*DCF_Base!$B$29),DCF_Base!$C$19*DCF_Base!$B$29))/(1+$A$24/100)^DCF_Base!$C$4+Assumptions!$B$5-Assumptions!$B$4)/Assumptions!$B$3*Assumptions!$B$10</f>
        <v>901.098150962886</v>
      </c>
      <c r="E24" s="0" t="n">
        <f aca="false">(SUMPRODUCT(DCF_Base!$C$19/(1+$A$24/100)^DCF_Base!$C$4)+MAX(0,MIN(IF($A$24&gt;$E$23,DCF_Base!$C$19*(1+$E$23/100)/(($A$24-$E$23)/100),DCF_Base!$C$19*DCF_Base!$B$29),DCF_Base!$C$19*DCF_Base!$B$29))/(1+$A$24/100)^DCF_Base!$C$4+Assumptions!$B$5-Assumptions!$B$4)/Assumptions!$B$3*Assumptions!$B$10</f>
        <v>901.098150962886</v>
      </c>
      <c r="F24" s="0" t="n">
        <f aca="false">(SUMPRODUCT(DCF_Base!$C$19/(1+$A$24/100)^DCF_Base!$C$4)+MAX(0,MIN(IF($A$24&gt;$F$23,DCF_Base!$C$19*(1+$F$23/100)/(($A$24-$F$23)/100),DCF_Base!$C$19*DCF_Base!$B$29),DCF_Base!$C$19*DCF_Base!$B$29))/(1+$A$24/100)^DCF_Base!$C$4+Assumptions!$B$5-Assumptions!$B$4)/Assumptions!$B$3*Assumptions!$B$10</f>
        <v>901.098150962886</v>
      </c>
    </row>
    <row r="25" customFormat="false" ht="15" hidden="false" customHeight="false" outlineLevel="0" collapsed="false">
      <c r="A25" s="3" t="n">
        <v>7</v>
      </c>
      <c r="B25" s="0" t="n">
        <f aca="false">(SUMPRODUCT(DCF_Base!$C$19/(1+$A$25/100)^DCF_Base!$C$4)+MAX(0,MIN(IF($A$25&gt;$B$23,DCF_Base!$C$19*(1+$B$23/100)/(($A$25-$B$23)/100),DCF_Base!$C$19*DCF_Base!$B$29),DCF_Base!$C$19*DCF_Base!$B$29))/(1+$A$25/100)^DCF_Base!$C$4+Assumptions!$B$5-Assumptions!$B$4)/Assumptions!$B$3*Assumptions!$B$10</f>
        <v>892.676672916504</v>
      </c>
      <c r="C25" s="0" t="n">
        <f aca="false">(SUMPRODUCT(DCF_Base!$C$19/(1+$A$25/100)^DCF_Base!$C$4)+MAX(0,MIN(IF($A$25&gt;$C$23,DCF_Base!$C$19*(1+$C$23/100)/(($A$25-$C$23)/100),DCF_Base!$C$19*DCF_Base!$B$29),DCF_Base!$C$19*DCF_Base!$B$29))/(1+$A$25/100)^DCF_Base!$C$4+Assumptions!$B$5-Assumptions!$B$4)/Assumptions!$B$3*Assumptions!$B$10</f>
        <v>892.676672916504</v>
      </c>
      <c r="D25" s="0" t="n">
        <f aca="false">(SUMPRODUCT(DCF_Base!$C$19/(1+$A$25/100)^DCF_Base!$C$4)+MAX(0,MIN(IF($A$25&gt;$D$23,DCF_Base!$C$19*(1+$D$23/100)/(($A$25-$D$23)/100),DCF_Base!$C$19*DCF_Base!$B$29),DCF_Base!$C$19*DCF_Base!$B$29))/(1+$A$25/100)^DCF_Base!$C$4+Assumptions!$B$5-Assumptions!$B$4)/Assumptions!$B$3*Assumptions!$B$10</f>
        <v>892.676672916504</v>
      </c>
      <c r="E25" s="0" t="n">
        <f aca="false">(SUMPRODUCT(DCF_Base!$C$19/(1+$A$25/100)^DCF_Base!$C$4)+MAX(0,MIN(IF($A$25&gt;$E$23,DCF_Base!$C$19*(1+$E$23/100)/(($A$25-$E$23)/100),DCF_Base!$C$19*DCF_Base!$B$29),DCF_Base!$C$19*DCF_Base!$B$29))/(1+$A$25/100)^DCF_Base!$C$4+Assumptions!$B$5-Assumptions!$B$4)/Assumptions!$B$3*Assumptions!$B$10</f>
        <v>892.676672916504</v>
      </c>
      <c r="F25" s="0" t="n">
        <f aca="false">(SUMPRODUCT(DCF_Base!$C$19/(1+$A$25/100)^DCF_Base!$C$4)+MAX(0,MIN(IF($A$25&gt;$F$23,DCF_Base!$C$19*(1+$F$23/100)/(($A$25-$F$23)/100),DCF_Base!$C$19*DCF_Base!$B$29),DCF_Base!$C$19*DCF_Base!$B$29))/(1+$A$25/100)^DCF_Base!$C$4+Assumptions!$B$5-Assumptions!$B$4)/Assumptions!$B$3*Assumptions!$B$10</f>
        <v>892.676672916504</v>
      </c>
    </row>
    <row r="26" customFormat="false" ht="15" hidden="false" customHeight="false" outlineLevel="0" collapsed="false">
      <c r="A26" s="3" t="n">
        <v>8</v>
      </c>
      <c r="B26" s="0" t="n">
        <f aca="false">(SUMPRODUCT(DCF_Base!$C$19/(1+$A$26/100)^DCF_Base!$C$4)+MAX(0,MIN(IF($A$26&gt;$B$23,DCF_Base!$C$19*(1+$B$23/100)/(($A$26-$B$23)/100),DCF_Base!$C$19*DCF_Base!$B$29),DCF_Base!$C$19*DCF_Base!$B$29))/(1+$A$26/100)^DCF_Base!$C$4+Assumptions!$B$5-Assumptions!$B$4)/Assumptions!$B$3*Assumptions!$B$10</f>
        <v>754.563368503898</v>
      </c>
      <c r="C26" s="0" t="n">
        <f aca="false">(SUMPRODUCT(DCF_Base!$C$19/(1+$A$26/100)^DCF_Base!$C$4)+MAX(0,MIN(IF($A$26&gt;$C$23,DCF_Base!$C$19*(1+$C$23/100)/(($A$26-$C$23)/100),DCF_Base!$C$19*DCF_Base!$B$29),DCF_Base!$C$19*DCF_Base!$B$29))/(1+$A$26/100)^DCF_Base!$C$4+Assumptions!$B$5-Assumptions!$B$4)/Assumptions!$B$3*Assumptions!$B$10</f>
        <v>848.883789566886</v>
      </c>
      <c r="D26" s="0" t="n">
        <f aca="false">(SUMPRODUCT(DCF_Base!$C$19/(1+$A$26/100)^DCF_Base!$C$4)+MAX(0,MIN(IF($A$26&gt;$D$23,DCF_Base!$C$19*(1+$D$23/100)/(($A$26-$D$23)/100),DCF_Base!$C$19*DCF_Base!$B$29),DCF_Base!$C$19*DCF_Base!$B$29))/(1+$A$26/100)^DCF_Base!$C$4+Assumptions!$B$5-Assumptions!$B$4)/Assumptions!$B$3*Assumptions!$B$10</f>
        <v>884.411148167278</v>
      </c>
      <c r="E26" s="0" t="n">
        <f aca="false">(SUMPRODUCT(DCF_Base!$C$19/(1+$A$26/100)^DCF_Base!$C$4)+MAX(0,MIN(IF($A$26&gt;$E$23,DCF_Base!$C$19*(1+$E$23/100)/(($A$26-$E$23)/100),DCF_Base!$C$19*DCF_Base!$B$29),DCF_Base!$C$19*DCF_Base!$B$29))/(1+$A$26/100)^DCF_Base!$C$4+Assumptions!$B$5-Assumptions!$B$4)/Assumptions!$B$3*Assumptions!$B$10</f>
        <v>884.411148167278</v>
      </c>
      <c r="F26" s="0" t="n">
        <f aca="false">(SUMPRODUCT(DCF_Base!$C$19/(1+$A$26/100)^DCF_Base!$C$4)+MAX(0,MIN(IF($A$26&gt;$F$23,DCF_Base!$C$19*(1+$F$23/100)/(($A$26-$F$23)/100),DCF_Base!$C$19*DCF_Base!$B$29),DCF_Base!$C$19*DCF_Base!$B$29))/(1+$A$26/100)^DCF_Base!$C$4+Assumptions!$B$5-Assumptions!$B$4)/Assumptions!$B$3*Assumptions!$B$10</f>
        <v>884.411148167278</v>
      </c>
    </row>
    <row r="27" customFormat="false" ht="15" hidden="false" customHeight="false" outlineLevel="0" collapsed="false">
      <c r="A27" s="3" t="n">
        <v>9</v>
      </c>
      <c r="B27" s="0" t="n">
        <f aca="false">(SUMPRODUCT(DCF_Base!$C$19/(1+$A$27/100)^DCF_Base!$C$4)+MAX(0,MIN(IF($A$27&gt;$B$23,DCF_Base!$C$19*(1+$B$23/100)/(($A$27-$B$23)/100),DCF_Base!$C$19*DCF_Base!$B$29),DCF_Base!$C$19*DCF_Base!$B$29))/(1+$A$27/100)^DCF_Base!$C$4+Assumptions!$B$5-Assumptions!$B$4)/Assumptions!$B$3*Assumptions!$B$10</f>
        <v>617.370028775917</v>
      </c>
      <c r="C27" s="0" t="n">
        <f aca="false">(SUMPRODUCT(DCF_Base!$C$19/(1+$A$27/100)^DCF_Base!$C$4)+MAX(0,MIN(IF($A$27&gt;$C$23,DCF_Base!$C$19*(1+$C$23/100)/(($A$27-$C$23)/100),DCF_Base!$C$19*DCF_Base!$B$29),DCF_Base!$C$19*DCF_Base!$B$29))/(1+$A$27/100)^DCF_Base!$C$4+Assumptions!$B$5-Assumptions!$B$4)/Assumptions!$B$3*Assumptions!$B$10</f>
        <v>679.107031653508</v>
      </c>
      <c r="D27" s="0" t="n">
        <f aca="false">(SUMPRODUCT(DCF_Base!$C$19/(1+$A$27/100)^DCF_Base!$C$4)+MAX(0,MIN(IF($A$27&gt;$D$23,DCF_Base!$C$19*(1+$D$23/100)/(($A$27-$D$23)/100),DCF_Base!$C$19*DCF_Base!$B$29),DCF_Base!$C$19*DCF_Base!$B$29))/(1+$A$27/100)^DCF_Base!$C$4+Assumptions!$B$5-Assumptions!$B$4)/Assumptions!$B$3*Assumptions!$B$10</f>
        <v>754.563368503898</v>
      </c>
      <c r="E27" s="0" t="n">
        <f aca="false">(SUMPRODUCT(DCF_Base!$C$19/(1+$A$27/100)^DCF_Base!$C$4)+MAX(0,MIN(IF($A$27&gt;$E$23,DCF_Base!$C$19*(1+$E$23/100)/(($A$27-$E$23)/100),DCF_Base!$C$19*DCF_Base!$B$29),DCF_Base!$C$19*DCF_Base!$B$29))/(1+$A$27/100)^DCF_Base!$C$4+Assumptions!$B$5-Assumptions!$B$4)/Assumptions!$B$3*Assumptions!$B$10</f>
        <v>848.883789566886</v>
      </c>
      <c r="F27" s="0" t="n">
        <f aca="false">(SUMPRODUCT(DCF_Base!$C$19/(1+$A$27/100)^DCF_Base!$C$4)+MAX(0,MIN(IF($A$27&gt;$F$23,DCF_Base!$C$19*(1+$F$23/100)/(($A$27-$F$23)/100),DCF_Base!$C$19*DCF_Base!$B$29),DCF_Base!$C$19*DCF_Base!$B$29))/(1+$A$27/100)^DCF_Base!$C$4+Assumptions!$B$5-Assumptions!$B$4)/Assumptions!$B$3*Assumptions!$B$10</f>
        <v>876.297284422624</v>
      </c>
    </row>
    <row r="28" customFormat="false" ht="15" hidden="false" customHeight="false" outlineLevel="0" collapsed="false">
      <c r="A28" s="3" t="n">
        <v>10</v>
      </c>
      <c r="B28" s="0" t="n">
        <f aca="false">(SUMPRODUCT(DCF_Base!$C$19/(1+$A$28/100)^DCF_Base!$C$4)+MAX(0,MIN(IF($A$28&gt;$B$23,DCF_Base!$C$19*(1+$B$23/100)/(($A$28-$B$23)/100),DCF_Base!$C$19*DCF_Base!$B$29),DCF_Base!$C$19*DCF_Base!$B$29))/(1+$A$28/100)^DCF_Base!$C$4+Assumptions!$B$5-Assumptions!$B$4)/Assumptions!$B$3*Assumptions!$B$10</f>
        <v>522.390024348853</v>
      </c>
      <c r="C28" s="0" t="n">
        <f aca="false">(SUMPRODUCT(DCF_Base!$C$19/(1+$A$28/100)^DCF_Base!$C$4)+MAX(0,MIN(IF($A$28&gt;$C$23,DCF_Base!$C$19*(1+$C$23/100)/(($A$28-$C$23)/100),DCF_Base!$C$19*DCF_Base!$B$29),DCF_Base!$C$19*DCF_Base!$B$29))/(1+$A$28/100)^DCF_Base!$C$4+Assumptions!$B$5-Assumptions!$B$4)/Assumptions!$B$3*Assumptions!$B$10</f>
        <v>565.922526377924</v>
      </c>
      <c r="D28" s="0" t="n">
        <f aca="false">(SUMPRODUCT(DCF_Base!$C$19/(1+$A$28/100)^DCF_Base!$C$4)+MAX(0,MIN(IF($A$28&gt;$D$23,DCF_Base!$C$19*(1+$D$23/100)/(($A$28-$D$23)/100),DCF_Base!$C$19*DCF_Base!$B$29),DCF_Base!$C$19*DCF_Base!$B$29))/(1+$A$28/100)^DCF_Base!$C$4+Assumptions!$B$5-Assumptions!$B$4)/Assumptions!$B$3*Assumptions!$B$10</f>
        <v>617.370028775917</v>
      </c>
      <c r="E28" s="0" t="n">
        <f aca="false">(SUMPRODUCT(DCF_Base!$C$19/(1+$A$28/100)^DCF_Base!$C$4)+MAX(0,MIN(IF($A$28&gt;$E$23,DCF_Base!$C$19*(1+$E$23/100)/(($A$28-$E$23)/100),DCF_Base!$C$19*DCF_Base!$B$29),DCF_Base!$C$19*DCF_Base!$B$29))/(1+$A$28/100)^DCF_Base!$C$4+Assumptions!$B$5-Assumptions!$B$4)/Assumptions!$B$3*Assumptions!$B$10</f>
        <v>679.107031653508</v>
      </c>
      <c r="F28" s="0" t="n">
        <f aca="false">(SUMPRODUCT(DCF_Base!$C$19/(1+$A$28/100)^DCF_Base!$C$4)+MAX(0,MIN(IF($A$28&gt;$F$23,DCF_Base!$C$19*(1+$F$23/100)/(($A$28-$F$23)/100),DCF_Base!$C$19*DCF_Base!$B$29),DCF_Base!$C$19*DCF_Base!$B$29))/(1+$A$28/100)^DCF_Base!$C$4+Assumptions!$B$5-Assumptions!$B$4)/Assumptions!$B$3*Assumptions!$B$10</f>
        <v>754.563368503898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2026-10-10T01:28:58Z</dcterms:created>
  <dc:creator>openpyxl</dc:creator>
  <dc:description/>
  <dc:language>en-NZ</dc:language>
  <cp:lastModifiedBy/>
  <dcterms:modified xsi:type="dcterms:W3CDTF">2026-10-10T01:28:58Z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