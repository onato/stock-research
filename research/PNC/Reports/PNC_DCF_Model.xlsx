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<sst xmlns="http://schemas.openxmlformats.org/spreadsheetml/2006/main" count="389" uniqueCount="175">
  <si>
    <t xml:space="preserve">Ticker</t>
  </si>
  <si>
    <t xml:space="preserve">PNC</t>
  </si>
  <si>
    <t xml:space="preserve">Company</t>
  </si>
  <si>
    <t xml:space="preserve">The PNC Financial Services Group, Inc.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</si>
  <si>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</si>
  <si>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</si>
  <si>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</si>
  <si>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</si>
  <si>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2026-10-01T20:00:03Z NYSE regular close</t>
  </si>
  <si>
    <t xml:space="preserve">Balance sheet date</t>
  </si>
  <si>
    <t xml:space="preserve">2026-06-30</t>
  </si>
  <si>
    <t xml:space="preserve">Model</t>
  </si>
  <si>
    <t xml:space="preserve">Bank FCFE capitalisation at cost of equity (engine route; GAAP earnings after regulatory capital retention, preferred stock deducted in the equity bridge, net debt zero)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</si>
  <si>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</si>
  <si>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</si>
  <si>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</si>
  <si>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</si>
  <si>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</si>
  <si>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</si>
  <si>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</si>
  <si>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</si>
  <si>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2026-10-02T07:27:53Z</t>
  </si>
  <si>
    <t xml:space="preserve">Drivers file</t>
  </si>
  <si>
    <t xml:space="preserve">PNC_Drivers.json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</si>
  <si>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</si>
  <si>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</si>
  <si>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</si>
  <si>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super-regional bank is valued on what it can distribute after funding its regulatory capital, discounted at a USD cost of equity -- never on statutory operating cash flow (loan and deposit movement) and never with deposits or borrowed funds treated as net debt. Core GAAP net income is the flow; capital retention at NPAT x g/ROTE is the reinvestment; preferred stock and NCI are deducted at book so the common claim is valued; 10.0% is the return an owner requires from a diversified, Category-III US bank. The result is the residual-income answer in FCFE form: at a ~18-19% return on tangible common equity, 3.5-6.5% growth fading to 2.5%, PNC is worth ~2.3x tangible book ($111.09) in the base case, so the ~2.0x the market pays embeds roughly the Q2 2026 ROTCE run-rate with little credit for the guided NIM expansion -- modest upside to the weighted value, a bear case ~16% below the price, and the 15%-hurdle entry price well below today's quote.
key_risks_to_valuation: Net interest margin: 5bp on ~$560bn of average earning assets is ~$280m of NII (~1.1% of revenue, ~2.7% of NPAT); the base needs NIM to break 3.00% in Q4 2026 and keep rising in 2027; Credit cycle: every 10bp on the provision rate over ~$370bn of loans is ~$370m pre-tax (~3.6% of NPAT); office CRE ($5.1bn, 29.4% criticized, 8.8% reserve) and the broader $36bn CRE book are the visible stress, the acquired FirstBank book the unseasoned one; Efficiency: the base assumes ~2.5pp of efficiency improvement from FY26E core 57.6% to 55.0%; every 1pp is ~$280m pre-tax (~2.7% of NPAT); Capital: CET1 9.9% vs a 10% target; a Basel III endgame re-proposal or a credit-driven RWA migration would force retention above g/ROTE and cut the ~$2.4bn/yr buyback; Share count: the ~2.3m Q3 2026 repurchase estimate is an approximation until the Q3 10-Q cover prints; each 4m shares is ~1% of value per share; SBC is estimated (~$300m) from Note 17 grant values because PNC does not disclose the expense; because it is added back and charged again in the engine, an error here moves value by only cents; Preferred stock is deducted at $5,877m carrying value; the economic value of the ~$316m/yr dividend stream at a 10% cost of equity is lower, so the bridge is ~$4/share conservative</t>
  </si>
  <si>
    <t xml:space="preserve">Data sources</t>
  </si>
  <si>
    <t xml:space="preserve">price: Yahoo Finance chart API at inputs.price_as_of (NYSE regular close); 52-week range 176.88-258.96.
financials: SEC XBRL companyfacts (CIK 0000713676) for FY2020-FY2025 and Q1/Q2 2026 NII, noninterest income, noninterest expense, revenue, pre-tax income, income taxes, net income, preferred dividends, NCI, diluted EPS, equity, goodwill, treasury shares, repurchases and dividends; Q2 2026 10-Q (accession 0001628280-26-053170, filed 2026-08-05) for the 30 Jun 2026 balance sheet, provision, significant items, capital ratios/RWA and the reaffirmed Q3/FY2026 guidance; Q2 2026 earnings release (8-K exhibit 99.1, accession 0001628280-26-048244) for TBVPS $111.09, TCE $44,378m, ROTCE and the Foundation/integration expense detail; FY2025 10-K (accession 0000713676-26-000020) for preferred series, Note 17 stock compensation and tax detail; 8-K 2026-09-29 for the Series S redemption; PNC_Metrics.csv / PNC.duckdb (94 periods) for the reported history and kpis (buybacks, cash taxes).
qualitative: PNC_Analysis.json (2026-10-02): FirstBank acquisition and June 2026 conversion, Q2 2026 results, NIM &gt;3% year-end guidance, FY2026 guidance (revenue ~+13% ex-items, NII +15-15.5%, fees +9%, expense +8.5% ex-items, ETR ~19.5%), $2.00 dividend, ~$610m/quarter buybacks, office CRE stress, CET1 9.9%, competitive position and bull/bear cases.</t>
  </si>
  <si>
    <t xml:space="preserve">Scenario narrative: bear</t>
  </si>
  <si>
    <t xml:space="preserve">A faster cutting cycle into a slowdown stalls NIM below 3% while deposit competition keeps funding costs sticky; loan growth stalls and the 2026 capital-markets pull-forward reverses. Office CRE stress (29% criticized) spreads into the wider $36bn CRE book and a mid-sized credit cycle takes provisions to ~70bp in FY2028. Efficiency stays near 58%, ROTCE settles at 13-15% (a modest spread over the cost of equity), and with CET1 below the 10% target buybacks are cut while capital is rebuilt and a Basel III endgame re-proposal lifts requirements.</t>
  </si>
  <si>
    <t xml:space="preserve">Scenario narrative: base</t>
  </si>
  <si>
    <t xml:space="preserve">PNC banks the FirstBank conversion (completed June 2026), pushes NIM through 3% as fixed-rate assets reprice, and grows revenue ~6.5% in FY2027 fading to 2.5% as loan growth settles at GDP-like rates. The $350m cost programme and integration synergies bring the core efficiency ratio from ~57.6% to ~55%, while provisions normalise from today's ~25bp NCO rate to ~33bp mid-cycle. GAAP EPS reaches ~$21.70 in FY2027 (vs ~$19 in FY2026) on a ~19% ROTCE, and ~75-85% of earnings are distributed. At a 10% cost of equity that franchise is worth ~2.3x tangible book (~11.7x FY2027E EPS), against the ~2.0x the market pays.</t>
  </si>
  <si>
    <t xml:space="preserve">Scenario narrative: bull</t>
  </si>
  <si>
    <t xml:space="preserve">NIM reaches ~3.20% as an asset-sensitive balance sheet meets a Fed leaning tighter, the Sunbelt/Mountain West franchises take deposit share, capital markets compound toward the 25-30% target and positive operating leverage takes efficiency to ~52.5%. Credit stays benign (~28bp). ROTCE reaches 20-21%, EPS compounds high-single-digit, and PNC earns a money-centre-like multiple of tangible book.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</si>
  <si>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</si>
  <si>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</si>
  <si>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</si>
  <si>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</si>
  <si>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</si>
  <si>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</si>
  <si>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</si>
  <si>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</si>
  <si>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</si>
  <si>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</si>
  <si>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</si>
  <si>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</si>
  <si>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</si>
  <si>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</si>
  <si>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</si>
  <si>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</si>
  <si>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</si>
  <si>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</si>
  <si>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</si>
  <si>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</si>
  <si>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</si>
  <si>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</si>
  <si>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</si>
  <si>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</si>
  <si>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</si>
  <si>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</si>
  <si>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</si>
  <si>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</si>
  <si>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</si>
  <si>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</si>
  <si>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</si>
  <si>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</si>
  <si>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</si>
  <si>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</si>
  <si>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</si>
  <si>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</si>
  <si>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</si>
  <si>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</si>
  <si>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</si>
  <si>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</si>
  <si>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</si>
  <si>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</si>
  <si>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</si>
  <si>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</si>
  <si>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</si>
  <si>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</si>
  <si>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</si>
  <si>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</si>
  <si>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</si>
  <si>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</si>
  <si>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</si>
  <si>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</si>
  <si>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</si>
  <si>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</si>
  <si>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</si>
  <si>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</si>
  <si>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FY2026E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</si>
  <si>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</si>
  <si>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</si>
  <si>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</si>
  <si>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</si>
  <si>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</si>
  <si>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</si>
  <si>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</si>
  <si>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</si>
  <si>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</si>
  <si>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</si>
  <si>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</si>
  <si>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</si>
  <si>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</si>
  <si>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</si>
  <si>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</si>
  <si>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</si>
  <si>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</si>
  <si>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</si>
  <si>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</si>
  <si>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</si>
  <si>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</si>
  <si>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</si>
  <si>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</si>
  <si>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</si>
  <si>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</si>
  <si>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</si>
  <si>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</si>
  <si>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</si>
  <si>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PNC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</si>
  <si>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</si>
  <si>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</si>
  <si>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</si>
  <si>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</si>
  <si>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</si>
  <si>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</si>
  <si>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</si>
  <si>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</si>
  <si>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</si>
  <si>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</si>
  <si>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</si>
  <si>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</si>
  <si>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</si>
  <si>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</si>
  <si>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</si>
  <si>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</si>
  <si>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</si>
  <si>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</si>
  <si>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</si>
  <si>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</si>
  <si>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</si>
  <si>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</si>
  <si>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</si>
  <si>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</si>
  <si>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</si>
  <si>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</si>
  <si>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</si>
  <si>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</si>
  <si>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</si>
  <si>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</si>
  <si>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PNC owner-FCF component DCF: base case (millions, USD)</t>
  </si>
  <si>
    <t xml:space="preserve">PNC owner-FCF component DCF: bull case (millions, USD)</t>
  </si>
  <si>
    <t xml:space="preserve">PNC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</si>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</sst>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220.75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11673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5891</v>
      </c>
      <c r="I3" s="0" t="n">
        <v>1491</v>
      </c>
      <c r="J3" s="0" t="n">
        <v>25.3097946019352</v>
      </c>
      <c r="K3" s="0" t="n">
        <v>4.4</v>
      </c>
      <c r="L3" s="0" t="n">
        <v>-416</v>
      </c>
      <c r="O3" s="0" t="n">
        <v>16508</v>
      </c>
      <c r="T3" s="0" t="n">
        <v>334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6296</v>
      </c>
      <c r="I4" s="0" t="n">
        <v>914</v>
      </c>
      <c r="J4" s="0" t="n">
        <v>14.5171537484117</v>
      </c>
      <c r="K4" s="0" t="n">
        <v>2.49</v>
      </c>
      <c r="L4" s="0" t="n">
        <v>7414</v>
      </c>
      <c r="O4" s="0" t="n">
        <v>27648</v>
      </c>
      <c r="P4" s="0" t="n">
        <v>291081</v>
      </c>
      <c r="Q4" s="0" t="n">
        <v>263433</v>
      </c>
      <c r="T4" s="0" t="n">
        <v>346</v>
      </c>
      <c r="U4" s="0" t="n">
        <v>71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16228</v>
      </c>
      <c r="I5" s="0" t="n">
        <v>2403</v>
      </c>
      <c r="J5" s="0" t="n">
        <v>14.8077397091447</v>
      </c>
      <c r="K5" s="0" t="n">
        <v>4.4</v>
      </c>
      <c r="L5" s="0" t="n">
        <v>5754</v>
      </c>
      <c r="O5" s="0" t="n">
        <v>32567</v>
      </c>
      <c r="P5" s="0" t="n">
        <v>269863</v>
      </c>
      <c r="Q5" s="0" t="n">
        <v>237296</v>
      </c>
      <c r="T5" s="0" t="n">
        <v>455</v>
      </c>
      <c r="U5" s="0" t="n">
        <v>93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15176</v>
      </c>
      <c r="I6" s="0" t="n">
        <v>3397</v>
      </c>
      <c r="J6" s="0" t="n">
        <v>22.3840274117027</v>
      </c>
      <c r="K6" s="0" t="n">
        <v>5.8</v>
      </c>
      <c r="L6" s="0" t="n">
        <v>4812</v>
      </c>
      <c r="O6" s="0" t="n">
        <v>32838</v>
      </c>
      <c r="P6" s="0" t="n">
        <v>264284</v>
      </c>
      <c r="Q6" s="0" t="n">
        <v>231446</v>
      </c>
      <c r="T6" s="0" t="n">
        <v>520</v>
      </c>
      <c r="U6" s="0" t="n">
        <v>107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14326</v>
      </c>
      <c r="I7" s="0" t="n">
        <v>3071</v>
      </c>
      <c r="J7" s="0" t="n">
        <v>21.4365489320117</v>
      </c>
      <c r="K7" s="0" t="n">
        <v>5.7</v>
      </c>
      <c r="L7" s="0" t="n">
        <v>6035</v>
      </c>
      <c r="O7" s="0" t="n">
        <v>37246</v>
      </c>
      <c r="P7" s="0" t="n">
        <v>271205</v>
      </c>
      <c r="Q7" s="0" t="n">
        <v>233959</v>
      </c>
      <c r="T7" s="0" t="n">
        <v>526</v>
      </c>
      <c r="U7" s="0" t="n">
        <v>103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15512</v>
      </c>
      <c r="I8" s="0" t="n">
        <v>2994</v>
      </c>
      <c r="J8" s="0" t="n">
        <v>19.3011861784425</v>
      </c>
      <c r="K8" s="0" t="n">
        <v>5.33</v>
      </c>
      <c r="L8" s="0" t="n">
        <v>6827</v>
      </c>
      <c r="O8" s="0" t="n">
        <v>41720</v>
      </c>
      <c r="P8" s="0" t="n">
        <v>305107</v>
      </c>
      <c r="Q8" s="0" t="n">
        <v>263342</v>
      </c>
      <c r="T8" s="0" t="n">
        <v>529</v>
      </c>
      <c r="U8" s="0" t="n">
        <v>101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16012</v>
      </c>
      <c r="I9" s="0" t="n">
        <v>4212</v>
      </c>
      <c r="J9" s="0" t="n">
        <v>26.305271046715</v>
      </c>
      <c r="K9" s="0" t="n">
        <v>7.45</v>
      </c>
      <c r="O9" s="0" t="n">
        <v>44039</v>
      </c>
      <c r="P9" s="0" t="n">
        <v>320192</v>
      </c>
      <c r="Q9" s="0" t="n">
        <v>276155</v>
      </c>
      <c r="T9" s="0" t="n">
        <v>532</v>
      </c>
      <c r="U9" s="0" t="n">
        <v>154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15375</v>
      </c>
      <c r="I10" s="0" t="n">
        <v>4207</v>
      </c>
      <c r="J10" s="0" t="n">
        <v>27.3626016260163</v>
      </c>
      <c r="K10" s="0" t="n">
        <v>7.44</v>
      </c>
      <c r="O10" s="0" t="n">
        <v>46074</v>
      </c>
      <c r="P10" s="0" t="n">
        <v>345072</v>
      </c>
      <c r="Q10" s="0" t="n">
        <v>298998</v>
      </c>
      <c r="T10" s="0" t="n">
        <v>537</v>
      </c>
      <c r="U10" s="0" t="n">
        <v>200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15225</v>
      </c>
      <c r="I11" s="0" t="n">
        <v>4143</v>
      </c>
      <c r="J11" s="0" t="n">
        <v>27.2118226600985</v>
      </c>
      <c r="K11" s="0" t="n">
        <v>7.52</v>
      </c>
      <c r="O11" s="0" t="n">
        <v>45980</v>
      </c>
      <c r="P11" s="0" t="n">
        <v>358493</v>
      </c>
      <c r="Q11" s="0" t="n">
        <v>312513</v>
      </c>
      <c r="T11" s="0" t="n">
        <v>521</v>
      </c>
      <c r="U11" s="0" t="n">
        <v>200</v>
      </c>
      <c r="V11" s="0" t="n">
        <v>2.01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15162</v>
      </c>
      <c r="I12" s="0" t="n">
        <v>3985</v>
      </c>
      <c r="J12" s="0" t="n">
        <v>26.2828122938926</v>
      </c>
      <c r="K12" s="0" t="n">
        <v>7.42</v>
      </c>
      <c r="L12" s="0" t="n">
        <v>3500</v>
      </c>
      <c r="O12" s="0" t="n">
        <v>46854</v>
      </c>
      <c r="P12" s="0" t="n">
        <v>366380</v>
      </c>
      <c r="Q12" s="0" t="n">
        <v>319526</v>
      </c>
      <c r="T12" s="0" t="n">
        <v>500</v>
      </c>
      <c r="U12" s="0" t="n">
        <v>200</v>
      </c>
      <c r="V12" s="0" t="n">
        <v>2.12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16329</v>
      </c>
      <c r="I13" s="0" t="n">
        <v>5388</v>
      </c>
      <c r="J13" s="0" t="n">
        <v>32.9965092779717</v>
      </c>
      <c r="K13" s="0" t="n">
        <v>10.49</v>
      </c>
      <c r="L13" s="0" t="n">
        <v>5579</v>
      </c>
      <c r="O13" s="0" t="n">
        <v>47585</v>
      </c>
      <c r="P13" s="0" t="n">
        <v>380768</v>
      </c>
      <c r="Q13" s="0" t="n">
        <v>333183</v>
      </c>
      <c r="T13" s="0" t="n">
        <v>486</v>
      </c>
      <c r="U13" s="0" t="n">
        <v>200</v>
      </c>
      <c r="V13" s="0" t="n">
        <v>2.6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16190</v>
      </c>
      <c r="I14" s="0" t="n">
        <v>5346</v>
      </c>
      <c r="J14" s="0" t="n">
        <v>33.0203829524398</v>
      </c>
      <c r="K14" s="0" t="n">
        <v>10.79</v>
      </c>
      <c r="L14" s="0" t="n">
        <v>7840</v>
      </c>
      <c r="O14" s="0" t="n">
        <v>47770</v>
      </c>
      <c r="P14" s="0" t="n">
        <v>382315</v>
      </c>
      <c r="Q14" s="0" t="n">
        <v>334545</v>
      </c>
      <c r="T14" s="0" t="n">
        <v>470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16839</v>
      </c>
      <c r="I15" s="0" t="n">
        <v>5418</v>
      </c>
      <c r="J15" s="0" t="n">
        <v>32.1753073222875</v>
      </c>
      <c r="K15" s="0" t="n">
        <v>11.43</v>
      </c>
      <c r="L15" s="0" t="n">
        <v>7363</v>
      </c>
      <c r="O15" s="0" t="n">
        <v>49343</v>
      </c>
      <c r="P15" s="0" t="n">
        <v>410295</v>
      </c>
      <c r="Q15" s="0" t="n">
        <v>360952</v>
      </c>
      <c r="T15" s="0" t="n">
        <v>448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16901</v>
      </c>
      <c r="I16" s="0" t="n">
        <v>7558</v>
      </c>
      <c r="J16" s="0" t="n">
        <v>44.7192473818117</v>
      </c>
      <c r="K16" s="0" t="n">
        <v>16.99</v>
      </c>
      <c r="L16" s="0" t="n">
        <v>4659</v>
      </c>
      <c r="O16" s="0" t="n">
        <v>54041</v>
      </c>
      <c r="P16" s="0" t="n">
        <v>466679</v>
      </c>
      <c r="Q16" s="0" t="n">
        <v>412638</v>
      </c>
      <c r="T16" s="0" t="n">
        <v>427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19211</v>
      </c>
      <c r="I17" s="0" t="n">
        <v>5725</v>
      </c>
      <c r="J17" s="0" t="n">
        <v>29.8006350528343</v>
      </c>
      <c r="K17" s="0" t="n">
        <v>12.71</v>
      </c>
      <c r="L17" s="0" t="n">
        <v>7214</v>
      </c>
      <c r="O17" s="0" t="n">
        <v>55726</v>
      </c>
      <c r="P17" s="0" t="n">
        <v>557191</v>
      </c>
      <c r="Q17" s="0" t="n">
        <v>501465</v>
      </c>
      <c r="T17" s="0" t="n">
        <v>426</v>
      </c>
      <c r="V17" s="0" t="n">
        <v>4.8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21120</v>
      </c>
      <c r="I18" s="0" t="n">
        <v>6113</v>
      </c>
      <c r="J18" s="0" t="n">
        <v>28.9441287878788</v>
      </c>
      <c r="K18" s="0" t="n">
        <v>13.86</v>
      </c>
      <c r="L18" s="0" t="n">
        <v>9083</v>
      </c>
      <c r="O18" s="0" t="n">
        <v>45812</v>
      </c>
      <c r="P18" s="0" t="n">
        <v>557263</v>
      </c>
      <c r="Q18" s="0" t="n">
        <v>511451</v>
      </c>
      <c r="R18" s="0" t="n">
        <v>58726</v>
      </c>
      <c r="T18" s="0" t="n">
        <v>412</v>
      </c>
      <c r="V18" s="0" t="n">
        <v>5.75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21490</v>
      </c>
      <c r="I19" s="0" t="n">
        <v>5647</v>
      </c>
      <c r="J19" s="0" t="n">
        <v>26.2773382968823</v>
      </c>
      <c r="K19" s="0" t="n">
        <v>12.8</v>
      </c>
      <c r="L19" s="0" t="n">
        <v>10111</v>
      </c>
      <c r="O19" s="0" t="n">
        <v>51141</v>
      </c>
      <c r="P19" s="0" t="n">
        <v>561580</v>
      </c>
      <c r="Q19" s="0" t="n">
        <v>510439</v>
      </c>
      <c r="R19" s="0" t="n">
        <v>72737</v>
      </c>
      <c r="T19" s="0" t="n">
        <v>401</v>
      </c>
      <c r="V19" s="0" t="n">
        <v>6.1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21555</v>
      </c>
      <c r="I20" s="0" t="n">
        <v>5953</v>
      </c>
      <c r="J20" s="0" t="n">
        <v>27.6177221062399</v>
      </c>
      <c r="K20" s="0" t="n">
        <v>13.76</v>
      </c>
      <c r="L20" s="0" t="n">
        <v>7880</v>
      </c>
      <c r="O20" s="0" t="n">
        <v>54469</v>
      </c>
      <c r="P20" s="0" t="n">
        <v>560038</v>
      </c>
      <c r="Q20" s="0" t="n">
        <v>505569</v>
      </c>
      <c r="R20" s="0" t="n">
        <v>61673</v>
      </c>
      <c r="T20" s="0" t="n">
        <v>400</v>
      </c>
      <c r="V20" s="0" t="n">
        <v>6.3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23099</v>
      </c>
      <c r="I21" s="0" t="n">
        <v>6997</v>
      </c>
      <c r="J21" s="0" t="n">
        <v>30.2913546040954</v>
      </c>
      <c r="K21" s="0" t="n">
        <v>16.6</v>
      </c>
      <c r="L21" s="0" t="n">
        <v>4384</v>
      </c>
      <c r="O21" s="0" t="n">
        <v>60636</v>
      </c>
      <c r="P21" s="0" t="n">
        <v>573572</v>
      </c>
      <c r="Q21" s="0" t="n">
        <v>512936</v>
      </c>
      <c r="R21" s="0" t="n">
        <v>57101</v>
      </c>
      <c r="T21" s="0" t="n">
        <v>396</v>
      </c>
      <c r="V21" s="0" t="n">
        <v>6.6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220.75</v>
      </c>
    </row>
    <row r="3" customFormat="false" ht="15" hidden="false" customHeight="false" outlineLevel="0" collapsed="false">
      <c r="A3" s="0" t="s">
        <v>86</v>
      </c>
      <c r="B3" s="3" t="n">
        <v>397.7</v>
      </c>
    </row>
    <row r="4" customFormat="false" ht="15" hidden="false" customHeight="false" outlineLevel="0" collapsed="false">
      <c r="A4" s="0" t="s">
        <v>87</v>
      </c>
      <c r="B4" s="3" t="n">
        <v>0</v>
      </c>
    </row>
    <row r="5" customFormat="false" ht="15" hidden="false" customHeight="false" outlineLevel="0" collapsed="false">
      <c r="A5" s="0" t="s">
        <v>88</v>
      </c>
      <c r="B5" s="3" t="n">
        <v>-5930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26100</v>
      </c>
    </row>
    <row r="8" customFormat="false" ht="15" hidden="false" customHeight="false" outlineLevel="0" collapsed="false">
      <c r="A8" s="0" t="s">
        <v>91</v>
      </c>
      <c r="B8" s="3" t="s">
        <v>92</v>
      </c>
    </row>
    <row r="9" customFormat="false" ht="15" hidden="false" customHeight="false" outlineLevel="0" collapsed="false">
      <c r="A9" s="0" t="s">
        <v>93</v>
      </c>
      <c r="B9" s="3" t="s">
        <v>94</v>
      </c>
    </row>
    <row r="10" customFormat="false" ht="15" hidden="false" customHeight="false" outlineLevel="0" collapsed="false">
      <c r="A10" s="0" t="s">
        <v>95</v>
      </c>
      <c r="B10" s="3" t="n">
        <v>1</v>
      </c>
    </row>
    <row r="12" customFormat="false" ht="15" hidden="false" customHeight="false" outlineLevel="0" collapsed="false">
      <c r="A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  <c r="H12" s="2" t="s">
        <v>102</v>
      </c>
      <c r="I12" s="2" t="s">
        <v>103</v>
      </c>
      <c r="J12" s="2" t="s">
        <v>104</v>
      </c>
      <c r="K12" s="2" t="s">
        <v>105</v>
      </c>
      <c r="L12" s="2" t="s">
        <v>106</v>
      </c>
    </row>
    <row r="13" customFormat="false" ht="15" hidden="false" customHeight="false" outlineLevel="0" collapsed="false">
      <c r="A13" s="0" t="s">
        <v>107</v>
      </c>
      <c r="C13" s="3" t="n">
        <v>2</v>
      </c>
      <c r="D13" s="3" t="n">
        <v>0</v>
      </c>
      <c r="E13" s="3" t="n">
        <v>2.5</v>
      </c>
      <c r="F13" s="3" t="n">
        <v>3</v>
      </c>
      <c r="G13" s="3" t="n">
        <v>2.5</v>
      </c>
      <c r="H13" s="3" t="n">
        <v>2.5</v>
      </c>
      <c r="I13" s="3" t="n">
        <v>2.5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108</v>
      </c>
      <c r="C14" s="3" t="n">
        <v>36.6</v>
      </c>
      <c r="D14" s="3" t="n">
        <v>32.1</v>
      </c>
      <c r="E14" s="3" t="n">
        <v>35.6</v>
      </c>
      <c r="F14" s="3" t="n">
        <v>37.1</v>
      </c>
      <c r="G14" s="3" t="n">
        <v>37.1</v>
      </c>
      <c r="H14" s="3" t="n">
        <v>37.1</v>
      </c>
      <c r="I14" s="3" t="n">
        <v>37.1</v>
      </c>
      <c r="J14" s="3" t="n">
        <v>37.1</v>
      </c>
      <c r="K14" s="3" t="n">
        <v>37.1</v>
      </c>
      <c r="L14" s="3" t="n">
        <v>37.1</v>
      </c>
    </row>
    <row r="15" customFormat="false" ht="15" hidden="false" customHeight="false" outlineLevel="0" collapsed="false">
      <c r="A15" s="0" t="s">
        <v>109</v>
      </c>
      <c r="C15" s="3" t="n">
        <v>1.15</v>
      </c>
      <c r="D15" s="3" t="n">
        <v>1.15</v>
      </c>
      <c r="E15" s="3" t="n">
        <v>1.15</v>
      </c>
      <c r="F15" s="3" t="n">
        <v>1.15</v>
      </c>
      <c r="G15" s="3" t="n">
        <v>1.15</v>
      </c>
      <c r="H15" s="3" t="n">
        <v>1.15</v>
      </c>
      <c r="I15" s="3" t="n">
        <v>1.15</v>
      </c>
      <c r="J15" s="3" t="n">
        <v>1.15</v>
      </c>
      <c r="K15" s="3" t="n">
        <v>1.15</v>
      </c>
      <c r="L15" s="3" t="n">
        <v>1.15</v>
      </c>
    </row>
    <row r="16" customFormat="false" ht="15" hidden="false" customHeight="false" outlineLevel="0" collapsed="false">
      <c r="A16" s="0" t="s">
        <v>110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111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112</v>
      </c>
      <c r="C18" s="3" t="n">
        <v>5.5</v>
      </c>
      <c r="D18" s="3" t="n">
        <v>6</v>
      </c>
      <c r="E18" s="3" t="n">
        <v>5.5</v>
      </c>
      <c r="F18" s="3" t="n">
        <v>6.3</v>
      </c>
      <c r="G18" s="3" t="n">
        <v>5.3</v>
      </c>
      <c r="H18" s="3" t="n">
        <v>5.3</v>
      </c>
      <c r="I18" s="3" t="n">
        <v>5.3</v>
      </c>
      <c r="J18" s="3" t="n">
        <v>4.2</v>
      </c>
      <c r="K18" s="3" t="n">
        <v>4.2</v>
      </c>
      <c r="L18" s="3" t="n">
        <v>4.2</v>
      </c>
    </row>
    <row r="19" customFormat="false" ht="15" hidden="false" customHeight="false" outlineLevel="0" collapsed="false">
      <c r="A19" s="0" t="s">
        <v>113</v>
      </c>
      <c r="C19" s="3" t="n">
        <v>19.5</v>
      </c>
      <c r="D19" s="3" t="n">
        <v>19.5</v>
      </c>
      <c r="E19" s="3" t="n">
        <v>19.5</v>
      </c>
      <c r="F19" s="3" t="n">
        <v>19.5</v>
      </c>
      <c r="G19" s="3" t="n">
        <v>19.5</v>
      </c>
      <c r="H19" s="3" t="n">
        <v>19.5</v>
      </c>
      <c r="I19" s="3" t="n">
        <v>19.5</v>
      </c>
      <c r="J19" s="3" t="n">
        <v>19.5</v>
      </c>
      <c r="K19" s="3" t="n">
        <v>19.5</v>
      </c>
      <c r="L19" s="3" t="n">
        <v>19.5</v>
      </c>
    </row>
    <row r="20" customFormat="false" ht="15" hidden="false" customHeight="false" outlineLevel="0" collapsed="false">
      <c r="A20" s="0" t="s">
        <v>114</v>
      </c>
      <c r="B20" s="3" t="n">
        <v>10</v>
      </c>
    </row>
    <row r="21" customFormat="false" ht="15" hidden="false" customHeight="false" outlineLevel="0" collapsed="false">
      <c r="A21" s="0" t="s">
        <v>115</v>
      </c>
      <c r="B21" s="3" t="n">
        <v>2</v>
      </c>
    </row>
    <row r="22" customFormat="false" ht="15" hidden="false" customHeight="false" outlineLevel="0" collapsed="false">
      <c r="A22" s="0" t="s">
        <v>116</v>
      </c>
      <c r="B22" s="3" t="n">
        <v>15</v>
      </c>
    </row>
    <row r="23" customFormat="false" ht="15" hidden="false" customHeight="false" outlineLevel="0" collapsed="false">
      <c r="A23" s="0" t="s">
        <v>117</v>
      </c>
      <c r="B23" s="3" t="n">
        <v>0</v>
      </c>
    </row>
    <row r="24" customFormat="false" ht="15" hidden="false" customHeight="false" outlineLevel="0" collapsed="false">
      <c r="A24" s="0" t="s">
        <v>118</v>
      </c>
      <c r="B24" s="3" t="n">
        <v>0.2</v>
      </c>
    </row>
    <row r="26" customFormat="false" ht="15" hidden="false" customHeight="false" outlineLevel="0" collapsed="false">
      <c r="A26" s="2" t="s">
        <v>119</v>
      </c>
      <c r="C26" s="2" t="s">
        <v>97</v>
      </c>
      <c r="D26" s="2" t="s">
        <v>98</v>
      </c>
      <c r="E26" s="2" t="s">
        <v>99</v>
      </c>
      <c r="F26" s="2" t="s">
        <v>100</v>
      </c>
      <c r="G26" s="2" t="s">
        <v>101</v>
      </c>
      <c r="H26" s="2" t="s">
        <v>102</v>
      </c>
      <c r="I26" s="2" t="s">
        <v>103</v>
      </c>
      <c r="J26" s="2" t="s">
        <v>104</v>
      </c>
      <c r="K26" s="2" t="s">
        <v>105</v>
      </c>
      <c r="L26" s="2" t="s">
        <v>106</v>
      </c>
    </row>
    <row r="27" customFormat="false" ht="15" hidden="false" customHeight="false" outlineLevel="0" collapsed="false">
      <c r="A27" s="0" t="s">
        <v>107</v>
      </c>
      <c r="C27" s="3" t="n">
        <v>6.5</v>
      </c>
      <c r="D27" s="3" t="n">
        <v>5</v>
      </c>
      <c r="E27" s="3" t="n">
        <v>4.5</v>
      </c>
      <c r="F27" s="3" t="n">
        <v>4</v>
      </c>
      <c r="G27" s="3" t="n">
        <v>3.5</v>
      </c>
      <c r="H27" s="3" t="n">
        <v>3.5</v>
      </c>
      <c r="I27" s="3" t="n">
        <v>3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108</v>
      </c>
      <c r="C28" s="3" t="n">
        <v>41.3</v>
      </c>
      <c r="D28" s="3" t="n">
        <v>41.5</v>
      </c>
      <c r="E28" s="3" t="n">
        <v>41.5</v>
      </c>
      <c r="F28" s="3" t="n">
        <v>41.5</v>
      </c>
      <c r="G28" s="3" t="n">
        <v>41.5</v>
      </c>
      <c r="H28" s="3" t="n">
        <v>41.5</v>
      </c>
      <c r="I28" s="3" t="n">
        <v>41.5</v>
      </c>
      <c r="J28" s="3" t="n">
        <v>41.5</v>
      </c>
      <c r="K28" s="3" t="n">
        <v>41.5</v>
      </c>
      <c r="L28" s="3" t="n">
        <v>41.5</v>
      </c>
    </row>
    <row r="29" customFormat="false" ht="15" hidden="false" customHeight="false" outlineLevel="0" collapsed="false">
      <c r="A29" s="0" t="s">
        <v>109</v>
      </c>
      <c r="C29" s="3" t="n">
        <v>1.15</v>
      </c>
      <c r="D29" s="3" t="n">
        <v>1.15</v>
      </c>
      <c r="E29" s="3" t="n">
        <v>1.15</v>
      </c>
      <c r="F29" s="3" t="n">
        <v>1.15</v>
      </c>
      <c r="G29" s="3" t="n">
        <v>1.15</v>
      </c>
      <c r="H29" s="3" t="n">
        <v>1.15</v>
      </c>
      <c r="I29" s="3" t="n">
        <v>1.15</v>
      </c>
      <c r="J29" s="3" t="n">
        <v>1.15</v>
      </c>
      <c r="K29" s="3" t="n">
        <v>1.15</v>
      </c>
      <c r="L29" s="3" t="n">
        <v>1.15</v>
      </c>
    </row>
    <row r="30" customFormat="false" ht="15" hidden="false" customHeight="false" outlineLevel="0" collapsed="false">
      <c r="A30" s="0" t="s">
        <v>110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111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112</v>
      </c>
      <c r="C32" s="3" t="n">
        <v>8.2</v>
      </c>
      <c r="D32" s="3" t="n">
        <v>8.2</v>
      </c>
      <c r="E32" s="3" t="n">
        <v>7.3</v>
      </c>
      <c r="F32" s="3" t="n">
        <v>7.3</v>
      </c>
      <c r="G32" s="3" t="n">
        <v>6.4</v>
      </c>
      <c r="H32" s="3" t="n">
        <v>6.4</v>
      </c>
      <c r="I32" s="3" t="n">
        <v>5.5</v>
      </c>
      <c r="J32" s="3" t="n">
        <v>5.5</v>
      </c>
      <c r="K32" s="3" t="n">
        <v>4.6</v>
      </c>
      <c r="L32" s="3" t="n">
        <v>4.6</v>
      </c>
    </row>
    <row r="33" customFormat="false" ht="15" hidden="false" customHeight="false" outlineLevel="0" collapsed="false">
      <c r="A33" s="0" t="s">
        <v>113</v>
      </c>
      <c r="C33" s="3" t="n">
        <v>19.5</v>
      </c>
      <c r="D33" s="3" t="n">
        <v>19.5</v>
      </c>
      <c r="E33" s="3" t="n">
        <v>19.5</v>
      </c>
      <c r="F33" s="3" t="n">
        <v>19.5</v>
      </c>
      <c r="G33" s="3" t="n">
        <v>19.5</v>
      </c>
      <c r="H33" s="3" t="n">
        <v>19.5</v>
      </c>
      <c r="I33" s="3" t="n">
        <v>19.5</v>
      </c>
      <c r="J33" s="3" t="n">
        <v>19.5</v>
      </c>
      <c r="K33" s="3" t="n">
        <v>19.5</v>
      </c>
      <c r="L33" s="3" t="n">
        <v>19.5</v>
      </c>
    </row>
    <row r="34" customFormat="false" ht="15" hidden="false" customHeight="false" outlineLevel="0" collapsed="false">
      <c r="A34" s="0" t="s">
        <v>114</v>
      </c>
      <c r="B34" s="3" t="n">
        <v>10</v>
      </c>
    </row>
    <row r="35" customFormat="false" ht="15" hidden="false" customHeight="false" outlineLevel="0" collapsed="false">
      <c r="A35" s="0" t="s">
        <v>115</v>
      </c>
      <c r="B35" s="3" t="n">
        <v>2.5</v>
      </c>
    </row>
    <row r="36" customFormat="false" ht="15" hidden="false" customHeight="false" outlineLevel="0" collapsed="false">
      <c r="A36" s="0" t="s">
        <v>116</v>
      </c>
      <c r="B36" s="3" t="n">
        <v>15</v>
      </c>
    </row>
    <row r="37" customFormat="false" ht="15" hidden="false" customHeight="false" outlineLevel="0" collapsed="false">
      <c r="A37" s="0" t="s">
        <v>117</v>
      </c>
      <c r="B37" s="3" t="n">
        <v>0</v>
      </c>
    </row>
    <row r="38" customFormat="false" ht="15" hidden="false" customHeight="false" outlineLevel="0" collapsed="false">
      <c r="A38" s="0" t="s">
        <v>118</v>
      </c>
      <c r="B38" s="3" t="n">
        <v>0.5</v>
      </c>
    </row>
    <row r="40" customFormat="false" ht="15" hidden="false" customHeight="false" outlineLevel="0" collapsed="false">
      <c r="A40" s="2" t="s">
        <v>120</v>
      </c>
      <c r="C40" s="2" t="s">
        <v>97</v>
      </c>
      <c r="D40" s="2" t="s">
        <v>98</v>
      </c>
      <c r="E40" s="2" t="s">
        <v>99</v>
      </c>
      <c r="F40" s="2" t="s">
        <v>100</v>
      </c>
      <c r="G40" s="2" t="s">
        <v>101</v>
      </c>
      <c r="H40" s="2" t="s">
        <v>102</v>
      </c>
      <c r="I40" s="2" t="s">
        <v>103</v>
      </c>
      <c r="J40" s="2" t="s">
        <v>104</v>
      </c>
      <c r="K40" s="2" t="s">
        <v>105</v>
      </c>
      <c r="L40" s="2" t="s">
        <v>106</v>
      </c>
    </row>
    <row r="41" customFormat="false" ht="15" hidden="false" customHeight="false" outlineLevel="0" collapsed="false">
      <c r="A41" s="0" t="s">
        <v>107</v>
      </c>
      <c r="C41" s="3" t="n">
        <v>8</v>
      </c>
      <c r="D41" s="3" t="n">
        <v>6.5</v>
      </c>
      <c r="E41" s="3" t="n">
        <v>5.5</v>
      </c>
      <c r="F41" s="3" t="n">
        <v>5</v>
      </c>
      <c r="G41" s="3" t="n">
        <v>4.5</v>
      </c>
      <c r="H41" s="3" t="n">
        <v>4</v>
      </c>
      <c r="I41" s="3" t="n">
        <v>3.5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108</v>
      </c>
      <c r="C42" s="3" t="n">
        <v>42.5</v>
      </c>
      <c r="D42" s="3" t="n">
        <v>43.5</v>
      </c>
      <c r="E42" s="3" t="n">
        <v>44.3</v>
      </c>
      <c r="F42" s="3" t="n">
        <v>44.6</v>
      </c>
      <c r="G42" s="3" t="n">
        <v>44.6</v>
      </c>
      <c r="H42" s="3" t="n">
        <v>44.6</v>
      </c>
      <c r="I42" s="3" t="n">
        <v>44.6</v>
      </c>
      <c r="J42" s="3" t="n">
        <v>44.6</v>
      </c>
      <c r="K42" s="3" t="n">
        <v>44.6</v>
      </c>
      <c r="L42" s="3" t="n">
        <v>44.6</v>
      </c>
    </row>
    <row r="43" customFormat="false" ht="15" hidden="false" customHeight="false" outlineLevel="0" collapsed="false">
      <c r="A43" s="0" t="s">
        <v>109</v>
      </c>
      <c r="C43" s="3" t="n">
        <v>1.15</v>
      </c>
      <c r="D43" s="3" t="n">
        <v>1.15</v>
      </c>
      <c r="E43" s="3" t="n">
        <v>1.15</v>
      </c>
      <c r="F43" s="3" t="n">
        <v>1.15</v>
      </c>
      <c r="G43" s="3" t="n">
        <v>1.15</v>
      </c>
      <c r="H43" s="3" t="n">
        <v>1.15</v>
      </c>
      <c r="I43" s="3" t="n">
        <v>1.15</v>
      </c>
      <c r="J43" s="3" t="n">
        <v>1.15</v>
      </c>
      <c r="K43" s="3" t="n">
        <v>1.15</v>
      </c>
      <c r="L43" s="3" t="n">
        <v>1.15</v>
      </c>
    </row>
    <row r="44" customFormat="false" ht="15" hidden="false" customHeight="false" outlineLevel="0" collapsed="false">
      <c r="A44" s="0" t="s">
        <v>110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111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112</v>
      </c>
      <c r="C46" s="3" t="n">
        <v>10.5</v>
      </c>
      <c r="D46" s="3" t="n">
        <v>9.6</v>
      </c>
      <c r="E46" s="3" t="n">
        <v>7.9</v>
      </c>
      <c r="F46" s="3" t="n">
        <v>7.9</v>
      </c>
      <c r="G46" s="3" t="n">
        <v>7</v>
      </c>
      <c r="H46" s="3" t="n">
        <v>6.1</v>
      </c>
      <c r="I46" s="3" t="n">
        <v>5.3</v>
      </c>
      <c r="J46" s="3" t="n">
        <v>5.3</v>
      </c>
      <c r="K46" s="3" t="n">
        <v>5.3</v>
      </c>
      <c r="L46" s="3" t="n">
        <v>5.3</v>
      </c>
    </row>
    <row r="47" customFormat="false" ht="15" hidden="false" customHeight="false" outlineLevel="0" collapsed="false">
      <c r="A47" s="0" t="s">
        <v>113</v>
      </c>
      <c r="C47" s="3" t="n">
        <v>19.5</v>
      </c>
      <c r="D47" s="3" t="n">
        <v>19.5</v>
      </c>
      <c r="E47" s="3" t="n">
        <v>19.5</v>
      </c>
      <c r="F47" s="3" t="n">
        <v>19.5</v>
      </c>
      <c r="G47" s="3" t="n">
        <v>19.5</v>
      </c>
      <c r="H47" s="3" t="n">
        <v>19.5</v>
      </c>
      <c r="I47" s="3" t="n">
        <v>19.5</v>
      </c>
      <c r="J47" s="3" t="n">
        <v>19.5</v>
      </c>
      <c r="K47" s="3" t="n">
        <v>19.5</v>
      </c>
      <c r="L47" s="3" t="n">
        <v>19.5</v>
      </c>
    </row>
    <row r="48" customFormat="false" ht="15" hidden="false" customHeight="false" outlineLevel="0" collapsed="false">
      <c r="A48" s="0" t="s">
        <v>114</v>
      </c>
      <c r="B48" s="3" t="n">
        <v>10</v>
      </c>
    </row>
    <row r="49" customFormat="false" ht="15" hidden="false" customHeight="false" outlineLevel="0" collapsed="false">
      <c r="A49" s="0" t="s">
        <v>115</v>
      </c>
      <c r="B49" s="3" t="n">
        <v>3</v>
      </c>
    </row>
    <row r="50" customFormat="false" ht="15" hidden="false" customHeight="false" outlineLevel="0" collapsed="false">
      <c r="A50" s="0" t="s">
        <v>116</v>
      </c>
      <c r="B50" s="3" t="n">
        <v>15</v>
      </c>
    </row>
    <row r="51" customFormat="false" ht="15" hidden="false" customHeight="false" outlineLevel="0" collapsed="false">
      <c r="A51" s="0" t="s">
        <v>117</v>
      </c>
      <c r="B51" s="3" t="n">
        <v>0</v>
      </c>
    </row>
    <row r="52" customFormat="false" ht="15" hidden="false" customHeight="false" outlineLevel="0" collapsed="false">
      <c r="A52" s="0" t="s">
        <v>118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121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Assumptions!C13</f>
        <v>2</v>
      </c>
      <c r="D5" s="4" t="n">
        <f aca="false">Assumptions!D13</f>
        <v>0</v>
      </c>
      <c r="E5" s="4" t="n">
        <f aca="false">Assumptions!E13</f>
        <v>2.5</v>
      </c>
      <c r="F5" s="4" t="n">
        <f aca="false">Assumptions!F13</f>
        <v>3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26100</v>
      </c>
      <c r="C6" s="0" t="n">
        <f aca="false">B6*(1+C5/100)</f>
        <v>26622</v>
      </c>
      <c r="D6" s="0" t="n">
        <f aca="false">C6*(1+D5/100)</f>
        <v>26622</v>
      </c>
      <c r="E6" s="0" t="n">
        <f aca="false">D6*(1+E5/100)</f>
        <v>27287.55</v>
      </c>
      <c r="F6" s="0" t="n">
        <f aca="false">E6*(1+F5/100)</f>
        <v>28106.1765</v>
      </c>
      <c r="G6" s="0" t="n">
        <f aca="false">F6*(1+G5/100)</f>
        <v>28808.8309125</v>
      </c>
      <c r="H6" s="0" t="n">
        <f aca="false">G6*(1+H5/100)</f>
        <v>29529.0516853125</v>
      </c>
      <c r="I6" s="0" t="n">
        <f aca="false">H6*(1+I5/100)</f>
        <v>30267.2779774453</v>
      </c>
      <c r="J6" s="0" t="n">
        <f aca="false">I6*(1+J5/100)</f>
        <v>30872.6235369942</v>
      </c>
      <c r="K6" s="0" t="n">
        <f aca="false">J6*(1+K5/100)</f>
        <v>31490.0760077341</v>
      </c>
      <c r="L6" s="0" t="n">
        <f aca="false">K6*(1+L5/100)</f>
        <v>32119.8775278888</v>
      </c>
    </row>
    <row r="7" customFormat="false" ht="15" hidden="false" customHeight="false" outlineLevel="0" collapsed="false">
      <c r="A7" s="0" t="s">
        <v>108</v>
      </c>
      <c r="C7" s="4" t="n">
        <f aca="false">Assumptions!C14</f>
        <v>36.6</v>
      </c>
      <c r="D7" s="4" t="n">
        <f aca="false">Assumptions!D14</f>
        <v>32.1</v>
      </c>
      <c r="E7" s="4" t="n">
        <f aca="false">Assumptions!E14</f>
        <v>35.6</v>
      </c>
      <c r="F7" s="4" t="n">
        <f aca="false">Assumptions!F14</f>
        <v>37.1</v>
      </c>
      <c r="G7" s="4" t="n">
        <f aca="false">Assumptions!G14</f>
        <v>37.1</v>
      </c>
      <c r="H7" s="4" t="n">
        <f aca="false">Assumptions!H14</f>
        <v>37.1</v>
      </c>
      <c r="I7" s="4" t="n">
        <f aca="false">Assumptions!I14</f>
        <v>37.1</v>
      </c>
      <c r="J7" s="4" t="n">
        <f aca="false">Assumptions!J14</f>
        <v>37.1</v>
      </c>
      <c r="K7" s="4" t="n">
        <f aca="false">Assumptions!K14</f>
        <v>37.1</v>
      </c>
      <c r="L7" s="4" t="n">
        <f aca="false">Assumptions!L14</f>
        <v>37.1</v>
      </c>
    </row>
    <row r="8" customFormat="false" ht="15" hidden="false" customHeight="false" outlineLevel="0" collapsed="false">
      <c r="A8" s="0" t="s">
        <v>43</v>
      </c>
      <c r="C8" s="0" t="n">
        <f aca="false">C6*C7/100</f>
        <v>9743.652</v>
      </c>
      <c r="D8" s="0" t="n">
        <f aca="false">D6*D7/100</f>
        <v>8545.662</v>
      </c>
      <c r="E8" s="0" t="n">
        <f aca="false">E6*E7/100</f>
        <v>9714.3678</v>
      </c>
      <c r="F8" s="0" t="n">
        <f aca="false">F6*F7/100</f>
        <v>10427.3914815</v>
      </c>
      <c r="G8" s="0" t="n">
        <f aca="false">G6*G7/100</f>
        <v>10688.0762685375</v>
      </c>
      <c r="H8" s="0" t="n">
        <f aca="false">H6*H7/100</f>
        <v>10955.2781752509</v>
      </c>
      <c r="I8" s="0" t="n">
        <f aca="false">I6*I7/100</f>
        <v>11229.1601296322</v>
      </c>
      <c r="J8" s="0" t="n">
        <f aca="false">J6*J7/100</f>
        <v>11453.7433322249</v>
      </c>
      <c r="K8" s="0" t="n">
        <f aca="false">K6*K7/100</f>
        <v>11682.8181988693</v>
      </c>
      <c r="L8" s="0" t="n">
        <f aca="false">L6*L7/100</f>
        <v>11916.4745628467</v>
      </c>
    </row>
    <row r="9" customFormat="false" ht="15" hidden="false" customHeight="false" outlineLevel="0" collapsed="false">
      <c r="A9" s="0" t="s">
        <v>109</v>
      </c>
      <c r="C9" s="4" t="n">
        <f aca="false">Assumptions!C15</f>
        <v>1.15</v>
      </c>
      <c r="D9" s="4" t="n">
        <f aca="false">Assumptions!D15</f>
        <v>1.15</v>
      </c>
      <c r="E9" s="4" t="n">
        <f aca="false">Assumptions!E15</f>
        <v>1.15</v>
      </c>
      <c r="F9" s="4" t="n">
        <f aca="false">Assumptions!F15</f>
        <v>1.15</v>
      </c>
      <c r="G9" s="4" t="n">
        <f aca="false">Assumptions!G15</f>
        <v>1.15</v>
      </c>
      <c r="H9" s="4" t="n">
        <f aca="false">Assumptions!H15</f>
        <v>1.15</v>
      </c>
      <c r="I9" s="4" t="n">
        <f aca="false">Assumptions!I15</f>
        <v>1.15</v>
      </c>
      <c r="J9" s="4" t="n">
        <f aca="false">Assumptions!J15</f>
        <v>1.15</v>
      </c>
      <c r="K9" s="4" t="n">
        <f aca="false">Assumptions!K15</f>
        <v>1.15</v>
      </c>
      <c r="L9" s="4" t="n">
        <f aca="false">Assumptions!L15</f>
        <v>1.15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-306.153</v>
      </c>
      <c r="D10" s="0" t="n">
        <f aca="false">-D6*D9/100</f>
        <v>-306.153</v>
      </c>
      <c r="E10" s="0" t="n">
        <f aca="false">-E6*E9/100</f>
        <v>-313.806825</v>
      </c>
      <c r="F10" s="0" t="n">
        <f aca="false">-F6*F9/100</f>
        <v>-323.22102975</v>
      </c>
      <c r="G10" s="0" t="n">
        <f aca="false">-G6*G9/100</f>
        <v>-331.30155549375</v>
      </c>
      <c r="H10" s="0" t="n">
        <f aca="false">-H6*H9/100</f>
        <v>-339.584094381094</v>
      </c>
      <c r="I10" s="0" t="n">
        <f aca="false">-I6*I9/100</f>
        <v>-348.073696740621</v>
      </c>
      <c r="J10" s="0" t="n">
        <f aca="false">-J6*J9/100</f>
        <v>-355.035170675433</v>
      </c>
      <c r="K10" s="0" t="n">
        <f aca="false">-K6*K9/100</f>
        <v>-362.135874088942</v>
      </c>
      <c r="L10" s="0" t="n">
        <f aca="false">-L6*L9/100</f>
        <v>-369.378591570721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9437.499</v>
      </c>
      <c r="D11" s="0" t="n">
        <f aca="false">D8+D10+D24</f>
        <v>8239.509</v>
      </c>
      <c r="E11" s="0" t="n">
        <f aca="false">E8+E10+E24</f>
        <v>9400.560975</v>
      </c>
      <c r="F11" s="0" t="n">
        <f aca="false">F8+F10+F24</f>
        <v>10104.17045175</v>
      </c>
      <c r="G11" s="0" t="n">
        <f aca="false">G8+G10+G24</f>
        <v>10356.7747130438</v>
      </c>
      <c r="H11" s="0" t="n">
        <f aca="false">H8+H10+H24</f>
        <v>10615.6940808698</v>
      </c>
      <c r="I11" s="0" t="n">
        <f aca="false">I8+I10+I24</f>
        <v>10881.0864328916</v>
      </c>
      <c r="J11" s="0" t="n">
        <f aca="false">J8+J10+J24</f>
        <v>11098.7081615494</v>
      </c>
      <c r="K11" s="0" t="n">
        <f aca="false">K8+K10+K24</f>
        <v>11320.6823247804</v>
      </c>
      <c r="L11" s="0" t="n">
        <f aca="false">L8+L10+L24</f>
        <v>11547.095971276</v>
      </c>
    </row>
    <row r="12" customFormat="false" ht="15" hidden="false" customHeight="false" outlineLevel="0" collapsed="false">
      <c r="A12" s="0" t="s">
        <v>126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9437.499</v>
      </c>
      <c r="D13" s="0" t="n">
        <f aca="false">D11+D12</f>
        <v>8239.509</v>
      </c>
      <c r="E13" s="0" t="n">
        <f aca="false">E11+E12</f>
        <v>9400.560975</v>
      </c>
      <c r="F13" s="0" t="n">
        <f aca="false">F11+F12</f>
        <v>10104.17045175</v>
      </c>
      <c r="G13" s="0" t="n">
        <f aca="false">G11+G12</f>
        <v>10356.7747130438</v>
      </c>
      <c r="H13" s="0" t="n">
        <f aca="false">H11+H12</f>
        <v>10615.6940808698</v>
      </c>
      <c r="I13" s="0" t="n">
        <f aca="false">I11+I12</f>
        <v>10881.0864328916</v>
      </c>
      <c r="J13" s="0" t="n">
        <f aca="false">J11+J12</f>
        <v>11098.7081615494</v>
      </c>
      <c r="K13" s="0" t="n">
        <f aca="false">K11+K12</f>
        <v>11320.6823247804</v>
      </c>
      <c r="L13" s="0" t="n">
        <f aca="false">L11+L12</f>
        <v>11547.095971276</v>
      </c>
    </row>
    <row r="14" customFormat="false" ht="15" hidden="false" customHeight="false" outlineLevel="0" collapsed="false">
      <c r="A14" s="0" t="s">
        <v>113</v>
      </c>
      <c r="C14" s="4" t="n">
        <f aca="false">Assumptions!C19</f>
        <v>19.5</v>
      </c>
      <c r="D14" s="4" t="n">
        <f aca="false">Assumptions!D19</f>
        <v>19.5</v>
      </c>
      <c r="E14" s="4" t="n">
        <f aca="false">Assumptions!E19</f>
        <v>19.5</v>
      </c>
      <c r="F14" s="4" t="n">
        <f aca="false">Assumptions!F19</f>
        <v>19.5</v>
      </c>
      <c r="G14" s="4" t="n">
        <f aca="false">Assumptions!G19</f>
        <v>19.5</v>
      </c>
      <c r="H14" s="4" t="n">
        <f aca="false">Assumptions!H19</f>
        <v>19.5</v>
      </c>
      <c r="I14" s="4" t="n">
        <f aca="false">Assumptions!I19</f>
        <v>19.5</v>
      </c>
      <c r="J14" s="4" t="n">
        <f aca="false">Assumptions!J19</f>
        <v>19.5</v>
      </c>
      <c r="K14" s="4" t="n">
        <f aca="false">Assumptions!K19</f>
        <v>19.5</v>
      </c>
      <c r="L14" s="4" t="n">
        <f aca="false">Assumptions!L19</f>
        <v>19.5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7597.186695</v>
      </c>
      <c r="D15" s="0" t="n">
        <f aca="false">D13-MAX(0,D13)*D14/100</f>
        <v>6632.804745</v>
      </c>
      <c r="E15" s="0" t="n">
        <f aca="false">E13-MAX(0,E13)*E14/100</f>
        <v>7567.451584875</v>
      </c>
      <c r="F15" s="0" t="n">
        <f aca="false">F13-MAX(0,F13)*F14/100</f>
        <v>8133.85721365875</v>
      </c>
      <c r="G15" s="0" t="n">
        <f aca="false">G13-MAX(0,G13)*G14/100</f>
        <v>8337.20364400022</v>
      </c>
      <c r="H15" s="0" t="n">
        <f aca="false">H13-MAX(0,H13)*H14/100</f>
        <v>8545.63373510022</v>
      </c>
      <c r="I15" s="0" t="n">
        <f aca="false">I13-MAX(0,I13)*I14/100</f>
        <v>8759.27457847773</v>
      </c>
      <c r="J15" s="0" t="n">
        <f aca="false">J13-MAX(0,J13)*J14/100</f>
        <v>8934.46007004728</v>
      </c>
      <c r="K15" s="0" t="n">
        <f aca="false">K13-MAX(0,K13)*K14/100</f>
        <v>9113.14927144823</v>
      </c>
      <c r="L15" s="0" t="n">
        <f aca="false">L13-MAX(0,L13)*L14/100</f>
        <v>9295.4122568772</v>
      </c>
    </row>
    <row r="16" customFormat="false" ht="15" hidden="false" customHeight="false" outlineLevel="0" collapsed="false">
      <c r="A16" s="0" t="s">
        <v>129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130</v>
      </c>
      <c r="C17" s="4" t="n">
        <f aca="false">-C6*Assumptions!C18/100</f>
        <v>-1464.21</v>
      </c>
      <c r="D17" s="4" t="n">
        <f aca="false">-D6*Assumptions!D18/100</f>
        <v>-1597.32</v>
      </c>
      <c r="E17" s="4" t="n">
        <f aca="false">-E6*Assumptions!E18/100</f>
        <v>-1500.81525</v>
      </c>
      <c r="F17" s="4" t="n">
        <f aca="false">-F6*Assumptions!F18/100</f>
        <v>-1770.6891195</v>
      </c>
      <c r="G17" s="4" t="n">
        <f aca="false">-G6*Assumptions!G18/100</f>
        <v>-1526.8680383625</v>
      </c>
      <c r="H17" s="4" t="n">
        <f aca="false">-H6*Assumptions!H18/100</f>
        <v>-1565.03973932156</v>
      </c>
      <c r="I17" s="4" t="n">
        <f aca="false">-I6*Assumptions!I18/100</f>
        <v>-1604.1657328046</v>
      </c>
      <c r="J17" s="4" t="n">
        <f aca="false">-J6*Assumptions!J18/100</f>
        <v>-1296.65018855376</v>
      </c>
      <c r="K17" s="4" t="n">
        <f aca="false">-K6*Assumptions!K18/100</f>
        <v>-1322.58319232483</v>
      </c>
      <c r="L17" s="4" t="n">
        <f aca="false">-L6*Assumptions!L18/100</f>
        <v>-1349.03485617133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6132.976695</v>
      </c>
      <c r="D19" s="0" t="n">
        <f aca="false">D15+D16+D17+D18</f>
        <v>5035.484745</v>
      </c>
      <c r="E19" s="0" t="n">
        <f aca="false">E15+E16+E17+E18</f>
        <v>6066.636334875</v>
      </c>
      <c r="F19" s="0" t="n">
        <f aca="false">F15+F16+F17+F18</f>
        <v>6363.16809415875</v>
      </c>
      <c r="G19" s="0" t="n">
        <f aca="false">G15+G16+G17+G18</f>
        <v>6810.33560563772</v>
      </c>
      <c r="H19" s="0" t="n">
        <f aca="false">H15+H16+H17+H18</f>
        <v>6980.59399577866</v>
      </c>
      <c r="I19" s="0" t="n">
        <f aca="false">I15+I16+I17+I18</f>
        <v>7155.10884567313</v>
      </c>
      <c r="J19" s="0" t="n">
        <f aca="false">J15+J16+J17+J18</f>
        <v>7637.80988149353</v>
      </c>
      <c r="K19" s="0" t="n">
        <f aca="false">K15+K16+K17+K18</f>
        <v>7790.56607912339</v>
      </c>
      <c r="L19" s="0" t="n">
        <f aca="false">L15+L16+L17+L18</f>
        <v>7946.37740070587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5575.43335909091</v>
      </c>
      <c r="D21" s="0" t="n">
        <f aca="false">D19*D20</f>
        <v>4161.55764049587</v>
      </c>
      <c r="E21" s="0" t="n">
        <f aca="false">E19*E20</f>
        <v>4557.95367007889</v>
      </c>
      <c r="F21" s="0" t="n">
        <f aca="false">F19*F20</f>
        <v>4346.12942706014</v>
      </c>
      <c r="G21" s="0" t="n">
        <f aca="false">G19*G20</f>
        <v>4228.68259472944</v>
      </c>
      <c r="H21" s="0" t="n">
        <f aca="false">H19*H20</f>
        <v>3940.36332690698</v>
      </c>
      <c r="I21" s="0" t="n">
        <f aca="false">I19*I20</f>
        <v>3671.7021909815</v>
      </c>
      <c r="J21" s="0" t="n">
        <f aca="false">J19*J20</f>
        <v>3563.09467835556</v>
      </c>
      <c r="K21" s="0" t="n">
        <f aca="false">K19*K20</f>
        <v>3303.9605199297</v>
      </c>
      <c r="L21" s="0" t="n">
        <f aca="false">L19*L20</f>
        <v>3063.67248211663</v>
      </c>
    </row>
    <row r="23" customFormat="false" ht="15" hidden="false" customHeight="false" outlineLevel="0" collapsed="false">
      <c r="A23" s="0" t="s">
        <v>110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115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116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40412.5498897456</v>
      </c>
    </row>
    <row r="31" customFormat="false" ht="15" hidden="false" customHeight="false" outlineLevel="0" collapsed="false">
      <c r="A31" s="0" t="s">
        <v>138</v>
      </c>
      <c r="B31" s="0" t="n">
        <f aca="false">L19</f>
        <v>7946.37740070587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101316.311859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119195.661010588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101316.311859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39061.824146987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79474.3740367326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73544.3740367326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184.92424952661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-0.162291055372097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2025.50628003231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1815.74582479755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194.582917127389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62348.4996055383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105.653906190604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Assumptions!C27</f>
        <v>6.5</v>
      </c>
      <c r="D5" s="4" t="n">
        <f aca="false">Assumptions!D27</f>
        <v>5</v>
      </c>
      <c r="E5" s="4" t="n">
        <f aca="false">Assumptions!E27</f>
        <v>4.5</v>
      </c>
      <c r="F5" s="4" t="n">
        <f aca="false">Assumptions!F27</f>
        <v>4</v>
      </c>
      <c r="G5" s="4" t="n">
        <f aca="false">Assumptions!G27</f>
        <v>3.5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26100</v>
      </c>
      <c r="C6" s="0" t="n">
        <f aca="false">B6*(1+C5/100)</f>
        <v>27796.5</v>
      </c>
      <c r="D6" s="0" t="n">
        <f aca="false">C6*(1+D5/100)</f>
        <v>29186.325</v>
      </c>
      <c r="E6" s="0" t="n">
        <f aca="false">D6*(1+E5/100)</f>
        <v>30499.709625</v>
      </c>
      <c r="F6" s="0" t="n">
        <f aca="false">E6*(1+F5/100)</f>
        <v>31719.69801</v>
      </c>
      <c r="G6" s="0" t="n">
        <f aca="false">F6*(1+G5/100)</f>
        <v>32829.88744035</v>
      </c>
      <c r="H6" s="0" t="n">
        <f aca="false">G6*(1+H5/100)</f>
        <v>33978.9335007622</v>
      </c>
      <c r="I6" s="0" t="n">
        <f aca="false">H6*(1+I5/100)</f>
        <v>34998.3015057851</v>
      </c>
      <c r="J6" s="0" t="n">
        <f aca="false">I6*(1+J5/100)</f>
        <v>36048.2505509587</v>
      </c>
      <c r="K6" s="0" t="n">
        <f aca="false">J6*(1+K5/100)</f>
        <v>36949.4568147326</v>
      </c>
      <c r="L6" s="0" t="n">
        <f aca="false">K6*(1+L5/100)</f>
        <v>37873.1932351009</v>
      </c>
    </row>
    <row r="7" customFormat="false" ht="15" hidden="false" customHeight="false" outlineLevel="0" collapsed="false">
      <c r="A7" s="0" t="s">
        <v>108</v>
      </c>
      <c r="C7" s="4" t="n">
        <f aca="false">Assumptions!C28</f>
        <v>41.3</v>
      </c>
      <c r="D7" s="4" t="n">
        <f aca="false">Assumptions!D28</f>
        <v>41.5</v>
      </c>
      <c r="E7" s="4" t="n">
        <f aca="false">Assumptions!E28</f>
        <v>41.5</v>
      </c>
      <c r="F7" s="4" t="n">
        <f aca="false">Assumptions!F28</f>
        <v>41.5</v>
      </c>
      <c r="G7" s="4" t="n">
        <f aca="false">Assumptions!G28</f>
        <v>41.5</v>
      </c>
      <c r="H7" s="4" t="n">
        <f aca="false">Assumptions!H28</f>
        <v>41.5</v>
      </c>
      <c r="I7" s="4" t="n">
        <f aca="false">Assumptions!I28</f>
        <v>41.5</v>
      </c>
      <c r="J7" s="4" t="n">
        <f aca="false">Assumptions!J28</f>
        <v>41.5</v>
      </c>
      <c r="K7" s="4" t="n">
        <f aca="false">Assumptions!K28</f>
        <v>41.5</v>
      </c>
      <c r="L7" s="4" t="n">
        <f aca="false">Assumptions!L28</f>
        <v>41.5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11479.9545</v>
      </c>
      <c r="D8" s="0" t="n">
        <f aca="false">D6*D7/100</f>
        <v>12112.324875</v>
      </c>
      <c r="E8" s="0" t="n">
        <f aca="false">E6*E7/100</f>
        <v>12657.379494375</v>
      </c>
      <c r="F8" s="0" t="n">
        <f aca="false">F6*F7/100</f>
        <v>13163.67467415</v>
      </c>
      <c r="G8" s="0" t="n">
        <f aca="false">G6*G7/100</f>
        <v>13624.4032877452</v>
      </c>
      <c r="H8" s="0" t="n">
        <f aca="false">H6*H7/100</f>
        <v>14101.2574028163</v>
      </c>
      <c r="I8" s="0" t="n">
        <f aca="false">I6*I7/100</f>
        <v>14524.2951249008</v>
      </c>
      <c r="J8" s="0" t="n">
        <f aca="false">J6*J7/100</f>
        <v>14960.0239786478</v>
      </c>
      <c r="K8" s="0" t="n">
        <f aca="false">K6*K7/100</f>
        <v>15334.024578114</v>
      </c>
      <c r="L8" s="0" t="n">
        <f aca="false">L6*L7/100</f>
        <v>15717.3751925669</v>
      </c>
    </row>
    <row r="9" customFormat="false" ht="15" hidden="false" customHeight="false" outlineLevel="0" collapsed="false">
      <c r="A9" s="0" t="s">
        <v>109</v>
      </c>
      <c r="C9" s="4" t="n">
        <f aca="false">Assumptions!C29</f>
        <v>1.15</v>
      </c>
      <c r="D9" s="4" t="n">
        <f aca="false">Assumptions!D29</f>
        <v>1.15</v>
      </c>
      <c r="E9" s="4" t="n">
        <f aca="false">Assumptions!E29</f>
        <v>1.15</v>
      </c>
      <c r="F9" s="4" t="n">
        <f aca="false">Assumptions!F29</f>
        <v>1.15</v>
      </c>
      <c r="G9" s="4" t="n">
        <f aca="false">Assumptions!G29</f>
        <v>1.15</v>
      </c>
      <c r="H9" s="4" t="n">
        <f aca="false">Assumptions!H29</f>
        <v>1.15</v>
      </c>
      <c r="I9" s="4" t="n">
        <f aca="false">Assumptions!I29</f>
        <v>1.15</v>
      </c>
      <c r="J9" s="4" t="n">
        <f aca="false">Assumptions!J29</f>
        <v>1.15</v>
      </c>
      <c r="K9" s="4" t="n">
        <f aca="false">Assumptions!K29</f>
        <v>1.15</v>
      </c>
      <c r="L9" s="4" t="n">
        <f aca="false">Assumptions!L29</f>
        <v>1.15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-319.65975</v>
      </c>
      <c r="D10" s="0" t="n">
        <f aca="false">-D6*D9/100</f>
        <v>-335.6427375</v>
      </c>
      <c r="E10" s="0" t="n">
        <f aca="false">-E6*E9/100</f>
        <v>-350.7466606875</v>
      </c>
      <c r="F10" s="0" t="n">
        <f aca="false">-F6*F9/100</f>
        <v>-364.776527115</v>
      </c>
      <c r="G10" s="0" t="n">
        <f aca="false">-G6*G9/100</f>
        <v>-377.543705564025</v>
      </c>
      <c r="H10" s="0" t="n">
        <f aca="false">-H6*H9/100</f>
        <v>-390.757735258766</v>
      </c>
      <c r="I10" s="0" t="n">
        <f aca="false">-I6*I9/100</f>
        <v>-402.480467316529</v>
      </c>
      <c r="J10" s="0" t="n">
        <f aca="false">-J6*J9/100</f>
        <v>-414.554881336025</v>
      </c>
      <c r="K10" s="0" t="n">
        <f aca="false">-K6*K9/100</f>
        <v>-424.918753369425</v>
      </c>
      <c r="L10" s="0" t="n">
        <f aca="false">-L6*L9/100</f>
        <v>-435.541722203661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11160.29475</v>
      </c>
      <c r="D11" s="0" t="n">
        <f aca="false">D8+D10+D24</f>
        <v>11776.6821375</v>
      </c>
      <c r="E11" s="0" t="n">
        <f aca="false">E8+E10+E24</f>
        <v>12306.6328336875</v>
      </c>
      <c r="F11" s="0" t="n">
        <f aca="false">F8+F10+F24</f>
        <v>12798.898147035</v>
      </c>
      <c r="G11" s="0" t="n">
        <f aca="false">G8+G10+G24</f>
        <v>13246.8595821812</v>
      </c>
      <c r="H11" s="0" t="n">
        <f aca="false">H8+H10+H24</f>
        <v>13710.4996675576</v>
      </c>
      <c r="I11" s="0" t="n">
        <f aca="false">I8+I10+I24</f>
        <v>14121.8146575843</v>
      </c>
      <c r="J11" s="0" t="n">
        <f aca="false">J8+J10+J24</f>
        <v>14545.4690973118</v>
      </c>
      <c r="K11" s="0" t="n">
        <f aca="false">K8+K10+K24</f>
        <v>14909.1058247446</v>
      </c>
      <c r="L11" s="0" t="n">
        <f aca="false">L8+L10+L24</f>
        <v>15281.8334703632</v>
      </c>
    </row>
    <row r="12" customFormat="false" ht="15" hidden="false" customHeight="false" outlineLevel="0" collapsed="false">
      <c r="A12" s="0" t="s">
        <v>126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11160.29475</v>
      </c>
      <c r="D13" s="0" t="n">
        <f aca="false">D11+D12</f>
        <v>11776.6821375</v>
      </c>
      <c r="E13" s="0" t="n">
        <f aca="false">E11+E12</f>
        <v>12306.6328336875</v>
      </c>
      <c r="F13" s="0" t="n">
        <f aca="false">F11+F12</f>
        <v>12798.898147035</v>
      </c>
      <c r="G13" s="0" t="n">
        <f aca="false">G11+G12</f>
        <v>13246.8595821812</v>
      </c>
      <c r="H13" s="0" t="n">
        <f aca="false">H11+H12</f>
        <v>13710.4996675576</v>
      </c>
      <c r="I13" s="0" t="n">
        <f aca="false">I11+I12</f>
        <v>14121.8146575843</v>
      </c>
      <c r="J13" s="0" t="n">
        <f aca="false">J11+J12</f>
        <v>14545.4690973118</v>
      </c>
      <c r="K13" s="0" t="n">
        <f aca="false">K11+K12</f>
        <v>14909.1058247446</v>
      </c>
      <c r="L13" s="0" t="n">
        <f aca="false">L11+L12</f>
        <v>15281.8334703632</v>
      </c>
    </row>
    <row r="14" customFormat="false" ht="15" hidden="false" customHeight="false" outlineLevel="0" collapsed="false">
      <c r="A14" s="0" t="s">
        <v>113</v>
      </c>
      <c r="C14" s="4" t="n">
        <f aca="false">Assumptions!C33</f>
        <v>19.5</v>
      </c>
      <c r="D14" s="4" t="n">
        <f aca="false">Assumptions!D33</f>
        <v>19.5</v>
      </c>
      <c r="E14" s="4" t="n">
        <f aca="false">Assumptions!E33</f>
        <v>19.5</v>
      </c>
      <c r="F14" s="4" t="n">
        <f aca="false">Assumptions!F33</f>
        <v>19.5</v>
      </c>
      <c r="G14" s="4" t="n">
        <f aca="false">Assumptions!G33</f>
        <v>19.5</v>
      </c>
      <c r="H14" s="4" t="n">
        <f aca="false">Assumptions!H33</f>
        <v>19.5</v>
      </c>
      <c r="I14" s="4" t="n">
        <f aca="false">Assumptions!I33</f>
        <v>19.5</v>
      </c>
      <c r="J14" s="4" t="n">
        <f aca="false">Assumptions!J33</f>
        <v>19.5</v>
      </c>
      <c r="K14" s="4" t="n">
        <f aca="false">Assumptions!K33</f>
        <v>19.5</v>
      </c>
      <c r="L14" s="4" t="n">
        <f aca="false">Assumptions!L33</f>
        <v>19.5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8984.03727375</v>
      </c>
      <c r="D15" s="0" t="n">
        <f aca="false">D13-MAX(0,D13)*D14/100</f>
        <v>9480.2291206875</v>
      </c>
      <c r="E15" s="0" t="n">
        <f aca="false">E13-MAX(0,E13)*E14/100</f>
        <v>9906.83943111844</v>
      </c>
      <c r="F15" s="0" t="n">
        <f aca="false">F13-MAX(0,F13)*F14/100</f>
        <v>10303.1130083632</v>
      </c>
      <c r="G15" s="0" t="n">
        <f aca="false">G13-MAX(0,G13)*G14/100</f>
        <v>10663.7219636559</v>
      </c>
      <c r="H15" s="0" t="n">
        <f aca="false">H13-MAX(0,H13)*H14/100</f>
        <v>11036.9522323838</v>
      </c>
      <c r="I15" s="0" t="n">
        <f aca="false">I13-MAX(0,I13)*I14/100</f>
        <v>11368.0607993554</v>
      </c>
      <c r="J15" s="0" t="n">
        <f aca="false">J13-MAX(0,J13)*J14/100</f>
        <v>11709.102623336</v>
      </c>
      <c r="K15" s="0" t="n">
        <f aca="false">K13-MAX(0,K13)*K14/100</f>
        <v>12001.8301889194</v>
      </c>
      <c r="L15" s="0" t="n">
        <f aca="false">L13-MAX(0,L13)*L14/100</f>
        <v>12301.8759436424</v>
      </c>
    </row>
    <row r="16" customFormat="false" ht="15" hidden="false" customHeight="false" outlineLevel="0" collapsed="false">
      <c r="A16" s="0" t="s">
        <v>129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130</v>
      </c>
      <c r="C17" s="4" t="n">
        <f aca="false">-C6*Assumptions!C32/100</f>
        <v>-2279.313</v>
      </c>
      <c r="D17" s="4" t="n">
        <f aca="false">-D6*Assumptions!D32/100</f>
        <v>-2393.27865</v>
      </c>
      <c r="E17" s="4" t="n">
        <f aca="false">-E6*Assumptions!E32/100</f>
        <v>-2226.478802625</v>
      </c>
      <c r="F17" s="4" t="n">
        <f aca="false">-F6*Assumptions!F32/100</f>
        <v>-2315.53795473</v>
      </c>
      <c r="G17" s="4" t="n">
        <f aca="false">-G6*Assumptions!G32/100</f>
        <v>-2101.1127961824</v>
      </c>
      <c r="H17" s="4" t="n">
        <f aca="false">-H6*Assumptions!H32/100</f>
        <v>-2174.65174404878</v>
      </c>
      <c r="I17" s="4" t="n">
        <f aca="false">-I6*Assumptions!I32/100</f>
        <v>-1924.90658281818</v>
      </c>
      <c r="J17" s="4" t="n">
        <f aca="false">-J6*Assumptions!J32/100</f>
        <v>-1982.65378030273</v>
      </c>
      <c r="K17" s="4" t="n">
        <f aca="false">-K6*Assumptions!K32/100</f>
        <v>-1699.6750134777</v>
      </c>
      <c r="L17" s="4" t="n">
        <f aca="false">-L6*Assumptions!L32/100</f>
        <v>-1742.16688881464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6704.72427375</v>
      </c>
      <c r="D19" s="0" t="n">
        <f aca="false">D15+D16+D17+D18</f>
        <v>7086.9504706875</v>
      </c>
      <c r="E19" s="0" t="n">
        <f aca="false">E15+E16+E17+E18</f>
        <v>7680.36062849344</v>
      </c>
      <c r="F19" s="0" t="n">
        <f aca="false">F15+F16+F17+F18</f>
        <v>7987.57505363318</v>
      </c>
      <c r="G19" s="0" t="n">
        <f aca="false">G15+G16+G17+G18</f>
        <v>8562.60916747349</v>
      </c>
      <c r="H19" s="0" t="n">
        <f aca="false">H15+H16+H17+H18</f>
        <v>8862.30048833506</v>
      </c>
      <c r="I19" s="0" t="n">
        <f aca="false">I15+I16+I17+I18</f>
        <v>9443.15421653717</v>
      </c>
      <c r="J19" s="0" t="n">
        <f aca="false">J15+J16+J17+J18</f>
        <v>9726.44884303329</v>
      </c>
      <c r="K19" s="0" t="n">
        <f aca="false">K15+K16+K17+K18</f>
        <v>10302.1551754417</v>
      </c>
      <c r="L19" s="0" t="n">
        <f aca="false">L15+L16+L17+L18</f>
        <v>10559.7090548278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6095.20388522727</v>
      </c>
      <c r="D21" s="0" t="n">
        <f aca="false">D19*D20</f>
        <v>5856.98386007231</v>
      </c>
      <c r="E21" s="0" t="n">
        <f aca="false">E19*E20</f>
        <v>5770.36861644886</v>
      </c>
      <c r="F21" s="0" t="n">
        <f aca="false">F19*F20</f>
        <v>5455.62123736983</v>
      </c>
      <c r="G21" s="0" t="n">
        <f aca="false">G19*G20</f>
        <v>5316.70661310609</v>
      </c>
      <c r="H21" s="0" t="n">
        <f aca="false">H19*H20</f>
        <v>5002.537585968</v>
      </c>
      <c r="I21" s="0" t="n">
        <f aca="false">I19*I20</f>
        <v>4845.83124792058</v>
      </c>
      <c r="J21" s="0" t="n">
        <f aca="false">J19*J20</f>
        <v>4537.46016850745</v>
      </c>
      <c r="K21" s="0" t="n">
        <f aca="false">K19*K20</f>
        <v>4369.1194740086</v>
      </c>
      <c r="L21" s="0" t="n">
        <f aca="false">L19*L20</f>
        <v>4071.2249644171</v>
      </c>
    </row>
    <row r="23" customFormat="false" ht="15" hidden="false" customHeight="false" outlineLevel="0" collapsed="false">
      <c r="A23" s="0" t="s">
        <v>110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115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116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51321.0576530461</v>
      </c>
    </row>
    <row r="31" customFormat="false" ht="15" hidden="false" customHeight="false" outlineLevel="0" collapsed="false">
      <c r="A31" s="0" t="s">
        <v>138</v>
      </c>
      <c r="B31" s="0" t="n">
        <f aca="false">L19</f>
        <v>10559.7090548278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144316.023749313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158395.635822416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144316.023749313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55640.0745137004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106961.132166746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101031.132166746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254.038552091392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0.150797517967799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2283.71264077611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2294.90923958343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265.551305122218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86589.6142495876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142.409720530378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Assumptions!C41</f>
        <v>8</v>
      </c>
      <c r="D5" s="4" t="n">
        <f aca="false">Assumptions!D41</f>
        <v>6.5</v>
      </c>
      <c r="E5" s="4" t="n">
        <f aca="false">Assumptions!E41</f>
        <v>5.5</v>
      </c>
      <c r="F5" s="4" t="n">
        <f aca="false">Assumptions!F41</f>
        <v>5</v>
      </c>
      <c r="G5" s="4" t="n">
        <f aca="false">Assumptions!G41</f>
        <v>4.5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26100</v>
      </c>
      <c r="C6" s="0" t="n">
        <f aca="false">B6*(1+C5/100)</f>
        <v>28188</v>
      </c>
      <c r="D6" s="0" t="n">
        <f aca="false">C6*(1+D5/100)</f>
        <v>30020.22</v>
      </c>
      <c r="E6" s="0" t="n">
        <f aca="false">D6*(1+E5/100)</f>
        <v>31671.3321</v>
      </c>
      <c r="F6" s="0" t="n">
        <f aca="false">E6*(1+F5/100)</f>
        <v>33254.898705</v>
      </c>
      <c r="G6" s="0" t="n">
        <f aca="false">F6*(1+G5/100)</f>
        <v>34751.369146725</v>
      </c>
      <c r="H6" s="0" t="n">
        <f aca="false">G6*(1+H5/100)</f>
        <v>36141.423912594</v>
      </c>
      <c r="I6" s="0" t="n">
        <f aca="false">H6*(1+I5/100)</f>
        <v>37406.3737495348</v>
      </c>
      <c r="J6" s="0" t="n">
        <f aca="false">I6*(1+J5/100)</f>
        <v>38715.5968307685</v>
      </c>
      <c r="K6" s="0" t="n">
        <f aca="false">J6*(1+K5/100)</f>
        <v>39877.0647356916</v>
      </c>
      <c r="L6" s="0" t="n">
        <f aca="false">K6*(1+L5/100)</f>
        <v>41073.3766777623</v>
      </c>
    </row>
    <row r="7" customFormat="false" ht="15" hidden="false" customHeight="false" outlineLevel="0" collapsed="false">
      <c r="A7" s="0" t="s">
        <v>108</v>
      </c>
      <c r="C7" s="4" t="n">
        <f aca="false">Assumptions!C42</f>
        <v>42.5</v>
      </c>
      <c r="D7" s="4" t="n">
        <f aca="false">Assumptions!D42</f>
        <v>43.5</v>
      </c>
      <c r="E7" s="4" t="n">
        <f aca="false">Assumptions!E42</f>
        <v>44.3</v>
      </c>
      <c r="F7" s="4" t="n">
        <f aca="false">Assumptions!F42</f>
        <v>44.6</v>
      </c>
      <c r="G7" s="4" t="n">
        <f aca="false">Assumptions!G42</f>
        <v>44.6</v>
      </c>
      <c r="H7" s="4" t="n">
        <f aca="false">Assumptions!H42</f>
        <v>44.6</v>
      </c>
      <c r="I7" s="4" t="n">
        <f aca="false">Assumptions!I42</f>
        <v>44.6</v>
      </c>
      <c r="J7" s="4" t="n">
        <f aca="false">Assumptions!J42</f>
        <v>44.6</v>
      </c>
      <c r="K7" s="4" t="n">
        <f aca="false">Assumptions!K42</f>
        <v>44.6</v>
      </c>
      <c r="L7" s="4" t="n">
        <f aca="false">Assumptions!L42</f>
        <v>44.6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11979.9</v>
      </c>
      <c r="D8" s="0" t="n">
        <f aca="false">D6*D7/100</f>
        <v>13058.7957</v>
      </c>
      <c r="E8" s="0" t="n">
        <f aca="false">E6*E7/100</f>
        <v>14030.4001203</v>
      </c>
      <c r="F8" s="0" t="n">
        <f aca="false">F6*F7/100</f>
        <v>14831.68482243</v>
      </c>
      <c r="G8" s="0" t="n">
        <f aca="false">G6*G7/100</f>
        <v>15499.1106394393</v>
      </c>
      <c r="H8" s="0" t="n">
        <f aca="false">H6*H7/100</f>
        <v>16119.0750650169</v>
      </c>
      <c r="I8" s="0" t="n">
        <f aca="false">I6*I7/100</f>
        <v>16683.2426922925</v>
      </c>
      <c r="J8" s="0" t="n">
        <f aca="false">J6*J7/100</f>
        <v>17267.1561865228</v>
      </c>
      <c r="K8" s="0" t="n">
        <f aca="false">K6*K7/100</f>
        <v>17785.1708721184</v>
      </c>
      <c r="L8" s="0" t="n">
        <f aca="false">L6*L7/100</f>
        <v>18318.725998282</v>
      </c>
    </row>
    <row r="9" customFormat="false" ht="15" hidden="false" customHeight="false" outlineLevel="0" collapsed="false">
      <c r="A9" s="0" t="s">
        <v>109</v>
      </c>
      <c r="C9" s="4" t="n">
        <f aca="false">Assumptions!C43</f>
        <v>1.15</v>
      </c>
      <c r="D9" s="4" t="n">
        <f aca="false">Assumptions!D43</f>
        <v>1.15</v>
      </c>
      <c r="E9" s="4" t="n">
        <f aca="false">Assumptions!E43</f>
        <v>1.15</v>
      </c>
      <c r="F9" s="4" t="n">
        <f aca="false">Assumptions!F43</f>
        <v>1.15</v>
      </c>
      <c r="G9" s="4" t="n">
        <f aca="false">Assumptions!G43</f>
        <v>1.15</v>
      </c>
      <c r="H9" s="4" t="n">
        <f aca="false">Assumptions!H43</f>
        <v>1.15</v>
      </c>
      <c r="I9" s="4" t="n">
        <f aca="false">Assumptions!I43</f>
        <v>1.15</v>
      </c>
      <c r="J9" s="4" t="n">
        <f aca="false">Assumptions!J43</f>
        <v>1.15</v>
      </c>
      <c r="K9" s="4" t="n">
        <f aca="false">Assumptions!K43</f>
        <v>1.15</v>
      </c>
      <c r="L9" s="4" t="n">
        <f aca="false">Assumptions!L43</f>
        <v>1.15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-324.162</v>
      </c>
      <c r="D10" s="0" t="n">
        <f aca="false">-D6*D9/100</f>
        <v>-345.23253</v>
      </c>
      <c r="E10" s="0" t="n">
        <f aca="false">-E6*E9/100</f>
        <v>-364.22031915</v>
      </c>
      <c r="F10" s="0" t="n">
        <f aca="false">-F6*F9/100</f>
        <v>-382.4313351075</v>
      </c>
      <c r="G10" s="0" t="n">
        <f aca="false">-G6*G9/100</f>
        <v>-399.640745187338</v>
      </c>
      <c r="H10" s="0" t="n">
        <f aca="false">-H6*H9/100</f>
        <v>-415.626374994831</v>
      </c>
      <c r="I10" s="0" t="n">
        <f aca="false">-I6*I9/100</f>
        <v>-430.17329811965</v>
      </c>
      <c r="J10" s="0" t="n">
        <f aca="false">-J6*J9/100</f>
        <v>-445.229363553838</v>
      </c>
      <c r="K10" s="0" t="n">
        <f aca="false">-K6*K9/100</f>
        <v>-458.586244460453</v>
      </c>
      <c r="L10" s="0" t="n">
        <f aca="false">-L6*L9/100</f>
        <v>-472.343831794266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11655.738</v>
      </c>
      <c r="D11" s="0" t="n">
        <f aca="false">D8+D10+D24</f>
        <v>12713.56317</v>
      </c>
      <c r="E11" s="0" t="n">
        <f aca="false">E8+E10+E24</f>
        <v>13666.17980115</v>
      </c>
      <c r="F11" s="0" t="n">
        <f aca="false">F8+F10+F24</f>
        <v>14449.2534873225</v>
      </c>
      <c r="G11" s="0" t="n">
        <f aca="false">G8+G10+G24</f>
        <v>15099.469894252</v>
      </c>
      <c r="H11" s="0" t="n">
        <f aca="false">H8+H10+H24</f>
        <v>15703.4486900221</v>
      </c>
      <c r="I11" s="0" t="n">
        <f aca="false">I8+I10+I24</f>
        <v>16253.0693941729</v>
      </c>
      <c r="J11" s="0" t="n">
        <f aca="false">J8+J10+J24</f>
        <v>16821.9268229689</v>
      </c>
      <c r="K11" s="0" t="n">
        <f aca="false">K8+K10+K24</f>
        <v>17326.584627658</v>
      </c>
      <c r="L11" s="0" t="n">
        <f aca="false">L8+L10+L24</f>
        <v>17846.3821664877</v>
      </c>
    </row>
    <row r="12" customFormat="false" ht="15" hidden="false" customHeight="false" outlineLevel="0" collapsed="false">
      <c r="A12" s="0" t="s">
        <v>126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11655.738</v>
      </c>
      <c r="D13" s="0" t="n">
        <f aca="false">D11+D12</f>
        <v>12713.56317</v>
      </c>
      <c r="E13" s="0" t="n">
        <f aca="false">E11+E12</f>
        <v>13666.17980115</v>
      </c>
      <c r="F13" s="0" t="n">
        <f aca="false">F11+F12</f>
        <v>14449.2534873225</v>
      </c>
      <c r="G13" s="0" t="n">
        <f aca="false">G11+G12</f>
        <v>15099.469894252</v>
      </c>
      <c r="H13" s="0" t="n">
        <f aca="false">H11+H12</f>
        <v>15703.4486900221</v>
      </c>
      <c r="I13" s="0" t="n">
        <f aca="false">I11+I12</f>
        <v>16253.0693941729</v>
      </c>
      <c r="J13" s="0" t="n">
        <f aca="false">J11+J12</f>
        <v>16821.9268229689</v>
      </c>
      <c r="K13" s="0" t="n">
        <f aca="false">K11+K12</f>
        <v>17326.584627658</v>
      </c>
      <c r="L13" s="0" t="n">
        <f aca="false">L11+L12</f>
        <v>17846.3821664877</v>
      </c>
    </row>
    <row r="14" customFormat="false" ht="15" hidden="false" customHeight="false" outlineLevel="0" collapsed="false">
      <c r="A14" s="0" t="s">
        <v>113</v>
      </c>
      <c r="C14" s="4" t="n">
        <f aca="false">Assumptions!C47</f>
        <v>19.5</v>
      </c>
      <c r="D14" s="4" t="n">
        <f aca="false">Assumptions!D47</f>
        <v>19.5</v>
      </c>
      <c r="E14" s="4" t="n">
        <f aca="false">Assumptions!E47</f>
        <v>19.5</v>
      </c>
      <c r="F14" s="4" t="n">
        <f aca="false">Assumptions!F47</f>
        <v>19.5</v>
      </c>
      <c r="G14" s="4" t="n">
        <f aca="false">Assumptions!G47</f>
        <v>19.5</v>
      </c>
      <c r="H14" s="4" t="n">
        <f aca="false">Assumptions!H47</f>
        <v>19.5</v>
      </c>
      <c r="I14" s="4" t="n">
        <f aca="false">Assumptions!I47</f>
        <v>19.5</v>
      </c>
      <c r="J14" s="4" t="n">
        <f aca="false">Assumptions!J47</f>
        <v>19.5</v>
      </c>
      <c r="K14" s="4" t="n">
        <f aca="false">Assumptions!K47</f>
        <v>19.5</v>
      </c>
      <c r="L14" s="4" t="n">
        <f aca="false">Assumptions!L47</f>
        <v>19.5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9382.86909</v>
      </c>
      <c r="D15" s="0" t="n">
        <f aca="false">D13-MAX(0,D13)*D14/100</f>
        <v>10234.41835185</v>
      </c>
      <c r="E15" s="0" t="n">
        <f aca="false">E13-MAX(0,E13)*E14/100</f>
        <v>11001.2747399258</v>
      </c>
      <c r="F15" s="0" t="n">
        <f aca="false">F13-MAX(0,F13)*F14/100</f>
        <v>11631.6490572946</v>
      </c>
      <c r="G15" s="0" t="n">
        <f aca="false">G13-MAX(0,G13)*G14/100</f>
        <v>12155.0732648729</v>
      </c>
      <c r="H15" s="0" t="n">
        <f aca="false">H13-MAX(0,H13)*H14/100</f>
        <v>12641.2761954678</v>
      </c>
      <c r="I15" s="0" t="n">
        <f aca="false">I13-MAX(0,I13)*I14/100</f>
        <v>13083.7208623092</v>
      </c>
      <c r="J15" s="0" t="n">
        <f aca="false">J13-MAX(0,J13)*J14/100</f>
        <v>13541.65109249</v>
      </c>
      <c r="K15" s="0" t="n">
        <f aca="false">K13-MAX(0,K13)*K14/100</f>
        <v>13947.9006252647</v>
      </c>
      <c r="L15" s="0" t="n">
        <f aca="false">L13-MAX(0,L13)*L14/100</f>
        <v>14366.3376440226</v>
      </c>
    </row>
    <row r="16" customFormat="false" ht="15" hidden="false" customHeight="false" outlineLevel="0" collapsed="false">
      <c r="A16" s="0" t="s">
        <v>129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130</v>
      </c>
      <c r="C17" s="4" t="n">
        <f aca="false">-C6*Assumptions!C46/100</f>
        <v>-2959.74</v>
      </c>
      <c r="D17" s="4" t="n">
        <f aca="false">-D6*Assumptions!D46/100</f>
        <v>-2881.94112</v>
      </c>
      <c r="E17" s="4" t="n">
        <f aca="false">-E6*Assumptions!E46/100</f>
        <v>-2502.0352359</v>
      </c>
      <c r="F17" s="4" t="n">
        <f aca="false">-F6*Assumptions!F46/100</f>
        <v>-2627.136997695</v>
      </c>
      <c r="G17" s="4" t="n">
        <f aca="false">-G6*Assumptions!G46/100</f>
        <v>-2432.59584027075</v>
      </c>
      <c r="H17" s="4" t="n">
        <f aca="false">-H6*Assumptions!H46/100</f>
        <v>-2204.62685866823</v>
      </c>
      <c r="I17" s="4" t="n">
        <f aca="false">-I6*Assumptions!I46/100</f>
        <v>-1982.53780872534</v>
      </c>
      <c r="J17" s="4" t="n">
        <f aca="false">-J6*Assumptions!J46/100</f>
        <v>-2051.92663203073</v>
      </c>
      <c r="K17" s="4" t="n">
        <f aca="false">-K6*Assumptions!K46/100</f>
        <v>-2113.48443099165</v>
      </c>
      <c r="L17" s="4" t="n">
        <f aca="false">-L6*Assumptions!L46/100</f>
        <v>-2176.8889639214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6423.12909</v>
      </c>
      <c r="D19" s="0" t="n">
        <f aca="false">D15+D16+D17+D18</f>
        <v>7352.47723185</v>
      </c>
      <c r="E19" s="0" t="n">
        <f aca="false">E15+E16+E17+E18</f>
        <v>8499.23950402575</v>
      </c>
      <c r="F19" s="0" t="n">
        <f aca="false">F15+F16+F17+F18</f>
        <v>9004.51205959961</v>
      </c>
      <c r="G19" s="0" t="n">
        <f aca="false">G15+G16+G17+G18</f>
        <v>9722.47742460212</v>
      </c>
      <c r="H19" s="0" t="n">
        <f aca="false">H15+H16+H17+H18</f>
        <v>10436.6493367996</v>
      </c>
      <c r="I19" s="0" t="n">
        <f aca="false">I15+I16+I17+I18</f>
        <v>11101.1830535838</v>
      </c>
      <c r="J19" s="0" t="n">
        <f aca="false">J15+J16+J17+J18</f>
        <v>11489.7244604592</v>
      </c>
      <c r="K19" s="0" t="n">
        <f aca="false">K15+K16+K17+K18</f>
        <v>11834.416194273</v>
      </c>
      <c r="L19" s="0" t="n">
        <f aca="false">L15+L16+L17+L18</f>
        <v>12189.4486801012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5839.20826363636</v>
      </c>
      <c r="D21" s="0" t="n">
        <f aca="false">D19*D20</f>
        <v>6076.42746433884</v>
      </c>
      <c r="E21" s="0" t="n">
        <f aca="false">E19*E20</f>
        <v>6385.60443578193</v>
      </c>
      <c r="F21" s="0" t="n">
        <f aca="false">F19*F20</f>
        <v>6150.20289570358</v>
      </c>
      <c r="G21" s="0" t="n">
        <f aca="false">G19*G20</f>
        <v>6036.89354589671</v>
      </c>
      <c r="H21" s="0" t="n">
        <f aca="false">H19*H20</f>
        <v>5891.21646773639</v>
      </c>
      <c r="I21" s="0" t="n">
        <f aca="false">I19*I20</f>
        <v>5696.66220591168</v>
      </c>
      <c r="J21" s="0" t="n">
        <f aca="false">J19*J20</f>
        <v>5360.04125738053</v>
      </c>
      <c r="K21" s="0" t="n">
        <f aca="false">K19*K20</f>
        <v>5018.94772281995</v>
      </c>
      <c r="L21" s="0" t="n">
        <f aca="false">L19*L20</f>
        <v>4699.56014045868</v>
      </c>
    </row>
    <row r="23" customFormat="false" ht="15" hidden="false" customHeight="false" outlineLevel="0" collapsed="false">
      <c r="A23" s="0" t="s">
        <v>110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115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116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57154.7643996647</v>
      </c>
    </row>
    <row r="31" customFormat="false" ht="15" hidden="false" customHeight="false" outlineLevel="0" collapsed="false">
      <c r="A31" s="0" t="s">
        <v>138</v>
      </c>
      <c r="B31" s="0" t="n">
        <f aca="false">L19</f>
        <v>12189.4486801012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179359.030578632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182841.730201518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179359.030578632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69150.6706381777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126305.435037842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120375.435037842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302.678991797441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0.37113926069056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2402.65847845004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2679.6037784466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315.458127469799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104626.101170869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164.61126736856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154</v>
      </c>
    </row>
    <row r="3" customFormat="false" ht="15" hidden="false" customHeight="false" outlineLevel="0" collapsed="false">
      <c r="A3" s="2" t="s">
        <v>155</v>
      </c>
      <c r="B3" s="2" t="s">
        <v>156</v>
      </c>
      <c r="C3" s="2" t="s">
        <v>146</v>
      </c>
      <c r="D3" s="2" t="s">
        <v>157</v>
      </c>
      <c r="E3" s="2" t="s">
        <v>149</v>
      </c>
      <c r="F3" s="2" t="s">
        <v>158</v>
      </c>
    </row>
    <row r="4" customFormat="false" ht="15" hidden="false" customHeight="false" outlineLevel="0" collapsed="false">
      <c r="A4" s="0" t="s">
        <v>159</v>
      </c>
      <c r="B4" s="4" t="n">
        <f aca="false">DCF_Bear!$B$38</f>
        <v>184.92424952661</v>
      </c>
      <c r="C4" s="0" t="n">
        <f aca="false">B4/Assumptions!$B$2-1</f>
        <v>-0.162291055372097</v>
      </c>
      <c r="D4" s="4" t="n">
        <f aca="false">Assumptions!$B$24</f>
        <v>0.2</v>
      </c>
      <c r="E4" s="4" t="n">
        <f aca="false">DCF_Bear!$B$43</f>
        <v>194.582917127389</v>
      </c>
      <c r="F4" s="4" t="n">
        <f aca="false">DCF_Bear!$B$47</f>
        <v>105.653906190604</v>
      </c>
    </row>
    <row r="5" customFormat="false" ht="15" hidden="false" customHeight="false" outlineLevel="0" collapsed="false">
      <c r="A5" s="0" t="s">
        <v>160</v>
      </c>
      <c r="B5" s="4" t="n">
        <f aca="false">DCF_Base!$B$38</f>
        <v>254.038552091392</v>
      </c>
      <c r="C5" s="0" t="n">
        <f aca="false">B5/Assumptions!$B$2-1</f>
        <v>0.150797517967799</v>
      </c>
      <c r="D5" s="4" t="n">
        <f aca="false">Assumptions!$B$38</f>
        <v>0.5</v>
      </c>
      <c r="E5" s="4" t="n">
        <f aca="false">DCF_Base!$B$43</f>
        <v>265.551305122218</v>
      </c>
      <c r="F5" s="4" t="n">
        <f aca="false">DCF_Base!$B$47</f>
        <v>142.409720530378</v>
      </c>
    </row>
    <row r="6" customFormat="false" ht="15" hidden="false" customHeight="false" outlineLevel="0" collapsed="false">
      <c r="A6" s="0" t="s">
        <v>161</v>
      </c>
      <c r="B6" s="4" t="n">
        <f aca="false">DCF_Bull!$B$38</f>
        <v>302.678991797441</v>
      </c>
      <c r="C6" s="0" t="n">
        <f aca="false">B6/Assumptions!$B$2-1</f>
        <v>0.37113926069056</v>
      </c>
      <c r="D6" s="4" t="n">
        <f aca="false">Assumptions!$B$52</f>
        <v>0.3</v>
      </c>
      <c r="E6" s="4" t="n">
        <f aca="false">DCF_Bull!$B$43</f>
        <v>315.458127469799</v>
      </c>
      <c r="F6" s="4" t="n">
        <f aca="false">DCF_Bull!$B$47</f>
        <v>164.61126736856</v>
      </c>
    </row>
    <row r="8" customFormat="false" ht="15" hidden="false" customHeight="false" outlineLevel="0" collapsed="false">
      <c r="A8" s="0" t="s">
        <v>162</v>
      </c>
      <c r="B8" s="0" t="n">
        <f aca="false">SUMPRODUCT(B4:B6,D4:D6)</f>
        <v>254.80782349025</v>
      </c>
    </row>
    <row r="9" customFormat="false" ht="15" hidden="false" customHeight="false" outlineLevel="0" collapsed="false">
      <c r="A9" s="0" t="s">
        <v>163</v>
      </c>
      <c r="B9" s="0" t="n">
        <f aca="false">SUMPRODUCT(E4:E6,D4:D6)</f>
        <v>266.329674227526</v>
      </c>
    </row>
    <row r="10" customFormat="false" ht="15" hidden="false" customHeight="false" outlineLevel="0" collapsed="false">
      <c r="A10" s="0" t="s">
        <v>164</v>
      </c>
      <c r="B10" s="0" t="n">
        <f aca="false">1-Assumptions!$B$2/B8</f>
        <v>0.133660823375595</v>
      </c>
    </row>
    <row r="11" customFormat="false" ht="15" hidden="false" customHeight="false" outlineLevel="0" collapsed="false">
      <c r="A11" s="0" t="s">
        <v>165</v>
      </c>
      <c r="B11" s="0" t="n">
        <f aca="false">IF(ABS(B9-B8)&gt;0.01*ABS(B8),(Assumptions!$B$2-B8)/(B9-B8)*100,"n/a")</f>
        <v>-295.593340573874</v>
      </c>
    </row>
    <row r="12" customFormat="false" ht="15" hidden="false" customHeight="false" outlineLevel="0" collapsed="false">
      <c r="A12" s="0" t="s">
        <v>166</v>
      </c>
      <c r="B12" s="0" t="n">
        <f aca="false">SUMPRODUCT(F4:F6,D4:D6)</f>
        <v>141.719021713878</v>
      </c>
    </row>
    <row r="14" customFormat="false" ht="15" hidden="false" customHeight="false" outlineLevel="0" collapsed="false">
      <c r="A14" s="2" t="s">
        <v>167</v>
      </c>
      <c r="C14" s="0" t="s">
        <v>168</v>
      </c>
    </row>
    <row r="15" customFormat="false" ht="15" hidden="false" customHeight="false" outlineLevel="0" collapsed="false">
      <c r="A15" s="0" t="s">
        <v>169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288.619036568432</v>
      </c>
      <c r="C15" s="3" t="n">
        <v>9</v>
      </c>
    </row>
    <row r="16" customFormat="false" ht="15" hidden="false" customHeight="false" outlineLevel="0" collapsed="false">
      <c r="A16" s="0" t="s">
        <v>170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254.038552091392</v>
      </c>
      <c r="C16" s="3" t="n">
        <v>10</v>
      </c>
    </row>
    <row r="17" customFormat="false" ht="15" hidden="false" customHeight="false" outlineLevel="0" collapsed="false">
      <c r="A17" s="0" t="s">
        <v>171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221.073568740052</v>
      </c>
      <c r="C17" s="3" t="n">
        <v>11</v>
      </c>
    </row>
    <row r="18" customFormat="false" ht="15" hidden="false" customHeight="false" outlineLevel="0" collapsed="false">
      <c r="A18" s="0" t="s">
        <v>172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195.112254578366</v>
      </c>
      <c r="C18" s="3" t="n">
        <v>12</v>
      </c>
    </row>
    <row r="19" customFormat="false" ht="15" hidden="false" customHeight="false" outlineLevel="0" collapsed="false">
      <c r="A19" s="0" t="s">
        <v>173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142.409720530378</v>
      </c>
      <c r="C19" s="3" t="n">
        <v>15</v>
      </c>
    </row>
    <row r="21" customFormat="false" ht="15" hidden="false" customHeight="false" outlineLevel="0" collapsed="false">
      <c r="A21" s="2" t="s">
        <v>174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311.571249107047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311.571249107047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311.571249107047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311.571249107047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311.571249107047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272.169153927658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283.812252679894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288.619036568432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288.619036568432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288.619036568432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236.374838834838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244.654704423847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254.038552091392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264.762949425728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267.687785062365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208.219310474132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214.289376877484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221.073568740052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228.705784585443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237.355629210218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185.513359311384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190.0728345632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195.112254578366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200.711610150772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206.969713437579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2026-10-02T07:27:53Z</dcterms:created>
  <dc:creator>openpyxl</dc:creator>
  <dc:description/>
  <dc:language>en-NZ</dc:language>
  <cp:lastModifiedBy/>
  <dcterms:modified xsi:type="dcterms:W3CDTF">2026-10-02T07:27:53Z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