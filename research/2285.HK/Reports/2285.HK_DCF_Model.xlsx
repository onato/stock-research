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<sst xmlns="http://schemas.openxmlformats.org/spreadsheetml/2006/main" count="349" uniqueCount="163">
  <si>
    <t xml:space="preserve">Ticker</t>
  </si>
  <si>
    <t xml:space="preserve">2285.HK</t>
  </si>
  <si>
    <t xml:space="preserve">Company</t>
  </si>
  <si>
    <t xml:space="preserve">Chervon Holdings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</si>
  <si>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</si>
  <si>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</si>
  <si>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</si>
  <si>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</si>
  <si>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(HKEX regular close, Friday 16-Oct-2026)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</si>
  <si>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</si>
  <si>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</si>
  <si>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</si>
  <si>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</si>
  <si>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</si>
  <si>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</si>
  <si>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</si>
  <si>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</si>
  <si>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</si>
  <si>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</si>
  <si>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</si>
  <si>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</si>
  <si>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</si>
  <si>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2026-10-18T00:05:00Z</t>
  </si>
  <si>
    <t xml:space="preserve">Drivers file</t>
  </si>
  <si>
    <t xml:space="preserve">2285.HK_Drivers.json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</si>
  <si>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</si>
  <si>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</si>
  <si>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</si>
  <si>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Chervon is valued as a cyclical consumer-durables manufacturer on mid-cycle margins, not on H1 FY2026's record. The stock has more than doubled off its 52-week low on that half; the model asks what a mid-cycle 12-12.5% EBITDA margin, a working-capital-heavy growth model and a 13x terminal cap are worth, with risk carried once in the scenario weights.
key_risks_to_valuation: Customer concentration: largest customer ~35%, top five ~58% of FY2025 revenue; US-China tariff policy and potential Vietnam country-of-origin/transshipment scrutiny; Restocking pull-forward in H1 FY2026 reversing (FY2023 destock precedent: revenue -31%, FCF -US$262m); Working capital intensity (~42% of revenue) means growth converts poorly to cash; One-off tariff refunds inside H1 FY2026's record 39.3% gross margin; RMB appreciation against the USD reporting currency (US$13.9m FX loss in H1 FY2026)</t>
  </si>
  <si>
    <t xml:space="preserve">Data sources</t>
  </si>
  <si>
    <t xml:space="preserve">price: Yahoo Finance chart API at inputs.price_as_of; 52-week range HKD 14.52-32.92
fx: Yahoo Finance USDHKD=X, see inputs.fx_note
financials: 2285.HK_Metrics.csv (core_metrics, FY2020-FY2025 + H1s); H1 FY2026 interim report balance sheet, notes 8, 10, 14, 15, 18 for net debt, share count, share-award and repurchase cash
qualitative: 2285.HK_Analysis.json (2026-10-18)</t>
  </si>
  <si>
    <t xml:space="preserve">Scenario narrative: bear</t>
  </si>
  <si>
    <t xml:space="preserve">H1 FY2026 was a restocking pull-forward by a handful of big-box customers (top 5 = 58% of revenue, top 1 = 35%): H2 FY2026 weakens and FY2027 revenue falls 4% as inventories reverse, repeating the FY2023 pattern in milder form. Tariff policy re-escalates or US Customs targets Vietnam-origin goods, the tariff refunds that lifted H1 margins prove one-off, FLEX/SKIL keep losing money against TTI and Stanley Black &amp; Decker, and DEVON is capped by the China property slump. EBITDA margin settles at 10% (FY2025 was 10.8%) and growth runs at 2-3%.</t>
  </si>
  <si>
    <t xml:space="preserve">Scenario narrative: base</t>
  </si>
  <si>
    <t xml:space="preserve">H1 FY2026's recovery holds but H2 normalises: FY2026 revenue ~US$1.8bn (+10.5%) and EBITDA margin 12.5% flattered by tariff refunds, easing to 12.0% in FY2027 before EGO/OBM mix lifts it back to a 12.5% mid-cycle level - roughly the FY2021/FY2024 peaks, not above them. Vietnam capacity absorbs the US book by end-2026, so tariffs become a cost of doing business rather than a recurring shock. Growth settles at the 5yr revenue CAGR (~6%) on EGO category expansion, the John Deere battery tie-up and European distribution, fading to 3%. Working capital (~42% of revenue) consumes a quarter of each incremental revenue dollar, which keeps owner-FCF margins near 5-6%.</t>
  </si>
  <si>
    <t xml:space="preserve">Scenario narrative: bull</t>
  </si>
  <si>
    <t xml:space="preserve">EGO compounds as the North American cordless-OPE category leader: robotic mowers (Europe 2026), commercial riding mowers via John Deere dealers, and new categories add a growth leg while FLEX/SKIL finally reach scale through new Walmart/Tractor Supply/Canadian Tire distribution. OBM rises above 80% of sales and EBITDA margin climbs to 15% - TTI-like - as Vietnam's cost base matures. Revenue grows 13% in FY2026 and high-single-digits for four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</si>
  <si>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</si>
  <si>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</si>
  <si>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</si>
  <si>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</si>
  <si>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</si>
  <si>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</si>
  <si>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</si>
  <si>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</si>
  <si>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</si>
  <si>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</si>
  <si>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</si>
  <si>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</si>
  <si>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</si>
  <si>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</si>
  <si>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</si>
  <si>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</si>
  <si>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</si>
  <si>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</si>
  <si>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</si>
  <si>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</si>
  <si>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</si>
  <si>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</si>
  <si>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</si>
  <si>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</si>
  <si>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</si>
  <si>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</si>
  <si>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</si>
  <si>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ResearchAndDevelopment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</si>
  <si>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</si>
  <si>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</si>
  <si>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</si>
  <si>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</si>
  <si>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</si>
  <si>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</si>
  <si>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</si>
  <si>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</si>
  <si>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</si>
  <si>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</si>
  <si>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</si>
  <si>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</si>
  <si>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</si>
  <si>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</si>
  <si>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</si>
  <si>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</si>
  <si>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</si>
  <si>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</si>
  <si>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</si>
  <si>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</si>
  <si>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</si>
  <si>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</si>
  <si>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</si>
  <si>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</si>
  <si>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</si>
  <si>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</si>
  <si>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</si>
  <si>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</si>
  <si>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</si>
  <si>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</si>
  <si>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</si>
  <si>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</si>
  <si>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</si>
  <si>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</si>
  <si>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</si>
  <si>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</si>
  <si>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</si>
  <si>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</si>
  <si>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</si>
  <si>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</si>
  <si>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</si>
  <si>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</si>
  <si>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</si>
  <si>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2285.HK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</si>
  <si>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</si>
  <si>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</si>
  <si>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</si>
  <si>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</si>
  <si>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</si>
  <si>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</si>
  <si>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</si>
  <si>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</si>
  <si>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</si>
  <si>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</si>
  <si>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</si>
  <si>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</si>
  <si>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</si>
  <si>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</si>
  <si>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</si>
  <si>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</si>
  <si>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</si>
  <si>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</si>
  <si>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</si>
  <si>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</si>
  <si>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</si>
  <si>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</si>
  <si>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</si>
  <si>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</si>
  <si>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</si>
  <si>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</si>
  <si>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</si>
  <si>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</si>
  <si>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</si>
  <si>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</si>
  <si>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2285.HK owner-FCF component DCF: base case (millions, USD)</t>
  </si>
  <si>
    <t xml:space="preserve">2285.HK owner-FCF component DCF: bull case (millions, USD)</t>
  </si>
  <si>
    <t xml:space="preserve">2285.HK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</si>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</sst>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1200.902</v>
      </c>
      <c r="C2" s="0" t="n">
        <v>-832.19</v>
      </c>
      <c r="D2" s="0" t="n">
        <v>368.712</v>
      </c>
      <c r="E2" s="0" t="n">
        <v>30.7</v>
      </c>
      <c r="F2" s="0" t="n">
        <v>70.144</v>
      </c>
      <c r="G2" s="0" t="n">
        <v>5.8</v>
      </c>
      <c r="H2" s="0" t="n">
        <v>91.806</v>
      </c>
      <c r="I2" s="0" t="n">
        <v>48.388</v>
      </c>
      <c r="J2" s="0" t="n">
        <v>4</v>
      </c>
      <c r="K2" s="0" t="n">
        <v>0.11</v>
      </c>
      <c r="L2" s="0" t="n">
        <v>133.729</v>
      </c>
      <c r="M2" s="0" t="n">
        <v>31.557</v>
      </c>
      <c r="N2" s="0" t="n">
        <v>102.172</v>
      </c>
      <c r="O2" s="0" t="n">
        <v>284.024</v>
      </c>
      <c r="P2" s="0" t="n">
        <v>1091.467</v>
      </c>
      <c r="Q2" s="0" t="n">
        <v>807.443</v>
      </c>
      <c r="R2" s="0" t="n">
        <v>337.861</v>
      </c>
      <c r="S2" s="0" t="n">
        <v>166.937</v>
      </c>
      <c r="U2" s="0" t="n">
        <v>21.077</v>
      </c>
      <c r="AA2" s="0" t="s">
        <v>18</v>
      </c>
      <c r="AB2" s="0" t="s">
        <v>14</v>
      </c>
      <c r="AC2" s="0" t="n">
        <v>38.939</v>
      </c>
    </row>
    <row r="3" customFormat="false" ht="15" hidden="false" customHeight="false" outlineLevel="0" collapsed="false">
      <c r="A3" s="0" t="s">
        <v>66</v>
      </c>
      <c r="B3" s="0" t="n">
        <v>1757.784</v>
      </c>
      <c r="C3" s="0" t="n">
        <v>-1263.276</v>
      </c>
      <c r="D3" s="0" t="n">
        <v>494.508</v>
      </c>
      <c r="E3" s="0" t="n">
        <v>28.1</v>
      </c>
      <c r="F3" s="0" t="n">
        <v>188.307</v>
      </c>
      <c r="G3" s="0" t="n">
        <v>10.7</v>
      </c>
      <c r="H3" s="0" t="n">
        <v>218.181</v>
      </c>
      <c r="I3" s="0" t="n">
        <v>149.721</v>
      </c>
      <c r="J3" s="0" t="n">
        <v>8.5</v>
      </c>
      <c r="K3" s="0" t="n">
        <v>0.36</v>
      </c>
      <c r="L3" s="0" t="n">
        <v>158.201</v>
      </c>
      <c r="M3" s="0" t="n">
        <v>81.153</v>
      </c>
      <c r="N3" s="0" t="n">
        <v>77.048</v>
      </c>
      <c r="O3" s="0" t="n">
        <v>797.017</v>
      </c>
      <c r="P3" s="0" t="n">
        <v>2056.156</v>
      </c>
      <c r="Q3" s="0" t="n">
        <v>1259.139</v>
      </c>
      <c r="R3" s="0" t="n">
        <v>433.646</v>
      </c>
      <c r="S3" s="0" t="n">
        <v>664.99</v>
      </c>
      <c r="U3" s="0" t="n">
        <v>0</v>
      </c>
      <c r="AA3" s="0" t="s">
        <v>18</v>
      </c>
      <c r="AB3" s="0" t="s">
        <v>14</v>
      </c>
      <c r="AC3" s="0" t="n">
        <v>50.151</v>
      </c>
    </row>
    <row r="4" customFormat="false" ht="15" hidden="false" customHeight="false" outlineLevel="0" collapsed="false">
      <c r="A4" s="0" t="s">
        <v>67</v>
      </c>
      <c r="B4" s="0" t="n">
        <v>1989.28</v>
      </c>
      <c r="C4" s="0" t="n">
        <v>-1385.407</v>
      </c>
      <c r="D4" s="0" t="n">
        <v>603.873</v>
      </c>
      <c r="E4" s="0" t="n">
        <v>30.4</v>
      </c>
      <c r="F4" s="0" t="n">
        <v>189.145</v>
      </c>
      <c r="G4" s="0" t="n">
        <v>9.5</v>
      </c>
      <c r="H4" s="0" t="n">
        <v>225.09</v>
      </c>
      <c r="I4" s="0" t="n">
        <v>139.278</v>
      </c>
      <c r="J4" s="0" t="n">
        <v>7</v>
      </c>
      <c r="K4" s="0" t="n">
        <v>0.28</v>
      </c>
      <c r="L4" s="0" t="n">
        <v>23.064</v>
      </c>
      <c r="M4" s="0" t="n">
        <v>72.186</v>
      </c>
      <c r="N4" s="0" t="n">
        <v>-49.122</v>
      </c>
      <c r="O4" s="0" t="n">
        <v>946.099</v>
      </c>
      <c r="P4" s="0" t="n">
        <v>1862.504</v>
      </c>
      <c r="Q4" s="0" t="n">
        <v>916.405</v>
      </c>
      <c r="R4" s="0" t="n">
        <v>329.493</v>
      </c>
      <c r="S4" s="0" t="n">
        <v>466.713</v>
      </c>
      <c r="T4" s="0" t="n">
        <v>490.219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1374.714</v>
      </c>
      <c r="C5" s="0" t="n">
        <v>-987.881</v>
      </c>
      <c r="D5" s="0" t="n">
        <v>386.833</v>
      </c>
      <c r="E5" s="0" t="n">
        <v>28.1</v>
      </c>
      <c r="F5" s="0" t="n">
        <v>-27.225</v>
      </c>
      <c r="G5" s="0" t="n">
        <v>-2</v>
      </c>
      <c r="H5" s="0" t="n">
        <v>8.956</v>
      </c>
      <c r="I5" s="0" t="n">
        <v>-37.15</v>
      </c>
      <c r="J5" s="0" t="n">
        <v>-2.7</v>
      </c>
      <c r="K5" s="0" t="n">
        <v>-0.07</v>
      </c>
      <c r="L5" s="0" t="n">
        <v>-173.701</v>
      </c>
      <c r="M5" s="0" t="n">
        <v>88.342</v>
      </c>
      <c r="N5" s="0" t="n">
        <v>-262.043</v>
      </c>
      <c r="O5" s="0" t="n">
        <v>960.621</v>
      </c>
      <c r="P5" s="0" t="n">
        <v>1796.385</v>
      </c>
      <c r="Q5" s="0" t="n">
        <v>835.764</v>
      </c>
      <c r="R5" s="0" t="n">
        <v>323.64</v>
      </c>
      <c r="S5" s="0" t="n">
        <v>296.337</v>
      </c>
      <c r="T5" s="0" t="n">
        <v>511.054</v>
      </c>
      <c r="U5" s="0" t="n">
        <v>0</v>
      </c>
      <c r="AA5" s="0" t="s">
        <v>18</v>
      </c>
      <c r="AB5" s="0" t="s">
        <v>14</v>
      </c>
      <c r="AC5" s="0" t="n">
        <v>70.673</v>
      </c>
    </row>
    <row r="6" customFormat="false" ht="15" hidden="false" customHeight="false" outlineLevel="0" collapsed="false">
      <c r="A6" s="0" t="s">
        <v>69</v>
      </c>
      <c r="B6" s="0" t="n">
        <v>1773.773</v>
      </c>
      <c r="C6" s="0" t="n">
        <v>-1158.092</v>
      </c>
      <c r="D6" s="0" t="n">
        <v>615.681</v>
      </c>
      <c r="E6" s="0" t="n">
        <v>34.7</v>
      </c>
      <c r="F6" s="0" t="n">
        <v>155.357</v>
      </c>
      <c r="G6" s="0" t="n">
        <v>8.8</v>
      </c>
      <c r="H6" s="0" t="n">
        <v>211.321</v>
      </c>
      <c r="I6" s="0" t="n">
        <v>112.708</v>
      </c>
      <c r="J6" s="0" t="n">
        <v>6.4</v>
      </c>
      <c r="K6" s="0" t="n">
        <v>0.22</v>
      </c>
      <c r="L6" s="0" t="n">
        <v>167.684</v>
      </c>
      <c r="M6" s="0" t="n">
        <v>73.731</v>
      </c>
      <c r="N6" s="0" t="n">
        <v>93.953</v>
      </c>
      <c r="O6" s="0" t="n">
        <v>1036.693</v>
      </c>
      <c r="P6" s="0" t="n">
        <v>1992.297</v>
      </c>
      <c r="Q6" s="0" t="n">
        <v>955.604</v>
      </c>
      <c r="R6" s="0" t="n">
        <v>295.554</v>
      </c>
      <c r="S6" s="0" t="n">
        <v>328.758</v>
      </c>
      <c r="T6" s="0" t="n">
        <v>511.054</v>
      </c>
      <c r="AA6" s="0" t="s">
        <v>18</v>
      </c>
      <c r="AB6" s="0" t="s">
        <v>14</v>
      </c>
      <c r="AC6" s="0" t="n">
        <v>83.41</v>
      </c>
    </row>
    <row r="7" customFormat="false" ht="15" hidden="false" customHeight="false" outlineLevel="0" collapsed="false">
      <c r="A7" s="0" t="s">
        <v>70</v>
      </c>
      <c r="B7" s="0" t="n">
        <v>1627.785</v>
      </c>
      <c r="C7" s="0" t="n">
        <v>-1091.901</v>
      </c>
      <c r="D7" s="0" t="n">
        <v>535.884</v>
      </c>
      <c r="E7" s="0" t="n">
        <v>32.9</v>
      </c>
      <c r="F7" s="0" t="n">
        <v>122.203</v>
      </c>
      <c r="G7" s="0" t="n">
        <v>7.5</v>
      </c>
      <c r="H7" s="0" t="n">
        <v>175.578</v>
      </c>
      <c r="I7" s="0" t="n">
        <v>97.693</v>
      </c>
      <c r="J7" s="0" t="n">
        <v>6</v>
      </c>
      <c r="K7" s="0" t="n">
        <v>0.19</v>
      </c>
      <c r="L7" s="0" t="n">
        <v>229.355</v>
      </c>
      <c r="M7" s="0" t="n">
        <v>73.554</v>
      </c>
      <c r="N7" s="0" t="n">
        <v>155.801</v>
      </c>
      <c r="O7" s="0" t="n">
        <v>1017.854</v>
      </c>
      <c r="P7" s="0" t="n">
        <v>1843.935</v>
      </c>
      <c r="Q7" s="0" t="n">
        <v>826.081</v>
      </c>
      <c r="R7" s="0" t="n">
        <v>254.856</v>
      </c>
      <c r="S7" s="0" t="n">
        <v>379.292</v>
      </c>
      <c r="T7" s="0" t="n">
        <v>511.054</v>
      </c>
      <c r="AA7" s="0" t="s">
        <v>18</v>
      </c>
      <c r="AB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32.66</v>
      </c>
    </row>
    <row r="3" customFormat="false" ht="15" hidden="false" customHeight="false" outlineLevel="0" collapsed="false">
      <c r="A3" s="0" t="s">
        <v>74</v>
      </c>
      <c r="B3" s="3" t="n">
        <v>509.204</v>
      </c>
    </row>
    <row r="4" customFormat="false" ht="15" hidden="false" customHeight="false" outlineLevel="0" collapsed="false">
      <c r="A4" s="0" t="s">
        <v>75</v>
      </c>
      <c r="B4" s="3" t="n">
        <v>-134.394</v>
      </c>
    </row>
    <row r="5" customFormat="false" ht="15" hidden="false" customHeight="false" outlineLevel="0" collapsed="false">
      <c r="A5" s="0" t="s">
        <v>76</v>
      </c>
      <c r="B5" s="3" t="n">
        <v>6.919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1627.785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7.8479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6</v>
      </c>
      <c r="D13" s="3" t="n">
        <v>-4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11.5</v>
      </c>
      <c r="D14" s="3" t="n">
        <v>9.5</v>
      </c>
      <c r="E14" s="3" t="n">
        <v>10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96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3.4</v>
      </c>
      <c r="D17" s="3" t="n">
        <v>3.4</v>
      </c>
      <c r="E17" s="3" t="n">
        <v>3.4</v>
      </c>
      <c r="F17" s="3" t="n">
        <v>3.4</v>
      </c>
      <c r="G17" s="3" t="n">
        <v>3.4</v>
      </c>
      <c r="H17" s="3" t="n">
        <v>3.4</v>
      </c>
      <c r="I17" s="3" t="n">
        <v>3.4</v>
      </c>
      <c r="J17" s="3" t="n">
        <v>3.4</v>
      </c>
      <c r="K17" s="3" t="n">
        <v>3.4</v>
      </c>
      <c r="L17" s="3" t="n">
        <v>3.4</v>
      </c>
    </row>
    <row r="18" customFormat="false" ht="15" hidden="false" customHeight="false" outlineLevel="0" collapsed="false">
      <c r="A18" s="0" t="s">
        <v>99</v>
      </c>
      <c r="C18" s="3" t="n">
        <v>4.9</v>
      </c>
      <c r="D18" s="3" t="n">
        <v>4.6</v>
      </c>
      <c r="E18" s="3" t="n">
        <v>4.4</v>
      </c>
      <c r="F18" s="3" t="n">
        <v>4.3</v>
      </c>
      <c r="G18" s="3" t="n">
        <v>4.3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100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101</v>
      </c>
      <c r="B20" s="3" t="n">
        <v>9.5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13</v>
      </c>
    </row>
    <row r="23" customFormat="false" ht="15" hidden="false" customHeight="false" outlineLevel="0" collapsed="false">
      <c r="A23" s="0" t="s">
        <v>104</v>
      </c>
      <c r="B23" s="3" t="n">
        <v>-25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10.5</v>
      </c>
      <c r="D27" s="3" t="n">
        <v>6.5</v>
      </c>
      <c r="E27" s="3" t="n">
        <v>6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12.5</v>
      </c>
      <c r="D28" s="3" t="n">
        <v>12</v>
      </c>
      <c r="E28" s="3" t="n">
        <v>12</v>
      </c>
      <c r="F28" s="3" t="n">
        <v>12.25</v>
      </c>
      <c r="G28" s="3" t="n">
        <v>12.5</v>
      </c>
      <c r="H28" s="3" t="n">
        <v>12.5</v>
      </c>
      <c r="I28" s="3" t="n">
        <v>12.5</v>
      </c>
      <c r="J28" s="3" t="n">
        <v>12.5</v>
      </c>
      <c r="K28" s="3" t="n">
        <v>12.5</v>
      </c>
      <c r="L28" s="3" t="n">
        <v>12.5</v>
      </c>
    </row>
    <row r="29" customFormat="false" ht="15" hidden="false" customHeight="false" outlineLevel="0" collapsed="false">
      <c r="A29" s="0" t="s">
        <v>96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3.3</v>
      </c>
      <c r="D31" s="3" t="n">
        <v>3.3</v>
      </c>
      <c r="E31" s="3" t="n">
        <v>3.3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99</v>
      </c>
      <c r="C32" s="3" t="n">
        <v>4.9</v>
      </c>
      <c r="D32" s="3" t="n">
        <v>4.8</v>
      </c>
      <c r="E32" s="3" t="n">
        <v>4.6</v>
      </c>
      <c r="F32" s="3" t="n">
        <v>4.5</v>
      </c>
      <c r="G32" s="3" t="n">
        <v>4.4</v>
      </c>
      <c r="H32" s="3" t="n">
        <v>4.3</v>
      </c>
      <c r="I32" s="3" t="n">
        <v>4.3</v>
      </c>
      <c r="J32" s="3" t="n">
        <v>4.3</v>
      </c>
      <c r="K32" s="3" t="n">
        <v>4.3</v>
      </c>
      <c r="L32" s="3" t="n">
        <v>4.3</v>
      </c>
    </row>
    <row r="33" customFormat="false" ht="15" hidden="false" customHeight="false" outlineLevel="0" collapsed="false">
      <c r="A33" s="0" t="s">
        <v>100</v>
      </c>
      <c r="C33" s="3" t="n">
        <v>17</v>
      </c>
      <c r="D33" s="3" t="n">
        <v>17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101</v>
      </c>
      <c r="B34" s="3" t="n">
        <v>9.5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13</v>
      </c>
    </row>
    <row r="37" customFormat="false" ht="15" hidden="false" customHeight="false" outlineLevel="0" collapsed="false">
      <c r="A37" s="0" t="s">
        <v>104</v>
      </c>
      <c r="B37" s="3" t="n">
        <v>-25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13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95</v>
      </c>
      <c r="C42" s="3" t="n">
        <v>13</v>
      </c>
      <c r="D42" s="3" t="n">
        <v>13.5</v>
      </c>
      <c r="E42" s="3" t="n">
        <v>14</v>
      </c>
      <c r="F42" s="3" t="n">
        <v>14.5</v>
      </c>
      <c r="G42" s="3" t="n">
        <v>15</v>
      </c>
      <c r="H42" s="3" t="n">
        <v>15</v>
      </c>
      <c r="I42" s="3" t="n">
        <v>15</v>
      </c>
      <c r="J42" s="3" t="n">
        <v>15</v>
      </c>
      <c r="K42" s="3" t="n">
        <v>15</v>
      </c>
      <c r="L42" s="3" t="n">
        <v>15</v>
      </c>
    </row>
    <row r="43" customFormat="false" ht="15" hidden="false" customHeight="false" outlineLevel="0" collapsed="false">
      <c r="A43" s="0" t="s">
        <v>96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3.3</v>
      </c>
      <c r="D45" s="3" t="n">
        <v>3.3</v>
      </c>
      <c r="E45" s="3" t="n">
        <v>3.3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99</v>
      </c>
      <c r="C46" s="3" t="n">
        <v>5</v>
      </c>
      <c r="D46" s="3" t="n">
        <v>5</v>
      </c>
      <c r="E46" s="3" t="n">
        <v>4.8</v>
      </c>
      <c r="F46" s="3" t="n">
        <v>4.6</v>
      </c>
      <c r="G46" s="3" t="n">
        <v>4.5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100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101</v>
      </c>
      <c r="B48" s="3" t="n">
        <v>9.5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13</v>
      </c>
    </row>
    <row r="51" customFormat="false" ht="15" hidden="false" customHeight="false" outlineLevel="0" collapsed="false">
      <c r="A51" s="0" t="s">
        <v>104</v>
      </c>
      <c r="B51" s="3" t="n">
        <v>-25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6</v>
      </c>
      <c r="D5" s="4" t="n">
        <f aca="false">Assumptions!D13</f>
        <v>-4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1627.785</v>
      </c>
      <c r="C6" s="0" t="n">
        <f aca="false">B6*(1+C5/100)</f>
        <v>1725.4521</v>
      </c>
      <c r="D6" s="0" t="n">
        <f aca="false">C6*(1+D5/100)</f>
        <v>1656.434016</v>
      </c>
      <c r="E6" s="0" t="n">
        <f aca="false">D6*(1+E5/100)</f>
        <v>1689.56269632</v>
      </c>
      <c r="F6" s="0" t="n">
        <f aca="false">E6*(1+F5/100)</f>
        <v>1740.2495772096</v>
      </c>
      <c r="G6" s="0" t="n">
        <f aca="false">F6*(1+G5/100)</f>
        <v>1792.45706452589</v>
      </c>
      <c r="H6" s="0" t="n">
        <f aca="false">G6*(1+H5/100)</f>
        <v>1846.23077646167</v>
      </c>
      <c r="I6" s="0" t="n">
        <f aca="false">H6*(1+I5/100)</f>
        <v>1892.38654587321</v>
      </c>
      <c r="J6" s="0" t="n">
        <f aca="false">I6*(1+J5/100)</f>
        <v>1939.69620952004</v>
      </c>
      <c r="K6" s="0" t="n">
        <f aca="false">J6*(1+K5/100)</f>
        <v>1978.49013371044</v>
      </c>
      <c r="L6" s="0" t="n">
        <f aca="false">K6*(1+L5/100)</f>
        <v>2018.05993638465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11.5</v>
      </c>
      <c r="D7" s="4" t="n">
        <f aca="false">Assumptions!D14</f>
        <v>9.5</v>
      </c>
      <c r="E7" s="4" t="n">
        <f aca="false">Assumptions!E14</f>
        <v>10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198.4269915</v>
      </c>
      <c r="D8" s="0" t="n">
        <f aca="false">D6*D7/100</f>
        <v>157.36123152</v>
      </c>
      <c r="E8" s="0" t="n">
        <f aca="false">E6*E7/100</f>
        <v>168.956269632</v>
      </c>
      <c r="F8" s="0" t="n">
        <f aca="false">F6*F7/100</f>
        <v>174.02495772096</v>
      </c>
      <c r="G8" s="0" t="n">
        <f aca="false">G6*G7/100</f>
        <v>179.245706452589</v>
      </c>
      <c r="H8" s="0" t="n">
        <f aca="false">H6*H7/100</f>
        <v>184.623077646167</v>
      </c>
      <c r="I8" s="0" t="n">
        <f aca="false">I6*I7/100</f>
        <v>189.238654587321</v>
      </c>
      <c r="J8" s="0" t="n">
        <f aca="false">J6*J7/100</f>
        <v>193.969620952004</v>
      </c>
      <c r="K8" s="0" t="n">
        <f aca="false">K6*K7/100</f>
        <v>197.849013371044</v>
      </c>
      <c r="L8" s="0" t="n">
        <f aca="false">L6*L7/100</f>
        <v>201.805993638465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-6.9018084</v>
      </c>
      <c r="D10" s="0" t="n">
        <f aca="false">-D6*D9/100</f>
        <v>-6.625736064</v>
      </c>
      <c r="E10" s="0" t="n">
        <f aca="false">-E6*E9/100</f>
        <v>-6.75825078528</v>
      </c>
      <c r="F10" s="0" t="n">
        <f aca="false">-F6*F9/100</f>
        <v>-6.9609983088384</v>
      </c>
      <c r="G10" s="0" t="n">
        <f aca="false">-G6*G9/100</f>
        <v>-7.16982825810355</v>
      </c>
      <c r="H10" s="0" t="n">
        <f aca="false">-H6*H9/100</f>
        <v>-7.38492310584666</v>
      </c>
      <c r="I10" s="0" t="n">
        <f aca="false">-I6*I9/100</f>
        <v>-7.56954618349283</v>
      </c>
      <c r="J10" s="0" t="n">
        <f aca="false">-J6*J9/100</f>
        <v>-7.75878483808015</v>
      </c>
      <c r="K10" s="0" t="n">
        <f aca="false">-K6*K9/100</f>
        <v>-7.91396053484175</v>
      </c>
      <c r="L10" s="0" t="n">
        <f aca="false">-L6*L9/100</f>
        <v>-8.07223974553859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191.5251831</v>
      </c>
      <c r="D11" s="0" t="n">
        <f aca="false">D8+D10+D24</f>
        <v>150.735495456</v>
      </c>
      <c r="E11" s="0" t="n">
        <f aca="false">E8+E10+E24</f>
        <v>162.19801884672</v>
      </c>
      <c r="F11" s="0" t="n">
        <f aca="false">F8+F10+F24</f>
        <v>167.063959412122</v>
      </c>
      <c r="G11" s="0" t="n">
        <f aca="false">G8+G10+G24</f>
        <v>172.075878194485</v>
      </c>
      <c r="H11" s="0" t="n">
        <f aca="false">H8+H10+H24</f>
        <v>177.23815454032</v>
      </c>
      <c r="I11" s="0" t="n">
        <f aca="false">I8+I10+I24</f>
        <v>181.669108403828</v>
      </c>
      <c r="J11" s="0" t="n">
        <f aca="false">J8+J10+J24</f>
        <v>186.210836113924</v>
      </c>
      <c r="K11" s="0" t="n">
        <f aca="false">K8+K10+K24</f>
        <v>189.935052836202</v>
      </c>
      <c r="L11" s="0" t="n">
        <f aca="false">L8+L10+L24</f>
        <v>193.733753892926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-58.6653714</v>
      </c>
      <c r="D12" s="4" t="n">
        <f aca="false">-D6*Assumptions!D17/100</f>
        <v>-56.318756544</v>
      </c>
      <c r="E12" s="4" t="n">
        <f aca="false">-E6*Assumptions!E17/100</f>
        <v>-57.44513167488</v>
      </c>
      <c r="F12" s="4" t="n">
        <f aca="false">-F6*Assumptions!F17/100</f>
        <v>-59.1684856251264</v>
      </c>
      <c r="G12" s="4" t="n">
        <f aca="false">-G6*Assumptions!G17/100</f>
        <v>-60.9435401938802</v>
      </c>
      <c r="H12" s="4" t="n">
        <f aca="false">-H6*Assumptions!H17/100</f>
        <v>-62.7718463996966</v>
      </c>
      <c r="I12" s="4" t="n">
        <f aca="false">-I6*Assumptions!I17/100</f>
        <v>-64.341142559689</v>
      </c>
      <c r="J12" s="4" t="n">
        <f aca="false">-J6*Assumptions!J17/100</f>
        <v>-65.9496711236812</v>
      </c>
      <c r="K12" s="4" t="n">
        <f aca="false">-K6*Assumptions!K17/100</f>
        <v>-67.2686645461549</v>
      </c>
      <c r="L12" s="4" t="n">
        <f aca="false">-L6*Assumptions!L17/100</f>
        <v>-68.614037837078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132.8598117</v>
      </c>
      <c r="D13" s="0" t="n">
        <f aca="false">D11+D12</f>
        <v>94.416738912</v>
      </c>
      <c r="E13" s="0" t="n">
        <f aca="false">E11+E12</f>
        <v>104.75288717184</v>
      </c>
      <c r="F13" s="0" t="n">
        <f aca="false">F11+F12</f>
        <v>107.895473786995</v>
      </c>
      <c r="G13" s="0" t="n">
        <f aca="false">G11+G12</f>
        <v>111.132338000605</v>
      </c>
      <c r="H13" s="0" t="n">
        <f aca="false">H11+H12</f>
        <v>114.466308140623</v>
      </c>
      <c r="I13" s="0" t="n">
        <f aca="false">I11+I12</f>
        <v>117.327965844139</v>
      </c>
      <c r="J13" s="0" t="n">
        <f aca="false">J11+J12</f>
        <v>120.261164990242</v>
      </c>
      <c r="K13" s="0" t="n">
        <f aca="false">K11+K12</f>
        <v>122.666388290047</v>
      </c>
      <c r="L13" s="0" t="n">
        <f aca="false">L11+L12</f>
        <v>125.119716055848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108.945045594</v>
      </c>
      <c r="D15" s="0" t="n">
        <f aca="false">D13-MAX(0,D13)*D14/100</f>
        <v>77.42172590784</v>
      </c>
      <c r="E15" s="0" t="n">
        <f aca="false">E13-MAX(0,E13)*E14/100</f>
        <v>85.8973674809088</v>
      </c>
      <c r="F15" s="0" t="n">
        <f aca="false">F13-MAX(0,F13)*F14/100</f>
        <v>88.4742885053361</v>
      </c>
      <c r="G15" s="0" t="n">
        <f aca="false">G13-MAX(0,G13)*G14/100</f>
        <v>91.1285171604962</v>
      </c>
      <c r="H15" s="0" t="n">
        <f aca="false">H13-MAX(0,H13)*H14/100</f>
        <v>93.8623726753111</v>
      </c>
      <c r="I15" s="0" t="n">
        <f aca="false">I13-MAX(0,I13)*I14/100</f>
        <v>96.2089319921938</v>
      </c>
      <c r="J15" s="0" t="n">
        <f aca="false">J13-MAX(0,J13)*J14/100</f>
        <v>98.6141552919987</v>
      </c>
      <c r="K15" s="0" t="n">
        <f aca="false">K13-MAX(0,K13)*K14/100</f>
        <v>100.586438397839</v>
      </c>
      <c r="L15" s="0" t="n">
        <f aca="false">L13-MAX(0,L13)*L14/100</f>
        <v>102.598167165795</v>
      </c>
    </row>
    <row r="16" customFormat="false" ht="15" hidden="false" customHeight="false" outlineLevel="0" collapsed="false">
      <c r="A16" s="0" t="s">
        <v>116</v>
      </c>
      <c r="C16" s="0" t="n">
        <f aca="false">-C12</f>
        <v>58.6653714</v>
      </c>
      <c r="D16" s="0" t="n">
        <f aca="false">-D12</f>
        <v>56.318756544</v>
      </c>
      <c r="E16" s="0" t="n">
        <f aca="false">-E12</f>
        <v>57.44513167488</v>
      </c>
      <c r="F16" s="0" t="n">
        <f aca="false">-F12</f>
        <v>59.1684856251264</v>
      </c>
      <c r="G16" s="0" t="n">
        <f aca="false">-G12</f>
        <v>60.9435401938802</v>
      </c>
      <c r="H16" s="0" t="n">
        <f aca="false">-H12</f>
        <v>62.7718463996966</v>
      </c>
      <c r="I16" s="0" t="n">
        <f aca="false">-I12</f>
        <v>64.341142559689</v>
      </c>
      <c r="J16" s="0" t="n">
        <f aca="false">-J12</f>
        <v>65.9496711236812</v>
      </c>
      <c r="K16" s="0" t="n">
        <f aca="false">-K12</f>
        <v>67.2686645461549</v>
      </c>
      <c r="L16" s="0" t="n">
        <f aca="false">-L12</f>
        <v>68.614037837078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-84.5471529</v>
      </c>
      <c r="D17" s="4" t="n">
        <f aca="false">-D6*Assumptions!D18/100</f>
        <v>-76.195964736</v>
      </c>
      <c r="E17" s="4" t="n">
        <f aca="false">-E6*Assumptions!E18/100</f>
        <v>-74.34075863808</v>
      </c>
      <c r="F17" s="4" t="n">
        <f aca="false">-F6*Assumptions!F18/100</f>
        <v>-74.8307318200128</v>
      </c>
      <c r="G17" s="4" t="n">
        <f aca="false">-G6*Assumptions!G18/100</f>
        <v>-77.0756537746132</v>
      </c>
      <c r="H17" s="4" t="n">
        <f aca="false">-H6*Assumptions!H18/100</f>
        <v>-79.3879233878516</v>
      </c>
      <c r="I17" s="4" t="n">
        <f aca="false">-I6*Assumptions!I18/100</f>
        <v>-81.3726214725479</v>
      </c>
      <c r="J17" s="4" t="n">
        <f aca="false">-J6*Assumptions!J18/100</f>
        <v>-83.4069370093616</v>
      </c>
      <c r="K17" s="4" t="n">
        <f aca="false">-K6*Assumptions!K18/100</f>
        <v>-85.0750757495488</v>
      </c>
      <c r="L17" s="4" t="n">
        <f aca="false">-L6*Assumptions!L18/100</f>
        <v>-86.7765772645398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-24.416775</v>
      </c>
      <c r="D18" s="4" t="n">
        <f aca="false">(D6-C6)*Assumptions!$B$23/100</f>
        <v>17.254521</v>
      </c>
      <c r="E18" s="4" t="n">
        <f aca="false">(E6-D6)*Assumptions!$B$23/100</f>
        <v>-8.28217008000001</v>
      </c>
      <c r="F18" s="4" t="n">
        <f aca="false">(F6-E6)*Assumptions!$B$23/100</f>
        <v>-12.6717202224</v>
      </c>
      <c r="G18" s="4" t="n">
        <f aca="false">(G6-F6)*Assumptions!$B$23/100</f>
        <v>-13.051871829072</v>
      </c>
      <c r="H18" s="4" t="n">
        <f aca="false">(H6-G6)*Assumptions!$B$23/100</f>
        <v>-13.4434279839442</v>
      </c>
      <c r="I18" s="4" t="n">
        <f aca="false">(I6-H6)*Assumptions!$B$23/100</f>
        <v>-11.5389423528854</v>
      </c>
      <c r="J18" s="4" t="n">
        <f aca="false">(J6-I6)*Assumptions!$B$23/100</f>
        <v>-11.8274159117075</v>
      </c>
      <c r="K18" s="4" t="n">
        <f aca="false">(K6-J6)*Assumptions!$B$23/100</f>
        <v>-9.69848104760018</v>
      </c>
      <c r="L18" s="4" t="n">
        <f aca="false">(L6-K6)*Assumptions!$B$23/100</f>
        <v>-9.89245066855222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58.646489094</v>
      </c>
      <c r="D19" s="0" t="n">
        <f aca="false">D15+D16+D17+D18</f>
        <v>74.79903871584</v>
      </c>
      <c r="E19" s="0" t="n">
        <f aca="false">E15+E16+E17+E18</f>
        <v>60.7195704377088</v>
      </c>
      <c r="F19" s="0" t="n">
        <f aca="false">F15+F16+F17+F18</f>
        <v>60.1403220880496</v>
      </c>
      <c r="G19" s="0" t="n">
        <f aca="false">G15+G16+G17+G18</f>
        <v>61.9445317506912</v>
      </c>
      <c r="H19" s="0" t="n">
        <f aca="false">H15+H16+H17+H18</f>
        <v>63.8028677032119</v>
      </c>
      <c r="I19" s="0" t="n">
        <f aca="false">I15+I16+I17+I18</f>
        <v>67.6385107264496</v>
      </c>
      <c r="J19" s="0" t="n">
        <f aca="false">J15+J16+J17+J18</f>
        <v>69.3294734946109</v>
      </c>
      <c r="K19" s="0" t="n">
        <f aca="false">K15+K16+K17+K18</f>
        <v>73.0815461468445</v>
      </c>
      <c r="L19" s="0" t="n">
        <f aca="false">L15+L16+L17+L18</f>
        <v>74.5431770697814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53.5584375287671</v>
      </c>
      <c r="D21" s="0" t="n">
        <f aca="false">D19*D20</f>
        <v>62.3832186283356</v>
      </c>
      <c r="E21" s="0" t="n">
        <f aca="false">E19*E20</f>
        <v>46.247294677084</v>
      </c>
      <c r="F21" s="0" t="n">
        <f aca="false">F19*F20</f>
        <v>41.8320620462736</v>
      </c>
      <c r="G21" s="0" t="n">
        <f aca="false">G19*G20</f>
        <v>39.3488802809697</v>
      </c>
      <c r="H21" s="0" t="n">
        <f aca="false">H19*H20</f>
        <v>37.0131019994509</v>
      </c>
      <c r="I21" s="0" t="n">
        <f aca="false">I19*I20</f>
        <v>35.8339928290942</v>
      </c>
      <c r="J21" s="0" t="n">
        <f aca="false">J19*J20</f>
        <v>33.5432352966407</v>
      </c>
      <c r="K21" s="0" t="n">
        <f aca="false">K19*K20</f>
        <v>32.2909375217201</v>
      </c>
      <c r="L21" s="0" t="n">
        <f aca="false">L19*L20</f>
        <v>30.0792294722872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412.130390280623</v>
      </c>
    </row>
    <row r="31" customFormat="false" ht="15" hidden="false" customHeight="false" outlineLevel="0" collapsed="false">
      <c r="A31" s="0" t="s">
        <v>125</v>
      </c>
      <c r="B31" s="0" t="n">
        <f aca="false">L19</f>
        <v>74.5431770697814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1013.78720814903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969.061301907158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969.061301907158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391.029983139734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803.160373420358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944.473373420358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14.5563125726931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-0.554307637088392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45.1750471095198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44.2987802827808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15.9352916262591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584.877235470592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9.4541506326302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10.5</v>
      </c>
      <c r="D5" s="4" t="n">
        <f aca="false">Assumptions!D27</f>
        <v>6.5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1627.785</v>
      </c>
      <c r="C6" s="0" t="n">
        <f aca="false">B6*(1+C5/100)</f>
        <v>1798.702425</v>
      </c>
      <c r="D6" s="0" t="n">
        <f aca="false">C6*(1+D5/100)</f>
        <v>1915.618082625</v>
      </c>
      <c r="E6" s="0" t="n">
        <f aca="false">D6*(1+E5/100)</f>
        <v>2030.5551675825</v>
      </c>
      <c r="F6" s="0" t="n">
        <f aca="false">E6*(1+F5/100)</f>
        <v>2152.38847763745</v>
      </c>
      <c r="G6" s="0" t="n">
        <f aca="false">F6*(1+G5/100)</f>
        <v>2270.76984390751</v>
      </c>
      <c r="H6" s="0" t="n">
        <f aca="false">G6*(1+H5/100)</f>
        <v>2384.30833610289</v>
      </c>
      <c r="I6" s="0" t="n">
        <f aca="false">H6*(1+I5/100)</f>
        <v>2491.60221122752</v>
      </c>
      <c r="J6" s="0" t="n">
        <f aca="false">I6*(1+J5/100)</f>
        <v>2591.26629967662</v>
      </c>
      <c r="K6" s="0" t="n">
        <f aca="false">J6*(1+K5/100)</f>
        <v>2681.9606201653</v>
      </c>
      <c r="L6" s="0" t="n">
        <f aca="false">K6*(1+L5/100)</f>
        <v>2762.41943877026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12.5</v>
      </c>
      <c r="D7" s="4" t="n">
        <f aca="false">Assumptions!D28</f>
        <v>12</v>
      </c>
      <c r="E7" s="4" t="n">
        <f aca="false">Assumptions!E28</f>
        <v>12</v>
      </c>
      <c r="F7" s="4" t="n">
        <f aca="false">Assumptions!F28</f>
        <v>12.25</v>
      </c>
      <c r="G7" s="4" t="n">
        <f aca="false">Assumptions!G28</f>
        <v>12.5</v>
      </c>
      <c r="H7" s="4" t="n">
        <f aca="false">Assumptions!H28</f>
        <v>12.5</v>
      </c>
      <c r="I7" s="4" t="n">
        <f aca="false">Assumptions!I28</f>
        <v>12.5</v>
      </c>
      <c r="J7" s="4" t="n">
        <f aca="false">Assumptions!J28</f>
        <v>12.5</v>
      </c>
      <c r="K7" s="4" t="n">
        <f aca="false">Assumptions!K28</f>
        <v>12.5</v>
      </c>
      <c r="L7" s="4" t="n">
        <f aca="false">Assumptions!L28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224.837803125</v>
      </c>
      <c r="D8" s="0" t="n">
        <f aca="false">D6*D7/100</f>
        <v>229.874169915</v>
      </c>
      <c r="E8" s="0" t="n">
        <f aca="false">E6*E7/100</f>
        <v>243.6666201099</v>
      </c>
      <c r="F8" s="0" t="n">
        <f aca="false">F6*F7/100</f>
        <v>263.667588510588</v>
      </c>
      <c r="G8" s="0" t="n">
        <f aca="false">G6*G7/100</f>
        <v>283.846230488439</v>
      </c>
      <c r="H8" s="0" t="n">
        <f aca="false">H6*H7/100</f>
        <v>298.038542012861</v>
      </c>
      <c r="I8" s="0" t="n">
        <f aca="false">I6*I7/100</f>
        <v>311.450276403439</v>
      </c>
      <c r="J8" s="0" t="n">
        <f aca="false">J6*J7/100</f>
        <v>323.908287459577</v>
      </c>
      <c r="K8" s="0" t="n">
        <f aca="false">K6*K7/100</f>
        <v>335.245077520662</v>
      </c>
      <c r="L8" s="0" t="n">
        <f aca="false">L6*L7/100</f>
        <v>345.302429846282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-5.396107275</v>
      </c>
      <c r="D10" s="0" t="n">
        <f aca="false">-D6*D9/100</f>
        <v>-5.746854247875</v>
      </c>
      <c r="E10" s="0" t="n">
        <f aca="false">-E6*E9/100</f>
        <v>-6.0916655027475</v>
      </c>
      <c r="F10" s="0" t="n">
        <f aca="false">-F6*F9/100</f>
        <v>-6.45716543291235</v>
      </c>
      <c r="G10" s="0" t="n">
        <f aca="false">-G6*G9/100</f>
        <v>-6.81230953172253</v>
      </c>
      <c r="H10" s="0" t="n">
        <f aca="false">-H6*H9/100</f>
        <v>-7.15292500830866</v>
      </c>
      <c r="I10" s="0" t="n">
        <f aca="false">-I6*I9/100</f>
        <v>-7.47480663368255</v>
      </c>
      <c r="J10" s="0" t="n">
        <f aca="false">-J6*J9/100</f>
        <v>-7.77379889902985</v>
      </c>
      <c r="K10" s="0" t="n">
        <f aca="false">-K6*K9/100</f>
        <v>-8.04588186049589</v>
      </c>
      <c r="L10" s="0" t="n">
        <f aca="false">-L6*L9/100</f>
        <v>-8.28725831631077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219.44169585</v>
      </c>
      <c r="D11" s="0" t="n">
        <f aca="false">D8+D10+D24</f>
        <v>224.127315667125</v>
      </c>
      <c r="E11" s="0" t="n">
        <f aca="false">E8+E10+E24</f>
        <v>237.574954607153</v>
      </c>
      <c r="F11" s="0" t="n">
        <f aca="false">F8+F10+F24</f>
        <v>257.210423077675</v>
      </c>
      <c r="G11" s="0" t="n">
        <f aca="false">G8+G10+G24</f>
        <v>277.033920956716</v>
      </c>
      <c r="H11" s="0" t="n">
        <f aca="false">H8+H10+H24</f>
        <v>290.885617004552</v>
      </c>
      <c r="I11" s="0" t="n">
        <f aca="false">I8+I10+I24</f>
        <v>303.975469769757</v>
      </c>
      <c r="J11" s="0" t="n">
        <f aca="false">J8+J10+J24</f>
        <v>316.134488560547</v>
      </c>
      <c r="K11" s="0" t="n">
        <f aca="false">K8+K10+K24</f>
        <v>327.199195660166</v>
      </c>
      <c r="L11" s="0" t="n">
        <f aca="false">L8+L10+L24</f>
        <v>337.015171529971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-59.357180025</v>
      </c>
      <c r="D12" s="4" t="n">
        <f aca="false">-D6*Assumptions!D31/100</f>
        <v>-63.215396726625</v>
      </c>
      <c r="E12" s="4" t="n">
        <f aca="false">-E6*Assumptions!E31/100</f>
        <v>-67.0083205302225</v>
      </c>
      <c r="F12" s="4" t="n">
        <f aca="false">-F6*Assumptions!F31/100</f>
        <v>-71.0288197620359</v>
      </c>
      <c r="G12" s="4" t="n">
        <f aca="false">-G6*Assumptions!G31/100</f>
        <v>-74.9354048489478</v>
      </c>
      <c r="H12" s="4" t="n">
        <f aca="false">-H6*Assumptions!H31/100</f>
        <v>-78.6821750913952</v>
      </c>
      <c r="I12" s="4" t="n">
        <f aca="false">-I6*Assumptions!I31/100</f>
        <v>-82.222872970508</v>
      </c>
      <c r="J12" s="4" t="n">
        <f aca="false">-J6*Assumptions!J31/100</f>
        <v>-85.5117878893283</v>
      </c>
      <c r="K12" s="4" t="n">
        <f aca="false">-K6*Assumptions!K31/100</f>
        <v>-88.5047004654548</v>
      </c>
      <c r="L12" s="4" t="n">
        <f aca="false">-L6*Assumptions!L31/100</f>
        <v>-91.1598414794185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160.084515825</v>
      </c>
      <c r="D13" s="0" t="n">
        <f aca="false">D11+D12</f>
        <v>160.9119189405</v>
      </c>
      <c r="E13" s="0" t="n">
        <f aca="false">E11+E12</f>
        <v>170.56663407693</v>
      </c>
      <c r="F13" s="0" t="n">
        <f aca="false">F11+F12</f>
        <v>186.181603315639</v>
      </c>
      <c r="G13" s="0" t="n">
        <f aca="false">G11+G12</f>
        <v>202.098516107768</v>
      </c>
      <c r="H13" s="0" t="n">
        <f aca="false">H11+H12</f>
        <v>212.203441913157</v>
      </c>
      <c r="I13" s="0" t="n">
        <f aca="false">I11+I12</f>
        <v>221.752596799249</v>
      </c>
      <c r="J13" s="0" t="n">
        <f aca="false">J11+J12</f>
        <v>230.622700671219</v>
      </c>
      <c r="K13" s="0" t="n">
        <f aca="false">K11+K12</f>
        <v>238.694495194711</v>
      </c>
      <c r="L13" s="0" t="n">
        <f aca="false">L11+L12</f>
        <v>245.855330050553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132.87014813475</v>
      </c>
      <c r="D15" s="0" t="n">
        <f aca="false">D13-MAX(0,D13)*D14/100</f>
        <v>133.556892720615</v>
      </c>
      <c r="E15" s="0" t="n">
        <f aca="false">E13-MAX(0,E13)*E14/100</f>
        <v>141.570306283852</v>
      </c>
      <c r="F15" s="0" t="n">
        <f aca="false">F13-MAX(0,F13)*F14/100</f>
        <v>154.530730751981</v>
      </c>
      <c r="G15" s="0" t="n">
        <f aca="false">G13-MAX(0,G13)*G14/100</f>
        <v>167.741768369448</v>
      </c>
      <c r="H15" s="0" t="n">
        <f aca="false">H13-MAX(0,H13)*H14/100</f>
        <v>176.12885678792</v>
      </c>
      <c r="I15" s="0" t="n">
        <f aca="false">I13-MAX(0,I13)*I14/100</f>
        <v>184.054655343377</v>
      </c>
      <c r="J15" s="0" t="n">
        <f aca="false">J13-MAX(0,J13)*J14/100</f>
        <v>191.416841557112</v>
      </c>
      <c r="K15" s="0" t="n">
        <f aca="false">K13-MAX(0,K13)*K14/100</f>
        <v>198.116431011611</v>
      </c>
      <c r="L15" s="0" t="n">
        <f aca="false">L13-MAX(0,L13)*L14/100</f>
        <v>204.059923941959</v>
      </c>
    </row>
    <row r="16" customFormat="false" ht="15" hidden="false" customHeight="false" outlineLevel="0" collapsed="false">
      <c r="A16" s="0" t="s">
        <v>116</v>
      </c>
      <c r="C16" s="0" t="n">
        <f aca="false">-C12</f>
        <v>59.357180025</v>
      </c>
      <c r="D16" s="0" t="n">
        <f aca="false">-D12</f>
        <v>63.215396726625</v>
      </c>
      <c r="E16" s="0" t="n">
        <f aca="false">-E12</f>
        <v>67.0083205302225</v>
      </c>
      <c r="F16" s="0" t="n">
        <f aca="false">-F12</f>
        <v>71.0288197620359</v>
      </c>
      <c r="G16" s="0" t="n">
        <f aca="false">-G12</f>
        <v>74.9354048489478</v>
      </c>
      <c r="H16" s="0" t="n">
        <f aca="false">-H12</f>
        <v>78.6821750913952</v>
      </c>
      <c r="I16" s="0" t="n">
        <f aca="false">-I12</f>
        <v>82.222872970508</v>
      </c>
      <c r="J16" s="0" t="n">
        <f aca="false">-J12</f>
        <v>85.5117878893283</v>
      </c>
      <c r="K16" s="0" t="n">
        <f aca="false">-K12</f>
        <v>88.5047004654548</v>
      </c>
      <c r="L16" s="0" t="n">
        <f aca="false">-L12</f>
        <v>91.1598414794185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-88.136418825</v>
      </c>
      <c r="D17" s="4" t="n">
        <f aca="false">-D6*Assumptions!D32/100</f>
        <v>-91.949667966</v>
      </c>
      <c r="E17" s="4" t="n">
        <f aca="false">-E6*Assumptions!E32/100</f>
        <v>-93.405537708795</v>
      </c>
      <c r="F17" s="4" t="n">
        <f aca="false">-F6*Assumptions!F32/100</f>
        <v>-96.8574814936853</v>
      </c>
      <c r="G17" s="4" t="n">
        <f aca="false">-G6*Assumptions!G32/100</f>
        <v>-99.9138731319304</v>
      </c>
      <c r="H17" s="4" t="n">
        <f aca="false">-H6*Assumptions!H32/100</f>
        <v>-102.525258452424</v>
      </c>
      <c r="I17" s="4" t="n">
        <f aca="false">-I6*Assumptions!I32/100</f>
        <v>-107.138895082783</v>
      </c>
      <c r="J17" s="4" t="n">
        <f aca="false">-J6*Assumptions!J32/100</f>
        <v>-111.424450886094</v>
      </c>
      <c r="K17" s="4" t="n">
        <f aca="false">-K6*Assumptions!K32/100</f>
        <v>-115.324306667108</v>
      </c>
      <c r="L17" s="4" t="n">
        <f aca="false">-L6*Assumptions!L32/100</f>
        <v>-118.784035867121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-42.72935625</v>
      </c>
      <c r="D18" s="4" t="n">
        <f aca="false">(D6-C6)*Assumptions!$B$37/100</f>
        <v>-29.22891440625</v>
      </c>
      <c r="E18" s="4" t="n">
        <f aca="false">(E6-D6)*Assumptions!$B$37/100</f>
        <v>-28.734271239375</v>
      </c>
      <c r="F18" s="4" t="n">
        <f aca="false">(F6-E6)*Assumptions!$B$37/100</f>
        <v>-30.4583275137376</v>
      </c>
      <c r="G18" s="4" t="n">
        <f aca="false">(G6-F6)*Assumptions!$B$37/100</f>
        <v>-29.5953415675149</v>
      </c>
      <c r="H18" s="4" t="n">
        <f aca="false">(H6-G6)*Assumptions!$B$37/100</f>
        <v>-28.3846230488439</v>
      </c>
      <c r="I18" s="4" t="n">
        <f aca="false">(I6-H6)*Assumptions!$B$37/100</f>
        <v>-26.8234687811574</v>
      </c>
      <c r="J18" s="4" t="n">
        <f aca="false">(J6-I6)*Assumptions!$B$37/100</f>
        <v>-24.9160221122752</v>
      </c>
      <c r="K18" s="4" t="n">
        <f aca="false">(K6-J6)*Assumptions!$B$37/100</f>
        <v>-22.6735801221704</v>
      </c>
      <c r="L18" s="4" t="n">
        <f aca="false">(L6-K6)*Assumptions!$B$37/100</f>
        <v>-20.1147046512398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61.36155308475</v>
      </c>
      <c r="D19" s="0" t="n">
        <f aca="false">D15+D16+D17+D18</f>
        <v>75.59370707499</v>
      </c>
      <c r="E19" s="0" t="n">
        <f aca="false">E15+E16+E17+E18</f>
        <v>86.4388178659044</v>
      </c>
      <c r="F19" s="0" t="n">
        <f aca="false">F15+F16+F17+F18</f>
        <v>98.2437415065938</v>
      </c>
      <c r="G19" s="0" t="n">
        <f aca="false">G15+G16+G17+G18</f>
        <v>113.16795851895</v>
      </c>
      <c r="H19" s="0" t="n">
        <f aca="false">H15+H16+H17+H18</f>
        <v>123.901150378047</v>
      </c>
      <c r="I19" s="0" t="n">
        <f aca="false">I15+I16+I17+I18</f>
        <v>132.315164449944</v>
      </c>
      <c r="J19" s="0" t="n">
        <f aca="false">J15+J16+J17+J18</f>
        <v>140.58815644807</v>
      </c>
      <c r="K19" s="0" t="n">
        <f aca="false">K15+K16+K17+K18</f>
        <v>148.623244687787</v>
      </c>
      <c r="L19" s="0" t="n">
        <f aca="false">L15+L16+L17+L18</f>
        <v>156.321024903017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56.0379480226028</v>
      </c>
      <c r="D21" s="0" t="n">
        <f aca="false">D19*D20</f>
        <v>63.0459807551886</v>
      </c>
      <c r="E21" s="0" t="n">
        <f aca="false">E19*E20</f>
        <v>65.8364585349679</v>
      </c>
      <c r="F21" s="0" t="n">
        <f aca="false">F19*F20</f>
        <v>68.3358210876382</v>
      </c>
      <c r="G21" s="0" t="n">
        <f aca="false">G19*G20</f>
        <v>71.8874180747073</v>
      </c>
      <c r="H21" s="0" t="n">
        <f aca="false">H19*H20</f>
        <v>71.8771127674739</v>
      </c>
      <c r="I21" s="0" t="n">
        <f aca="false">I19*I20</f>
        <v>70.0988327974174</v>
      </c>
      <c r="J21" s="0" t="n">
        <f aca="false">J19*J20</f>
        <v>68.0198676544851</v>
      </c>
      <c r="K21" s="0" t="n">
        <f aca="false">K19*K20</f>
        <v>65.6688885432931</v>
      </c>
      <c r="L21" s="0" t="n">
        <f aca="false">L19*L20</f>
        <v>63.0777512340172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663.886079471791</v>
      </c>
    </row>
    <row r="31" customFormat="false" ht="15" hidden="false" customHeight="false" outlineLevel="0" collapsed="false">
      <c r="A31" s="0" t="s">
        <v>125</v>
      </c>
      <c r="B31" s="0" t="n">
        <f aca="false">L19</f>
        <v>156.321024903017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2288.98643607988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2032.17332373921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2032.17332373921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820.010766042223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1483.89684551401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1625.20984551401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25.0478871859008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-0.233071427253496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41.9492529525583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48.9660993900141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26.4490831577496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1281.83240420474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14.9205295178066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13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1627.785</v>
      </c>
      <c r="C6" s="0" t="n">
        <f aca="false">B6*(1+C5/100)</f>
        <v>1839.39705</v>
      </c>
      <c r="D6" s="0" t="n">
        <f aca="false">C6*(1+D5/100)</f>
        <v>2023.336755</v>
      </c>
      <c r="E6" s="0" t="n">
        <f aca="false">D6*(1+E5/100)</f>
        <v>2205.43706295</v>
      </c>
      <c r="F6" s="0" t="n">
        <f aca="false">E6*(1+F5/100)</f>
        <v>2381.872027986</v>
      </c>
      <c r="G6" s="0" t="n">
        <f aca="false">F6*(1+G5/100)</f>
        <v>2548.60306994502</v>
      </c>
      <c r="H6" s="0" t="n">
        <f aca="false">G6*(1+H5/100)</f>
        <v>2701.51925414172</v>
      </c>
      <c r="I6" s="0" t="n">
        <f aca="false">H6*(1+I5/100)</f>
        <v>2836.59521684881</v>
      </c>
      <c r="J6" s="0" t="n">
        <f aca="false">I6*(1+J5/100)</f>
        <v>2964.242001607</v>
      </c>
      <c r="K6" s="0" t="n">
        <f aca="false">J6*(1+K5/100)</f>
        <v>3082.81168167129</v>
      </c>
      <c r="L6" s="0" t="n">
        <f aca="false">K6*(1+L5/100)</f>
        <v>3190.71009052978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13</v>
      </c>
      <c r="D7" s="4" t="n">
        <f aca="false">Assumptions!D42</f>
        <v>13.5</v>
      </c>
      <c r="E7" s="4" t="n">
        <f aca="false">Assumptions!E42</f>
        <v>14</v>
      </c>
      <c r="F7" s="4" t="n">
        <f aca="false">Assumptions!F42</f>
        <v>14.5</v>
      </c>
      <c r="G7" s="4" t="n">
        <f aca="false">Assumptions!G42</f>
        <v>15</v>
      </c>
      <c r="H7" s="4" t="n">
        <f aca="false">Assumptions!H42</f>
        <v>15</v>
      </c>
      <c r="I7" s="4" t="n">
        <f aca="false">Assumptions!I42</f>
        <v>15</v>
      </c>
      <c r="J7" s="4" t="n">
        <f aca="false">Assumptions!J42</f>
        <v>15</v>
      </c>
      <c r="K7" s="4" t="n">
        <f aca="false">Assumptions!K42</f>
        <v>15</v>
      </c>
      <c r="L7" s="4" t="n">
        <f aca="false">Assumptions!L42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239.1216165</v>
      </c>
      <c r="D8" s="0" t="n">
        <f aca="false">D6*D7/100</f>
        <v>273.150461925</v>
      </c>
      <c r="E8" s="0" t="n">
        <f aca="false">E6*E7/100</f>
        <v>308.761188813</v>
      </c>
      <c r="F8" s="0" t="n">
        <f aca="false">F6*F7/100</f>
        <v>345.37144405797</v>
      </c>
      <c r="G8" s="0" t="n">
        <f aca="false">G6*G7/100</f>
        <v>382.290460491753</v>
      </c>
      <c r="H8" s="0" t="n">
        <f aca="false">H6*H7/100</f>
        <v>405.227888121258</v>
      </c>
      <c r="I8" s="0" t="n">
        <f aca="false">I6*I7/100</f>
        <v>425.489282527321</v>
      </c>
      <c r="J8" s="0" t="n">
        <f aca="false">J6*J7/100</f>
        <v>444.636300241051</v>
      </c>
      <c r="K8" s="0" t="n">
        <f aca="false">K6*K7/100</f>
        <v>462.421752250693</v>
      </c>
      <c r="L8" s="0" t="n">
        <f aca="false">L6*L7/100</f>
        <v>478.606513579467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-5.51819115</v>
      </c>
      <c r="D10" s="0" t="n">
        <f aca="false">-D6*D9/100</f>
        <v>-6.070010265</v>
      </c>
      <c r="E10" s="0" t="n">
        <f aca="false">-E6*E9/100</f>
        <v>-6.61631118885</v>
      </c>
      <c r="F10" s="0" t="n">
        <f aca="false">-F6*F9/100</f>
        <v>-7.145616083958</v>
      </c>
      <c r="G10" s="0" t="n">
        <f aca="false">-G6*G9/100</f>
        <v>-7.64580920983506</v>
      </c>
      <c r="H10" s="0" t="n">
        <f aca="false">-H6*H9/100</f>
        <v>-8.10455776242517</v>
      </c>
      <c r="I10" s="0" t="n">
        <f aca="false">-I6*I9/100</f>
        <v>-8.50978565054643</v>
      </c>
      <c r="J10" s="0" t="n">
        <f aca="false">-J6*J9/100</f>
        <v>-8.89272600482101</v>
      </c>
      <c r="K10" s="0" t="n">
        <f aca="false">-K6*K9/100</f>
        <v>-9.24843504501386</v>
      </c>
      <c r="L10" s="0" t="n">
        <f aca="false">-L6*L9/100</f>
        <v>-9.57213027158934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233.60342535</v>
      </c>
      <c r="D11" s="0" t="n">
        <f aca="false">D8+D10+D24</f>
        <v>267.08045166</v>
      </c>
      <c r="E11" s="0" t="n">
        <f aca="false">E8+E10+E24</f>
        <v>302.14487762415</v>
      </c>
      <c r="F11" s="0" t="n">
        <f aca="false">F8+F10+F24</f>
        <v>338.225827974012</v>
      </c>
      <c r="G11" s="0" t="n">
        <f aca="false">G8+G10+G24</f>
        <v>374.644651281918</v>
      </c>
      <c r="H11" s="0" t="n">
        <f aca="false">H8+H10+H24</f>
        <v>397.123330358833</v>
      </c>
      <c r="I11" s="0" t="n">
        <f aca="false">I8+I10+I24</f>
        <v>416.979496876775</v>
      </c>
      <c r="J11" s="0" t="n">
        <f aca="false">J8+J10+J24</f>
        <v>435.74357423623</v>
      </c>
      <c r="K11" s="0" t="n">
        <f aca="false">K8+K10+K24</f>
        <v>453.173317205679</v>
      </c>
      <c r="L11" s="0" t="n">
        <f aca="false">L8+L10+L24</f>
        <v>469.034383307878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-60.70010265</v>
      </c>
      <c r="D12" s="4" t="n">
        <f aca="false">-D6*Assumptions!D45/100</f>
        <v>-66.770112915</v>
      </c>
      <c r="E12" s="4" t="n">
        <f aca="false">-E6*Assumptions!E45/100</f>
        <v>-72.77942307735</v>
      </c>
      <c r="F12" s="4" t="n">
        <f aca="false">-F6*Assumptions!F45/100</f>
        <v>-78.601776923538</v>
      </c>
      <c r="G12" s="4" t="n">
        <f aca="false">-G6*Assumptions!G45/100</f>
        <v>-84.1039013081857</v>
      </c>
      <c r="H12" s="4" t="n">
        <f aca="false">-H6*Assumptions!H45/100</f>
        <v>-89.1501353866768</v>
      </c>
      <c r="I12" s="4" t="n">
        <f aca="false">-I6*Assumptions!I45/100</f>
        <v>-93.6076421560107</v>
      </c>
      <c r="J12" s="4" t="n">
        <f aca="false">-J6*Assumptions!J45/100</f>
        <v>-97.8199860530312</v>
      </c>
      <c r="K12" s="4" t="n">
        <f aca="false">-K6*Assumptions!K45/100</f>
        <v>-101.732785495152</v>
      </c>
      <c r="L12" s="4" t="n">
        <f aca="false">-L6*Assumptions!L45/100</f>
        <v>-105.293432987483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172.9033227</v>
      </c>
      <c r="D13" s="0" t="n">
        <f aca="false">D11+D12</f>
        <v>200.310338745</v>
      </c>
      <c r="E13" s="0" t="n">
        <f aca="false">E11+E12</f>
        <v>229.3654545468</v>
      </c>
      <c r="F13" s="0" t="n">
        <f aca="false">F11+F12</f>
        <v>259.624051050474</v>
      </c>
      <c r="G13" s="0" t="n">
        <f aca="false">G11+G12</f>
        <v>290.540749973732</v>
      </c>
      <c r="H13" s="0" t="n">
        <f aca="false">H11+H12</f>
        <v>307.973194972156</v>
      </c>
      <c r="I13" s="0" t="n">
        <f aca="false">I11+I12</f>
        <v>323.371854720764</v>
      </c>
      <c r="J13" s="0" t="n">
        <f aca="false">J11+J12</f>
        <v>337.923588183199</v>
      </c>
      <c r="K13" s="0" t="n">
        <f aca="false">K11+K12</f>
        <v>351.440531710526</v>
      </c>
      <c r="L13" s="0" t="n">
        <f aca="false">L11+L12</f>
        <v>363.740950320395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143.509757841</v>
      </c>
      <c r="D15" s="0" t="n">
        <f aca="false">D13-MAX(0,D13)*D14/100</f>
        <v>166.25758115835</v>
      </c>
      <c r="E15" s="0" t="n">
        <f aca="false">E13-MAX(0,E13)*E14/100</f>
        <v>190.373327273844</v>
      </c>
      <c r="F15" s="0" t="n">
        <f aca="false">F13-MAX(0,F13)*F14/100</f>
        <v>215.487962371893</v>
      </c>
      <c r="G15" s="0" t="n">
        <f aca="false">G13-MAX(0,G13)*G14/100</f>
        <v>241.148822478198</v>
      </c>
      <c r="H15" s="0" t="n">
        <f aca="false">H13-MAX(0,H13)*H14/100</f>
        <v>255.61775182689</v>
      </c>
      <c r="I15" s="0" t="n">
        <f aca="false">I13-MAX(0,I13)*I14/100</f>
        <v>268.398639418234</v>
      </c>
      <c r="J15" s="0" t="n">
        <f aca="false">J13-MAX(0,J13)*J14/100</f>
        <v>280.476578192055</v>
      </c>
      <c r="K15" s="0" t="n">
        <f aca="false">K13-MAX(0,K13)*K14/100</f>
        <v>291.695641319737</v>
      </c>
      <c r="L15" s="0" t="n">
        <f aca="false">L13-MAX(0,L13)*L14/100</f>
        <v>301.904988765928</v>
      </c>
    </row>
    <row r="16" customFormat="false" ht="15" hidden="false" customHeight="false" outlineLevel="0" collapsed="false">
      <c r="A16" s="0" t="s">
        <v>116</v>
      </c>
      <c r="C16" s="0" t="n">
        <f aca="false">-C12</f>
        <v>60.70010265</v>
      </c>
      <c r="D16" s="0" t="n">
        <f aca="false">-D12</f>
        <v>66.770112915</v>
      </c>
      <c r="E16" s="0" t="n">
        <f aca="false">-E12</f>
        <v>72.77942307735</v>
      </c>
      <c r="F16" s="0" t="n">
        <f aca="false">-F12</f>
        <v>78.601776923538</v>
      </c>
      <c r="G16" s="0" t="n">
        <f aca="false">-G12</f>
        <v>84.1039013081857</v>
      </c>
      <c r="H16" s="0" t="n">
        <f aca="false">-H12</f>
        <v>89.1501353866768</v>
      </c>
      <c r="I16" s="0" t="n">
        <f aca="false">-I12</f>
        <v>93.6076421560107</v>
      </c>
      <c r="J16" s="0" t="n">
        <f aca="false">-J12</f>
        <v>97.8199860530312</v>
      </c>
      <c r="K16" s="0" t="n">
        <f aca="false">-K12</f>
        <v>101.732785495152</v>
      </c>
      <c r="L16" s="0" t="n">
        <f aca="false">-L12</f>
        <v>105.293432987483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-91.9698525</v>
      </c>
      <c r="D17" s="4" t="n">
        <f aca="false">-D6*Assumptions!D46/100</f>
        <v>-101.16683775</v>
      </c>
      <c r="E17" s="4" t="n">
        <f aca="false">-E6*Assumptions!E46/100</f>
        <v>-105.8609790216</v>
      </c>
      <c r="F17" s="4" t="n">
        <f aca="false">-F6*Assumptions!F46/100</f>
        <v>-109.566113287356</v>
      </c>
      <c r="G17" s="4" t="n">
        <f aca="false">-G6*Assumptions!G46/100</f>
        <v>-114.687138147526</v>
      </c>
      <c r="H17" s="4" t="n">
        <f aca="false">-H6*Assumptions!H46/100</f>
        <v>-118.866847182236</v>
      </c>
      <c r="I17" s="4" t="n">
        <f aca="false">-I6*Assumptions!I46/100</f>
        <v>-124.810189541348</v>
      </c>
      <c r="J17" s="4" t="n">
        <f aca="false">-J6*Assumptions!J46/100</f>
        <v>-130.426648070708</v>
      </c>
      <c r="K17" s="4" t="n">
        <f aca="false">-K6*Assumptions!K46/100</f>
        <v>-135.643713993537</v>
      </c>
      <c r="L17" s="4" t="n">
        <f aca="false">-L6*Assumptions!L46/100</f>
        <v>-140.39124398331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-52.9030124999999</v>
      </c>
      <c r="D18" s="4" t="n">
        <f aca="false">(D6-C6)*Assumptions!$B$51/100</f>
        <v>-45.9849262500001</v>
      </c>
      <c r="E18" s="4" t="n">
        <f aca="false">(E6-D6)*Assumptions!$B$51/100</f>
        <v>-45.5250769875001</v>
      </c>
      <c r="F18" s="4" t="n">
        <f aca="false">(F6-E6)*Assumptions!$B$51/100</f>
        <v>-44.108741259</v>
      </c>
      <c r="G18" s="4" t="n">
        <f aca="false">(G6-F6)*Assumptions!$B$51/100</f>
        <v>-41.6827604897551</v>
      </c>
      <c r="H18" s="4" t="n">
        <f aca="false">(H6-G6)*Assumptions!$B$51/100</f>
        <v>-38.2290460491754</v>
      </c>
      <c r="I18" s="4" t="n">
        <f aca="false">(I6-H6)*Assumptions!$B$51/100</f>
        <v>-33.7689906767715</v>
      </c>
      <c r="J18" s="4" t="n">
        <f aca="false">(J6-I6)*Assumptions!$B$51/100</f>
        <v>-31.911696189549</v>
      </c>
      <c r="K18" s="4" t="n">
        <f aca="false">(K6-J6)*Assumptions!$B$51/100</f>
        <v>-29.6424200160701</v>
      </c>
      <c r="L18" s="4" t="n">
        <f aca="false">(L6-K6)*Assumptions!$B$51/100</f>
        <v>-26.9746022146237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59.336995491</v>
      </c>
      <c r="D19" s="0" t="n">
        <f aca="false">D15+D16+D17+D18</f>
        <v>85.8759300733499</v>
      </c>
      <c r="E19" s="0" t="n">
        <f aca="false">E15+E16+E17+E18</f>
        <v>111.766694342094</v>
      </c>
      <c r="F19" s="0" t="n">
        <f aca="false">F15+F16+F17+F18</f>
        <v>140.414884749076</v>
      </c>
      <c r="G19" s="0" t="n">
        <f aca="false">G15+G16+G17+G18</f>
        <v>168.882825149103</v>
      </c>
      <c r="H19" s="0" t="n">
        <f aca="false">H15+H16+H17+H18</f>
        <v>187.671993982155</v>
      </c>
      <c r="I19" s="0" t="n">
        <f aca="false">I15+I16+I17+I18</f>
        <v>203.427101356126</v>
      </c>
      <c r="J19" s="0" t="n">
        <f aca="false">J15+J16+J17+J18</f>
        <v>215.958219984829</v>
      </c>
      <c r="K19" s="0" t="n">
        <f aca="false">K15+K16+K17+K18</f>
        <v>228.142292805283</v>
      </c>
      <c r="L19" s="0" t="n">
        <f aca="false">L15+L16+L17+L18</f>
        <v>239.832575555477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54.1890369780822</v>
      </c>
      <c r="D21" s="0" t="n">
        <f aca="false">D19*D20</f>
        <v>71.6214675034715</v>
      </c>
      <c r="E21" s="0" t="n">
        <f aca="false">E19*E20</f>
        <v>85.1275331999441</v>
      </c>
      <c r="F21" s="0" t="n">
        <f aca="false">F19*F20</f>
        <v>97.6689842539247</v>
      </c>
      <c r="G21" s="0" t="n">
        <f aca="false">G19*G20</f>
        <v>107.279042725669</v>
      </c>
      <c r="H21" s="0" t="n">
        <f aca="false">H19*H20</f>
        <v>108.871637055777</v>
      </c>
      <c r="I21" s="0" t="n">
        <f aca="false">I19*I20</f>
        <v>107.773001104655</v>
      </c>
      <c r="J21" s="0" t="n">
        <f aca="false">J19*J20</f>
        <v>104.485682957882</v>
      </c>
      <c r="K21" s="0" t="n">
        <f aca="false">K19*K20</f>
        <v>100.804223657704</v>
      </c>
      <c r="L21" s="0" t="n">
        <f aca="false">L19*L20</f>
        <v>96.7758466788945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934.596456116005</v>
      </c>
    </row>
    <row r="31" customFormat="false" ht="15" hidden="false" customHeight="false" outlineLevel="0" collapsed="false">
      <c r="A31" s="0" t="s">
        <v>125</v>
      </c>
      <c r="B31" s="0" t="n">
        <f aca="false">L19</f>
        <v>239.832575555477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3800.4238895714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3117.8234822212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3117.8234822212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1258.08600682563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2192.68246294163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2333.99546294163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35.9717578683978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0.101401036999321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46.4297391463253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61.2056165040234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37.6306441057573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2058.56294018451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20.9106640738816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14.5563125726931</v>
      </c>
      <c r="C4" s="0" t="n">
        <f aca="false">B4/Assumptions!$B$2-1</f>
        <v>-0.554307637088392</v>
      </c>
      <c r="D4" s="4" t="n">
        <f aca="false">Assumptions!$B$24</f>
        <v>0.3</v>
      </c>
      <c r="E4" s="4" t="n">
        <f aca="false">DCF_Bear!$B$43</f>
        <v>15.9352916262591</v>
      </c>
      <c r="F4" s="4" t="n">
        <f aca="false">DCF_Bear!$B$47</f>
        <v>9.4541506326302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25.0478871859008</v>
      </c>
      <c r="C5" s="0" t="n">
        <f aca="false">B5/Assumptions!$B$2-1</f>
        <v>-0.233071427253496</v>
      </c>
      <c r="D5" s="4" t="n">
        <f aca="false">Assumptions!$B$38</f>
        <v>0.5</v>
      </c>
      <c r="E5" s="4" t="n">
        <f aca="false">DCF_Base!$B$43</f>
        <v>26.4490831577496</v>
      </c>
      <c r="F5" s="4" t="n">
        <f aca="false">DCF_Base!$B$47</f>
        <v>14.9205295178066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35.9717578683978</v>
      </c>
      <c r="C6" s="0" t="n">
        <f aca="false">B6/Assumptions!$B$2-1</f>
        <v>0.101401036999321</v>
      </c>
      <c r="D6" s="4" t="n">
        <f aca="false">Assumptions!$B$52</f>
        <v>0.2</v>
      </c>
      <c r="E6" s="4" t="n">
        <f aca="false">DCF_Bull!$B$43</f>
        <v>37.6306441057573</v>
      </c>
      <c r="F6" s="4" t="n">
        <f aca="false">DCF_Bull!$B$47</f>
        <v>20.9106640738816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24.0851889384379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25.531257887904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-0.356020087011957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592.973873391593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14.4786427634687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25.9049501967409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25.0478871859008</v>
      </c>
      <c r="C16" s="3" t="n">
        <v>9.5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24.2292975169371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21.9012568722718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19.5875058042189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14.9205295178066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28.728276410004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28.728276410004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28.728276410004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28.728276410004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28.728276410004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26.802553869861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26.802553869861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26.802553869861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26.802553869861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26.802553869861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24.74408711025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25.0478871859008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25.0478871859008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25.0478871859008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25.0478871859008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21.9184479235705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22.5595498985091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23.2807896203151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23.4472295561164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23.4472295561164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19.6734561338935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20.1495051154115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20.6784484282092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21.269620366042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21.9346887961039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2026-10-18T00:05:00Z</dcterms:created>
  <dc:creator>openpyxl</dc:creator>
  <dc:description/>
  <dc:language>en-NZ</dc:language>
  <cp:lastModifiedBy/>
  <dcterms:modified xsi:type="dcterms:W3CDTF">2026-10-18T00:05:00Z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