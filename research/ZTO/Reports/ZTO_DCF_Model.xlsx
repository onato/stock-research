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<sst xmlns="http://schemas.openxmlformats.org/spreadsheetml/2006/main" count="368" uniqueCount="168">
  <si>
    <t xml:space="preserve">Ticker</t>
  </si>
  <si>
    <t xml:space="preserve">ZTO</t>
  </si>
  <si>
    <t xml:space="preserve">Company</t>
  </si>
  <si>
    <t xml:space="preserve">ZTO Express (Cayman)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</si>
  <si>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</si>
  <si>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</si>
  <si>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</si>
  <si>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</si>
  <si>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(Friday); valuation dated Saturday 2026-10-04, so this is the latest regular close,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</si>
  <si>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</si>
  <si>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</si>
  <si>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</si>
  <si>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</si>
  <si>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</si>
  <si>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</si>
  <si>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</si>
  <si>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</si>
  <si>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</si>
  <si>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</si>
  <si>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</si>
  <si>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</si>
  <si>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</si>
  <si>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2026-10-04T09:59:04Z</t>
  </si>
  <si>
    <t xml:space="preserve">Drivers file</t>
  </si>
  <si>
    <t xml:space="preserve">ZTO_Drivers.json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</si>
  <si>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</si>
  <si>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</si>
  <si>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</si>
  <si>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ZTO is valued as a mature, cash-generative network operator whose per-share value now comes from capex normalisation and capital return rather than from parcel growth. The build deliberately holds the EBITDA margin below the FY2023-24 peak because the revenue that is growing fastest is grossed-up and lower-margin, strips the interest earned on a CNY 38bn treasury while adding that treasury back in net cash, treats the US$1.5bn 2031 convert as debt at face rather than as dilution, and caps the terminal multiple at today's 14-15x owner FCF so no re-rating is assumed. The bear weight is raised because both the margin tailwind (regulatory) and the listing venue (ADR) depend on political decisions outside the company's control.
key_risks_to_valuation: Anti-involution enforcement lapses and Tongda price wars resume: each 1pp of EBITDA margin is worth roughly CNY 575m of annual EBITDA on FY2026 revenue; E-commerce platforms (Alibaba/Cainiao, PDD, JD, Douyin) internalise or redirect parcel volume, shrinking the third-party addressable market; HFCAA / PCAOB inspection reversal or US investment restrictions on China ADRs force a delisting or a liquidity discount regardless of operating results; RMB depreciation: the valuation is in CNY and converted at spot; a 5% RMB move is a 5% move in the USD value with no operating offset; Treasury composition risk: CNY 28bn of the 38bn 'cash' is short- and long-term investments (deposits, wealth-management products, HTM securities); a haircut for onshore/trapped cash or product risk would reduce value roughly one-for-one; Convertible put in March 2029 (US$1.5bn at par) coincides with the bear-case margin trough; covered by the treasury but it is the one refinancing date in the model; Franchise-partner profitability disputes or service failures that interrupt volume at peak seasons</t>
  </si>
  <si>
    <t xml:space="preserve">Data sources</t>
  </si>
  <si>
    <t xml:space="preserve">price: Yahoo Finance chart API regular close at inputs.price_as_of; 52-week range 18.11-26.20. FX from Yahoo CNY=X at the time stamped in fx_note; parity check against HKEX 2057.HK.
financials: FY2013-FY2025 annual history from ZTO_Metrics.csv (SEC XBRL companyfacts, currency corrected to CNY per ZTO_Corrections.jsonl); FY2025 component lines (SBC, deposit interest income, D&amp;A, PP&amp;E and land-use-right capex, cash tax paid, NCI, HTM securities, tax holidays) from us-gaap companyfacts for CIK 0001677250; 2026-06-30 balance sheet, H1 2026 income statement and cash flow, share count, convertible note terms and buyback detail from the 6-K filed 2026-08-19 (accession 0001104659-26-098506, Exhibits 99.1 and 99.2); post-June repurchases from the HKEX Next Day Disclosure Returns filed as 6-Ks on 2026-09-08 and 2026-09-28.
qualitative: ZTO_Analysis.json (2026-10-04): business model, moat, bull/bear axes, FY2026 parcel-volume guidance 40.8-42.4bn (+6-10%), recent developments.</t>
  </si>
  <si>
    <t xml:space="preserve">Scenario narrative: bear</t>
  </si>
  <si>
    <t xml:space="preserve">The margin recovery is a regulatory artefact. Once the State Post Bureau's attention moves on in 2027, J&amp;T, Yunda and STO resume price-led share grabs, ASP gives back the 2026 gains, and Alibaba/PDD/Douyin steer more volume to Cainiao and in-house networks. Revenue stalls for two years and the EBITDA margin resets to 22%. In parallel the HFCAA/PCAOB detente or broader US-China capital restrictions re-emerge as an ADR overhang -- this is priced in the bear weight rather than in the WACC, so it is charged once.</t>
  </si>
  <si>
    <t xml:space="preserve">Scenario narrative: base</t>
  </si>
  <si>
    <t xml:space="preserve">The anti-involution pricing floor annualises through 2026 and holds, but it does not widen margins because the revenue mix is shifting toward grossed-up key-account and e-commerce-return parcels. ZTO compounds revenue in the mid-to-high single digits for three years on ~6% industry volume growth plus share gains, then decays toward 2.5%. EBITDA margin sits at 27.5% -- between the FY2025 actual and the H1 2026 run-rate -- and capex normalises from 12% toward 7% of revenue as the hub and fleet build-out completes, which is where most of the FCF growth comes from. Cash tax ramps to the 25% statutory rate.</t>
  </si>
  <si>
    <t xml:space="preserve">Scenario narrative: bull</t>
  </si>
  <si>
    <t xml:space="preserve">The regulator-enforced end to below-cost pricing becomes the industry's own equilibrium: the four Tongda operators stop competing on price and the market stays rational after enforcement eases. ZTO's cost lead (gross margin ~2x SF, ~3x YTO/Yunda) converts into continued 1-2pp annual share gains and reverse-logistics scales into a higher-margin product line, taking the EBITDA margin back toward 30%. Growth holds at 7-10% through 2028 and the US$1.5bn buyback program keeps shrinking the count at a single-digit forward P/E.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</si>
  <si>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</si>
  <si>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</si>
  <si>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</si>
  <si>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</si>
  <si>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</si>
  <si>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</si>
  <si>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</si>
  <si>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</si>
  <si>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</si>
  <si>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</si>
  <si>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</si>
  <si>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</si>
  <si>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</si>
  <si>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</si>
  <si>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</si>
  <si>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</si>
  <si>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</si>
  <si>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</si>
  <si>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</si>
  <si>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</si>
  <si>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</si>
  <si>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</si>
  <si>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</si>
  <si>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</si>
  <si>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</si>
  <si>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</si>
  <si>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</si>
  <si>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</si>
  <si>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</si>
  <si>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</si>
  <si>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</si>
  <si>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</si>
  <si>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</si>
  <si>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</si>
  <si>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</si>
  <si>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</si>
  <si>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</si>
  <si>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</si>
  <si>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</si>
  <si>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</si>
  <si>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</si>
  <si>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</si>
  <si>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</si>
  <si>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</si>
  <si>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</si>
  <si>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</si>
  <si>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</si>
  <si>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</si>
  <si>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</si>
  <si>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</si>
  <si>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</si>
  <si>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</si>
  <si>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</si>
  <si>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</si>
  <si>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</si>
  <si>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</si>
  <si>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</si>
  <si>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</si>
  <si>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</si>
  <si>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</si>
  <si>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</si>
  <si>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</si>
  <si>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</si>
  <si>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</si>
  <si>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</si>
  <si>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</si>
  <si>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</si>
  <si>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</si>
  <si>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</si>
  <si>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</si>
  <si>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</si>
  <si>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</si>
  <si>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</si>
  <si>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</si>
  <si>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</si>
  <si>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</si>
  <si>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</si>
  <si>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ZTO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</si>
  <si>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</si>
  <si>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</si>
  <si>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</si>
  <si>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</si>
  <si>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</si>
  <si>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</si>
  <si>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</si>
  <si>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</si>
  <si>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</si>
  <si>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</si>
  <si>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</si>
  <si>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</si>
  <si>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</si>
  <si>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</si>
  <si>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</si>
  <si>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</si>
  <si>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</si>
  <si>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</si>
  <si>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</si>
  <si>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</si>
  <si>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</si>
  <si>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</si>
  <si>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</si>
  <si>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</si>
  <si>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</si>
  <si>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</si>
  <si>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</si>
  <si>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</si>
  <si>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</si>
  <si>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</si>
  <si>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ZTO owner-FCF component DCF: base case (millions, CNY)</t>
  </si>
  <si>
    <t xml:space="preserve">ZTO owner-FCF component DCF: bull case (millions, CNY)</t>
  </si>
  <si>
    <t xml:space="preserve">ZTO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</si>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</sst>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332.164</v>
      </c>
      <c r="S2" s="0" t="n">
        <v>36.843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3903.572</v>
      </c>
      <c r="C3" s="0" t="n">
        <v>2770.53</v>
      </c>
      <c r="D3" s="0" t="n">
        <v>1133.042</v>
      </c>
      <c r="E3" s="0" t="n">
        <v>29.0257743420641</v>
      </c>
      <c r="F3" s="0" t="n">
        <v>600.301</v>
      </c>
      <c r="G3" s="0" t="n">
        <v>15.3782484350231</v>
      </c>
      <c r="H3" s="0" t="n">
        <v>664.315</v>
      </c>
      <c r="I3" s="0" t="n">
        <v>406.426</v>
      </c>
      <c r="J3" s="0" t="n">
        <v>10.4116434896039</v>
      </c>
      <c r="K3" s="0" t="n">
        <v>0.68</v>
      </c>
      <c r="M3" s="0" t="n">
        <v>618.571</v>
      </c>
      <c r="O3" s="0" t="n">
        <v>3395.703</v>
      </c>
      <c r="S3" s="0" t="n">
        <v>163.359</v>
      </c>
      <c r="T3" s="0" t="n">
        <v>597.88274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6086.455</v>
      </c>
      <c r="C4" s="0" t="n">
        <v>3998.737</v>
      </c>
      <c r="D4" s="0" t="n">
        <v>2087.718</v>
      </c>
      <c r="E4" s="0" t="n">
        <v>34.3010504472636</v>
      </c>
      <c r="F4" s="0" t="n">
        <v>1529.229</v>
      </c>
      <c r="G4" s="0" t="n">
        <v>25.1251179873999</v>
      </c>
      <c r="H4" s="0" t="n">
        <v>1687.285</v>
      </c>
      <c r="I4" s="0" t="n">
        <v>1331.755</v>
      </c>
      <c r="J4" s="0" t="n">
        <v>21.8806349508869</v>
      </c>
      <c r="K4" s="0" t="n">
        <v>2.15</v>
      </c>
      <c r="L4" s="0" t="n">
        <v>2133.941</v>
      </c>
      <c r="M4" s="0" t="n">
        <v>1062.302</v>
      </c>
      <c r="N4" s="0" t="n">
        <v>1071.639</v>
      </c>
      <c r="O4" s="0" t="n">
        <v>5869.366</v>
      </c>
      <c r="P4" s="0" t="n">
        <v>10582.223</v>
      </c>
      <c r="Q4" s="0" t="n">
        <v>2736.002</v>
      </c>
      <c r="S4" s="0" t="n">
        <v>2452.359</v>
      </c>
      <c r="T4" s="0" t="n">
        <v>600</v>
      </c>
      <c r="U4" s="0" t="n">
        <v>116.8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9788.768</v>
      </c>
      <c r="C5" s="0" t="n">
        <v>6345.899</v>
      </c>
      <c r="D5" s="0" t="n">
        <v>3442.869</v>
      </c>
      <c r="E5" s="0" t="n">
        <v>35.1716273181671</v>
      </c>
      <c r="F5" s="0" t="n">
        <v>2768.978</v>
      </c>
      <c r="G5" s="0" t="n">
        <v>28.2872982585755</v>
      </c>
      <c r="H5" s="0" t="n">
        <v>3093.956</v>
      </c>
      <c r="I5" s="0" t="n">
        <v>2053.855</v>
      </c>
      <c r="J5" s="0" t="n">
        <v>20.9817517383189</v>
      </c>
      <c r="K5" s="0" t="n">
        <v>2.91</v>
      </c>
      <c r="L5" s="0" t="n">
        <v>2572.243</v>
      </c>
      <c r="M5" s="0" t="n">
        <v>1986.094</v>
      </c>
      <c r="N5" s="0" t="n">
        <v>586.149</v>
      </c>
      <c r="O5" s="0" t="n">
        <v>19750.747</v>
      </c>
      <c r="P5" s="0" t="n">
        <v>23403.738</v>
      </c>
      <c r="Q5" s="0" t="n">
        <v>3652.991</v>
      </c>
      <c r="S5" s="0" t="n">
        <v>11287.789</v>
      </c>
      <c r="T5" s="0" t="n">
        <v>634.581307</v>
      </c>
      <c r="U5" s="0" t="n">
        <v>122.502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13060.073</v>
      </c>
      <c r="C6" s="0" t="n">
        <v>8714.489</v>
      </c>
      <c r="D6" s="0" t="n">
        <v>4345.584</v>
      </c>
      <c r="E6" s="0" t="n">
        <v>33.2738109503676</v>
      </c>
      <c r="F6" s="0" t="n">
        <v>3748.435</v>
      </c>
      <c r="G6" s="0" t="n">
        <v>28.7014858186474</v>
      </c>
      <c r="H6" s="0" t="n">
        <v>4308.801</v>
      </c>
      <c r="I6" s="0" t="n">
        <v>3159.663</v>
      </c>
      <c r="J6" s="0" t="n">
        <v>24.1933027480015</v>
      </c>
      <c r="K6" s="0" t="n">
        <v>4.41</v>
      </c>
      <c r="L6" s="0" t="n">
        <v>3630.684</v>
      </c>
      <c r="M6" s="0" t="n">
        <v>2572.242</v>
      </c>
      <c r="N6" s="0" t="n">
        <v>1058.442</v>
      </c>
      <c r="O6" s="0" t="n">
        <v>21441.317</v>
      </c>
      <c r="P6" s="0" t="n">
        <v>25827.638</v>
      </c>
      <c r="Q6" s="0" t="n">
        <v>4386.321</v>
      </c>
      <c r="S6" s="0" t="n">
        <v>5425.024</v>
      </c>
      <c r="T6" s="0" t="n">
        <v>717.599562</v>
      </c>
      <c r="U6" s="0" t="n">
        <v>40.725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17604.451</v>
      </c>
      <c r="C7" s="0" t="n">
        <v>12239.568</v>
      </c>
      <c r="D7" s="0" t="n">
        <v>5364.883</v>
      </c>
      <c r="E7" s="0" t="n">
        <v>30.4745828199925</v>
      </c>
      <c r="F7" s="0" t="n">
        <v>4332.223</v>
      </c>
      <c r="G7" s="0" t="n">
        <v>24.6086799298655</v>
      </c>
      <c r="H7" s="0" t="n">
        <v>5185.941</v>
      </c>
      <c r="I7" s="0" t="n">
        <v>4387.912</v>
      </c>
      <c r="J7" s="0" t="n">
        <v>24.9250147022477</v>
      </c>
      <c r="K7" s="0" t="n">
        <v>5.83</v>
      </c>
      <c r="L7" s="0" t="n">
        <v>4404.051</v>
      </c>
      <c r="M7" s="0" t="n">
        <v>3323.822</v>
      </c>
      <c r="N7" s="0" t="n">
        <v>1080.229</v>
      </c>
      <c r="O7" s="0" t="n">
        <v>34269.549</v>
      </c>
      <c r="P7" s="0" t="n">
        <v>39682.857</v>
      </c>
      <c r="Q7" s="0" t="n">
        <v>5413.308</v>
      </c>
      <c r="S7" s="0" t="n">
        <v>4622.554</v>
      </c>
      <c r="T7" s="0" t="n">
        <v>785.463859</v>
      </c>
      <c r="U7" s="0" t="n">
        <v>249.478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22109.946</v>
      </c>
      <c r="C8" s="0" t="n">
        <v>15488.778</v>
      </c>
      <c r="D8" s="0" t="n">
        <v>6621.168</v>
      </c>
      <c r="E8" s="0" t="n">
        <v>29.9465588925455</v>
      </c>
      <c r="F8" s="0" t="n">
        <v>5462.831</v>
      </c>
      <c r="G8" s="0" t="n">
        <v>24.7075727819507</v>
      </c>
      <c r="H8" s="0" t="n">
        <v>6727.397</v>
      </c>
      <c r="I8" s="0" t="n">
        <v>5674.145</v>
      </c>
      <c r="J8" s="0" t="n">
        <v>25.6633146005875</v>
      </c>
      <c r="K8" s="0" t="n">
        <v>7.24</v>
      </c>
      <c r="L8" s="0" t="n">
        <v>6304.186</v>
      </c>
      <c r="M8" s="0" t="n">
        <v>4635.685</v>
      </c>
      <c r="N8" s="0" t="n">
        <v>1668.501</v>
      </c>
      <c r="O8" s="0" t="n">
        <v>38403.397</v>
      </c>
      <c r="P8" s="0" t="n">
        <v>45890.502</v>
      </c>
      <c r="Q8" s="0" t="n">
        <v>7487.105</v>
      </c>
      <c r="S8" s="0" t="n">
        <v>5270.204</v>
      </c>
      <c r="T8" s="0" t="n">
        <v>784.33112</v>
      </c>
      <c r="U8" s="0" t="n">
        <v>316.666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25214.29</v>
      </c>
      <c r="C9" s="0" t="n">
        <v>19377.184</v>
      </c>
      <c r="D9" s="0" t="n">
        <v>5837.106</v>
      </c>
      <c r="E9" s="0" t="n">
        <v>23.1499915325793</v>
      </c>
      <c r="F9" s="0" t="n">
        <v>4754.367</v>
      </c>
      <c r="G9" s="0" t="n">
        <v>18.8558432539643</v>
      </c>
      <c r="H9" s="0" t="n">
        <v>6594.829</v>
      </c>
      <c r="I9" s="0" t="n">
        <v>4326.446</v>
      </c>
      <c r="J9" s="0" t="n">
        <v>17.1587064319479</v>
      </c>
      <c r="K9" s="0" t="n">
        <v>5.42</v>
      </c>
      <c r="L9" s="0" t="n">
        <v>4950.749</v>
      </c>
      <c r="M9" s="0" t="n">
        <v>7237.302</v>
      </c>
      <c r="N9" s="0" t="n">
        <v>-2286.553</v>
      </c>
      <c r="O9" s="0" t="n">
        <v>49099.698</v>
      </c>
      <c r="P9" s="0" t="n">
        <v>59204.75</v>
      </c>
      <c r="Q9" s="0" t="n">
        <v>10105.052</v>
      </c>
      <c r="S9" s="0" t="n">
        <v>14212.778</v>
      </c>
      <c r="T9" s="0" t="n">
        <v>828.869972</v>
      </c>
      <c r="U9" s="0" t="n">
        <v>264.154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30405.839</v>
      </c>
      <c r="C10" s="0" t="n">
        <v>23816.462</v>
      </c>
      <c r="D10" s="0" t="n">
        <v>6589.377</v>
      </c>
      <c r="E10" s="0" t="n">
        <v>21.6714197559225</v>
      </c>
      <c r="F10" s="0" t="n">
        <v>5503.011</v>
      </c>
      <c r="G10" s="0" t="n">
        <v>18.0985336401998</v>
      </c>
      <c r="H10" s="0" t="n">
        <v>7724.779</v>
      </c>
      <c r="I10" s="0" t="n">
        <v>4754.827</v>
      </c>
      <c r="J10" s="0" t="n">
        <v>15.6378746858457</v>
      </c>
      <c r="K10" s="0" t="n">
        <v>5.8</v>
      </c>
      <c r="L10" s="0" t="n">
        <v>7220.217</v>
      </c>
      <c r="M10" s="0" t="n">
        <v>8360.497</v>
      </c>
      <c r="N10" s="0" t="n">
        <v>-1140.28</v>
      </c>
      <c r="O10" s="0" t="n">
        <v>48927.581</v>
      </c>
      <c r="P10" s="0" t="n">
        <v>62772.343</v>
      </c>
      <c r="Q10" s="0" t="n">
        <v>13844.762</v>
      </c>
      <c r="S10" s="0" t="n">
        <v>9721.225</v>
      </c>
      <c r="T10" s="0" t="n">
        <v>819.961265</v>
      </c>
      <c r="U10" s="0" t="n">
        <v>248.027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35376.996</v>
      </c>
      <c r="C11" s="0" t="n">
        <v>26337.721</v>
      </c>
      <c r="D11" s="0" t="n">
        <v>9039.275</v>
      </c>
      <c r="E11" s="0" t="n">
        <v>25.5512791419599</v>
      </c>
      <c r="F11" s="0" t="n">
        <v>7736.481</v>
      </c>
      <c r="G11" s="0" t="n">
        <v>21.8686770352124</v>
      </c>
      <c r="H11" s="0" t="n">
        <v>10407.027</v>
      </c>
      <c r="I11" s="0" t="n">
        <v>6809.056</v>
      </c>
      <c r="J11" s="0" t="n">
        <v>19.2471288404476</v>
      </c>
      <c r="K11" s="0" t="n">
        <v>8.41</v>
      </c>
      <c r="L11" s="0" t="n">
        <v>11479.308</v>
      </c>
      <c r="M11" s="0" t="n">
        <v>7067.744</v>
      </c>
      <c r="N11" s="0" t="n">
        <v>4411.564</v>
      </c>
      <c r="O11" s="0" t="n">
        <v>54472.47</v>
      </c>
      <c r="P11" s="0" t="n">
        <v>78523.586</v>
      </c>
      <c r="Q11" s="0" t="n">
        <v>24051.116</v>
      </c>
      <c r="S11" s="0" t="n">
        <v>11692.773</v>
      </c>
      <c r="T11" s="0" t="n">
        <v>820.273531</v>
      </c>
      <c r="U11" s="0" t="n">
        <v>178.98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38418.915</v>
      </c>
      <c r="C12" s="0" t="n">
        <v>26756.389</v>
      </c>
      <c r="D12" s="0" t="n">
        <v>11662.526</v>
      </c>
      <c r="E12" s="0" t="n">
        <v>30.3562086539924</v>
      </c>
      <c r="F12" s="0" t="n">
        <v>10007.924</v>
      </c>
      <c r="G12" s="0" t="n">
        <v>26.0494706839066</v>
      </c>
      <c r="H12" s="0" t="n">
        <v>12883.133</v>
      </c>
      <c r="I12" s="0" t="n">
        <v>8754.457</v>
      </c>
      <c r="J12" s="0" t="n">
        <v>22.7868408048483</v>
      </c>
      <c r="K12" s="0" t="n">
        <v>10.83</v>
      </c>
      <c r="L12" s="0" t="n">
        <v>13360.967</v>
      </c>
      <c r="M12" s="0" t="n">
        <v>6528.833</v>
      </c>
      <c r="N12" s="0" t="n">
        <v>6832.134</v>
      </c>
      <c r="O12" s="0" t="n">
        <v>60280.408</v>
      </c>
      <c r="P12" s="0" t="n">
        <v>88465.221</v>
      </c>
      <c r="Q12" s="0" t="n">
        <v>28184.813</v>
      </c>
      <c r="S12" s="0" t="n">
        <v>12333.884</v>
      </c>
      <c r="T12" s="0" t="n">
        <v>838.948683</v>
      </c>
      <c r="U12" s="0" t="n">
        <v>254.976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44280.72</v>
      </c>
      <c r="C13" s="0" t="n">
        <v>30563.628</v>
      </c>
      <c r="D13" s="0" t="n">
        <v>13717.092</v>
      </c>
      <c r="E13" s="0" t="n">
        <v>30.9775721803982</v>
      </c>
      <c r="F13" s="0" t="n">
        <v>11776.859</v>
      </c>
      <c r="G13" s="0" t="n">
        <v>26.5959067512904</v>
      </c>
      <c r="H13" s="0" t="n">
        <v>14800.265</v>
      </c>
      <c r="I13" s="0" t="n">
        <v>8887.595</v>
      </c>
      <c r="J13" s="0" t="n">
        <v>20.0710263970414</v>
      </c>
      <c r="K13" s="0" t="n">
        <v>10.95</v>
      </c>
      <c r="L13" s="0" t="n">
        <v>11429.436</v>
      </c>
      <c r="M13" s="0" t="n">
        <v>5208.156</v>
      </c>
      <c r="N13" s="0" t="n">
        <v>6221.28</v>
      </c>
      <c r="O13" s="0" t="n">
        <v>62674.833</v>
      </c>
      <c r="P13" s="0" t="n">
        <v>92340.33</v>
      </c>
      <c r="Q13" s="0" t="n">
        <v>29665.497</v>
      </c>
      <c r="S13" s="0" t="n">
        <v>13465.442</v>
      </c>
      <c r="T13" s="0" t="n">
        <v>838.441916</v>
      </c>
      <c r="U13" s="0" t="n">
        <v>318.692</v>
      </c>
      <c r="AA13" s="0" t="s">
        <v>18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49098.667</v>
      </c>
      <c r="C14" s="0" t="n">
        <v>36827.226</v>
      </c>
      <c r="D14" s="0" t="n">
        <v>12271.441</v>
      </c>
      <c r="E14" s="0" t="n">
        <v>24.9934300660342</v>
      </c>
      <c r="F14" s="0" t="n">
        <v>10474.861</v>
      </c>
      <c r="G14" s="0" t="n">
        <v>21.3343083224642</v>
      </c>
      <c r="H14" s="0" t="n">
        <v>13854.339</v>
      </c>
      <c r="I14" s="0" t="n">
        <v>9235.661</v>
      </c>
      <c r="J14" s="0" t="n">
        <v>18.8104108814197</v>
      </c>
      <c r="K14" s="0" t="n">
        <v>11.38</v>
      </c>
      <c r="L14" s="0" t="n">
        <v>11968.419</v>
      </c>
      <c r="M14" s="0" t="n">
        <v>5214.279</v>
      </c>
      <c r="N14" s="0" t="n">
        <v>6754.14</v>
      </c>
      <c r="O14" s="0" t="n">
        <v>67136.413</v>
      </c>
      <c r="P14" s="0" t="n">
        <v>91023.997</v>
      </c>
      <c r="Q14" s="0" t="n">
        <v>23887.584</v>
      </c>
      <c r="S14" s="0" t="n">
        <v>10011.533</v>
      </c>
      <c r="T14" s="0" t="n">
        <v>820.802763</v>
      </c>
      <c r="U14" s="0" t="n">
        <v>229.25</v>
      </c>
      <c r="AA14" s="0" t="s">
        <v>18</v>
      </c>
      <c r="AB14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19.5</v>
      </c>
    </row>
    <row r="3" customFormat="false" ht="15" hidden="false" customHeight="false" outlineLevel="0" collapsed="false">
      <c r="A3" s="0" t="s">
        <v>80</v>
      </c>
      <c r="B3" s="3" t="n">
        <v>761</v>
      </c>
    </row>
    <row r="4" customFormat="false" ht="15" hidden="false" customHeight="false" outlineLevel="0" collapsed="false">
      <c r="A4" s="0" t="s">
        <v>81</v>
      </c>
      <c r="B4" s="3" t="n">
        <v>-15860.6</v>
      </c>
    </row>
    <row r="5" customFormat="false" ht="15" hidden="false" customHeight="false" outlineLevel="0" collapsed="false">
      <c r="A5" s="0" t="s">
        <v>82</v>
      </c>
      <c r="B5" s="3" t="n">
        <v>2070.813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49098.667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0.14915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15</v>
      </c>
      <c r="D13" s="3" t="n">
        <v>1</v>
      </c>
      <c r="E13" s="3" t="n">
        <v>-1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27</v>
      </c>
      <c r="D14" s="3" t="n">
        <v>24</v>
      </c>
      <c r="E14" s="3" t="n">
        <v>22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102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6.4</v>
      </c>
      <c r="D17" s="3" t="n">
        <v>6.6</v>
      </c>
      <c r="E17" s="3" t="n">
        <v>6.8</v>
      </c>
      <c r="F17" s="3" t="n">
        <v>6.8</v>
      </c>
      <c r="G17" s="3" t="n">
        <v>6.7</v>
      </c>
      <c r="H17" s="3" t="n">
        <v>6.6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105</v>
      </c>
      <c r="C18" s="3" t="n">
        <v>9.5</v>
      </c>
      <c r="D18" s="3" t="n">
        <v>9.5</v>
      </c>
      <c r="E18" s="3" t="n">
        <v>9</v>
      </c>
      <c r="F18" s="3" t="n">
        <v>8.5</v>
      </c>
      <c r="G18" s="3" t="n">
        <v>8.5</v>
      </c>
      <c r="H18" s="3" t="n">
        <v>8</v>
      </c>
      <c r="I18" s="3" t="n">
        <v>8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106</v>
      </c>
      <c r="C19" s="3" t="n">
        <v>22</v>
      </c>
      <c r="D19" s="3" t="n">
        <v>23</v>
      </c>
      <c r="E19" s="3" t="n">
        <v>23</v>
      </c>
      <c r="F19" s="3" t="n">
        <v>24</v>
      </c>
      <c r="G19" s="3" t="n">
        <v>24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107</v>
      </c>
      <c r="B20" s="3" t="n">
        <v>9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17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27.5</v>
      </c>
      <c r="D28" s="3" t="n">
        <v>27.5</v>
      </c>
      <c r="E28" s="3" t="n">
        <v>27.5</v>
      </c>
      <c r="F28" s="3" t="n">
        <v>27.5</v>
      </c>
      <c r="G28" s="3" t="n">
        <v>27.5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102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6.3</v>
      </c>
      <c r="D31" s="3" t="n">
        <v>6.3</v>
      </c>
      <c r="E31" s="3" t="n">
        <v>6.3</v>
      </c>
      <c r="F31" s="3" t="n">
        <v>6.2</v>
      </c>
      <c r="G31" s="3" t="n">
        <v>6.2</v>
      </c>
      <c r="H31" s="3" t="n">
        <v>6.1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105</v>
      </c>
      <c r="C32" s="3" t="n">
        <v>9.5</v>
      </c>
      <c r="D32" s="3" t="n">
        <v>9</v>
      </c>
      <c r="E32" s="3" t="n">
        <v>8.5</v>
      </c>
      <c r="F32" s="3" t="n">
        <v>8</v>
      </c>
      <c r="G32" s="3" t="n">
        <v>7.5</v>
      </c>
      <c r="H32" s="3" t="n">
        <v>7.5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106</v>
      </c>
      <c r="C33" s="3" t="n">
        <v>22</v>
      </c>
      <c r="D33" s="3" t="n">
        <v>23</v>
      </c>
      <c r="E33" s="3" t="n">
        <v>23</v>
      </c>
      <c r="F33" s="3" t="n">
        <v>24</v>
      </c>
      <c r="G33" s="3" t="n">
        <v>24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107</v>
      </c>
      <c r="B34" s="3" t="n">
        <v>9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19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28</v>
      </c>
      <c r="D42" s="3" t="n">
        <v>28.5</v>
      </c>
      <c r="E42" s="3" t="n">
        <v>29</v>
      </c>
      <c r="F42" s="3" t="n">
        <v>29.5</v>
      </c>
      <c r="G42" s="3" t="n">
        <v>30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102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6.3</v>
      </c>
      <c r="D45" s="3" t="n">
        <v>6.2</v>
      </c>
      <c r="E45" s="3" t="n">
        <v>6.1</v>
      </c>
      <c r="F45" s="3" t="n">
        <v>6</v>
      </c>
      <c r="G45" s="3" t="n">
        <v>6</v>
      </c>
      <c r="H45" s="3" t="n">
        <v>5.9</v>
      </c>
      <c r="I45" s="3" t="n">
        <v>5.8</v>
      </c>
      <c r="J45" s="3" t="n">
        <v>5.8</v>
      </c>
      <c r="K45" s="3" t="n">
        <v>5.8</v>
      </c>
      <c r="L45" s="3" t="n">
        <v>5.8</v>
      </c>
    </row>
    <row r="46" customFormat="false" ht="15" hidden="false" customHeight="false" outlineLevel="0" collapsed="false">
      <c r="A46" s="0" t="s">
        <v>105</v>
      </c>
      <c r="C46" s="3" t="n">
        <v>9.5</v>
      </c>
      <c r="D46" s="3" t="n">
        <v>9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7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106</v>
      </c>
      <c r="C47" s="3" t="n">
        <v>22</v>
      </c>
      <c r="D47" s="3" t="n">
        <v>22</v>
      </c>
      <c r="E47" s="3" t="n">
        <v>23</v>
      </c>
      <c r="F47" s="3" t="n">
        <v>23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107</v>
      </c>
      <c r="B48" s="3" t="n">
        <v>9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15</v>
      </c>
      <c r="D5" s="4" t="n">
        <f aca="false">Assumptions!D13</f>
        <v>1</v>
      </c>
      <c r="E5" s="4" t="n">
        <f aca="false">Assumptions!E13</f>
        <v>-1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56463.46705</v>
      </c>
      <c r="D6" s="0" t="n">
        <f aca="false">C6*(1+D5/100)</f>
        <v>57028.1017205</v>
      </c>
      <c r="E6" s="0" t="n">
        <f aca="false">D6*(1+E5/100)</f>
        <v>56457.820703295</v>
      </c>
      <c r="F6" s="0" t="n">
        <f aca="false">E6*(1+F5/100)</f>
        <v>57586.9771173609</v>
      </c>
      <c r="G6" s="0" t="n">
        <f aca="false">F6*(1+G5/100)</f>
        <v>59026.6515452949</v>
      </c>
      <c r="H6" s="0" t="n">
        <f aca="false">G6*(1+H5/100)</f>
        <v>60502.3178339273</v>
      </c>
      <c r="I6" s="0" t="n">
        <f aca="false">H6*(1+I5/100)</f>
        <v>62014.8757797755</v>
      </c>
      <c r="J6" s="0" t="n">
        <f aca="false">I6*(1+J5/100)</f>
        <v>63565.2476742699</v>
      </c>
      <c r="K6" s="0" t="n">
        <f aca="false">J6*(1+K5/100)</f>
        <v>65154.3788661266</v>
      </c>
      <c r="L6" s="0" t="n">
        <f aca="false">K6*(1+L5/100)</f>
        <v>66783.2383377798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27</v>
      </c>
      <c r="D7" s="4" t="n">
        <f aca="false">Assumptions!D14</f>
        <v>24</v>
      </c>
      <c r="E7" s="4" t="n">
        <f aca="false">Assumptions!E14</f>
        <v>22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15245.1361035</v>
      </c>
      <c r="D8" s="0" t="n">
        <f aca="false">D6*D7/100</f>
        <v>13686.74441292</v>
      </c>
      <c r="E8" s="0" t="n">
        <f aca="false">E6*E7/100</f>
        <v>12420.7205547249</v>
      </c>
      <c r="F8" s="0" t="n">
        <f aca="false">F6*F7/100</f>
        <v>12669.1349658194</v>
      </c>
      <c r="G8" s="0" t="n">
        <f aca="false">G6*G7/100</f>
        <v>12985.8633399649</v>
      </c>
      <c r="H8" s="0" t="n">
        <f aca="false">H6*H7/100</f>
        <v>13310.509923464</v>
      </c>
      <c r="I8" s="0" t="n">
        <f aca="false">I6*I7/100</f>
        <v>13643.2726715506</v>
      </c>
      <c r="J8" s="0" t="n">
        <f aca="false">J6*J7/100</f>
        <v>13984.3544883394</v>
      </c>
      <c r="K8" s="0" t="n">
        <f aca="false">K6*K7/100</f>
        <v>14333.9633505479</v>
      </c>
      <c r="L8" s="0" t="n">
        <f aca="false">L6*L7/100</f>
        <v>14692.3124343115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-225.8538682</v>
      </c>
      <c r="D10" s="0" t="n">
        <f aca="false">-D6*D9/100</f>
        <v>-228.112406882</v>
      </c>
      <c r="E10" s="0" t="n">
        <f aca="false">-E6*E9/100</f>
        <v>-225.83128281318</v>
      </c>
      <c r="F10" s="0" t="n">
        <f aca="false">-F6*F9/100</f>
        <v>-230.347908469444</v>
      </c>
      <c r="G10" s="0" t="n">
        <f aca="false">-G6*G9/100</f>
        <v>-236.10660618118</v>
      </c>
      <c r="H10" s="0" t="n">
        <f aca="false">-H6*H9/100</f>
        <v>-242.009271335709</v>
      </c>
      <c r="I10" s="0" t="n">
        <f aca="false">-I6*I9/100</f>
        <v>-248.059503119102</v>
      </c>
      <c r="J10" s="0" t="n">
        <f aca="false">-J6*J9/100</f>
        <v>-254.260990697079</v>
      </c>
      <c r="K10" s="0" t="n">
        <f aca="false">-K6*K9/100</f>
        <v>-260.617515464506</v>
      </c>
      <c r="L10" s="0" t="n">
        <f aca="false">-L6*L9/100</f>
        <v>-267.132953351119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15019.2822353</v>
      </c>
      <c r="D11" s="0" t="n">
        <f aca="false">D8+D10+D24</f>
        <v>13458.632006038</v>
      </c>
      <c r="E11" s="0" t="n">
        <f aca="false">E8+E10+E24</f>
        <v>12194.8892719117</v>
      </c>
      <c r="F11" s="0" t="n">
        <f aca="false">F8+F10+F24</f>
        <v>12438.78705735</v>
      </c>
      <c r="G11" s="0" t="n">
        <f aca="false">G8+G10+G24</f>
        <v>12749.7567337837</v>
      </c>
      <c r="H11" s="0" t="n">
        <f aca="false">H8+H10+H24</f>
        <v>13068.5006521283</v>
      </c>
      <c r="I11" s="0" t="n">
        <f aca="false">I8+I10+I24</f>
        <v>13395.2131684315</v>
      </c>
      <c r="J11" s="0" t="n">
        <f aca="false">J8+J10+J24</f>
        <v>13730.0934976423</v>
      </c>
      <c r="K11" s="0" t="n">
        <f aca="false">K8+K10+K24</f>
        <v>14073.3458350833</v>
      </c>
      <c r="L11" s="0" t="n">
        <f aca="false">L8+L10+L24</f>
        <v>14425.1794809604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-3613.6618912</v>
      </c>
      <c r="D12" s="4" t="n">
        <f aca="false">-D6*Assumptions!D17/100</f>
        <v>-3763.854713553</v>
      </c>
      <c r="E12" s="4" t="n">
        <f aca="false">-E6*Assumptions!E17/100</f>
        <v>-3839.13180782406</v>
      </c>
      <c r="F12" s="4" t="n">
        <f aca="false">-F6*Assumptions!F17/100</f>
        <v>-3915.91444398054</v>
      </c>
      <c r="G12" s="4" t="n">
        <f aca="false">-G6*Assumptions!G17/100</f>
        <v>-3954.78565353476</v>
      </c>
      <c r="H12" s="4" t="n">
        <f aca="false">-H6*Assumptions!H17/100</f>
        <v>-3993.1529770392</v>
      </c>
      <c r="I12" s="4" t="n">
        <f aca="false">-I6*Assumptions!I17/100</f>
        <v>-4030.96692568541</v>
      </c>
      <c r="J12" s="4" t="n">
        <f aca="false">-J6*Assumptions!J17/100</f>
        <v>-4131.74109882754</v>
      </c>
      <c r="K12" s="4" t="n">
        <f aca="false">-K6*Assumptions!K17/100</f>
        <v>-4235.03462629823</v>
      </c>
      <c r="L12" s="4" t="n">
        <f aca="false">-L6*Assumptions!L17/100</f>
        <v>-4340.91049195568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11405.6203441</v>
      </c>
      <c r="D13" s="0" t="n">
        <f aca="false">D11+D12</f>
        <v>9694.777292485</v>
      </c>
      <c r="E13" s="0" t="n">
        <f aca="false">E11+E12</f>
        <v>8355.75746408766</v>
      </c>
      <c r="F13" s="0" t="n">
        <f aca="false">F11+F12</f>
        <v>8522.87261336941</v>
      </c>
      <c r="G13" s="0" t="n">
        <f aca="false">G11+G12</f>
        <v>8794.97108024894</v>
      </c>
      <c r="H13" s="0" t="n">
        <f aca="false">H11+H12</f>
        <v>9075.34767508909</v>
      </c>
      <c r="I13" s="0" t="n">
        <f aca="false">I11+I12</f>
        <v>9364.2462427461</v>
      </c>
      <c r="J13" s="0" t="n">
        <f aca="false">J11+J12</f>
        <v>9598.35239881475</v>
      </c>
      <c r="K13" s="0" t="n">
        <f aca="false">K11+K12</f>
        <v>9838.31120878512</v>
      </c>
      <c r="L13" s="0" t="n">
        <f aca="false">L11+L12</f>
        <v>10084.2689890047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8896.383868398</v>
      </c>
      <c r="D15" s="0" t="n">
        <f aca="false">D13-MAX(0,D13)*D14/100</f>
        <v>7464.97851521345</v>
      </c>
      <c r="E15" s="0" t="n">
        <f aca="false">E13-MAX(0,E13)*E14/100</f>
        <v>6433.9332473475</v>
      </c>
      <c r="F15" s="0" t="n">
        <f aca="false">F13-MAX(0,F13)*F14/100</f>
        <v>6477.38318616076</v>
      </c>
      <c r="G15" s="0" t="n">
        <f aca="false">G13-MAX(0,G13)*G14/100</f>
        <v>6684.1780209892</v>
      </c>
      <c r="H15" s="0" t="n">
        <f aca="false">H13-MAX(0,H13)*H14/100</f>
        <v>6806.51075631682</v>
      </c>
      <c r="I15" s="0" t="n">
        <f aca="false">I13-MAX(0,I13)*I14/100</f>
        <v>7023.18468205957</v>
      </c>
      <c r="J15" s="0" t="n">
        <f aca="false">J13-MAX(0,J13)*J14/100</f>
        <v>7198.76429911106</v>
      </c>
      <c r="K15" s="0" t="n">
        <f aca="false">K13-MAX(0,K13)*K14/100</f>
        <v>7378.73340658884</v>
      </c>
      <c r="L15" s="0" t="n">
        <f aca="false">L13-MAX(0,L13)*L14/100</f>
        <v>7563.20174175356</v>
      </c>
    </row>
    <row r="16" customFormat="false" ht="15" hidden="false" customHeight="false" outlineLevel="0" collapsed="false">
      <c r="A16" s="0" t="s">
        <v>122</v>
      </c>
      <c r="C16" s="0" t="n">
        <f aca="false">-C12</f>
        <v>3613.6618912</v>
      </c>
      <c r="D16" s="0" t="n">
        <f aca="false">-D12</f>
        <v>3763.854713553</v>
      </c>
      <c r="E16" s="0" t="n">
        <f aca="false">-E12</f>
        <v>3839.13180782406</v>
      </c>
      <c r="F16" s="0" t="n">
        <f aca="false">-F12</f>
        <v>3915.91444398054</v>
      </c>
      <c r="G16" s="0" t="n">
        <f aca="false">-G12</f>
        <v>3954.78565353476</v>
      </c>
      <c r="H16" s="0" t="n">
        <f aca="false">-H12</f>
        <v>3993.1529770392</v>
      </c>
      <c r="I16" s="0" t="n">
        <f aca="false">-I12</f>
        <v>4030.96692568541</v>
      </c>
      <c r="J16" s="0" t="n">
        <f aca="false">-J12</f>
        <v>4131.74109882754</v>
      </c>
      <c r="K16" s="0" t="n">
        <f aca="false">-K12</f>
        <v>4235.03462629823</v>
      </c>
      <c r="L16" s="0" t="n">
        <f aca="false">-L12</f>
        <v>4340.91049195568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-5364.02936975</v>
      </c>
      <c r="D17" s="4" t="n">
        <f aca="false">-D6*Assumptions!D18/100</f>
        <v>-5417.6696634475</v>
      </c>
      <c r="E17" s="4" t="n">
        <f aca="false">-E6*Assumptions!E18/100</f>
        <v>-5081.20386329655</v>
      </c>
      <c r="F17" s="4" t="n">
        <f aca="false">-F6*Assumptions!F18/100</f>
        <v>-4894.89305497568</v>
      </c>
      <c r="G17" s="4" t="n">
        <f aca="false">-G6*Assumptions!G18/100</f>
        <v>-5017.26538135007</v>
      </c>
      <c r="H17" s="4" t="n">
        <f aca="false">-H6*Assumptions!H18/100</f>
        <v>-4840.18542671418</v>
      </c>
      <c r="I17" s="4" t="n">
        <f aca="false">-I6*Assumptions!I18/100</f>
        <v>-4961.19006238204</v>
      </c>
      <c r="J17" s="4" t="n">
        <f aca="false">-J6*Assumptions!J18/100</f>
        <v>-4767.39357557024</v>
      </c>
      <c r="K17" s="4" t="n">
        <f aca="false">-K6*Assumptions!K18/100</f>
        <v>-4886.5784149595</v>
      </c>
      <c r="L17" s="4" t="n">
        <f aca="false">-L6*Assumptions!L18/100</f>
        <v>-5008.74287533348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7146.016389848</v>
      </c>
      <c r="D19" s="0" t="n">
        <f aca="false">D15+D16+D17+D18</f>
        <v>5811.16356531895</v>
      </c>
      <c r="E19" s="0" t="n">
        <f aca="false">E15+E16+E17+E18</f>
        <v>5191.86119187501</v>
      </c>
      <c r="F19" s="0" t="n">
        <f aca="false">F15+F16+F17+F18</f>
        <v>5498.40457516562</v>
      </c>
      <c r="G19" s="0" t="n">
        <f aca="false">G15+G16+G17+G18</f>
        <v>5621.69829317389</v>
      </c>
      <c r="H19" s="0" t="n">
        <f aca="false">H15+H16+H17+H18</f>
        <v>5959.47830664184</v>
      </c>
      <c r="I19" s="0" t="n">
        <f aca="false">I15+I16+I17+I18</f>
        <v>6092.96154536294</v>
      </c>
      <c r="J19" s="0" t="n">
        <f aca="false">J15+J16+J17+J18</f>
        <v>6563.11182236836</v>
      </c>
      <c r="K19" s="0" t="n">
        <f aca="false">K15+K16+K17+K18</f>
        <v>6727.18961792757</v>
      </c>
      <c r="L19" s="0" t="n">
        <f aca="false">L15+L16+L17+L18</f>
        <v>6895.36935837576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6555.97833931009</v>
      </c>
      <c r="D21" s="0" t="n">
        <f aca="false">D19*D20</f>
        <v>4891.14011052853</v>
      </c>
      <c r="E21" s="0" t="n">
        <f aca="false">E19*E20</f>
        <v>4009.06944313603</v>
      </c>
      <c r="F21" s="0" t="n">
        <f aca="false">F19*F20</f>
        <v>3895.20842168355</v>
      </c>
      <c r="G21" s="0" t="n">
        <f aca="false">G19*G20</f>
        <v>3653.71816503355</v>
      </c>
      <c r="H21" s="0" t="n">
        <f aca="false">H19*H20</f>
        <v>3553.442199496</v>
      </c>
      <c r="I21" s="0" t="n">
        <f aca="false">I19*I20</f>
        <v>3333.05861782699</v>
      </c>
      <c r="J21" s="0" t="n">
        <f aca="false">J19*J20</f>
        <v>3293.80451336837</v>
      </c>
      <c r="K21" s="0" t="n">
        <f aca="false">K19*K20</f>
        <v>3097.3849781675</v>
      </c>
      <c r="L21" s="0" t="n">
        <f aca="false">L19*L20</f>
        <v>2912.67853451531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39195.4833230659</v>
      </c>
    </row>
    <row r="31" customFormat="false" ht="15" hidden="false" customHeight="false" outlineLevel="0" collapsed="false">
      <c r="A31" s="0" t="s">
        <v>131</v>
      </c>
      <c r="B31" s="0" t="n">
        <f aca="false">L19</f>
        <v>6895.36935837576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100475.38207919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103430.540375636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100475.38207919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42441.8872172231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81637.3705402891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99568.7835402891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19.5146965374956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0.000753668589515311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1530.66325022615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1644.23776144206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20.1369521037115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54102.1288118714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12.1307951284249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17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57445.44039</v>
      </c>
      <c r="D6" s="0" t="n">
        <f aca="false">C6*(1+D5/100)</f>
        <v>61466.6212173</v>
      </c>
      <c r="E6" s="0" t="n">
        <f aca="false">D6*(1+E5/100)</f>
        <v>65154.618490338</v>
      </c>
      <c r="F6" s="0" t="n">
        <f aca="false">E6*(1+F5/100)</f>
        <v>68412.3494148549</v>
      </c>
      <c r="G6" s="0" t="n">
        <f aca="false">F6*(1+G5/100)</f>
        <v>71490.9051385234</v>
      </c>
      <c r="H6" s="0" t="n">
        <f aca="false">G6*(1+H5/100)</f>
        <v>74350.5413440643</v>
      </c>
      <c r="I6" s="0" t="n">
        <f aca="false">H6*(1+I5/100)</f>
        <v>76952.8102911066</v>
      </c>
      <c r="J6" s="0" t="n">
        <f aca="false">I6*(1+J5/100)</f>
        <v>79261.3945998398</v>
      </c>
      <c r="K6" s="0" t="n">
        <f aca="false">J6*(1+K5/100)</f>
        <v>81639.236437835</v>
      </c>
      <c r="L6" s="0" t="n">
        <f aca="false">K6*(1+L5/100)</f>
        <v>83680.2173487808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27.5</v>
      </c>
      <c r="D7" s="4" t="n">
        <f aca="false">Assumptions!D28</f>
        <v>27.5</v>
      </c>
      <c r="E7" s="4" t="n">
        <f aca="false">Assumptions!E28</f>
        <v>27.5</v>
      </c>
      <c r="F7" s="4" t="n">
        <f aca="false">Assumptions!F28</f>
        <v>27.5</v>
      </c>
      <c r="G7" s="4" t="n">
        <f aca="false">Assumptions!G28</f>
        <v>27.5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15797.49610725</v>
      </c>
      <c r="D8" s="0" t="n">
        <f aca="false">D6*D7/100</f>
        <v>16903.3208347575</v>
      </c>
      <c r="E8" s="0" t="n">
        <f aca="false">E6*E7/100</f>
        <v>17917.520084843</v>
      </c>
      <c r="F8" s="0" t="n">
        <f aca="false">F6*F7/100</f>
        <v>18813.3960890851</v>
      </c>
      <c r="G8" s="0" t="n">
        <f aca="false">G6*G7/100</f>
        <v>19659.9989130939</v>
      </c>
      <c r="H8" s="0" t="n">
        <f aca="false">H6*H7/100</f>
        <v>20446.3988696177</v>
      </c>
      <c r="I8" s="0" t="n">
        <f aca="false">I6*I7/100</f>
        <v>21162.0228300543</v>
      </c>
      <c r="J8" s="0" t="n">
        <f aca="false">J6*J7/100</f>
        <v>21796.8835149559</v>
      </c>
      <c r="K8" s="0" t="n">
        <f aca="false">K6*K7/100</f>
        <v>22450.7900204046</v>
      </c>
      <c r="L8" s="0" t="n">
        <f aca="false">L6*L7/100</f>
        <v>23012.0597709147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-229.78176156</v>
      </c>
      <c r="D10" s="0" t="n">
        <f aca="false">-D6*D9/100</f>
        <v>-245.8664848692</v>
      </c>
      <c r="E10" s="0" t="n">
        <f aca="false">-E6*E9/100</f>
        <v>-260.618473961352</v>
      </c>
      <c r="F10" s="0" t="n">
        <f aca="false">-F6*F9/100</f>
        <v>-273.64939765942</v>
      </c>
      <c r="G10" s="0" t="n">
        <f aca="false">-G6*G9/100</f>
        <v>-285.963620554094</v>
      </c>
      <c r="H10" s="0" t="n">
        <f aca="false">-H6*H9/100</f>
        <v>-297.402165376257</v>
      </c>
      <c r="I10" s="0" t="n">
        <f aca="false">-I6*I9/100</f>
        <v>-307.811241164426</v>
      </c>
      <c r="J10" s="0" t="n">
        <f aca="false">-J6*J9/100</f>
        <v>-317.045578399359</v>
      </c>
      <c r="K10" s="0" t="n">
        <f aca="false">-K6*K9/100</f>
        <v>-326.55694575134</v>
      </c>
      <c r="L10" s="0" t="n">
        <f aca="false">-L6*L9/100</f>
        <v>-334.720869395123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15567.71434569</v>
      </c>
      <c r="D11" s="0" t="n">
        <f aca="false">D8+D10+D24</f>
        <v>16657.4543498883</v>
      </c>
      <c r="E11" s="0" t="n">
        <f aca="false">E8+E10+E24</f>
        <v>17656.9016108816</v>
      </c>
      <c r="F11" s="0" t="n">
        <f aca="false">F8+F10+F24</f>
        <v>18539.7466914257</v>
      </c>
      <c r="G11" s="0" t="n">
        <f aca="false">G8+G10+G24</f>
        <v>19374.0352925398</v>
      </c>
      <c r="H11" s="0" t="n">
        <f aca="false">H8+H10+H24</f>
        <v>20148.9967042414</v>
      </c>
      <c r="I11" s="0" t="n">
        <f aca="false">I8+I10+I24</f>
        <v>20854.2115888899</v>
      </c>
      <c r="J11" s="0" t="n">
        <f aca="false">J8+J10+J24</f>
        <v>21479.8379365566</v>
      </c>
      <c r="K11" s="0" t="n">
        <f aca="false">K8+K10+K24</f>
        <v>22124.2330746533</v>
      </c>
      <c r="L11" s="0" t="n">
        <f aca="false">L8+L10+L24</f>
        <v>22677.3389015196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-3619.06274457</v>
      </c>
      <c r="D12" s="4" t="n">
        <f aca="false">-D6*Assumptions!D31/100</f>
        <v>-3872.3971366899</v>
      </c>
      <c r="E12" s="4" t="n">
        <f aca="false">-E6*Assumptions!E31/100</f>
        <v>-4104.74096489129</v>
      </c>
      <c r="F12" s="4" t="n">
        <f aca="false">-F6*Assumptions!F31/100</f>
        <v>-4241.565663721</v>
      </c>
      <c r="G12" s="4" t="n">
        <f aca="false">-G6*Assumptions!G31/100</f>
        <v>-4432.43611858845</v>
      </c>
      <c r="H12" s="4" t="n">
        <f aca="false">-H6*Assumptions!H31/100</f>
        <v>-4535.38302198792</v>
      </c>
      <c r="I12" s="4" t="n">
        <f aca="false">-I6*Assumptions!I31/100</f>
        <v>-4617.16861746639</v>
      </c>
      <c r="J12" s="4" t="n">
        <f aca="false">-J6*Assumptions!J31/100</f>
        <v>-4755.68367599039</v>
      </c>
      <c r="K12" s="4" t="n">
        <f aca="false">-K6*Assumptions!K31/100</f>
        <v>-4898.3541862701</v>
      </c>
      <c r="L12" s="4" t="n">
        <f aca="false">-L6*Assumptions!L31/100</f>
        <v>-5020.81304092685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11948.65160112</v>
      </c>
      <c r="D13" s="0" t="n">
        <f aca="false">D11+D12</f>
        <v>12785.0572131984</v>
      </c>
      <c r="E13" s="0" t="n">
        <f aca="false">E11+E12</f>
        <v>13552.1606459903</v>
      </c>
      <c r="F13" s="0" t="n">
        <f aca="false">F11+F12</f>
        <v>14298.1810277047</v>
      </c>
      <c r="G13" s="0" t="n">
        <f aca="false">G11+G12</f>
        <v>14941.5991739514</v>
      </c>
      <c r="H13" s="0" t="n">
        <f aca="false">H11+H12</f>
        <v>15613.6136822535</v>
      </c>
      <c r="I13" s="0" t="n">
        <f aca="false">I11+I12</f>
        <v>16237.0429714235</v>
      </c>
      <c r="J13" s="0" t="n">
        <f aca="false">J11+J12</f>
        <v>16724.1542605662</v>
      </c>
      <c r="K13" s="0" t="n">
        <f aca="false">K11+K12</f>
        <v>17225.8788883832</v>
      </c>
      <c r="L13" s="0" t="n">
        <f aca="false">L11+L12</f>
        <v>17656.5258605928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9319.9482488736</v>
      </c>
      <c r="D15" s="0" t="n">
        <f aca="false">D13-MAX(0,D13)*D14/100</f>
        <v>9844.49405416277</v>
      </c>
      <c r="E15" s="0" t="n">
        <f aca="false">E13-MAX(0,E13)*E14/100</f>
        <v>10435.1636974125</v>
      </c>
      <c r="F15" s="0" t="n">
        <f aca="false">F13-MAX(0,F13)*F14/100</f>
        <v>10866.6175810556</v>
      </c>
      <c r="G15" s="0" t="n">
        <f aca="false">G13-MAX(0,G13)*G14/100</f>
        <v>11355.6153722031</v>
      </c>
      <c r="H15" s="0" t="n">
        <f aca="false">H13-MAX(0,H13)*H14/100</f>
        <v>11710.2102616901</v>
      </c>
      <c r="I15" s="0" t="n">
        <f aca="false">I13-MAX(0,I13)*I14/100</f>
        <v>12177.7822285676</v>
      </c>
      <c r="J15" s="0" t="n">
        <f aca="false">J13-MAX(0,J13)*J14/100</f>
        <v>12543.1156954246</v>
      </c>
      <c r="K15" s="0" t="n">
        <f aca="false">K13-MAX(0,K13)*K14/100</f>
        <v>12919.4091662874</v>
      </c>
      <c r="L15" s="0" t="n">
        <f aca="false">L13-MAX(0,L13)*L14/100</f>
        <v>13242.3943954446</v>
      </c>
    </row>
    <row r="16" customFormat="false" ht="15" hidden="false" customHeight="false" outlineLevel="0" collapsed="false">
      <c r="A16" s="0" t="s">
        <v>122</v>
      </c>
      <c r="C16" s="0" t="n">
        <f aca="false">-C12</f>
        <v>3619.06274457</v>
      </c>
      <c r="D16" s="0" t="n">
        <f aca="false">-D12</f>
        <v>3872.3971366899</v>
      </c>
      <c r="E16" s="0" t="n">
        <f aca="false">-E12</f>
        <v>4104.74096489129</v>
      </c>
      <c r="F16" s="0" t="n">
        <f aca="false">-F12</f>
        <v>4241.565663721</v>
      </c>
      <c r="G16" s="0" t="n">
        <f aca="false">-G12</f>
        <v>4432.43611858845</v>
      </c>
      <c r="H16" s="0" t="n">
        <f aca="false">-H12</f>
        <v>4535.38302198792</v>
      </c>
      <c r="I16" s="0" t="n">
        <f aca="false">-I12</f>
        <v>4617.16861746639</v>
      </c>
      <c r="J16" s="0" t="n">
        <f aca="false">-J12</f>
        <v>4755.68367599039</v>
      </c>
      <c r="K16" s="0" t="n">
        <f aca="false">-K12</f>
        <v>4898.3541862701</v>
      </c>
      <c r="L16" s="0" t="n">
        <f aca="false">-L12</f>
        <v>5020.81304092685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-5457.31683705</v>
      </c>
      <c r="D17" s="4" t="n">
        <f aca="false">-D6*Assumptions!D32/100</f>
        <v>-5531.995909557</v>
      </c>
      <c r="E17" s="4" t="n">
        <f aca="false">-E6*Assumptions!E32/100</f>
        <v>-5538.14257167873</v>
      </c>
      <c r="F17" s="4" t="n">
        <f aca="false">-F6*Assumptions!F32/100</f>
        <v>-5472.98795318839</v>
      </c>
      <c r="G17" s="4" t="n">
        <f aca="false">-G6*Assumptions!G32/100</f>
        <v>-5361.81788538925</v>
      </c>
      <c r="H17" s="4" t="n">
        <f aca="false">-H6*Assumptions!H32/100</f>
        <v>-5576.29060080482</v>
      </c>
      <c r="I17" s="4" t="n">
        <f aca="false">-I6*Assumptions!I32/100</f>
        <v>-5386.69672037746</v>
      </c>
      <c r="J17" s="4" t="n">
        <f aca="false">-J6*Assumptions!J32/100</f>
        <v>-5548.29762198878</v>
      </c>
      <c r="K17" s="4" t="n">
        <f aca="false">-K6*Assumptions!K32/100</f>
        <v>-5714.74655064845</v>
      </c>
      <c r="L17" s="4" t="n">
        <f aca="false">-L6*Assumptions!L32/100</f>
        <v>-5857.61521441466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7481.6941563936</v>
      </c>
      <c r="D19" s="0" t="n">
        <f aca="false">D15+D16+D17+D18</f>
        <v>8184.89528129567</v>
      </c>
      <c r="E19" s="0" t="n">
        <f aca="false">E15+E16+E17+E18</f>
        <v>9001.7620906251</v>
      </c>
      <c r="F19" s="0" t="n">
        <f aca="false">F15+F16+F17+F18</f>
        <v>9635.19529158816</v>
      </c>
      <c r="G19" s="0" t="n">
        <f aca="false">G15+G16+G17+G18</f>
        <v>10426.2336054022</v>
      </c>
      <c r="H19" s="0" t="n">
        <f aca="false">H15+H16+H17+H18</f>
        <v>10669.3026828732</v>
      </c>
      <c r="I19" s="0" t="n">
        <f aca="false">I15+I16+I17+I18</f>
        <v>11408.2541256566</v>
      </c>
      <c r="J19" s="0" t="n">
        <f aca="false">J15+J16+J17+J18</f>
        <v>11750.5017494262</v>
      </c>
      <c r="K19" s="0" t="n">
        <f aca="false">K15+K16+K17+K18</f>
        <v>12103.016801909</v>
      </c>
      <c r="L19" s="0" t="n">
        <f aca="false">L15+L16+L17+L18</f>
        <v>12405.5922219568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6863.93959302165</v>
      </c>
      <c r="D21" s="0" t="n">
        <f aca="false">D19*D20</f>
        <v>6889.06260524844</v>
      </c>
      <c r="E21" s="0" t="n">
        <f aca="false">E19*E20</f>
        <v>6951.01197782065</v>
      </c>
      <c r="F21" s="0" t="n">
        <f aca="false">F19*F20</f>
        <v>6825.81525809773</v>
      </c>
      <c r="G21" s="0" t="n">
        <f aca="false">G19*G20</f>
        <v>6776.33646102948</v>
      </c>
      <c r="H21" s="0" t="n">
        <f aca="false">H19*H20</f>
        <v>6361.75659038207</v>
      </c>
      <c r="I21" s="0" t="n">
        <f aca="false">I19*I20</f>
        <v>6240.70568060919</v>
      </c>
      <c r="J21" s="0" t="n">
        <f aca="false">J19*J20</f>
        <v>5897.1805972729</v>
      </c>
      <c r="K21" s="0" t="n">
        <f aca="false">K19*K20</f>
        <v>5572.56515155146</v>
      </c>
      <c r="L21" s="0" t="n">
        <f aca="false">L19*L20</f>
        <v>5240.25622049564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63618.6301355292</v>
      </c>
    </row>
    <row r="31" customFormat="false" ht="15" hidden="false" customHeight="false" outlineLevel="0" collapsed="false">
      <c r="A31" s="0" t="s">
        <v>131</v>
      </c>
      <c r="B31" s="0" t="n">
        <f aca="false">L19</f>
        <v>12405.5922219568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195626.64657701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186083.883329351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186083.883329351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78603.8433074346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142222.473442964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160153.886442964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31.3888990314955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0.60968712982028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1795.28657259643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2229.60700521802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32.1777464390264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101725.856220045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17.9592065390795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19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49098.667</v>
      </c>
      <c r="C6" s="0" t="n">
        <f aca="false">B6*(1+C5/100)</f>
        <v>58427.41373</v>
      </c>
      <c r="D6" s="0" t="n">
        <f aca="false">C6*(1+D5/100)</f>
        <v>64270.155103</v>
      </c>
      <c r="E6" s="0" t="n">
        <f aca="false">D6*(1+E5/100)</f>
        <v>69411.76751124</v>
      </c>
      <c r="F6" s="0" t="n">
        <f aca="false">E6*(1+F5/100)</f>
        <v>74270.5912370268</v>
      </c>
      <c r="G6" s="0" t="n">
        <f aca="false">F6*(1+G5/100)</f>
        <v>78726.8267112484</v>
      </c>
      <c r="H6" s="0" t="n">
        <f aca="false">G6*(1+H5/100)</f>
        <v>82663.1680468108</v>
      </c>
      <c r="I6" s="0" t="n">
        <f aca="false">H6*(1+I5/100)</f>
        <v>86383.0106089173</v>
      </c>
      <c r="J6" s="0" t="n">
        <f aca="false">I6*(1+J5/100)</f>
        <v>89838.331033274</v>
      </c>
      <c r="K6" s="0" t="n">
        <f aca="false">J6*(1+K5/100)</f>
        <v>92982.6726194386</v>
      </c>
      <c r="L6" s="0" t="n">
        <f aca="false">K6*(1+L5/100)</f>
        <v>95772.1527980218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28</v>
      </c>
      <c r="D7" s="4" t="n">
        <f aca="false">Assumptions!D42</f>
        <v>28.5</v>
      </c>
      <c r="E7" s="4" t="n">
        <f aca="false">Assumptions!E42</f>
        <v>29</v>
      </c>
      <c r="F7" s="4" t="n">
        <f aca="false">Assumptions!F42</f>
        <v>29.5</v>
      </c>
      <c r="G7" s="4" t="n">
        <f aca="false">Assumptions!G42</f>
        <v>30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16359.6758444</v>
      </c>
      <c r="D8" s="0" t="n">
        <f aca="false">D6*D7/100</f>
        <v>18316.994204355</v>
      </c>
      <c r="E8" s="0" t="n">
        <f aca="false">E6*E7/100</f>
        <v>20129.4125782596</v>
      </c>
      <c r="F8" s="0" t="n">
        <f aca="false">F6*F7/100</f>
        <v>21909.8244149229</v>
      </c>
      <c r="G8" s="0" t="n">
        <f aca="false">G6*G7/100</f>
        <v>23618.0480133745</v>
      </c>
      <c r="H8" s="0" t="n">
        <f aca="false">H6*H7/100</f>
        <v>24798.9504140433</v>
      </c>
      <c r="I8" s="0" t="n">
        <f aca="false">I6*I7/100</f>
        <v>25914.9031826752</v>
      </c>
      <c r="J8" s="0" t="n">
        <f aca="false">J6*J7/100</f>
        <v>26951.4993099822</v>
      </c>
      <c r="K8" s="0" t="n">
        <f aca="false">K6*K7/100</f>
        <v>27894.8017858316</v>
      </c>
      <c r="L8" s="0" t="n">
        <f aca="false">L6*L7/100</f>
        <v>28731.6458394065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-233.70965492</v>
      </c>
      <c r="D10" s="0" t="n">
        <f aca="false">-D6*D9/100</f>
        <v>-257.080620412</v>
      </c>
      <c r="E10" s="0" t="n">
        <f aca="false">-E6*E9/100</f>
        <v>-277.64707004496</v>
      </c>
      <c r="F10" s="0" t="n">
        <f aca="false">-F6*F9/100</f>
        <v>-297.082364948107</v>
      </c>
      <c r="G10" s="0" t="n">
        <f aca="false">-G6*G9/100</f>
        <v>-314.907306844994</v>
      </c>
      <c r="H10" s="0" t="n">
        <f aca="false">-H6*H9/100</f>
        <v>-330.652672187243</v>
      </c>
      <c r="I10" s="0" t="n">
        <f aca="false">-I6*I9/100</f>
        <v>-345.532042435669</v>
      </c>
      <c r="J10" s="0" t="n">
        <f aca="false">-J6*J9/100</f>
        <v>-359.353324133096</v>
      </c>
      <c r="K10" s="0" t="n">
        <f aca="false">-K6*K9/100</f>
        <v>-371.930690477754</v>
      </c>
      <c r="L10" s="0" t="n">
        <f aca="false">-L6*L9/100</f>
        <v>-383.088611192087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16125.96618948</v>
      </c>
      <c r="D11" s="0" t="n">
        <f aca="false">D8+D10+D24</f>
        <v>18059.913583943</v>
      </c>
      <c r="E11" s="0" t="n">
        <f aca="false">E8+E10+E24</f>
        <v>19851.7655082146</v>
      </c>
      <c r="F11" s="0" t="n">
        <f aca="false">F8+F10+F24</f>
        <v>21612.7420499748</v>
      </c>
      <c r="G11" s="0" t="n">
        <f aca="false">G8+G10+G24</f>
        <v>23303.1407065295</v>
      </c>
      <c r="H11" s="0" t="n">
        <f aca="false">H8+H10+H24</f>
        <v>24468.297741856</v>
      </c>
      <c r="I11" s="0" t="n">
        <f aca="false">I8+I10+I24</f>
        <v>25569.3711402395</v>
      </c>
      <c r="J11" s="0" t="n">
        <f aca="false">J8+J10+J24</f>
        <v>26592.1459858491</v>
      </c>
      <c r="K11" s="0" t="n">
        <f aca="false">K8+K10+K24</f>
        <v>27522.8710953538</v>
      </c>
      <c r="L11" s="0" t="n">
        <f aca="false">L8+L10+L24</f>
        <v>28348.5572282144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-3680.92706499</v>
      </c>
      <c r="D12" s="4" t="n">
        <f aca="false">-D6*Assumptions!D45/100</f>
        <v>-3984.749616386</v>
      </c>
      <c r="E12" s="4" t="n">
        <f aca="false">-E6*Assumptions!E45/100</f>
        <v>-4234.11781818564</v>
      </c>
      <c r="F12" s="4" t="n">
        <f aca="false">-F6*Assumptions!F45/100</f>
        <v>-4456.23547422161</v>
      </c>
      <c r="G12" s="4" t="n">
        <f aca="false">-G6*Assumptions!G45/100</f>
        <v>-4723.60960267491</v>
      </c>
      <c r="H12" s="4" t="n">
        <f aca="false">-H6*Assumptions!H45/100</f>
        <v>-4877.12691476184</v>
      </c>
      <c r="I12" s="4" t="n">
        <f aca="false">-I6*Assumptions!I45/100</f>
        <v>-5010.2146153172</v>
      </c>
      <c r="J12" s="4" t="n">
        <f aca="false">-J6*Assumptions!J45/100</f>
        <v>-5210.62319992989</v>
      </c>
      <c r="K12" s="4" t="n">
        <f aca="false">-K6*Assumptions!K45/100</f>
        <v>-5392.99501192744</v>
      </c>
      <c r="L12" s="4" t="n">
        <f aca="false">-L6*Assumptions!L45/100</f>
        <v>-5554.78486228526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12445.03912449</v>
      </c>
      <c r="D13" s="0" t="n">
        <f aca="false">D11+D12</f>
        <v>14075.163967557</v>
      </c>
      <c r="E13" s="0" t="n">
        <f aca="false">E11+E12</f>
        <v>15617.647690029</v>
      </c>
      <c r="F13" s="0" t="n">
        <f aca="false">F11+F12</f>
        <v>17156.5065757532</v>
      </c>
      <c r="G13" s="0" t="n">
        <f aca="false">G11+G12</f>
        <v>18579.5311038546</v>
      </c>
      <c r="H13" s="0" t="n">
        <f aca="false">H11+H12</f>
        <v>19591.1708270942</v>
      </c>
      <c r="I13" s="0" t="n">
        <f aca="false">I11+I12</f>
        <v>20559.1565249223</v>
      </c>
      <c r="J13" s="0" t="n">
        <f aca="false">J11+J12</f>
        <v>21381.5227859192</v>
      </c>
      <c r="K13" s="0" t="n">
        <f aca="false">K11+K12</f>
        <v>22129.8760834264</v>
      </c>
      <c r="L13" s="0" t="n">
        <f aca="false">L11+L12</f>
        <v>22793.7723659292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9707.1305171022</v>
      </c>
      <c r="D15" s="0" t="n">
        <f aca="false">D13-MAX(0,D13)*D14/100</f>
        <v>10978.6278946945</v>
      </c>
      <c r="E15" s="0" t="n">
        <f aca="false">E13-MAX(0,E13)*E14/100</f>
        <v>12025.5887213223</v>
      </c>
      <c r="F15" s="0" t="n">
        <f aca="false">F13-MAX(0,F13)*F14/100</f>
        <v>13210.51006333</v>
      </c>
      <c r="G15" s="0" t="n">
        <f aca="false">G13-MAX(0,G13)*G14/100</f>
        <v>14120.4436389295</v>
      </c>
      <c r="H15" s="0" t="n">
        <f aca="false">H13-MAX(0,H13)*H14/100</f>
        <v>14889.2898285916</v>
      </c>
      <c r="I15" s="0" t="n">
        <f aca="false">I13-MAX(0,I13)*I14/100</f>
        <v>15624.958958941</v>
      </c>
      <c r="J15" s="0" t="n">
        <f aca="false">J13-MAX(0,J13)*J14/100</f>
        <v>16249.9573172986</v>
      </c>
      <c r="K15" s="0" t="n">
        <f aca="false">K13-MAX(0,K13)*K14/100</f>
        <v>16818.7058234041</v>
      </c>
      <c r="L15" s="0" t="n">
        <f aca="false">L13-MAX(0,L13)*L14/100</f>
        <v>17323.2669981062</v>
      </c>
    </row>
    <row r="16" customFormat="false" ht="15" hidden="false" customHeight="false" outlineLevel="0" collapsed="false">
      <c r="A16" s="0" t="s">
        <v>122</v>
      </c>
      <c r="C16" s="0" t="n">
        <f aca="false">-C12</f>
        <v>3680.92706499</v>
      </c>
      <c r="D16" s="0" t="n">
        <f aca="false">-D12</f>
        <v>3984.749616386</v>
      </c>
      <c r="E16" s="0" t="n">
        <f aca="false">-E12</f>
        <v>4234.11781818564</v>
      </c>
      <c r="F16" s="0" t="n">
        <f aca="false">-F12</f>
        <v>4456.23547422161</v>
      </c>
      <c r="G16" s="0" t="n">
        <f aca="false">-G12</f>
        <v>4723.60960267491</v>
      </c>
      <c r="H16" s="0" t="n">
        <f aca="false">-H12</f>
        <v>4877.12691476184</v>
      </c>
      <c r="I16" s="0" t="n">
        <f aca="false">-I12</f>
        <v>5010.2146153172</v>
      </c>
      <c r="J16" s="0" t="n">
        <f aca="false">-J12</f>
        <v>5210.62319992989</v>
      </c>
      <c r="K16" s="0" t="n">
        <f aca="false">-K12</f>
        <v>5392.99501192744</v>
      </c>
      <c r="L16" s="0" t="n">
        <f aca="false">-L12</f>
        <v>5554.78486228526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-5550.60430435</v>
      </c>
      <c r="D17" s="4" t="n">
        <f aca="false">-D6*Assumptions!D46/100</f>
        <v>-5784.31395927</v>
      </c>
      <c r="E17" s="4" t="n">
        <f aca="false">-E6*Assumptions!E46/100</f>
        <v>-5900.0002384554</v>
      </c>
      <c r="F17" s="4" t="n">
        <f aca="false">-F6*Assumptions!F46/100</f>
        <v>-5941.64729896214</v>
      </c>
      <c r="G17" s="4" t="n">
        <f aca="false">-G6*Assumptions!G46/100</f>
        <v>-5904.51200334363</v>
      </c>
      <c r="H17" s="4" t="n">
        <f aca="false">-H6*Assumptions!H46/100</f>
        <v>-5786.42176327676</v>
      </c>
      <c r="I17" s="4" t="n">
        <f aca="false">-I6*Assumptions!I46/100</f>
        <v>-6046.81074262421</v>
      </c>
      <c r="J17" s="4" t="n">
        <f aca="false">-J6*Assumptions!J46/100</f>
        <v>-5839.49151716281</v>
      </c>
      <c r="K17" s="4" t="n">
        <f aca="false">-K6*Assumptions!K46/100</f>
        <v>-6043.87372026351</v>
      </c>
      <c r="L17" s="4" t="n">
        <f aca="false">-L6*Assumptions!L46/100</f>
        <v>-6225.18993187142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7837.4532777422</v>
      </c>
      <c r="D19" s="0" t="n">
        <f aca="false">D15+D16+D17+D18</f>
        <v>9179.06355181046</v>
      </c>
      <c r="E19" s="0" t="n">
        <f aca="false">E15+E16+E17+E18</f>
        <v>10359.7063010526</v>
      </c>
      <c r="F19" s="0" t="n">
        <f aca="false">F15+F16+F17+F18</f>
        <v>11725.0982385894</v>
      </c>
      <c r="G19" s="0" t="n">
        <f aca="false">G15+G16+G17+G18</f>
        <v>12939.5412382608</v>
      </c>
      <c r="H19" s="0" t="n">
        <f aca="false">H15+H16+H17+H18</f>
        <v>13979.9949800767</v>
      </c>
      <c r="I19" s="0" t="n">
        <f aca="false">I15+I16+I17+I18</f>
        <v>14588.362831634</v>
      </c>
      <c r="J19" s="0" t="n">
        <f aca="false">J15+J16+J17+J18</f>
        <v>15621.0890000657</v>
      </c>
      <c r="K19" s="0" t="n">
        <f aca="false">K15+K16+K17+K18</f>
        <v>16167.827115068</v>
      </c>
      <c r="L19" s="0" t="n">
        <f aca="false">L15+L16+L17+L18</f>
        <v>16652.86192852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7190.32410802037</v>
      </c>
      <c r="D21" s="0" t="n">
        <f aca="false">D19*D20</f>
        <v>7725.83414848115</v>
      </c>
      <c r="E21" s="0" t="n">
        <f aca="false">E19*E20</f>
        <v>7999.59406395731</v>
      </c>
      <c r="F21" s="0" t="n">
        <f aca="false">F19*F20</f>
        <v>8306.35519443287</v>
      </c>
      <c r="G21" s="0" t="n">
        <f aca="false">G19*G20</f>
        <v>8409.81397504744</v>
      </c>
      <c r="H21" s="0" t="n">
        <f aca="false">H19*H20</f>
        <v>8335.81423655516</v>
      </c>
      <c r="I21" s="0" t="n">
        <f aca="false">I19*I20</f>
        <v>7980.3340451032</v>
      </c>
      <c r="J21" s="0" t="n">
        <f aca="false">J19*J20</f>
        <v>7839.69782090017</v>
      </c>
      <c r="K21" s="0" t="n">
        <f aca="false">K19*K20</f>
        <v>7444.11673819419</v>
      </c>
      <c r="L21" s="0" t="n">
        <f aca="false">L19*L20</f>
        <v>7034.34884434864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78266.2331750405</v>
      </c>
    </row>
    <row r="31" customFormat="false" ht="15" hidden="false" customHeight="false" outlineLevel="0" collapsed="false">
      <c r="A31" s="0" t="s">
        <v>131</v>
      </c>
      <c r="B31" s="0" t="n">
        <f aca="false">L19</f>
        <v>16652.86192852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285874.129772927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249792.9289278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249792.9289278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105515.23266523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183781.46584027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201712.87884027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39.5341338751988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1.02739148077943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1959.90595472938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2777.92320745307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40.4627110362231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142937.064886464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22.0128461175746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19.5146965374956</v>
      </c>
      <c r="C4" s="0" t="n">
        <f aca="false">B4/Assumptions!$B$2-1</f>
        <v>0.000753668589515311</v>
      </c>
      <c r="D4" s="4" t="n">
        <f aca="false">Assumptions!$B$24</f>
        <v>0.25</v>
      </c>
      <c r="E4" s="4" t="n">
        <f aca="false">DCF_Bear!$B$43</f>
        <v>20.1369521037115</v>
      </c>
      <c r="F4" s="4" t="n">
        <f aca="false">DCF_Bear!$B$47</f>
        <v>12.1307951284249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31.3888990314955</v>
      </c>
      <c r="C5" s="0" t="n">
        <f aca="false">B5/Assumptions!$B$2-1</f>
        <v>0.60968712982028</v>
      </c>
      <c r="D5" s="4" t="n">
        <f aca="false">Assumptions!$B$38</f>
        <v>0.5</v>
      </c>
      <c r="E5" s="4" t="n">
        <f aca="false">DCF_Base!$B$43</f>
        <v>32.1777464390264</v>
      </c>
      <c r="F5" s="4" t="n">
        <f aca="false">DCF_Base!$B$47</f>
        <v>17.9592065390795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39.5341338751988</v>
      </c>
      <c r="C6" s="0" t="n">
        <f aca="false">B6/Assumptions!$B$2-1</f>
        <v>1.02739148077943</v>
      </c>
      <c r="D6" s="4" t="n">
        <f aca="false">Assumptions!$B$52</f>
        <v>0.25</v>
      </c>
      <c r="E6" s="4" t="n">
        <f aca="false">DCF_Bull!$B$43</f>
        <v>40.4627110362231</v>
      </c>
      <c r="F6" s="4" t="n">
        <f aca="false">DCF_Bull!$B$47</f>
        <v>22.0128461175746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30.4566571189213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31.2387890044968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0.359745886626358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-1400.87078931184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17.5155135810396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31.3888990314955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28.2141935678508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25.1879838905663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22.8036294446271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17.9592065390795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35.8162255956292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35.8162255956292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35.8162255956292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35.8162255956292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35.8162255956292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33.4993962298236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33.4993962298236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33.4993962298236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33.4993962298236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33.4993962298236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29.8825606402285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30.9487352158655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31.3888990314955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31.3888990314955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31.3888990314955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26.5967030366584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27.3549017231548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28.2141935678508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29.1962413903604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29.4640726146813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24.0109017714987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24.5667461055028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25.1879838905663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25.8868763987627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26.6789545747187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2026-10-04T09:59:04Z</dcterms:created>
  <dc:creator>openpyxl</dc:creator>
  <dc:description/>
  <dc:language>en-NZ</dc:language>
  <cp:lastModifiedBy/>
  <dcterms:modified xsi:type="dcterms:W3CDTF">2026-10-04T09:59:04Z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