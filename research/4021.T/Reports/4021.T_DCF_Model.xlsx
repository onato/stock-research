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<sst xmlns="http://schemas.openxmlformats.org/spreadsheetml/2006/main" count="366" uniqueCount="167">
  <si>
    <t xml:space="preserve">Ticker</t>
  </si>
  <si>
    <t xml:space="preserve">4021.T</t>
  </si>
  <si>
    <t xml:space="preserve">Company</t>
  </si>
  <si>
    <t xml:space="preserve">Nissan Chemical Corporation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</si>
  <si>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</si>
  <si>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</si>
  <si>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</si>
  <si>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</si>
  <si>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</si>
  <si>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</si>
  <si>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</si>
  <si>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</si>
  <si>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</si>
  <si>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</si>
  <si>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</si>
  <si>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</si>
  <si>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</si>
  <si>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</si>
  <si>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</si>
  <si>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</si>
  <si>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</si>
  <si>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2026-10-30T22:32:15Z</t>
  </si>
  <si>
    <t xml:space="preserve">Drivers file</t>
  </si>
  <si>
    <t xml:space="preserve">4021.T_Drivers.json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</si>
  <si>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</si>
  <si>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</si>
  <si>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</si>
  <si>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Nissan Chemical is a high-ROE (20%) R&amp;D-led specialty chemical whose earnings growth has concentrated into semiconductor process materials. The house value discounts consolidated operating cash flows at a JPY cost of capital with no SBC charge (none exists), charges the semis cycle through a 25%-weighted bear path rather than the discount rate, caps the terminal at 16x owner FCF, and adds the cross-shareholding portfolio at a haircut because its income is outside the flows. The flat share count ignores a funded ~1.5%/yr buyback, which is a deliberate conservatism.
key_risks_to_valuation: Semiconductor capex cycle: Performance Materials supplies nearly all incremental profit; a downturn is the bear path and the main reason the bear weight is 25%; Terminal cap and margin: the 16x cap binds in base, so the value is sensitive to whether a ~29.5% EBITDA margin on semis mix is sustainable against rising R&amp;D fixed cost; Working-capital intensity: trade working capital is 55% of sales; if growth consumes the full structural share rather than the -20% modelled, FCF is 3-5bn/yr lower; Agrochemical regulation (glyphosate-class, ROUNDUP marketing rights in Japan) and the timing of RYZONIC (2027) and the 2028 insecticide; Yen: a stronger yen compresses overseas semis and agrochemical revenue; flows and discount rate are both JPY so the model carries no FX translation risk of its own; Cash tax: the 27-28% path relies on continuing R&amp;D credits; reverting to the 30.6% statutory rate is worth ~4% of value</t>
  </si>
  <si>
    <t xml:space="preserve">Data sources</t>
  </si>
  <si>
    <t xml:space="preserve">price: Yahoo Finance chart API regular close at inputs.price_as_of; 52-week range 4,864-9,150
financials: 4021.T_Metrics.csv (core_metrics, J-GAAP consolidated, JPY millions) through FY ended 2026-03-31 and Q1 to 2026-06-30; balance-sheet anchors from the Q1 FY2026 tanshin (Consolidated Financial Results for the Three Months Ended June 30, 2026) and the Q4 FY2025 tanshin; guidance from the May 2026 FY2025 results presentation
qualitative: 4021.T_Analysis.json (2026-10-31)</t>
  </si>
  <si>
    <t xml:space="preserve">Scenario narrative: bear</t>
  </si>
  <si>
    <t xml:space="preserve">A semis downturn in year two (-5% group revenue, 25% margin), a continued slide in the legacy agrochemical franchise and tighter herbicide regulation leave the business growing ~3% at a 27% margin; the balance sheet (net debt 9bn, 70% equity ratio) means this is an earnings bear, not a solvency one.</t>
  </si>
  <si>
    <t xml:space="preserve">Scenario narrative: base</t>
  </si>
  <si>
    <t xml:space="preserve">Semis materials (ARC/OptiStack, +18% guided) carry group growth of ~6% fading to 2%, with agrochemicals and chemicals growing low-single digits and Healthcare flat-to-down; EBITDA margin settles at 29.5%; capex stays elevated at 7.5% of sales through the overseas build-out then normalises to 7%. Value is a 16x-capped terminal on a mature ~15% owner-FCF margin.</t>
  </si>
  <si>
    <t xml:space="preserve">Scenario narrative: bull</t>
  </si>
  <si>
    <t xml:space="preserve">AI-node demand sustains the 20%+ semis CAGR, FY ending Mar-2027 beats guidance by the Q1 run-rate, RYZONIC and the new insecticide launch on schedule, and margins reach 31% on mix. The bull needs three independent things (semis cycle, ag-chem pipeline timing, China plant qualification) to go right.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</si>
  <si>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</si>
  <si>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</si>
  <si>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</si>
  <si>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</si>
  <si>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</si>
  <si>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</si>
  <si>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</si>
  <si>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</si>
  <si>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</si>
  <si>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</si>
  <si>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</si>
  <si>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</si>
  <si>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</si>
  <si>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</si>
  <si>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</si>
  <si>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</si>
  <si>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</si>
  <si>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</si>
  <si>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</si>
  <si>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</si>
  <si>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</si>
  <si>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</si>
  <si>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</si>
  <si>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</si>
  <si>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</si>
  <si>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</si>
  <si>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</si>
  <si>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</si>
  <si>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</si>
  <si>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</si>
  <si>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</si>
  <si>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</si>
  <si>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</si>
  <si>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</si>
  <si>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</si>
  <si>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</si>
  <si>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</si>
  <si>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</si>
  <si>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</si>
  <si>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</si>
  <si>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</si>
  <si>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</si>
  <si>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</si>
  <si>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</si>
  <si>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</si>
  <si>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</si>
  <si>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</si>
  <si>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</si>
  <si>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</si>
  <si>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</si>
  <si>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</si>
  <si>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</si>
  <si>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</si>
  <si>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</si>
  <si>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</si>
  <si>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</si>
  <si>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</si>
  <si>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</si>
  <si>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</si>
  <si>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</si>
  <si>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</si>
  <si>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</si>
  <si>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</si>
  <si>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</si>
  <si>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</si>
  <si>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</si>
  <si>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</si>
  <si>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</si>
  <si>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</si>
  <si>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</si>
  <si>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</si>
  <si>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</si>
  <si>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</si>
  <si>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</si>
  <si>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</si>
  <si>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</si>
  <si>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4021.T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</si>
  <si>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</si>
  <si>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</si>
  <si>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</si>
  <si>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</si>
  <si>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</si>
  <si>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</si>
  <si>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</si>
  <si>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</si>
  <si>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</si>
  <si>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</si>
  <si>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</si>
  <si>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</si>
  <si>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</si>
  <si>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</si>
  <si>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</si>
  <si>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</si>
  <si>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</si>
  <si>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</si>
  <si>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</si>
  <si>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</si>
  <si>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</si>
  <si>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</si>
  <si>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</si>
  <si>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</si>
  <si>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</si>
  <si>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</si>
  <si>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</si>
  <si>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</si>
  <si>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</si>
  <si>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</si>
  <si>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4021.T owner-FCF component DCF: base case (millions, JPY)</t>
  </si>
  <si>
    <t xml:space="preserve">4021.T owner-FCF component DCF: bull case (millions, JPY)</t>
  </si>
  <si>
    <t xml:space="preserve">4021.T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</si>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</sst>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7803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171206</v>
      </c>
      <c r="F2" s="0" t="n">
        <v>25347</v>
      </c>
      <c r="G2" s="0" t="n">
        <v>14.8</v>
      </c>
      <c r="I2" s="0" t="n">
        <v>18199</v>
      </c>
      <c r="J2" s="0" t="n">
        <v>10.6</v>
      </c>
      <c r="K2" s="0" t="n">
        <v>113.99</v>
      </c>
      <c r="L2" s="0" t="n">
        <v>20452</v>
      </c>
      <c r="S2" s="0" t="n">
        <v>31343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176894</v>
      </c>
      <c r="C3" s="0" t="n">
        <v>106146</v>
      </c>
      <c r="D3" s="0" t="n">
        <v>70748</v>
      </c>
      <c r="E3" s="0" t="n">
        <v>40</v>
      </c>
      <c r="F3" s="0" t="n">
        <v>28606</v>
      </c>
      <c r="G3" s="0" t="n">
        <v>16.2</v>
      </c>
      <c r="H3" s="0" t="n">
        <v>38766</v>
      </c>
      <c r="I3" s="0" t="n">
        <v>22350</v>
      </c>
      <c r="J3" s="0" t="n">
        <v>12.6</v>
      </c>
      <c r="K3" s="0" t="n">
        <v>143.37</v>
      </c>
      <c r="L3" s="0" t="n">
        <v>29989</v>
      </c>
      <c r="M3" s="0" t="n">
        <v>9071</v>
      </c>
      <c r="N3" s="0" t="n">
        <v>20918</v>
      </c>
      <c r="O3" s="0" t="n">
        <v>155393</v>
      </c>
      <c r="P3" s="0" t="n">
        <v>228169</v>
      </c>
      <c r="Q3" s="0" t="n">
        <v>71244</v>
      </c>
      <c r="R3" s="0" t="n">
        <v>33098</v>
      </c>
      <c r="S3" s="0" t="n">
        <v>35335</v>
      </c>
      <c r="T3" s="0" t="n">
        <v>155.894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180289</v>
      </c>
      <c r="C4" s="0" t="n">
        <v>105916</v>
      </c>
      <c r="D4" s="0" t="n">
        <v>74372</v>
      </c>
      <c r="E4" s="0" t="n">
        <v>41.3</v>
      </c>
      <c r="F4" s="0" t="n">
        <v>31438</v>
      </c>
      <c r="G4" s="0" t="n">
        <v>17.4</v>
      </c>
      <c r="H4" s="0" t="n">
        <v>40327</v>
      </c>
      <c r="I4" s="0" t="n">
        <v>24026</v>
      </c>
      <c r="J4" s="0" t="n">
        <v>13.3</v>
      </c>
      <c r="K4" s="0" t="n">
        <v>156.97</v>
      </c>
      <c r="L4" s="0" t="n">
        <v>32491</v>
      </c>
      <c r="M4" s="0" t="n">
        <v>13485</v>
      </c>
      <c r="N4" s="0" t="n">
        <v>19006</v>
      </c>
      <c r="O4" s="0" t="n">
        <v>162041</v>
      </c>
      <c r="P4" s="0" t="n">
        <v>231748</v>
      </c>
      <c r="Q4" s="0" t="n">
        <v>68041</v>
      </c>
      <c r="R4" s="0" t="n">
        <v>30805</v>
      </c>
      <c r="S4" s="0" t="n">
        <v>35701</v>
      </c>
      <c r="T4" s="0" t="n">
        <v>153.058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193389</v>
      </c>
      <c r="C5" s="0" t="n">
        <v>113513</v>
      </c>
      <c r="D5" s="0" t="n">
        <v>79876</v>
      </c>
      <c r="E5" s="0" t="n">
        <v>41.3</v>
      </c>
      <c r="F5" s="0" t="n">
        <v>34988</v>
      </c>
      <c r="G5" s="0" t="n">
        <v>18.1</v>
      </c>
      <c r="H5" s="0" t="n">
        <v>45500</v>
      </c>
      <c r="I5" s="0" t="n">
        <v>27142</v>
      </c>
      <c r="J5" s="0" t="n">
        <v>14</v>
      </c>
      <c r="K5" s="0" t="n">
        <v>180.3</v>
      </c>
      <c r="L5" s="0" t="n">
        <v>37691</v>
      </c>
      <c r="M5" s="0" t="n">
        <v>14353</v>
      </c>
      <c r="N5" s="0" t="n">
        <v>23338</v>
      </c>
      <c r="O5" s="0" t="n">
        <v>174586</v>
      </c>
      <c r="P5" s="0" t="n">
        <v>249043</v>
      </c>
      <c r="Q5" s="0" t="n">
        <v>72678</v>
      </c>
      <c r="R5" s="0" t="n">
        <v>28591</v>
      </c>
      <c r="S5" s="0" t="n">
        <v>37702</v>
      </c>
      <c r="T5" s="0" t="n">
        <v>150.542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204896</v>
      </c>
      <c r="C6" s="0" t="n">
        <v>119911</v>
      </c>
      <c r="D6" s="0" t="n">
        <v>84985</v>
      </c>
      <c r="E6" s="0" t="n">
        <v>41.5</v>
      </c>
      <c r="F6" s="0" t="n">
        <v>37091</v>
      </c>
      <c r="G6" s="0" t="n">
        <v>18.1</v>
      </c>
      <c r="H6" s="0" t="n">
        <v>48007</v>
      </c>
      <c r="I6" s="0" t="n">
        <v>29372</v>
      </c>
      <c r="J6" s="0" t="n">
        <v>14.3</v>
      </c>
      <c r="K6" s="0" t="n">
        <v>197.67</v>
      </c>
      <c r="L6" s="0" t="n">
        <v>32070</v>
      </c>
      <c r="M6" s="0" t="n">
        <v>9939</v>
      </c>
      <c r="N6" s="0" t="n">
        <v>22131</v>
      </c>
      <c r="O6" s="0" t="n">
        <v>180346</v>
      </c>
      <c r="P6" s="0" t="n">
        <v>246990</v>
      </c>
      <c r="Q6" s="0" t="n">
        <v>64916</v>
      </c>
      <c r="R6" s="0" t="n">
        <v>26581</v>
      </c>
      <c r="S6" s="0" t="n">
        <v>36183</v>
      </c>
      <c r="T6" s="0" t="n">
        <v>148.593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206837</v>
      </c>
      <c r="C7" s="0" t="n">
        <v>122379</v>
      </c>
      <c r="D7" s="0" t="n">
        <v>84458</v>
      </c>
      <c r="E7" s="0" t="n">
        <v>40.8</v>
      </c>
      <c r="F7" s="0" t="n">
        <v>38647</v>
      </c>
      <c r="G7" s="0" t="n">
        <v>18.7</v>
      </c>
      <c r="H7" s="0" t="n">
        <v>49191</v>
      </c>
      <c r="I7" s="0" t="n">
        <v>30779</v>
      </c>
      <c r="J7" s="0" t="n">
        <v>14.9</v>
      </c>
      <c r="K7" s="0" t="n">
        <v>210.09</v>
      </c>
      <c r="L7" s="0" t="n">
        <v>35550</v>
      </c>
      <c r="M7" s="0" t="n">
        <v>9189</v>
      </c>
      <c r="N7" s="0" t="n">
        <v>26361</v>
      </c>
      <c r="O7" s="0" t="n">
        <v>183918</v>
      </c>
      <c r="P7" s="0" t="n">
        <v>249522</v>
      </c>
      <c r="Q7" s="0" t="n">
        <v>63993</v>
      </c>
      <c r="R7" s="0" t="n">
        <v>24614</v>
      </c>
      <c r="S7" s="0" t="n">
        <v>30639</v>
      </c>
      <c r="T7" s="0" t="n">
        <v>146.511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209121</v>
      </c>
      <c r="C8" s="0" t="n">
        <v>121376</v>
      </c>
      <c r="D8" s="0" t="n">
        <v>87745</v>
      </c>
      <c r="E8" s="0" t="n">
        <v>42</v>
      </c>
      <c r="F8" s="0" t="n">
        <v>42530</v>
      </c>
      <c r="G8" s="0" t="n">
        <v>20.3</v>
      </c>
      <c r="H8" s="0" t="n">
        <v>52954</v>
      </c>
      <c r="I8" s="0" t="n">
        <v>33470</v>
      </c>
      <c r="J8" s="0" t="n">
        <v>16</v>
      </c>
      <c r="K8" s="0" t="n">
        <v>231.73</v>
      </c>
      <c r="L8" s="0" t="n">
        <v>39939</v>
      </c>
      <c r="M8" s="0" t="n">
        <v>8942</v>
      </c>
      <c r="N8" s="0" t="n">
        <v>30997</v>
      </c>
      <c r="O8" s="0" t="n">
        <v>198829</v>
      </c>
      <c r="P8" s="0" t="n">
        <v>265509</v>
      </c>
      <c r="Q8" s="0" t="n">
        <v>64947</v>
      </c>
      <c r="R8" s="0" t="n">
        <v>22673</v>
      </c>
      <c r="S8" s="0" t="n">
        <v>32380</v>
      </c>
      <c r="T8" s="0" t="n">
        <v>144.438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207972</v>
      </c>
      <c r="C9" s="0" t="n">
        <v>106883</v>
      </c>
      <c r="D9" s="0" t="n">
        <v>101089</v>
      </c>
      <c r="E9" s="0" t="n">
        <v>48.6</v>
      </c>
      <c r="F9" s="0" t="n">
        <v>50959</v>
      </c>
      <c r="G9" s="0" t="n">
        <v>24.5</v>
      </c>
      <c r="H9" s="0" t="n">
        <v>61181</v>
      </c>
      <c r="I9" s="0" t="n">
        <v>38776</v>
      </c>
      <c r="J9" s="0" t="n">
        <v>18.6</v>
      </c>
      <c r="K9" s="0" t="n">
        <v>271.88</v>
      </c>
      <c r="L9" s="0" t="n">
        <v>41949</v>
      </c>
      <c r="M9" s="0" t="n">
        <v>12386</v>
      </c>
      <c r="N9" s="0" t="n">
        <v>29563</v>
      </c>
      <c r="O9" s="0" t="n">
        <v>205912</v>
      </c>
      <c r="P9" s="0" t="n">
        <v>279687</v>
      </c>
      <c r="Q9" s="0" t="n">
        <v>71678</v>
      </c>
      <c r="R9" s="0" t="n">
        <v>22715</v>
      </c>
      <c r="S9" s="0" t="n">
        <v>34658</v>
      </c>
      <c r="T9" s="0" t="n">
        <v>142.624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228065</v>
      </c>
      <c r="C10" s="0" t="n">
        <v>121262</v>
      </c>
      <c r="D10" s="0" t="n">
        <v>106803</v>
      </c>
      <c r="E10" s="0" t="n">
        <v>46.8</v>
      </c>
      <c r="F10" s="0" t="n">
        <v>52283</v>
      </c>
      <c r="G10" s="0" t="n">
        <v>22.9</v>
      </c>
      <c r="H10" s="0" t="n">
        <v>63262</v>
      </c>
      <c r="I10" s="0" t="n">
        <v>41087</v>
      </c>
      <c r="J10" s="0" t="n">
        <v>18</v>
      </c>
      <c r="K10" s="0" t="n">
        <v>291.36</v>
      </c>
      <c r="L10" s="0" t="n">
        <v>35226</v>
      </c>
      <c r="M10" s="0" t="n">
        <v>19457</v>
      </c>
      <c r="N10" s="0" t="n">
        <v>15769</v>
      </c>
      <c r="O10" s="0" t="n">
        <v>218419</v>
      </c>
      <c r="P10" s="0" t="n">
        <v>298715</v>
      </c>
      <c r="Q10" s="0" t="n">
        <v>77188</v>
      </c>
      <c r="R10" s="0" t="n">
        <v>27289</v>
      </c>
      <c r="S10" s="0" t="n">
        <v>29647</v>
      </c>
      <c r="T10" s="0" t="n">
        <v>141.02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226705</v>
      </c>
      <c r="C11" s="0" t="n">
        <v>121930</v>
      </c>
      <c r="D11" s="0" t="n">
        <v>104774</v>
      </c>
      <c r="E11" s="0" t="n">
        <v>46.2</v>
      </c>
      <c r="F11" s="0" t="n">
        <v>48201</v>
      </c>
      <c r="G11" s="0" t="n">
        <v>21.3</v>
      </c>
      <c r="H11" s="0" t="n">
        <v>62002</v>
      </c>
      <c r="I11" s="0" t="n">
        <v>38033</v>
      </c>
      <c r="J11" s="0" t="n">
        <v>16.8</v>
      </c>
      <c r="K11" s="0" t="n">
        <v>272.82</v>
      </c>
      <c r="L11" s="0" t="n">
        <v>33701</v>
      </c>
      <c r="M11" s="0" t="n">
        <v>20178</v>
      </c>
      <c r="N11" s="0" t="n">
        <v>13523</v>
      </c>
      <c r="O11" s="0" t="n">
        <v>227471</v>
      </c>
      <c r="P11" s="0" t="n">
        <v>323458</v>
      </c>
      <c r="Q11" s="0" t="n">
        <v>92554</v>
      </c>
      <c r="R11" s="0" t="n">
        <v>40980</v>
      </c>
      <c r="S11" s="0" t="n">
        <v>22738</v>
      </c>
      <c r="T11" s="0" t="n">
        <v>139.408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251365</v>
      </c>
      <c r="C12" s="0" t="n">
        <v>134823</v>
      </c>
      <c r="D12" s="0" t="n">
        <v>116541</v>
      </c>
      <c r="E12" s="0" t="n">
        <v>46.4</v>
      </c>
      <c r="F12" s="0" t="n">
        <v>56833</v>
      </c>
      <c r="G12" s="0" t="n">
        <v>22.6</v>
      </c>
      <c r="H12" s="0" t="n">
        <v>71205</v>
      </c>
      <c r="I12" s="0" t="n">
        <v>43043</v>
      </c>
      <c r="J12" s="0" t="n">
        <v>17.1</v>
      </c>
      <c r="K12" s="0" t="n">
        <v>313.26</v>
      </c>
      <c r="L12" s="0" t="n">
        <v>59178</v>
      </c>
      <c r="M12" s="0" t="n">
        <v>17606</v>
      </c>
      <c r="N12" s="0" t="n">
        <v>41572</v>
      </c>
      <c r="O12" s="0" t="n">
        <v>233291</v>
      </c>
      <c r="P12" s="0" t="n">
        <v>330763</v>
      </c>
      <c r="Q12" s="0" t="n">
        <v>94582</v>
      </c>
      <c r="R12" s="0" t="n">
        <v>40474</v>
      </c>
      <c r="S12" s="0" t="n">
        <v>27454</v>
      </c>
      <c r="T12" s="0" t="n">
        <v>137.405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279586</v>
      </c>
      <c r="C13" s="0" t="n">
        <v>148647</v>
      </c>
      <c r="D13" s="0" t="n">
        <v>130939</v>
      </c>
      <c r="E13" s="0" t="n">
        <v>46.8</v>
      </c>
      <c r="F13" s="0" t="n">
        <v>63552</v>
      </c>
      <c r="G13" s="0" t="n">
        <v>22.7</v>
      </c>
      <c r="H13" s="0" t="n">
        <v>79065</v>
      </c>
      <c r="I13" s="0" t="n">
        <v>49707</v>
      </c>
      <c r="J13" s="0" t="n">
        <v>17.8</v>
      </c>
      <c r="K13" s="0" t="n">
        <v>368.26</v>
      </c>
      <c r="L13" s="0" t="n">
        <v>64164</v>
      </c>
      <c r="M13" s="0" t="n">
        <v>19689</v>
      </c>
      <c r="N13" s="0" t="n">
        <v>44475</v>
      </c>
      <c r="O13" s="0" t="n">
        <v>255265</v>
      </c>
      <c r="P13" s="0" t="n">
        <v>355078</v>
      </c>
      <c r="Q13" s="0" t="n">
        <v>96026</v>
      </c>
      <c r="R13" s="0" t="n">
        <v>38445</v>
      </c>
      <c r="S13" s="0" t="n">
        <v>35729</v>
      </c>
      <c r="T13" s="0" t="n">
        <v>134.978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7803</v>
      </c>
    </row>
    <row r="3" customFormat="false" ht="15" hidden="false" customHeight="false" outlineLevel="0" collapsed="false">
      <c r="A3" s="0" t="s">
        <v>78</v>
      </c>
      <c r="B3" s="3" t="n">
        <v>133.489</v>
      </c>
    </row>
    <row r="4" customFormat="false" ht="15" hidden="false" customHeight="false" outlineLevel="0" collapsed="false">
      <c r="A4" s="0" t="s">
        <v>79</v>
      </c>
      <c r="B4" s="3" t="n">
        <v>9134</v>
      </c>
    </row>
    <row r="5" customFormat="false" ht="15" hidden="false" customHeight="false" outlineLevel="0" collapsed="false">
      <c r="A5" s="0" t="s">
        <v>80</v>
      </c>
      <c r="B5" s="3" t="n">
        <v>26101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279586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3</v>
      </c>
      <c r="D13" s="3" t="n">
        <v>-5</v>
      </c>
      <c r="E13" s="3" t="n">
        <v>0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</v>
      </c>
      <c r="K13" s="3" t="n">
        <v>2</v>
      </c>
      <c r="L13" s="3" t="n">
        <v>1.5</v>
      </c>
    </row>
    <row r="14" customFormat="false" ht="15" hidden="false" customHeight="false" outlineLevel="0" collapsed="false">
      <c r="A14" s="0" t="s">
        <v>99</v>
      </c>
      <c r="C14" s="3" t="n">
        <v>28</v>
      </c>
      <c r="D14" s="3" t="n">
        <v>25</v>
      </c>
      <c r="E14" s="3" t="n">
        <v>25.5</v>
      </c>
      <c r="F14" s="3" t="n">
        <v>26.5</v>
      </c>
      <c r="G14" s="3" t="n">
        <v>27</v>
      </c>
      <c r="H14" s="3" t="n">
        <v>27</v>
      </c>
      <c r="I14" s="3" t="n">
        <v>27</v>
      </c>
      <c r="J14" s="3" t="n">
        <v>27</v>
      </c>
      <c r="K14" s="3" t="n">
        <v>27</v>
      </c>
      <c r="L14" s="3" t="n">
        <v>27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5.7</v>
      </c>
      <c r="D17" s="3" t="n">
        <v>6</v>
      </c>
      <c r="E17" s="3" t="n">
        <v>6.2</v>
      </c>
      <c r="F17" s="3" t="n">
        <v>6.2</v>
      </c>
      <c r="G17" s="3" t="n">
        <v>6.1</v>
      </c>
      <c r="H17" s="3" t="n">
        <v>6</v>
      </c>
      <c r="I17" s="3" t="n">
        <v>6</v>
      </c>
      <c r="J17" s="3" t="n">
        <v>6</v>
      </c>
      <c r="K17" s="3" t="n">
        <v>6</v>
      </c>
      <c r="L17" s="3" t="n">
        <v>6</v>
      </c>
    </row>
    <row r="18" customFormat="false" ht="15" hidden="false" customHeight="false" outlineLevel="0" collapsed="false">
      <c r="A18" s="0" t="s">
        <v>103</v>
      </c>
      <c r="C18" s="3" t="n">
        <v>7.5</v>
      </c>
      <c r="D18" s="3" t="n">
        <v>7.5</v>
      </c>
      <c r="E18" s="3" t="n">
        <v>7</v>
      </c>
      <c r="F18" s="3" t="n">
        <v>7</v>
      </c>
      <c r="G18" s="3" t="n">
        <v>7</v>
      </c>
      <c r="H18" s="3" t="n">
        <v>7</v>
      </c>
      <c r="I18" s="3" t="n">
        <v>7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104</v>
      </c>
      <c r="C19" s="3" t="n">
        <v>27</v>
      </c>
      <c r="D19" s="3" t="n">
        <v>27</v>
      </c>
      <c r="E19" s="3" t="n">
        <v>27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105</v>
      </c>
      <c r="B20" s="3" t="n">
        <v>7.5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16</v>
      </c>
    </row>
    <row r="23" customFormat="false" ht="15" hidden="false" customHeight="false" outlineLevel="0" collapsed="false">
      <c r="A23" s="0" t="s">
        <v>108</v>
      </c>
      <c r="B23" s="3" t="n">
        <v>-20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6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2.5</v>
      </c>
      <c r="K27" s="3" t="n">
        <v>2.5</v>
      </c>
      <c r="L27" s="3" t="n">
        <v>2</v>
      </c>
    </row>
    <row r="28" customFormat="false" ht="15" hidden="false" customHeight="false" outlineLevel="0" collapsed="false">
      <c r="A28" s="0" t="s">
        <v>99</v>
      </c>
      <c r="C28" s="3" t="n">
        <v>28.7</v>
      </c>
      <c r="D28" s="3" t="n">
        <v>29</v>
      </c>
      <c r="E28" s="3" t="n">
        <v>29.2</v>
      </c>
      <c r="F28" s="3" t="n">
        <v>29.4</v>
      </c>
      <c r="G28" s="3" t="n">
        <v>29.5</v>
      </c>
      <c r="H28" s="3" t="n">
        <v>29.5</v>
      </c>
      <c r="I28" s="3" t="n">
        <v>29.5</v>
      </c>
      <c r="J28" s="3" t="n">
        <v>29.5</v>
      </c>
      <c r="K28" s="3" t="n">
        <v>29.5</v>
      </c>
      <c r="L28" s="3" t="n">
        <v>29.5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5.7</v>
      </c>
      <c r="D31" s="3" t="n">
        <v>5.8</v>
      </c>
      <c r="E31" s="3" t="n">
        <v>5.9</v>
      </c>
      <c r="F31" s="3" t="n">
        <v>6</v>
      </c>
      <c r="G31" s="3" t="n">
        <v>6</v>
      </c>
      <c r="H31" s="3" t="n">
        <v>6</v>
      </c>
      <c r="I31" s="3" t="n">
        <v>6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103</v>
      </c>
      <c r="C32" s="3" t="n">
        <v>7.5</v>
      </c>
      <c r="D32" s="3" t="n">
        <v>7.5</v>
      </c>
      <c r="E32" s="3" t="n">
        <v>7.5</v>
      </c>
      <c r="F32" s="3" t="n">
        <v>7.2</v>
      </c>
      <c r="G32" s="3" t="n">
        <v>7</v>
      </c>
      <c r="H32" s="3" t="n">
        <v>7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104</v>
      </c>
      <c r="C33" s="3" t="n">
        <v>27</v>
      </c>
      <c r="D33" s="3" t="n">
        <v>27</v>
      </c>
      <c r="E33" s="3" t="n">
        <v>27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105</v>
      </c>
      <c r="B34" s="3" t="n">
        <v>7.5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16</v>
      </c>
    </row>
    <row r="37" customFormat="false" ht="15" hidden="false" customHeight="false" outlineLevel="0" collapsed="false">
      <c r="A37" s="0" t="s">
        <v>108</v>
      </c>
      <c r="B37" s="3" t="n">
        <v>-20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9</v>
      </c>
      <c r="D41" s="3" t="n">
        <v>8.5</v>
      </c>
      <c r="E41" s="3" t="n">
        <v>7.5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99</v>
      </c>
      <c r="C42" s="3" t="n">
        <v>29.2</v>
      </c>
      <c r="D42" s="3" t="n">
        <v>29.8</v>
      </c>
      <c r="E42" s="3" t="n">
        <v>30.3</v>
      </c>
      <c r="F42" s="3" t="n">
        <v>30.7</v>
      </c>
      <c r="G42" s="3" t="n">
        <v>31</v>
      </c>
      <c r="H42" s="3" t="n">
        <v>31</v>
      </c>
      <c r="I42" s="3" t="n">
        <v>31</v>
      </c>
      <c r="J42" s="3" t="n">
        <v>31</v>
      </c>
      <c r="K42" s="3" t="n">
        <v>31</v>
      </c>
      <c r="L42" s="3" t="n">
        <v>31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5.7</v>
      </c>
      <c r="D45" s="3" t="n">
        <v>5.8</v>
      </c>
      <c r="E45" s="3" t="n">
        <v>5.9</v>
      </c>
      <c r="F45" s="3" t="n">
        <v>6</v>
      </c>
      <c r="G45" s="3" t="n">
        <v>6</v>
      </c>
      <c r="H45" s="3" t="n">
        <v>6</v>
      </c>
      <c r="I45" s="3" t="n">
        <v>6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103</v>
      </c>
      <c r="C46" s="3" t="n">
        <v>7.5</v>
      </c>
      <c r="D46" s="3" t="n">
        <v>7.5</v>
      </c>
      <c r="E46" s="3" t="n">
        <v>7.5</v>
      </c>
      <c r="F46" s="3" t="n">
        <v>7.2</v>
      </c>
      <c r="G46" s="3" t="n">
        <v>7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104</v>
      </c>
      <c r="C47" s="3" t="n">
        <v>27</v>
      </c>
      <c r="D47" s="3" t="n">
        <v>27</v>
      </c>
      <c r="E47" s="3" t="n">
        <v>27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105</v>
      </c>
      <c r="B48" s="3" t="n">
        <v>7.5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16</v>
      </c>
    </row>
    <row r="51" customFormat="false" ht="15" hidden="false" customHeight="false" outlineLevel="0" collapsed="false">
      <c r="A51" s="0" t="s">
        <v>108</v>
      </c>
      <c r="B51" s="3" t="n">
        <v>-20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3</v>
      </c>
      <c r="D5" s="4" t="n">
        <f aca="false">Assumptions!D13</f>
        <v>-5</v>
      </c>
      <c r="E5" s="4" t="n">
        <f aca="false">Assumptions!E13</f>
        <v>0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279586</v>
      </c>
      <c r="C6" s="0" t="n">
        <f aca="false">B6*(1+C5/100)</f>
        <v>287973.58</v>
      </c>
      <c r="D6" s="0" t="n">
        <f aca="false">C6*(1+D5/100)</f>
        <v>273574.901</v>
      </c>
      <c r="E6" s="0" t="n">
        <f aca="false">D6*(1+E5/100)</f>
        <v>273574.901</v>
      </c>
      <c r="F6" s="0" t="n">
        <f aca="false">E6*(1+F5/100)</f>
        <v>281782.14803</v>
      </c>
      <c r="G6" s="0" t="n">
        <f aca="false">F6*(1+G5/100)</f>
        <v>290235.6124709</v>
      </c>
      <c r="H6" s="0" t="n">
        <f aca="false">G6*(1+H5/100)</f>
        <v>298942.680845027</v>
      </c>
      <c r="I6" s="0" t="n">
        <f aca="false">H6*(1+I5/100)</f>
        <v>306416.247866153</v>
      </c>
      <c r="J6" s="0" t="n">
        <f aca="false">I6*(1+J5/100)</f>
        <v>312544.572823476</v>
      </c>
      <c r="K6" s="0" t="n">
        <f aca="false">J6*(1+K5/100)</f>
        <v>318795.464279945</v>
      </c>
      <c r="L6" s="0" t="n">
        <f aca="false">K6*(1+L5/100)</f>
        <v>323577.396244145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28</v>
      </c>
      <c r="D7" s="4" t="n">
        <f aca="false">Assumptions!D14</f>
        <v>25</v>
      </c>
      <c r="E7" s="4" t="n">
        <f aca="false">Assumptions!E14</f>
        <v>25.5</v>
      </c>
      <c r="F7" s="4" t="n">
        <f aca="false">Assumptions!F14</f>
        <v>26.5</v>
      </c>
      <c r="G7" s="4" t="n">
        <f aca="false">Assumptions!G14</f>
        <v>27</v>
      </c>
      <c r="H7" s="4" t="n">
        <f aca="false">Assumptions!H14</f>
        <v>27</v>
      </c>
      <c r="I7" s="4" t="n">
        <f aca="false">Assumptions!I14</f>
        <v>27</v>
      </c>
      <c r="J7" s="4" t="n">
        <f aca="false">Assumptions!J14</f>
        <v>27</v>
      </c>
      <c r="K7" s="4" t="n">
        <f aca="false">Assumptions!K14</f>
        <v>27</v>
      </c>
      <c r="L7" s="4" t="n">
        <f aca="false">Assumptions!L14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80632.6024</v>
      </c>
      <c r="D8" s="0" t="n">
        <f aca="false">D6*D7/100</f>
        <v>68393.72525</v>
      </c>
      <c r="E8" s="0" t="n">
        <f aca="false">E6*E7/100</f>
        <v>69761.599755</v>
      </c>
      <c r="F8" s="0" t="n">
        <f aca="false">F6*F7/100</f>
        <v>74672.26922795</v>
      </c>
      <c r="G8" s="0" t="n">
        <f aca="false">G6*G7/100</f>
        <v>78363.615367143</v>
      </c>
      <c r="H8" s="0" t="n">
        <f aca="false">H6*H7/100</f>
        <v>80714.5238281573</v>
      </c>
      <c r="I8" s="0" t="n">
        <f aca="false">I6*I7/100</f>
        <v>82732.3869238612</v>
      </c>
      <c r="J8" s="0" t="n">
        <f aca="false">J6*J7/100</f>
        <v>84387.0346623385</v>
      </c>
      <c r="K8" s="0" t="n">
        <f aca="false">K6*K7/100</f>
        <v>86074.7753555853</v>
      </c>
      <c r="L8" s="0" t="n">
        <f aca="false">L6*L7/100</f>
        <v>87365.896985919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80632.6024</v>
      </c>
      <c r="D11" s="0" t="n">
        <f aca="false">D8+D10+D24</f>
        <v>68393.72525</v>
      </c>
      <c r="E11" s="0" t="n">
        <f aca="false">E8+E10+E24</f>
        <v>69761.599755</v>
      </c>
      <c r="F11" s="0" t="n">
        <f aca="false">F8+F10+F24</f>
        <v>74672.26922795</v>
      </c>
      <c r="G11" s="0" t="n">
        <f aca="false">G8+G10+G24</f>
        <v>78363.615367143</v>
      </c>
      <c r="H11" s="0" t="n">
        <f aca="false">H8+H10+H24</f>
        <v>80714.5238281573</v>
      </c>
      <c r="I11" s="0" t="n">
        <f aca="false">I8+I10+I24</f>
        <v>82732.3869238612</v>
      </c>
      <c r="J11" s="0" t="n">
        <f aca="false">J8+J10+J24</f>
        <v>84387.0346623385</v>
      </c>
      <c r="K11" s="0" t="n">
        <f aca="false">K8+K10+K24</f>
        <v>86074.7753555853</v>
      </c>
      <c r="L11" s="0" t="n">
        <f aca="false">L8+L10+L24</f>
        <v>87365.896985919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-16414.49406</v>
      </c>
      <c r="D12" s="4" t="n">
        <f aca="false">-D6*Assumptions!D17/100</f>
        <v>-16414.49406</v>
      </c>
      <c r="E12" s="4" t="n">
        <f aca="false">-E6*Assumptions!E17/100</f>
        <v>-16961.643862</v>
      </c>
      <c r="F12" s="4" t="n">
        <f aca="false">-F6*Assumptions!F17/100</f>
        <v>-17470.49317786</v>
      </c>
      <c r="G12" s="4" t="n">
        <f aca="false">-G6*Assumptions!G17/100</f>
        <v>-17704.3723607249</v>
      </c>
      <c r="H12" s="4" t="n">
        <f aca="false">-H6*Assumptions!H17/100</f>
        <v>-17936.5608507016</v>
      </c>
      <c r="I12" s="4" t="n">
        <f aca="false">-I6*Assumptions!I17/100</f>
        <v>-18384.9748719692</v>
      </c>
      <c r="J12" s="4" t="n">
        <f aca="false">-J6*Assumptions!J17/100</f>
        <v>-18752.6743694086</v>
      </c>
      <c r="K12" s="4" t="n">
        <f aca="false">-K6*Assumptions!K17/100</f>
        <v>-19127.7278567967</v>
      </c>
      <c r="L12" s="4" t="n">
        <f aca="false">-L6*Assumptions!L17/100</f>
        <v>-19414.6437746487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64218.10834</v>
      </c>
      <c r="D13" s="0" t="n">
        <f aca="false">D11+D12</f>
        <v>51979.23119</v>
      </c>
      <c r="E13" s="0" t="n">
        <f aca="false">E11+E12</f>
        <v>52799.955893</v>
      </c>
      <c r="F13" s="0" t="n">
        <f aca="false">F11+F12</f>
        <v>57201.77605009</v>
      </c>
      <c r="G13" s="0" t="n">
        <f aca="false">G11+G12</f>
        <v>60659.2430064181</v>
      </c>
      <c r="H13" s="0" t="n">
        <f aca="false">H11+H12</f>
        <v>62777.9629774557</v>
      </c>
      <c r="I13" s="0" t="n">
        <f aca="false">I11+I12</f>
        <v>64347.4120518921</v>
      </c>
      <c r="J13" s="0" t="n">
        <f aca="false">J11+J12</f>
        <v>65634.3602929299</v>
      </c>
      <c r="K13" s="0" t="n">
        <f aca="false">K11+K12</f>
        <v>66947.0474987885</v>
      </c>
      <c r="L13" s="0" t="n">
        <f aca="false">L11+L12</f>
        <v>67951.2532112704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46879.2190882</v>
      </c>
      <c r="D15" s="0" t="n">
        <f aca="false">D13-MAX(0,D13)*D14/100</f>
        <v>37944.8387687</v>
      </c>
      <c r="E15" s="0" t="n">
        <f aca="false">E13-MAX(0,E13)*E14/100</f>
        <v>38543.96780189</v>
      </c>
      <c r="F15" s="0" t="n">
        <f aca="false">F13-MAX(0,F13)*F14/100</f>
        <v>41185.2787560648</v>
      </c>
      <c r="G15" s="0" t="n">
        <f aca="false">G13-MAX(0,G13)*G14/100</f>
        <v>43674.654964621</v>
      </c>
      <c r="H15" s="0" t="n">
        <f aca="false">H13-MAX(0,H13)*H14/100</f>
        <v>45200.1333437681</v>
      </c>
      <c r="I15" s="0" t="n">
        <f aca="false">I13-MAX(0,I13)*I14/100</f>
        <v>46330.1366773623</v>
      </c>
      <c r="J15" s="0" t="n">
        <f aca="false">J13-MAX(0,J13)*J14/100</f>
        <v>47256.7394109096</v>
      </c>
      <c r="K15" s="0" t="n">
        <f aca="false">K13-MAX(0,K13)*K14/100</f>
        <v>48201.8741991278</v>
      </c>
      <c r="L15" s="0" t="n">
        <f aca="false">L13-MAX(0,L13)*L14/100</f>
        <v>48924.9023121146</v>
      </c>
    </row>
    <row r="16" customFormat="false" ht="15" hidden="false" customHeight="false" outlineLevel="0" collapsed="false">
      <c r="A16" s="0" t="s">
        <v>120</v>
      </c>
      <c r="C16" s="0" t="n">
        <f aca="false">-C12</f>
        <v>16414.49406</v>
      </c>
      <c r="D16" s="0" t="n">
        <f aca="false">-D12</f>
        <v>16414.49406</v>
      </c>
      <c r="E16" s="0" t="n">
        <f aca="false">-E12</f>
        <v>16961.643862</v>
      </c>
      <c r="F16" s="0" t="n">
        <f aca="false">-F12</f>
        <v>17470.49317786</v>
      </c>
      <c r="G16" s="0" t="n">
        <f aca="false">-G12</f>
        <v>17704.3723607249</v>
      </c>
      <c r="H16" s="0" t="n">
        <f aca="false">-H12</f>
        <v>17936.5608507016</v>
      </c>
      <c r="I16" s="0" t="n">
        <f aca="false">-I12</f>
        <v>18384.9748719692</v>
      </c>
      <c r="J16" s="0" t="n">
        <f aca="false">-J12</f>
        <v>18752.6743694086</v>
      </c>
      <c r="K16" s="0" t="n">
        <f aca="false">-K12</f>
        <v>19127.7278567967</v>
      </c>
      <c r="L16" s="0" t="n">
        <f aca="false">-L12</f>
        <v>19414.6437746487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-21598.0185</v>
      </c>
      <c r="D17" s="4" t="n">
        <f aca="false">-D6*Assumptions!D18/100</f>
        <v>-20518.117575</v>
      </c>
      <c r="E17" s="4" t="n">
        <f aca="false">-E6*Assumptions!E18/100</f>
        <v>-19150.24307</v>
      </c>
      <c r="F17" s="4" t="n">
        <f aca="false">-F6*Assumptions!F18/100</f>
        <v>-19724.7503621</v>
      </c>
      <c r="G17" s="4" t="n">
        <f aca="false">-G6*Assumptions!G18/100</f>
        <v>-20316.492872963</v>
      </c>
      <c r="H17" s="4" t="n">
        <f aca="false">-H6*Assumptions!H18/100</f>
        <v>-20925.9876591519</v>
      </c>
      <c r="I17" s="4" t="n">
        <f aca="false">-I6*Assumptions!I18/100</f>
        <v>-21449.1373506307</v>
      </c>
      <c r="J17" s="4" t="n">
        <f aca="false">-J6*Assumptions!J18/100</f>
        <v>-21878.1200976433</v>
      </c>
      <c r="K17" s="4" t="n">
        <f aca="false">-K6*Assumptions!K18/100</f>
        <v>-22315.6824995962</v>
      </c>
      <c r="L17" s="4" t="n">
        <f aca="false">-L6*Assumptions!L18/100</f>
        <v>-22650.4177370901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-1677.516</v>
      </c>
      <c r="D18" s="4" t="n">
        <f aca="false">(D6-C6)*Assumptions!$B$23/100</f>
        <v>2879.7358</v>
      </c>
      <c r="E18" s="4" t="n">
        <f aca="false">(E6-D6)*Assumptions!$B$23/100</f>
        <v>-0</v>
      </c>
      <c r="F18" s="4" t="n">
        <f aca="false">(F6-E6)*Assumptions!$B$23/100</f>
        <v>-1641.44940600001</v>
      </c>
      <c r="G18" s="4" t="n">
        <f aca="false">(G6-F6)*Assumptions!$B$23/100</f>
        <v>-1690.69288818</v>
      </c>
      <c r="H18" s="4" t="n">
        <f aca="false">(H6-G6)*Assumptions!$B$23/100</f>
        <v>-1741.41367482541</v>
      </c>
      <c r="I18" s="4" t="n">
        <f aca="false">(I6-H6)*Assumptions!$B$23/100</f>
        <v>-1494.71340422513</v>
      </c>
      <c r="J18" s="4" t="n">
        <f aca="false">(J6-I6)*Assumptions!$B$23/100</f>
        <v>-1225.66499146462</v>
      </c>
      <c r="K18" s="4" t="n">
        <f aca="false">(K6-J6)*Assumptions!$B$23/100</f>
        <v>-1250.17829129391</v>
      </c>
      <c r="L18" s="4" t="n">
        <f aca="false">(L6-K6)*Assumptions!$B$23/100</f>
        <v>-956.386392839835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40018.1786482</v>
      </c>
      <c r="D19" s="0" t="n">
        <f aca="false">D15+D16+D17+D18</f>
        <v>36720.9510537</v>
      </c>
      <c r="E19" s="0" t="n">
        <f aca="false">E15+E16+E17+E18</f>
        <v>36355.36859389</v>
      </c>
      <c r="F19" s="0" t="n">
        <f aca="false">F15+F16+F17+F18</f>
        <v>37289.5721658248</v>
      </c>
      <c r="G19" s="0" t="n">
        <f aca="false">G15+G16+G17+G18</f>
        <v>39371.8415642029</v>
      </c>
      <c r="H19" s="0" t="n">
        <f aca="false">H15+H16+H17+H18</f>
        <v>40469.2928604924</v>
      </c>
      <c r="I19" s="0" t="n">
        <f aca="false">I15+I16+I17+I18</f>
        <v>41771.2607944756</v>
      </c>
      <c r="J19" s="0" t="n">
        <f aca="false">J15+J16+J17+J18</f>
        <v>42905.6286912102</v>
      </c>
      <c r="K19" s="0" t="n">
        <f aca="false">K15+K16+K17+K18</f>
        <v>43763.7412650344</v>
      </c>
      <c r="L19" s="0" t="n">
        <f aca="false">L15+L16+L17+L18</f>
        <v>44732.7419568334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37226.212696</v>
      </c>
      <c r="D21" s="0" t="n">
        <f aca="false">D19*D20</f>
        <v>31775.8364986047</v>
      </c>
      <c r="E21" s="0" t="n">
        <f aca="false">E19*E20</f>
        <v>29264.6382080692</v>
      </c>
      <c r="F21" s="0" t="n">
        <f aca="false">F19*F20</f>
        <v>27922.451392904</v>
      </c>
      <c r="G21" s="0" t="n">
        <f aca="false">G19*G20</f>
        <v>27424.7961130667</v>
      </c>
      <c r="H21" s="0" t="n">
        <f aca="false">H19*H20</f>
        <v>26222.5444530985</v>
      </c>
      <c r="I21" s="0" t="n">
        <f aca="false">I19*I20</f>
        <v>25177.8321605538</v>
      </c>
      <c r="J21" s="0" t="n">
        <f aca="false">J19*J20</f>
        <v>24057.2818323086</v>
      </c>
      <c r="K21" s="0" t="n">
        <f aca="false">K19*K20</f>
        <v>22826.4441571673</v>
      </c>
      <c r="L21" s="0" t="n">
        <f aca="false">L19*L20</f>
        <v>21704.0547937317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273602.092305504</v>
      </c>
    </row>
    <row r="31" customFormat="false" ht="15" hidden="false" customHeight="false" outlineLevel="0" collapsed="false">
      <c r="A31" s="0" t="s">
        <v>129</v>
      </c>
      <c r="B31" s="0" t="n">
        <f aca="false">L19</f>
        <v>44732.7419568334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756728.884769764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715723.871309334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715723.871309334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347264.876699708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620866.969005212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637833.969005212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4778.17624677098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-0.387648821380112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4778.17624677098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336323.948786562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2233.80374777436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279586</v>
      </c>
      <c r="C6" s="0" t="n">
        <f aca="false">B6*(1+C5/100)</f>
        <v>296361.16</v>
      </c>
      <c r="D6" s="0" t="n">
        <f aca="false">C6*(1+D5/100)</f>
        <v>312661.0238</v>
      </c>
      <c r="E6" s="0" t="n">
        <f aca="false">D6*(1+E5/100)</f>
        <v>328294.07499</v>
      </c>
      <c r="F6" s="0" t="n">
        <f aca="false">E6*(1+F5/100)</f>
        <v>343067.30836455</v>
      </c>
      <c r="G6" s="0" t="n">
        <f aca="false">F6*(1+G5/100)</f>
        <v>356790.000699132</v>
      </c>
      <c r="H6" s="0" t="n">
        <f aca="false">G6*(1+H5/100)</f>
        <v>369277.650723602</v>
      </c>
      <c r="I6" s="0" t="n">
        <f aca="false">H6*(1+I5/100)</f>
        <v>380355.98024531</v>
      </c>
      <c r="J6" s="0" t="n">
        <f aca="false">I6*(1+J5/100)</f>
        <v>389864.879751442</v>
      </c>
      <c r="K6" s="0" t="n">
        <f aca="false">J6*(1+K5/100)</f>
        <v>399611.501745229</v>
      </c>
      <c r="L6" s="0" t="n">
        <f aca="false">K6*(1+L5/100)</f>
        <v>407603.731780133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28.7</v>
      </c>
      <c r="D7" s="4" t="n">
        <f aca="false">Assumptions!D28</f>
        <v>29</v>
      </c>
      <c r="E7" s="4" t="n">
        <f aca="false">Assumptions!E28</f>
        <v>29.2</v>
      </c>
      <c r="F7" s="4" t="n">
        <f aca="false">Assumptions!F28</f>
        <v>29.4</v>
      </c>
      <c r="G7" s="4" t="n">
        <f aca="false">Assumptions!G28</f>
        <v>29.5</v>
      </c>
      <c r="H7" s="4" t="n">
        <f aca="false">Assumptions!H28</f>
        <v>29.5</v>
      </c>
      <c r="I7" s="4" t="n">
        <f aca="false">Assumptions!I28</f>
        <v>29.5</v>
      </c>
      <c r="J7" s="4" t="n">
        <f aca="false">Assumptions!J28</f>
        <v>29.5</v>
      </c>
      <c r="K7" s="4" t="n">
        <f aca="false">Assumptions!K28</f>
        <v>29.5</v>
      </c>
      <c r="L7" s="4" t="n">
        <f aca="false">Assumptions!L28</f>
        <v>29.5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85055.65292</v>
      </c>
      <c r="D8" s="0" t="n">
        <f aca="false">D6*D7/100</f>
        <v>90671.696902</v>
      </c>
      <c r="E8" s="0" t="n">
        <f aca="false">E6*E7/100</f>
        <v>95861.86989708</v>
      </c>
      <c r="F8" s="0" t="n">
        <f aca="false">F6*F7/100</f>
        <v>100861.788659178</v>
      </c>
      <c r="G8" s="0" t="n">
        <f aca="false">G6*G7/100</f>
        <v>105253.050206244</v>
      </c>
      <c r="H8" s="0" t="n">
        <f aca="false">H6*H7/100</f>
        <v>108936.906963462</v>
      </c>
      <c r="I8" s="0" t="n">
        <f aca="false">I6*I7/100</f>
        <v>112205.014172366</v>
      </c>
      <c r="J8" s="0" t="n">
        <f aca="false">J6*J7/100</f>
        <v>115010.139526676</v>
      </c>
      <c r="K8" s="0" t="n">
        <f aca="false">K6*K7/100</f>
        <v>117885.393014842</v>
      </c>
      <c r="L8" s="0" t="n">
        <f aca="false">L6*L7/100</f>
        <v>120243.100875139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85055.65292</v>
      </c>
      <c r="D11" s="0" t="n">
        <f aca="false">D8+D10+D24</f>
        <v>90671.696902</v>
      </c>
      <c r="E11" s="0" t="n">
        <f aca="false">E8+E10+E24</f>
        <v>95861.86989708</v>
      </c>
      <c r="F11" s="0" t="n">
        <f aca="false">F8+F10+F24</f>
        <v>100861.788659178</v>
      </c>
      <c r="G11" s="0" t="n">
        <f aca="false">G8+G10+G24</f>
        <v>105253.050206244</v>
      </c>
      <c r="H11" s="0" t="n">
        <f aca="false">H8+H10+H24</f>
        <v>108936.906963462</v>
      </c>
      <c r="I11" s="0" t="n">
        <f aca="false">I8+I10+I24</f>
        <v>112205.014172366</v>
      </c>
      <c r="J11" s="0" t="n">
        <f aca="false">J8+J10+J24</f>
        <v>115010.139526676</v>
      </c>
      <c r="K11" s="0" t="n">
        <f aca="false">K8+K10+K24</f>
        <v>117885.393014842</v>
      </c>
      <c r="L11" s="0" t="n">
        <f aca="false">L8+L10+L24</f>
        <v>120243.100875139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-16892.58612</v>
      </c>
      <c r="D12" s="4" t="n">
        <f aca="false">-D6*Assumptions!D31/100</f>
        <v>-18134.3393804</v>
      </c>
      <c r="E12" s="4" t="n">
        <f aca="false">-E6*Assumptions!E31/100</f>
        <v>-19369.35042441</v>
      </c>
      <c r="F12" s="4" t="n">
        <f aca="false">-F6*Assumptions!F31/100</f>
        <v>-20584.038501873</v>
      </c>
      <c r="G12" s="4" t="n">
        <f aca="false">-G6*Assumptions!G31/100</f>
        <v>-21407.4000419479</v>
      </c>
      <c r="H12" s="4" t="n">
        <f aca="false">-H6*Assumptions!H31/100</f>
        <v>-22156.6590434161</v>
      </c>
      <c r="I12" s="4" t="n">
        <f aca="false">-I6*Assumptions!I31/100</f>
        <v>-22821.3588147186</v>
      </c>
      <c r="J12" s="4" t="n">
        <f aca="false">-J6*Assumptions!J31/100</f>
        <v>-23391.8927850865</v>
      </c>
      <c r="K12" s="4" t="n">
        <f aca="false">-K6*Assumptions!K31/100</f>
        <v>-23976.6901047137</v>
      </c>
      <c r="L12" s="4" t="n">
        <f aca="false">-L6*Assumptions!L31/100</f>
        <v>-24456.223906808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68163.0668</v>
      </c>
      <c r="D13" s="0" t="n">
        <f aca="false">D11+D12</f>
        <v>72537.3575216</v>
      </c>
      <c r="E13" s="0" t="n">
        <f aca="false">E11+E12</f>
        <v>76492.51947267</v>
      </c>
      <c r="F13" s="0" t="n">
        <f aca="false">F11+F12</f>
        <v>80277.7501573047</v>
      </c>
      <c r="G13" s="0" t="n">
        <f aca="false">G11+G12</f>
        <v>83845.6501642961</v>
      </c>
      <c r="H13" s="0" t="n">
        <f aca="false">H11+H12</f>
        <v>86780.2479200464</v>
      </c>
      <c r="I13" s="0" t="n">
        <f aca="false">I11+I12</f>
        <v>89383.6553576478</v>
      </c>
      <c r="J13" s="0" t="n">
        <f aca="false">J11+J12</f>
        <v>91618.246741589</v>
      </c>
      <c r="K13" s="0" t="n">
        <f aca="false">K11+K12</f>
        <v>93908.7029101287</v>
      </c>
      <c r="L13" s="0" t="n">
        <f aca="false">L11+L12</f>
        <v>95786.8769683313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49759.038764</v>
      </c>
      <c r="D15" s="0" t="n">
        <f aca="false">D13-MAX(0,D13)*D14/100</f>
        <v>52952.270990768</v>
      </c>
      <c r="E15" s="0" t="n">
        <f aca="false">E13-MAX(0,E13)*E14/100</f>
        <v>55839.5392150491</v>
      </c>
      <c r="F15" s="0" t="n">
        <f aca="false">F13-MAX(0,F13)*F14/100</f>
        <v>57799.9801132594</v>
      </c>
      <c r="G15" s="0" t="n">
        <f aca="false">G13-MAX(0,G13)*G14/100</f>
        <v>60368.8681182932</v>
      </c>
      <c r="H15" s="0" t="n">
        <f aca="false">H13-MAX(0,H13)*H14/100</f>
        <v>62481.7785024334</v>
      </c>
      <c r="I15" s="0" t="n">
        <f aca="false">I13-MAX(0,I13)*I14/100</f>
        <v>64356.2318575064</v>
      </c>
      <c r="J15" s="0" t="n">
        <f aca="false">J13-MAX(0,J13)*J14/100</f>
        <v>65965.1376539441</v>
      </c>
      <c r="K15" s="0" t="n">
        <f aca="false">K13-MAX(0,K13)*K14/100</f>
        <v>67614.2660952927</v>
      </c>
      <c r="L15" s="0" t="n">
        <f aca="false">L13-MAX(0,L13)*L14/100</f>
        <v>68966.5514171985</v>
      </c>
    </row>
    <row r="16" customFormat="false" ht="15" hidden="false" customHeight="false" outlineLevel="0" collapsed="false">
      <c r="A16" s="0" t="s">
        <v>120</v>
      </c>
      <c r="C16" s="0" t="n">
        <f aca="false">-C12</f>
        <v>16892.58612</v>
      </c>
      <c r="D16" s="0" t="n">
        <f aca="false">-D12</f>
        <v>18134.3393804</v>
      </c>
      <c r="E16" s="0" t="n">
        <f aca="false">-E12</f>
        <v>19369.35042441</v>
      </c>
      <c r="F16" s="0" t="n">
        <f aca="false">-F12</f>
        <v>20584.038501873</v>
      </c>
      <c r="G16" s="0" t="n">
        <f aca="false">-G12</f>
        <v>21407.4000419479</v>
      </c>
      <c r="H16" s="0" t="n">
        <f aca="false">-H12</f>
        <v>22156.6590434161</v>
      </c>
      <c r="I16" s="0" t="n">
        <f aca="false">-I12</f>
        <v>22821.3588147186</v>
      </c>
      <c r="J16" s="0" t="n">
        <f aca="false">-J12</f>
        <v>23391.8927850865</v>
      </c>
      <c r="K16" s="0" t="n">
        <f aca="false">-K12</f>
        <v>23976.6901047137</v>
      </c>
      <c r="L16" s="0" t="n">
        <f aca="false">-L12</f>
        <v>24456.223906808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-22227.087</v>
      </c>
      <c r="D17" s="4" t="n">
        <f aca="false">-D6*Assumptions!D32/100</f>
        <v>-23449.576785</v>
      </c>
      <c r="E17" s="4" t="n">
        <f aca="false">-E6*Assumptions!E32/100</f>
        <v>-24622.05562425</v>
      </c>
      <c r="F17" s="4" t="n">
        <f aca="false">-F6*Assumptions!F32/100</f>
        <v>-24700.8462022476</v>
      </c>
      <c r="G17" s="4" t="n">
        <f aca="false">-G6*Assumptions!G32/100</f>
        <v>-24975.3000489392</v>
      </c>
      <c r="H17" s="4" t="n">
        <f aca="false">-H6*Assumptions!H32/100</f>
        <v>-25849.4355506521</v>
      </c>
      <c r="I17" s="4" t="n">
        <f aca="false">-I6*Assumptions!I32/100</f>
        <v>-26624.9186171717</v>
      </c>
      <c r="J17" s="4" t="n">
        <f aca="false">-J6*Assumptions!J32/100</f>
        <v>-27290.541582601</v>
      </c>
      <c r="K17" s="4" t="n">
        <f aca="false">-K6*Assumptions!K32/100</f>
        <v>-27972.805122166</v>
      </c>
      <c r="L17" s="4" t="n">
        <f aca="false">-L6*Assumptions!L32/100</f>
        <v>-28532.2612246093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-3355.03200000001</v>
      </c>
      <c r="D18" s="4" t="n">
        <f aca="false">(D6-C6)*Assumptions!$B$37/100</f>
        <v>-3259.97276</v>
      </c>
      <c r="E18" s="4" t="n">
        <f aca="false">(E6-D6)*Assumptions!$B$37/100</f>
        <v>-3126.61023800001</v>
      </c>
      <c r="F18" s="4" t="n">
        <f aca="false">(F6-E6)*Assumptions!$B$37/100</f>
        <v>-2954.64667491</v>
      </c>
      <c r="G18" s="4" t="n">
        <f aca="false">(G6-F6)*Assumptions!$B$37/100</f>
        <v>-2744.53846691641</v>
      </c>
      <c r="H18" s="4" t="n">
        <f aca="false">(H6-G6)*Assumptions!$B$37/100</f>
        <v>-2497.53000489392</v>
      </c>
      <c r="I18" s="4" t="n">
        <f aca="false">(I6-H6)*Assumptions!$B$37/100</f>
        <v>-2215.66590434162</v>
      </c>
      <c r="J18" s="4" t="n">
        <f aca="false">(J6-I6)*Assumptions!$B$37/100</f>
        <v>-1901.77990122654</v>
      </c>
      <c r="K18" s="4" t="n">
        <f aca="false">(K6-J6)*Assumptions!$B$37/100</f>
        <v>-1949.3243987572</v>
      </c>
      <c r="L18" s="4" t="n">
        <f aca="false">(L6-K6)*Assumptions!$B$37/100</f>
        <v>-1598.44600698091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41069.505884</v>
      </c>
      <c r="D19" s="0" t="n">
        <f aca="false">D15+D16+D17+D18</f>
        <v>44377.060826168</v>
      </c>
      <c r="E19" s="0" t="n">
        <f aca="false">E15+E16+E17+E18</f>
        <v>47460.2237772091</v>
      </c>
      <c r="F19" s="0" t="n">
        <f aca="false">F15+F16+F17+F18</f>
        <v>50728.5257379748</v>
      </c>
      <c r="G19" s="0" t="n">
        <f aca="false">G15+G16+G17+G18</f>
        <v>54056.4296443854</v>
      </c>
      <c r="H19" s="0" t="n">
        <f aca="false">H15+H16+H17+H18</f>
        <v>56291.4719903035</v>
      </c>
      <c r="I19" s="0" t="n">
        <f aca="false">I15+I16+I17+I18</f>
        <v>58337.0061507117</v>
      </c>
      <c r="J19" s="0" t="n">
        <f aca="false">J15+J16+J17+J18</f>
        <v>60164.7089552031</v>
      </c>
      <c r="K19" s="0" t="n">
        <f aca="false">K15+K16+K17+K18</f>
        <v>61668.8266790832</v>
      </c>
      <c r="L19" s="0" t="n">
        <f aca="false">L15+L16+L17+L18</f>
        <v>63292.0680924163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38204.19152</v>
      </c>
      <c r="D21" s="0" t="n">
        <f aca="false">D19*D20</f>
        <v>38400.9179674791</v>
      </c>
      <c r="E21" s="0" t="n">
        <f aca="false">E19*E20</f>
        <v>38203.6087607554</v>
      </c>
      <c r="F21" s="0" t="n">
        <f aca="false">F19*F20</f>
        <v>37985.54694737</v>
      </c>
      <c r="G21" s="0" t="n">
        <f aca="false">G19*G20</f>
        <v>37653.4727028234</v>
      </c>
      <c r="H21" s="0" t="n">
        <f aca="false">H19*H20</f>
        <v>36474.7076674797</v>
      </c>
      <c r="I21" s="0" t="n">
        <f aca="false">I19*I20</f>
        <v>35162.9163610514</v>
      </c>
      <c r="J21" s="0" t="n">
        <f aca="false">J19*J20</f>
        <v>33734.4866826451</v>
      </c>
      <c r="K21" s="0" t="n">
        <f aca="false">K19*K20</f>
        <v>32165.440790429</v>
      </c>
      <c r="L21" s="0" t="n">
        <f aca="false">L19*L20</f>
        <v>30708.9271480832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358694.216548116</v>
      </c>
    </row>
    <row r="31" customFormat="false" ht="15" hidden="false" customHeight="false" outlineLevel="0" collapsed="false">
      <c r="A31" s="0" t="s">
        <v>129</v>
      </c>
      <c r="B31" s="0" t="n">
        <f aca="false">L19</f>
        <v>63292.0680924163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1173780.17189572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1012673.08947866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1012673.08947866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491342.834369331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850037.050917448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867004.050917448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6494.94753063884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-0.167634559702827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6494.94753063884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496599.303494343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2960.41452941209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9</v>
      </c>
      <c r="D5" s="4" t="n">
        <f aca="false">Assumptions!D41</f>
        <v>8.5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279586</v>
      </c>
      <c r="C6" s="0" t="n">
        <f aca="false">B6*(1+C5/100)</f>
        <v>304748.74</v>
      </c>
      <c r="D6" s="0" t="n">
        <f aca="false">C6*(1+D5/100)</f>
        <v>330652.3829</v>
      </c>
      <c r="E6" s="0" t="n">
        <f aca="false">D6*(1+E5/100)</f>
        <v>355451.3116175</v>
      </c>
      <c r="F6" s="0" t="n">
        <f aca="false">E6*(1+F5/100)</f>
        <v>380332.903430725</v>
      </c>
      <c r="G6" s="0" t="n">
        <f aca="false">F6*(1+G5/100)</f>
        <v>403152.877636569</v>
      </c>
      <c r="H6" s="0" t="n">
        <f aca="false">G6*(1+H5/100)</f>
        <v>423310.521518397</v>
      </c>
      <c r="I6" s="0" t="n">
        <f aca="false">H6*(1+I5/100)</f>
        <v>440242.942379133</v>
      </c>
      <c r="J6" s="0" t="n">
        <f aca="false">I6*(1+J5/100)</f>
        <v>455651.445362403</v>
      </c>
      <c r="K6" s="0" t="n">
        <f aca="false">J6*(1+K5/100)</f>
        <v>469320.988723275</v>
      </c>
      <c r="L6" s="0" t="n">
        <f aca="false">K6*(1+L5/100)</f>
        <v>481054.013441356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29.2</v>
      </c>
      <c r="D7" s="4" t="n">
        <f aca="false">Assumptions!D42</f>
        <v>29.8</v>
      </c>
      <c r="E7" s="4" t="n">
        <f aca="false">Assumptions!E42</f>
        <v>30.3</v>
      </c>
      <c r="F7" s="4" t="n">
        <f aca="false">Assumptions!F42</f>
        <v>30.7</v>
      </c>
      <c r="G7" s="4" t="n">
        <f aca="false">Assumptions!G42</f>
        <v>31</v>
      </c>
      <c r="H7" s="4" t="n">
        <f aca="false">Assumptions!H42</f>
        <v>31</v>
      </c>
      <c r="I7" s="4" t="n">
        <f aca="false">Assumptions!I42</f>
        <v>31</v>
      </c>
      <c r="J7" s="4" t="n">
        <f aca="false">Assumptions!J42</f>
        <v>31</v>
      </c>
      <c r="K7" s="4" t="n">
        <f aca="false">Assumptions!K42</f>
        <v>31</v>
      </c>
      <c r="L7" s="4" t="n">
        <f aca="false">Assumptions!L42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88986.63208</v>
      </c>
      <c r="D8" s="0" t="n">
        <f aca="false">D6*D7/100</f>
        <v>98534.4101042</v>
      </c>
      <c r="E8" s="0" t="n">
        <f aca="false">E6*E7/100</f>
        <v>107701.747420103</v>
      </c>
      <c r="F8" s="0" t="n">
        <f aca="false">F6*F7/100</f>
        <v>116762.201353233</v>
      </c>
      <c r="G8" s="0" t="n">
        <f aca="false">G6*G7/100</f>
        <v>124977.392067336</v>
      </c>
      <c r="H8" s="0" t="n">
        <f aca="false">H6*H7/100</f>
        <v>131226.261670703</v>
      </c>
      <c r="I8" s="0" t="n">
        <f aca="false">I6*I7/100</f>
        <v>136475.312137531</v>
      </c>
      <c r="J8" s="0" t="n">
        <f aca="false">J6*J7/100</f>
        <v>141251.948062345</v>
      </c>
      <c r="K8" s="0" t="n">
        <f aca="false">K6*K7/100</f>
        <v>145489.506504215</v>
      </c>
      <c r="L8" s="0" t="n">
        <f aca="false">L6*L7/100</f>
        <v>149126.74416682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88986.63208</v>
      </c>
      <c r="D11" s="0" t="n">
        <f aca="false">D8+D10+D24</f>
        <v>98534.4101042</v>
      </c>
      <c r="E11" s="0" t="n">
        <f aca="false">E8+E10+E24</f>
        <v>107701.747420103</v>
      </c>
      <c r="F11" s="0" t="n">
        <f aca="false">F8+F10+F24</f>
        <v>116762.201353233</v>
      </c>
      <c r="G11" s="0" t="n">
        <f aca="false">G8+G10+G24</f>
        <v>124977.392067336</v>
      </c>
      <c r="H11" s="0" t="n">
        <f aca="false">H8+H10+H24</f>
        <v>131226.261670703</v>
      </c>
      <c r="I11" s="0" t="n">
        <f aca="false">I8+I10+I24</f>
        <v>136475.312137531</v>
      </c>
      <c r="J11" s="0" t="n">
        <f aca="false">J8+J10+J24</f>
        <v>141251.948062345</v>
      </c>
      <c r="K11" s="0" t="n">
        <f aca="false">K8+K10+K24</f>
        <v>145489.506504215</v>
      </c>
      <c r="L11" s="0" t="n">
        <f aca="false">L8+L10+L24</f>
        <v>149126.74416682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-17370.67818</v>
      </c>
      <c r="D12" s="4" t="n">
        <f aca="false">-D6*Assumptions!D45/100</f>
        <v>-19177.8382082</v>
      </c>
      <c r="E12" s="4" t="n">
        <f aca="false">-E6*Assumptions!E45/100</f>
        <v>-20971.6273854325</v>
      </c>
      <c r="F12" s="4" t="n">
        <f aca="false">-F6*Assumptions!F45/100</f>
        <v>-22819.9742058435</v>
      </c>
      <c r="G12" s="4" t="n">
        <f aca="false">-G6*Assumptions!G45/100</f>
        <v>-24189.1726581941</v>
      </c>
      <c r="H12" s="4" t="n">
        <f aca="false">-H6*Assumptions!H45/100</f>
        <v>-25398.6312911038</v>
      </c>
      <c r="I12" s="4" t="n">
        <f aca="false">-I6*Assumptions!I45/100</f>
        <v>-26414.576542748</v>
      </c>
      <c r="J12" s="4" t="n">
        <f aca="false">-J6*Assumptions!J45/100</f>
        <v>-27339.0867217442</v>
      </c>
      <c r="K12" s="4" t="n">
        <f aca="false">-K6*Assumptions!K45/100</f>
        <v>-28159.2593233965</v>
      </c>
      <c r="L12" s="4" t="n">
        <f aca="false">-L6*Assumptions!L45/100</f>
        <v>-28863.2408064814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71615.9539</v>
      </c>
      <c r="D13" s="0" t="n">
        <f aca="false">D11+D12</f>
        <v>79356.571896</v>
      </c>
      <c r="E13" s="0" t="n">
        <f aca="false">E11+E12</f>
        <v>86730.12003467</v>
      </c>
      <c r="F13" s="0" t="n">
        <f aca="false">F11+F12</f>
        <v>93942.2271473891</v>
      </c>
      <c r="G13" s="0" t="n">
        <f aca="false">G11+G12</f>
        <v>100788.219409142</v>
      </c>
      <c r="H13" s="0" t="n">
        <f aca="false">H11+H12</f>
        <v>105827.630379599</v>
      </c>
      <c r="I13" s="0" t="n">
        <f aca="false">I11+I12</f>
        <v>110060.735594783</v>
      </c>
      <c r="J13" s="0" t="n">
        <f aca="false">J11+J12</f>
        <v>113912.861340601</v>
      </c>
      <c r="K13" s="0" t="n">
        <f aca="false">K11+K12</f>
        <v>117330.247180819</v>
      </c>
      <c r="L13" s="0" t="n">
        <f aca="false">L11+L12</f>
        <v>120263.503360339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52279.646347</v>
      </c>
      <c r="D15" s="0" t="n">
        <f aca="false">D13-MAX(0,D13)*D14/100</f>
        <v>57930.29748408</v>
      </c>
      <c r="E15" s="0" t="n">
        <f aca="false">E13-MAX(0,E13)*E14/100</f>
        <v>63312.9876253091</v>
      </c>
      <c r="F15" s="0" t="n">
        <f aca="false">F13-MAX(0,F13)*F14/100</f>
        <v>67638.4035461201</v>
      </c>
      <c r="G15" s="0" t="n">
        <f aca="false">G13-MAX(0,G13)*G14/100</f>
        <v>72567.5179745824</v>
      </c>
      <c r="H15" s="0" t="n">
        <f aca="false">H13-MAX(0,H13)*H14/100</f>
        <v>76195.8938733115</v>
      </c>
      <c r="I15" s="0" t="n">
        <f aca="false">I13-MAX(0,I13)*I14/100</f>
        <v>79243.7296282439</v>
      </c>
      <c r="J15" s="0" t="n">
        <f aca="false">J13-MAX(0,J13)*J14/100</f>
        <v>82017.2601652325</v>
      </c>
      <c r="K15" s="0" t="n">
        <f aca="false">K13-MAX(0,K13)*K14/100</f>
        <v>84477.7779701894</v>
      </c>
      <c r="L15" s="0" t="n">
        <f aca="false">L13-MAX(0,L13)*L14/100</f>
        <v>86589.7224194442</v>
      </c>
    </row>
    <row r="16" customFormat="false" ht="15" hidden="false" customHeight="false" outlineLevel="0" collapsed="false">
      <c r="A16" s="0" t="s">
        <v>120</v>
      </c>
      <c r="C16" s="0" t="n">
        <f aca="false">-C12</f>
        <v>17370.67818</v>
      </c>
      <c r="D16" s="0" t="n">
        <f aca="false">-D12</f>
        <v>19177.8382082</v>
      </c>
      <c r="E16" s="0" t="n">
        <f aca="false">-E12</f>
        <v>20971.6273854325</v>
      </c>
      <c r="F16" s="0" t="n">
        <f aca="false">-F12</f>
        <v>22819.9742058435</v>
      </c>
      <c r="G16" s="0" t="n">
        <f aca="false">-G12</f>
        <v>24189.1726581941</v>
      </c>
      <c r="H16" s="0" t="n">
        <f aca="false">-H12</f>
        <v>25398.6312911038</v>
      </c>
      <c r="I16" s="0" t="n">
        <f aca="false">-I12</f>
        <v>26414.576542748</v>
      </c>
      <c r="J16" s="0" t="n">
        <f aca="false">-J12</f>
        <v>27339.0867217442</v>
      </c>
      <c r="K16" s="0" t="n">
        <f aca="false">-K12</f>
        <v>28159.2593233965</v>
      </c>
      <c r="L16" s="0" t="n">
        <f aca="false">-L12</f>
        <v>28863.2408064814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-22856.1555</v>
      </c>
      <c r="D17" s="4" t="n">
        <f aca="false">-D6*Assumptions!D46/100</f>
        <v>-24798.9287175</v>
      </c>
      <c r="E17" s="4" t="n">
        <f aca="false">-E6*Assumptions!E46/100</f>
        <v>-26658.8483713125</v>
      </c>
      <c r="F17" s="4" t="n">
        <f aca="false">-F6*Assumptions!F46/100</f>
        <v>-27383.9690470122</v>
      </c>
      <c r="G17" s="4" t="n">
        <f aca="false">-G6*Assumptions!G46/100</f>
        <v>-28220.7014345598</v>
      </c>
      <c r="H17" s="4" t="n">
        <f aca="false">-H6*Assumptions!H46/100</f>
        <v>-29631.7365062878</v>
      </c>
      <c r="I17" s="4" t="n">
        <f aca="false">-I6*Assumptions!I46/100</f>
        <v>-30817.0059665393</v>
      </c>
      <c r="J17" s="4" t="n">
        <f aca="false">-J6*Assumptions!J46/100</f>
        <v>-31895.6011753682</v>
      </c>
      <c r="K17" s="4" t="n">
        <f aca="false">-K6*Assumptions!K46/100</f>
        <v>-32852.4692106292</v>
      </c>
      <c r="L17" s="4" t="n">
        <f aca="false">-L6*Assumptions!L46/100</f>
        <v>-33673.780940895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-5032.54800000001</v>
      </c>
      <c r="D18" s="4" t="n">
        <f aca="false">(D6-C6)*Assumptions!$B$51/100</f>
        <v>-5180.72858</v>
      </c>
      <c r="E18" s="4" t="n">
        <f aca="false">(E6-D6)*Assumptions!$B$51/100</f>
        <v>-4959.7857435</v>
      </c>
      <c r="F18" s="4" t="n">
        <f aca="false">(F6-E6)*Assumptions!$B$51/100</f>
        <v>-4976.318362645</v>
      </c>
      <c r="G18" s="4" t="n">
        <f aca="false">(G6-F6)*Assumptions!$B$51/100</f>
        <v>-4563.99484116871</v>
      </c>
      <c r="H18" s="4" t="n">
        <f aca="false">(H6-G6)*Assumptions!$B$51/100</f>
        <v>-4031.52877636569</v>
      </c>
      <c r="I18" s="4" t="n">
        <f aca="false">(I6-H6)*Assumptions!$B$51/100</f>
        <v>-3386.48417214718</v>
      </c>
      <c r="J18" s="4" t="n">
        <f aca="false">(J6-I6)*Assumptions!$B$51/100</f>
        <v>-3081.70059665393</v>
      </c>
      <c r="K18" s="4" t="n">
        <f aca="false">(K6-J6)*Assumptions!$B$51/100</f>
        <v>-2733.90867217442</v>
      </c>
      <c r="L18" s="4" t="n">
        <f aca="false">(L6-K6)*Assumptions!$B$51/100</f>
        <v>-2346.60494361636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41761.621027</v>
      </c>
      <c r="D19" s="0" t="n">
        <f aca="false">D15+D16+D17+D18</f>
        <v>47128.47839478</v>
      </c>
      <c r="E19" s="0" t="n">
        <f aca="false">E15+E16+E17+E18</f>
        <v>52665.9808959291</v>
      </c>
      <c r="F19" s="0" t="n">
        <f aca="false">F15+F16+F17+F18</f>
        <v>58098.0903423064</v>
      </c>
      <c r="G19" s="0" t="n">
        <f aca="false">G15+G16+G17+G18</f>
        <v>63971.994357048</v>
      </c>
      <c r="H19" s="0" t="n">
        <f aca="false">H15+H16+H17+H18</f>
        <v>67931.2598817618</v>
      </c>
      <c r="I19" s="0" t="n">
        <f aca="false">I15+I16+I17+I18</f>
        <v>71454.8160323054</v>
      </c>
      <c r="J19" s="0" t="n">
        <f aca="false">J15+J16+J17+J18</f>
        <v>74379.0451149545</v>
      </c>
      <c r="K19" s="0" t="n">
        <f aca="false">K15+K16+K17+K18</f>
        <v>77050.6594107823</v>
      </c>
      <c r="L19" s="0" t="n">
        <f aca="false">L15+L16+L17+L18</f>
        <v>79432.5773414143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38848.01956</v>
      </c>
      <c r="D21" s="0" t="n">
        <f aca="false">D19*D20</f>
        <v>40781.8093194419</v>
      </c>
      <c r="E21" s="0" t="n">
        <f aca="false">E19*E20</f>
        <v>42394.037975769</v>
      </c>
      <c r="F21" s="0" t="n">
        <f aca="false">F19*F20</f>
        <v>43503.8808273147</v>
      </c>
      <c r="G21" s="0" t="n">
        <f aca="false">G19*G20</f>
        <v>44560.2448980547</v>
      </c>
      <c r="H21" s="0" t="n">
        <f aca="false">H19*H20</f>
        <v>44016.8423042422</v>
      </c>
      <c r="I21" s="0" t="n">
        <f aca="false">I19*I20</f>
        <v>43069.7405562287</v>
      </c>
      <c r="J21" s="0" t="n">
        <f aca="false">J19*J20</f>
        <v>41704.496713622</v>
      </c>
      <c r="K21" s="0" t="n">
        <f aca="false">K19*K20</f>
        <v>40188.3505265658</v>
      </c>
      <c r="L21" s="0" t="n">
        <f aca="false">L19*L20</f>
        <v>38540.2042353907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417607.62691663</v>
      </c>
    </row>
    <row r="31" customFormat="false" ht="15" hidden="false" customHeight="false" outlineLevel="0" collapsed="false">
      <c r="A31" s="0" t="s">
        <v>129</v>
      </c>
      <c r="B31" s="0" t="n">
        <f aca="false">L19</f>
        <v>79432.5773414143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1628367.83549899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1270921.23746263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1270921.23746263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616643.267766251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1034250.89468288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1051217.89468288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7874.94021741777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0.00921955881299086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7874.94021741777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651347.134199597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3533.28840972934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4778.17624677098</v>
      </c>
      <c r="C4" s="0" t="n">
        <f aca="false">B4/Assumptions!$B$2-1</f>
        <v>-0.387648821380112</v>
      </c>
      <c r="D4" s="4" t="n">
        <f aca="false">Assumptions!$B$24</f>
        <v>0.25</v>
      </c>
      <c r="E4" s="4" t="n">
        <f aca="false">DCF_Bear!$B$43</f>
        <v>4778.17624677098</v>
      </c>
      <c r="F4" s="4" t="n">
        <f aca="false">DCF_Bear!$B$47</f>
        <v>2233.80374777436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6494.94753063884</v>
      </c>
      <c r="C5" s="0" t="n">
        <f aca="false">B5/Assumptions!$B$2-1</f>
        <v>-0.167634559702827</v>
      </c>
      <c r="D5" s="4" t="n">
        <f aca="false">Assumptions!$B$38</f>
        <v>0.5</v>
      </c>
      <c r="E5" s="4" t="n">
        <f aca="false">DCF_Base!$B$43</f>
        <v>6494.94753063884</v>
      </c>
      <c r="F5" s="4" t="n">
        <f aca="false">DCF_Base!$B$47</f>
        <v>2960.41452941209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7874.94021741777</v>
      </c>
      <c r="C6" s="0" t="n">
        <f aca="false">B6/Assumptions!$B$2-1</f>
        <v>0.00921955881299086</v>
      </c>
      <c r="D6" s="4" t="n">
        <f aca="false">Assumptions!$B$52</f>
        <v>0.25</v>
      </c>
      <c r="E6" s="4" t="n">
        <f aca="false">DCF_Bull!$B$43</f>
        <v>7874.94021741777</v>
      </c>
      <c r="F6" s="4" t="n">
        <f aca="false">DCF_Bull!$B$47</f>
        <v>3533.28840972934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6410.75288136661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6410.75288136661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-0.217173730511447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2921.98030408197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6494.94753063884</v>
      </c>
      <c r="C15" s="3" t="n">
        <v>7.5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5544.17924962445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4841.64273544966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4296.29349830839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3860.91516826295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2960.41452941209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7540.81636403542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7540.81636403542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7540.81636403542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7540.81636403542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7540.81636403542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6992.9898354138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6992.9898354138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6992.9898354138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6992.9898354138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6992.9898354138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6388.77135888369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6494.94753063884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6494.94753063884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6494.94753063884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6494.94753063884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5510.36948819554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5727.06347715061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5977.09500286801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6041.61926756928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6041.61926756928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4840.7056990754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4994.74722995275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5169.32763161374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5368.84809065487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5599.0640049331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2026-10-30T22:32:15Z</dcterms:created>
  <dc:creator>openpyxl</dc:creator>
  <dc:description/>
  <dc:language>en-NZ</dc:language>
  <cp:lastModifiedBy/>
  <dcterms:modified xsi:type="dcterms:W3CDTF">2026-10-30T22:32:15Z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