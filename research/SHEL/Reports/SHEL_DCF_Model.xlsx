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<sst xmlns="http://schemas.openxmlformats.org/spreadsheetml/2006/main" count="361" uniqueCount="166">
  <si>
    <t xml:space="preserve">Ticker</t>
  </si>
  <si>
    <t xml:space="preserve">SHEL</t>
  </si>
  <si>
    <t xml:space="preserve">Company</t>
  </si>
  <si>
    <t xml:space="preserve">Shell plc (NYSE ADR, 1 ADS = 2 ordinary shares)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</si>
  <si>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</si>
  <si>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</si>
  <si>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</si>
  <si>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</si>
  <si>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(Friday; valuation date is the following Sunday)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</si>
  <si>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</si>
  <si>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</si>
  <si>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</si>
  <si>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</si>
  <si>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</si>
  <si>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</si>
  <si>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</si>
  <si>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</si>
  <si>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</si>
  <si>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</si>
  <si>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</si>
  <si>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</si>
  <si>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2026-10-04T08:09:16Z</t>
  </si>
  <si>
    <t xml:space="preserve">Drivers file</t>
  </si>
  <si>
    <t xml:space="preserve">SHEL_Drivers.json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</si>
  <si>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</si>
  <si>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</si>
  <si>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</si>
  <si>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Shell as a through-cycle cash generator, not on the FY2026 spike: owner FCF after leases, SBC and JV investment, at a 36% cash tax rate and a $20-22bn capex frame, capitalised at a cyclical cap of 11-13x. Shell's own CMD targets (FCF/share growth, 40-50% of CFFO distributed, $5-7bn structural cost cuts) are reflected only to the extent the FY2021-25 record supports them. Buybacks are value-neutral; the model's flat ADS count is conservative against a count actually falling 3-4%/yr.
key_risks_to_valuation: Commodity reversal: the Q2 2026 Adjusted EBITDA of $20.7bn and the 52-week high rest on a Middle East conflict price premium; a return to $60-65 Brent is the base case, not a risk, but the market price may be discounting the spike persisting.; LNG supply wave 2027-28 (Qatar North Field expansion, US Gulf Coast) compressing the spreads that drive Integrated Gas (~40% of Adjusted EBITDA).; Windfall and transition taxation: UK Energy Profits Levy precedents; cash tax rate assumed 36% of unlevered EBIT.; Capex creep: FY2026 cash capex guidance of $24-26bn vs the $20-22bn frame; the model assumes the excess is the ARC consideration.; ARC Resources integration (closed 2 Sept 2026): ~4% share issuance and ~$4.4bn net debt assumed value-neutral; pre-deal anchors until the Q3 2026 balance sheet is filed.; Nigeria litigation (Alame &amp; Ors v Shell): the 10 Sept 2026 High Court ruling broadened potential liability to regional pollution ahead of a March 2027 trial -- an unquantified contingent liability not in the bridge.; LNG Canada Phase 2 FID (Sept 2026): megaproject cost/schedule risk inside the capex frame.; Lease-heavy structure: $29.6bn of IFRS 16 liabilities (LNG carriers, FPSOs, retail) charged as $7.1bn/yr operating cost; a lease-as-debt treatment would give a similar value but a different net-debt figure.; Energy-transition demand plateau: terminal growth 0-1.5% nominal and a terminal cap, not a perpetuity at GDP growth.</t>
  </si>
  <si>
    <t xml:space="preserve">Data sources</t>
  </si>
  <si>
    <t xml:space="preserve">price: Yahoo Finance chart API at inputs.price_as_of (regular close); 52-week range 68.63-99.16; price per NYSE ADS (2 ordinary shares).
financials: FY2025 20-F (SEC HTML extract, SHEL_20F_FY2025.txt): key-metrics table (Adjusted EBITDA, cash capex, net debt), consolidated income statement, segment note (D&amp;A ex impairments 22,167), Note 22 leases (cash outflow 7,127; ROU charge 5,600; lease liabilities 28,933), Note 28 SBC (774), tax note (effective rate 39%). Q2/H1 2026 interim (SHEL_Quarterly_H1-2026.txt): summary table, balance sheet at 2026-06-30, Note 6 debt ex leases 43,449, EPS note diluted shares 5,637.0m, Q3 2026 outlook, ARC Resources terms. Metrics.csv/duckdb kpis for CashTaxesPaid, ShareRepurchases, InterestIncome, DividendsPaid history.
qualitative: SHEL_Analysis.json (landed mid-build): bull/bear cases, growth drivers (LNG Canada Phase 2 FID, ARC closed 2026-09-02, 2027-28 capex $20-22bn) and risks (Nigeria litigation ruling Sept 2026, chemicals/refining overcapacity, transition-strategy reversals); plus the FY2025 20-F strategy section, the Q2 2026 interim narrative and the 2025 Capital Markets Day targets.</t>
  </si>
  <si>
    <t xml:space="preserve">Scenario narrative: bear</t>
  </si>
  <si>
    <t xml:space="preserve">Premium unwinds into oversupply: Brent ~$55, LNG spreads compressed by Qatar/US Gulf volumes, chemicals and European refining loss-making, windfall taxes; margin 19.5-20.5%, revenue 8-11% lower, zero terminal growth, 11x cap.</t>
  </si>
  <si>
    <t xml:space="preserve">Scenario narrative: base</t>
  </si>
  <si>
    <t xml:space="preserve">Mid-cycle Brent $65-70 with LNG spreads normalising; EBITDA margin recovers from FY2025's 21.3% (pre-SBC) to 22.5% as the structural cost programme completes; cash capex held at $20-22bn; terminal cap 12x binds. The H1 2026 windfall is in the 30 June 2026 net debt, not in the flows.</t>
  </si>
  <si>
    <t xml:space="preserve">Scenario narrative: bull</t>
  </si>
  <si>
    <t xml:space="preserve">Brent $80+ and elevated LNG spreads persist as Middle East supply stays disrupted; Shell's trading and Integrated Gas businesses capture the spread; margin 24% by year 5 and 13x terminal cap. Needs the conflict premium to outlast the 2027-28 LNG supply wave.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</si>
  <si>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</si>
  <si>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</si>
  <si>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</si>
  <si>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</si>
  <si>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</si>
  <si>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</si>
  <si>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</si>
  <si>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</si>
  <si>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</si>
  <si>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</si>
  <si>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</si>
  <si>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</si>
  <si>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</si>
  <si>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</si>
  <si>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</si>
  <si>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</si>
  <si>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</si>
  <si>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</si>
  <si>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</si>
  <si>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</si>
  <si>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</si>
  <si>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</si>
  <si>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</si>
  <si>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</si>
  <si>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</si>
  <si>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</si>
  <si>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</si>
  <si>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DandAInclImpairments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</si>
  <si>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</si>
  <si>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</si>
  <si>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</si>
  <si>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</si>
  <si>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</si>
  <si>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</si>
  <si>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</si>
  <si>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</si>
  <si>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</si>
  <si>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</si>
  <si>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</si>
  <si>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</si>
  <si>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</si>
  <si>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</si>
  <si>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</si>
  <si>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</si>
  <si>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</si>
  <si>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</si>
  <si>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</si>
  <si>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</si>
  <si>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</si>
  <si>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</si>
  <si>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</si>
  <si>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</si>
  <si>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</si>
  <si>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</si>
  <si>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</si>
  <si>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</si>
  <si>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</si>
  <si>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</si>
  <si>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</si>
  <si>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</si>
  <si>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</si>
  <si>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</si>
  <si>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</si>
  <si>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</si>
  <si>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</si>
  <si>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</si>
  <si>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</si>
  <si>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</si>
  <si>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</si>
  <si>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</si>
  <si>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</si>
  <si>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</si>
  <si>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</si>
  <si>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</si>
  <si>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</si>
  <si>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SHEL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</si>
  <si>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</si>
  <si>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</si>
  <si>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</si>
  <si>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</si>
  <si>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</si>
  <si>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</si>
  <si>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</si>
  <si>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</si>
  <si>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</si>
  <si>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</si>
  <si>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</si>
  <si>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</si>
  <si>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</si>
  <si>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</si>
  <si>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</si>
  <si>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</si>
  <si>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</si>
  <si>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</si>
  <si>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</si>
  <si>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</si>
  <si>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</si>
  <si>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</si>
  <si>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</si>
  <si>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</si>
  <si>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</si>
  <si>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</si>
  <si>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</si>
  <si>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</si>
  <si>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</si>
  <si>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</si>
  <si>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SHEL owner-FCF component DCF: base case (millions, USD)</t>
  </si>
  <si>
    <t xml:space="preserve">SHEL owner-FCF component DCF: bull case (millions, USD)</t>
  </si>
  <si>
    <t xml:space="preserve">SHEL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</si>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</sst>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96.23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233591</v>
      </c>
      <c r="I2" s="0" t="n">
        <v>4575</v>
      </c>
      <c r="J2" s="0" t="n">
        <v>2</v>
      </c>
      <c r="K2" s="0" t="n">
        <v>0.58</v>
      </c>
      <c r="L2" s="0" t="n">
        <v>20615</v>
      </c>
      <c r="M2" s="0" t="n">
        <v>22116</v>
      </c>
      <c r="N2" s="0" t="n">
        <v>-1501</v>
      </c>
      <c r="O2" s="0" t="n">
        <v>186646</v>
      </c>
      <c r="P2" s="0" t="n">
        <v>411275</v>
      </c>
      <c r="Q2" s="0" t="n">
        <v>222764</v>
      </c>
      <c r="R2" s="0" t="n">
        <v>92476</v>
      </c>
      <c r="S2" s="0" t="n">
        <v>19130</v>
      </c>
      <c r="T2" s="0" t="n">
        <v>7891.7</v>
      </c>
      <c r="U2" s="0" t="n">
        <v>693</v>
      </c>
      <c r="AA2" s="0" t="s">
        <v>17</v>
      </c>
      <c r="AB2" s="0" t="s">
        <v>14</v>
      </c>
      <c r="AC2" s="0" t="n">
        <v>24993</v>
      </c>
    </row>
    <row r="3" customFormat="false" ht="15" hidden="false" customHeight="false" outlineLevel="0" collapsed="false">
      <c r="A3" s="0" t="s">
        <v>65</v>
      </c>
      <c r="B3" s="0" t="n">
        <v>305179</v>
      </c>
      <c r="I3" s="0" t="n">
        <v>12977</v>
      </c>
      <c r="J3" s="0" t="n">
        <v>4.3</v>
      </c>
      <c r="K3" s="0" t="n">
        <v>1.56</v>
      </c>
      <c r="L3" s="0" t="n">
        <v>35650</v>
      </c>
      <c r="M3" s="0" t="n">
        <v>20845</v>
      </c>
      <c r="N3" s="0" t="n">
        <v>14805</v>
      </c>
      <c r="O3" s="0" t="n">
        <v>194356</v>
      </c>
      <c r="P3" s="0" t="n">
        <v>407097</v>
      </c>
      <c r="Q3" s="0" t="n">
        <v>209285</v>
      </c>
      <c r="R3" s="0" t="n">
        <v>85665</v>
      </c>
      <c r="S3" s="0" t="n">
        <v>20312</v>
      </c>
      <c r="T3" s="0" t="n">
        <v>8299</v>
      </c>
      <c r="U3" s="0" t="n">
        <v>802</v>
      </c>
      <c r="AA3" s="0" t="s">
        <v>17</v>
      </c>
      <c r="AB3" s="0" t="s">
        <v>14</v>
      </c>
      <c r="AC3" s="0" t="n">
        <v>26222</v>
      </c>
    </row>
    <row r="4" customFormat="false" ht="15" hidden="false" customHeight="false" outlineLevel="0" collapsed="false">
      <c r="A4" s="0" t="s">
        <v>66</v>
      </c>
      <c r="B4" s="0" t="n">
        <v>388379</v>
      </c>
      <c r="I4" s="0" t="n">
        <v>23352</v>
      </c>
      <c r="J4" s="0" t="n">
        <v>6</v>
      </c>
      <c r="K4" s="0" t="n">
        <v>2.8</v>
      </c>
      <c r="L4" s="0" t="n">
        <v>53085</v>
      </c>
      <c r="M4" s="0" t="n">
        <v>23011</v>
      </c>
      <c r="N4" s="0" t="n">
        <v>30074</v>
      </c>
      <c r="O4" s="0" t="n">
        <v>198646</v>
      </c>
      <c r="P4" s="0" t="n">
        <v>399194</v>
      </c>
      <c r="Q4" s="0" t="n">
        <v>196660</v>
      </c>
      <c r="R4" s="0" t="n">
        <v>76824</v>
      </c>
      <c r="S4" s="0" t="n">
        <v>26741</v>
      </c>
      <c r="T4" s="0" t="n">
        <v>8348.7</v>
      </c>
      <c r="U4" s="0" t="n">
        <v>531</v>
      </c>
      <c r="AA4" s="0" t="s">
        <v>17</v>
      </c>
      <c r="AB4" s="0" t="s">
        <v>14</v>
      </c>
      <c r="AC4" s="0" t="n">
        <v>22135</v>
      </c>
    </row>
    <row r="5" customFormat="false" ht="15" hidden="false" customHeight="false" outlineLevel="0" collapsed="false">
      <c r="A5" s="0" t="s">
        <v>67</v>
      </c>
      <c r="B5" s="0" t="n">
        <v>344877</v>
      </c>
      <c r="I5" s="0" t="n">
        <v>15843</v>
      </c>
      <c r="J5" s="0" t="n">
        <v>4.6</v>
      </c>
      <c r="K5" s="0" t="n">
        <v>1.95</v>
      </c>
      <c r="L5" s="0" t="n">
        <v>42179</v>
      </c>
      <c r="M5" s="0" t="n">
        <v>22971</v>
      </c>
      <c r="N5" s="0" t="n">
        <v>19208</v>
      </c>
      <c r="O5" s="0" t="n">
        <v>186476</v>
      </c>
      <c r="P5" s="0" t="n">
        <v>404336</v>
      </c>
      <c r="Q5" s="0" t="n">
        <v>213873</v>
      </c>
      <c r="R5" s="0" t="n">
        <v>96424</v>
      </c>
      <c r="S5" s="0" t="n">
        <v>18055</v>
      </c>
      <c r="T5" s="0" t="n">
        <v>8112.5</v>
      </c>
      <c r="U5" s="0" t="n">
        <v>537</v>
      </c>
      <c r="AA5" s="0" t="s">
        <v>17</v>
      </c>
      <c r="AB5" s="0" t="s">
        <v>14</v>
      </c>
      <c r="AC5" s="0" t="n">
        <v>28701</v>
      </c>
    </row>
    <row r="6" customFormat="false" ht="15" hidden="false" customHeight="false" outlineLevel="0" collapsed="false">
      <c r="A6" s="0" t="s">
        <v>68</v>
      </c>
      <c r="B6" s="0" t="n">
        <v>180543</v>
      </c>
      <c r="I6" s="0" t="n">
        <v>-21680</v>
      </c>
      <c r="J6" s="0" t="n">
        <v>-12</v>
      </c>
      <c r="K6" s="0" t="n">
        <v>-2.78</v>
      </c>
      <c r="L6" s="0" t="n">
        <v>34105</v>
      </c>
      <c r="M6" s="0" t="n">
        <v>16585</v>
      </c>
      <c r="N6" s="0" t="n">
        <v>17520</v>
      </c>
      <c r="O6" s="0" t="n">
        <v>155310</v>
      </c>
      <c r="P6" s="0" t="n">
        <v>379268</v>
      </c>
      <c r="Q6" s="0" t="n">
        <v>220731</v>
      </c>
      <c r="R6" s="0" t="n">
        <v>108014</v>
      </c>
      <c r="S6" s="0" t="n">
        <v>31830</v>
      </c>
      <c r="T6" s="0" t="n">
        <v>7795.6</v>
      </c>
      <c r="U6" s="0" t="n">
        <v>359</v>
      </c>
      <c r="AA6" s="0" t="s">
        <v>17</v>
      </c>
      <c r="AB6" s="0" t="s">
        <v>14</v>
      </c>
      <c r="AC6" s="0" t="n">
        <v>52444</v>
      </c>
    </row>
    <row r="7" customFormat="false" ht="15" hidden="false" customHeight="false" outlineLevel="0" collapsed="false">
      <c r="A7" s="0" t="s">
        <v>69</v>
      </c>
      <c r="B7" s="0" t="n">
        <v>261504</v>
      </c>
      <c r="I7" s="0" t="n">
        <v>20101</v>
      </c>
      <c r="J7" s="0" t="n">
        <v>7.7</v>
      </c>
      <c r="K7" s="0" t="n">
        <v>2.57</v>
      </c>
      <c r="L7" s="0" t="n">
        <v>45105</v>
      </c>
      <c r="M7" s="0" t="n">
        <v>19000</v>
      </c>
      <c r="N7" s="0" t="n">
        <v>26105</v>
      </c>
      <c r="O7" s="0" t="n">
        <v>171966</v>
      </c>
      <c r="P7" s="0" t="n">
        <v>404379</v>
      </c>
      <c r="Q7" s="0" t="n">
        <v>229053</v>
      </c>
      <c r="R7" s="0" t="n">
        <v>89086</v>
      </c>
      <c r="S7" s="0" t="n">
        <v>36970</v>
      </c>
      <c r="T7" s="0" t="n">
        <v>7806.8</v>
      </c>
      <c r="U7" s="0" t="n">
        <v>539</v>
      </c>
      <c r="AA7" s="0" t="s">
        <v>17</v>
      </c>
      <c r="AB7" s="0" t="s">
        <v>14</v>
      </c>
      <c r="AC7" s="0" t="n">
        <v>26921</v>
      </c>
    </row>
    <row r="8" customFormat="false" ht="15" hidden="false" customHeight="false" outlineLevel="0" collapsed="false">
      <c r="A8" s="0" t="s">
        <v>70</v>
      </c>
      <c r="B8" s="0" t="n">
        <v>381314</v>
      </c>
      <c r="I8" s="0" t="n">
        <v>42309</v>
      </c>
      <c r="J8" s="0" t="n">
        <v>11.1</v>
      </c>
      <c r="K8" s="0" t="n">
        <v>5.71</v>
      </c>
      <c r="L8" s="0" t="n">
        <v>68413</v>
      </c>
      <c r="M8" s="0" t="n">
        <v>22600</v>
      </c>
      <c r="N8" s="0" t="n">
        <v>45813</v>
      </c>
      <c r="O8" s="0" t="n">
        <v>190472</v>
      </c>
      <c r="P8" s="0" t="n">
        <v>443024</v>
      </c>
      <c r="Q8" s="0" t="n">
        <v>250427</v>
      </c>
      <c r="R8" s="0" t="n">
        <v>83795</v>
      </c>
      <c r="S8" s="0" t="n">
        <v>40246</v>
      </c>
      <c r="T8" s="0" t="n">
        <v>7410.5</v>
      </c>
      <c r="U8" s="0" t="n">
        <v>807</v>
      </c>
      <c r="AA8" s="0" t="s">
        <v>17</v>
      </c>
      <c r="AB8" s="0" t="s">
        <v>14</v>
      </c>
      <c r="AC8" s="0" t="n">
        <v>18529</v>
      </c>
    </row>
    <row r="9" customFormat="false" ht="15" hidden="false" customHeight="false" outlineLevel="0" collapsed="false">
      <c r="A9" s="0" t="s">
        <v>71</v>
      </c>
      <c r="B9" s="0" t="n">
        <v>316620</v>
      </c>
      <c r="I9" s="0" t="n">
        <v>19360</v>
      </c>
      <c r="J9" s="0" t="n">
        <v>6.1</v>
      </c>
      <c r="K9" s="0" t="n">
        <v>2.85</v>
      </c>
      <c r="L9" s="0" t="n">
        <v>54196</v>
      </c>
      <c r="M9" s="0" t="n">
        <v>22993</v>
      </c>
      <c r="N9" s="0" t="n">
        <v>31203</v>
      </c>
      <c r="O9" s="0" t="n">
        <v>186607</v>
      </c>
      <c r="P9" s="0" t="n">
        <v>406270</v>
      </c>
      <c r="Q9" s="0" t="n">
        <v>217908</v>
      </c>
      <c r="R9" s="0" t="n">
        <v>81541</v>
      </c>
      <c r="S9" s="0" t="n">
        <v>38774</v>
      </c>
      <c r="T9" s="0" t="n">
        <v>6799.8</v>
      </c>
      <c r="U9" s="0" t="n">
        <v>700</v>
      </c>
      <c r="AA9" s="0" t="s">
        <v>17</v>
      </c>
      <c r="AB9" s="0" t="s">
        <v>14</v>
      </c>
      <c r="AC9" s="0" t="n">
        <v>31290</v>
      </c>
    </row>
    <row r="10" customFormat="false" ht="15" hidden="false" customHeight="false" outlineLevel="0" collapsed="false">
      <c r="A10" s="0" t="s">
        <v>72</v>
      </c>
      <c r="B10" s="0" t="n">
        <v>284312</v>
      </c>
      <c r="I10" s="0" t="n">
        <v>16093</v>
      </c>
      <c r="J10" s="0" t="n">
        <v>5.7</v>
      </c>
      <c r="K10" s="0" t="n">
        <v>2.53</v>
      </c>
      <c r="L10" s="0" t="n">
        <v>54684</v>
      </c>
      <c r="M10" s="0" t="n">
        <v>19601</v>
      </c>
      <c r="N10" s="0" t="n">
        <v>35083</v>
      </c>
      <c r="O10" s="0" t="n">
        <v>178307</v>
      </c>
      <c r="P10" s="0" t="n">
        <v>387609</v>
      </c>
      <c r="Q10" s="0" t="n">
        <v>207441</v>
      </c>
      <c r="R10" s="0" t="n">
        <v>77078</v>
      </c>
      <c r="S10" s="0" t="n">
        <v>39110</v>
      </c>
      <c r="T10" s="0" t="n">
        <v>6363.7</v>
      </c>
      <c r="U10" s="0" t="n">
        <v>732</v>
      </c>
      <c r="AA10" s="0" t="s">
        <v>17</v>
      </c>
      <c r="AB10" s="0" t="s">
        <v>14</v>
      </c>
      <c r="AC10" s="0" t="n">
        <v>26872</v>
      </c>
    </row>
    <row r="11" customFormat="false" ht="15" hidden="false" customHeight="false" outlineLevel="0" collapsed="false">
      <c r="A11" s="0" t="s">
        <v>73</v>
      </c>
      <c r="B11" s="0" t="n">
        <v>266886</v>
      </c>
      <c r="I11" s="0" t="n">
        <v>17838</v>
      </c>
      <c r="J11" s="0" t="n">
        <v>6.7</v>
      </c>
      <c r="K11" s="0" t="n">
        <v>3</v>
      </c>
      <c r="L11" s="0" t="n">
        <v>42863</v>
      </c>
      <c r="M11" s="0" t="n">
        <v>18947</v>
      </c>
      <c r="N11" s="0" t="n">
        <v>23916</v>
      </c>
      <c r="O11" s="0" t="n">
        <v>174392</v>
      </c>
      <c r="P11" s="0" t="n">
        <v>370350</v>
      </c>
      <c r="Q11" s="0" t="n">
        <v>195031</v>
      </c>
      <c r="R11" s="0" t="n">
        <v>75643</v>
      </c>
      <c r="S11" s="0" t="n">
        <v>30216</v>
      </c>
      <c r="T11" s="0" t="n">
        <v>5948.6</v>
      </c>
      <c r="U11" s="0" t="n">
        <v>774</v>
      </c>
      <c r="AA11" s="0" t="s">
        <v>17</v>
      </c>
      <c r="AB11" s="0" t="s">
        <v>14</v>
      </c>
      <c r="AC11" s="0" t="n">
        <v>25299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96.23</v>
      </c>
    </row>
    <row r="3" customFormat="false" ht="15" hidden="false" customHeight="false" outlineLevel="0" collapsed="false">
      <c r="A3" s="0" t="s">
        <v>77</v>
      </c>
      <c r="B3" s="3" t="n">
        <v>2818.5</v>
      </c>
    </row>
    <row r="4" customFormat="false" ht="15" hidden="false" customHeight="false" outlineLevel="0" collapsed="false">
      <c r="A4" s="0" t="s">
        <v>78</v>
      </c>
      <c r="B4" s="3" t="n">
        <v>12075</v>
      </c>
    </row>
    <row r="5" customFormat="false" ht="15" hidden="false" customHeight="false" outlineLevel="0" collapsed="false">
      <c r="A5" s="0" t="s">
        <v>79</v>
      </c>
      <c r="B5" s="3" t="n">
        <v>-995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266886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-8</v>
      </c>
      <c r="D13" s="3" t="n">
        <v>-3</v>
      </c>
      <c r="E13" s="3" t="n">
        <v>0</v>
      </c>
      <c r="F13" s="3" t="n">
        <v>0</v>
      </c>
      <c r="G13" s="3" t="n">
        <v>0.5</v>
      </c>
      <c r="H13" s="3" t="n">
        <v>0.5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98</v>
      </c>
      <c r="C14" s="3" t="n">
        <v>19.5</v>
      </c>
      <c r="D14" s="3" t="n">
        <v>19.5</v>
      </c>
      <c r="E14" s="3" t="n">
        <v>20</v>
      </c>
      <c r="F14" s="3" t="n">
        <v>20.5</v>
      </c>
      <c r="G14" s="3" t="n">
        <v>20.5</v>
      </c>
      <c r="H14" s="3" t="n">
        <v>20.5</v>
      </c>
      <c r="I14" s="3" t="n">
        <v>20.5</v>
      </c>
      <c r="J14" s="3" t="n">
        <v>20.5</v>
      </c>
      <c r="K14" s="3" t="n">
        <v>20.5</v>
      </c>
      <c r="L14" s="3" t="n">
        <v>20.5</v>
      </c>
    </row>
    <row r="15" customFormat="false" ht="15" hidden="false" customHeight="false" outlineLevel="0" collapsed="false">
      <c r="A15" s="0" t="s">
        <v>99</v>
      </c>
      <c r="C15" s="3" t="n">
        <v>0.29</v>
      </c>
      <c r="D15" s="3" t="n">
        <v>0.29</v>
      </c>
      <c r="E15" s="3" t="n">
        <v>0.29</v>
      </c>
      <c r="F15" s="3" t="n">
        <v>0.29</v>
      </c>
      <c r="G15" s="3" t="n">
        <v>0.29</v>
      </c>
      <c r="H15" s="3" t="n">
        <v>0.29</v>
      </c>
      <c r="I15" s="3" t="n">
        <v>0.29</v>
      </c>
      <c r="J15" s="3" t="n">
        <v>0.29</v>
      </c>
      <c r="K15" s="3" t="n">
        <v>0.29</v>
      </c>
      <c r="L15" s="3" t="n">
        <v>0.29</v>
      </c>
    </row>
    <row r="16" customFormat="false" ht="15" hidden="false" customHeight="false" outlineLevel="0" collapsed="false">
      <c r="A16" s="0" t="s">
        <v>100</v>
      </c>
      <c r="C16" s="3" t="n">
        <v>2.8</v>
      </c>
      <c r="D16" s="3" t="n">
        <v>2.8</v>
      </c>
      <c r="E16" s="3" t="n">
        <v>2.8</v>
      </c>
      <c r="F16" s="3" t="n">
        <v>2.8</v>
      </c>
      <c r="G16" s="3" t="n">
        <v>2.8</v>
      </c>
      <c r="H16" s="3" t="n">
        <v>2.8</v>
      </c>
      <c r="I16" s="3" t="n">
        <v>2.8</v>
      </c>
      <c r="J16" s="3" t="n">
        <v>2.8</v>
      </c>
      <c r="K16" s="3" t="n">
        <v>2.8</v>
      </c>
      <c r="L16" s="3" t="n">
        <v>2.8</v>
      </c>
    </row>
    <row r="17" customFormat="false" ht="15" hidden="false" customHeight="false" outlineLevel="0" collapsed="false">
      <c r="A17" s="0" t="s">
        <v>101</v>
      </c>
      <c r="C17" s="3" t="n">
        <v>6.6</v>
      </c>
      <c r="D17" s="3" t="n">
        <v>6.6</v>
      </c>
      <c r="E17" s="3" t="n">
        <v>6.6</v>
      </c>
      <c r="F17" s="3" t="n">
        <v>6.6</v>
      </c>
      <c r="G17" s="3" t="n">
        <v>6.6</v>
      </c>
      <c r="H17" s="3" t="n">
        <v>6.6</v>
      </c>
      <c r="I17" s="3" t="n">
        <v>6.6</v>
      </c>
      <c r="J17" s="3" t="n">
        <v>6.6</v>
      </c>
      <c r="K17" s="3" t="n">
        <v>6.6</v>
      </c>
      <c r="L17" s="3" t="n">
        <v>6.6</v>
      </c>
    </row>
    <row r="18" customFormat="false" ht="15" hidden="false" customHeight="false" outlineLevel="0" collapsed="false">
      <c r="A18" s="0" t="s">
        <v>102</v>
      </c>
      <c r="C18" s="3" t="n">
        <v>8</v>
      </c>
      <c r="D18" s="3" t="n">
        <v>7.8</v>
      </c>
      <c r="E18" s="3" t="n">
        <v>7.6</v>
      </c>
      <c r="F18" s="3" t="n">
        <v>7.6</v>
      </c>
      <c r="G18" s="3" t="n">
        <v>7.6</v>
      </c>
      <c r="H18" s="3" t="n">
        <v>7.6</v>
      </c>
      <c r="I18" s="3" t="n">
        <v>7.6</v>
      </c>
      <c r="J18" s="3" t="n">
        <v>7.6</v>
      </c>
      <c r="K18" s="3" t="n">
        <v>7.6</v>
      </c>
      <c r="L18" s="3" t="n">
        <v>7.6</v>
      </c>
    </row>
    <row r="19" customFormat="false" ht="15" hidden="false" customHeight="false" outlineLevel="0" collapsed="false">
      <c r="A19" s="0" t="s">
        <v>103</v>
      </c>
      <c r="C19" s="3" t="n">
        <v>35</v>
      </c>
      <c r="D19" s="3" t="n">
        <v>35</v>
      </c>
      <c r="E19" s="3" t="n">
        <v>35</v>
      </c>
      <c r="F19" s="3" t="n">
        <v>35</v>
      </c>
      <c r="G19" s="3" t="n">
        <v>35</v>
      </c>
      <c r="H19" s="3" t="n">
        <v>35</v>
      </c>
      <c r="I19" s="3" t="n">
        <v>35</v>
      </c>
      <c r="J19" s="3" t="n">
        <v>35</v>
      </c>
      <c r="K19" s="3" t="n">
        <v>35</v>
      </c>
      <c r="L19" s="3" t="n">
        <v>35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0</v>
      </c>
    </row>
    <row r="22" customFormat="false" ht="15" hidden="false" customHeight="false" outlineLevel="0" collapsed="false">
      <c r="A22" s="0" t="s">
        <v>106</v>
      </c>
      <c r="B22" s="3" t="n">
        <v>11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2</v>
      </c>
      <c r="D27" s="3" t="n">
        <v>2</v>
      </c>
      <c r="E27" s="3" t="n">
        <v>1.5</v>
      </c>
      <c r="F27" s="3" t="n">
        <v>1.5</v>
      </c>
      <c r="G27" s="3" t="n">
        <v>1.5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98</v>
      </c>
      <c r="C28" s="3" t="n">
        <v>21.6</v>
      </c>
      <c r="D28" s="3" t="n">
        <v>22</v>
      </c>
      <c r="E28" s="3" t="n">
        <v>22.3</v>
      </c>
      <c r="F28" s="3" t="n">
        <v>22.5</v>
      </c>
      <c r="G28" s="3" t="n">
        <v>22.5</v>
      </c>
      <c r="H28" s="3" t="n">
        <v>22.5</v>
      </c>
      <c r="I28" s="3" t="n">
        <v>22.5</v>
      </c>
      <c r="J28" s="3" t="n">
        <v>22.5</v>
      </c>
      <c r="K28" s="3" t="n">
        <v>22.5</v>
      </c>
      <c r="L28" s="3" t="n">
        <v>22.5</v>
      </c>
    </row>
    <row r="29" customFormat="false" ht="15" hidden="false" customHeight="false" outlineLevel="0" collapsed="false">
      <c r="A29" s="0" t="s">
        <v>99</v>
      </c>
      <c r="C29" s="3" t="n">
        <v>0.29</v>
      </c>
      <c r="D29" s="3" t="n">
        <v>0.29</v>
      </c>
      <c r="E29" s="3" t="n">
        <v>0.29</v>
      </c>
      <c r="F29" s="3" t="n">
        <v>0.29</v>
      </c>
      <c r="G29" s="3" t="n">
        <v>0.29</v>
      </c>
      <c r="H29" s="3" t="n">
        <v>0.29</v>
      </c>
      <c r="I29" s="3" t="n">
        <v>0.29</v>
      </c>
      <c r="J29" s="3" t="n">
        <v>0.29</v>
      </c>
      <c r="K29" s="3" t="n">
        <v>0.29</v>
      </c>
      <c r="L29" s="3" t="n">
        <v>0.29</v>
      </c>
    </row>
    <row r="30" customFormat="false" ht="15" hidden="false" customHeight="false" outlineLevel="0" collapsed="false">
      <c r="A30" s="0" t="s">
        <v>100</v>
      </c>
      <c r="C30" s="3" t="n">
        <v>2.6</v>
      </c>
      <c r="D30" s="3" t="n">
        <v>2.6</v>
      </c>
      <c r="E30" s="3" t="n">
        <v>2.6</v>
      </c>
      <c r="F30" s="3" t="n">
        <v>2.6</v>
      </c>
      <c r="G30" s="3" t="n">
        <v>2.6</v>
      </c>
      <c r="H30" s="3" t="n">
        <v>2.6</v>
      </c>
      <c r="I30" s="3" t="n">
        <v>2.6</v>
      </c>
      <c r="J30" s="3" t="n">
        <v>2.6</v>
      </c>
      <c r="K30" s="3" t="n">
        <v>2.6</v>
      </c>
      <c r="L30" s="3" t="n">
        <v>2.6</v>
      </c>
    </row>
    <row r="31" customFormat="false" ht="15" hidden="false" customHeight="false" outlineLevel="0" collapsed="false">
      <c r="A31" s="0" t="s">
        <v>101</v>
      </c>
      <c r="C31" s="3" t="n">
        <v>6.2</v>
      </c>
      <c r="D31" s="3" t="n">
        <v>6.2</v>
      </c>
      <c r="E31" s="3" t="n">
        <v>6.2</v>
      </c>
      <c r="F31" s="3" t="n">
        <v>6.2</v>
      </c>
      <c r="G31" s="3" t="n">
        <v>6.2</v>
      </c>
      <c r="H31" s="3" t="n">
        <v>6.2</v>
      </c>
      <c r="I31" s="3" t="n">
        <v>6.2</v>
      </c>
      <c r="J31" s="3" t="n">
        <v>6.2</v>
      </c>
      <c r="K31" s="3" t="n">
        <v>6.2</v>
      </c>
      <c r="L31" s="3" t="n">
        <v>6.2</v>
      </c>
    </row>
    <row r="32" customFormat="false" ht="15" hidden="false" customHeight="false" outlineLevel="0" collapsed="false">
      <c r="A32" s="0" t="s">
        <v>102</v>
      </c>
      <c r="C32" s="3" t="n">
        <v>7.8</v>
      </c>
      <c r="D32" s="3" t="n">
        <v>7.8</v>
      </c>
      <c r="E32" s="3" t="n">
        <v>7.7</v>
      </c>
      <c r="F32" s="3" t="n">
        <v>7.7</v>
      </c>
      <c r="G32" s="3" t="n">
        <v>7.6</v>
      </c>
      <c r="H32" s="3" t="n">
        <v>7.6</v>
      </c>
      <c r="I32" s="3" t="n">
        <v>7.6</v>
      </c>
      <c r="J32" s="3" t="n">
        <v>7.6</v>
      </c>
      <c r="K32" s="3" t="n">
        <v>7.6</v>
      </c>
      <c r="L32" s="3" t="n">
        <v>7.6</v>
      </c>
    </row>
    <row r="33" customFormat="false" ht="15" hidden="false" customHeight="false" outlineLevel="0" collapsed="false">
      <c r="A33" s="0" t="s">
        <v>103</v>
      </c>
      <c r="C33" s="3" t="n">
        <v>36</v>
      </c>
      <c r="D33" s="3" t="n">
        <v>36</v>
      </c>
      <c r="E33" s="3" t="n">
        <v>36</v>
      </c>
      <c r="F33" s="3" t="n">
        <v>36</v>
      </c>
      <c r="G33" s="3" t="n">
        <v>36</v>
      </c>
      <c r="H33" s="3" t="n">
        <v>36</v>
      </c>
      <c r="I33" s="3" t="n">
        <v>36</v>
      </c>
      <c r="J33" s="3" t="n">
        <v>36</v>
      </c>
      <c r="K33" s="3" t="n">
        <v>36</v>
      </c>
      <c r="L33" s="3" t="n">
        <v>36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1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9</v>
      </c>
      <c r="D41" s="3" t="n">
        <v>3</v>
      </c>
      <c r="E41" s="3" t="n">
        <v>2.5</v>
      </c>
      <c r="F41" s="3" t="n">
        <v>2</v>
      </c>
      <c r="G41" s="3" t="n">
        <v>2</v>
      </c>
      <c r="H41" s="3" t="n">
        <v>1.5</v>
      </c>
      <c r="I41" s="3" t="n">
        <v>1.5</v>
      </c>
      <c r="J41" s="3" t="n">
        <v>1.5</v>
      </c>
      <c r="K41" s="3" t="n">
        <v>1.5</v>
      </c>
      <c r="L41" s="3" t="n">
        <v>1.5</v>
      </c>
    </row>
    <row r="42" customFormat="false" ht="15" hidden="false" customHeight="false" outlineLevel="0" collapsed="false">
      <c r="A42" s="0" t="s">
        <v>98</v>
      </c>
      <c r="C42" s="3" t="n">
        <v>22.8</v>
      </c>
      <c r="D42" s="3" t="n">
        <v>23.3</v>
      </c>
      <c r="E42" s="3" t="n">
        <v>23.6</v>
      </c>
      <c r="F42" s="3" t="n">
        <v>23.8</v>
      </c>
      <c r="G42" s="3" t="n">
        <v>24</v>
      </c>
      <c r="H42" s="3" t="n">
        <v>24</v>
      </c>
      <c r="I42" s="3" t="n">
        <v>24</v>
      </c>
      <c r="J42" s="3" t="n">
        <v>24</v>
      </c>
      <c r="K42" s="3" t="n">
        <v>24</v>
      </c>
      <c r="L42" s="3" t="n">
        <v>24</v>
      </c>
    </row>
    <row r="43" customFormat="false" ht="15" hidden="false" customHeight="false" outlineLevel="0" collapsed="false">
      <c r="A43" s="0" t="s">
        <v>99</v>
      </c>
      <c r="C43" s="3" t="n">
        <v>0.29</v>
      </c>
      <c r="D43" s="3" t="n">
        <v>0.29</v>
      </c>
      <c r="E43" s="3" t="n">
        <v>0.29</v>
      </c>
      <c r="F43" s="3" t="n">
        <v>0.29</v>
      </c>
      <c r="G43" s="3" t="n">
        <v>0.29</v>
      </c>
      <c r="H43" s="3" t="n">
        <v>0.29</v>
      </c>
      <c r="I43" s="3" t="n">
        <v>0.29</v>
      </c>
      <c r="J43" s="3" t="n">
        <v>0.29</v>
      </c>
      <c r="K43" s="3" t="n">
        <v>0.29</v>
      </c>
      <c r="L43" s="3" t="n">
        <v>0.29</v>
      </c>
    </row>
    <row r="44" customFormat="false" ht="15" hidden="false" customHeight="false" outlineLevel="0" collapsed="false">
      <c r="A44" s="0" t="s">
        <v>100</v>
      </c>
      <c r="C44" s="3" t="n">
        <v>2.5</v>
      </c>
      <c r="D44" s="3" t="n">
        <v>2.5</v>
      </c>
      <c r="E44" s="3" t="n">
        <v>2.5</v>
      </c>
      <c r="F44" s="3" t="n">
        <v>2.5</v>
      </c>
      <c r="G44" s="3" t="n">
        <v>2.5</v>
      </c>
      <c r="H44" s="3" t="n">
        <v>2.5</v>
      </c>
      <c r="I44" s="3" t="n">
        <v>2.5</v>
      </c>
      <c r="J44" s="3" t="n">
        <v>2.5</v>
      </c>
      <c r="K44" s="3" t="n">
        <v>2.5</v>
      </c>
      <c r="L44" s="3" t="n">
        <v>2.5</v>
      </c>
    </row>
    <row r="45" customFormat="false" ht="15" hidden="false" customHeight="false" outlineLevel="0" collapsed="false">
      <c r="A45" s="0" t="s">
        <v>101</v>
      </c>
      <c r="C45" s="3" t="n">
        <v>6.2</v>
      </c>
      <c r="D45" s="3" t="n">
        <v>6.2</v>
      </c>
      <c r="E45" s="3" t="n">
        <v>6.2</v>
      </c>
      <c r="F45" s="3" t="n">
        <v>6.2</v>
      </c>
      <c r="G45" s="3" t="n">
        <v>6.2</v>
      </c>
      <c r="H45" s="3" t="n">
        <v>6.2</v>
      </c>
      <c r="I45" s="3" t="n">
        <v>6.2</v>
      </c>
      <c r="J45" s="3" t="n">
        <v>6.2</v>
      </c>
      <c r="K45" s="3" t="n">
        <v>6.2</v>
      </c>
      <c r="L45" s="3" t="n">
        <v>6.2</v>
      </c>
    </row>
    <row r="46" customFormat="false" ht="15" hidden="false" customHeight="false" outlineLevel="0" collapsed="false">
      <c r="A46" s="0" t="s">
        <v>102</v>
      </c>
      <c r="C46" s="3" t="n">
        <v>7.8</v>
      </c>
      <c r="D46" s="3" t="n">
        <v>7.8</v>
      </c>
      <c r="E46" s="3" t="n">
        <v>7.8</v>
      </c>
      <c r="F46" s="3" t="n">
        <v>7.8</v>
      </c>
      <c r="G46" s="3" t="n">
        <v>7.8</v>
      </c>
      <c r="H46" s="3" t="n">
        <v>7.8</v>
      </c>
      <c r="I46" s="3" t="n">
        <v>7.8</v>
      </c>
      <c r="J46" s="3" t="n">
        <v>7.8</v>
      </c>
      <c r="K46" s="3" t="n">
        <v>7.8</v>
      </c>
      <c r="L46" s="3" t="n">
        <v>7.8</v>
      </c>
    </row>
    <row r="47" customFormat="false" ht="15" hidden="false" customHeight="false" outlineLevel="0" collapsed="false">
      <c r="A47" s="0" t="s">
        <v>103</v>
      </c>
      <c r="C47" s="3" t="n">
        <v>38</v>
      </c>
      <c r="D47" s="3" t="n">
        <v>38</v>
      </c>
      <c r="E47" s="3" t="n">
        <v>38</v>
      </c>
      <c r="F47" s="3" t="n">
        <v>38</v>
      </c>
      <c r="G47" s="3" t="n">
        <v>38</v>
      </c>
      <c r="H47" s="3" t="n">
        <v>38</v>
      </c>
      <c r="I47" s="3" t="n">
        <v>38</v>
      </c>
      <c r="J47" s="3" t="n">
        <v>38</v>
      </c>
      <c r="K47" s="3" t="n">
        <v>38</v>
      </c>
      <c r="L47" s="3" t="n">
        <v>38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1.5</v>
      </c>
    </row>
    <row r="50" customFormat="false" ht="15" hidden="false" customHeight="false" outlineLevel="0" collapsed="false">
      <c r="A50" s="0" t="s">
        <v>106</v>
      </c>
      <c r="B50" s="3" t="n">
        <v>13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-8</v>
      </c>
      <c r="D5" s="4" t="n">
        <f aca="false">Assumptions!D13</f>
        <v>-3</v>
      </c>
      <c r="E5" s="4" t="n">
        <f aca="false">Assumptions!E13</f>
        <v>0</v>
      </c>
      <c r="F5" s="4" t="n">
        <f aca="false">Assumptions!F13</f>
        <v>0</v>
      </c>
      <c r="G5" s="4" t="n">
        <f aca="false">Assumptions!G13</f>
        <v>0.5</v>
      </c>
      <c r="H5" s="4" t="n">
        <f aca="false">Assumptions!H13</f>
        <v>0.5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266886</v>
      </c>
      <c r="C6" s="0" t="n">
        <f aca="false">B6*(1+C5/100)</f>
        <v>245535.12</v>
      </c>
      <c r="D6" s="0" t="n">
        <f aca="false">C6*(1+D5/100)</f>
        <v>238169.0664</v>
      </c>
      <c r="E6" s="0" t="n">
        <f aca="false">D6*(1+E5/100)</f>
        <v>238169.0664</v>
      </c>
      <c r="F6" s="0" t="n">
        <f aca="false">E6*(1+F5/100)</f>
        <v>238169.0664</v>
      </c>
      <c r="G6" s="0" t="n">
        <f aca="false">F6*(1+G5/100)</f>
        <v>239359.911732</v>
      </c>
      <c r="H6" s="0" t="n">
        <f aca="false">G6*(1+H5/100)</f>
        <v>240556.71129066</v>
      </c>
      <c r="I6" s="0" t="n">
        <f aca="false">H6*(1+I5/100)</f>
        <v>241759.494847113</v>
      </c>
      <c r="J6" s="0" t="n">
        <f aca="false">I6*(1+J5/100)</f>
        <v>242968.292321349</v>
      </c>
      <c r="K6" s="0" t="n">
        <f aca="false">J6*(1+K5/100)</f>
        <v>244183.133782956</v>
      </c>
      <c r="L6" s="0" t="n">
        <f aca="false">K6*(1+L5/100)</f>
        <v>245404.04945187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19.5</v>
      </c>
      <c r="D7" s="4" t="n">
        <f aca="false">Assumptions!D14</f>
        <v>19.5</v>
      </c>
      <c r="E7" s="4" t="n">
        <f aca="false">Assumptions!E14</f>
        <v>20</v>
      </c>
      <c r="F7" s="4" t="n">
        <f aca="false">Assumptions!F14</f>
        <v>20.5</v>
      </c>
      <c r="G7" s="4" t="n">
        <f aca="false">Assumptions!G14</f>
        <v>20.5</v>
      </c>
      <c r="H7" s="4" t="n">
        <f aca="false">Assumptions!H14</f>
        <v>20.5</v>
      </c>
      <c r="I7" s="4" t="n">
        <f aca="false">Assumptions!I14</f>
        <v>20.5</v>
      </c>
      <c r="J7" s="4" t="n">
        <f aca="false">Assumptions!J14</f>
        <v>20.5</v>
      </c>
      <c r="K7" s="4" t="n">
        <f aca="false">Assumptions!K14</f>
        <v>20.5</v>
      </c>
      <c r="L7" s="4" t="n">
        <f aca="false">Assumptions!L14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47879.3484</v>
      </c>
      <c r="D8" s="0" t="n">
        <f aca="false">D6*D7/100</f>
        <v>46442.967948</v>
      </c>
      <c r="E8" s="0" t="n">
        <f aca="false">E6*E7/100</f>
        <v>47633.81328</v>
      </c>
      <c r="F8" s="0" t="n">
        <f aca="false">F6*F7/100</f>
        <v>48824.658612</v>
      </c>
      <c r="G8" s="0" t="n">
        <f aca="false">G6*G7/100</f>
        <v>49068.78190506</v>
      </c>
      <c r="H8" s="0" t="n">
        <f aca="false">H6*H7/100</f>
        <v>49314.1258145853</v>
      </c>
      <c r="I8" s="0" t="n">
        <f aca="false">I6*I7/100</f>
        <v>49560.6964436582</v>
      </c>
      <c r="J8" s="0" t="n">
        <f aca="false">J6*J7/100</f>
        <v>49808.4999258765</v>
      </c>
      <c r="K8" s="0" t="n">
        <f aca="false">K6*K7/100</f>
        <v>50057.5424255059</v>
      </c>
      <c r="L8" s="0" t="n">
        <f aca="false">L6*L7/100</f>
        <v>50307.8301376334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0.29</v>
      </c>
      <c r="D9" s="4" t="n">
        <f aca="false">Assumptions!D15</f>
        <v>0.29</v>
      </c>
      <c r="E9" s="4" t="n">
        <f aca="false">Assumptions!E15</f>
        <v>0.29</v>
      </c>
      <c r="F9" s="4" t="n">
        <f aca="false">Assumptions!F15</f>
        <v>0.29</v>
      </c>
      <c r="G9" s="4" t="n">
        <f aca="false">Assumptions!G15</f>
        <v>0.29</v>
      </c>
      <c r="H9" s="4" t="n">
        <f aca="false">Assumptions!H15</f>
        <v>0.29</v>
      </c>
      <c r="I9" s="4" t="n">
        <f aca="false">Assumptions!I15</f>
        <v>0.29</v>
      </c>
      <c r="J9" s="4" t="n">
        <f aca="false">Assumptions!J15</f>
        <v>0.29</v>
      </c>
      <c r="K9" s="4" t="n">
        <f aca="false">Assumptions!K15</f>
        <v>0.29</v>
      </c>
      <c r="L9" s="4" t="n">
        <f aca="false">Assumptions!L15</f>
        <v>0.29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-712.051848</v>
      </c>
      <c r="D10" s="0" t="n">
        <f aca="false">-D6*D9/100</f>
        <v>-690.69029256</v>
      </c>
      <c r="E10" s="0" t="n">
        <f aca="false">-E6*E9/100</f>
        <v>-690.69029256</v>
      </c>
      <c r="F10" s="0" t="n">
        <f aca="false">-F6*F9/100</f>
        <v>-690.69029256</v>
      </c>
      <c r="G10" s="0" t="n">
        <f aca="false">-G6*G9/100</f>
        <v>-694.1437440228</v>
      </c>
      <c r="H10" s="0" t="n">
        <f aca="false">-H6*H9/100</f>
        <v>-697.614462742914</v>
      </c>
      <c r="I10" s="0" t="n">
        <f aca="false">-I6*I9/100</f>
        <v>-701.102535056628</v>
      </c>
      <c r="J10" s="0" t="n">
        <f aca="false">-J6*J9/100</f>
        <v>-704.608047731911</v>
      </c>
      <c r="K10" s="0" t="n">
        <f aca="false">-K6*K9/100</f>
        <v>-708.131087970571</v>
      </c>
      <c r="L10" s="0" t="n">
        <f aca="false">-L6*L9/100</f>
        <v>-711.671743410424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40292.313192</v>
      </c>
      <c r="D11" s="0" t="n">
        <f aca="false">D8+D10+D24</f>
        <v>39083.54379624</v>
      </c>
      <c r="E11" s="0" t="n">
        <f aca="false">E8+E10+E24</f>
        <v>40274.38912824</v>
      </c>
      <c r="F11" s="0" t="n">
        <f aca="false">F8+F10+F24</f>
        <v>41465.23446024</v>
      </c>
      <c r="G11" s="0" t="n">
        <f aca="false">G8+G10+G24</f>
        <v>41672.5606325412</v>
      </c>
      <c r="H11" s="0" t="n">
        <f aca="false">H8+H10+H24</f>
        <v>41880.9234357039</v>
      </c>
      <c r="I11" s="0" t="n">
        <f aca="false">I8+I10+I24</f>
        <v>42090.3280528824</v>
      </c>
      <c r="J11" s="0" t="n">
        <f aca="false">J8+J10+J24</f>
        <v>42300.7796931468</v>
      </c>
      <c r="K11" s="0" t="n">
        <f aca="false">K8+K10+K24</f>
        <v>42512.2835916126</v>
      </c>
      <c r="L11" s="0" t="n">
        <f aca="false">L8+L10+L24</f>
        <v>42724.8450095706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-16205.31792</v>
      </c>
      <c r="D12" s="4" t="n">
        <f aca="false">-D6*Assumptions!D17/100</f>
        <v>-15719.1583824</v>
      </c>
      <c r="E12" s="4" t="n">
        <f aca="false">-E6*Assumptions!E17/100</f>
        <v>-15719.1583824</v>
      </c>
      <c r="F12" s="4" t="n">
        <f aca="false">-F6*Assumptions!F17/100</f>
        <v>-15719.1583824</v>
      </c>
      <c r="G12" s="4" t="n">
        <f aca="false">-G6*Assumptions!G17/100</f>
        <v>-15797.754174312</v>
      </c>
      <c r="H12" s="4" t="n">
        <f aca="false">-H6*Assumptions!H17/100</f>
        <v>-15876.7429451836</v>
      </c>
      <c r="I12" s="4" t="n">
        <f aca="false">-I6*Assumptions!I17/100</f>
        <v>-15956.1266599095</v>
      </c>
      <c r="J12" s="4" t="n">
        <f aca="false">-J6*Assumptions!J17/100</f>
        <v>-16035.907293209</v>
      </c>
      <c r="K12" s="4" t="n">
        <f aca="false">-K6*Assumptions!K17/100</f>
        <v>-16116.0868296751</v>
      </c>
      <c r="L12" s="4" t="n">
        <f aca="false">-L6*Assumptions!L17/100</f>
        <v>-16196.6672638234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24086.995272</v>
      </c>
      <c r="D13" s="0" t="n">
        <f aca="false">D11+D12</f>
        <v>23364.38541384</v>
      </c>
      <c r="E13" s="0" t="n">
        <f aca="false">E11+E12</f>
        <v>24555.23074584</v>
      </c>
      <c r="F13" s="0" t="n">
        <f aca="false">F11+F12</f>
        <v>25746.07607784</v>
      </c>
      <c r="G13" s="0" t="n">
        <f aca="false">G11+G12</f>
        <v>25874.8064582292</v>
      </c>
      <c r="H13" s="0" t="n">
        <f aca="false">H11+H12</f>
        <v>26004.1804905203</v>
      </c>
      <c r="I13" s="0" t="n">
        <f aca="false">I11+I12</f>
        <v>26134.2013929729</v>
      </c>
      <c r="J13" s="0" t="n">
        <f aca="false">J11+J12</f>
        <v>26264.8723999378</v>
      </c>
      <c r="K13" s="0" t="n">
        <f aca="false">K11+K12</f>
        <v>26396.1967619375</v>
      </c>
      <c r="L13" s="0" t="n">
        <f aca="false">L11+L12</f>
        <v>26528.1777457472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35</v>
      </c>
      <c r="D14" s="4" t="n">
        <f aca="false">Assumptions!D19</f>
        <v>35</v>
      </c>
      <c r="E14" s="4" t="n">
        <f aca="false">Assumptions!E19</f>
        <v>35</v>
      </c>
      <c r="F14" s="4" t="n">
        <f aca="false">Assumptions!F19</f>
        <v>35</v>
      </c>
      <c r="G14" s="4" t="n">
        <f aca="false">Assumptions!G19</f>
        <v>35</v>
      </c>
      <c r="H14" s="4" t="n">
        <f aca="false">Assumptions!H19</f>
        <v>35</v>
      </c>
      <c r="I14" s="4" t="n">
        <f aca="false">Assumptions!I19</f>
        <v>35</v>
      </c>
      <c r="J14" s="4" t="n">
        <f aca="false">Assumptions!J19</f>
        <v>35</v>
      </c>
      <c r="K14" s="4" t="n">
        <f aca="false">Assumptions!K19</f>
        <v>35</v>
      </c>
      <c r="L14" s="4" t="n">
        <f aca="false">Assumptions!L19</f>
        <v>35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15656.5469268</v>
      </c>
      <c r="D15" s="0" t="n">
        <f aca="false">D13-MAX(0,D13)*D14/100</f>
        <v>15186.850518996</v>
      </c>
      <c r="E15" s="0" t="n">
        <f aca="false">E13-MAX(0,E13)*E14/100</f>
        <v>15960.899984796</v>
      </c>
      <c r="F15" s="0" t="n">
        <f aca="false">F13-MAX(0,F13)*F14/100</f>
        <v>16734.949450596</v>
      </c>
      <c r="G15" s="0" t="n">
        <f aca="false">G13-MAX(0,G13)*G14/100</f>
        <v>16818.624197849</v>
      </c>
      <c r="H15" s="0" t="n">
        <f aca="false">H13-MAX(0,H13)*H14/100</f>
        <v>16902.7173188382</v>
      </c>
      <c r="I15" s="0" t="n">
        <f aca="false">I13-MAX(0,I13)*I14/100</f>
        <v>16987.2309054324</v>
      </c>
      <c r="J15" s="0" t="n">
        <f aca="false">J13-MAX(0,J13)*J14/100</f>
        <v>17072.1670599596</v>
      </c>
      <c r="K15" s="0" t="n">
        <f aca="false">K13-MAX(0,K13)*K14/100</f>
        <v>17157.5278952594</v>
      </c>
      <c r="L15" s="0" t="n">
        <f aca="false">L13-MAX(0,L13)*L14/100</f>
        <v>17243.3155347357</v>
      </c>
    </row>
    <row r="16" customFormat="false" ht="15" hidden="false" customHeight="false" outlineLevel="0" collapsed="false">
      <c r="A16" s="0" t="s">
        <v>119</v>
      </c>
      <c r="C16" s="0" t="n">
        <f aca="false">-C12</f>
        <v>16205.31792</v>
      </c>
      <c r="D16" s="0" t="n">
        <f aca="false">-D12</f>
        <v>15719.1583824</v>
      </c>
      <c r="E16" s="0" t="n">
        <f aca="false">-E12</f>
        <v>15719.1583824</v>
      </c>
      <c r="F16" s="0" t="n">
        <f aca="false">-F12</f>
        <v>15719.1583824</v>
      </c>
      <c r="G16" s="0" t="n">
        <f aca="false">-G12</f>
        <v>15797.754174312</v>
      </c>
      <c r="H16" s="0" t="n">
        <f aca="false">-H12</f>
        <v>15876.7429451836</v>
      </c>
      <c r="I16" s="0" t="n">
        <f aca="false">-I12</f>
        <v>15956.1266599095</v>
      </c>
      <c r="J16" s="0" t="n">
        <f aca="false">-J12</f>
        <v>16035.907293209</v>
      </c>
      <c r="K16" s="0" t="n">
        <f aca="false">-K12</f>
        <v>16116.0868296751</v>
      </c>
      <c r="L16" s="0" t="n">
        <f aca="false">-L12</f>
        <v>16196.6672638234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-19642.8096</v>
      </c>
      <c r="D17" s="4" t="n">
        <f aca="false">-D6*Assumptions!D18/100</f>
        <v>-18577.1871792</v>
      </c>
      <c r="E17" s="4" t="n">
        <f aca="false">-E6*Assumptions!E18/100</f>
        <v>-18100.8490464</v>
      </c>
      <c r="F17" s="4" t="n">
        <f aca="false">-F6*Assumptions!F18/100</f>
        <v>-18100.8490464</v>
      </c>
      <c r="G17" s="4" t="n">
        <f aca="false">-G6*Assumptions!G18/100</f>
        <v>-18191.353291632</v>
      </c>
      <c r="H17" s="4" t="n">
        <f aca="false">-H6*Assumptions!H18/100</f>
        <v>-18282.3100580902</v>
      </c>
      <c r="I17" s="4" t="n">
        <f aca="false">-I6*Assumptions!I18/100</f>
        <v>-18373.7216083806</v>
      </c>
      <c r="J17" s="4" t="n">
        <f aca="false">-J6*Assumptions!J18/100</f>
        <v>-18465.5902164225</v>
      </c>
      <c r="K17" s="4" t="n">
        <f aca="false">-K6*Assumptions!K18/100</f>
        <v>-18557.9181675046</v>
      </c>
      <c r="L17" s="4" t="n">
        <f aca="false">-L6*Assumptions!L18/100</f>
        <v>-18650.7077583421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12219.0552468</v>
      </c>
      <c r="D19" s="0" t="n">
        <f aca="false">D15+D16+D17+D18</f>
        <v>12328.821722196</v>
      </c>
      <c r="E19" s="0" t="n">
        <f aca="false">E15+E16+E17+E18</f>
        <v>13579.209320796</v>
      </c>
      <c r="F19" s="0" t="n">
        <f aca="false">F15+F16+F17+F18</f>
        <v>14353.258786596</v>
      </c>
      <c r="G19" s="0" t="n">
        <f aca="false">G15+G16+G17+G18</f>
        <v>14425.025080529</v>
      </c>
      <c r="H19" s="0" t="n">
        <f aca="false">H15+H16+H17+H18</f>
        <v>14497.1502059316</v>
      </c>
      <c r="I19" s="0" t="n">
        <f aca="false">I15+I16+I17+I18</f>
        <v>14569.6359569613</v>
      </c>
      <c r="J19" s="0" t="n">
        <f aca="false">J15+J16+J17+J18</f>
        <v>14642.4841367461</v>
      </c>
      <c r="K19" s="0" t="n">
        <f aca="false">K15+K16+K17+K18</f>
        <v>14715.6965574298</v>
      </c>
      <c r="L19" s="0" t="n">
        <f aca="false">L15+L16+L17+L18</f>
        <v>14789.275040217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11261.8020707834</v>
      </c>
      <c r="D21" s="0" t="n">
        <f aca="false">D19*D20</f>
        <v>10472.7827919013</v>
      </c>
      <c r="E21" s="0" t="n">
        <f aca="false">E19*E20</f>
        <v>10631.2729475372</v>
      </c>
      <c r="F21" s="0" t="n">
        <f aca="false">F19*F20</f>
        <v>10356.9424358507</v>
      </c>
      <c r="G21" s="0" t="n">
        <f aca="false">G19*G20</f>
        <v>9593.29691062671</v>
      </c>
      <c r="H21" s="0" t="n">
        <f aca="false">H19*H20</f>
        <v>8885.9570462487</v>
      </c>
      <c r="I21" s="0" t="n">
        <f aca="false">I19*I20</f>
        <v>8230.7712732534</v>
      </c>
      <c r="J21" s="0" t="n">
        <f aca="false">J19*J20</f>
        <v>7623.89412868172</v>
      </c>
      <c r="K21" s="0" t="n">
        <f aca="false">K19*K20</f>
        <v>7061.76368601394</v>
      </c>
      <c r="L21" s="0" t="n">
        <f aca="false">L19*L20</f>
        <v>6541.08064925716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2.8</v>
      </c>
      <c r="D23" s="4" t="n">
        <f aca="false">Assumptions!D16</f>
        <v>2.8</v>
      </c>
      <c r="E23" s="4" t="n">
        <f aca="false">Assumptions!E16</f>
        <v>2.8</v>
      </c>
      <c r="F23" s="4" t="n">
        <f aca="false">Assumptions!F16</f>
        <v>2.8</v>
      </c>
      <c r="G23" s="4" t="n">
        <f aca="false">Assumptions!G16</f>
        <v>2.8</v>
      </c>
      <c r="H23" s="4" t="n">
        <f aca="false">Assumptions!H16</f>
        <v>2.8</v>
      </c>
      <c r="I23" s="4" t="n">
        <f aca="false">Assumptions!I16</f>
        <v>2.8</v>
      </c>
      <c r="J23" s="4" t="n">
        <f aca="false">Assumptions!J16</f>
        <v>2.8</v>
      </c>
      <c r="K23" s="4" t="n">
        <f aca="false">Assumptions!K16</f>
        <v>2.8</v>
      </c>
      <c r="L23" s="4" t="n">
        <f aca="false">Assumptions!L16</f>
        <v>2.8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-6874.98336</v>
      </c>
      <c r="D24" s="0" t="n">
        <f aca="false">-D6*D23/100</f>
        <v>-6668.7338592</v>
      </c>
      <c r="E24" s="0" t="n">
        <f aca="false">-E6*E23/100</f>
        <v>-6668.7338592</v>
      </c>
      <c r="F24" s="0" t="n">
        <f aca="false">-F6*F23/100</f>
        <v>-6668.7338592</v>
      </c>
      <c r="G24" s="0" t="n">
        <f aca="false">-G6*G23/100</f>
        <v>-6702.077528496</v>
      </c>
      <c r="H24" s="0" t="n">
        <f aca="false">-H6*H23/100</f>
        <v>-6735.58791613848</v>
      </c>
      <c r="I24" s="0" t="n">
        <f aca="false">-I6*I23/100</f>
        <v>-6769.26585571917</v>
      </c>
      <c r="J24" s="0" t="n">
        <f aca="false">-J6*J23/100</f>
        <v>-6803.11218499777</v>
      </c>
      <c r="K24" s="0" t="n">
        <f aca="false">-K6*K23/100</f>
        <v>-6837.12774592275</v>
      </c>
      <c r="L24" s="0" t="n">
        <f aca="false">-L6*L23/100</f>
        <v>-6871.31338465237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90659.5639401543</v>
      </c>
    </row>
    <row r="31" customFormat="false" ht="15" hidden="false" customHeight="false" outlineLevel="0" collapsed="false">
      <c r="A31" s="0" t="s">
        <v>128</v>
      </c>
      <c r="B31" s="0" t="n">
        <f aca="false">L19</f>
        <v>14789.275040217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173991.471061376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162682.025442387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162682.025442387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71951.8871418287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162611.451081983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149541.451081983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53.0571052268877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-0.448642780558166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4588.86629076898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3703.08273416835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55.9990775614406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98595.1669347797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28.3576167967611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2</v>
      </c>
      <c r="D5" s="4" t="n">
        <f aca="false">Assumptions!D27</f>
        <v>2</v>
      </c>
      <c r="E5" s="4" t="n">
        <f aca="false">Assumptions!E27</f>
        <v>1.5</v>
      </c>
      <c r="F5" s="4" t="n">
        <f aca="false">Assumptions!F27</f>
        <v>1.5</v>
      </c>
      <c r="G5" s="4" t="n">
        <f aca="false">Assumptions!G27</f>
        <v>1.5</v>
      </c>
      <c r="H5" s="4" t="n">
        <f aca="false">Assumptions!H27</f>
        <v>1</v>
      </c>
      <c r="I5" s="4" t="n">
        <f aca="false">Assumptions!I27</f>
        <v>1</v>
      </c>
      <c r="J5" s="4" t="n">
        <f aca="false">Assumptions!J27</f>
        <v>1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37</v>
      </c>
      <c r="B6" s="3" t="n">
        <v>266886</v>
      </c>
      <c r="C6" s="0" t="n">
        <f aca="false">B6*(1+C5/100)</f>
        <v>272223.72</v>
      </c>
      <c r="D6" s="0" t="n">
        <f aca="false">C6*(1+D5/100)</f>
        <v>277668.1944</v>
      </c>
      <c r="E6" s="0" t="n">
        <f aca="false">D6*(1+E5/100)</f>
        <v>281833.217316</v>
      </c>
      <c r="F6" s="0" t="n">
        <f aca="false">E6*(1+F5/100)</f>
        <v>286060.71557574</v>
      </c>
      <c r="G6" s="0" t="n">
        <f aca="false">F6*(1+G5/100)</f>
        <v>290351.626309376</v>
      </c>
      <c r="H6" s="0" t="n">
        <f aca="false">G6*(1+H5/100)</f>
        <v>293255.14257247</v>
      </c>
      <c r="I6" s="0" t="n">
        <f aca="false">H6*(1+I5/100)</f>
        <v>296187.693998195</v>
      </c>
      <c r="J6" s="0" t="n">
        <f aca="false">I6*(1+J5/100)</f>
        <v>299149.570938176</v>
      </c>
      <c r="K6" s="0" t="n">
        <f aca="false">J6*(1+K5/100)</f>
        <v>302141.066647558</v>
      </c>
      <c r="L6" s="0" t="n">
        <f aca="false">K6*(1+L5/100)</f>
        <v>305162.477314034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21.6</v>
      </c>
      <c r="D7" s="4" t="n">
        <f aca="false">Assumptions!D28</f>
        <v>22</v>
      </c>
      <c r="E7" s="4" t="n">
        <f aca="false">Assumptions!E28</f>
        <v>22.3</v>
      </c>
      <c r="F7" s="4" t="n">
        <f aca="false">Assumptions!F28</f>
        <v>22.5</v>
      </c>
      <c r="G7" s="4" t="n">
        <f aca="false">Assumptions!G28</f>
        <v>22.5</v>
      </c>
      <c r="H7" s="4" t="n">
        <f aca="false">Assumptions!H28</f>
        <v>22.5</v>
      </c>
      <c r="I7" s="4" t="n">
        <f aca="false">Assumptions!I28</f>
        <v>22.5</v>
      </c>
      <c r="J7" s="4" t="n">
        <f aca="false">Assumptions!J28</f>
        <v>22.5</v>
      </c>
      <c r="K7" s="4" t="n">
        <f aca="false">Assumptions!K28</f>
        <v>22.5</v>
      </c>
      <c r="L7" s="4" t="n">
        <f aca="false">Assumptions!L28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58800.32352</v>
      </c>
      <c r="D8" s="0" t="n">
        <f aca="false">D6*D7/100</f>
        <v>61087.002768</v>
      </c>
      <c r="E8" s="0" t="n">
        <f aca="false">E6*E7/100</f>
        <v>62848.807461468</v>
      </c>
      <c r="F8" s="0" t="n">
        <f aca="false">F6*F7/100</f>
        <v>64363.6610045415</v>
      </c>
      <c r="G8" s="0" t="n">
        <f aca="false">G6*G7/100</f>
        <v>65329.1159196096</v>
      </c>
      <c r="H8" s="0" t="n">
        <f aca="false">H6*H7/100</f>
        <v>65982.4070788057</v>
      </c>
      <c r="I8" s="0" t="n">
        <f aca="false">I6*I7/100</f>
        <v>66642.2311495938</v>
      </c>
      <c r="J8" s="0" t="n">
        <f aca="false">J6*J7/100</f>
        <v>67308.6534610897</v>
      </c>
      <c r="K8" s="0" t="n">
        <f aca="false">K6*K7/100</f>
        <v>67981.7399957006</v>
      </c>
      <c r="L8" s="0" t="n">
        <f aca="false">L6*L7/100</f>
        <v>68661.5573956576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0.29</v>
      </c>
      <c r="D9" s="4" t="n">
        <f aca="false">Assumptions!D29</f>
        <v>0.29</v>
      </c>
      <c r="E9" s="4" t="n">
        <f aca="false">Assumptions!E29</f>
        <v>0.29</v>
      </c>
      <c r="F9" s="4" t="n">
        <f aca="false">Assumptions!F29</f>
        <v>0.29</v>
      </c>
      <c r="G9" s="4" t="n">
        <f aca="false">Assumptions!G29</f>
        <v>0.29</v>
      </c>
      <c r="H9" s="4" t="n">
        <f aca="false">Assumptions!H29</f>
        <v>0.29</v>
      </c>
      <c r="I9" s="4" t="n">
        <f aca="false">Assumptions!I29</f>
        <v>0.29</v>
      </c>
      <c r="J9" s="4" t="n">
        <f aca="false">Assumptions!J29</f>
        <v>0.29</v>
      </c>
      <c r="K9" s="4" t="n">
        <f aca="false">Assumptions!K29</f>
        <v>0.29</v>
      </c>
      <c r="L9" s="4" t="n">
        <f aca="false">Assumptions!L29</f>
        <v>0.29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-789.448788</v>
      </c>
      <c r="D10" s="0" t="n">
        <f aca="false">-D6*D9/100</f>
        <v>-805.23776376</v>
      </c>
      <c r="E10" s="0" t="n">
        <f aca="false">-E6*E9/100</f>
        <v>-817.3163302164</v>
      </c>
      <c r="F10" s="0" t="n">
        <f aca="false">-F6*F9/100</f>
        <v>-829.576075169646</v>
      </c>
      <c r="G10" s="0" t="n">
        <f aca="false">-G6*G9/100</f>
        <v>-842.019716297191</v>
      </c>
      <c r="H10" s="0" t="n">
        <f aca="false">-H6*H9/100</f>
        <v>-850.439913460162</v>
      </c>
      <c r="I10" s="0" t="n">
        <f aca="false">-I6*I9/100</f>
        <v>-858.944312594764</v>
      </c>
      <c r="J10" s="0" t="n">
        <f aca="false">-J6*J9/100</f>
        <v>-867.533755720712</v>
      </c>
      <c r="K10" s="0" t="n">
        <f aca="false">-K6*K9/100</f>
        <v>-876.209093277919</v>
      </c>
      <c r="L10" s="0" t="n">
        <f aca="false">-L6*L9/100</f>
        <v>-884.971184210698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50933.058012</v>
      </c>
      <c r="D11" s="0" t="n">
        <f aca="false">D8+D10+D24</f>
        <v>53062.39194984</v>
      </c>
      <c r="E11" s="0" t="n">
        <f aca="false">E8+E10+E24</f>
        <v>54703.8274810356</v>
      </c>
      <c r="F11" s="0" t="n">
        <f aca="false">F8+F10+F24</f>
        <v>56096.5063244026</v>
      </c>
      <c r="G11" s="0" t="n">
        <f aca="false">G8+G10+G24</f>
        <v>56937.9539192687</v>
      </c>
      <c r="H11" s="0" t="n">
        <f aca="false">H8+H10+H24</f>
        <v>57507.3334584613</v>
      </c>
      <c r="I11" s="0" t="n">
        <f aca="false">I8+I10+I24</f>
        <v>58082.4067930459</v>
      </c>
      <c r="J11" s="0" t="n">
        <f aca="false">J8+J10+J24</f>
        <v>58663.2308609764</v>
      </c>
      <c r="K11" s="0" t="n">
        <f aca="false">K8+K10+K24</f>
        <v>59249.8631695862</v>
      </c>
      <c r="L11" s="0" t="n">
        <f aca="false">L8+L10+L24</f>
        <v>59842.361801282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-16877.87064</v>
      </c>
      <c r="D12" s="4" t="n">
        <f aca="false">-D6*Assumptions!D31/100</f>
        <v>-17215.4280528</v>
      </c>
      <c r="E12" s="4" t="n">
        <f aca="false">-E6*Assumptions!E31/100</f>
        <v>-17473.659473592</v>
      </c>
      <c r="F12" s="4" t="n">
        <f aca="false">-F6*Assumptions!F31/100</f>
        <v>-17735.7643656959</v>
      </c>
      <c r="G12" s="4" t="n">
        <f aca="false">-G6*Assumptions!G31/100</f>
        <v>-18001.8008311813</v>
      </c>
      <c r="H12" s="4" t="n">
        <f aca="false">-H6*Assumptions!H31/100</f>
        <v>-18181.8188394931</v>
      </c>
      <c r="I12" s="4" t="n">
        <f aca="false">-I6*Assumptions!I31/100</f>
        <v>-18363.6370278881</v>
      </c>
      <c r="J12" s="4" t="n">
        <f aca="false">-J6*Assumptions!J31/100</f>
        <v>-18547.2733981669</v>
      </c>
      <c r="K12" s="4" t="n">
        <f aca="false">-K6*Assumptions!K31/100</f>
        <v>-18732.7461321486</v>
      </c>
      <c r="L12" s="4" t="n">
        <f aca="false">-L6*Assumptions!L31/100</f>
        <v>-18920.0735934701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34055.187372</v>
      </c>
      <c r="D13" s="0" t="n">
        <f aca="false">D11+D12</f>
        <v>35846.96389704</v>
      </c>
      <c r="E13" s="0" t="n">
        <f aca="false">E11+E12</f>
        <v>37230.1680074436</v>
      </c>
      <c r="F13" s="0" t="n">
        <f aca="false">F11+F12</f>
        <v>38360.7419587067</v>
      </c>
      <c r="G13" s="0" t="n">
        <f aca="false">G11+G12</f>
        <v>38936.1530880873</v>
      </c>
      <c r="H13" s="0" t="n">
        <f aca="false">H11+H12</f>
        <v>39325.5146189682</v>
      </c>
      <c r="I13" s="0" t="n">
        <f aca="false">I11+I12</f>
        <v>39718.7697651579</v>
      </c>
      <c r="J13" s="0" t="n">
        <f aca="false">J11+J12</f>
        <v>40115.9574628095</v>
      </c>
      <c r="K13" s="0" t="n">
        <f aca="false">K11+K12</f>
        <v>40517.1170374375</v>
      </c>
      <c r="L13" s="0" t="n">
        <f aca="false">L11+L12</f>
        <v>40922.2882078119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36</v>
      </c>
      <c r="D14" s="4" t="n">
        <f aca="false">Assumptions!D33</f>
        <v>36</v>
      </c>
      <c r="E14" s="4" t="n">
        <f aca="false">Assumptions!E33</f>
        <v>36</v>
      </c>
      <c r="F14" s="4" t="n">
        <f aca="false">Assumptions!F33</f>
        <v>36</v>
      </c>
      <c r="G14" s="4" t="n">
        <f aca="false">Assumptions!G33</f>
        <v>36</v>
      </c>
      <c r="H14" s="4" t="n">
        <f aca="false">Assumptions!H33</f>
        <v>36</v>
      </c>
      <c r="I14" s="4" t="n">
        <f aca="false">Assumptions!I33</f>
        <v>36</v>
      </c>
      <c r="J14" s="4" t="n">
        <f aca="false">Assumptions!J33</f>
        <v>36</v>
      </c>
      <c r="K14" s="4" t="n">
        <f aca="false">Assumptions!K33</f>
        <v>36</v>
      </c>
      <c r="L14" s="4" t="n">
        <f aca="false">Assumptions!L33</f>
        <v>36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21795.31991808</v>
      </c>
      <c r="D15" s="0" t="n">
        <f aca="false">D13-MAX(0,D13)*D14/100</f>
        <v>22942.0568941056</v>
      </c>
      <c r="E15" s="0" t="n">
        <f aca="false">E13-MAX(0,E13)*E14/100</f>
        <v>23827.3075247639</v>
      </c>
      <c r="F15" s="0" t="n">
        <f aca="false">F13-MAX(0,F13)*F14/100</f>
        <v>24550.8748535723</v>
      </c>
      <c r="G15" s="0" t="n">
        <f aca="false">G13-MAX(0,G13)*G14/100</f>
        <v>24919.1379763759</v>
      </c>
      <c r="H15" s="0" t="n">
        <f aca="false">H13-MAX(0,H13)*H14/100</f>
        <v>25168.3293561397</v>
      </c>
      <c r="I15" s="0" t="n">
        <f aca="false">I13-MAX(0,I13)*I14/100</f>
        <v>25420.012649701</v>
      </c>
      <c r="J15" s="0" t="n">
        <f aca="false">J13-MAX(0,J13)*J14/100</f>
        <v>25674.2127761981</v>
      </c>
      <c r="K15" s="0" t="n">
        <f aca="false">K13-MAX(0,K13)*K14/100</f>
        <v>25930.95490396</v>
      </c>
      <c r="L15" s="0" t="n">
        <f aca="false">L13-MAX(0,L13)*L14/100</f>
        <v>26190.2644529996</v>
      </c>
    </row>
    <row r="16" customFormat="false" ht="15" hidden="false" customHeight="false" outlineLevel="0" collapsed="false">
      <c r="A16" s="0" t="s">
        <v>119</v>
      </c>
      <c r="C16" s="0" t="n">
        <f aca="false">-C12</f>
        <v>16877.87064</v>
      </c>
      <c r="D16" s="0" t="n">
        <f aca="false">-D12</f>
        <v>17215.4280528</v>
      </c>
      <c r="E16" s="0" t="n">
        <f aca="false">-E12</f>
        <v>17473.659473592</v>
      </c>
      <c r="F16" s="0" t="n">
        <f aca="false">-F12</f>
        <v>17735.7643656959</v>
      </c>
      <c r="G16" s="0" t="n">
        <f aca="false">-G12</f>
        <v>18001.8008311813</v>
      </c>
      <c r="H16" s="0" t="n">
        <f aca="false">-H12</f>
        <v>18181.8188394931</v>
      </c>
      <c r="I16" s="0" t="n">
        <f aca="false">-I12</f>
        <v>18363.6370278881</v>
      </c>
      <c r="J16" s="0" t="n">
        <f aca="false">-J12</f>
        <v>18547.2733981669</v>
      </c>
      <c r="K16" s="0" t="n">
        <f aca="false">-K12</f>
        <v>18732.7461321486</v>
      </c>
      <c r="L16" s="0" t="n">
        <f aca="false">-L12</f>
        <v>18920.0735934701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-21233.45016</v>
      </c>
      <c r="D17" s="4" t="n">
        <f aca="false">-D6*Assumptions!D32/100</f>
        <v>-21658.1191632</v>
      </c>
      <c r="E17" s="4" t="n">
        <f aca="false">-E6*Assumptions!E32/100</f>
        <v>-21701.157733332</v>
      </c>
      <c r="F17" s="4" t="n">
        <f aca="false">-F6*Assumptions!F32/100</f>
        <v>-22026.675099332</v>
      </c>
      <c r="G17" s="4" t="n">
        <f aca="false">-G6*Assumptions!G32/100</f>
        <v>-22066.7235995126</v>
      </c>
      <c r="H17" s="4" t="n">
        <f aca="false">-H6*Assumptions!H32/100</f>
        <v>-22287.3908355077</v>
      </c>
      <c r="I17" s="4" t="n">
        <f aca="false">-I6*Assumptions!I32/100</f>
        <v>-22510.2647438628</v>
      </c>
      <c r="J17" s="4" t="n">
        <f aca="false">-J6*Assumptions!J32/100</f>
        <v>-22735.3673913014</v>
      </c>
      <c r="K17" s="4" t="n">
        <f aca="false">-K6*Assumptions!K32/100</f>
        <v>-22962.7210652144</v>
      </c>
      <c r="L17" s="4" t="n">
        <f aca="false">-L6*Assumptions!L32/100</f>
        <v>-23192.3482758666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17439.74039808</v>
      </c>
      <c r="D19" s="0" t="n">
        <f aca="false">D15+D16+D17+D18</f>
        <v>18499.3657837056</v>
      </c>
      <c r="E19" s="0" t="n">
        <f aca="false">E15+E16+E17+E18</f>
        <v>19599.8092650239</v>
      </c>
      <c r="F19" s="0" t="n">
        <f aca="false">F15+F16+F17+F18</f>
        <v>20259.9641199362</v>
      </c>
      <c r="G19" s="0" t="n">
        <f aca="false">G15+G16+G17+G18</f>
        <v>20854.2152080446</v>
      </c>
      <c r="H19" s="0" t="n">
        <f aca="false">H15+H16+H17+H18</f>
        <v>21062.7573601251</v>
      </c>
      <c r="I19" s="0" t="n">
        <f aca="false">I15+I16+I17+I18</f>
        <v>21273.3849337263</v>
      </c>
      <c r="J19" s="0" t="n">
        <f aca="false">J15+J16+J17+J18</f>
        <v>21486.1187830636</v>
      </c>
      <c r="K19" s="0" t="n">
        <f aca="false">K15+K16+K17+K18</f>
        <v>21700.9799708942</v>
      </c>
      <c r="L19" s="0" t="n">
        <f aca="false">L15+L16+L17+L18</f>
        <v>21917.9897706032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16073.4934544516</v>
      </c>
      <c r="D21" s="0" t="n">
        <f aca="false">D19*D20</f>
        <v>15714.3840673666</v>
      </c>
      <c r="E21" s="0" t="n">
        <f aca="false">E19*E20</f>
        <v>15344.8494012849</v>
      </c>
      <c r="F21" s="0" t="n">
        <f aca="false">F19*F20</f>
        <v>14619.0691091374</v>
      </c>
      <c r="G21" s="0" t="n">
        <f aca="false">G19*G20</f>
        <v>13869.0003803822</v>
      </c>
      <c r="H21" s="0" t="n">
        <f aca="false">H19*H20</f>
        <v>12910.3137181438</v>
      </c>
      <c r="I21" s="0" t="n">
        <f aca="false">I19*I20</f>
        <v>12017.8957191938</v>
      </c>
      <c r="J21" s="0" t="n">
        <f aca="false">J19*J20</f>
        <v>11187.1656003555</v>
      </c>
      <c r="K21" s="0" t="n">
        <f aca="false">K19*K20</f>
        <v>10413.8592224507</v>
      </c>
      <c r="L21" s="0" t="n">
        <f aca="false">L19*L20</f>
        <v>9694.00720246565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2.6</v>
      </c>
      <c r="D23" s="4" t="n">
        <f aca="false">Assumptions!D30</f>
        <v>2.6</v>
      </c>
      <c r="E23" s="4" t="n">
        <f aca="false">Assumptions!E30</f>
        <v>2.6</v>
      </c>
      <c r="F23" s="4" t="n">
        <f aca="false">Assumptions!F30</f>
        <v>2.6</v>
      </c>
      <c r="G23" s="4" t="n">
        <f aca="false">Assumptions!G30</f>
        <v>2.6</v>
      </c>
      <c r="H23" s="4" t="n">
        <f aca="false">Assumptions!H30</f>
        <v>2.6</v>
      </c>
      <c r="I23" s="4" t="n">
        <f aca="false">Assumptions!I30</f>
        <v>2.6</v>
      </c>
      <c r="J23" s="4" t="n">
        <f aca="false">Assumptions!J30</f>
        <v>2.6</v>
      </c>
      <c r="K23" s="4" t="n">
        <f aca="false">Assumptions!K30</f>
        <v>2.6</v>
      </c>
      <c r="L23" s="4" t="n">
        <f aca="false">Assumptions!L30</f>
        <v>2.6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-7077.81672</v>
      </c>
      <c r="D24" s="0" t="n">
        <f aca="false">-D6*D23/100</f>
        <v>-7219.3730544</v>
      </c>
      <c r="E24" s="0" t="n">
        <f aca="false">-E6*E23/100</f>
        <v>-7327.663650216</v>
      </c>
      <c r="F24" s="0" t="n">
        <f aca="false">-F6*F23/100</f>
        <v>-7437.57860496924</v>
      </c>
      <c r="G24" s="0" t="n">
        <f aca="false">-G6*G23/100</f>
        <v>-7549.14228404378</v>
      </c>
      <c r="H24" s="0" t="n">
        <f aca="false">-H6*H23/100</f>
        <v>-7624.63370688421</v>
      </c>
      <c r="I24" s="0" t="n">
        <f aca="false">-I6*I23/100</f>
        <v>-7700.88004395306</v>
      </c>
      <c r="J24" s="0" t="n">
        <f aca="false">-J6*J23/100</f>
        <v>-7777.88884439259</v>
      </c>
      <c r="K24" s="0" t="n">
        <f aca="false">-K6*K23/100</f>
        <v>-7855.66773283651</v>
      </c>
      <c r="L24" s="0" t="n">
        <f aca="false">-L6*L23/100</f>
        <v>-7934.22441016488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131844.037875232</v>
      </c>
    </row>
    <row r="31" customFormat="false" ht="15" hidden="false" customHeight="false" outlineLevel="0" collapsed="false">
      <c r="A31" s="0" t="s">
        <v>128</v>
      </c>
      <c r="B31" s="0" t="n">
        <f aca="false">L19</f>
        <v>21917.9897706032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295162.262244123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263015.877247238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263015.877247238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116328.086429588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248172.12430482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235102.12430482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83.4139167304665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-0.133181786028614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5480.17809036299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5270.98594639153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87.2284152356126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158122.640487923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44.6058796184013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9</v>
      </c>
      <c r="D5" s="4" t="n">
        <f aca="false">Assumptions!D41</f>
        <v>3</v>
      </c>
      <c r="E5" s="4" t="n">
        <f aca="false">Assumptions!E41</f>
        <v>2.5</v>
      </c>
      <c r="F5" s="4" t="n">
        <f aca="false">Assumptions!F41</f>
        <v>2</v>
      </c>
      <c r="G5" s="4" t="n">
        <f aca="false">Assumptions!G41</f>
        <v>2</v>
      </c>
      <c r="H5" s="4" t="n">
        <f aca="false">Assumptions!H41</f>
        <v>1.5</v>
      </c>
      <c r="I5" s="4" t="n">
        <f aca="false">Assumptions!I41</f>
        <v>1.5</v>
      </c>
      <c r="J5" s="4" t="n">
        <f aca="false">Assumptions!J41</f>
        <v>1.5</v>
      </c>
      <c r="K5" s="4" t="n">
        <f aca="false">Assumptions!K41</f>
        <v>1.5</v>
      </c>
      <c r="L5" s="4" t="n">
        <f aca="false">Assumptions!L41</f>
        <v>1.5</v>
      </c>
    </row>
    <row r="6" customFormat="false" ht="15" hidden="false" customHeight="false" outlineLevel="0" collapsed="false">
      <c r="A6" s="0" t="s">
        <v>37</v>
      </c>
      <c r="B6" s="3" t="n">
        <v>266886</v>
      </c>
      <c r="C6" s="0" t="n">
        <f aca="false">B6*(1+C5/100)</f>
        <v>290905.74</v>
      </c>
      <c r="D6" s="0" t="n">
        <f aca="false">C6*(1+D5/100)</f>
        <v>299632.9122</v>
      </c>
      <c r="E6" s="0" t="n">
        <f aca="false">D6*(1+E5/100)</f>
        <v>307123.735005</v>
      </c>
      <c r="F6" s="0" t="n">
        <f aca="false">E6*(1+F5/100)</f>
        <v>313266.2097051</v>
      </c>
      <c r="G6" s="0" t="n">
        <f aca="false">F6*(1+G5/100)</f>
        <v>319531.533899202</v>
      </c>
      <c r="H6" s="0" t="n">
        <f aca="false">G6*(1+H5/100)</f>
        <v>324324.50690769</v>
      </c>
      <c r="I6" s="0" t="n">
        <f aca="false">H6*(1+I5/100)</f>
        <v>329189.374511306</v>
      </c>
      <c r="J6" s="0" t="n">
        <f aca="false">I6*(1+J5/100)</f>
        <v>334127.215128975</v>
      </c>
      <c r="K6" s="0" t="n">
        <f aca="false">J6*(1+K5/100)</f>
        <v>339139.12335591</v>
      </c>
      <c r="L6" s="0" t="n">
        <f aca="false">K6*(1+L5/100)</f>
        <v>344226.210206248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22.8</v>
      </c>
      <c r="D7" s="4" t="n">
        <f aca="false">Assumptions!D42</f>
        <v>23.3</v>
      </c>
      <c r="E7" s="4" t="n">
        <f aca="false">Assumptions!E42</f>
        <v>23.6</v>
      </c>
      <c r="F7" s="4" t="n">
        <f aca="false">Assumptions!F42</f>
        <v>23.8</v>
      </c>
      <c r="G7" s="4" t="n">
        <f aca="false">Assumptions!G42</f>
        <v>24</v>
      </c>
      <c r="H7" s="4" t="n">
        <f aca="false">Assumptions!H42</f>
        <v>24</v>
      </c>
      <c r="I7" s="4" t="n">
        <f aca="false">Assumptions!I42</f>
        <v>24</v>
      </c>
      <c r="J7" s="4" t="n">
        <f aca="false">Assumptions!J42</f>
        <v>24</v>
      </c>
      <c r="K7" s="4" t="n">
        <f aca="false">Assumptions!K42</f>
        <v>24</v>
      </c>
      <c r="L7" s="4" t="n">
        <f aca="false">Assumptions!L42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66326.50872</v>
      </c>
      <c r="D8" s="0" t="n">
        <f aca="false">D6*D7/100</f>
        <v>69814.4685426</v>
      </c>
      <c r="E8" s="0" t="n">
        <f aca="false">E6*E7/100</f>
        <v>72481.20146118</v>
      </c>
      <c r="F8" s="0" t="n">
        <f aca="false">F6*F7/100</f>
        <v>74557.3579098138</v>
      </c>
      <c r="G8" s="0" t="n">
        <f aca="false">G6*G7/100</f>
        <v>76687.5681358085</v>
      </c>
      <c r="H8" s="0" t="n">
        <f aca="false">H6*H7/100</f>
        <v>77837.8816578456</v>
      </c>
      <c r="I8" s="0" t="n">
        <f aca="false">I6*I7/100</f>
        <v>79005.4498827133</v>
      </c>
      <c r="J8" s="0" t="n">
        <f aca="false">J6*J7/100</f>
        <v>80190.531630954</v>
      </c>
      <c r="K8" s="0" t="n">
        <f aca="false">K6*K7/100</f>
        <v>81393.3896054183</v>
      </c>
      <c r="L8" s="0" t="n">
        <f aca="false">L6*L7/100</f>
        <v>82614.2904494996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0.29</v>
      </c>
      <c r="D9" s="4" t="n">
        <f aca="false">Assumptions!D43</f>
        <v>0.29</v>
      </c>
      <c r="E9" s="4" t="n">
        <f aca="false">Assumptions!E43</f>
        <v>0.29</v>
      </c>
      <c r="F9" s="4" t="n">
        <f aca="false">Assumptions!F43</f>
        <v>0.29</v>
      </c>
      <c r="G9" s="4" t="n">
        <f aca="false">Assumptions!G43</f>
        <v>0.29</v>
      </c>
      <c r="H9" s="4" t="n">
        <f aca="false">Assumptions!H43</f>
        <v>0.29</v>
      </c>
      <c r="I9" s="4" t="n">
        <f aca="false">Assumptions!I43</f>
        <v>0.29</v>
      </c>
      <c r="J9" s="4" t="n">
        <f aca="false">Assumptions!J43</f>
        <v>0.29</v>
      </c>
      <c r="K9" s="4" t="n">
        <f aca="false">Assumptions!K43</f>
        <v>0.29</v>
      </c>
      <c r="L9" s="4" t="n">
        <f aca="false">Assumptions!L43</f>
        <v>0.29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-843.626646</v>
      </c>
      <c r="D10" s="0" t="n">
        <f aca="false">-D6*D9/100</f>
        <v>-868.93544538</v>
      </c>
      <c r="E10" s="0" t="n">
        <f aca="false">-E6*E9/100</f>
        <v>-890.6588315145</v>
      </c>
      <c r="F10" s="0" t="n">
        <f aca="false">-F6*F9/100</f>
        <v>-908.47200814479</v>
      </c>
      <c r="G10" s="0" t="n">
        <f aca="false">-G6*G9/100</f>
        <v>-926.641448307686</v>
      </c>
      <c r="H10" s="0" t="n">
        <f aca="false">-H6*H9/100</f>
        <v>-940.541070032301</v>
      </c>
      <c r="I10" s="0" t="n">
        <f aca="false">-I6*I9/100</f>
        <v>-954.649186082786</v>
      </c>
      <c r="J10" s="0" t="n">
        <f aca="false">-J6*J9/100</f>
        <v>-968.968923874028</v>
      </c>
      <c r="K10" s="0" t="n">
        <f aca="false">-K6*K9/100</f>
        <v>-983.503457732138</v>
      </c>
      <c r="L10" s="0" t="n">
        <f aca="false">-L6*L9/100</f>
        <v>-998.25600959812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58210.238574</v>
      </c>
      <c r="D11" s="0" t="n">
        <f aca="false">D8+D10+D24</f>
        <v>61454.71029222</v>
      </c>
      <c r="E11" s="0" t="n">
        <f aca="false">E8+E10+E24</f>
        <v>63912.4492545405</v>
      </c>
      <c r="F11" s="0" t="n">
        <f aca="false">F8+F10+F24</f>
        <v>65817.2306590415</v>
      </c>
      <c r="G11" s="0" t="n">
        <f aca="false">G8+G10+G24</f>
        <v>67772.6383400208</v>
      </c>
      <c r="H11" s="0" t="n">
        <f aca="false">H8+H10+H24</f>
        <v>68789.2279151211</v>
      </c>
      <c r="I11" s="0" t="n">
        <f aca="false">I8+I10+I24</f>
        <v>69821.0663338479</v>
      </c>
      <c r="J11" s="0" t="n">
        <f aca="false">J8+J10+J24</f>
        <v>70868.3823288556</v>
      </c>
      <c r="K11" s="0" t="n">
        <f aca="false">K8+K10+K24</f>
        <v>71931.4080637884</v>
      </c>
      <c r="L11" s="0" t="n">
        <f aca="false">L8+L10+L24</f>
        <v>73010.3791847453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-18036.15588</v>
      </c>
      <c r="D12" s="4" t="n">
        <f aca="false">-D6*Assumptions!D45/100</f>
        <v>-18577.2405564</v>
      </c>
      <c r="E12" s="4" t="n">
        <f aca="false">-E6*Assumptions!E45/100</f>
        <v>-19041.67157031</v>
      </c>
      <c r="F12" s="4" t="n">
        <f aca="false">-F6*Assumptions!F45/100</f>
        <v>-19422.5050017162</v>
      </c>
      <c r="G12" s="4" t="n">
        <f aca="false">-G6*Assumptions!G45/100</f>
        <v>-19810.9551017505</v>
      </c>
      <c r="H12" s="4" t="n">
        <f aca="false">-H6*Assumptions!H45/100</f>
        <v>-20108.1194282768</v>
      </c>
      <c r="I12" s="4" t="n">
        <f aca="false">-I6*Assumptions!I45/100</f>
        <v>-20409.7412197009</v>
      </c>
      <c r="J12" s="4" t="n">
        <f aca="false">-J6*Assumptions!J45/100</f>
        <v>-20715.8873379965</v>
      </c>
      <c r="K12" s="4" t="n">
        <f aca="false">-K6*Assumptions!K45/100</f>
        <v>-21026.6256480664</v>
      </c>
      <c r="L12" s="4" t="n">
        <f aca="false">-L6*Assumptions!L45/100</f>
        <v>-21342.0250327874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40174.082694</v>
      </c>
      <c r="D13" s="0" t="n">
        <f aca="false">D11+D12</f>
        <v>42877.46973582</v>
      </c>
      <c r="E13" s="0" t="n">
        <f aca="false">E11+E12</f>
        <v>44870.7776842305</v>
      </c>
      <c r="F13" s="0" t="n">
        <f aca="false">F11+F12</f>
        <v>46394.7256573253</v>
      </c>
      <c r="G13" s="0" t="n">
        <f aca="false">G11+G12</f>
        <v>47961.6832382703</v>
      </c>
      <c r="H13" s="0" t="n">
        <f aca="false">H11+H12</f>
        <v>48681.1084868443</v>
      </c>
      <c r="I13" s="0" t="n">
        <f aca="false">I11+I12</f>
        <v>49411.325114147</v>
      </c>
      <c r="J13" s="0" t="n">
        <f aca="false">J11+J12</f>
        <v>50152.4949908592</v>
      </c>
      <c r="K13" s="0" t="n">
        <f aca="false">K11+K12</f>
        <v>50904.782415722</v>
      </c>
      <c r="L13" s="0" t="n">
        <f aca="false">L11+L12</f>
        <v>51668.3541519579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38</v>
      </c>
      <c r="D14" s="4" t="n">
        <f aca="false">Assumptions!D47</f>
        <v>38</v>
      </c>
      <c r="E14" s="4" t="n">
        <f aca="false">Assumptions!E47</f>
        <v>38</v>
      </c>
      <c r="F14" s="4" t="n">
        <f aca="false">Assumptions!F47</f>
        <v>38</v>
      </c>
      <c r="G14" s="4" t="n">
        <f aca="false">Assumptions!G47</f>
        <v>38</v>
      </c>
      <c r="H14" s="4" t="n">
        <f aca="false">Assumptions!H47</f>
        <v>38</v>
      </c>
      <c r="I14" s="4" t="n">
        <f aca="false">Assumptions!I47</f>
        <v>38</v>
      </c>
      <c r="J14" s="4" t="n">
        <f aca="false">Assumptions!J47</f>
        <v>38</v>
      </c>
      <c r="K14" s="4" t="n">
        <f aca="false">Assumptions!K47</f>
        <v>38</v>
      </c>
      <c r="L14" s="4" t="n">
        <f aca="false">Assumptions!L47</f>
        <v>38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24907.93127028</v>
      </c>
      <c r="D15" s="0" t="n">
        <f aca="false">D13-MAX(0,D13)*D14/100</f>
        <v>26584.0312362084</v>
      </c>
      <c r="E15" s="0" t="n">
        <f aca="false">E13-MAX(0,E13)*E14/100</f>
        <v>27819.8821642229</v>
      </c>
      <c r="F15" s="0" t="n">
        <f aca="false">F13-MAX(0,F13)*F14/100</f>
        <v>28764.7299075417</v>
      </c>
      <c r="G15" s="0" t="n">
        <f aca="false">G13-MAX(0,G13)*G14/100</f>
        <v>29736.2436077276</v>
      </c>
      <c r="H15" s="0" t="n">
        <f aca="false">H13-MAX(0,H13)*H14/100</f>
        <v>30182.2872618435</v>
      </c>
      <c r="I15" s="0" t="n">
        <f aca="false">I13-MAX(0,I13)*I14/100</f>
        <v>30635.0215707711</v>
      </c>
      <c r="J15" s="0" t="n">
        <f aca="false">J13-MAX(0,J13)*J14/100</f>
        <v>31094.5468943327</v>
      </c>
      <c r="K15" s="0" t="n">
        <f aca="false">K13-MAX(0,K13)*K14/100</f>
        <v>31560.9650977477</v>
      </c>
      <c r="L15" s="0" t="n">
        <f aca="false">L13-MAX(0,L13)*L14/100</f>
        <v>32034.3795742139</v>
      </c>
    </row>
    <row r="16" customFormat="false" ht="15" hidden="false" customHeight="false" outlineLevel="0" collapsed="false">
      <c r="A16" s="0" t="s">
        <v>119</v>
      </c>
      <c r="C16" s="0" t="n">
        <f aca="false">-C12</f>
        <v>18036.15588</v>
      </c>
      <c r="D16" s="0" t="n">
        <f aca="false">-D12</f>
        <v>18577.2405564</v>
      </c>
      <c r="E16" s="0" t="n">
        <f aca="false">-E12</f>
        <v>19041.67157031</v>
      </c>
      <c r="F16" s="0" t="n">
        <f aca="false">-F12</f>
        <v>19422.5050017162</v>
      </c>
      <c r="G16" s="0" t="n">
        <f aca="false">-G12</f>
        <v>19810.9551017505</v>
      </c>
      <c r="H16" s="0" t="n">
        <f aca="false">-H12</f>
        <v>20108.1194282768</v>
      </c>
      <c r="I16" s="0" t="n">
        <f aca="false">-I12</f>
        <v>20409.7412197009</v>
      </c>
      <c r="J16" s="0" t="n">
        <f aca="false">-J12</f>
        <v>20715.8873379965</v>
      </c>
      <c r="K16" s="0" t="n">
        <f aca="false">-K12</f>
        <v>21026.6256480664</v>
      </c>
      <c r="L16" s="0" t="n">
        <f aca="false">-L12</f>
        <v>21342.0250327874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-22690.64772</v>
      </c>
      <c r="D17" s="4" t="n">
        <f aca="false">-D6*Assumptions!D46/100</f>
        <v>-23371.3671516</v>
      </c>
      <c r="E17" s="4" t="n">
        <f aca="false">-E6*Assumptions!E46/100</f>
        <v>-23955.65133039</v>
      </c>
      <c r="F17" s="4" t="n">
        <f aca="false">-F6*Assumptions!F46/100</f>
        <v>-24434.7643569978</v>
      </c>
      <c r="G17" s="4" t="n">
        <f aca="false">-G6*Assumptions!G46/100</f>
        <v>-24923.4596441378</v>
      </c>
      <c r="H17" s="4" t="n">
        <f aca="false">-H6*Assumptions!H46/100</f>
        <v>-25297.3115387998</v>
      </c>
      <c r="I17" s="4" t="n">
        <f aca="false">-I6*Assumptions!I46/100</f>
        <v>-25676.7712118818</v>
      </c>
      <c r="J17" s="4" t="n">
        <f aca="false">-J6*Assumptions!J46/100</f>
        <v>-26061.9227800601</v>
      </c>
      <c r="K17" s="4" t="n">
        <f aca="false">-K6*Assumptions!K46/100</f>
        <v>-26452.851621761</v>
      </c>
      <c r="L17" s="4" t="n">
        <f aca="false">-L6*Assumptions!L46/100</f>
        <v>-26849.6443960874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20253.43943028</v>
      </c>
      <c r="D19" s="0" t="n">
        <f aca="false">D15+D16+D17+D18</f>
        <v>21789.9046410084</v>
      </c>
      <c r="E19" s="0" t="n">
        <f aca="false">E15+E16+E17+E18</f>
        <v>22905.9024041429</v>
      </c>
      <c r="F19" s="0" t="n">
        <f aca="false">F15+F16+F17+F18</f>
        <v>23752.4705522601</v>
      </c>
      <c r="G19" s="0" t="n">
        <f aca="false">G15+G16+G17+G18</f>
        <v>24623.7390653403</v>
      </c>
      <c r="H19" s="0" t="n">
        <f aca="false">H15+H16+H17+H18</f>
        <v>24993.0951513204</v>
      </c>
      <c r="I19" s="0" t="n">
        <f aca="false">I15+I16+I17+I18</f>
        <v>25367.9915785902</v>
      </c>
      <c r="J19" s="0" t="n">
        <f aca="false">J15+J16+J17+J18</f>
        <v>25748.5114522691</v>
      </c>
      <c r="K19" s="0" t="n">
        <f aca="false">K15+K16+K17+K18</f>
        <v>26134.7391240531</v>
      </c>
      <c r="L19" s="0" t="n">
        <f aca="false">L15+L16+L17+L18</f>
        <v>26526.7602109139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18666.764451871</v>
      </c>
      <c r="D21" s="0" t="n">
        <f aca="false">D19*D20</f>
        <v>18509.5496961145</v>
      </c>
      <c r="E21" s="0" t="n">
        <f aca="false">E19*E20</f>
        <v>17933.2164940674</v>
      </c>
      <c r="F21" s="0" t="n">
        <f aca="false">F19*F20</f>
        <v>17139.1719383427</v>
      </c>
      <c r="G21" s="0" t="n">
        <f aca="false">G19*G20</f>
        <v>16375.9049696533</v>
      </c>
      <c r="H21" s="0" t="n">
        <f aca="false">H19*H20</f>
        <v>15319.3949716111</v>
      </c>
      <c r="I21" s="0" t="n">
        <f aca="false">I19*I20</f>
        <v>14331.0469089265</v>
      </c>
      <c r="J21" s="0" t="n">
        <f aca="false">J19*J20</f>
        <v>13406.4632373829</v>
      </c>
      <c r="K21" s="0" t="n">
        <f aca="false">K19*K20</f>
        <v>12541.5301252937</v>
      </c>
      <c r="L21" s="0" t="n">
        <f aca="false">L19*L20</f>
        <v>11732.3991494683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2.5</v>
      </c>
      <c r="D23" s="4" t="n">
        <f aca="false">Assumptions!D44</f>
        <v>2.5</v>
      </c>
      <c r="E23" s="4" t="n">
        <f aca="false">Assumptions!E44</f>
        <v>2.5</v>
      </c>
      <c r="F23" s="4" t="n">
        <f aca="false">Assumptions!F44</f>
        <v>2.5</v>
      </c>
      <c r="G23" s="4" t="n">
        <f aca="false">Assumptions!G44</f>
        <v>2.5</v>
      </c>
      <c r="H23" s="4" t="n">
        <f aca="false">Assumptions!H44</f>
        <v>2.5</v>
      </c>
      <c r="I23" s="4" t="n">
        <f aca="false">Assumptions!I44</f>
        <v>2.5</v>
      </c>
      <c r="J23" s="4" t="n">
        <f aca="false">Assumptions!J44</f>
        <v>2.5</v>
      </c>
      <c r="K23" s="4" t="n">
        <f aca="false">Assumptions!K44</f>
        <v>2.5</v>
      </c>
      <c r="L23" s="4" t="n">
        <f aca="false">Assumptions!L44</f>
        <v>2.5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-7272.6435</v>
      </c>
      <c r="D24" s="0" t="n">
        <f aca="false">-D6*D23/100</f>
        <v>-7490.822805</v>
      </c>
      <c r="E24" s="0" t="n">
        <f aca="false">-E6*E23/100</f>
        <v>-7678.093375125</v>
      </c>
      <c r="F24" s="0" t="n">
        <f aca="false">-F6*F23/100</f>
        <v>-7831.6552426275</v>
      </c>
      <c r="G24" s="0" t="n">
        <f aca="false">-G6*G23/100</f>
        <v>-7988.28834748005</v>
      </c>
      <c r="H24" s="0" t="n">
        <f aca="false">-H6*H23/100</f>
        <v>-8108.11267269225</v>
      </c>
      <c r="I24" s="0" t="n">
        <f aca="false">-I6*I23/100</f>
        <v>-8229.73436278264</v>
      </c>
      <c r="J24" s="0" t="n">
        <f aca="false">-J6*J23/100</f>
        <v>-8353.18037822438</v>
      </c>
      <c r="K24" s="0" t="n">
        <f aca="false">-K6*K23/100</f>
        <v>-8478.47808389774</v>
      </c>
      <c r="L24" s="0" t="n">
        <f aca="false">-L6*L23/100</f>
        <v>-8605.65525515621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155955.441942731</v>
      </c>
    </row>
    <row r="31" customFormat="false" ht="15" hidden="false" customHeight="false" outlineLevel="0" collapsed="false">
      <c r="A31" s="0" t="s">
        <v>128</v>
      </c>
      <c r="B31" s="0" t="n">
        <f aca="false">L19</f>
        <v>26526.7602109139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384638.023058252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344847.882741881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344847.882741881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152521.188943087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308476.630885819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295406.630885819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104.809874360766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0.0891600785697377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6018.54701290793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6401.9540660136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109.216651397815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199441.937882056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54.6199136164761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53.0571052268877</v>
      </c>
      <c r="C4" s="0" t="n">
        <f aca="false">B4/Assumptions!$B$2-1</f>
        <v>-0.448642780558166</v>
      </c>
      <c r="D4" s="4" t="n">
        <f aca="false">Assumptions!$B$24</f>
        <v>0.25</v>
      </c>
      <c r="E4" s="4" t="n">
        <f aca="false">DCF_Bear!$B$43</f>
        <v>55.9990775614406</v>
      </c>
      <c r="F4" s="4" t="n">
        <f aca="false">DCF_Bear!$B$47</f>
        <v>28.3576167967611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83.4139167304665</v>
      </c>
      <c r="C5" s="0" t="n">
        <f aca="false">B5/Assumptions!$B$2-1</f>
        <v>-0.133181786028614</v>
      </c>
      <c r="D5" s="4" t="n">
        <f aca="false">Assumptions!$B$38</f>
        <v>0.5</v>
      </c>
      <c r="E5" s="4" t="n">
        <f aca="false">DCF_Base!$B$43</f>
        <v>87.2284152356126</v>
      </c>
      <c r="F5" s="4" t="n">
        <f aca="false">DCF_Base!$B$47</f>
        <v>44.6058796184013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104.809874360766</v>
      </c>
      <c r="C6" s="0" t="n">
        <f aca="false">B6/Assumptions!$B$2-1</f>
        <v>0.0891600785697377</v>
      </c>
      <c r="D6" s="4" t="n">
        <f aca="false">Assumptions!$B$52</f>
        <v>0.25</v>
      </c>
      <c r="E6" s="4" t="n">
        <f aca="false">DCF_Bull!$B$43</f>
        <v>109.216651397815</v>
      </c>
      <c r="F6" s="4" t="n">
        <f aca="false">DCF_Bull!$B$47</f>
        <v>54.6199136164761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81.1737032621466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84.9181398576201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-0.185482442377056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402.097788384358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43.04732241251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83.4139167304665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80.4938004169407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72.6982211349414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64.8239242887332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58.3853200743279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44.6058796184013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96.5129572726289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96.5129572726289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96.5129572726289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96.5129572726289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96.5129572726289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89.6646836126544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89.6646836126544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89.6646836126544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89.6646836126544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89.6646836126544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82.6046412750226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83.4139167304665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83.4139167304665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83.4139167304665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83.4139167304665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73.0770423573693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75.0864104318992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77.3321747504914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77.7013414877943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77.7013414877943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65.3792451979109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66.8869033621229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68.5532623857257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70.4047724119511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72.4741071471441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2026-10-04T08:09:16Z</dcterms:created>
  <dc:creator>openpyxl</dc:creator>
  <dc:description/>
  <dc:language>en-NZ</dc:language>
  <cp:lastModifiedBy/>
  <dcterms:modified xsi:type="dcterms:W3CDTF">2026-10-04T08:09:16Z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