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#,##0.000"/>
    <numFmt numFmtId="167" formatCode="0.0%"/>
  </numFmts>
  <fonts count="10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  <color rgb="000000CC"/>
    </font>
    <font>
      <i val="1"/>
      <sz val="9"/>
    </font>
    <font>
      <color rgb="00000000"/>
    </font>
    <font>
      <color rgb="00007700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4406B"/>
      </patternFill>
    </fill>
    <fill>
      <patternFill patternType="solid">
        <fgColor rgb="00FFF2A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3" borderId="0" pivotButton="0" quotePrefix="0" xfId="0"/>
    <xf numFmtId="9" fontId="4" fillId="3" borderId="0" pivotButton="0" quotePrefix="0" xfId="0"/>
    <xf numFmtId="9" fontId="6" fillId="0" borderId="0" pivotButton="0" quotePrefix="0" xfId="0"/>
    <xf numFmtId="4" fontId="4" fillId="3" borderId="0" pivotButton="0" quotePrefix="0" xfId="0"/>
    <xf numFmtId="2" fontId="4" fillId="0" borderId="0" pivotButton="0" quotePrefix="0" xfId="0"/>
    <xf numFmtId="10" fontId="4" fillId="0" borderId="0" pivotButton="0" quotePrefix="0" xfId="0"/>
    <xf numFmtId="4" fontId="6" fillId="4" borderId="0" pivotButton="0" quotePrefix="0" xfId="0"/>
    <xf numFmtId="167" fontId="4" fillId="3" borderId="0" pivotButton="0" quotePrefix="0" xfId="0"/>
    <xf numFmtId="0" fontId="7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4" borderId="0" pivotButton="0" quotePrefix="0" xfId="0"/>
    <xf numFmtId="165" fontId="7" fillId="0" borderId="0" pivotButton="0" quotePrefix="0" xfId="0"/>
    <xf numFmtId="167" fontId="0" fillId="0" borderId="0" pivotButton="0" quotePrefix="0" xfId="0"/>
    <xf numFmtId="167" fontId="7" fillId="0" borderId="0" pivotButton="0" quotePrefix="0" xfId="0"/>
    <xf numFmtId="4" fontId="6" fillId="0" borderId="0" pivotButton="0" quotePrefix="0" xfId="0"/>
    <xf numFmtId="4" fontId="9" fillId="4" borderId="1" pivotButton="0" quotePrefix="0" xfId="0"/>
    <xf numFmtId="167" fontId="6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7" fillId="0" borderId="0" pivotButton="0" quotePrefix="0" xfId="0"/>
    <xf numFmtId="9" fontId="0" fillId="0" borderId="0" pivotButton="0" quotePrefix="0" xfId="0"/>
    <xf numFmtId="167" fontId="8" fillId="4" borderId="0" pivotButton="0" quotePrefix="0" xfId="0"/>
    <xf numFmtId="167" fontId="0" fillId="4" borderId="0" pivotButton="0" quotePrefix="0" xfId="0"/>
    <xf numFmtId="4" fontId="0" fillId="4" borderId="0" pivotButton="0" quotePrefix="0" xfId="0"/>
    <xf numFmtId="4" fontId="0" fillId="3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" t="inlineStr">
        <is>
          <t>RECORDATI (REC.MI) — DCF MODEL</t>
        </is>
      </c>
    </row>
    <row r="3" ht="15" customHeight="1">
      <c r="A3" s="2" t="inlineStr">
        <is>
          <t>Version</t>
        </is>
      </c>
      <c r="B3" s="3" t="inlineStr">
        <is>
          <t>v1.0 — first build for this ticker. Supersedes nothing.</t>
        </is>
      </c>
    </row>
    <row r="4" ht="15" customHeight="1">
      <c r="A4" s="2" t="inlineStr">
        <is>
          <t>Built by</t>
        </is>
      </c>
      <c r="B4" s="3" t="inlineStr">
        <is>
          <t>dcf-analyst agent (Claude Opus 5), 2026-08-29, at the user request in the Stocks/Research project.</t>
        </is>
      </c>
    </row>
    <row r="5" ht="15" customHeight="1">
      <c r="A5" s="2" t="inlineStr">
        <is>
          <t>Model type</t>
        </is>
      </c>
      <c r="B5" s="3" t="inlineStr">
        <is>
          <t>Deal-state weighted (live take-private) with a standalone owner-FCF DCF as the no-deal anchor.</t>
        </is>
      </c>
    </row>
    <row r="6" ht="26" customHeight="1">
      <c r="A6" s="2" t="inlineStr">
        <is>
          <t>Routing</t>
        </is>
      </c>
      <c r="B6" s="3" t="inlineStr">
        <is>
          <t>SKILL.md routing table -&gt; "Live takeover, scheme, strategic review" -&gt; deal-completes vs deal-breaks weighting, NOT three growth scenarios.</t>
        </is>
      </c>
    </row>
    <row r="7" ht="15" customHeight="1">
      <c r="A7" s="2" t="inlineStr"/>
      <c r="B7" s="3" t="inlineStr"/>
    </row>
    <row r="8" ht="39" customHeight="1">
      <c r="A8" s="2" t="inlineStr">
        <is>
          <t>THE CENTRAL FACT</t>
        </is>
      </c>
      <c r="B8" s="3" t="inlineStr">
        <is>
          <t>REC.MI is DEAL-PINNED. CVC Fund IX + Groupe Bruxelles Lambert, via Respighi BidCo, launched a voluntary all-cash tender offer on 22-May-2026 at EUR 51.29 ex-dividend (EUR 52.00 cum-dividend). Acceptance period 31-Aug to 15-Oct-2026. The market price of EUR 52.65 is ABOVE the offer.</t>
        </is>
      </c>
    </row>
    <row r="9" ht="26" customHeight="1">
      <c r="A9" s="2" t="inlineStr">
        <is>
          <t>Conclusion</t>
        </is>
      </c>
      <c r="B9" s="3" t="inlineStr">
        <is>
          <t>AVOID at EUR 52.65. Weighted IV EUR 50.47 = -4.1%. Risk/reward 4.6:1 AGAINST (make EUR 2.05, risk EUR 9.54).</t>
        </is>
      </c>
    </row>
    <row r="10" ht="15" customHeight="1">
      <c r="A10" s="2" t="inlineStr"/>
      <c r="B10" s="3" t="inlineStr"/>
    </row>
    <row r="11" ht="26" customHeight="1">
      <c r="A11" s="2" t="inlineStr">
        <is>
          <t>Price anchor</t>
        </is>
      </c>
      <c r="B11" s="3" t="inlineStr">
        <is>
          <t>EUR 52.65, Yahoo regularMarketTime 2026-08-28T15:39:07Z, Euronext Milan regular close. 52-week range 43.76 - 55.15.</t>
        </is>
      </c>
    </row>
    <row r="12" ht="26" customHeight="1">
      <c r="A12" s="2" t="inlineStr">
        <is>
          <t>Balance sheet anchor</t>
        </is>
      </c>
      <c r="B12" s="3" t="inlineStr">
        <is>
          <t>H1-2026, 30-Jun-2026: total debt EUR 2,309.9m less cash EUR 391.4m = net debt EUR 1,918.5m (company NFP EUR 1,917.1m).</t>
        </is>
      </c>
    </row>
    <row r="13" ht="15" customHeight="1">
      <c r="A13" s="2" t="inlineStr">
        <is>
          <t>Share count anchor</t>
        </is>
      </c>
      <c r="B13" s="3" t="inlineStr">
        <is>
          <t>204.813m = 209.125m issued less 4.312m treasury, H1-2026. Held FLAT.</t>
        </is>
      </c>
    </row>
    <row r="14" ht="26" customHeight="1">
      <c r="A14" s="2" t="inlineStr">
        <is>
          <t>Guidance anchor</t>
        </is>
      </c>
      <c r="B14" s="3" t="inlineStr">
        <is>
          <t>FY2026: revenue EUR 2.73-2.80bn, EBITDA EUR 995m-1.03bn, adj net income EUR 655-685m (reiterated at H1-2026). FY2027 plan: revenue EUR 3.0-3.2bn.</t>
        </is>
      </c>
    </row>
    <row r="15" ht="15" customHeight="1">
      <c r="A15" s="2" t="inlineStr"/>
      <c r="B15" s="3" t="inlineStr"/>
    </row>
    <row r="16" ht="39" customHeight="1">
      <c r="A16" s="2" t="inlineStr">
        <is>
          <t>Method: capex</t>
        </is>
      </c>
      <c r="B16" s="3" t="inlineStr">
        <is>
          <t>PP&amp;E capex 1.5% of revenue (observed 1.29-1.57%, genuinely stable = maintenance) PLUS a product-rights replenishment charge of 6.5% of revenue set at the observed intangible amortisation rate. FY2025 capex of EUR 85.1m (3.3%) is NOT a run-rate: FY2021-25 total capex averaged 14.35% of revenue.</t>
        </is>
      </c>
    </row>
    <row r="17" ht="26" customHeight="1">
      <c r="A17" s="2" t="inlineStr">
        <is>
          <t>Method: SBC</t>
        </is>
      </c>
      <c r="B17" s="3" t="inlineStr">
        <is>
          <t>SBC EUR 16.5m is ALREADY INSIDE reported EBITDA as an operating expense, so it is NOT deducted again. Deducting it twice is a real error the FY2025 calibration caught. Share count held flat (charge once).</t>
        </is>
      </c>
    </row>
    <row r="18" ht="39" customHeight="1">
      <c r="A18" s="2" t="inlineStr">
        <is>
          <t>Method: leases</t>
        </is>
      </c>
      <c r="B18" s="3" t="inlineStr">
        <is>
          <t>Treatment (B), section 7(b): lease principal ~0.43% of revenue deducted inside the flows, and lease liabilities EXCLUDED from net debt (net debt is bank debt and loans only, matching the company NFP definition). Charged once.</t>
        </is>
      </c>
    </row>
    <row r="19" ht="15" customHeight="1">
      <c r="A19" s="2" t="inlineStr">
        <is>
          <t>Method: NCI</t>
        </is>
      </c>
      <c r="B19" s="3" t="inlineStr">
        <is>
          <t>Non-controlling interests are EXACTLY ZERO in FY2024 and FY2025. No minority adjustment applies.</t>
        </is>
      </c>
    </row>
    <row r="20" ht="26" customHeight="1">
      <c r="A20" s="2" t="inlineStr">
        <is>
          <t>Method: WACC</t>
        </is>
      </c>
      <c r="B20" s="3" t="inlineStr">
        <is>
          <t>EUR-denominated to match EUR flows. 7.8%. See Assumptions for the full component build. Risk charged ONCE: the same WACC in all scenarios, risks expressed in the flows.</t>
        </is>
      </c>
    </row>
    <row r="21" ht="39" customHeight="1">
      <c r="A21" s="2" t="inlineStr">
        <is>
          <t>Calibration</t>
        </is>
      </c>
      <c r="B21" s="3" t="inlineStr">
        <is>
          <t>EBITDA less D&amp;A ties EXACTLY to reported Adjusted Operating Income (991.053 - 216.166 = 774.887). The residual to reported Operating Income is recurring non-recurring/IFRS-3 charges, carried forward at 1.5% of revenue in the base case.</t>
        </is>
      </c>
    </row>
    <row r="22" ht="15" customHeight="1">
      <c r="A22" s="2" t="inlineStr"/>
      <c r="B22" s="3" t="inlineStr"/>
    </row>
    <row r="23" ht="26" customHeight="1">
      <c r="A23" s="2" t="inlineStr">
        <is>
          <t>Whose judgment</t>
        </is>
      </c>
      <c r="B23" s="3" t="inlineStr">
        <is>
          <t>Scenario drivers and deal probabilities are this agent judgment, set 2026-08-29 from the H1-2026 filing, the Analysis JSON and the offer terms.</t>
        </is>
      </c>
    </row>
    <row r="24" ht="26" customHeight="1">
      <c r="A24" s="2" t="inlineStr">
        <is>
          <t>Refresh after</t>
        </is>
      </c>
      <c r="B24" s="3" t="inlineStr">
        <is>
          <t>The acceptance-period result (15-Oct-2026) — it collapses the scenario set to a single outcome. Also any bump announcement, antitrust/FDI decision, or Q3-2026 print.</t>
        </is>
      </c>
    </row>
    <row r="25" ht="26" customHeight="1">
      <c r="A25" s="2" t="inlineStr">
        <is>
          <t>STALENESS</t>
        </is>
      </c>
      <c r="B25" s="3" t="inlineStr">
        <is>
          <t>These figures go stale. The deal timetable is measured in weeks. Re-check the deal status and the live price before relying on any number here.</t>
        </is>
      </c>
    </row>
    <row r="26" ht="15" customHeight="1">
      <c r="A26" s="2" t="inlineStr"/>
      <c r="B26" s="3" t="inlineStr"/>
    </row>
    <row r="27" ht="26" customHeight="1">
      <c r="A27" s="2" t="inlineStr">
        <is>
          <t>Colour legend</t>
        </is>
      </c>
      <c r="B27" s="3" t="inlineStr">
        <is>
          <t>BLUE = hardcoded input. YELLOW fill = key lever. BLACK = formula. GREEN = cross-sheet link. Green fill = headline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REPORTED HISTORY (EUR millions)</t>
        </is>
      </c>
    </row>
    <row r="3">
      <c r="A3" s="4" t="inlineStr">
        <is>
          <t>Line</t>
        </is>
      </c>
      <c r="B3" s="4" t="inlineStr">
        <is>
          <t>FY2019</t>
        </is>
      </c>
      <c r="C3" s="4" t="inlineStr">
        <is>
          <t>FY2020</t>
        </is>
      </c>
      <c r="D3" s="4" t="inlineStr">
        <is>
          <t>FY2021</t>
        </is>
      </c>
      <c r="E3" s="4" t="inlineStr">
        <is>
          <t>FY2022</t>
        </is>
      </c>
      <c r="F3" s="4" t="inlineStr">
        <is>
          <t>FY2023</t>
        </is>
      </c>
      <c r="G3" s="4" t="inlineStr">
        <is>
          <t>FY2024</t>
        </is>
      </c>
      <c r="H3" s="4" t="inlineStr">
        <is>
          <t>FY2025</t>
        </is>
      </c>
      <c r="I3" s="4" t="inlineStr">
        <is>
          <t>H1-2026</t>
        </is>
      </c>
    </row>
    <row r="4">
      <c r="A4" s="2" t="inlineStr">
        <is>
          <t>Revenue</t>
        </is>
      </c>
      <c r="B4" s="5" t="n">
        <v>1481.8</v>
      </c>
      <c r="C4" s="5" t="n">
        <v>1448.9</v>
      </c>
      <c r="D4" s="5" t="n">
        <v>1580.1</v>
      </c>
      <c r="E4" s="5" t="n">
        <v>1853.3</v>
      </c>
      <c r="F4" s="5" t="n">
        <v>2082.3</v>
      </c>
      <c r="G4" s="5" t="n">
        <v>2341.6</v>
      </c>
      <c r="H4" s="5" t="n">
        <v>2618.4</v>
      </c>
      <c r="I4" s="5" t="n">
        <v>1410.8</v>
      </c>
      <c r="J4" s="6" t="inlineStr">
        <is>
          <t>Metrics.csv / filings</t>
        </is>
      </c>
    </row>
    <row r="5">
      <c r="A5" s="2" t="inlineStr">
        <is>
          <t>EBITDA (company definition)</t>
        </is>
      </c>
      <c r="B5" s="5" t="n">
        <v>544</v>
      </c>
      <c r="C5" s="5" t="n">
        <v>569.3</v>
      </c>
      <c r="D5" s="5" t="n">
        <v>602.3</v>
      </c>
      <c r="E5" s="5" t="n">
        <v>672.8</v>
      </c>
      <c r="F5" s="5" t="n">
        <v>769.6</v>
      </c>
      <c r="G5" s="5" t="n">
        <v>865.8</v>
      </c>
      <c r="H5" s="5" t="n">
        <v>991.1</v>
      </c>
      <c r="I5" s="5" t="n">
        <v>540.2</v>
      </c>
      <c r="J5" s="6" t="inlineStr">
        <is>
          <t>before non-recurring + IFRS-3 step-up</t>
        </is>
      </c>
    </row>
    <row r="6">
      <c r="A6" s="2" t="inlineStr">
        <is>
          <t>EBITDA margin %</t>
        </is>
      </c>
      <c r="B6" s="5" t="n">
        <v>36.7</v>
      </c>
      <c r="C6" s="5" t="n">
        <v>39.3</v>
      </c>
      <c r="D6" s="5" t="n">
        <v>38.1</v>
      </c>
      <c r="E6" s="5" t="n">
        <v>36.3</v>
      </c>
      <c r="F6" s="5" t="n">
        <v>37</v>
      </c>
      <c r="G6" s="5" t="n">
        <v>37</v>
      </c>
      <c r="H6" s="5" t="n">
        <v>37.8</v>
      </c>
      <c r="I6" s="5" t="n">
        <v>38.3</v>
      </c>
      <c r="J6" s="6" t="inlineStr">
        <is>
          <t>derived</t>
        </is>
      </c>
    </row>
    <row r="7">
      <c r="A7" s="2" t="inlineStr">
        <is>
          <t>Operating income</t>
        </is>
      </c>
      <c r="B7" s="5" t="n">
        <v>465.3</v>
      </c>
      <c r="C7" s="5" t="n">
        <v>469</v>
      </c>
      <c r="D7" s="5" t="n">
        <v>490.2</v>
      </c>
      <c r="E7" s="5" t="n">
        <v>437.3</v>
      </c>
      <c r="F7" s="5" t="n">
        <v>558</v>
      </c>
      <c r="G7" s="5" t="n">
        <v>638.9</v>
      </c>
      <c r="H7" s="5" t="n">
        <v>670.8</v>
      </c>
      <c r="I7" s="5" t="n">
        <v>419.2</v>
      </c>
      <c r="J7" s="6" t="inlineStr">
        <is>
          <t>income statement</t>
        </is>
      </c>
    </row>
    <row r="8">
      <c r="A8" s="2" t="inlineStr">
        <is>
          <t>Net income</t>
        </is>
      </c>
      <c r="B8" s="5" t="n">
        <v>368.8</v>
      </c>
      <c r="C8" s="5" t="n">
        <v>355</v>
      </c>
      <c r="D8" s="5" t="n">
        <v>291.3</v>
      </c>
      <c r="E8" s="5" t="n">
        <v>271.8</v>
      </c>
      <c r="F8" s="5" t="n">
        <v>365.1</v>
      </c>
      <c r="G8" s="5" t="n">
        <v>416.5</v>
      </c>
      <c r="H8" s="5" t="n">
        <v>443.6</v>
      </c>
      <c r="I8" s="5" t="n">
        <v>269.7</v>
      </c>
      <c r="J8" s="6" t="inlineStr">
        <is>
          <t>attributable; NCI = 0</t>
        </is>
      </c>
    </row>
    <row r="9">
      <c r="A9" s="2" t="inlineStr">
        <is>
          <t>Operating cash flow</t>
        </is>
      </c>
      <c r="B9" s="5" t="n">
        <v>318.7</v>
      </c>
      <c r="C9" s="5" t="n">
        <v>403.6</v>
      </c>
      <c r="D9" s="5" t="n">
        <v>491.6</v>
      </c>
      <c r="E9" s="5" t="n">
        <v>461.7</v>
      </c>
      <c r="F9" s="5" t="n">
        <v>485.3</v>
      </c>
      <c r="G9" s="5" t="n">
        <v>569.9</v>
      </c>
      <c r="H9" s="5" t="n">
        <v>596.9</v>
      </c>
      <c r="I9" s="5" t="n">
        <v>320</v>
      </c>
      <c r="J9" s="6" t="inlineStr">
        <is>
          <t>cash flow statement</t>
        </is>
      </c>
    </row>
    <row r="10">
      <c r="A10" s="2" t="inlineStr">
        <is>
          <t>Capex (total, reported)</t>
        </is>
      </c>
      <c r="B10" s="5" t="n">
        <v>-443.3</v>
      </c>
      <c r="C10" s="5" t="n">
        <v>-131.7</v>
      </c>
      <c r="D10" s="5" t="n">
        <v>-87.40000000000001</v>
      </c>
      <c r="E10" s="5" t="n">
        <v>-96.3</v>
      </c>
      <c r="F10" s="5" t="n">
        <v>-383.3</v>
      </c>
      <c r="G10" s="5" t="n">
        <v>-851.2</v>
      </c>
      <c r="H10" s="5" t="n">
        <v>-85.09999999999999</v>
      </c>
      <c r="I10" s="5" t="n">
        <v>-78.8</v>
      </c>
      <c r="J10" s="6" t="inlineStr">
        <is>
          <t>PP&amp;E + intangibles</t>
        </is>
      </c>
    </row>
    <row r="11">
      <c r="A11" s="7" t="inlineStr">
        <is>
          <t xml:space="preserve">  of which PP&amp;E</t>
        </is>
      </c>
      <c r="D11" s="5" t="n">
        <v>-21.9</v>
      </c>
      <c r="E11" s="5" t="n">
        <v>-23.9</v>
      </c>
      <c r="F11" s="5" t="n">
        <v>-29.7</v>
      </c>
      <c r="G11" s="5" t="n">
        <v>-36.6</v>
      </c>
      <c r="H11" s="5" t="n">
        <v>-39.4</v>
      </c>
      <c r="J11" s="6" t="inlineStr">
        <is>
          <t>stable 1.29-1.57% of revenue</t>
        </is>
      </c>
    </row>
    <row r="12">
      <c r="A12" s="7" t="inlineStr">
        <is>
          <t xml:space="preserve">  of which intangibles</t>
        </is>
      </c>
      <c r="D12" s="5" t="n">
        <v>-65.5</v>
      </c>
      <c r="E12" s="5" t="n">
        <v>-72.5</v>
      </c>
      <c r="F12" s="5" t="n">
        <v>-353.6</v>
      </c>
      <c r="G12" s="5" t="n">
        <v>-814.5</v>
      </c>
      <c r="H12" s="5" t="n">
        <v>-45.7</v>
      </c>
      <c r="J12" s="6" t="inlineStr">
        <is>
          <t>lumpy 1.74%-34.79% of revenue</t>
        </is>
      </c>
    </row>
    <row r="13">
      <c r="A13" s="2" t="inlineStr">
        <is>
          <t>Reported free cash flow</t>
        </is>
      </c>
      <c r="B13" s="5" t="n">
        <v>-124.6</v>
      </c>
      <c r="C13" s="5" t="n">
        <v>271.9</v>
      </c>
      <c r="D13" s="5" t="n">
        <v>404.3</v>
      </c>
      <c r="E13" s="5" t="n">
        <v>365.4</v>
      </c>
      <c r="F13" s="5" t="n">
        <v>102.1</v>
      </c>
      <c r="G13" s="5" t="n">
        <v>-281.2</v>
      </c>
      <c r="H13" s="5" t="n">
        <v>511.8</v>
      </c>
      <c r="I13" s="5" t="n">
        <v>241.2</v>
      </c>
      <c r="J13" s="6" t="inlineStr">
        <is>
          <t>OCF + capex</t>
        </is>
      </c>
    </row>
    <row r="14">
      <c r="A14" s="2" t="inlineStr">
        <is>
          <t>SBC (equity-settled)</t>
        </is>
      </c>
      <c r="B14" s="5" t="n">
        <v>7</v>
      </c>
      <c r="C14" s="5" t="n">
        <v>4.9</v>
      </c>
      <c r="D14" s="5" t="n">
        <v>5.1</v>
      </c>
      <c r="E14" s="5" t="n">
        <v>8.300000000000001</v>
      </c>
      <c r="F14" s="5" t="n">
        <v>10.9</v>
      </c>
      <c r="G14" s="5" t="n">
        <v>16.5</v>
      </c>
      <c r="H14" s="5" t="n">
        <v>16.5</v>
      </c>
      <c r="I14" s="5" t="n">
        <v>23.6</v>
      </c>
      <c r="J14" s="6" t="inlineStr">
        <is>
          <t>inside EBITDA already</t>
        </is>
      </c>
    </row>
    <row r="15">
      <c r="A15" s="2" t="inlineStr">
        <is>
          <t>Shareholders equity</t>
        </is>
      </c>
      <c r="B15" s="5" t="n">
        <v>1198.8</v>
      </c>
      <c r="C15" s="5" t="n">
        <v>1276.3</v>
      </c>
      <c r="D15" s="5" t="n">
        <v>1381.6</v>
      </c>
      <c r="E15" s="5" t="n">
        <v>1546.2</v>
      </c>
      <c r="F15" s="5" t="n">
        <v>1686.4</v>
      </c>
      <c r="G15" s="5" t="n">
        <v>1876.8</v>
      </c>
      <c r="H15" s="5" t="n">
        <v>1919.8</v>
      </c>
      <c r="I15" s="5" t="n">
        <v>2130.6</v>
      </c>
      <c r="J15" s="6" t="inlineStr">
        <is>
          <t>balance sheet</t>
        </is>
      </c>
    </row>
    <row r="16">
      <c r="A16" s="2" t="inlineStr">
        <is>
          <t>Total debt</t>
        </is>
      </c>
      <c r="B16" s="5" t="n">
        <v>1100.6</v>
      </c>
      <c r="C16" s="5" t="n">
        <v>1061.1</v>
      </c>
      <c r="D16" s="5" t="n">
        <v>992.2</v>
      </c>
      <c r="E16" s="5" t="n">
        <v>1716.5</v>
      </c>
      <c r="F16" s="5" t="n">
        <v>1808.9</v>
      </c>
      <c r="G16" s="5" t="n">
        <v>2484.4</v>
      </c>
      <c r="H16" s="5" t="n">
        <v>2467.5</v>
      </c>
      <c r="I16" s="5" t="n">
        <v>2309.9</v>
      </c>
      <c r="J16" s="6" t="inlineStr">
        <is>
          <t>balance sheet</t>
        </is>
      </c>
    </row>
    <row r="17">
      <c r="A17" s="2" t="inlineStr">
        <is>
          <t>Cash</t>
        </is>
      </c>
      <c r="B17" s="5" t="n">
        <v>187.9</v>
      </c>
      <c r="C17" s="5" t="n">
        <v>188.2</v>
      </c>
      <c r="D17" s="5" t="n">
        <v>244.6</v>
      </c>
      <c r="E17" s="5" t="n">
        <v>284.7</v>
      </c>
      <c r="F17" s="5" t="n">
        <v>221.8</v>
      </c>
      <c r="G17" s="5" t="n">
        <v>322.4</v>
      </c>
      <c r="H17" s="5" t="n">
        <v>428.8</v>
      </c>
      <c r="I17" s="5" t="n">
        <v>391.4</v>
      </c>
      <c r="J17" s="6" t="inlineStr">
        <is>
          <t>balance sheet</t>
        </is>
      </c>
    </row>
    <row r="18">
      <c r="A18" s="2" t="inlineStr">
        <is>
          <t>Net debt</t>
        </is>
      </c>
      <c r="B18" s="5" t="n">
        <v>912.7</v>
      </c>
      <c r="C18" s="5" t="n">
        <v>872.9</v>
      </c>
      <c r="D18" s="5" t="n">
        <v>747.6</v>
      </c>
      <c r="E18" s="5" t="n">
        <v>1431.8</v>
      </c>
      <c r="F18" s="5" t="n">
        <v>1587.1</v>
      </c>
      <c r="G18" s="5" t="n">
        <v>2162</v>
      </c>
      <c r="H18" s="5" t="n">
        <v>2038.7</v>
      </c>
      <c r="I18" s="5" t="n">
        <v>1918.5</v>
      </c>
      <c r="J18" s="6" t="inlineStr">
        <is>
          <t>debt less cash</t>
        </is>
      </c>
    </row>
    <row r="20">
      <c r="A20" s="1" t="inlineStr">
        <is>
          <t>CAPEX SPLIT — the key modelling judgment</t>
        </is>
      </c>
    </row>
    <row r="21">
      <c r="A21" t="inlineStr">
        <is>
          <t>PP&amp;E capex, FY2021-25 aggregate % of revenue</t>
        </is>
      </c>
      <c r="B21" s="8" t="n">
        <v>1.45</v>
      </c>
      <c r="D21" s="6" t="inlineStr">
        <is>
          <t>genuine maintenance; remarkably stable</t>
        </is>
      </c>
    </row>
    <row r="22">
      <c r="A22" t="inlineStr">
        <is>
          <t>Intangible capex, FY2021-25 aggregate % of revenue</t>
        </is>
      </c>
      <c r="B22" s="8" t="n">
        <v>12.9</v>
      </c>
      <c r="D22" s="6" t="inlineStr">
        <is>
          <t>product rights / licences; lumpy and M&amp;A-driven</t>
        </is>
      </c>
    </row>
    <row r="23">
      <c r="A23" t="inlineStr">
        <is>
          <t>Total capex, FY2021-25 aggregate % of revenue</t>
        </is>
      </c>
      <c r="B23" s="8" t="n">
        <v>14.35</v>
      </c>
      <c r="D23" s="6" t="inlineStr">
        <is>
          <t>FY2025 alone was only 3.25%</t>
        </is>
      </c>
    </row>
    <row r="24">
      <c r="A24" t="inlineStr">
        <is>
          <t>Intangible AMORTISATION, FY2025 % of revenue</t>
        </is>
      </c>
      <c r="B24" s="8" t="n">
        <v>6.49</v>
      </c>
      <c r="D24" s="6" t="inlineStr">
        <is>
          <t>the economic replenishment rate used in the model</t>
        </is>
      </c>
    </row>
    <row r="25">
      <c r="A25" t="inlineStr">
        <is>
          <t>FY2019-25 aggregate operating cash flow (EURm)</t>
        </is>
      </c>
      <c r="B25" s="8" t="n">
        <v>3327.8</v>
      </c>
      <c r="D25" s="6" t="inlineStr">
        <is>
          <t>versus owner FCF of only 1180.3</t>
        </is>
      </c>
    </row>
    <row r="26">
      <c r="A26" t="inlineStr">
        <is>
          <t>FY2019-25 aggregate owner FCF (EURm)</t>
        </is>
      </c>
      <c r="B26" s="8" t="n">
        <v>1180.3</v>
      </c>
      <c r="D26" s="6" t="inlineStr">
        <is>
          <t>the gap IS the acquisition spend</t>
        </is>
      </c>
    </row>
    <row r="28">
      <c r="A28" s="1" t="inlineStr">
        <is>
          <t>GUIDANCE (reiterated at H1-2026)</t>
        </is>
      </c>
    </row>
    <row r="29">
      <c r="A29" t="inlineStr">
        <is>
          <t>FY2026 revenue low (EURm)</t>
        </is>
      </c>
      <c r="B29" s="9" t="n">
        <v>2730</v>
      </c>
    </row>
    <row r="30">
      <c r="A30" t="inlineStr">
        <is>
          <t>FY2026 revenue high (EURm)</t>
        </is>
      </c>
      <c r="B30" s="9" t="n">
        <v>2800</v>
      </c>
    </row>
    <row r="31">
      <c r="A31" t="inlineStr">
        <is>
          <t>FY2026 EBITDA low (EURm)</t>
        </is>
      </c>
      <c r="B31" s="9" t="n">
        <v>995</v>
      </c>
    </row>
    <row r="32">
      <c r="A32" t="inlineStr">
        <is>
          <t>FY2026 EBITDA high (EURm)</t>
        </is>
      </c>
      <c r="B32" s="9" t="n">
        <v>1030</v>
      </c>
    </row>
    <row r="33">
      <c r="A33" t="inlineStr">
        <is>
          <t>FY2026 adj net income low (EURm)</t>
        </is>
      </c>
      <c r="B33" s="9" t="n">
        <v>655</v>
      </c>
    </row>
    <row r="34">
      <c r="A34" t="inlineStr">
        <is>
          <t>FY2026 adj net income high (EURm)</t>
        </is>
      </c>
      <c r="B34" s="9" t="n">
        <v>685</v>
      </c>
    </row>
    <row r="35">
      <c r="A35" t="inlineStr">
        <is>
          <t>FY2027 plan revenue low (EURm)</t>
        </is>
      </c>
      <c r="B35" s="9" t="n">
        <v>3000</v>
      </c>
    </row>
    <row r="36">
      <c r="A36" t="inlineStr">
        <is>
          <t>FY2027 plan revenue high (EURm)</t>
        </is>
      </c>
      <c r="B36" s="9" t="n">
        <v>3200</v>
      </c>
    </row>
    <row r="38">
      <c r="A38" s="1" t="inlineStr">
        <is>
          <t>DEAL TERMS</t>
        </is>
      </c>
    </row>
    <row r="39">
      <c r="A39" t="inlineStr">
        <is>
          <t>Offer price ex-dividend (EUR)</t>
        </is>
      </c>
      <c r="B39" s="8" t="n">
        <v>51.29</v>
      </c>
    </row>
    <row r="40">
      <c r="A40" t="inlineStr">
        <is>
          <t>Offer price cum-dividend equivalent (EUR)</t>
        </is>
      </c>
      <c r="B40" s="8" t="n">
        <v>52</v>
      </c>
    </row>
    <row r="41">
      <c r="A41" t="inlineStr">
        <is>
          <t>Bidder</t>
        </is>
      </c>
      <c r="B41" s="10" t="inlineStr">
        <is>
          <t>Respighi BidCo (CVC Fund IX + Groupe Bruxelles Lambert)</t>
        </is>
      </c>
    </row>
    <row r="42">
      <c r="A42" t="inlineStr">
        <is>
          <t>Rossini S.a r.l. irrevocable stake %</t>
        </is>
      </c>
      <c r="B42" s="8" t="n">
        <v>46.82</v>
      </c>
    </row>
    <row r="43">
      <c r="A43" t="inlineStr">
        <is>
          <t>Minimum acceptance threshold %</t>
        </is>
      </c>
      <c r="B43" s="8" t="n">
        <v>66.67</v>
      </c>
    </row>
    <row r="44">
      <c r="A44" t="inlineStr">
        <is>
          <t>Acceptance period</t>
        </is>
      </c>
      <c r="B44" s="10" t="inlineStr">
        <is>
          <t>31-Aug-2026 to 15-Oct-2026</t>
        </is>
      </c>
    </row>
    <row r="45">
      <c r="A45" t="inlineStr">
        <is>
          <t>CONSOB approval</t>
        </is>
      </c>
      <c r="B45" s="10" t="inlineStr">
        <is>
          <t>08-Jul-2026</t>
        </is>
      </c>
    </row>
    <row r="46">
      <c r="A46" t="inlineStr">
        <is>
          <t>Board vote</t>
        </is>
      </c>
      <c r="B46" s="10" t="inlineStr">
        <is>
          <t>six of ten directors fair; four independent directors dissented as inadequate</t>
        </is>
      </c>
    </row>
    <row r="47">
      <c r="A47" t="inlineStr">
        <is>
          <t>Premium to 25-Mar-2026 price %</t>
        </is>
      </c>
      <c r="B47" s="8" t="n">
        <v>12.89</v>
      </c>
    </row>
    <row r="48">
      <c r="A48" t="inlineStr">
        <is>
          <t>Implied undisturbed price (EUR)</t>
        </is>
      </c>
      <c r="B48" s="8" t="n">
        <v>45.4</v>
      </c>
    </row>
    <row r="49">
      <c r="A49" t="inlineStr">
        <is>
          <t>Current market price (EUR)</t>
        </is>
      </c>
      <c r="B49" s="8" t="n">
        <v>52.65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GLOBAL ASSUMPTIONS</t>
        </is>
      </c>
    </row>
    <row r="3">
      <c r="A3" s="4" t="inlineStr">
        <is>
          <t>Driver</t>
        </is>
      </c>
      <c r="B3" s="4" t="inlineStr">
        <is>
          <t>Value</t>
        </is>
      </c>
      <c r="C3" s="4" t="inlineStr"/>
      <c r="D3" s="4" t="inlineStr"/>
      <c r="E3" s="4" t="inlineStr">
        <is>
          <t>Note</t>
        </is>
      </c>
    </row>
    <row r="4">
      <c r="A4" s="2" t="inlineStr">
        <is>
          <t>WACC (EUR-denominated)</t>
        </is>
      </c>
      <c r="B4" s="11" t="n">
        <v>0.078</v>
      </c>
      <c r="E4" s="6" t="inlineStr">
        <is>
          <t>CoE 8.75% x 82.9% + post-tax Kd 2.95% x 17.1% = 7.76%, applied as 7.8%</t>
        </is>
      </c>
    </row>
    <row r="5">
      <c r="A5" s="7" t="inlineStr">
        <is>
          <t xml:space="preserve">  risk-free (10y BTP)</t>
        </is>
      </c>
      <c r="B5" s="12" t="n">
        <v>0.035</v>
      </c>
      <c r="E5" s="6" t="inlineStr">
        <is>
          <t>EUR risk-free matching EUR flows</t>
        </is>
      </c>
    </row>
    <row r="6">
      <c r="A6" s="7" t="inlineStr">
        <is>
          <t xml:space="preserve">  beta</t>
        </is>
      </c>
      <c r="B6" s="12" t="n">
        <v>0.75</v>
      </c>
      <c r="E6" s="6" t="inlineStr">
        <is>
          <t>defensive pharma</t>
        </is>
      </c>
    </row>
    <row r="7">
      <c r="A7" s="7" t="inlineStr">
        <is>
          <t xml:space="preserve">  equity risk premium</t>
        </is>
      </c>
      <c r="B7" s="12" t="n">
        <v>0.05</v>
      </c>
      <c r="E7" s="6" t="inlineStr">
        <is>
          <t>EUR ERP</t>
        </is>
      </c>
    </row>
    <row r="8">
      <c r="A8" s="7" t="inlineStr">
        <is>
          <t xml:space="preserve">  premium: EM/FX</t>
        </is>
      </c>
      <c r="B8" s="12" t="n">
        <v>0.006</v>
      </c>
      <c r="E8" s="6" t="inlineStr">
        <is>
          <t>Turkiye IAS 29 hyperinflation; Russia/CIS ~7.2% of revenue</t>
        </is>
      </c>
    </row>
    <row r="9">
      <c r="A9" s="7" t="inlineStr">
        <is>
          <t xml:space="preserve">  premium: acquisition-dependence</t>
        </is>
      </c>
      <c r="B9" s="12" t="n">
        <v>0.005</v>
      </c>
      <c r="E9" s="6" t="inlineStr">
        <is>
          <t>growth algorithm requires continuous bolt-ons</t>
        </is>
      </c>
    </row>
    <row r="10">
      <c r="A10" s="7" t="inlineStr">
        <is>
          <t xml:space="preserve">  premium: drug pricing / AIFA payback</t>
        </is>
      </c>
      <c r="B10" s="12" t="n">
        <v>0.004</v>
      </c>
      <c r="E10" s="6" t="inlineStr">
        <is>
          <t>EUR 12.8m Urorec settlement Q3-2025</t>
        </is>
      </c>
    </row>
    <row r="11">
      <c r="A11" s="7" t="inlineStr">
        <is>
          <t xml:space="preserve">  cost of equity</t>
        </is>
      </c>
      <c r="B11" s="12" t="n">
        <v>0.08749999999999999</v>
      </c>
      <c r="E11" s="6" t="inlineStr">
        <is>
          <t>sum of the above</t>
        </is>
      </c>
    </row>
    <row r="12">
      <c r="A12" s="7" t="inlineStr">
        <is>
          <t xml:space="preserve">  pre-tax cost of debt</t>
        </is>
      </c>
      <c r="B12" s="12" t="n">
        <v>0.0386</v>
      </c>
      <c r="E12" s="6" t="inlineStr">
        <is>
          <t>FY2025 interest paid 95.6 / avg gross debt 2476</t>
        </is>
      </c>
    </row>
    <row r="13">
      <c r="A13" s="7" t="inlineStr">
        <is>
          <t xml:space="preserve">  effective tax rate</t>
        </is>
      </c>
      <c r="B13" s="12" t="n">
        <v>0.237</v>
      </c>
      <c r="E13" s="6" t="inlineStr">
        <is>
          <t>FY2025 reported</t>
        </is>
      </c>
    </row>
    <row r="14">
      <c r="A14" s="7" t="inlineStr">
        <is>
          <t>PP&amp;E capex % of revenue</t>
        </is>
      </c>
      <c r="B14" s="12" t="n">
        <v>0.015</v>
      </c>
      <c r="E14" s="6" t="inlineStr">
        <is>
          <t>maintenance; observed 1.29-1.57%</t>
        </is>
      </c>
    </row>
    <row r="15">
      <c r="A15" s="2" t="inlineStr">
        <is>
          <t>Product-rights replenishment % of revenue</t>
        </is>
      </c>
      <c r="B15" s="11" t="n">
        <v>0.065</v>
      </c>
      <c r="E15" s="6" t="inlineStr">
        <is>
          <t>KEY LEVER — set at observed intangible amortisation 6.49%</t>
        </is>
      </c>
    </row>
    <row r="16">
      <c r="A16" s="7" t="inlineStr">
        <is>
          <t>Lease principal % of revenue</t>
        </is>
      </c>
      <c r="B16" s="12" t="n">
        <v>0.0043</v>
      </c>
      <c r="E16" s="6" t="inlineStr">
        <is>
          <t>treatment B: in the flows, so excluded from net debt</t>
        </is>
      </c>
    </row>
    <row r="17">
      <c r="A17" s="7" t="inlineStr">
        <is>
          <t>Net debt (EURm), 30-Jun-2026</t>
        </is>
      </c>
      <c r="B17" s="13" t="n">
        <v>1918.5</v>
      </c>
      <c r="E17" s="6" t="inlineStr">
        <is>
          <t>bank debt and loans only; company NFP 1917.1</t>
        </is>
      </c>
    </row>
    <row r="18">
      <c r="A18" s="7" t="inlineStr">
        <is>
          <t>Diluted shares (m), H1-2026</t>
        </is>
      </c>
      <c r="B18" s="13" t="n">
        <v>204.813</v>
      </c>
      <c r="E18" s="6" t="inlineStr">
        <is>
          <t>209.125 issued less 4.312 treasury; held FLAT</t>
        </is>
      </c>
    </row>
    <row r="19">
      <c r="A19" s="7" t="inlineStr">
        <is>
          <t>Current price (EUR)</t>
        </is>
      </c>
      <c r="B19" s="13" t="n">
        <v>52.65</v>
      </c>
      <c r="E19" s="6" t="inlineStr">
        <is>
          <t>Yahoo 2026-08-28T15:39:07Z regular close</t>
        </is>
      </c>
    </row>
    <row r="20">
      <c r="A20" s="7" t="inlineStr">
        <is>
          <t>Terminal cap multiple (x FCF)</t>
        </is>
      </c>
      <c r="B20" s="13" t="n">
        <v>18</v>
      </c>
      <c r="E20" s="6" t="inlineStr">
        <is>
          <t>caps Gordon; prevents terminal runaway</t>
        </is>
      </c>
    </row>
    <row r="21">
      <c r="A21" s="7" t="inlineStr">
        <is>
          <t>FY2025 revenue base (EURm)</t>
        </is>
      </c>
      <c r="B21" s="13" t="n">
        <v>2618.4</v>
      </c>
      <c r="E21" s="6" t="inlineStr">
        <is>
          <t>FY0 for the standalone projection</t>
        </is>
      </c>
    </row>
    <row r="23">
      <c r="A23" s="1" t="inlineStr">
        <is>
          <t>SCENARIOS (deal states)</t>
        </is>
      </c>
    </row>
    <row r="24">
      <c r="A24" s="4" t="inlineStr">
        <is>
          <t>Item</t>
        </is>
      </c>
      <c r="B24" s="4" t="inlineStr">
        <is>
          <t>Bear</t>
        </is>
      </c>
      <c r="C24" s="4" t="inlineStr">
        <is>
          <t>Base</t>
        </is>
      </c>
      <c r="D24" s="4" t="inlineStr">
        <is>
          <t>Bull</t>
        </is>
      </c>
    </row>
    <row r="25">
      <c r="A25" t="inlineStr">
        <is>
          <t>Standalone terminal growth</t>
        </is>
      </c>
      <c r="B25" s="14" t="n">
        <v>0.013</v>
      </c>
      <c r="C25" s="14" t="n">
        <v>0.018</v>
      </c>
      <c r="D25" s="14" t="n">
        <v>0.022</v>
      </c>
    </row>
    <row r="26">
      <c r="A26" t="inlineStr">
        <is>
          <t>Deal-state probability weight</t>
        </is>
      </c>
      <c r="B26" s="15" t="n">
        <v>0.1</v>
      </c>
      <c r="C26" s="15" t="n">
        <v>0.78</v>
      </c>
      <c r="D26" s="15" t="n">
        <v>0.12</v>
      </c>
    </row>
    <row r="27">
      <c r="A27" t="inlineStr">
        <is>
          <t>Weights check (must be 100%)</t>
        </is>
      </c>
      <c r="B27" s="16">
        <f>SUM(B26:D26)</f>
        <v/>
      </c>
    </row>
    <row r="29">
      <c r="A29" s="1" t="inlineStr">
        <is>
          <t>DEAL-STATE CONSIDERATION</t>
        </is>
      </c>
    </row>
    <row r="30">
      <c r="A30" s="4" t="inlineStr">
        <is>
          <t>Item</t>
        </is>
      </c>
      <c r="B30" s="4" t="inlineStr">
        <is>
          <t>Bear (break)</t>
        </is>
      </c>
      <c r="C30" s="4" t="inlineStr">
        <is>
          <t>Base (completes)</t>
        </is>
      </c>
      <c r="D30" s="4" t="inlineStr">
        <is>
          <t>Bull (bump)</t>
        </is>
      </c>
    </row>
    <row r="31">
      <c r="A31" t="inlineStr">
        <is>
          <t>Consideration / reversion price (EUR)</t>
        </is>
      </c>
      <c r="B31" s="17" t="n">
        <v>43.65</v>
      </c>
      <c r="C31" s="17" t="n">
        <v>51.29</v>
      </c>
      <c r="D31" s="17" t="n">
        <v>55.5</v>
      </c>
    </row>
    <row r="32">
      <c r="A32" t="inlineStr">
        <is>
          <t>Years to settlement</t>
        </is>
      </c>
      <c r="B32" s="18" t="n">
        <v>0.15</v>
      </c>
      <c r="C32" s="18" t="n">
        <v>0.3</v>
      </c>
      <c r="D32" s="18" t="n">
        <v>0.42</v>
      </c>
    </row>
    <row r="33">
      <c r="A33" t="inlineStr">
        <is>
          <t>Discount rate</t>
        </is>
      </c>
      <c r="B33" s="19" t="n">
        <v>0.08749999999999999</v>
      </c>
      <c r="C33" s="19" t="n">
        <v>0.035</v>
      </c>
      <c r="D33" s="19" t="n">
        <v>0.035</v>
      </c>
    </row>
    <row r="34">
      <c r="A34" s="2" t="inlineStr">
        <is>
          <t>PV of deal-state payoff (EUR/share)</t>
        </is>
      </c>
      <c r="B34" s="20">
        <f>B31/(1+B33)^B32</f>
        <v/>
      </c>
      <c r="C34" s="20">
        <f>C31/(1+C33)^C32</f>
        <v/>
      </c>
      <c r="D34" s="20">
        <f>D31/(1+D33)^D32</f>
        <v/>
      </c>
    </row>
    <row r="36">
      <c r="A36" s="1" t="inlineStr">
        <is>
          <t>SCENARIO NARRATIVES</t>
        </is>
      </c>
    </row>
    <row r="37" ht="78" customHeight="1">
      <c r="A37" s="2" t="inlineStr">
        <is>
          <t>Base (78%) — deal completes</t>
        </is>
      </c>
      <c r="B37" s="3" t="inlineStr">
        <is>
          <t>Respighi BidCo acquires Recordati at EUR 51.29 ex-dividend, settling Q4-2026. Rossini S.a r.l. holds a 46.82% IRREVOCABLE commitment, taking the consortium most of the way to the 66.67% minimum before a single minority share is tendered. Luxinva (ADIA), CPP Investments and Andrea Recordati are reinvesting rather than selling. CONSOB approved the offer document 8-Jul-2026; six of ten directors judged it fair. A buyer at EUR 52.65 pays 52.65 to receive 51.29 — a NEGATIVE outcome, stated plainly.</t>
        </is>
      </c>
    </row>
    <row r="38" ht="65" customHeight="1">
      <c r="A38" s="2" t="inlineStr">
        <is>
          <t>Bull (12%) — bumped</t>
        </is>
      </c>
      <c r="B38" s="3" t="inlineStr">
        <is>
          <t>The consortium fails to reach 66.67% on the initial terms, or the four dissenting independent directors mobilise enough minority resistance, or a competing bidder emerges; the offer is raised to ~EUR 55.50. Anchored on the dissent, on the standalone bull DCF of EUR 55.85, and on the EUR 55.15 52-week high the market actually paid within the last year. Deliberately set BELOW the standalone bull IV so the bump is supportable by fundamentals.</t>
        </is>
      </c>
    </row>
    <row r="39" ht="65" customHeight="1">
      <c r="A39" s="2" t="inlineStr">
        <is>
          <t>Bear (10%) — deal breaks</t>
        </is>
      </c>
      <c r="B39" s="3" t="inlineStr">
        <is>
          <t>Antitrust or Italian golden-power/FDI clearance is refused on a nationally-sensitive pharmaceutical asset, financing fails, or acceptances fall short of 66.67% with no bump forthcoming. The price reverts toward a blend of the EUR 45.40 undisturbed pre-announcement level and the EUR 41.52 standalone DCF, landing near EUR 43.65. Note the standalone value sits BELOW the undisturbed price: the market was already paying more than these fundamentals support before the bid.</t>
        </is>
      </c>
    </row>
    <row r="40" ht="65" customHeight="1">
      <c r="A40" s="2" t="inlineStr">
        <is>
          <t>Standalone axes (no-deal branch)</t>
        </is>
      </c>
      <c r="B40" s="3" t="inlineStr">
        <is>
          <t>Bull: Isturisa delivers on the doubled &gt;EUR 1.2bn peak-sales guidance across the expanded non-overt Cushing s label, Enjaymo keeps compounding, and the FY2027 plan (revenue EUR 3.0-3.2bn) is met. Bear: the Specialty &amp; Primary Care half (~57-59% of revenue) keeps eroding — Cardicor licence loss, lercanidipine, Seloken -12.8% in H1-2026 — Isturisa uptake disappoints or draws payer pushback, and the company must spend MORE on product rights just to stand still.</t>
        </is>
      </c>
    </row>
  </sheetData>
  <mergeCells count="4">
    <mergeCell ref="B40:E40"/>
    <mergeCell ref="B39:E39"/>
    <mergeCell ref="B38:E38"/>
    <mergeCell ref="B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STANDALONE OWNER-FCF DCF — BEAR (EUR m)</t>
        </is>
      </c>
    </row>
    <row r="2">
      <c r="A2" s="6" t="inlineStr">
        <is>
          <t>This is the NO-DEAL anchor, not the headline value. See Valuation.</t>
        </is>
      </c>
    </row>
    <row r="3">
      <c r="A3" s="2" t="inlineStr">
        <is>
          <t>Year</t>
        </is>
      </c>
      <c r="B3" s="2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Year index</t>
        </is>
      </c>
      <c r="B4" s="7" t="n">
        <v>0</v>
      </c>
      <c r="C4" s="7" t="n">
        <v>1</v>
      </c>
      <c r="D4" s="7" t="n">
        <v>2</v>
      </c>
      <c r="E4" s="7" t="n">
        <v>3</v>
      </c>
      <c r="F4" s="7" t="n">
        <v>4</v>
      </c>
      <c r="G4" s="7" t="n">
        <v>5</v>
      </c>
      <c r="H4" s="7" t="n">
        <v>6</v>
      </c>
      <c r="I4" s="7" t="n">
        <v>7</v>
      </c>
      <c r="J4" s="7" t="n">
        <v>8</v>
      </c>
      <c r="K4" s="7" t="n">
        <v>9</v>
      </c>
      <c r="L4" s="7" t="n">
        <v>10</v>
      </c>
    </row>
    <row r="5">
      <c r="A5" s="7" t="inlineStr">
        <is>
          <t>Revenue growth YoY</t>
        </is>
      </c>
      <c r="C5" s="21" t="n">
        <v>0.043</v>
      </c>
      <c r="D5" s="21" t="n">
        <v>0.035</v>
      </c>
      <c r="E5" s="21" t="n">
        <v>0.025</v>
      </c>
      <c r="F5" s="21" t="n">
        <v>0.02</v>
      </c>
      <c r="G5" s="21" t="n">
        <v>0.018</v>
      </c>
      <c r="H5" s="21" t="n">
        <v>0.015</v>
      </c>
      <c r="I5" s="21" t="n">
        <v>0.015</v>
      </c>
      <c r="J5" s="21" t="n">
        <v>0.012</v>
      </c>
      <c r="K5" s="21" t="n">
        <v>0.01</v>
      </c>
      <c r="L5" s="21" t="n">
        <v>0.01</v>
      </c>
    </row>
    <row r="6">
      <c r="A6" s="7" t="inlineStr">
        <is>
          <t>Revenue</t>
        </is>
      </c>
      <c r="B6" s="22">
        <f>Assumptions!$B$21</f>
        <v/>
      </c>
      <c r="C6" s="23">
        <f>B6*(1+C5)</f>
        <v/>
      </c>
      <c r="D6" s="23">
        <f>C6*(1+D5)</f>
        <v/>
      </c>
      <c r="E6" s="23">
        <f>D6*(1+E5)</f>
        <v/>
      </c>
      <c r="F6" s="23">
        <f>E6*(1+F5)</f>
        <v/>
      </c>
      <c r="G6" s="23">
        <f>F6*(1+G5)</f>
        <v/>
      </c>
      <c r="H6" s="23">
        <f>G6*(1+H5)</f>
        <v/>
      </c>
      <c r="I6" s="23">
        <f>H6*(1+I5)</f>
        <v/>
      </c>
      <c r="J6" s="23">
        <f>I6*(1+J5)</f>
        <v/>
      </c>
      <c r="K6" s="23">
        <f>J6*(1+K5)</f>
        <v/>
      </c>
      <c r="L6" s="23">
        <f>K6*(1+L5)</f>
        <v/>
      </c>
    </row>
    <row r="7">
      <c r="A7" s="7" t="inlineStr">
        <is>
          <t>EBITDA margin</t>
        </is>
      </c>
      <c r="C7" s="21" t="n">
        <v>0.36</v>
      </c>
      <c r="D7" s="21" t="n">
        <v>0.356</v>
      </c>
      <c r="E7" s="21" t="n">
        <v>0.352</v>
      </c>
      <c r="F7" s="21" t="n">
        <v>0.35</v>
      </c>
      <c r="G7" s="21" t="n">
        <v>0.348</v>
      </c>
      <c r="H7" s="21" t="n">
        <v>0.347</v>
      </c>
      <c r="I7" s="21" t="n">
        <v>0.346</v>
      </c>
      <c r="J7" s="21" t="n">
        <v>0.345</v>
      </c>
      <c r="K7" s="21" t="n">
        <v>0.345</v>
      </c>
      <c r="L7" s="21" t="n">
        <v>0.345</v>
      </c>
    </row>
    <row r="8">
      <c r="A8" s="7" t="inlineStr">
        <is>
          <t>Adjusted EBITDA (net of SBC)</t>
        </is>
      </c>
      <c r="C8" s="23">
        <f>C6*C7</f>
        <v/>
      </c>
      <c r="D8" s="23">
        <f>D6*D7</f>
        <v/>
      </c>
      <c r="E8" s="23">
        <f>E6*E7</f>
        <v/>
      </c>
      <c r="F8" s="23">
        <f>F6*F7</f>
        <v/>
      </c>
      <c r="G8" s="23">
        <f>G6*G7</f>
        <v/>
      </c>
      <c r="H8" s="23">
        <f>H6*H7</f>
        <v/>
      </c>
      <c r="I8" s="23">
        <f>I6*I7</f>
        <v/>
      </c>
      <c r="J8" s="23">
        <f>J6*J7</f>
        <v/>
      </c>
      <c r="K8" s="23">
        <f>K6*K7</f>
        <v/>
      </c>
      <c r="L8" s="23">
        <f>L6*L7</f>
        <v/>
      </c>
    </row>
    <row r="9">
      <c r="A9" s="7" t="inlineStr">
        <is>
          <t>SBC % of revenue (memo — inside EBITDA)</t>
        </is>
      </c>
      <c r="C9" s="14" t="n">
        <v>0.0075</v>
      </c>
      <c r="D9" s="14" t="n">
        <v>0.0072</v>
      </c>
      <c r="E9" s="14" t="n">
        <v>0.006999999999999999</v>
      </c>
      <c r="F9" s="14" t="n">
        <v>0.0068</v>
      </c>
      <c r="G9" s="14" t="n">
        <v>0.0066</v>
      </c>
      <c r="H9" s="14" t="n">
        <v>0.0064</v>
      </c>
      <c r="I9" s="14" t="n">
        <v>0.0062</v>
      </c>
      <c r="J9" s="14" t="n">
        <v>0.006</v>
      </c>
      <c r="K9" s="14" t="n">
        <v>0.006</v>
      </c>
      <c r="L9" s="14" t="n">
        <v>0.006</v>
      </c>
    </row>
    <row r="10">
      <c r="A10" s="7" t="inlineStr">
        <is>
          <t>SBC (memo, not deducted again)</t>
        </is>
      </c>
      <c r="C10" s="23">
        <f>C6*C9</f>
        <v/>
      </c>
      <c r="D10" s="23">
        <f>D6*D9</f>
        <v/>
      </c>
      <c r="E10" s="23">
        <f>E6*E9</f>
        <v/>
      </c>
      <c r="F10" s="23">
        <f>F6*F9</f>
        <v/>
      </c>
      <c r="G10" s="23">
        <f>G6*G9</f>
        <v/>
      </c>
      <c r="H10" s="23">
        <f>H6*H9</f>
        <v/>
      </c>
      <c r="I10" s="23">
        <f>I6*I9</f>
        <v/>
      </c>
      <c r="J10" s="23">
        <f>J6*J9</f>
        <v/>
      </c>
      <c r="K10" s="23">
        <f>K6*K9</f>
        <v/>
      </c>
      <c r="L10" s="23">
        <f>L6*L9</f>
        <v/>
      </c>
    </row>
    <row r="11">
      <c r="A11" s="7" t="inlineStr">
        <is>
          <t>D&amp;A % of revenue</t>
        </is>
      </c>
      <c r="C11" s="21" t="n">
        <v>0.083</v>
      </c>
      <c r="D11" s="21" t="n">
        <v>0.08199999999999999</v>
      </c>
      <c r="E11" s="21" t="n">
        <v>0.081</v>
      </c>
      <c r="F11" s="21" t="n">
        <v>0.08</v>
      </c>
      <c r="G11" s="21" t="n">
        <v>0.08</v>
      </c>
      <c r="H11" s="21" t="n">
        <v>0.079</v>
      </c>
      <c r="I11" s="21" t="n">
        <v>0.079</v>
      </c>
      <c r="J11" s="21" t="n">
        <v>0.078</v>
      </c>
      <c r="K11" s="21" t="n">
        <v>0.078</v>
      </c>
      <c r="L11" s="21" t="n">
        <v>0.078</v>
      </c>
    </row>
    <row r="12">
      <c r="A12" s="7" t="inlineStr">
        <is>
          <t>D&amp;A</t>
        </is>
      </c>
      <c r="C12" s="23">
        <f>-C6*C11</f>
        <v/>
      </c>
      <c r="D12" s="23">
        <f>-D6*D11</f>
        <v/>
      </c>
      <c r="E12" s="23">
        <f>-E6*E11</f>
        <v/>
      </c>
      <c r="F12" s="23">
        <f>-F6*F11</f>
        <v/>
      </c>
      <c r="G12" s="23">
        <f>-G6*G11</f>
        <v/>
      </c>
      <c r="H12" s="23">
        <f>-H6*H11</f>
        <v/>
      </c>
      <c r="I12" s="23">
        <f>-I6*I11</f>
        <v/>
      </c>
      <c r="J12" s="23">
        <f>-J6*J11</f>
        <v/>
      </c>
      <c r="K12" s="23">
        <f>-K6*K11</f>
        <v/>
      </c>
      <c r="L12" s="23">
        <f>-L6*L11</f>
        <v/>
      </c>
    </row>
    <row r="13">
      <c r="A13" s="7" t="inlineStr">
        <is>
          <t>Non-recurring % of revenue</t>
        </is>
      </c>
      <c r="C13" s="21" t="n">
        <v>0.02</v>
      </c>
      <c r="D13" s="21" t="n">
        <v>0.02</v>
      </c>
      <c r="E13" s="21" t="n">
        <v>0.02</v>
      </c>
      <c r="F13" s="21" t="n">
        <v>0.02</v>
      </c>
      <c r="G13" s="21" t="n">
        <v>0.02</v>
      </c>
      <c r="H13" s="21" t="n">
        <v>0.02</v>
      </c>
      <c r="I13" s="21" t="n">
        <v>0.02</v>
      </c>
      <c r="J13" s="21" t="n">
        <v>0.02</v>
      </c>
      <c r="K13" s="21" t="n">
        <v>0.02</v>
      </c>
      <c r="L13" s="21" t="n">
        <v>0.02</v>
      </c>
    </row>
    <row r="14">
      <c r="A14" s="7" t="inlineStr">
        <is>
          <t>Non-recurring charges</t>
        </is>
      </c>
      <c r="C14" s="23">
        <f>-C6*C13</f>
        <v/>
      </c>
      <c r="D14" s="23">
        <f>-D6*D13</f>
        <v/>
      </c>
      <c r="E14" s="23">
        <f>-E6*E13</f>
        <v/>
      </c>
      <c r="F14" s="23">
        <f>-F6*F13</f>
        <v/>
      </c>
      <c r="G14" s="23">
        <f>-G6*G13</f>
        <v/>
      </c>
      <c r="H14" s="23">
        <f>-H6*H13</f>
        <v/>
      </c>
      <c r="I14" s="23">
        <f>-I6*I13</f>
        <v/>
      </c>
      <c r="J14" s="23">
        <f>-J6*J13</f>
        <v/>
      </c>
      <c r="K14" s="23">
        <f>-K6*K13</f>
        <v/>
      </c>
      <c r="L14" s="23">
        <f>-L6*L13</f>
        <v/>
      </c>
    </row>
    <row r="15">
      <c r="A15" s="7" t="inlineStr">
        <is>
          <t>EBIT after D&amp;A and non-recurring</t>
        </is>
      </c>
      <c r="C15" s="23">
        <f>C8+C12+C14</f>
        <v/>
      </c>
      <c r="D15" s="23">
        <f>D8+D12+D14</f>
        <v/>
      </c>
      <c r="E15" s="23">
        <f>E8+E12+E14</f>
        <v/>
      </c>
      <c r="F15" s="23">
        <f>F8+F12+F14</f>
        <v/>
      </c>
      <c r="G15" s="23">
        <f>G8+G12+G14</f>
        <v/>
      </c>
      <c r="H15" s="23">
        <f>H8+H12+H14</f>
        <v/>
      </c>
      <c r="I15" s="23">
        <f>I8+I12+I14</f>
        <v/>
      </c>
      <c r="J15" s="23">
        <f>J8+J12+J14</f>
        <v/>
      </c>
      <c r="K15" s="23">
        <f>K8+K12+K14</f>
        <v/>
      </c>
      <c r="L15" s="23">
        <f>L8+L12+L14</f>
        <v/>
      </c>
    </row>
    <row r="16">
      <c r="A16" s="7" t="inlineStr">
        <is>
          <t>Cash tax rate</t>
        </is>
      </c>
      <c r="C16" s="21" t="n">
        <v>0.245</v>
      </c>
      <c r="D16" s="21" t="n">
        <v>0.245</v>
      </c>
      <c r="E16" s="21" t="n">
        <v>0.245</v>
      </c>
      <c r="F16" s="21" t="n">
        <v>0.245</v>
      </c>
      <c r="G16" s="21" t="n">
        <v>0.245</v>
      </c>
      <c r="H16" s="21" t="n">
        <v>0.245</v>
      </c>
      <c r="I16" s="21" t="n">
        <v>0.245</v>
      </c>
      <c r="J16" s="21" t="n">
        <v>0.245</v>
      </c>
      <c r="K16" s="21" t="n">
        <v>0.245</v>
      </c>
      <c r="L16" s="21" t="n">
        <v>0.245</v>
      </c>
    </row>
    <row r="17">
      <c r="A17" s="7" t="inlineStr">
        <is>
          <t>NOPAT</t>
        </is>
      </c>
      <c r="C17" s="23">
        <f>C15*(1-C16)</f>
        <v/>
      </c>
      <c r="D17" s="23">
        <f>D15*(1-D16)</f>
        <v/>
      </c>
      <c r="E17" s="23">
        <f>E15*(1-E16)</f>
        <v/>
      </c>
      <c r="F17" s="23">
        <f>F15*(1-F16)</f>
        <v/>
      </c>
      <c r="G17" s="23">
        <f>G15*(1-G16)</f>
        <v/>
      </c>
      <c r="H17" s="23">
        <f>H15*(1-H16)</f>
        <v/>
      </c>
      <c r="I17" s="23">
        <f>I15*(1-I16)</f>
        <v/>
      </c>
      <c r="J17" s="23">
        <f>J15*(1-J16)</f>
        <v/>
      </c>
      <c r="K17" s="23">
        <f>K15*(1-K16)</f>
        <v/>
      </c>
      <c r="L17" s="23">
        <f>L15*(1-L16)</f>
        <v/>
      </c>
    </row>
    <row r="18">
      <c r="A18" s="7" t="inlineStr">
        <is>
          <t>add back D&amp;A</t>
        </is>
      </c>
      <c r="C18" s="23">
        <f>-C12</f>
        <v/>
      </c>
      <c r="D18" s="23">
        <f>-D12</f>
        <v/>
      </c>
      <c r="E18" s="23">
        <f>-E12</f>
        <v/>
      </c>
      <c r="F18" s="23">
        <f>-F12</f>
        <v/>
      </c>
      <c r="G18" s="23">
        <f>-G12</f>
        <v/>
      </c>
      <c r="H18" s="23">
        <f>-H12</f>
        <v/>
      </c>
      <c r="I18" s="23">
        <f>-I12</f>
        <v/>
      </c>
      <c r="J18" s="23">
        <f>-J12</f>
        <v/>
      </c>
      <c r="K18" s="23">
        <f>-K12</f>
        <v/>
      </c>
      <c r="L18" s="23">
        <f>-L12</f>
        <v/>
      </c>
    </row>
    <row r="19">
      <c r="A19" s="7" t="inlineStr">
        <is>
          <t>less PP&amp;E capex</t>
        </is>
      </c>
      <c r="C19" s="23">
        <f>-C6*C28</f>
        <v/>
      </c>
      <c r="D19" s="23">
        <f>-D6*D28</f>
        <v/>
      </c>
      <c r="E19" s="23">
        <f>-E6*E28</f>
        <v/>
      </c>
      <c r="F19" s="23">
        <f>-F6*F28</f>
        <v/>
      </c>
      <c r="G19" s="23">
        <f>-G6*G28</f>
        <v/>
      </c>
      <c r="H19" s="23">
        <f>-H6*H28</f>
        <v/>
      </c>
      <c r="I19" s="23">
        <f>-I6*I28</f>
        <v/>
      </c>
      <c r="J19" s="23">
        <f>-J6*J28</f>
        <v/>
      </c>
      <c r="K19" s="23">
        <f>-K6*K28</f>
        <v/>
      </c>
      <c r="L19" s="23">
        <f>-L6*L28</f>
        <v/>
      </c>
    </row>
    <row r="20">
      <c r="A20" s="7" t="inlineStr">
        <is>
          <t>less product-rights replenishment</t>
        </is>
      </c>
      <c r="C20" s="23">
        <f>-C6*C29</f>
        <v/>
      </c>
      <c r="D20" s="23">
        <f>-D6*D29</f>
        <v/>
      </c>
      <c r="E20" s="23">
        <f>-E6*E29</f>
        <v/>
      </c>
      <c r="F20" s="23">
        <f>-F6*F29</f>
        <v/>
      </c>
      <c r="G20" s="23">
        <f>-G6*G29</f>
        <v/>
      </c>
      <c r="H20" s="23">
        <f>-H6*H29</f>
        <v/>
      </c>
      <c r="I20" s="23">
        <f>-I6*I29</f>
        <v/>
      </c>
      <c r="J20" s="23">
        <f>-J6*J29</f>
        <v/>
      </c>
      <c r="K20" s="23">
        <f>-K6*K29</f>
        <v/>
      </c>
      <c r="L20" s="23">
        <f>-L6*L29</f>
        <v/>
      </c>
    </row>
    <row r="21">
      <c r="A21" s="7" t="inlineStr">
        <is>
          <t>less lease principal</t>
        </is>
      </c>
      <c r="C21" s="24">
        <f>-C6*Assumptions!$B$16</f>
        <v/>
      </c>
      <c r="D21" s="24">
        <f>-D6*Assumptions!$B$16</f>
        <v/>
      </c>
      <c r="E21" s="24">
        <f>-E6*Assumptions!$B$16</f>
        <v/>
      </c>
      <c r="F21" s="24">
        <f>-F6*Assumptions!$B$16</f>
        <v/>
      </c>
      <c r="G21" s="24">
        <f>-G6*Assumptions!$B$16</f>
        <v/>
      </c>
      <c r="H21" s="24">
        <f>-H6*Assumptions!$B$16</f>
        <v/>
      </c>
      <c r="I21" s="24">
        <f>-I6*Assumptions!$B$16</f>
        <v/>
      </c>
      <c r="J21" s="24">
        <f>-J6*Assumptions!$B$16</f>
        <v/>
      </c>
      <c r="K21" s="24">
        <f>-K6*Assumptions!$B$16</f>
        <v/>
      </c>
      <c r="L21" s="24">
        <f>-L6*Assumptions!$B$16</f>
        <v/>
      </c>
    </row>
    <row r="22">
      <c r="A22" s="7" t="inlineStr">
        <is>
          <t>add working capital</t>
        </is>
      </c>
      <c r="C22" s="23">
        <f>-0.35*(C6-B6)</f>
        <v/>
      </c>
      <c r="D22" s="23">
        <f>-0.35*(D6-C6)</f>
        <v/>
      </c>
      <c r="E22" s="23">
        <f>-0.35*(E6-D6)</f>
        <v/>
      </c>
      <c r="F22" s="23">
        <f>-0.35*(F6-E6)</f>
        <v/>
      </c>
      <c r="G22" s="23">
        <f>-0.35*(G6-F6)</f>
        <v/>
      </c>
      <c r="H22" s="23">
        <f>-0.35*(H6-G6)</f>
        <v/>
      </c>
      <c r="I22" s="23">
        <f>-0.35*(I6-H6)</f>
        <v/>
      </c>
      <c r="J22" s="23">
        <f>-0.35*(J6-I6)</f>
        <v/>
      </c>
      <c r="K22" s="23">
        <f>-0.35*(K6-J6)</f>
        <v/>
      </c>
      <c r="L22" s="23">
        <f>-0.35*(L6-K6)</f>
        <v/>
      </c>
    </row>
    <row r="23">
      <c r="A23" s="2" t="inlineStr">
        <is>
          <t>OWNER FREE CASH FLOW</t>
        </is>
      </c>
      <c r="C23" s="25">
        <f>C17+C18+C19+C20+C21+C22</f>
        <v/>
      </c>
      <c r="D23" s="25">
        <f>D17+D18+D19+D20+D21+D22</f>
        <v/>
      </c>
      <c r="E23" s="25">
        <f>E17+E18+E19+E20+E21+E22</f>
        <v/>
      </c>
      <c r="F23" s="25">
        <f>F17+F18+F19+F20+F21+F22</f>
        <v/>
      </c>
      <c r="G23" s="25">
        <f>G17+G18+G19+G20+G21+G22</f>
        <v/>
      </c>
      <c r="H23" s="25">
        <f>H17+H18+H19+H20+H21+H22</f>
        <v/>
      </c>
      <c r="I23" s="25">
        <f>I17+I18+I19+I20+I21+I22</f>
        <v/>
      </c>
      <c r="J23" s="25">
        <f>J17+J18+J19+J20+J21+J22</f>
        <v/>
      </c>
      <c r="K23" s="25">
        <f>K17+K18+K19+K20+K21+K22</f>
        <v/>
      </c>
      <c r="L23" s="25">
        <f>L17+L18+L19+L20+L21+L22</f>
        <v/>
      </c>
    </row>
    <row r="24">
      <c r="A24" s="7" t="inlineStr">
        <is>
          <t>Discount factor</t>
        </is>
      </c>
      <c r="C24" s="26">
        <f>1/(1+Assumptions!$B$4)^C4</f>
        <v/>
      </c>
      <c r="D24" s="26">
        <f>1/(1+Assumptions!$B$4)^D4</f>
        <v/>
      </c>
      <c r="E24" s="26">
        <f>1/(1+Assumptions!$B$4)^E4</f>
        <v/>
      </c>
      <c r="F24" s="26">
        <f>1/(1+Assumptions!$B$4)^F4</f>
        <v/>
      </c>
      <c r="G24" s="26">
        <f>1/(1+Assumptions!$B$4)^G4</f>
        <v/>
      </c>
      <c r="H24" s="26">
        <f>1/(1+Assumptions!$B$4)^H4</f>
        <v/>
      </c>
      <c r="I24" s="26">
        <f>1/(1+Assumptions!$B$4)^I4</f>
        <v/>
      </c>
      <c r="J24" s="26">
        <f>1/(1+Assumptions!$B$4)^J4</f>
        <v/>
      </c>
      <c r="K24" s="26">
        <f>1/(1+Assumptions!$B$4)^K4</f>
        <v/>
      </c>
      <c r="L24" s="26">
        <f>1/(1+Assumptions!$B$4)^L4</f>
        <v/>
      </c>
    </row>
    <row r="25">
      <c r="A25" s="7" t="inlineStr">
        <is>
          <t>PV of FCF</t>
        </is>
      </c>
      <c r="C25" s="23">
        <f>C23*C24</f>
        <v/>
      </c>
      <c r="D25" s="23">
        <f>D23*D24</f>
        <v/>
      </c>
      <c r="E25" s="23">
        <f>E23*E24</f>
        <v/>
      </c>
      <c r="F25" s="23">
        <f>F23*F24</f>
        <v/>
      </c>
      <c r="G25" s="23">
        <f>G23*G24</f>
        <v/>
      </c>
      <c r="H25" s="23">
        <f>H23*H24</f>
        <v/>
      </c>
      <c r="I25" s="23">
        <f>I23*I24</f>
        <v/>
      </c>
      <c r="J25" s="23">
        <f>J23*J24</f>
        <v/>
      </c>
      <c r="K25" s="23">
        <f>K23*K24</f>
        <v/>
      </c>
      <c r="L25" s="23">
        <f>L23*L24</f>
        <v/>
      </c>
    </row>
    <row r="27">
      <c r="A27" s="7" t="inlineStr">
        <is>
          <t>Memo: owner FCF margin</t>
        </is>
      </c>
      <c r="C27" s="27">
        <f>C23/C6</f>
        <v/>
      </c>
      <c r="D27" s="27">
        <f>D23/D6</f>
        <v/>
      </c>
      <c r="E27" s="27">
        <f>E23/E6</f>
        <v/>
      </c>
      <c r="F27" s="27">
        <f>F23/F6</f>
        <v/>
      </c>
      <c r="G27" s="27">
        <f>G23/G6</f>
        <v/>
      </c>
      <c r="H27" s="27">
        <f>H23/H6</f>
        <v/>
      </c>
      <c r="I27" s="27">
        <f>I23/I6</f>
        <v/>
      </c>
      <c r="J27" s="27">
        <f>J23/J6</f>
        <v/>
      </c>
      <c r="K27" s="27">
        <f>K23/K6</f>
        <v/>
      </c>
      <c r="L27" s="27">
        <f>L23/L6</f>
        <v/>
      </c>
    </row>
    <row r="28">
      <c r="A28" s="7" t="inlineStr">
        <is>
          <t>PP&amp;E capex % of revenue (driver)</t>
        </is>
      </c>
      <c r="C28" s="14" t="n">
        <v>0.015</v>
      </c>
      <c r="D28" s="14" t="n">
        <v>0.015</v>
      </c>
      <c r="E28" s="14" t="n">
        <v>0.015</v>
      </c>
      <c r="F28" s="14" t="n">
        <v>0.015</v>
      </c>
      <c r="G28" s="14" t="n">
        <v>0.015</v>
      </c>
      <c r="H28" s="14" t="n">
        <v>0.015</v>
      </c>
      <c r="I28" s="14" t="n">
        <v>0.015</v>
      </c>
      <c r="J28" s="14" t="n">
        <v>0.015</v>
      </c>
      <c r="K28" s="14" t="n">
        <v>0.015</v>
      </c>
      <c r="L28" s="14" t="n">
        <v>0.015</v>
      </c>
    </row>
    <row r="29">
      <c r="A29" s="7" t="inlineStr">
        <is>
          <t>Product-rights replenishment % of revenue (driver)</t>
        </is>
      </c>
      <c r="C29" s="14" t="n">
        <v>0.07000000000000001</v>
      </c>
      <c r="D29" s="14" t="n">
        <v>0.07000000000000001</v>
      </c>
      <c r="E29" s="14" t="n">
        <v>0.07000000000000001</v>
      </c>
      <c r="F29" s="14" t="n">
        <v>0.07000000000000001</v>
      </c>
      <c r="G29" s="14" t="n">
        <v>0.07000000000000001</v>
      </c>
      <c r="H29" s="14" t="n">
        <v>0.07000000000000001</v>
      </c>
      <c r="I29" s="14" t="n">
        <v>0.07000000000000001</v>
      </c>
      <c r="J29" s="14" t="n">
        <v>0.07000000000000001</v>
      </c>
      <c r="K29" s="14" t="n">
        <v>0.07000000000000001</v>
      </c>
      <c r="L29" s="14" t="n">
        <v>0.07000000000000001</v>
      </c>
    </row>
    <row r="30">
      <c r="A30" s="7" t="inlineStr">
        <is>
          <t>Sum of PV of FCF</t>
        </is>
      </c>
      <c r="B30" s="23">
        <f>SUM(C25:L25)</f>
        <v/>
      </c>
    </row>
    <row r="31">
      <c r="A31" s="7" t="inlineStr">
        <is>
          <t>Terminal growth</t>
        </is>
      </c>
      <c r="B31" s="28">
        <f>Assumptions!$B$25</f>
        <v/>
      </c>
    </row>
    <row r="32">
      <c r="A32" s="7" t="inlineStr">
        <is>
          <t>Terminal-year FCF grown</t>
        </is>
      </c>
      <c r="B32" s="23">
        <f>L23*(1+B31)</f>
        <v/>
      </c>
    </row>
    <row r="33">
      <c r="A33" s="7" t="inlineStr">
        <is>
          <t>Gordon terminal value</t>
        </is>
      </c>
      <c r="B33" s="23">
        <f>B32/(Assumptions!$B$4-B31)</f>
        <v/>
      </c>
    </row>
    <row r="34">
      <c r="A34" s="7" t="inlineStr">
        <is>
          <t>Cap terminal value (18x)</t>
        </is>
      </c>
      <c r="B34" s="24">
        <f>Assumptions!$B$20*L23</f>
        <v/>
      </c>
    </row>
    <row r="35">
      <c r="A35" s="7" t="inlineStr">
        <is>
          <t>Terminal value used</t>
        </is>
      </c>
      <c r="B35" s="23">
        <f>MAX(0,MIN(B33,B34))</f>
        <v/>
      </c>
    </row>
    <row r="36">
      <c r="A36" s="7" t="inlineStr">
        <is>
          <t>Implied exit multiple</t>
        </is>
      </c>
      <c r="B36" s="29">
        <f>B35/L23</f>
        <v/>
      </c>
    </row>
    <row r="37">
      <c r="A37" s="7" t="inlineStr">
        <is>
          <t>PV of terminal value</t>
        </is>
      </c>
      <c r="B37" s="23">
        <f>B35*L24</f>
        <v/>
      </c>
    </row>
    <row r="38">
      <c r="A38" s="7" t="inlineStr">
        <is>
          <t>Enterprise value</t>
        </is>
      </c>
      <c r="B38" s="23">
        <f>B30+B37</f>
        <v/>
      </c>
    </row>
    <row r="39">
      <c r="A39" s="7" t="inlineStr">
        <is>
          <t>less net debt</t>
        </is>
      </c>
      <c r="B39" s="24">
        <f>-Assumptions!$B$17</f>
        <v/>
      </c>
    </row>
    <row r="40">
      <c r="A40" s="7" t="inlineStr">
        <is>
          <t>Equity value</t>
        </is>
      </c>
      <c r="B40" s="23">
        <f>B38+B39</f>
        <v/>
      </c>
    </row>
    <row r="41">
      <c r="A41" s="7" t="inlineStr">
        <is>
          <t>Diluted shares (m)</t>
        </is>
      </c>
      <c r="B41" s="24">
        <f>Assumptions!$B$18</f>
        <v/>
      </c>
    </row>
    <row r="42">
      <c r="A42" s="2" t="inlineStr">
        <is>
          <t>STANDALONE VALUE PER SHARE</t>
        </is>
      </c>
      <c r="B42" s="30">
        <f>B40/B41</f>
        <v/>
      </c>
    </row>
    <row r="43">
      <c r="A43" s="7" t="inlineStr">
        <is>
          <t>vs current price</t>
        </is>
      </c>
      <c r="B43" s="31">
        <f>B42/Assumptions!$B$19-1</f>
        <v/>
      </c>
    </row>
    <row r="45">
      <c r="A45" s="2" t="inlineStr">
        <is>
          <t>STREET BASIS MEMO (SBC added back as non-cash)</t>
        </is>
      </c>
    </row>
    <row r="46">
      <c r="A46" t="inlineStr">
        <is>
          <t>PV of explicit-period SBC, after tax</t>
        </is>
      </c>
      <c r="B46" s="32">
        <f>SUMPRODUCT(C10:L10*(1-C16:L16),C24:L24)</f>
        <v/>
      </c>
    </row>
    <row r="47">
      <c r="A47" t="inlineStr">
        <is>
          <t>PV of terminal SBC</t>
        </is>
      </c>
      <c r="B47" s="32">
        <f>(L10*(1-L16)*(1+B31)/(Assumptions!$B$4-B31))*L24</f>
        <v/>
      </c>
    </row>
    <row r="48">
      <c r="A48" s="2" t="inlineStr">
        <is>
          <t>Street value per share</t>
        </is>
      </c>
      <c r="B48" s="33">
        <f>(B40+B46+B47)/B41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STANDALONE OWNER-FCF DCF — BASE (EUR m)</t>
        </is>
      </c>
    </row>
    <row r="2">
      <c r="A2" s="6" t="inlineStr">
        <is>
          <t>This is the NO-DEAL anchor, not the headline value. See Valuation.</t>
        </is>
      </c>
    </row>
    <row r="3">
      <c r="A3" s="2" t="inlineStr">
        <is>
          <t>Year</t>
        </is>
      </c>
      <c r="B3" s="2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Year index</t>
        </is>
      </c>
      <c r="B4" s="7" t="n">
        <v>0</v>
      </c>
      <c r="C4" s="7" t="n">
        <v>1</v>
      </c>
      <c r="D4" s="7" t="n">
        <v>2</v>
      </c>
      <c r="E4" s="7" t="n">
        <v>3</v>
      </c>
      <c r="F4" s="7" t="n">
        <v>4</v>
      </c>
      <c r="G4" s="7" t="n">
        <v>5</v>
      </c>
      <c r="H4" s="7" t="n">
        <v>6</v>
      </c>
      <c r="I4" s="7" t="n">
        <v>7</v>
      </c>
      <c r="J4" s="7" t="n">
        <v>8</v>
      </c>
      <c r="K4" s="7" t="n">
        <v>9</v>
      </c>
      <c r="L4" s="7" t="n">
        <v>10</v>
      </c>
    </row>
    <row r="5">
      <c r="A5" s="7" t="inlineStr">
        <is>
          <t>Revenue growth YoY</t>
        </is>
      </c>
      <c r="C5" s="21" t="n">
        <v>0.05599999999999999</v>
      </c>
      <c r="D5" s="21" t="n">
        <v>0.07000000000000001</v>
      </c>
      <c r="E5" s="21" t="n">
        <v>0.05</v>
      </c>
      <c r="F5" s="21" t="n">
        <v>0.042</v>
      </c>
      <c r="G5" s="21" t="n">
        <v>0.038</v>
      </c>
      <c r="H5" s="21" t="n">
        <v>0.034</v>
      </c>
      <c r="I5" s="21" t="n">
        <v>0.03</v>
      </c>
      <c r="J5" s="21" t="n">
        <v>0.027</v>
      </c>
      <c r="K5" s="21" t="n">
        <v>0.024</v>
      </c>
      <c r="L5" s="21" t="n">
        <v>0.022</v>
      </c>
    </row>
    <row r="6">
      <c r="A6" s="7" t="inlineStr">
        <is>
          <t>Revenue</t>
        </is>
      </c>
      <c r="B6" s="22">
        <f>Assumptions!$B$21</f>
        <v/>
      </c>
      <c r="C6" s="23">
        <f>B6*(1+C5)</f>
        <v/>
      </c>
      <c r="D6" s="23">
        <f>C6*(1+D5)</f>
        <v/>
      </c>
      <c r="E6" s="23">
        <f>D6*(1+E5)</f>
        <v/>
      </c>
      <c r="F6" s="23">
        <f>E6*(1+F5)</f>
        <v/>
      </c>
      <c r="G6" s="23">
        <f>F6*(1+G5)</f>
        <v/>
      </c>
      <c r="H6" s="23">
        <f>G6*(1+H5)</f>
        <v/>
      </c>
      <c r="I6" s="23">
        <f>H6*(1+I5)</f>
        <v/>
      </c>
      <c r="J6" s="23">
        <f>I6*(1+J5)</f>
        <v/>
      </c>
      <c r="K6" s="23">
        <f>J6*(1+K5)</f>
        <v/>
      </c>
      <c r="L6" s="23">
        <f>K6*(1+L5)</f>
        <v/>
      </c>
    </row>
    <row r="7">
      <c r="A7" s="7" t="inlineStr">
        <is>
          <t>EBITDA margin</t>
        </is>
      </c>
      <c r="C7" s="21" t="n">
        <v>0.366</v>
      </c>
      <c r="D7" s="21" t="n">
        <v>0.37</v>
      </c>
      <c r="E7" s="21" t="n">
        <v>0.373</v>
      </c>
      <c r="F7" s="21" t="n">
        <v>0.375</v>
      </c>
      <c r="G7" s="21" t="n">
        <v>0.376</v>
      </c>
      <c r="H7" s="21" t="n">
        <v>0.376</v>
      </c>
      <c r="I7" s="21" t="n">
        <v>0.376</v>
      </c>
      <c r="J7" s="21" t="n">
        <v>0.375</v>
      </c>
      <c r="K7" s="21" t="n">
        <v>0.374</v>
      </c>
      <c r="L7" s="21" t="n">
        <v>0.373</v>
      </c>
    </row>
    <row r="8">
      <c r="A8" s="7" t="inlineStr">
        <is>
          <t>Adjusted EBITDA (net of SBC)</t>
        </is>
      </c>
      <c r="C8" s="23">
        <f>C6*C7</f>
        <v/>
      </c>
      <c r="D8" s="23">
        <f>D6*D7</f>
        <v/>
      </c>
      <c r="E8" s="23">
        <f>E6*E7</f>
        <v/>
      </c>
      <c r="F8" s="23">
        <f>F6*F7</f>
        <v/>
      </c>
      <c r="G8" s="23">
        <f>G6*G7</f>
        <v/>
      </c>
      <c r="H8" s="23">
        <f>H6*H7</f>
        <v/>
      </c>
      <c r="I8" s="23">
        <f>I6*I7</f>
        <v/>
      </c>
      <c r="J8" s="23">
        <f>J6*J7</f>
        <v/>
      </c>
      <c r="K8" s="23">
        <f>K6*K7</f>
        <v/>
      </c>
      <c r="L8" s="23">
        <f>L6*L7</f>
        <v/>
      </c>
    </row>
    <row r="9">
      <c r="A9" s="7" t="inlineStr">
        <is>
          <t>SBC % of revenue (memo — inside EBITDA)</t>
        </is>
      </c>
      <c r="C9" s="14" t="n">
        <v>0.0075</v>
      </c>
      <c r="D9" s="14" t="n">
        <v>0.0072</v>
      </c>
      <c r="E9" s="14" t="n">
        <v>0.006999999999999999</v>
      </c>
      <c r="F9" s="14" t="n">
        <v>0.0068</v>
      </c>
      <c r="G9" s="14" t="n">
        <v>0.0066</v>
      </c>
      <c r="H9" s="14" t="n">
        <v>0.0064</v>
      </c>
      <c r="I9" s="14" t="n">
        <v>0.0062</v>
      </c>
      <c r="J9" s="14" t="n">
        <v>0.006</v>
      </c>
      <c r="K9" s="14" t="n">
        <v>0.006</v>
      </c>
      <c r="L9" s="14" t="n">
        <v>0.006</v>
      </c>
    </row>
    <row r="10">
      <c r="A10" s="7" t="inlineStr">
        <is>
          <t>SBC (memo, not deducted again)</t>
        </is>
      </c>
      <c r="C10" s="23">
        <f>C6*C9</f>
        <v/>
      </c>
      <c r="D10" s="23">
        <f>D6*D9</f>
        <v/>
      </c>
      <c r="E10" s="23">
        <f>E6*E9</f>
        <v/>
      </c>
      <c r="F10" s="23">
        <f>F6*F9</f>
        <v/>
      </c>
      <c r="G10" s="23">
        <f>G6*G9</f>
        <v/>
      </c>
      <c r="H10" s="23">
        <f>H6*H9</f>
        <v/>
      </c>
      <c r="I10" s="23">
        <f>I6*I9</f>
        <v/>
      </c>
      <c r="J10" s="23">
        <f>J6*J9</f>
        <v/>
      </c>
      <c r="K10" s="23">
        <f>K6*K9</f>
        <v/>
      </c>
      <c r="L10" s="23">
        <f>L6*L9</f>
        <v/>
      </c>
    </row>
    <row r="11">
      <c r="A11" s="7" t="inlineStr">
        <is>
          <t>D&amp;A % of revenue</t>
        </is>
      </c>
      <c r="C11" s="21" t="n">
        <v>0.08199999999999999</v>
      </c>
      <c r="D11" s="21" t="n">
        <v>0.081</v>
      </c>
      <c r="E11" s="21" t="n">
        <v>0.08</v>
      </c>
      <c r="F11" s="21" t="n">
        <v>0.079</v>
      </c>
      <c r="G11" s="21" t="n">
        <v>0.078</v>
      </c>
      <c r="H11" s="21" t="n">
        <v>0.077</v>
      </c>
      <c r="I11" s="21" t="n">
        <v>0.076</v>
      </c>
      <c r="J11" s="21" t="n">
        <v>0.075</v>
      </c>
      <c r="K11" s="21" t="n">
        <v>0.075</v>
      </c>
      <c r="L11" s="21" t="n">
        <v>0.075</v>
      </c>
    </row>
    <row r="12">
      <c r="A12" s="7" t="inlineStr">
        <is>
          <t>D&amp;A</t>
        </is>
      </c>
      <c r="C12" s="23">
        <f>-C6*C11</f>
        <v/>
      </c>
      <c r="D12" s="23">
        <f>-D6*D11</f>
        <v/>
      </c>
      <c r="E12" s="23">
        <f>-E6*E11</f>
        <v/>
      </c>
      <c r="F12" s="23">
        <f>-F6*F11</f>
        <v/>
      </c>
      <c r="G12" s="23">
        <f>-G6*G11</f>
        <v/>
      </c>
      <c r="H12" s="23">
        <f>-H6*H11</f>
        <v/>
      </c>
      <c r="I12" s="23">
        <f>-I6*I11</f>
        <v/>
      </c>
      <c r="J12" s="23">
        <f>-J6*J11</f>
        <v/>
      </c>
      <c r="K12" s="23">
        <f>-K6*K11</f>
        <v/>
      </c>
      <c r="L12" s="23">
        <f>-L6*L11</f>
        <v/>
      </c>
    </row>
    <row r="13">
      <c r="A13" s="7" t="inlineStr">
        <is>
          <t>Non-recurring % of revenue</t>
        </is>
      </c>
      <c r="C13" s="21" t="n">
        <v>0.015</v>
      </c>
      <c r="D13" s="21" t="n">
        <v>0.015</v>
      </c>
      <c r="E13" s="21" t="n">
        <v>0.015</v>
      </c>
      <c r="F13" s="21" t="n">
        <v>0.015</v>
      </c>
      <c r="G13" s="21" t="n">
        <v>0.015</v>
      </c>
      <c r="H13" s="21" t="n">
        <v>0.015</v>
      </c>
      <c r="I13" s="21" t="n">
        <v>0.015</v>
      </c>
      <c r="J13" s="21" t="n">
        <v>0.015</v>
      </c>
      <c r="K13" s="21" t="n">
        <v>0.015</v>
      </c>
      <c r="L13" s="21" t="n">
        <v>0.015</v>
      </c>
    </row>
    <row r="14">
      <c r="A14" s="7" t="inlineStr">
        <is>
          <t>Non-recurring charges</t>
        </is>
      </c>
      <c r="C14" s="23">
        <f>-C6*C13</f>
        <v/>
      </c>
      <c r="D14" s="23">
        <f>-D6*D13</f>
        <v/>
      </c>
      <c r="E14" s="23">
        <f>-E6*E13</f>
        <v/>
      </c>
      <c r="F14" s="23">
        <f>-F6*F13</f>
        <v/>
      </c>
      <c r="G14" s="23">
        <f>-G6*G13</f>
        <v/>
      </c>
      <c r="H14" s="23">
        <f>-H6*H13</f>
        <v/>
      </c>
      <c r="I14" s="23">
        <f>-I6*I13</f>
        <v/>
      </c>
      <c r="J14" s="23">
        <f>-J6*J13</f>
        <v/>
      </c>
      <c r="K14" s="23">
        <f>-K6*K13</f>
        <v/>
      </c>
      <c r="L14" s="23">
        <f>-L6*L13</f>
        <v/>
      </c>
    </row>
    <row r="15">
      <c r="A15" s="7" t="inlineStr">
        <is>
          <t>EBIT after D&amp;A and non-recurring</t>
        </is>
      </c>
      <c r="C15" s="23">
        <f>C8+C12+C14</f>
        <v/>
      </c>
      <c r="D15" s="23">
        <f>D8+D12+D14</f>
        <v/>
      </c>
      <c r="E15" s="23">
        <f>E8+E12+E14</f>
        <v/>
      </c>
      <c r="F15" s="23">
        <f>F8+F12+F14</f>
        <v/>
      </c>
      <c r="G15" s="23">
        <f>G8+G12+G14</f>
        <v/>
      </c>
      <c r="H15" s="23">
        <f>H8+H12+H14</f>
        <v/>
      </c>
      <c r="I15" s="23">
        <f>I8+I12+I14</f>
        <v/>
      </c>
      <c r="J15" s="23">
        <f>J8+J12+J14</f>
        <v/>
      </c>
      <c r="K15" s="23">
        <f>K8+K12+K14</f>
        <v/>
      </c>
      <c r="L15" s="23">
        <f>L8+L12+L14</f>
        <v/>
      </c>
    </row>
    <row r="16">
      <c r="A16" s="7" t="inlineStr">
        <is>
          <t>Cash tax rate</t>
        </is>
      </c>
      <c r="C16" s="21" t="n">
        <v>0.24</v>
      </c>
      <c r="D16" s="21" t="n">
        <v>0.24</v>
      </c>
      <c r="E16" s="21" t="n">
        <v>0.24</v>
      </c>
      <c r="F16" s="21" t="n">
        <v>0.24</v>
      </c>
      <c r="G16" s="21" t="n">
        <v>0.24</v>
      </c>
      <c r="H16" s="21" t="n">
        <v>0.24</v>
      </c>
      <c r="I16" s="21" t="n">
        <v>0.24</v>
      </c>
      <c r="J16" s="21" t="n">
        <v>0.24</v>
      </c>
      <c r="K16" s="21" t="n">
        <v>0.24</v>
      </c>
      <c r="L16" s="21" t="n">
        <v>0.24</v>
      </c>
    </row>
    <row r="17">
      <c r="A17" s="7" t="inlineStr">
        <is>
          <t>NOPAT</t>
        </is>
      </c>
      <c r="C17" s="23">
        <f>C15*(1-C16)</f>
        <v/>
      </c>
      <c r="D17" s="23">
        <f>D15*(1-D16)</f>
        <v/>
      </c>
      <c r="E17" s="23">
        <f>E15*(1-E16)</f>
        <v/>
      </c>
      <c r="F17" s="23">
        <f>F15*(1-F16)</f>
        <v/>
      </c>
      <c r="G17" s="23">
        <f>G15*(1-G16)</f>
        <v/>
      </c>
      <c r="H17" s="23">
        <f>H15*(1-H16)</f>
        <v/>
      </c>
      <c r="I17" s="23">
        <f>I15*(1-I16)</f>
        <v/>
      </c>
      <c r="J17" s="23">
        <f>J15*(1-J16)</f>
        <v/>
      </c>
      <c r="K17" s="23">
        <f>K15*(1-K16)</f>
        <v/>
      </c>
      <c r="L17" s="23">
        <f>L15*(1-L16)</f>
        <v/>
      </c>
    </row>
    <row r="18">
      <c r="A18" s="7" t="inlineStr">
        <is>
          <t>add back D&amp;A</t>
        </is>
      </c>
      <c r="C18" s="23">
        <f>-C12</f>
        <v/>
      </c>
      <c r="D18" s="23">
        <f>-D12</f>
        <v/>
      </c>
      <c r="E18" s="23">
        <f>-E12</f>
        <v/>
      </c>
      <c r="F18" s="23">
        <f>-F12</f>
        <v/>
      </c>
      <c r="G18" s="23">
        <f>-G12</f>
        <v/>
      </c>
      <c r="H18" s="23">
        <f>-H12</f>
        <v/>
      </c>
      <c r="I18" s="23">
        <f>-I12</f>
        <v/>
      </c>
      <c r="J18" s="23">
        <f>-J12</f>
        <v/>
      </c>
      <c r="K18" s="23">
        <f>-K12</f>
        <v/>
      </c>
      <c r="L18" s="23">
        <f>-L12</f>
        <v/>
      </c>
    </row>
    <row r="19">
      <c r="A19" s="7" t="inlineStr">
        <is>
          <t>less PP&amp;E capex</t>
        </is>
      </c>
      <c r="C19" s="23">
        <f>-C6*C28</f>
        <v/>
      </c>
      <c r="D19" s="23">
        <f>-D6*D28</f>
        <v/>
      </c>
      <c r="E19" s="23">
        <f>-E6*E28</f>
        <v/>
      </c>
      <c r="F19" s="23">
        <f>-F6*F28</f>
        <v/>
      </c>
      <c r="G19" s="23">
        <f>-G6*G28</f>
        <v/>
      </c>
      <c r="H19" s="23">
        <f>-H6*H28</f>
        <v/>
      </c>
      <c r="I19" s="23">
        <f>-I6*I28</f>
        <v/>
      </c>
      <c r="J19" s="23">
        <f>-J6*J28</f>
        <v/>
      </c>
      <c r="K19" s="23">
        <f>-K6*K28</f>
        <v/>
      </c>
      <c r="L19" s="23">
        <f>-L6*L28</f>
        <v/>
      </c>
    </row>
    <row r="20">
      <c r="A20" s="7" t="inlineStr">
        <is>
          <t>less product-rights replenishment</t>
        </is>
      </c>
      <c r="C20" s="23">
        <f>-C6*C29</f>
        <v/>
      </c>
      <c r="D20" s="23">
        <f>-D6*D29</f>
        <v/>
      </c>
      <c r="E20" s="23">
        <f>-E6*E29</f>
        <v/>
      </c>
      <c r="F20" s="23">
        <f>-F6*F29</f>
        <v/>
      </c>
      <c r="G20" s="23">
        <f>-G6*G29</f>
        <v/>
      </c>
      <c r="H20" s="23">
        <f>-H6*H29</f>
        <v/>
      </c>
      <c r="I20" s="23">
        <f>-I6*I29</f>
        <v/>
      </c>
      <c r="J20" s="23">
        <f>-J6*J29</f>
        <v/>
      </c>
      <c r="K20" s="23">
        <f>-K6*K29</f>
        <v/>
      </c>
      <c r="L20" s="23">
        <f>-L6*L29</f>
        <v/>
      </c>
    </row>
    <row r="21">
      <c r="A21" s="7" t="inlineStr">
        <is>
          <t>less lease principal</t>
        </is>
      </c>
      <c r="C21" s="24">
        <f>-C6*Assumptions!$B$16</f>
        <v/>
      </c>
      <c r="D21" s="24">
        <f>-D6*Assumptions!$B$16</f>
        <v/>
      </c>
      <c r="E21" s="24">
        <f>-E6*Assumptions!$B$16</f>
        <v/>
      </c>
      <c r="F21" s="24">
        <f>-F6*Assumptions!$B$16</f>
        <v/>
      </c>
      <c r="G21" s="24">
        <f>-G6*Assumptions!$B$16</f>
        <v/>
      </c>
      <c r="H21" s="24">
        <f>-H6*Assumptions!$B$16</f>
        <v/>
      </c>
      <c r="I21" s="24">
        <f>-I6*Assumptions!$B$16</f>
        <v/>
      </c>
      <c r="J21" s="24">
        <f>-J6*Assumptions!$B$16</f>
        <v/>
      </c>
      <c r="K21" s="24">
        <f>-K6*Assumptions!$B$16</f>
        <v/>
      </c>
      <c r="L21" s="24">
        <f>-L6*Assumptions!$B$16</f>
        <v/>
      </c>
    </row>
    <row r="22">
      <c r="A22" s="7" t="inlineStr">
        <is>
          <t>add working capital</t>
        </is>
      </c>
      <c r="C22" s="23">
        <f>-0.35*(C6-B6)</f>
        <v/>
      </c>
      <c r="D22" s="23">
        <f>-0.35*(D6-C6)</f>
        <v/>
      </c>
      <c r="E22" s="23">
        <f>-0.35*(E6-D6)</f>
        <v/>
      </c>
      <c r="F22" s="23">
        <f>-0.35*(F6-E6)</f>
        <v/>
      </c>
      <c r="G22" s="23">
        <f>-0.35*(G6-F6)</f>
        <v/>
      </c>
      <c r="H22" s="23">
        <f>-0.35*(H6-G6)</f>
        <v/>
      </c>
      <c r="I22" s="23">
        <f>-0.35*(I6-H6)</f>
        <v/>
      </c>
      <c r="J22" s="23">
        <f>-0.35*(J6-I6)</f>
        <v/>
      </c>
      <c r="K22" s="23">
        <f>-0.35*(K6-J6)</f>
        <v/>
      </c>
      <c r="L22" s="23">
        <f>-0.35*(L6-K6)</f>
        <v/>
      </c>
    </row>
    <row r="23">
      <c r="A23" s="2" t="inlineStr">
        <is>
          <t>OWNER FREE CASH FLOW</t>
        </is>
      </c>
      <c r="C23" s="25">
        <f>C17+C18+C19+C20+C21+C22</f>
        <v/>
      </c>
      <c r="D23" s="25">
        <f>D17+D18+D19+D20+D21+D22</f>
        <v/>
      </c>
      <c r="E23" s="25">
        <f>E17+E18+E19+E20+E21+E22</f>
        <v/>
      </c>
      <c r="F23" s="25">
        <f>F17+F18+F19+F20+F21+F22</f>
        <v/>
      </c>
      <c r="G23" s="25">
        <f>G17+G18+G19+G20+G21+G22</f>
        <v/>
      </c>
      <c r="H23" s="25">
        <f>H17+H18+H19+H20+H21+H22</f>
        <v/>
      </c>
      <c r="I23" s="25">
        <f>I17+I18+I19+I20+I21+I22</f>
        <v/>
      </c>
      <c r="J23" s="25">
        <f>J17+J18+J19+J20+J21+J22</f>
        <v/>
      </c>
      <c r="K23" s="25">
        <f>K17+K18+K19+K20+K21+K22</f>
        <v/>
      </c>
      <c r="L23" s="25">
        <f>L17+L18+L19+L20+L21+L22</f>
        <v/>
      </c>
    </row>
    <row r="24">
      <c r="A24" s="7" t="inlineStr">
        <is>
          <t>Discount factor</t>
        </is>
      </c>
      <c r="C24" s="26">
        <f>1/(1+Assumptions!$B$4)^C4</f>
        <v/>
      </c>
      <c r="D24" s="26">
        <f>1/(1+Assumptions!$B$4)^D4</f>
        <v/>
      </c>
      <c r="E24" s="26">
        <f>1/(1+Assumptions!$B$4)^E4</f>
        <v/>
      </c>
      <c r="F24" s="26">
        <f>1/(1+Assumptions!$B$4)^F4</f>
        <v/>
      </c>
      <c r="G24" s="26">
        <f>1/(1+Assumptions!$B$4)^G4</f>
        <v/>
      </c>
      <c r="H24" s="26">
        <f>1/(1+Assumptions!$B$4)^H4</f>
        <v/>
      </c>
      <c r="I24" s="26">
        <f>1/(1+Assumptions!$B$4)^I4</f>
        <v/>
      </c>
      <c r="J24" s="26">
        <f>1/(1+Assumptions!$B$4)^J4</f>
        <v/>
      </c>
      <c r="K24" s="26">
        <f>1/(1+Assumptions!$B$4)^K4</f>
        <v/>
      </c>
      <c r="L24" s="26">
        <f>1/(1+Assumptions!$B$4)^L4</f>
        <v/>
      </c>
    </row>
    <row r="25">
      <c r="A25" s="7" t="inlineStr">
        <is>
          <t>PV of FCF</t>
        </is>
      </c>
      <c r="C25" s="23">
        <f>C23*C24</f>
        <v/>
      </c>
      <c r="D25" s="23">
        <f>D23*D24</f>
        <v/>
      </c>
      <c r="E25" s="23">
        <f>E23*E24</f>
        <v/>
      </c>
      <c r="F25" s="23">
        <f>F23*F24</f>
        <v/>
      </c>
      <c r="G25" s="23">
        <f>G23*G24</f>
        <v/>
      </c>
      <c r="H25" s="23">
        <f>H23*H24</f>
        <v/>
      </c>
      <c r="I25" s="23">
        <f>I23*I24</f>
        <v/>
      </c>
      <c r="J25" s="23">
        <f>J23*J24</f>
        <v/>
      </c>
      <c r="K25" s="23">
        <f>K23*K24</f>
        <v/>
      </c>
      <c r="L25" s="23">
        <f>L23*L24</f>
        <v/>
      </c>
    </row>
    <row r="27">
      <c r="A27" s="7" t="inlineStr">
        <is>
          <t>Memo: owner FCF margin</t>
        </is>
      </c>
      <c r="C27" s="27">
        <f>C23/C6</f>
        <v/>
      </c>
      <c r="D27" s="27">
        <f>D23/D6</f>
        <v/>
      </c>
      <c r="E27" s="27">
        <f>E23/E6</f>
        <v/>
      </c>
      <c r="F27" s="27">
        <f>F23/F6</f>
        <v/>
      </c>
      <c r="G27" s="27">
        <f>G23/G6</f>
        <v/>
      </c>
      <c r="H27" s="27">
        <f>H23/H6</f>
        <v/>
      </c>
      <c r="I27" s="27">
        <f>I23/I6</f>
        <v/>
      </c>
      <c r="J27" s="27">
        <f>J23/J6</f>
        <v/>
      </c>
      <c r="K27" s="27">
        <f>K23/K6</f>
        <v/>
      </c>
      <c r="L27" s="27">
        <f>L23/L6</f>
        <v/>
      </c>
    </row>
    <row r="28">
      <c r="A28" s="7" t="inlineStr">
        <is>
          <t>PP&amp;E capex % of revenue (driver)</t>
        </is>
      </c>
      <c r="C28" s="14" t="n">
        <v>0.015</v>
      </c>
      <c r="D28" s="14" t="n">
        <v>0.015</v>
      </c>
      <c r="E28" s="14" t="n">
        <v>0.015</v>
      </c>
      <c r="F28" s="14" t="n">
        <v>0.015</v>
      </c>
      <c r="G28" s="14" t="n">
        <v>0.015</v>
      </c>
      <c r="H28" s="14" t="n">
        <v>0.015</v>
      </c>
      <c r="I28" s="14" t="n">
        <v>0.015</v>
      </c>
      <c r="J28" s="14" t="n">
        <v>0.015</v>
      </c>
      <c r="K28" s="14" t="n">
        <v>0.015</v>
      </c>
      <c r="L28" s="14" t="n">
        <v>0.015</v>
      </c>
    </row>
    <row r="29">
      <c r="A29" s="7" t="inlineStr">
        <is>
          <t>Product-rights replenishment % of revenue (driver)</t>
        </is>
      </c>
      <c r="C29" s="14" t="n">
        <v>0.065</v>
      </c>
      <c r="D29" s="14" t="n">
        <v>0.065</v>
      </c>
      <c r="E29" s="14" t="n">
        <v>0.065</v>
      </c>
      <c r="F29" s="14" t="n">
        <v>0.065</v>
      </c>
      <c r="G29" s="14" t="n">
        <v>0.065</v>
      </c>
      <c r="H29" s="14" t="n">
        <v>0.065</v>
      </c>
      <c r="I29" s="14" t="n">
        <v>0.065</v>
      </c>
      <c r="J29" s="14" t="n">
        <v>0.065</v>
      </c>
      <c r="K29" s="14" t="n">
        <v>0.065</v>
      </c>
      <c r="L29" s="14" t="n">
        <v>0.065</v>
      </c>
    </row>
    <row r="30">
      <c r="A30" s="7" t="inlineStr">
        <is>
          <t>Sum of PV of FCF</t>
        </is>
      </c>
      <c r="B30" s="23">
        <f>SUM(C25:L25)</f>
        <v/>
      </c>
    </row>
    <row r="31">
      <c r="A31" s="7" t="inlineStr">
        <is>
          <t>Terminal growth</t>
        </is>
      </c>
      <c r="B31" s="28">
        <f>Assumptions!$C$25</f>
        <v/>
      </c>
    </row>
    <row r="32">
      <c r="A32" s="7" t="inlineStr">
        <is>
          <t>Terminal-year FCF grown</t>
        </is>
      </c>
      <c r="B32" s="23">
        <f>L23*(1+B31)</f>
        <v/>
      </c>
    </row>
    <row r="33">
      <c r="A33" s="7" t="inlineStr">
        <is>
          <t>Gordon terminal value</t>
        </is>
      </c>
      <c r="B33" s="23">
        <f>B32/(Assumptions!$B$4-B31)</f>
        <v/>
      </c>
    </row>
    <row r="34">
      <c r="A34" s="7" t="inlineStr">
        <is>
          <t>Cap terminal value (18x)</t>
        </is>
      </c>
      <c r="B34" s="24">
        <f>Assumptions!$B$20*L23</f>
        <v/>
      </c>
    </row>
    <row r="35">
      <c r="A35" s="7" t="inlineStr">
        <is>
          <t>Terminal value used</t>
        </is>
      </c>
      <c r="B35" s="23">
        <f>MAX(0,MIN(B33,B34))</f>
        <v/>
      </c>
    </row>
    <row r="36">
      <c r="A36" s="7" t="inlineStr">
        <is>
          <t>Implied exit multiple</t>
        </is>
      </c>
      <c r="B36" s="29">
        <f>B35/L23</f>
        <v/>
      </c>
    </row>
    <row r="37">
      <c r="A37" s="7" t="inlineStr">
        <is>
          <t>PV of terminal value</t>
        </is>
      </c>
      <c r="B37" s="23">
        <f>B35*L24</f>
        <v/>
      </c>
    </row>
    <row r="38">
      <c r="A38" s="7" t="inlineStr">
        <is>
          <t>Enterprise value</t>
        </is>
      </c>
      <c r="B38" s="23">
        <f>B30+B37</f>
        <v/>
      </c>
    </row>
    <row r="39">
      <c r="A39" s="7" t="inlineStr">
        <is>
          <t>less net debt</t>
        </is>
      </c>
      <c r="B39" s="24">
        <f>-Assumptions!$B$17</f>
        <v/>
      </c>
    </row>
    <row r="40">
      <c r="A40" s="7" t="inlineStr">
        <is>
          <t>Equity value</t>
        </is>
      </c>
      <c r="B40" s="23">
        <f>B38+B39</f>
        <v/>
      </c>
    </row>
    <row r="41">
      <c r="A41" s="7" t="inlineStr">
        <is>
          <t>Diluted shares (m)</t>
        </is>
      </c>
      <c r="B41" s="24">
        <f>Assumptions!$B$18</f>
        <v/>
      </c>
    </row>
    <row r="42">
      <c r="A42" s="2" t="inlineStr">
        <is>
          <t>STANDALONE VALUE PER SHARE</t>
        </is>
      </c>
      <c r="B42" s="30">
        <f>B40/B41</f>
        <v/>
      </c>
    </row>
    <row r="43">
      <c r="A43" s="7" t="inlineStr">
        <is>
          <t>vs current price</t>
        </is>
      </c>
      <c r="B43" s="31">
        <f>B42/Assumptions!$B$19-1</f>
        <v/>
      </c>
    </row>
    <row r="45">
      <c r="A45" s="2" t="inlineStr">
        <is>
          <t>STREET BASIS MEMO (SBC added back as non-cash)</t>
        </is>
      </c>
    </row>
    <row r="46">
      <c r="A46" t="inlineStr">
        <is>
          <t>PV of explicit-period SBC, after tax</t>
        </is>
      </c>
      <c r="B46" s="32">
        <f>SUMPRODUCT(C10:L10*(1-C16:L16),C24:L24)</f>
        <v/>
      </c>
    </row>
    <row r="47">
      <c r="A47" t="inlineStr">
        <is>
          <t>PV of terminal SBC</t>
        </is>
      </c>
      <c r="B47" s="32">
        <f>(L10*(1-L16)*(1+B31)/(Assumptions!$B$4-B31))*L24</f>
        <v/>
      </c>
    </row>
    <row r="48">
      <c r="A48" s="2" t="inlineStr">
        <is>
          <t>Street value per share</t>
        </is>
      </c>
      <c r="B48" s="33">
        <f>(B40+B46+B47)/B41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STANDALONE OWNER-FCF DCF — BULL (EUR m)</t>
        </is>
      </c>
    </row>
    <row r="2">
      <c r="A2" s="6" t="inlineStr">
        <is>
          <t>This is the NO-DEAL anchor, not the headline value. See Valuation.</t>
        </is>
      </c>
    </row>
    <row r="3">
      <c r="A3" s="2" t="inlineStr">
        <is>
          <t>Year</t>
        </is>
      </c>
      <c r="B3" s="2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Year index</t>
        </is>
      </c>
      <c r="B4" s="7" t="n">
        <v>0</v>
      </c>
      <c r="C4" s="7" t="n">
        <v>1</v>
      </c>
      <c r="D4" s="7" t="n">
        <v>2</v>
      </c>
      <c r="E4" s="7" t="n">
        <v>3</v>
      </c>
      <c r="F4" s="7" t="n">
        <v>4</v>
      </c>
      <c r="G4" s="7" t="n">
        <v>5</v>
      </c>
      <c r="H4" s="7" t="n">
        <v>6</v>
      </c>
      <c r="I4" s="7" t="n">
        <v>7</v>
      </c>
      <c r="J4" s="7" t="n">
        <v>8</v>
      </c>
      <c r="K4" s="7" t="n">
        <v>9</v>
      </c>
      <c r="L4" s="7" t="n">
        <v>10</v>
      </c>
    </row>
    <row r="5">
      <c r="A5" s="7" t="inlineStr">
        <is>
          <t>Revenue growth YoY</t>
        </is>
      </c>
      <c r="C5" s="21" t="n">
        <v>0.06900000000000001</v>
      </c>
      <c r="D5" s="21" t="n">
        <v>0.095</v>
      </c>
      <c r="E5" s="21" t="n">
        <v>0.075</v>
      </c>
      <c r="F5" s="21" t="n">
        <v>0.06</v>
      </c>
      <c r="G5" s="21" t="n">
        <v>0.05</v>
      </c>
      <c r="H5" s="21" t="n">
        <v>0.045</v>
      </c>
      <c r="I5" s="21" t="n">
        <v>0.04</v>
      </c>
      <c r="J5" s="21" t="n">
        <v>0.035</v>
      </c>
      <c r="K5" s="21" t="n">
        <v>0.03</v>
      </c>
      <c r="L5" s="21" t="n">
        <v>0.025</v>
      </c>
    </row>
    <row r="6">
      <c r="A6" s="7" t="inlineStr">
        <is>
          <t>Revenue</t>
        </is>
      </c>
      <c r="B6" s="22">
        <f>Assumptions!$B$21</f>
        <v/>
      </c>
      <c r="C6" s="23">
        <f>B6*(1+C5)</f>
        <v/>
      </c>
      <c r="D6" s="23">
        <f>C6*(1+D5)</f>
        <v/>
      </c>
      <c r="E6" s="23">
        <f>D6*(1+E5)</f>
        <v/>
      </c>
      <c r="F6" s="23">
        <f>E6*(1+F5)</f>
        <v/>
      </c>
      <c r="G6" s="23">
        <f>F6*(1+G5)</f>
        <v/>
      </c>
      <c r="H6" s="23">
        <f>G6*(1+H5)</f>
        <v/>
      </c>
      <c r="I6" s="23">
        <f>H6*(1+I5)</f>
        <v/>
      </c>
      <c r="J6" s="23">
        <f>I6*(1+J5)</f>
        <v/>
      </c>
      <c r="K6" s="23">
        <f>J6*(1+K5)</f>
        <v/>
      </c>
      <c r="L6" s="23">
        <f>K6*(1+L5)</f>
        <v/>
      </c>
    </row>
    <row r="7">
      <c r="A7" s="7" t="inlineStr">
        <is>
          <t>EBITDA margin</t>
        </is>
      </c>
      <c r="C7" s="21" t="n">
        <v>0.373</v>
      </c>
      <c r="D7" s="21" t="n">
        <v>0.382</v>
      </c>
      <c r="E7" s="21" t="n">
        <v>0.388</v>
      </c>
      <c r="F7" s="21" t="n">
        <v>0.392</v>
      </c>
      <c r="G7" s="21" t="n">
        <v>0.395</v>
      </c>
      <c r="H7" s="21" t="n">
        <v>0.395</v>
      </c>
      <c r="I7" s="21" t="n">
        <v>0.395</v>
      </c>
      <c r="J7" s="21" t="n">
        <v>0.394</v>
      </c>
      <c r="K7" s="21" t="n">
        <v>0.393</v>
      </c>
      <c r="L7" s="21" t="n">
        <v>0.392</v>
      </c>
    </row>
    <row r="8">
      <c r="A8" s="7" t="inlineStr">
        <is>
          <t>Adjusted EBITDA (net of SBC)</t>
        </is>
      </c>
      <c r="C8" s="23">
        <f>C6*C7</f>
        <v/>
      </c>
      <c r="D8" s="23">
        <f>D6*D7</f>
        <v/>
      </c>
      <c r="E8" s="23">
        <f>E6*E7</f>
        <v/>
      </c>
      <c r="F8" s="23">
        <f>F6*F7</f>
        <v/>
      </c>
      <c r="G8" s="23">
        <f>G6*G7</f>
        <v/>
      </c>
      <c r="H8" s="23">
        <f>H6*H7</f>
        <v/>
      </c>
      <c r="I8" s="23">
        <f>I6*I7</f>
        <v/>
      </c>
      <c r="J8" s="23">
        <f>J6*J7</f>
        <v/>
      </c>
      <c r="K8" s="23">
        <f>K6*K7</f>
        <v/>
      </c>
      <c r="L8" s="23">
        <f>L6*L7</f>
        <v/>
      </c>
    </row>
    <row r="9">
      <c r="A9" s="7" t="inlineStr">
        <is>
          <t>SBC % of revenue (memo — inside EBITDA)</t>
        </is>
      </c>
      <c r="C9" s="14" t="n">
        <v>0.0075</v>
      </c>
      <c r="D9" s="14" t="n">
        <v>0.0072</v>
      </c>
      <c r="E9" s="14" t="n">
        <v>0.006999999999999999</v>
      </c>
      <c r="F9" s="14" t="n">
        <v>0.0068</v>
      </c>
      <c r="G9" s="14" t="n">
        <v>0.0066</v>
      </c>
      <c r="H9" s="14" t="n">
        <v>0.0064</v>
      </c>
      <c r="I9" s="14" t="n">
        <v>0.0062</v>
      </c>
      <c r="J9" s="14" t="n">
        <v>0.006</v>
      </c>
      <c r="K9" s="14" t="n">
        <v>0.006</v>
      </c>
      <c r="L9" s="14" t="n">
        <v>0.006</v>
      </c>
    </row>
    <row r="10">
      <c r="A10" s="7" t="inlineStr">
        <is>
          <t>SBC (memo, not deducted again)</t>
        </is>
      </c>
      <c r="C10" s="23">
        <f>C6*C9</f>
        <v/>
      </c>
      <c r="D10" s="23">
        <f>D6*D9</f>
        <v/>
      </c>
      <c r="E10" s="23">
        <f>E6*E9</f>
        <v/>
      </c>
      <c r="F10" s="23">
        <f>F6*F9</f>
        <v/>
      </c>
      <c r="G10" s="23">
        <f>G6*G9</f>
        <v/>
      </c>
      <c r="H10" s="23">
        <f>H6*H9</f>
        <v/>
      </c>
      <c r="I10" s="23">
        <f>I6*I9</f>
        <v/>
      </c>
      <c r="J10" s="23">
        <f>J6*J9</f>
        <v/>
      </c>
      <c r="K10" s="23">
        <f>K6*K9</f>
        <v/>
      </c>
      <c r="L10" s="23">
        <f>L6*L9</f>
        <v/>
      </c>
    </row>
    <row r="11">
      <c r="A11" s="7" t="inlineStr">
        <is>
          <t>D&amp;A % of revenue</t>
        </is>
      </c>
      <c r="C11" s="21" t="n">
        <v>0.08199999999999999</v>
      </c>
      <c r="D11" s="21" t="n">
        <v>0.081</v>
      </c>
      <c r="E11" s="21" t="n">
        <v>0.08</v>
      </c>
      <c r="F11" s="21" t="n">
        <v>0.079</v>
      </c>
      <c r="G11" s="21" t="n">
        <v>0.078</v>
      </c>
      <c r="H11" s="21" t="n">
        <v>0.077</v>
      </c>
      <c r="I11" s="21" t="n">
        <v>0.076</v>
      </c>
      <c r="J11" s="21" t="n">
        <v>0.075</v>
      </c>
      <c r="K11" s="21" t="n">
        <v>0.075</v>
      </c>
      <c r="L11" s="21" t="n">
        <v>0.075</v>
      </c>
    </row>
    <row r="12">
      <c r="A12" s="7" t="inlineStr">
        <is>
          <t>D&amp;A</t>
        </is>
      </c>
      <c r="C12" s="23">
        <f>-C6*C11</f>
        <v/>
      </c>
      <c r="D12" s="23">
        <f>-D6*D11</f>
        <v/>
      </c>
      <c r="E12" s="23">
        <f>-E6*E11</f>
        <v/>
      </c>
      <c r="F12" s="23">
        <f>-F6*F11</f>
        <v/>
      </c>
      <c r="G12" s="23">
        <f>-G6*G11</f>
        <v/>
      </c>
      <c r="H12" s="23">
        <f>-H6*H11</f>
        <v/>
      </c>
      <c r="I12" s="23">
        <f>-I6*I11</f>
        <v/>
      </c>
      <c r="J12" s="23">
        <f>-J6*J11</f>
        <v/>
      </c>
      <c r="K12" s="23">
        <f>-K6*K11</f>
        <v/>
      </c>
      <c r="L12" s="23">
        <f>-L6*L11</f>
        <v/>
      </c>
    </row>
    <row r="13">
      <c r="A13" s="7" t="inlineStr">
        <is>
          <t>Non-recurring % of revenue</t>
        </is>
      </c>
      <c r="C13" s="21" t="n">
        <v>0.012</v>
      </c>
      <c r="D13" s="21" t="n">
        <v>0.012</v>
      </c>
      <c r="E13" s="21" t="n">
        <v>0.012</v>
      </c>
      <c r="F13" s="21" t="n">
        <v>0.012</v>
      </c>
      <c r="G13" s="21" t="n">
        <v>0.012</v>
      </c>
      <c r="H13" s="21" t="n">
        <v>0.012</v>
      </c>
      <c r="I13" s="21" t="n">
        <v>0.012</v>
      </c>
      <c r="J13" s="21" t="n">
        <v>0.012</v>
      </c>
      <c r="K13" s="21" t="n">
        <v>0.012</v>
      </c>
      <c r="L13" s="21" t="n">
        <v>0.012</v>
      </c>
    </row>
    <row r="14">
      <c r="A14" s="7" t="inlineStr">
        <is>
          <t>Non-recurring charges</t>
        </is>
      </c>
      <c r="C14" s="23">
        <f>-C6*C13</f>
        <v/>
      </c>
      <c r="D14" s="23">
        <f>-D6*D13</f>
        <v/>
      </c>
      <c r="E14" s="23">
        <f>-E6*E13</f>
        <v/>
      </c>
      <c r="F14" s="23">
        <f>-F6*F13</f>
        <v/>
      </c>
      <c r="G14" s="23">
        <f>-G6*G13</f>
        <v/>
      </c>
      <c r="H14" s="23">
        <f>-H6*H13</f>
        <v/>
      </c>
      <c r="I14" s="23">
        <f>-I6*I13</f>
        <v/>
      </c>
      <c r="J14" s="23">
        <f>-J6*J13</f>
        <v/>
      </c>
      <c r="K14" s="23">
        <f>-K6*K13</f>
        <v/>
      </c>
      <c r="L14" s="23">
        <f>-L6*L13</f>
        <v/>
      </c>
    </row>
    <row r="15">
      <c r="A15" s="7" t="inlineStr">
        <is>
          <t>EBIT after D&amp;A and non-recurring</t>
        </is>
      </c>
      <c r="C15" s="23">
        <f>C8+C12+C14</f>
        <v/>
      </c>
      <c r="D15" s="23">
        <f>D8+D12+D14</f>
        <v/>
      </c>
      <c r="E15" s="23">
        <f>E8+E12+E14</f>
        <v/>
      </c>
      <c r="F15" s="23">
        <f>F8+F12+F14</f>
        <v/>
      </c>
      <c r="G15" s="23">
        <f>G8+G12+G14</f>
        <v/>
      </c>
      <c r="H15" s="23">
        <f>H8+H12+H14</f>
        <v/>
      </c>
      <c r="I15" s="23">
        <f>I8+I12+I14</f>
        <v/>
      </c>
      <c r="J15" s="23">
        <f>J8+J12+J14</f>
        <v/>
      </c>
      <c r="K15" s="23">
        <f>K8+K12+K14</f>
        <v/>
      </c>
      <c r="L15" s="23">
        <f>L8+L12+L14</f>
        <v/>
      </c>
    </row>
    <row r="16">
      <c r="A16" s="7" t="inlineStr">
        <is>
          <t>Cash tax rate</t>
        </is>
      </c>
      <c r="C16" s="21" t="n">
        <v>0.235</v>
      </c>
      <c r="D16" s="21" t="n">
        <v>0.235</v>
      </c>
      <c r="E16" s="21" t="n">
        <v>0.235</v>
      </c>
      <c r="F16" s="21" t="n">
        <v>0.235</v>
      </c>
      <c r="G16" s="21" t="n">
        <v>0.235</v>
      </c>
      <c r="H16" s="21" t="n">
        <v>0.235</v>
      </c>
      <c r="I16" s="21" t="n">
        <v>0.235</v>
      </c>
      <c r="J16" s="21" t="n">
        <v>0.235</v>
      </c>
      <c r="K16" s="21" t="n">
        <v>0.235</v>
      </c>
      <c r="L16" s="21" t="n">
        <v>0.235</v>
      </c>
    </row>
    <row r="17">
      <c r="A17" s="7" t="inlineStr">
        <is>
          <t>NOPAT</t>
        </is>
      </c>
      <c r="C17" s="23">
        <f>C15*(1-C16)</f>
        <v/>
      </c>
      <c r="D17" s="23">
        <f>D15*(1-D16)</f>
        <v/>
      </c>
      <c r="E17" s="23">
        <f>E15*(1-E16)</f>
        <v/>
      </c>
      <c r="F17" s="23">
        <f>F15*(1-F16)</f>
        <v/>
      </c>
      <c r="G17" s="23">
        <f>G15*(1-G16)</f>
        <v/>
      </c>
      <c r="H17" s="23">
        <f>H15*(1-H16)</f>
        <v/>
      </c>
      <c r="I17" s="23">
        <f>I15*(1-I16)</f>
        <v/>
      </c>
      <c r="J17" s="23">
        <f>J15*(1-J16)</f>
        <v/>
      </c>
      <c r="K17" s="23">
        <f>K15*(1-K16)</f>
        <v/>
      </c>
      <c r="L17" s="23">
        <f>L15*(1-L16)</f>
        <v/>
      </c>
    </row>
    <row r="18">
      <c r="A18" s="7" t="inlineStr">
        <is>
          <t>add back D&amp;A</t>
        </is>
      </c>
      <c r="C18" s="23">
        <f>-C12</f>
        <v/>
      </c>
      <c r="D18" s="23">
        <f>-D12</f>
        <v/>
      </c>
      <c r="E18" s="23">
        <f>-E12</f>
        <v/>
      </c>
      <c r="F18" s="23">
        <f>-F12</f>
        <v/>
      </c>
      <c r="G18" s="23">
        <f>-G12</f>
        <v/>
      </c>
      <c r="H18" s="23">
        <f>-H12</f>
        <v/>
      </c>
      <c r="I18" s="23">
        <f>-I12</f>
        <v/>
      </c>
      <c r="J18" s="23">
        <f>-J12</f>
        <v/>
      </c>
      <c r="K18" s="23">
        <f>-K12</f>
        <v/>
      </c>
      <c r="L18" s="23">
        <f>-L12</f>
        <v/>
      </c>
    </row>
    <row r="19">
      <c r="A19" s="7" t="inlineStr">
        <is>
          <t>less PP&amp;E capex</t>
        </is>
      </c>
      <c r="C19" s="23">
        <f>-C6*C28</f>
        <v/>
      </c>
      <c r="D19" s="23">
        <f>-D6*D28</f>
        <v/>
      </c>
      <c r="E19" s="23">
        <f>-E6*E28</f>
        <v/>
      </c>
      <c r="F19" s="23">
        <f>-F6*F28</f>
        <v/>
      </c>
      <c r="G19" s="23">
        <f>-G6*G28</f>
        <v/>
      </c>
      <c r="H19" s="23">
        <f>-H6*H28</f>
        <v/>
      </c>
      <c r="I19" s="23">
        <f>-I6*I28</f>
        <v/>
      </c>
      <c r="J19" s="23">
        <f>-J6*J28</f>
        <v/>
      </c>
      <c r="K19" s="23">
        <f>-K6*K28</f>
        <v/>
      </c>
      <c r="L19" s="23">
        <f>-L6*L28</f>
        <v/>
      </c>
    </row>
    <row r="20">
      <c r="A20" s="7" t="inlineStr">
        <is>
          <t>less product-rights replenishment</t>
        </is>
      </c>
      <c r="C20" s="23">
        <f>-C6*C29</f>
        <v/>
      </c>
      <c r="D20" s="23">
        <f>-D6*D29</f>
        <v/>
      </c>
      <c r="E20" s="23">
        <f>-E6*E29</f>
        <v/>
      </c>
      <c r="F20" s="23">
        <f>-F6*F29</f>
        <v/>
      </c>
      <c r="G20" s="23">
        <f>-G6*G29</f>
        <v/>
      </c>
      <c r="H20" s="23">
        <f>-H6*H29</f>
        <v/>
      </c>
      <c r="I20" s="23">
        <f>-I6*I29</f>
        <v/>
      </c>
      <c r="J20" s="23">
        <f>-J6*J29</f>
        <v/>
      </c>
      <c r="K20" s="23">
        <f>-K6*K29</f>
        <v/>
      </c>
      <c r="L20" s="23">
        <f>-L6*L29</f>
        <v/>
      </c>
    </row>
    <row r="21">
      <c r="A21" s="7" t="inlineStr">
        <is>
          <t>less lease principal</t>
        </is>
      </c>
      <c r="C21" s="24">
        <f>-C6*Assumptions!$B$16</f>
        <v/>
      </c>
      <c r="D21" s="24">
        <f>-D6*Assumptions!$B$16</f>
        <v/>
      </c>
      <c r="E21" s="24">
        <f>-E6*Assumptions!$B$16</f>
        <v/>
      </c>
      <c r="F21" s="24">
        <f>-F6*Assumptions!$B$16</f>
        <v/>
      </c>
      <c r="G21" s="24">
        <f>-G6*Assumptions!$B$16</f>
        <v/>
      </c>
      <c r="H21" s="24">
        <f>-H6*Assumptions!$B$16</f>
        <v/>
      </c>
      <c r="I21" s="24">
        <f>-I6*Assumptions!$B$16</f>
        <v/>
      </c>
      <c r="J21" s="24">
        <f>-J6*Assumptions!$B$16</f>
        <v/>
      </c>
      <c r="K21" s="24">
        <f>-K6*Assumptions!$B$16</f>
        <v/>
      </c>
      <c r="L21" s="24">
        <f>-L6*Assumptions!$B$16</f>
        <v/>
      </c>
    </row>
    <row r="22">
      <c r="A22" s="7" t="inlineStr">
        <is>
          <t>add working capital</t>
        </is>
      </c>
      <c r="C22" s="23">
        <f>-0.3*(C6-B6)</f>
        <v/>
      </c>
      <c r="D22" s="23">
        <f>-0.3*(D6-C6)</f>
        <v/>
      </c>
      <c r="E22" s="23">
        <f>-0.3*(E6-D6)</f>
        <v/>
      </c>
      <c r="F22" s="23">
        <f>-0.3*(F6-E6)</f>
        <v/>
      </c>
      <c r="G22" s="23">
        <f>-0.3*(G6-F6)</f>
        <v/>
      </c>
      <c r="H22" s="23">
        <f>-0.3*(H6-G6)</f>
        <v/>
      </c>
      <c r="I22" s="23">
        <f>-0.3*(I6-H6)</f>
        <v/>
      </c>
      <c r="J22" s="23">
        <f>-0.3*(J6-I6)</f>
        <v/>
      </c>
      <c r="K22" s="23">
        <f>-0.3*(K6-J6)</f>
        <v/>
      </c>
      <c r="L22" s="23">
        <f>-0.3*(L6-K6)</f>
        <v/>
      </c>
    </row>
    <row r="23">
      <c r="A23" s="2" t="inlineStr">
        <is>
          <t>OWNER FREE CASH FLOW</t>
        </is>
      </c>
      <c r="C23" s="25">
        <f>C17+C18+C19+C20+C21+C22</f>
        <v/>
      </c>
      <c r="D23" s="25">
        <f>D17+D18+D19+D20+D21+D22</f>
        <v/>
      </c>
      <c r="E23" s="25">
        <f>E17+E18+E19+E20+E21+E22</f>
        <v/>
      </c>
      <c r="F23" s="25">
        <f>F17+F18+F19+F20+F21+F22</f>
        <v/>
      </c>
      <c r="G23" s="25">
        <f>G17+G18+G19+G20+G21+G22</f>
        <v/>
      </c>
      <c r="H23" s="25">
        <f>H17+H18+H19+H20+H21+H22</f>
        <v/>
      </c>
      <c r="I23" s="25">
        <f>I17+I18+I19+I20+I21+I22</f>
        <v/>
      </c>
      <c r="J23" s="25">
        <f>J17+J18+J19+J20+J21+J22</f>
        <v/>
      </c>
      <c r="K23" s="25">
        <f>K17+K18+K19+K20+K21+K22</f>
        <v/>
      </c>
      <c r="L23" s="25">
        <f>L17+L18+L19+L20+L21+L22</f>
        <v/>
      </c>
    </row>
    <row r="24">
      <c r="A24" s="7" t="inlineStr">
        <is>
          <t>Discount factor</t>
        </is>
      </c>
      <c r="C24" s="26">
        <f>1/(1+Assumptions!$B$4)^C4</f>
        <v/>
      </c>
      <c r="D24" s="26">
        <f>1/(1+Assumptions!$B$4)^D4</f>
        <v/>
      </c>
      <c r="E24" s="26">
        <f>1/(1+Assumptions!$B$4)^E4</f>
        <v/>
      </c>
      <c r="F24" s="26">
        <f>1/(1+Assumptions!$B$4)^F4</f>
        <v/>
      </c>
      <c r="G24" s="26">
        <f>1/(1+Assumptions!$B$4)^G4</f>
        <v/>
      </c>
      <c r="H24" s="26">
        <f>1/(1+Assumptions!$B$4)^H4</f>
        <v/>
      </c>
      <c r="I24" s="26">
        <f>1/(1+Assumptions!$B$4)^I4</f>
        <v/>
      </c>
      <c r="J24" s="26">
        <f>1/(1+Assumptions!$B$4)^J4</f>
        <v/>
      </c>
      <c r="K24" s="26">
        <f>1/(1+Assumptions!$B$4)^K4</f>
        <v/>
      </c>
      <c r="L24" s="26">
        <f>1/(1+Assumptions!$B$4)^L4</f>
        <v/>
      </c>
    </row>
    <row r="25">
      <c r="A25" s="7" t="inlineStr">
        <is>
          <t>PV of FCF</t>
        </is>
      </c>
      <c r="C25" s="23">
        <f>C23*C24</f>
        <v/>
      </c>
      <c r="D25" s="23">
        <f>D23*D24</f>
        <v/>
      </c>
      <c r="E25" s="23">
        <f>E23*E24</f>
        <v/>
      </c>
      <c r="F25" s="23">
        <f>F23*F24</f>
        <v/>
      </c>
      <c r="G25" s="23">
        <f>G23*G24</f>
        <v/>
      </c>
      <c r="H25" s="23">
        <f>H23*H24</f>
        <v/>
      </c>
      <c r="I25" s="23">
        <f>I23*I24</f>
        <v/>
      </c>
      <c r="J25" s="23">
        <f>J23*J24</f>
        <v/>
      </c>
      <c r="K25" s="23">
        <f>K23*K24</f>
        <v/>
      </c>
      <c r="L25" s="23">
        <f>L23*L24</f>
        <v/>
      </c>
    </row>
    <row r="27">
      <c r="A27" s="7" t="inlineStr">
        <is>
          <t>Memo: owner FCF margin</t>
        </is>
      </c>
      <c r="C27" s="27">
        <f>C23/C6</f>
        <v/>
      </c>
      <c r="D27" s="27">
        <f>D23/D6</f>
        <v/>
      </c>
      <c r="E27" s="27">
        <f>E23/E6</f>
        <v/>
      </c>
      <c r="F27" s="27">
        <f>F23/F6</f>
        <v/>
      </c>
      <c r="G27" s="27">
        <f>G23/G6</f>
        <v/>
      </c>
      <c r="H27" s="27">
        <f>H23/H6</f>
        <v/>
      </c>
      <c r="I27" s="27">
        <f>I23/I6</f>
        <v/>
      </c>
      <c r="J27" s="27">
        <f>J23/J6</f>
        <v/>
      </c>
      <c r="K27" s="27">
        <f>K23/K6</f>
        <v/>
      </c>
      <c r="L27" s="27">
        <f>L23/L6</f>
        <v/>
      </c>
    </row>
    <row r="28">
      <c r="A28" s="7" t="inlineStr">
        <is>
          <t>PP&amp;E capex % of revenue (driver)</t>
        </is>
      </c>
      <c r="C28" s="14" t="n">
        <v>0.015</v>
      </c>
      <c r="D28" s="14" t="n">
        <v>0.015</v>
      </c>
      <c r="E28" s="14" t="n">
        <v>0.015</v>
      </c>
      <c r="F28" s="14" t="n">
        <v>0.015</v>
      </c>
      <c r="G28" s="14" t="n">
        <v>0.015</v>
      </c>
      <c r="H28" s="14" t="n">
        <v>0.015</v>
      </c>
      <c r="I28" s="14" t="n">
        <v>0.015</v>
      </c>
      <c r="J28" s="14" t="n">
        <v>0.015</v>
      </c>
      <c r="K28" s="14" t="n">
        <v>0.015</v>
      </c>
      <c r="L28" s="14" t="n">
        <v>0.015</v>
      </c>
    </row>
    <row r="29">
      <c r="A29" s="7" t="inlineStr">
        <is>
          <t>Product-rights replenishment % of revenue (driver)</t>
        </is>
      </c>
      <c r="C29" s="14" t="n">
        <v>0.06</v>
      </c>
      <c r="D29" s="14" t="n">
        <v>0.06</v>
      </c>
      <c r="E29" s="14" t="n">
        <v>0.06</v>
      </c>
      <c r="F29" s="14" t="n">
        <v>0.06</v>
      </c>
      <c r="G29" s="14" t="n">
        <v>0.06</v>
      </c>
      <c r="H29" s="14" t="n">
        <v>0.06</v>
      </c>
      <c r="I29" s="14" t="n">
        <v>0.06</v>
      </c>
      <c r="J29" s="14" t="n">
        <v>0.06</v>
      </c>
      <c r="K29" s="14" t="n">
        <v>0.06</v>
      </c>
      <c r="L29" s="14" t="n">
        <v>0.06</v>
      </c>
    </row>
    <row r="30">
      <c r="A30" s="7" t="inlineStr">
        <is>
          <t>Sum of PV of FCF</t>
        </is>
      </c>
      <c r="B30" s="23">
        <f>SUM(C25:L25)</f>
        <v/>
      </c>
    </row>
    <row r="31">
      <c r="A31" s="7" t="inlineStr">
        <is>
          <t>Terminal growth</t>
        </is>
      </c>
      <c r="B31" s="28">
        <f>Assumptions!$D$25</f>
        <v/>
      </c>
    </row>
    <row r="32">
      <c r="A32" s="7" t="inlineStr">
        <is>
          <t>Terminal-year FCF grown</t>
        </is>
      </c>
      <c r="B32" s="23">
        <f>L23*(1+B31)</f>
        <v/>
      </c>
    </row>
    <row r="33">
      <c r="A33" s="7" t="inlineStr">
        <is>
          <t>Gordon terminal value</t>
        </is>
      </c>
      <c r="B33" s="23">
        <f>B32/(Assumptions!$B$4-B31)</f>
        <v/>
      </c>
    </row>
    <row r="34">
      <c r="A34" s="7" t="inlineStr">
        <is>
          <t>Cap terminal value (18x)</t>
        </is>
      </c>
      <c r="B34" s="24">
        <f>Assumptions!$B$20*L23</f>
        <v/>
      </c>
    </row>
    <row r="35">
      <c r="A35" s="7" t="inlineStr">
        <is>
          <t>Terminal value used</t>
        </is>
      </c>
      <c r="B35" s="23">
        <f>MAX(0,MIN(B33,B34))</f>
        <v/>
      </c>
    </row>
    <row r="36">
      <c r="A36" s="7" t="inlineStr">
        <is>
          <t>Implied exit multiple</t>
        </is>
      </c>
      <c r="B36" s="29">
        <f>B35/L23</f>
        <v/>
      </c>
    </row>
    <row r="37">
      <c r="A37" s="7" t="inlineStr">
        <is>
          <t>PV of terminal value</t>
        </is>
      </c>
      <c r="B37" s="23">
        <f>B35*L24</f>
        <v/>
      </c>
    </row>
    <row r="38">
      <c r="A38" s="7" t="inlineStr">
        <is>
          <t>Enterprise value</t>
        </is>
      </c>
      <c r="B38" s="23">
        <f>B30+B37</f>
        <v/>
      </c>
    </row>
    <row r="39">
      <c r="A39" s="7" t="inlineStr">
        <is>
          <t>less net debt</t>
        </is>
      </c>
      <c r="B39" s="24">
        <f>-Assumptions!$B$17</f>
        <v/>
      </c>
    </row>
    <row r="40">
      <c r="A40" s="7" t="inlineStr">
        <is>
          <t>Equity value</t>
        </is>
      </c>
      <c r="B40" s="23">
        <f>B38+B39</f>
        <v/>
      </c>
    </row>
    <row r="41">
      <c r="A41" s="7" t="inlineStr">
        <is>
          <t>Diluted shares (m)</t>
        </is>
      </c>
      <c r="B41" s="24">
        <f>Assumptions!$B$18</f>
        <v/>
      </c>
    </row>
    <row r="42">
      <c r="A42" s="2" t="inlineStr">
        <is>
          <t>STANDALONE VALUE PER SHARE</t>
        </is>
      </c>
      <c r="B42" s="30">
        <f>B40/B41</f>
        <v/>
      </c>
    </row>
    <row r="43">
      <c r="A43" s="7" t="inlineStr">
        <is>
          <t>vs current price</t>
        </is>
      </c>
      <c r="B43" s="31">
        <f>B42/Assumptions!$B$19-1</f>
        <v/>
      </c>
    </row>
    <row r="45">
      <c r="A45" s="2" t="inlineStr">
        <is>
          <t>STREET BASIS MEMO (SBC added back as non-cash)</t>
        </is>
      </c>
    </row>
    <row r="46">
      <c r="A46" t="inlineStr">
        <is>
          <t>PV of explicit-period SBC, after tax</t>
        </is>
      </c>
      <c r="B46" s="32">
        <f>SUMPRODUCT(C10:L10*(1-C16:L16),C24:L24)</f>
        <v/>
      </c>
    </row>
    <row r="47">
      <c r="A47" t="inlineStr">
        <is>
          <t>PV of terminal SBC</t>
        </is>
      </c>
      <c r="B47" s="32">
        <f>(L10*(1-L16)*(1+B31)/(Assumptions!$B$4-B31))*L24</f>
        <v/>
      </c>
    </row>
    <row r="48">
      <c r="A48" s="2" t="inlineStr">
        <is>
          <t>Street value per share</t>
        </is>
      </c>
      <c r="B48" s="33">
        <f>(B40+B46+B47)/B41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REPORTED FCF RECONCILED TO OWNER FCF (EUR m)</t>
        </is>
      </c>
    </row>
    <row r="3">
      <c r="A3" s="4" t="inlineStr">
        <is>
          <t>Line</t>
        </is>
      </c>
      <c r="B3" s="4" t="inlineStr">
        <is>
          <t>FY2019</t>
        </is>
      </c>
      <c r="C3" s="4" t="inlineStr">
        <is>
          <t>FY2020</t>
        </is>
      </c>
      <c r="D3" s="4" t="inlineStr">
        <is>
          <t>FY2021</t>
        </is>
      </c>
      <c r="E3" s="4" t="inlineStr">
        <is>
          <t>FY2022</t>
        </is>
      </c>
      <c r="F3" s="4" t="inlineStr">
        <is>
          <t>FY2023</t>
        </is>
      </c>
      <c r="G3" s="4" t="inlineStr">
        <is>
          <t>FY2024</t>
        </is>
      </c>
      <c r="H3" s="4" t="inlineStr">
        <is>
          <t>FY2025</t>
        </is>
      </c>
    </row>
    <row r="4">
      <c r="A4" s="7" t="inlineStr">
        <is>
          <t>Operating cash flow</t>
        </is>
      </c>
      <c r="B4" s="5" t="n">
        <v>318.7</v>
      </c>
      <c r="C4" s="5" t="n">
        <v>403.6</v>
      </c>
      <c r="D4" s="5" t="n">
        <v>491.6</v>
      </c>
      <c r="E4" s="5" t="n">
        <v>461.7</v>
      </c>
      <c r="F4" s="5" t="n">
        <v>485.3</v>
      </c>
      <c r="G4" s="5" t="n">
        <v>569.9</v>
      </c>
      <c r="H4" s="5" t="n">
        <v>596.9</v>
      </c>
    </row>
    <row r="5">
      <c r="A5" s="7" t="inlineStr">
        <is>
          <t>less total capex (as reported)</t>
        </is>
      </c>
      <c r="B5" s="5" t="n">
        <v>-443.3</v>
      </c>
      <c r="C5" s="5" t="n">
        <v>-131.7</v>
      </c>
      <c r="D5" s="5" t="n">
        <v>-87.40000000000001</v>
      </c>
      <c r="E5" s="5" t="n">
        <v>-96.3</v>
      </c>
      <c r="F5" s="5" t="n">
        <v>-383.3</v>
      </c>
      <c r="G5" s="5" t="n">
        <v>-851.2</v>
      </c>
      <c r="H5" s="5" t="n">
        <v>-85.09999999999999</v>
      </c>
    </row>
    <row r="6">
      <c r="A6" s="2" t="inlineStr">
        <is>
          <t>Equals free cash flow (company definition)</t>
        </is>
      </c>
      <c r="B6" s="32">
        <f>B4+B5</f>
        <v/>
      </c>
      <c r="C6" s="32">
        <f>C4+C5</f>
        <v/>
      </c>
      <c r="D6" s="32">
        <f>D4+D5</f>
        <v/>
      </c>
      <c r="E6" s="32">
        <f>E4+E5</f>
        <v/>
      </c>
      <c r="F6" s="32">
        <f>F4+F5</f>
        <v/>
      </c>
      <c r="G6" s="32">
        <f>G4+G5</f>
        <v/>
      </c>
      <c r="H6" s="32">
        <f>H4+H5</f>
        <v/>
      </c>
    </row>
    <row r="7">
      <c r="A7" s="7" t="inlineStr">
        <is>
          <t>less SBC (memo — already inside EBITDA)</t>
        </is>
      </c>
      <c r="B7" s="5" t="n">
        <v>-7</v>
      </c>
      <c r="C7" s="5" t="n">
        <v>-4.9</v>
      </c>
      <c r="D7" s="5" t="n">
        <v>-5.1</v>
      </c>
      <c r="E7" s="5" t="n">
        <v>-8.300000000000001</v>
      </c>
      <c r="F7" s="5" t="n">
        <v>-10.9</v>
      </c>
      <c r="G7" s="5" t="n">
        <v>-16.5</v>
      </c>
      <c r="H7" s="5" t="n">
        <v>-16.5</v>
      </c>
    </row>
    <row r="8">
      <c r="A8" s="7" t="inlineStr">
        <is>
          <t>less interest income</t>
        </is>
      </c>
      <c r="D8" s="5" t="n">
        <v>-0.3</v>
      </c>
      <c r="E8" s="5" t="n">
        <v>-1.9</v>
      </c>
      <c r="F8" s="5" t="n">
        <v>-5.1</v>
      </c>
      <c r="G8" s="5" t="n">
        <v>-4.8</v>
      </c>
      <c r="H8" s="5" t="n">
        <v>-5.7</v>
      </c>
    </row>
    <row r="9">
      <c r="A9" s="2" t="inlineStr">
        <is>
          <t>Equals owner FCF (as-reported capex basis)</t>
        </is>
      </c>
      <c r="B9" s="32">
        <f>B6+B7+B8</f>
        <v/>
      </c>
      <c r="C9" s="32">
        <f>C6+C7+C8</f>
        <v/>
      </c>
      <c r="D9" s="32">
        <f>D6+D7+D8</f>
        <v/>
      </c>
      <c r="E9" s="32">
        <f>E6+E7+E8</f>
        <v/>
      </c>
      <c r="F9" s="32">
        <f>F6+F7+F8</f>
        <v/>
      </c>
      <c r="G9" s="32">
        <f>G6+G7+G8</f>
        <v/>
      </c>
      <c r="H9" s="32">
        <f>H6+H7+H8</f>
        <v/>
      </c>
    </row>
    <row r="10">
      <c r="A10" s="7" t="inlineStr">
        <is>
          <t>Revenue</t>
        </is>
      </c>
      <c r="B10" s="5" t="n">
        <v>1481.8</v>
      </c>
      <c r="C10" s="5" t="n">
        <v>1448.9</v>
      </c>
      <c r="D10" s="5" t="n">
        <v>1580.1</v>
      </c>
      <c r="E10" s="5" t="n">
        <v>1853.3</v>
      </c>
      <c r="F10" s="5" t="n">
        <v>2082.3</v>
      </c>
      <c r="G10" s="5" t="n">
        <v>2341.6</v>
      </c>
      <c r="H10" s="5" t="n">
        <v>2618.4</v>
      </c>
    </row>
    <row r="11">
      <c r="A11" s="7" t="inlineStr">
        <is>
          <t>Reported FCF margin %</t>
        </is>
      </c>
      <c r="B11" s="27">
        <f>B6/B10</f>
        <v/>
      </c>
      <c r="C11" s="27">
        <f>C6/C10</f>
        <v/>
      </c>
      <c r="D11" s="27">
        <f>D6/D10</f>
        <v/>
      </c>
      <c r="E11" s="27">
        <f>E6/E10</f>
        <v/>
      </c>
      <c r="F11" s="27">
        <f>F6/F10</f>
        <v/>
      </c>
      <c r="G11" s="27">
        <f>G6/G10</f>
        <v/>
      </c>
      <c r="H11" s="27">
        <f>H6/H10</f>
        <v/>
      </c>
    </row>
    <row r="12">
      <c r="A12" s="7" t="inlineStr">
        <is>
          <t>Owner FCF margin %</t>
        </is>
      </c>
      <c r="B12" s="27">
        <f>B9/B10</f>
        <v/>
      </c>
      <c r="C12" s="27">
        <f>C9/C10</f>
        <v/>
      </c>
      <c r="D12" s="27">
        <f>D9/D10</f>
        <v/>
      </c>
      <c r="E12" s="27">
        <f>E9/E10</f>
        <v/>
      </c>
      <c r="F12" s="27">
        <f>F9/F10</f>
        <v/>
      </c>
      <c r="G12" s="27">
        <f>G9/G10</f>
        <v/>
      </c>
      <c r="H12" s="27">
        <f>H9/H10</f>
        <v/>
      </c>
    </row>
    <row r="14">
      <c r="A14" s="1" t="inlineStr">
        <is>
          <t>THE REAL ADJUSTMENT: capex normalisation</t>
        </is>
      </c>
    </row>
    <row r="15">
      <c r="A15" s="2" t="inlineStr">
        <is>
          <t>FY2019-25 aggregate operating cash flow</t>
        </is>
      </c>
      <c r="B15" s="5" t="n">
        <v>3327.8</v>
      </c>
      <c r="D15" s="6" t="inlineStr">
        <is>
          <t>seven years of cash generation</t>
        </is>
      </c>
    </row>
    <row r="16">
      <c r="A16" s="2" t="inlineStr">
        <is>
          <t>FY2019-25 aggregate owner FCF</t>
        </is>
      </c>
      <c r="B16" s="5" t="n">
        <v>1180.3</v>
      </c>
      <c r="D16" s="6" t="inlineStr">
        <is>
          <t>only 35% of OCF survived capex</t>
        </is>
      </c>
    </row>
    <row r="17">
      <c r="A17" s="2" t="inlineStr">
        <is>
          <t>FY2019-25 aggregate capex % of revenue</t>
        </is>
      </c>
      <c r="B17" s="5" t="n">
        <v>15.5</v>
      </c>
      <c r="D17" s="6" t="inlineStr">
        <is>
          <t>versus FY2025 alone at 3.25%</t>
        </is>
      </c>
    </row>
    <row r="18">
      <c r="A18" s="2" t="inlineStr">
        <is>
          <t>FY2025 reported FCF</t>
        </is>
      </c>
      <c r="B18" s="5" t="n">
        <v>511.8</v>
      </c>
      <c r="D18" s="6" t="inlineStr">
        <is>
          <t>a quiet M&amp;A year — NOT a run-rate</t>
        </is>
      </c>
    </row>
    <row r="19">
      <c r="A19" s="2" t="inlineStr">
        <is>
          <t>FY2025 component-built sustainable owner FCF</t>
        </is>
      </c>
      <c r="B19" s="5" t="n">
        <v>359.2</v>
      </c>
      <c r="D19" s="6" t="inlineStr">
        <is>
          <t>charging 6.5% product-rights replenishment</t>
        </is>
      </c>
    </row>
    <row r="20">
      <c r="A20" s="2" t="inlineStr">
        <is>
          <t>Difference (annual overstatement)</t>
        </is>
      </c>
      <c r="B20" s="5" t="n">
        <v>152.6</v>
      </c>
      <c r="D20" s="6" t="inlineStr">
        <is>
          <t>the cost of the growth Recordati did not pay for in FY2025</t>
        </is>
      </c>
    </row>
    <row r="22" ht="52" customHeight="1">
      <c r="A22" s="3" t="inlineStr">
        <is>
          <t>Memo — cash tax rate: FY2025 income taxes paid EUR 174.3m on pre-tax income EUR 581.3m = 30.0% cash rate versus a 23.7% effective book rate. The model uses 24% (base), close to the book rate, because the FY2025 cash rate was inflated by timing of prior-year settlements. Not abnormal enough to require a ramp.</t>
        </is>
      </c>
    </row>
    <row r="23" ht="52" customHeight="1">
      <c r="A23" s="3" t="inlineStr">
        <is>
          <t>Memo — working capital: FY2025 absorbed EUR 148.2m on a EUR 276.8m revenue increase (inventories -134.8, receivables -63.1, payables +49.8), a 53.5% outflow capture. The model uses a 35% OUTFLOW on the revenue change — working capital is a USE of cash as this business grows, the opposite sign to a prepaid-subscription model.</t>
        </is>
      </c>
    </row>
    <row r="24" ht="52" customHeight="1">
      <c r="A24" s="3" t="inlineStr">
        <is>
          <t>Memo — SBC: EUR 16.5m is 0.63% of revenue and sits INSIDE reported EBITDA as an operating expense. It is not deducted a second time in the component build. H1-2026 SBC of EUR 23.6m is inflated by takeover-accelerated performance-share vesting and is treated as one-off.</t>
        </is>
      </c>
    </row>
  </sheetData>
  <mergeCells count="3">
    <mergeCell ref="A23:I23"/>
    <mergeCell ref="A24:I24"/>
    <mergeCell ref="A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VALUATION SUMMARY — DEAL-STATE WEIGHTED</t>
        </is>
      </c>
    </row>
    <row r="2">
      <c r="A2" s="6" t="inlineStr">
        <is>
          <t>REC.MI is deal-pinned. The headline scenarios are DEAL STATES, not growth cases.</t>
        </is>
      </c>
    </row>
    <row r="4">
      <c r="A4" s="4" t="inlineStr">
        <is>
          <t>Deal state</t>
        </is>
      </c>
      <c r="B4" s="4" t="inlineStr">
        <is>
          <t>Bear (break)</t>
        </is>
      </c>
      <c r="C4" s="4" t="inlineStr">
        <is>
          <t>Base (completes)</t>
        </is>
      </c>
      <c r="D4" s="4" t="inlineStr">
        <is>
          <t>Bull (bump)</t>
        </is>
      </c>
      <c r="E4" s="4" t="inlineStr">
        <is>
          <t>Weighted</t>
        </is>
      </c>
    </row>
    <row r="5">
      <c r="A5" s="2" t="inlineStr">
        <is>
          <t>Consideration / reversion (EUR)</t>
        </is>
      </c>
      <c r="B5" s="34">
        <f>Assumptions!B$31</f>
        <v/>
      </c>
      <c r="C5" s="34">
        <f>Assumptions!C$31</f>
        <v/>
      </c>
      <c r="D5" s="34">
        <f>Assumptions!D$31</f>
        <v/>
      </c>
    </row>
    <row r="6">
      <c r="A6" s="2" t="inlineStr">
        <is>
          <t>PV of payoff (EUR/share)</t>
        </is>
      </c>
      <c r="B6" s="34">
        <f>Assumptions!B$34</f>
        <v/>
      </c>
      <c r="C6" s="34">
        <f>Assumptions!C$34</f>
        <v/>
      </c>
      <c r="D6" s="34">
        <f>Assumptions!D$34</f>
        <v/>
      </c>
      <c r="E6" s="30">
        <f>SUMPRODUCT(B6:D6,B7:D7)</f>
        <v/>
      </c>
    </row>
    <row r="7">
      <c r="A7" s="2" t="inlineStr">
        <is>
          <t>Probability weight</t>
        </is>
      </c>
      <c r="B7" s="28">
        <f>Assumptions!B$26</f>
        <v/>
      </c>
      <c r="C7" s="28">
        <f>Assumptions!C$26</f>
        <v/>
      </c>
      <c r="D7" s="28">
        <f>Assumptions!D$26</f>
        <v/>
      </c>
      <c r="E7" s="35">
        <f>SUM(B7:D7)</f>
        <v/>
      </c>
    </row>
    <row r="8">
      <c r="A8" s="2" t="inlineStr">
        <is>
          <t>Upside vs current price</t>
        </is>
      </c>
      <c r="B8" s="28">
        <f>B6/Assumptions!$B$19-1</f>
        <v/>
      </c>
      <c r="C8" s="28">
        <f>C6/Assumptions!$B$19-1</f>
        <v/>
      </c>
      <c r="D8" s="28">
        <f>D6/Assumptions!$B$19-1</f>
        <v/>
      </c>
      <c r="E8" s="36">
        <f>E6/Assumptions!$B$19-1</f>
        <v/>
      </c>
    </row>
    <row r="9">
      <c r="A9" s="2" t="inlineStr">
        <is>
          <t>Standalone DCF anchor (EUR)</t>
        </is>
      </c>
      <c r="B9" s="34">
        <f>DCF_Bear!$B$42</f>
        <v/>
      </c>
      <c r="C9" s="34">
        <f>DCF_Base!$B$42</f>
        <v/>
      </c>
      <c r="D9" s="34">
        <f>DCF_Bull!$B$42</f>
        <v/>
      </c>
      <c r="E9" s="33">
        <f>SUMPRODUCT(B9:D9,B7:D7)</f>
        <v/>
      </c>
    </row>
    <row r="11">
      <c r="A11" s="2" t="inlineStr">
        <is>
          <t>Current price (EUR)</t>
        </is>
      </c>
      <c r="B11" s="34">
        <f>Assumptions!$B$19</f>
        <v/>
      </c>
    </row>
    <row r="12">
      <c r="A12" s="2" t="inlineStr">
        <is>
          <t>Margin of safety (negative = overpriced)</t>
        </is>
      </c>
      <c r="B12" s="37">
        <f>1-Assumptions!$B$19/E6</f>
        <v/>
      </c>
    </row>
    <row r="13">
      <c r="A13" t="inlineStr">
        <is>
          <t>Band position (house vs street)</t>
        </is>
      </c>
      <c r="B13" t="inlineStr">
        <is>
          <t>n/a — collapses to a point under a fixed cash offer</t>
        </is>
      </c>
    </row>
    <row r="15">
      <c r="A15" s="1" t="inlineStr">
        <is>
          <t>RISK / REWARD AT THE CURRENT PRICE</t>
        </is>
      </c>
    </row>
    <row r="16">
      <c r="A16" s="2" t="inlineStr">
        <is>
          <t>Max gain if bumped (EUR/share)</t>
        </is>
      </c>
      <c r="B16" s="33">
        <f>D6-Assumptions!$B$19</f>
        <v/>
      </c>
    </row>
    <row r="17">
      <c r="A17" s="2" t="inlineStr">
        <is>
          <t>Loss if the deal breaks (EUR/share)</t>
        </is>
      </c>
      <c r="B17" s="33">
        <f>B6-Assumptions!$B$19</f>
        <v/>
      </c>
    </row>
    <row r="18">
      <c r="A18" s="2" t="inlineStr">
        <is>
          <t>Loss if the deal simply completes (EUR/share)</t>
        </is>
      </c>
      <c r="B18" s="33">
        <f>C6-Assumptions!$B$19</f>
        <v/>
      </c>
    </row>
    <row r="19">
      <c r="A19" s="2" t="inlineStr">
        <is>
          <t>Ratio against (risk : reward)</t>
        </is>
      </c>
      <c r="B19" s="38">
        <f>(Assumptions!$B$19-B6)/(D6-Assumptions!$B$19)</f>
        <v/>
      </c>
    </row>
    <row r="20">
      <c r="A20" s="2" t="inlineStr">
        <is>
          <t>Implied IRR at the current price</t>
        </is>
      </c>
      <c r="B20" s="37">
        <f>(SUMPRODUCT(B5:D5,B7:D7)/Assumptions!$B$19)^(1/0.299)-1</f>
        <v/>
      </c>
    </row>
    <row r="22">
      <c r="A22" s="1" t="inlineStr">
        <is>
          <t>BREAKEVEN ANALYSIS — what must be believed to justify EUR 52.65</t>
        </is>
      </c>
    </row>
    <row r="23">
      <c r="A23" t="inlineStr">
        <is>
          <t>Required P(bump) if P(break)=0%</t>
        </is>
      </c>
      <c r="B23" s="27">
        <f>(Assumptions!$B$19-C6)/(D6-C6)</f>
        <v/>
      </c>
    </row>
    <row r="24">
      <c r="A24" t="inlineStr">
        <is>
          <t>Required P(bump) if P(break)=5%</t>
        </is>
      </c>
      <c r="B24" s="27">
        <f>(Assumptions!$B$19-0.05*B6-0.95*C6)/(D6-C6)</f>
        <v/>
      </c>
    </row>
    <row r="25">
      <c r="A25" t="inlineStr">
        <is>
          <t>Required P(bump) if P(break)=10%</t>
        </is>
      </c>
      <c r="B25" s="27">
        <f>(Assumptions!$B$19-0.1*B6-0.9*C6)/(D6-C6)</f>
        <v/>
      </c>
    </row>
    <row r="26">
      <c r="A26" s="2" t="inlineStr">
        <is>
          <t>Deal entry price for a 15% IRR (EUR)</t>
        </is>
      </c>
      <c r="B26" s="38">
        <f>SUMPRODUCT(B5:D5,B7:D7)/(1.15)^0.299</f>
        <v/>
      </c>
    </row>
    <row r="28">
      <c r="A28" s="1" t="inlineStr">
        <is>
          <t>STANDALONE REQUIRED-RETURN TABLE (no-deal branch, base case)</t>
        </is>
      </c>
    </row>
    <row r="29">
      <c r="A29" s="4" t="inlineStr">
        <is>
          <t>Required return</t>
        </is>
      </c>
      <c r="B29" s="4" t="inlineStr">
        <is>
          <t>7.8%</t>
        </is>
      </c>
      <c r="C29" s="4" t="inlineStr">
        <is>
          <t>9%</t>
        </is>
      </c>
      <c r="D29" s="4" t="inlineStr">
        <is>
          <t>10%</t>
        </is>
      </c>
      <c r="E29" s="4" t="inlineStr">
        <is>
          <t>11%</t>
        </is>
      </c>
      <c r="F29" s="4" t="inlineStr">
        <is>
          <t>12%</t>
        </is>
      </c>
      <c r="G29" s="4" t="inlineStr">
        <is>
          <t>15%</t>
        </is>
      </c>
    </row>
    <row r="30">
      <c r="A30" s="2" t="inlineStr">
        <is>
          <t>Standalone value per share (EUR)</t>
        </is>
      </c>
      <c r="B30" s="33">
        <f>(SUMPRODUCT(DCF_Base!C23:L23,1/(1+0.078)^DCF_Base!C4:L4)+DCF_Base!B35/(1+0.078)^10-Assumptions!$B$17)/Assumptions!$B$18</f>
        <v/>
      </c>
      <c r="C30" s="33">
        <f>(SUMPRODUCT(DCF_Base!C23:L23,1/(1+0.09)^DCF_Base!C4:L4)+DCF_Base!B35/(1+0.09)^10-Assumptions!$B$17)/Assumptions!$B$18</f>
        <v/>
      </c>
      <c r="D30" s="33">
        <f>(SUMPRODUCT(DCF_Base!C23:L23,1/(1+0.1)^DCF_Base!C4:L4)+DCF_Base!B35/(1+0.1)^10-Assumptions!$B$17)/Assumptions!$B$18</f>
        <v/>
      </c>
      <c r="E30" s="33">
        <f>(SUMPRODUCT(DCF_Base!C23:L23,1/(1+0.11)^DCF_Base!C4:L4)+DCF_Base!B35/(1+0.11)^10-Assumptions!$B$17)/Assumptions!$B$18</f>
        <v/>
      </c>
      <c r="F30" s="33">
        <f>(SUMPRODUCT(DCF_Base!C23:L23,1/(1+0.12)^DCF_Base!C4:L4)+DCF_Base!B35/(1+0.12)^10-Assumptions!$B$17)/Assumptions!$B$18</f>
        <v/>
      </c>
      <c r="G30" s="33">
        <f>(SUMPRODUCT(DCF_Base!C23:L23,1/(1+0.15)^DCF_Base!C4:L4)+DCF_Base!B35/(1+0.15)^10-Assumptions!$B$17)/Assumptions!$B$18</f>
        <v/>
      </c>
    </row>
    <row r="32">
      <c r="A32" s="1" t="inlineStr">
        <is>
          <t>STANDALONE SENSITIVITY — WACC x terminal growth (base case)</t>
        </is>
      </c>
    </row>
    <row r="33">
      <c r="A33" s="4" t="inlineStr">
        <is>
          <t>WACC \ g</t>
        </is>
      </c>
      <c r="B33" s="4" t="inlineStr">
        <is>
          <t>0.8%</t>
        </is>
      </c>
      <c r="C33" s="4" t="inlineStr">
        <is>
          <t>1.3%</t>
        </is>
      </c>
      <c r="D33" s="4" t="inlineStr">
        <is>
          <t>1.8%</t>
        </is>
      </c>
      <c r="E33" s="4" t="inlineStr">
        <is>
          <t>2.3%</t>
        </is>
      </c>
      <c r="F33" s="4" t="inlineStr">
        <is>
          <t>2.8%</t>
        </is>
      </c>
    </row>
    <row r="34">
      <c r="A34" s="2" t="inlineStr">
        <is>
          <t>5.8%</t>
        </is>
      </c>
      <c r="B34" s="33">
        <f>IF(0.057999999999999996&lt;=0.008,"n/a",(SUMPRODUCT(DCF_Base!C23:L23,1/(1+0.057999999999999996)^DCF_Base!C4:L4)+MAX(0,MIN(DCF_Base!L23*(1+0.008)/(0.057999999999999996-0.008),Assumptions!$B$20*DCF_Base!L23))/(1+0.057999999999999996)^10-Assumptions!$B$17)/Assumptions!$B$18)</f>
        <v/>
      </c>
      <c r="C34" s="33">
        <f>IF(0.057999999999999996&lt;=0.013000000000000001,"n/a",(SUMPRODUCT(DCF_Base!C23:L23,1/(1+0.057999999999999996)^DCF_Base!C4:L4)+MAX(0,MIN(DCF_Base!L23*(1+0.013000000000000001)/(0.057999999999999996-0.013000000000000001),Assumptions!$B$20*DCF_Base!L23))/(1+0.057999999999999996)^10-Assumptions!$B$17)/Assumptions!$B$18)</f>
        <v/>
      </c>
      <c r="D34" s="33">
        <f>IF(0.057999999999999996&lt;=0.018000000000000002,"n/a",(SUMPRODUCT(DCF_Base!C23:L23,1/(1+0.057999999999999996)^DCF_Base!C4:L4)+MAX(0,MIN(DCF_Base!L23*(1+0.018000000000000002)/(0.057999999999999996-0.018000000000000002),Assumptions!$B$20*DCF_Base!L23))/(1+0.057999999999999996)^10-Assumptions!$B$17)/Assumptions!$B$18)</f>
        <v/>
      </c>
      <c r="E34" s="33">
        <f>IF(0.057999999999999996&lt;=0.023,"n/a",(SUMPRODUCT(DCF_Base!C23:L23,1/(1+0.057999999999999996)^DCF_Base!C4:L4)+MAX(0,MIN(DCF_Base!L23*(1+0.023)/(0.057999999999999996-0.023),Assumptions!$B$20*DCF_Base!L23))/(1+0.057999999999999996)^10-Assumptions!$B$17)/Assumptions!$B$18)</f>
        <v/>
      </c>
      <c r="F34" s="33">
        <f>IF(0.057999999999999996&lt;=0.027999999999999997,"n/a",(SUMPRODUCT(DCF_Base!C23:L23,1/(1+0.057999999999999996)^DCF_Base!C4:L4)+MAX(0,MIN(DCF_Base!L23*(1+0.027999999999999997)/(0.057999999999999996-0.027999999999999997),Assumptions!$B$20*DCF_Base!L23))/(1+0.057999999999999996)^10-Assumptions!$B$17)/Assumptions!$B$18)</f>
        <v/>
      </c>
    </row>
    <row r="35">
      <c r="A35" s="2" t="inlineStr">
        <is>
          <t>6.8%</t>
        </is>
      </c>
      <c r="B35" s="33">
        <f>IF(0.068&lt;=0.008,"n/a",(SUMPRODUCT(DCF_Base!C23:L23,1/(1+0.068)^DCF_Base!C4:L4)+MAX(0,MIN(DCF_Base!L23*(1+0.008)/(0.068-0.008),Assumptions!$B$20*DCF_Base!L23))/(1+0.068)^10-Assumptions!$B$17)/Assumptions!$B$18)</f>
        <v/>
      </c>
      <c r="C35" s="33">
        <f>IF(0.068&lt;=0.013000000000000001,"n/a",(SUMPRODUCT(DCF_Base!C23:L23,1/(1+0.068)^DCF_Base!C4:L4)+MAX(0,MIN(DCF_Base!L23*(1+0.013000000000000001)/(0.068-0.013000000000000001),Assumptions!$B$20*DCF_Base!L23))/(1+0.068)^10-Assumptions!$B$17)/Assumptions!$B$18)</f>
        <v/>
      </c>
      <c r="D35" s="33">
        <f>IF(0.068&lt;=0.018000000000000002,"n/a",(SUMPRODUCT(DCF_Base!C23:L23,1/(1+0.068)^DCF_Base!C4:L4)+MAX(0,MIN(DCF_Base!L23*(1+0.018000000000000002)/(0.068-0.018000000000000002),Assumptions!$B$20*DCF_Base!L23))/(1+0.068)^10-Assumptions!$B$17)/Assumptions!$B$18)</f>
        <v/>
      </c>
      <c r="E35" s="33">
        <f>IF(0.068&lt;=0.023,"n/a",(SUMPRODUCT(DCF_Base!C23:L23,1/(1+0.068)^DCF_Base!C4:L4)+MAX(0,MIN(DCF_Base!L23*(1+0.023)/(0.068-0.023),Assumptions!$B$20*DCF_Base!L23))/(1+0.068)^10-Assumptions!$B$17)/Assumptions!$B$18)</f>
        <v/>
      </c>
      <c r="F35" s="33">
        <f>IF(0.068&lt;=0.027999999999999997,"n/a",(SUMPRODUCT(DCF_Base!C23:L23,1/(1+0.068)^DCF_Base!C4:L4)+MAX(0,MIN(DCF_Base!L23*(1+0.027999999999999997)/(0.068-0.027999999999999997),Assumptions!$B$20*DCF_Base!L23))/(1+0.068)^10-Assumptions!$B$17)/Assumptions!$B$18)</f>
        <v/>
      </c>
    </row>
    <row r="36">
      <c r="A36" s="2" t="inlineStr">
        <is>
          <t>7.8%</t>
        </is>
      </c>
      <c r="B36" s="33">
        <f>IF(0.078&lt;=0.008,"n/a",(SUMPRODUCT(DCF_Base!C23:L23,1/(1+0.078)^DCF_Base!C4:L4)+MAX(0,MIN(DCF_Base!L23*(1+0.008)/(0.078-0.008),Assumptions!$B$20*DCF_Base!L23))/(1+0.078)^10-Assumptions!$B$17)/Assumptions!$B$18)</f>
        <v/>
      </c>
      <c r="C36" s="33">
        <f>IF(0.078&lt;=0.013000000000000001,"n/a",(SUMPRODUCT(DCF_Base!C23:L23,1/(1+0.078)^DCF_Base!C4:L4)+MAX(0,MIN(DCF_Base!L23*(1+0.013000000000000001)/(0.078-0.013000000000000001),Assumptions!$B$20*DCF_Base!L23))/(1+0.078)^10-Assumptions!$B$17)/Assumptions!$B$18)</f>
        <v/>
      </c>
      <c r="D36" s="39">
        <f>IF(0.078&lt;=0.018000000000000002,"n/a",(SUMPRODUCT(DCF_Base!C23:L23,1/(1+0.078)^DCF_Base!C4:L4)+MAX(0,MIN(DCF_Base!L23*(1+0.018000000000000002)/(0.078-0.018000000000000002),Assumptions!$B$20*DCF_Base!L23))/(1+0.078)^10-Assumptions!$B$17)/Assumptions!$B$18)</f>
        <v/>
      </c>
      <c r="E36" s="33">
        <f>IF(0.078&lt;=0.023,"n/a",(SUMPRODUCT(DCF_Base!C23:L23,1/(1+0.078)^DCF_Base!C4:L4)+MAX(0,MIN(DCF_Base!L23*(1+0.023)/(0.078-0.023),Assumptions!$B$20*DCF_Base!L23))/(1+0.078)^10-Assumptions!$B$17)/Assumptions!$B$18)</f>
        <v/>
      </c>
      <c r="F36" s="33">
        <f>IF(0.078&lt;=0.027999999999999997,"n/a",(SUMPRODUCT(DCF_Base!C23:L23,1/(1+0.078)^DCF_Base!C4:L4)+MAX(0,MIN(DCF_Base!L23*(1+0.027999999999999997)/(0.078-0.027999999999999997),Assumptions!$B$20*DCF_Base!L23))/(1+0.078)^10-Assumptions!$B$17)/Assumptions!$B$18)</f>
        <v/>
      </c>
    </row>
    <row r="37">
      <c r="A37" s="2" t="inlineStr">
        <is>
          <t>8.8%</t>
        </is>
      </c>
      <c r="B37" s="33">
        <f>IF(0.08800000000000001&lt;=0.008,"n/a",(SUMPRODUCT(DCF_Base!C23:L23,1/(1+0.08800000000000001)^DCF_Base!C4:L4)+MAX(0,MIN(DCF_Base!L23*(1+0.008)/(0.08800000000000001-0.008),Assumptions!$B$20*DCF_Base!L23))/(1+0.08800000000000001)^10-Assumptions!$B$17)/Assumptions!$B$18)</f>
        <v/>
      </c>
      <c r="C37" s="33">
        <f>IF(0.08800000000000001&lt;=0.013000000000000001,"n/a",(SUMPRODUCT(DCF_Base!C23:L23,1/(1+0.08800000000000001)^DCF_Base!C4:L4)+MAX(0,MIN(DCF_Base!L23*(1+0.013000000000000001)/(0.08800000000000001-0.013000000000000001),Assumptions!$B$20*DCF_Base!L23))/(1+0.08800000000000001)^10-Assumptions!$B$17)/Assumptions!$B$18)</f>
        <v/>
      </c>
      <c r="D37" s="33">
        <f>IF(0.08800000000000001&lt;=0.018000000000000002,"n/a",(SUMPRODUCT(DCF_Base!C23:L23,1/(1+0.08800000000000001)^DCF_Base!C4:L4)+MAX(0,MIN(DCF_Base!L23*(1+0.018000000000000002)/(0.08800000000000001-0.018000000000000002),Assumptions!$B$20*DCF_Base!L23))/(1+0.08800000000000001)^10-Assumptions!$B$17)/Assumptions!$B$18)</f>
        <v/>
      </c>
      <c r="E37" s="33">
        <f>IF(0.08800000000000001&lt;=0.023,"n/a",(SUMPRODUCT(DCF_Base!C23:L23,1/(1+0.08800000000000001)^DCF_Base!C4:L4)+MAX(0,MIN(DCF_Base!L23*(1+0.023)/(0.08800000000000001-0.023),Assumptions!$B$20*DCF_Base!L23))/(1+0.08800000000000001)^10-Assumptions!$B$17)/Assumptions!$B$18)</f>
        <v/>
      </c>
      <c r="F37" s="33">
        <f>IF(0.08800000000000001&lt;=0.027999999999999997,"n/a",(SUMPRODUCT(DCF_Base!C23:L23,1/(1+0.08800000000000001)^DCF_Base!C4:L4)+MAX(0,MIN(DCF_Base!L23*(1+0.027999999999999997)/(0.08800000000000001-0.027999999999999997),Assumptions!$B$20*DCF_Base!L23))/(1+0.08800000000000001)^10-Assumptions!$B$17)/Assumptions!$B$18)</f>
        <v/>
      </c>
    </row>
    <row r="38">
      <c r="A38" s="2" t="inlineStr">
        <is>
          <t>9.8%</t>
        </is>
      </c>
      <c r="B38" s="33">
        <f>IF(0.098&lt;=0.008,"n/a",(SUMPRODUCT(DCF_Base!C23:L23,1/(1+0.098)^DCF_Base!C4:L4)+MAX(0,MIN(DCF_Base!L23*(1+0.008)/(0.098-0.008),Assumptions!$B$20*DCF_Base!L23))/(1+0.098)^10-Assumptions!$B$17)/Assumptions!$B$18)</f>
        <v/>
      </c>
      <c r="C38" s="33">
        <f>IF(0.098&lt;=0.013000000000000001,"n/a",(SUMPRODUCT(DCF_Base!C23:L23,1/(1+0.098)^DCF_Base!C4:L4)+MAX(0,MIN(DCF_Base!L23*(1+0.013000000000000001)/(0.098-0.013000000000000001),Assumptions!$B$20*DCF_Base!L23))/(1+0.098)^10-Assumptions!$B$17)/Assumptions!$B$18)</f>
        <v/>
      </c>
      <c r="D38" s="33">
        <f>IF(0.098&lt;=0.018000000000000002,"n/a",(SUMPRODUCT(DCF_Base!C23:L23,1/(1+0.098)^DCF_Base!C4:L4)+MAX(0,MIN(DCF_Base!L23*(1+0.018000000000000002)/(0.098-0.018000000000000002),Assumptions!$B$20*DCF_Base!L23))/(1+0.098)^10-Assumptions!$B$17)/Assumptions!$B$18)</f>
        <v/>
      </c>
      <c r="E38" s="33">
        <f>IF(0.098&lt;=0.023,"n/a",(SUMPRODUCT(DCF_Base!C23:L23,1/(1+0.098)^DCF_Base!C4:L4)+MAX(0,MIN(DCF_Base!L23*(1+0.023)/(0.098-0.023),Assumptions!$B$20*DCF_Base!L23))/(1+0.098)^10-Assumptions!$B$17)/Assumptions!$B$18)</f>
        <v/>
      </c>
      <c r="F38" s="33">
        <f>IF(0.098&lt;=0.027999999999999997,"n/a",(SUMPRODUCT(DCF_Base!C23:L23,1/(1+0.098)^DCF_Base!C4:L4)+MAX(0,MIN(DCF_Base!L23*(1+0.027999999999999997)/(0.098-0.027999999999999997),Assumptions!$B$20*DCF_Base!L23))/(1+0.098)^10-Assumptions!$B$17)/Assumptions!$B$18)</f>
        <v/>
      </c>
    </row>
    <row r="40" ht="65" customHeight="1">
      <c r="A40" s="40" t="inlineStr">
        <is>
          <t>Reading the grid: even the most generous corner (5.8% WACC, 2.8% terminal growth) yields roughly EUR 52, barely at the EUR 51.29 offer. No plausible discount-rate / terminal-growth pair makes the standalone business worth materially more than the consortium is paying. Flat rows are the 18x terminal cap binding, which is intended.</t>
        </is>
      </c>
    </row>
    <row r="42" ht="52" customHeight="1">
      <c r="A42" s="40" t="inlineStr">
        <is>
          <t>CONCLUSION: AVOID at EUR 52.65. The weighted value is below the price under EVERY plausible weighting; a buyer needs a ~48% chance of a bump merely to break even even if the deal cannot break, and 67% at a realistic 10% break risk. Risk/reward is 4.6:1 against.</t>
        </is>
      </c>
    </row>
  </sheetData>
  <mergeCells count="2">
    <mergeCell ref="A40:F40"/>
    <mergeCell ref="A42:F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2026-08-28T21:21:39Z</dcterms:created>
  <dcterms:modified xsi:type="dcterms:W3CDTF">2026-08-28T21:21:39Z</dcterms:modified>
</cp:coreProperties>
</file>