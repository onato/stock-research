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<sst xmlns="http://schemas.openxmlformats.org/spreadsheetml/2006/main" count="345" uniqueCount="160">
  <si>
    <t xml:space="preserve">Ticker</t>
  </si>
  <si>
    <t xml:space="preserve">SW</t>
  </si>
  <si>
    <t xml:space="preserve">Company</t>
  </si>
  <si>
    <t xml:space="preserve">Smurfit Westrock plc</t>
  </si>
  <si>
    <t xml:space="preserve">Valuation date</t>
  </si>
  <si>
    <t xml:space="preserve">2026-10-03</t>
  </si>
  <si>
    <t xml:space="preserve">Current price</t>
  </si>
  <si>
    <t xml:space="preserve">Price as of</t>
  </si>
  <si>
    <t xml:space="preserve">2026-10-02T20:00:02Z regular close (Yahoo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</si>
  <si>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</si>
  <si>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</si>
  <si>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</si>
  <si>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</si>
  <si>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</si>
  <si>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</si>
  <si>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</si>
  <si>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</si>
  <si>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</si>
  <si>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</si>
  <si>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</si>
  <si>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</si>
  <si>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2026-10-02T21:17:32Z</t>
  </si>
  <si>
    <t xml:space="preserve">Drivers file</t>
  </si>
  <si>
    <t xml:space="preserve">SW_Drivers.json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</si>
  <si>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</si>
  <si>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</si>
  <si>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</si>
  <si>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Mid-cycle owner-FCF DCF on the first full post-merger year. The thesis is margin, not growth: the market is ~2% volume growth and a price-taking commodity, so value turns on whether the combined network earns a 17% (base) or 19% (management) through-cycle EBITDA margin. Pre-merger history is unusable for growth; it is used only as a margin reference (legacy Smurfit Kappa earned ~16-19%). Heavy leverage ($13.5B net debt against ~$22B equity) makes equity value roughly 1.6x geared to enterprise value -- every $1B of EV is ~$1.90/share.
key_risks_to_valuation: Containerboard pricing: each 1pp of through-cycle EBITDA margin is ~$0.3B/yr of EBITDA and roughly $5-6/share; Leverage gearing: net debt ~60% of market cap amplifies any EV error into equity; Guidance credibility: FY2026 was cut once in August 2026 on freight and input costs; Capex: guidance excludes ~$4B of growth capex; if it is spent without return, FCF is overstated; Pension and restructuring: closures are recurring; the 0.5%-of-revenue allowance may be light in a downturn</t>
  </si>
  <si>
    <t xml:space="preserve">Data sources</t>
  </si>
  <si>
    <t xml:space="preserve">price: Yahoo Finance chart API at inputs.price_as_of; 52-week range 32.73-52.65
financials: SW_Metrics.csv (SEC XBRL, FY2022-Q2 2026); SEC companyfacts (CIK 2005951) for diluted shares, NCI, pension liability, lease liabilities, interest expense, restructuring charges
qualitative: SW_Analysis.json (2026-10-03): FY2026 guidance, Feb-2026 medium-term targets, Q2 2026 results</t>
  </si>
  <si>
    <t xml:space="preserve">Scenario narrative: bear</t>
  </si>
  <si>
    <t xml:space="preserve">The 2026 tightening proves temporary: new NA recycled-containerboard capacity and a consumer slowdown reverse pricing in 2027 (revenue -1%), European demand stays weak, and the cost inflation that forced the August-2026 guidance cut becomes structural. Margins sit at the FY2025 ~15% level for a decade, synergies are competed away to customers, and with ~2.9x net debt/EBITDA buybacks never start. The business survives comfortably (investment grade, no refinancing wall) -- this is an earnings bear, not a solvency bear.</t>
  </si>
  <si>
    <t xml:space="preserve">Scenario narrative: base</t>
  </si>
  <si>
    <t xml:space="preserve">The merger thesis half-works. FY2026 lands at the cut $4.9-5.1B guide as freight (~$300M) and input inflation (~$300M) absorb the early-2026 price gains; the $100/t NA increase for 2027 and the &gt;$400M synergy run-rate lift EBITDA margins ~80bps in 2027, and network closures (Birmingham, UK/NL converting, NA box plants) carry the margin to ~17.3% by 2030 -- about $6.3B EBITDA against management's ~$7B. Volume grows with the market (~1.6-2.0%) plus modest price. Deleveraging toward &lt;2.0x proceeds, buybacks start late 2027, but containerboard remains a price-taking cyclical and margins settle at a 17% through-cycle level. Terminal at 16x unlevered owner FCF (~5.8x EBITDA) assumes no re-rating above today's ~7x EV/EBITDA.</t>
  </si>
  <si>
    <t xml:space="preserve">Scenario narrative: bull</t>
  </si>
  <si>
    <t xml:space="preserve">Management's medium-term plan is delivered in full: the tight 2026 market ('nearly sold out' on most grades) carries the $100/t increase into 2027, freight normalises, North America's 'full potential' (WestRock mill reliability, mix) closes the margin gap to legacy Smurfit Kappa, and EBITDA reaches ~$7B (~19%) by 2030 with ~$14B of discretionary FCF funding dividends and buybacks. Plastic-to-fibre substitution and EU PPWR add ~0.5pp/yr of volume. Through-cycle margin settles at 18.5%.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</si>
  <si>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</si>
  <si>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</si>
  <si>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</si>
  <si>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</si>
  <si>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</si>
  <si>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</si>
  <si>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</si>
  <si>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</si>
  <si>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</si>
  <si>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</si>
  <si>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</si>
  <si>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</si>
  <si>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</si>
  <si>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</si>
  <si>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</si>
  <si>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</si>
  <si>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</si>
  <si>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</si>
  <si>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</si>
  <si>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</si>
  <si>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</si>
  <si>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</si>
  <si>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</si>
  <si>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</si>
  <si>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</si>
  <si>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</si>
  <si>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</si>
  <si>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</si>
  <si>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</si>
  <si>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</si>
  <si>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</si>
  <si>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</si>
  <si>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</si>
  <si>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</si>
  <si>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</si>
  <si>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</si>
  <si>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</si>
  <si>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</si>
  <si>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</si>
  <si>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</si>
  <si>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</si>
  <si>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</si>
  <si>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</si>
  <si>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</si>
  <si>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</si>
  <si>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</si>
  <si>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</si>
  <si>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</si>
  <si>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</si>
  <si>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</si>
  <si>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</si>
  <si>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</si>
  <si>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</si>
  <si>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</si>
  <si>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</si>
  <si>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</si>
  <si>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</si>
  <si>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</si>
  <si>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</si>
  <si>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</si>
  <si>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</si>
  <si>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</si>
  <si>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</si>
  <si>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</si>
  <si>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</si>
  <si>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</si>
  <si>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</si>
  <si>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</si>
  <si>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</si>
  <si>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SW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</si>
  <si>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</si>
  <si>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</si>
  <si>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</si>
  <si>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</si>
  <si>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</si>
  <si>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</si>
  <si>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</si>
  <si>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</si>
  <si>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</si>
  <si>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</si>
  <si>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</si>
  <si>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</si>
  <si>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</si>
  <si>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</si>
  <si>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</si>
  <si>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</si>
  <si>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</si>
  <si>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</si>
  <si>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</si>
  <si>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</si>
  <si>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</si>
  <si>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</si>
  <si>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</si>
  <si>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</si>
  <si>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</si>
  <si>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</si>
  <si>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</si>
  <si>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</si>
  <si>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</si>
  <si>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</si>
  <si>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SW owner-FCF component DCF: base case (millions, USD)</t>
  </si>
  <si>
    <t xml:space="preserve">SW owner-FCF component DCF: bull case (millions, USD)</t>
  </si>
  <si>
    <t xml:space="preserve">SW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</si>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</sst>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42.54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4929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13509</v>
      </c>
      <c r="C3" s="0" t="n">
        <v>10237</v>
      </c>
      <c r="D3" s="0" t="n">
        <v>3272</v>
      </c>
      <c r="E3" s="0" t="n">
        <v>24.2208897771856</v>
      </c>
      <c r="F3" s="0" t="n">
        <v>1558</v>
      </c>
      <c r="G3" s="0" t="n">
        <v>11.5330520393812</v>
      </c>
      <c r="H3" s="0" t="n">
        <v>2122</v>
      </c>
      <c r="I3" s="0" t="n">
        <v>1035</v>
      </c>
      <c r="J3" s="0" t="n">
        <v>7.66155896069287</v>
      </c>
      <c r="K3" s="0" t="n">
        <v>4</v>
      </c>
      <c r="L3" s="0" t="n">
        <v>1433</v>
      </c>
      <c r="M3" s="0" t="n">
        <v>930</v>
      </c>
      <c r="N3" s="0" t="n">
        <v>503</v>
      </c>
      <c r="O3" s="0" t="n">
        <v>5343</v>
      </c>
      <c r="T3" s="0" t="n">
        <v>261</v>
      </c>
      <c r="U3" s="0" t="n">
        <v>68</v>
      </c>
      <c r="V3" s="0" t="n">
        <v>1.35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12093</v>
      </c>
      <c r="C4" s="0" t="n">
        <v>9039</v>
      </c>
      <c r="D4" s="0" t="n">
        <v>3054</v>
      </c>
      <c r="E4" s="0" t="n">
        <v>25.2542793351526</v>
      </c>
      <c r="F4" s="0" t="n">
        <v>1372</v>
      </c>
      <c r="G4" s="0" t="n">
        <v>11.3454064334739</v>
      </c>
      <c r="H4" s="0" t="n">
        <v>1952</v>
      </c>
      <c r="I4" s="0" t="n">
        <v>826</v>
      </c>
      <c r="J4" s="0" t="n">
        <v>6.83039775076491</v>
      </c>
      <c r="K4" s="0" t="n">
        <v>3.19</v>
      </c>
      <c r="L4" s="0" t="n">
        <v>1559</v>
      </c>
      <c r="M4" s="0" t="n">
        <v>929</v>
      </c>
      <c r="N4" s="0" t="n">
        <v>630</v>
      </c>
      <c r="O4" s="0" t="n">
        <v>6174</v>
      </c>
      <c r="P4" s="0" t="n">
        <v>14051</v>
      </c>
      <c r="Q4" s="0" t="n">
        <v>7877</v>
      </c>
      <c r="R4" s="0" t="n">
        <v>3747</v>
      </c>
      <c r="S4" s="0" t="n">
        <v>1000</v>
      </c>
      <c r="T4" s="0" t="n">
        <v>260.354342</v>
      </c>
      <c r="U4" s="0" t="n">
        <v>66</v>
      </c>
      <c r="V4" s="0" t="n">
        <v>1.5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21109</v>
      </c>
      <c r="C5" s="0" t="n">
        <v>16914</v>
      </c>
      <c r="D5" s="0" t="n">
        <v>4195</v>
      </c>
      <c r="E5" s="0" t="n">
        <v>19.8730399355725</v>
      </c>
      <c r="F5" s="0" t="n">
        <v>1007</v>
      </c>
      <c r="G5" s="0" t="n">
        <v>4.77047704770477</v>
      </c>
      <c r="H5" s="0" t="n">
        <v>2471</v>
      </c>
      <c r="I5" s="0" t="n">
        <v>319</v>
      </c>
      <c r="J5" s="0" t="n">
        <v>1.51120375195414</v>
      </c>
      <c r="K5" s="0" t="n">
        <v>0.83</v>
      </c>
      <c r="L5" s="0" t="n">
        <v>1483</v>
      </c>
      <c r="M5" s="0" t="n">
        <v>1466</v>
      </c>
      <c r="N5" s="0" t="n">
        <v>17</v>
      </c>
      <c r="O5" s="0" t="n">
        <v>17387</v>
      </c>
      <c r="P5" s="0" t="n">
        <v>43759</v>
      </c>
      <c r="Q5" s="0" t="n">
        <v>26372</v>
      </c>
      <c r="R5" s="0" t="n">
        <v>13595</v>
      </c>
      <c r="S5" s="0" t="n">
        <v>855</v>
      </c>
      <c r="T5" s="0" t="n">
        <v>520.444261</v>
      </c>
      <c r="U5" s="0" t="n">
        <v>206</v>
      </c>
      <c r="V5" s="0" t="n">
        <v>1.89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31179</v>
      </c>
      <c r="C6" s="0" t="n">
        <v>25136</v>
      </c>
      <c r="D6" s="0" t="n">
        <v>6043</v>
      </c>
      <c r="E6" s="0" t="n">
        <v>19.3816350748902</v>
      </c>
      <c r="F6" s="0" t="n">
        <v>1719</v>
      </c>
      <c r="G6" s="0" t="n">
        <v>5.51332627730203</v>
      </c>
      <c r="H6" s="0" t="n">
        <v>4269</v>
      </c>
      <c r="I6" s="0" t="n">
        <v>699</v>
      </c>
      <c r="J6" s="0" t="n">
        <v>2.2418935822188</v>
      </c>
      <c r="K6" s="0" t="n">
        <v>1.34</v>
      </c>
      <c r="L6" s="0" t="n">
        <v>3392</v>
      </c>
      <c r="M6" s="0" t="n">
        <v>2192</v>
      </c>
      <c r="N6" s="0" t="n">
        <v>1200</v>
      </c>
      <c r="O6" s="0" t="n">
        <v>18354</v>
      </c>
      <c r="P6" s="0" t="n">
        <v>45157</v>
      </c>
      <c r="Q6" s="0" t="n">
        <v>26803</v>
      </c>
      <c r="R6" s="0" t="n">
        <v>13773</v>
      </c>
      <c r="S6" s="0" t="n">
        <v>892</v>
      </c>
      <c r="T6" s="0" t="n">
        <v>526</v>
      </c>
      <c r="U6" s="0" t="n">
        <v>139</v>
      </c>
      <c r="V6" s="0" t="n">
        <v>1.72</v>
      </c>
      <c r="AA6" s="0" t="s">
        <v>17</v>
      </c>
      <c r="AB6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68</v>
      </c>
      <c r="B1" s="2" t="s">
        <v>69</v>
      </c>
    </row>
    <row r="2" customFormat="false" ht="15" hidden="false" customHeight="false" outlineLevel="0" collapsed="false">
      <c r="A2" s="0" t="s">
        <v>70</v>
      </c>
      <c r="B2" s="3" t="n">
        <v>42.54</v>
      </c>
    </row>
    <row r="3" customFormat="false" ht="15" hidden="false" customHeight="false" outlineLevel="0" collapsed="false">
      <c r="A3" s="0" t="s">
        <v>71</v>
      </c>
      <c r="B3" s="3" t="n">
        <v>526</v>
      </c>
    </row>
    <row r="4" customFormat="false" ht="15" hidden="false" customHeight="false" outlineLevel="0" collapsed="false">
      <c r="A4" s="0" t="s">
        <v>72</v>
      </c>
      <c r="B4" s="3" t="n">
        <v>13487</v>
      </c>
    </row>
    <row r="5" customFormat="false" ht="15" hidden="false" customHeight="false" outlineLevel="0" collapsed="false">
      <c r="A5" s="0" t="s">
        <v>73</v>
      </c>
      <c r="B5" s="3" t="n">
        <v>-547</v>
      </c>
    </row>
    <row r="6" customFormat="false" ht="15" hidden="false" customHeight="false" outlineLevel="0" collapsed="false">
      <c r="A6" s="0" t="s">
        <v>74</v>
      </c>
      <c r="B6" s="3" t="n">
        <v>15</v>
      </c>
    </row>
    <row r="7" customFormat="false" ht="15" hidden="false" customHeight="false" outlineLevel="0" collapsed="false">
      <c r="A7" s="0" t="s">
        <v>75</v>
      </c>
      <c r="B7" s="3" t="n">
        <v>31179</v>
      </c>
    </row>
    <row r="8" customFormat="false" ht="15" hidden="false" customHeight="false" outlineLevel="0" collapsed="false">
      <c r="A8" s="0" t="s">
        <v>76</v>
      </c>
      <c r="B8" s="3" t="s">
        <v>67</v>
      </c>
    </row>
    <row r="9" customFormat="false" ht="15" hidden="false" customHeight="false" outlineLevel="0" collapsed="false">
      <c r="A9" s="0" t="s">
        <v>77</v>
      </c>
      <c r="B9" s="3" t="s">
        <v>78</v>
      </c>
    </row>
    <row r="10" customFormat="false" ht="15" hidden="false" customHeight="false" outlineLevel="0" collapsed="false">
      <c r="A10" s="0" t="s">
        <v>79</v>
      </c>
      <c r="B10" s="3" t="n">
        <v>1</v>
      </c>
    </row>
    <row r="12" customFormat="false" ht="15" hidden="false" customHeight="false" outlineLevel="0" collapsed="false">
      <c r="A12" s="2" t="s">
        <v>80</v>
      </c>
      <c r="C12" s="2" t="s">
        <v>81</v>
      </c>
      <c r="D12" s="2" t="s">
        <v>82</v>
      </c>
      <c r="E12" s="2" t="s">
        <v>83</v>
      </c>
      <c r="F12" s="2" t="s">
        <v>84</v>
      </c>
      <c r="G12" s="2" t="s">
        <v>85</v>
      </c>
      <c r="H12" s="2" t="s">
        <v>86</v>
      </c>
      <c r="I12" s="2" t="s">
        <v>87</v>
      </c>
      <c r="J12" s="2" t="s">
        <v>88</v>
      </c>
      <c r="K12" s="2" t="s">
        <v>89</v>
      </c>
      <c r="L12" s="2" t="s">
        <v>90</v>
      </c>
    </row>
    <row r="13" customFormat="false" ht="15" hidden="false" customHeight="false" outlineLevel="0" collapsed="false">
      <c r="A13" s="0" t="s">
        <v>91</v>
      </c>
      <c r="C13" s="3" t="n">
        <v>2.5</v>
      </c>
      <c r="D13" s="3" t="n">
        <v>-1</v>
      </c>
      <c r="E13" s="3" t="n">
        <v>1.5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92</v>
      </c>
      <c r="C14" s="3" t="n">
        <v>15</v>
      </c>
      <c r="D14" s="3" t="n">
        <v>14.5</v>
      </c>
      <c r="E14" s="3" t="n">
        <v>14.8</v>
      </c>
      <c r="F14" s="3" t="n">
        <v>15</v>
      </c>
      <c r="G14" s="3" t="n">
        <v>15</v>
      </c>
      <c r="H14" s="3" t="n">
        <v>15</v>
      </c>
      <c r="I14" s="3" t="n">
        <v>15</v>
      </c>
      <c r="J14" s="3" t="n">
        <v>15</v>
      </c>
      <c r="K14" s="3" t="n">
        <v>15</v>
      </c>
      <c r="L14" s="3" t="n">
        <v>15</v>
      </c>
    </row>
    <row r="15" customFormat="false" ht="15" hidden="false" customHeight="false" outlineLevel="0" collapsed="false">
      <c r="A15" s="0" t="s">
        <v>93</v>
      </c>
      <c r="C15" s="3" t="n">
        <v>0.65</v>
      </c>
      <c r="D15" s="3" t="n">
        <v>0.65</v>
      </c>
      <c r="E15" s="3" t="n">
        <v>0.65</v>
      </c>
      <c r="F15" s="3" t="n">
        <v>0.65</v>
      </c>
      <c r="G15" s="3" t="n">
        <v>0.65</v>
      </c>
      <c r="H15" s="3" t="n">
        <v>0.65</v>
      </c>
      <c r="I15" s="3" t="n">
        <v>0.65</v>
      </c>
      <c r="J15" s="3" t="n">
        <v>0.65</v>
      </c>
      <c r="K15" s="3" t="n">
        <v>0.65</v>
      </c>
      <c r="L15" s="3" t="n">
        <v>0.65</v>
      </c>
    </row>
    <row r="16" customFormat="false" ht="15" hidden="false" customHeight="false" outlineLevel="0" collapsed="false">
      <c r="A16" s="0" t="s">
        <v>94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95</v>
      </c>
      <c r="C17" s="3" t="n">
        <v>8.6</v>
      </c>
      <c r="D17" s="3" t="n">
        <v>8.4</v>
      </c>
      <c r="E17" s="3" t="n">
        <v>8.2</v>
      </c>
      <c r="F17" s="3" t="n">
        <v>8</v>
      </c>
      <c r="G17" s="3" t="n">
        <v>7.9</v>
      </c>
      <c r="H17" s="3" t="n">
        <v>7.8</v>
      </c>
      <c r="I17" s="3" t="n">
        <v>7.7</v>
      </c>
      <c r="J17" s="3" t="n">
        <v>7.7</v>
      </c>
      <c r="K17" s="3" t="n">
        <v>7.7</v>
      </c>
      <c r="L17" s="3" t="n">
        <v>7.7</v>
      </c>
    </row>
    <row r="18" customFormat="false" ht="15" hidden="false" customHeight="false" outlineLevel="0" collapsed="false">
      <c r="A18" s="0" t="s">
        <v>96</v>
      </c>
      <c r="C18" s="3" t="n">
        <v>7.4</v>
      </c>
      <c r="D18" s="3" t="n">
        <v>7.7</v>
      </c>
      <c r="E18" s="3" t="n">
        <v>7.7</v>
      </c>
      <c r="F18" s="3" t="n">
        <v>7.7</v>
      </c>
      <c r="G18" s="3" t="n">
        <v>7.7</v>
      </c>
      <c r="H18" s="3" t="n">
        <v>7.7</v>
      </c>
      <c r="I18" s="3" t="n">
        <v>7.7</v>
      </c>
      <c r="J18" s="3" t="n">
        <v>7.7</v>
      </c>
      <c r="K18" s="3" t="n">
        <v>7.7</v>
      </c>
      <c r="L18" s="3" t="n">
        <v>7.7</v>
      </c>
    </row>
    <row r="19" customFormat="false" ht="15" hidden="false" customHeight="false" outlineLevel="0" collapsed="false">
      <c r="A19" s="0" t="s">
        <v>97</v>
      </c>
      <c r="C19" s="3" t="n">
        <v>25</v>
      </c>
      <c r="D19" s="3" t="n">
        <v>25</v>
      </c>
      <c r="E19" s="3" t="n">
        <v>25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98</v>
      </c>
      <c r="B20" s="3" t="n">
        <v>8</v>
      </c>
    </row>
    <row r="21" customFormat="false" ht="15" hidden="false" customHeight="false" outlineLevel="0" collapsed="false">
      <c r="A21" s="0" t="s">
        <v>99</v>
      </c>
      <c r="B21" s="3" t="n">
        <v>1.5</v>
      </c>
    </row>
    <row r="22" customFormat="false" ht="15" hidden="false" customHeight="false" outlineLevel="0" collapsed="false">
      <c r="A22" s="0" t="s">
        <v>100</v>
      </c>
      <c r="B22" s="3" t="n">
        <v>14</v>
      </c>
    </row>
    <row r="23" customFormat="false" ht="15" hidden="false" customHeight="false" outlineLevel="0" collapsed="false">
      <c r="A23" s="0" t="s">
        <v>101</v>
      </c>
      <c r="B23" s="3" t="n">
        <v>-10</v>
      </c>
    </row>
    <row r="24" customFormat="false" ht="15" hidden="false" customHeight="false" outlineLevel="0" collapsed="false">
      <c r="A24" s="0" t="s">
        <v>102</v>
      </c>
      <c r="B24" s="3" t="n">
        <v>0.25</v>
      </c>
    </row>
    <row r="26" customFormat="false" ht="15" hidden="false" customHeight="false" outlineLevel="0" collapsed="false">
      <c r="A26" s="2" t="s">
        <v>103</v>
      </c>
      <c r="C26" s="2" t="s">
        <v>81</v>
      </c>
      <c r="D26" s="2" t="s">
        <v>82</v>
      </c>
      <c r="E26" s="2" t="s">
        <v>83</v>
      </c>
      <c r="F26" s="2" t="s">
        <v>84</v>
      </c>
      <c r="G26" s="2" t="s">
        <v>85</v>
      </c>
      <c r="H26" s="2" t="s">
        <v>86</v>
      </c>
      <c r="I26" s="2" t="s">
        <v>87</v>
      </c>
      <c r="J26" s="2" t="s">
        <v>88</v>
      </c>
      <c r="K26" s="2" t="s">
        <v>89</v>
      </c>
      <c r="L26" s="2" t="s">
        <v>90</v>
      </c>
    </row>
    <row r="27" customFormat="false" ht="15" hidden="false" customHeight="false" outlineLevel="0" collapsed="false">
      <c r="A27" s="0" t="s">
        <v>91</v>
      </c>
      <c r="C27" s="3" t="n">
        <v>3</v>
      </c>
      <c r="D27" s="3" t="n">
        <v>4.5</v>
      </c>
      <c r="E27" s="3" t="n">
        <v>3</v>
      </c>
      <c r="F27" s="3" t="n">
        <v>3</v>
      </c>
      <c r="G27" s="3" t="n">
        <v>3</v>
      </c>
      <c r="H27" s="3" t="n">
        <v>2.5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92</v>
      </c>
      <c r="C28" s="3" t="n">
        <v>15.2</v>
      </c>
      <c r="D28" s="3" t="n">
        <v>16</v>
      </c>
      <c r="E28" s="3" t="n">
        <v>16.5</v>
      </c>
      <c r="F28" s="3" t="n">
        <v>17</v>
      </c>
      <c r="G28" s="3" t="n">
        <v>17.3</v>
      </c>
      <c r="H28" s="3" t="n">
        <v>17.3</v>
      </c>
      <c r="I28" s="3" t="n">
        <v>17.2</v>
      </c>
      <c r="J28" s="3" t="n">
        <v>17</v>
      </c>
      <c r="K28" s="3" t="n">
        <v>17</v>
      </c>
      <c r="L28" s="3" t="n">
        <v>17</v>
      </c>
    </row>
    <row r="29" customFormat="false" ht="15" hidden="false" customHeight="false" outlineLevel="0" collapsed="false">
      <c r="A29" s="0" t="s">
        <v>93</v>
      </c>
      <c r="C29" s="3" t="n">
        <v>0.65</v>
      </c>
      <c r="D29" s="3" t="n">
        <v>0.65</v>
      </c>
      <c r="E29" s="3" t="n">
        <v>0.65</v>
      </c>
      <c r="F29" s="3" t="n">
        <v>0.65</v>
      </c>
      <c r="G29" s="3" t="n">
        <v>0.65</v>
      </c>
      <c r="H29" s="3" t="n">
        <v>0.65</v>
      </c>
      <c r="I29" s="3" t="n">
        <v>0.65</v>
      </c>
      <c r="J29" s="3" t="n">
        <v>0.65</v>
      </c>
      <c r="K29" s="3" t="n">
        <v>0.65</v>
      </c>
      <c r="L29" s="3" t="n">
        <v>0.65</v>
      </c>
    </row>
    <row r="30" customFormat="false" ht="15" hidden="false" customHeight="false" outlineLevel="0" collapsed="false">
      <c r="A30" s="0" t="s">
        <v>94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95</v>
      </c>
      <c r="C31" s="3" t="n">
        <v>8.6</v>
      </c>
      <c r="D31" s="3" t="n">
        <v>8.3</v>
      </c>
      <c r="E31" s="3" t="n">
        <v>8.1</v>
      </c>
      <c r="F31" s="3" t="n">
        <v>7.9</v>
      </c>
      <c r="G31" s="3" t="n">
        <v>7.8</v>
      </c>
      <c r="H31" s="3" t="n">
        <v>7.7</v>
      </c>
      <c r="I31" s="3" t="n">
        <v>7.6</v>
      </c>
      <c r="J31" s="3" t="n">
        <v>7.6</v>
      </c>
      <c r="K31" s="3" t="n">
        <v>7.6</v>
      </c>
      <c r="L31" s="3" t="n">
        <v>7.6</v>
      </c>
    </row>
    <row r="32" customFormat="false" ht="15" hidden="false" customHeight="false" outlineLevel="0" collapsed="false">
      <c r="A32" s="0" t="s">
        <v>96</v>
      </c>
      <c r="C32" s="3" t="n">
        <v>7.4</v>
      </c>
      <c r="D32" s="3" t="n">
        <v>7.6</v>
      </c>
      <c r="E32" s="3" t="n">
        <v>7.6</v>
      </c>
      <c r="F32" s="3" t="n">
        <v>7.6</v>
      </c>
      <c r="G32" s="3" t="n">
        <v>7.6</v>
      </c>
      <c r="H32" s="3" t="n">
        <v>7.6</v>
      </c>
      <c r="I32" s="3" t="n">
        <v>7.6</v>
      </c>
      <c r="J32" s="3" t="n">
        <v>7.6</v>
      </c>
      <c r="K32" s="3" t="n">
        <v>7.6</v>
      </c>
      <c r="L32" s="3" t="n">
        <v>7.6</v>
      </c>
    </row>
    <row r="33" customFormat="false" ht="15" hidden="false" customHeight="false" outlineLevel="0" collapsed="false">
      <c r="A33" s="0" t="s">
        <v>97</v>
      </c>
      <c r="C33" s="3" t="n">
        <v>25</v>
      </c>
      <c r="D33" s="3" t="n">
        <v>25</v>
      </c>
      <c r="E33" s="3" t="n">
        <v>25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98</v>
      </c>
      <c r="B34" s="3" t="n">
        <v>8</v>
      </c>
    </row>
    <row r="35" customFormat="false" ht="15" hidden="false" customHeight="false" outlineLevel="0" collapsed="false">
      <c r="A35" s="0" t="s">
        <v>99</v>
      </c>
      <c r="B35" s="3" t="n">
        <v>2</v>
      </c>
    </row>
    <row r="36" customFormat="false" ht="15" hidden="false" customHeight="false" outlineLevel="0" collapsed="false">
      <c r="A36" s="0" t="s">
        <v>100</v>
      </c>
      <c r="B36" s="3" t="n">
        <v>16</v>
      </c>
    </row>
    <row r="37" customFormat="false" ht="15" hidden="false" customHeight="false" outlineLevel="0" collapsed="false">
      <c r="A37" s="0" t="s">
        <v>101</v>
      </c>
      <c r="B37" s="3" t="n">
        <v>-10</v>
      </c>
    </row>
    <row r="38" customFormat="false" ht="15" hidden="false" customHeight="false" outlineLevel="0" collapsed="false">
      <c r="A38" s="0" t="s">
        <v>102</v>
      </c>
      <c r="B38" s="3" t="n">
        <v>0.5</v>
      </c>
    </row>
    <row r="40" customFormat="false" ht="15" hidden="false" customHeight="false" outlineLevel="0" collapsed="false">
      <c r="A40" s="2" t="s">
        <v>104</v>
      </c>
      <c r="C40" s="2" t="s">
        <v>81</v>
      </c>
      <c r="D40" s="2" t="s">
        <v>82</v>
      </c>
      <c r="E40" s="2" t="s">
        <v>83</v>
      </c>
      <c r="F40" s="2" t="s">
        <v>84</v>
      </c>
      <c r="G40" s="2" t="s">
        <v>85</v>
      </c>
      <c r="H40" s="2" t="s">
        <v>86</v>
      </c>
      <c r="I40" s="2" t="s">
        <v>87</v>
      </c>
      <c r="J40" s="2" t="s">
        <v>88</v>
      </c>
      <c r="K40" s="2" t="s">
        <v>89</v>
      </c>
      <c r="L40" s="2" t="s">
        <v>90</v>
      </c>
    </row>
    <row r="41" customFormat="false" ht="15" hidden="false" customHeight="false" outlineLevel="0" collapsed="false">
      <c r="A41" s="0" t="s">
        <v>91</v>
      </c>
      <c r="C41" s="3" t="n">
        <v>3</v>
      </c>
      <c r="D41" s="3" t="n">
        <v>6.5</v>
      </c>
      <c r="E41" s="3" t="n">
        <v>4</v>
      </c>
      <c r="F41" s="3" t="n">
        <v>3.5</v>
      </c>
      <c r="G41" s="3" t="n">
        <v>3.5</v>
      </c>
      <c r="H41" s="3" t="n">
        <v>3</v>
      </c>
      <c r="I41" s="3" t="n">
        <v>3</v>
      </c>
      <c r="J41" s="3" t="n">
        <v>3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92</v>
      </c>
      <c r="C42" s="3" t="n">
        <v>15.2</v>
      </c>
      <c r="D42" s="3" t="n">
        <v>16.8</v>
      </c>
      <c r="E42" s="3" t="n">
        <v>17.8</v>
      </c>
      <c r="F42" s="3" t="n">
        <v>18.6</v>
      </c>
      <c r="G42" s="3" t="n">
        <v>19.2</v>
      </c>
      <c r="H42" s="3" t="n">
        <v>19.2</v>
      </c>
      <c r="I42" s="3" t="n">
        <v>19</v>
      </c>
      <c r="J42" s="3" t="n">
        <v>18.8</v>
      </c>
      <c r="K42" s="3" t="n">
        <v>18.5</v>
      </c>
      <c r="L42" s="3" t="n">
        <v>18.5</v>
      </c>
    </row>
    <row r="43" customFormat="false" ht="15" hidden="false" customHeight="false" outlineLevel="0" collapsed="false">
      <c r="A43" s="0" t="s">
        <v>93</v>
      </c>
      <c r="C43" s="3" t="n">
        <v>0.65</v>
      </c>
      <c r="D43" s="3" t="n">
        <v>0.65</v>
      </c>
      <c r="E43" s="3" t="n">
        <v>0.65</v>
      </c>
      <c r="F43" s="3" t="n">
        <v>0.65</v>
      </c>
      <c r="G43" s="3" t="n">
        <v>0.65</v>
      </c>
      <c r="H43" s="3" t="n">
        <v>0.65</v>
      </c>
      <c r="I43" s="3" t="n">
        <v>0.65</v>
      </c>
      <c r="J43" s="3" t="n">
        <v>0.65</v>
      </c>
      <c r="K43" s="3" t="n">
        <v>0.65</v>
      </c>
      <c r="L43" s="3" t="n">
        <v>0.65</v>
      </c>
    </row>
    <row r="44" customFormat="false" ht="15" hidden="false" customHeight="false" outlineLevel="0" collapsed="false">
      <c r="A44" s="0" t="s">
        <v>94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95</v>
      </c>
      <c r="C45" s="3" t="n">
        <v>8.6</v>
      </c>
      <c r="D45" s="3" t="n">
        <v>8.3</v>
      </c>
      <c r="E45" s="3" t="n">
        <v>8.1</v>
      </c>
      <c r="F45" s="3" t="n">
        <v>7.9</v>
      </c>
      <c r="G45" s="3" t="n">
        <v>7.8</v>
      </c>
      <c r="H45" s="3" t="n">
        <v>7.7</v>
      </c>
      <c r="I45" s="3" t="n">
        <v>7.6</v>
      </c>
      <c r="J45" s="3" t="n">
        <v>7.6</v>
      </c>
      <c r="K45" s="3" t="n">
        <v>7.6</v>
      </c>
      <c r="L45" s="3" t="n">
        <v>7.6</v>
      </c>
    </row>
    <row r="46" customFormat="false" ht="15" hidden="false" customHeight="false" outlineLevel="0" collapsed="false">
      <c r="A46" s="0" t="s">
        <v>96</v>
      </c>
      <c r="C46" s="3" t="n">
        <v>7.4</v>
      </c>
      <c r="D46" s="3" t="n">
        <v>7.6</v>
      </c>
      <c r="E46" s="3" t="n">
        <v>7.6</v>
      </c>
      <c r="F46" s="3" t="n">
        <v>7.6</v>
      </c>
      <c r="G46" s="3" t="n">
        <v>7.6</v>
      </c>
      <c r="H46" s="3" t="n">
        <v>7.6</v>
      </c>
      <c r="I46" s="3" t="n">
        <v>7.6</v>
      </c>
      <c r="J46" s="3" t="n">
        <v>7.6</v>
      </c>
      <c r="K46" s="3" t="n">
        <v>7.6</v>
      </c>
      <c r="L46" s="3" t="n">
        <v>7.6</v>
      </c>
    </row>
    <row r="47" customFormat="false" ht="15" hidden="false" customHeight="false" outlineLevel="0" collapsed="false">
      <c r="A47" s="0" t="s">
        <v>97</v>
      </c>
      <c r="C47" s="3" t="n">
        <v>25</v>
      </c>
      <c r="D47" s="3" t="n">
        <v>25</v>
      </c>
      <c r="E47" s="3" t="n">
        <v>25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98</v>
      </c>
      <c r="B48" s="3" t="n">
        <v>8</v>
      </c>
    </row>
    <row r="49" customFormat="false" ht="15" hidden="false" customHeight="false" outlineLevel="0" collapsed="false">
      <c r="A49" s="0" t="s">
        <v>99</v>
      </c>
      <c r="B49" s="3" t="n">
        <v>2.5</v>
      </c>
    </row>
    <row r="50" customFormat="false" ht="15" hidden="false" customHeight="false" outlineLevel="0" collapsed="false">
      <c r="A50" s="0" t="s">
        <v>100</v>
      </c>
      <c r="B50" s="3" t="n">
        <v>18</v>
      </c>
    </row>
    <row r="51" customFormat="false" ht="15" hidden="false" customHeight="false" outlineLevel="0" collapsed="false">
      <c r="A51" s="0" t="s">
        <v>101</v>
      </c>
      <c r="B51" s="3" t="n">
        <v>-10</v>
      </c>
    </row>
    <row r="52" customFormat="false" ht="15" hidden="false" customHeight="false" outlineLevel="0" collapsed="false">
      <c r="A52" s="0" t="s">
        <v>102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105</v>
      </c>
    </row>
    <row r="3" customFormat="false" ht="15" hidden="false" customHeight="false" outlineLevel="0" collapsed="false">
      <c r="A3" s="0" t="s">
        <v>106</v>
      </c>
      <c r="B3" s="0" t="s">
        <v>67</v>
      </c>
      <c r="C3" s="2" t="s">
        <v>81</v>
      </c>
      <c r="D3" s="2" t="s">
        <v>82</v>
      </c>
      <c r="E3" s="2" t="s">
        <v>83</v>
      </c>
      <c r="F3" s="2" t="s">
        <v>84</v>
      </c>
      <c r="G3" s="2" t="s">
        <v>85</v>
      </c>
      <c r="H3" s="2" t="s">
        <v>86</v>
      </c>
      <c r="I3" s="2" t="s">
        <v>87</v>
      </c>
      <c r="J3" s="2" t="s">
        <v>88</v>
      </c>
      <c r="K3" s="2" t="s">
        <v>89</v>
      </c>
      <c r="L3" s="2" t="s">
        <v>90</v>
      </c>
    </row>
    <row r="4" customFormat="false" ht="15" hidden="false" customHeight="false" outlineLevel="0" collapsed="false">
      <c r="A4" s="0" t="s">
        <v>107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91</v>
      </c>
      <c r="C5" s="4" t="n">
        <f aca="false">Assumptions!C13</f>
        <v>2.5</v>
      </c>
      <c r="D5" s="4" t="n">
        <f aca="false">Assumptions!D13</f>
        <v>-1</v>
      </c>
      <c r="E5" s="4" t="n">
        <f aca="false">Assumptions!E13</f>
        <v>1.5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31179</v>
      </c>
      <c r="C6" s="0" t="n">
        <f aca="false">B6*(1+C5/100)</f>
        <v>31958.475</v>
      </c>
      <c r="D6" s="0" t="n">
        <f aca="false">C6*(1+D5/100)</f>
        <v>31638.89025</v>
      </c>
      <c r="E6" s="0" t="n">
        <f aca="false">D6*(1+E5/100)</f>
        <v>32113.47360375</v>
      </c>
      <c r="F6" s="0" t="n">
        <f aca="false">E6*(1+F5/100)</f>
        <v>32755.743075825</v>
      </c>
      <c r="G6" s="0" t="n">
        <f aca="false">F6*(1+G5/100)</f>
        <v>33410.8579373415</v>
      </c>
      <c r="H6" s="0" t="n">
        <f aca="false">G6*(1+H5/100)</f>
        <v>34079.0750960883</v>
      </c>
      <c r="I6" s="0" t="n">
        <f aca="false">H6*(1+I5/100)</f>
        <v>34760.6565980101</v>
      </c>
      <c r="J6" s="0" t="n">
        <f aca="false">I6*(1+J5/100)</f>
        <v>35455.8697299703</v>
      </c>
      <c r="K6" s="0" t="n">
        <f aca="false">J6*(1+K5/100)</f>
        <v>36164.9871245697</v>
      </c>
      <c r="L6" s="0" t="n">
        <f aca="false">K6*(1+L5/100)</f>
        <v>36888.2868670611</v>
      </c>
    </row>
    <row r="7" customFormat="false" ht="15" hidden="false" customHeight="false" outlineLevel="0" collapsed="false">
      <c r="A7" s="0" t="s">
        <v>92</v>
      </c>
      <c r="C7" s="4" t="n">
        <f aca="false">Assumptions!C14</f>
        <v>15</v>
      </c>
      <c r="D7" s="4" t="n">
        <f aca="false">Assumptions!D14</f>
        <v>14.5</v>
      </c>
      <c r="E7" s="4" t="n">
        <f aca="false">Assumptions!E14</f>
        <v>14.8</v>
      </c>
      <c r="F7" s="4" t="n">
        <f aca="false">Assumptions!F14</f>
        <v>15</v>
      </c>
      <c r="G7" s="4" t="n">
        <f aca="false">Assumptions!G14</f>
        <v>15</v>
      </c>
      <c r="H7" s="4" t="n">
        <f aca="false">Assumptions!H14</f>
        <v>15</v>
      </c>
      <c r="I7" s="4" t="n">
        <f aca="false">Assumptions!I14</f>
        <v>15</v>
      </c>
      <c r="J7" s="4" t="n">
        <f aca="false">Assumptions!J14</f>
        <v>15</v>
      </c>
      <c r="K7" s="4" t="n">
        <f aca="false">Assumptions!K14</f>
        <v>15</v>
      </c>
      <c r="L7" s="4" t="n">
        <f aca="false">Assumptions!L14</f>
        <v>15</v>
      </c>
    </row>
    <row r="8" customFormat="false" ht="15" hidden="false" customHeight="false" outlineLevel="0" collapsed="false">
      <c r="A8" s="0" t="s">
        <v>43</v>
      </c>
      <c r="C8" s="0" t="n">
        <f aca="false">C6*C7/100</f>
        <v>4793.77125</v>
      </c>
      <c r="D8" s="0" t="n">
        <f aca="false">D6*D7/100</f>
        <v>4587.63908625</v>
      </c>
      <c r="E8" s="0" t="n">
        <f aca="false">E6*E7/100</f>
        <v>4752.794093355</v>
      </c>
      <c r="F8" s="0" t="n">
        <f aca="false">F6*F7/100</f>
        <v>4913.36146137375</v>
      </c>
      <c r="G8" s="0" t="n">
        <f aca="false">G6*G7/100</f>
        <v>5011.62869060123</v>
      </c>
      <c r="H8" s="0" t="n">
        <f aca="false">H6*H7/100</f>
        <v>5111.86126441325</v>
      </c>
      <c r="I8" s="0" t="n">
        <f aca="false">I6*I7/100</f>
        <v>5214.09848970152</v>
      </c>
      <c r="J8" s="0" t="n">
        <f aca="false">J6*J7/100</f>
        <v>5318.38045949555</v>
      </c>
      <c r="K8" s="0" t="n">
        <f aca="false">K6*K7/100</f>
        <v>5424.74806868546</v>
      </c>
      <c r="L8" s="0" t="n">
        <f aca="false">L6*L7/100</f>
        <v>5533.24303005917</v>
      </c>
    </row>
    <row r="9" customFormat="false" ht="15" hidden="false" customHeight="false" outlineLevel="0" collapsed="false">
      <c r="A9" s="0" t="s">
        <v>93</v>
      </c>
      <c r="C9" s="4" t="n">
        <f aca="false">Assumptions!C15</f>
        <v>0.65</v>
      </c>
      <c r="D9" s="4" t="n">
        <f aca="false">Assumptions!D15</f>
        <v>0.65</v>
      </c>
      <c r="E9" s="4" t="n">
        <f aca="false">Assumptions!E15</f>
        <v>0.65</v>
      </c>
      <c r="F9" s="4" t="n">
        <f aca="false">Assumptions!F15</f>
        <v>0.65</v>
      </c>
      <c r="G9" s="4" t="n">
        <f aca="false">Assumptions!G15</f>
        <v>0.65</v>
      </c>
      <c r="H9" s="4" t="n">
        <f aca="false">Assumptions!H15</f>
        <v>0.65</v>
      </c>
      <c r="I9" s="4" t="n">
        <f aca="false">Assumptions!I15</f>
        <v>0.65</v>
      </c>
      <c r="J9" s="4" t="n">
        <f aca="false">Assumptions!J15</f>
        <v>0.65</v>
      </c>
      <c r="K9" s="4" t="n">
        <f aca="false">Assumptions!K15</f>
        <v>0.65</v>
      </c>
      <c r="L9" s="4" t="n">
        <f aca="false">Assumptions!L15</f>
        <v>0.65</v>
      </c>
    </row>
    <row r="10" customFormat="false" ht="15" hidden="false" customHeight="false" outlineLevel="0" collapsed="false">
      <c r="A10" s="0" t="s">
        <v>108</v>
      </c>
      <c r="C10" s="0" t="n">
        <f aca="false">-C6*C9/100</f>
        <v>-207.7300875</v>
      </c>
      <c r="D10" s="0" t="n">
        <f aca="false">-D6*D9/100</f>
        <v>-205.652786625</v>
      </c>
      <c r="E10" s="0" t="n">
        <f aca="false">-E6*E9/100</f>
        <v>-208.737578424375</v>
      </c>
      <c r="F10" s="0" t="n">
        <f aca="false">-F6*F9/100</f>
        <v>-212.912329992862</v>
      </c>
      <c r="G10" s="0" t="n">
        <f aca="false">-G6*G9/100</f>
        <v>-217.17057659272</v>
      </c>
      <c r="H10" s="0" t="n">
        <f aca="false">-H6*H9/100</f>
        <v>-221.513988124574</v>
      </c>
      <c r="I10" s="0" t="n">
        <f aca="false">-I6*I9/100</f>
        <v>-225.944267887066</v>
      </c>
      <c r="J10" s="0" t="n">
        <f aca="false">-J6*J9/100</f>
        <v>-230.463153244807</v>
      </c>
      <c r="K10" s="0" t="n">
        <f aca="false">-K6*K9/100</f>
        <v>-235.072416309703</v>
      </c>
      <c r="L10" s="0" t="n">
        <f aca="false">-L6*L9/100</f>
        <v>-239.773864635897</v>
      </c>
    </row>
    <row r="11" customFormat="false" ht="15" hidden="false" customHeight="false" outlineLevel="0" collapsed="false">
      <c r="A11" s="0" t="s">
        <v>109</v>
      </c>
      <c r="C11" s="0" t="n">
        <f aca="false">C8+C10+C24</f>
        <v>4586.0411625</v>
      </c>
      <c r="D11" s="0" t="n">
        <f aca="false">D8+D10+D24</f>
        <v>4381.986299625</v>
      </c>
      <c r="E11" s="0" t="n">
        <f aca="false">E8+E10+E24</f>
        <v>4544.05651493062</v>
      </c>
      <c r="F11" s="0" t="n">
        <f aca="false">F8+F10+F24</f>
        <v>4700.44913138089</v>
      </c>
      <c r="G11" s="0" t="n">
        <f aca="false">G8+G10+G24</f>
        <v>4794.45811400851</v>
      </c>
      <c r="H11" s="0" t="n">
        <f aca="false">H8+H10+H24</f>
        <v>4890.34727628868</v>
      </c>
      <c r="I11" s="0" t="n">
        <f aca="false">I8+I10+I24</f>
        <v>4988.15422181445</v>
      </c>
      <c r="J11" s="0" t="n">
        <f aca="false">J8+J10+J24</f>
        <v>5087.91730625074</v>
      </c>
      <c r="K11" s="0" t="n">
        <f aca="false">K8+K10+K24</f>
        <v>5189.67565237575</v>
      </c>
      <c r="L11" s="0" t="n">
        <f aca="false">L8+L10+L24</f>
        <v>5293.46916542327</v>
      </c>
    </row>
    <row r="12" customFormat="false" ht="15" hidden="false" customHeight="false" outlineLevel="0" collapsed="false">
      <c r="A12" s="0" t="s">
        <v>110</v>
      </c>
      <c r="C12" s="4" t="n">
        <f aca="false">-C6*Assumptions!C17/100</f>
        <v>-2748.42885</v>
      </c>
      <c r="D12" s="4" t="n">
        <f aca="false">-D6*Assumptions!D17/100</f>
        <v>-2657.666781</v>
      </c>
      <c r="E12" s="4" t="n">
        <f aca="false">-E6*Assumptions!E17/100</f>
        <v>-2633.3048355075</v>
      </c>
      <c r="F12" s="4" t="n">
        <f aca="false">-F6*Assumptions!F17/100</f>
        <v>-2620.459446066</v>
      </c>
      <c r="G12" s="4" t="n">
        <f aca="false">-G6*Assumptions!G17/100</f>
        <v>-2639.45777704998</v>
      </c>
      <c r="H12" s="4" t="n">
        <f aca="false">-H6*Assumptions!H17/100</f>
        <v>-2658.16785749489</v>
      </c>
      <c r="I12" s="4" t="n">
        <f aca="false">-I6*Assumptions!I17/100</f>
        <v>-2676.57055804678</v>
      </c>
      <c r="J12" s="4" t="n">
        <f aca="false">-J6*Assumptions!J17/100</f>
        <v>-2730.10196920771</v>
      </c>
      <c r="K12" s="4" t="n">
        <f aca="false">-K6*Assumptions!K17/100</f>
        <v>-2784.70400859187</v>
      </c>
      <c r="L12" s="4" t="n">
        <f aca="false">-L6*Assumptions!L17/100</f>
        <v>-2840.39808876371</v>
      </c>
    </row>
    <row r="13" customFormat="false" ht="15" hidden="false" customHeight="false" outlineLevel="0" collapsed="false">
      <c r="A13" s="0" t="s">
        <v>111</v>
      </c>
      <c r="C13" s="0" t="n">
        <f aca="false">C11+C12</f>
        <v>1837.6123125</v>
      </c>
      <c r="D13" s="0" t="n">
        <f aca="false">D11+D12</f>
        <v>1724.319518625</v>
      </c>
      <c r="E13" s="0" t="n">
        <f aca="false">E11+E12</f>
        <v>1910.75167942313</v>
      </c>
      <c r="F13" s="0" t="n">
        <f aca="false">F11+F12</f>
        <v>2079.98968531489</v>
      </c>
      <c r="G13" s="0" t="n">
        <f aca="false">G11+G12</f>
        <v>2155.00033695853</v>
      </c>
      <c r="H13" s="0" t="n">
        <f aca="false">H11+H12</f>
        <v>2232.17941879379</v>
      </c>
      <c r="I13" s="0" t="n">
        <f aca="false">I11+I12</f>
        <v>2311.58366376767</v>
      </c>
      <c r="J13" s="0" t="n">
        <f aca="false">J11+J12</f>
        <v>2357.81533704303</v>
      </c>
      <c r="K13" s="0" t="n">
        <f aca="false">K11+K12</f>
        <v>2404.97164378389</v>
      </c>
      <c r="L13" s="0" t="n">
        <f aca="false">L11+L12</f>
        <v>2453.07107665956</v>
      </c>
    </row>
    <row r="14" customFormat="false" ht="15" hidden="false" customHeight="false" outlineLevel="0" collapsed="false">
      <c r="A14" s="0" t="s">
        <v>97</v>
      </c>
      <c r="C14" s="4" t="n">
        <f aca="false">Assumptions!C19</f>
        <v>25</v>
      </c>
      <c r="D14" s="4" t="n">
        <f aca="false">Assumptions!D19</f>
        <v>25</v>
      </c>
      <c r="E14" s="4" t="n">
        <f aca="false">Assumptions!E19</f>
        <v>25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112</v>
      </c>
      <c r="C15" s="0" t="n">
        <f aca="false">C13-MAX(0,C13)*C14/100</f>
        <v>1378.209234375</v>
      </c>
      <c r="D15" s="0" t="n">
        <f aca="false">D13-MAX(0,D13)*D14/100</f>
        <v>1293.23963896875</v>
      </c>
      <c r="E15" s="0" t="n">
        <f aca="false">E13-MAX(0,E13)*E14/100</f>
        <v>1433.06375956734</v>
      </c>
      <c r="F15" s="0" t="n">
        <f aca="false">F13-MAX(0,F13)*F14/100</f>
        <v>1559.99226398617</v>
      </c>
      <c r="G15" s="0" t="n">
        <f aca="false">G13-MAX(0,G13)*G14/100</f>
        <v>1616.25025271889</v>
      </c>
      <c r="H15" s="0" t="n">
        <f aca="false">H13-MAX(0,H13)*H14/100</f>
        <v>1674.13456409534</v>
      </c>
      <c r="I15" s="0" t="n">
        <f aca="false">I13-MAX(0,I13)*I14/100</f>
        <v>1733.68774782575</v>
      </c>
      <c r="J15" s="0" t="n">
        <f aca="false">J13-MAX(0,J13)*J14/100</f>
        <v>1768.36150278227</v>
      </c>
      <c r="K15" s="0" t="n">
        <f aca="false">K13-MAX(0,K13)*K14/100</f>
        <v>1803.72873283791</v>
      </c>
      <c r="L15" s="0" t="n">
        <f aca="false">L13-MAX(0,L13)*L14/100</f>
        <v>1839.80330749467</v>
      </c>
    </row>
    <row r="16" customFormat="false" ht="15" hidden="false" customHeight="false" outlineLevel="0" collapsed="false">
      <c r="A16" s="0" t="s">
        <v>113</v>
      </c>
      <c r="C16" s="0" t="n">
        <f aca="false">-C12</f>
        <v>2748.42885</v>
      </c>
      <c r="D16" s="0" t="n">
        <f aca="false">-D12</f>
        <v>2657.666781</v>
      </c>
      <c r="E16" s="0" t="n">
        <f aca="false">-E12</f>
        <v>2633.3048355075</v>
      </c>
      <c r="F16" s="0" t="n">
        <f aca="false">-F12</f>
        <v>2620.459446066</v>
      </c>
      <c r="G16" s="0" t="n">
        <f aca="false">-G12</f>
        <v>2639.45777704998</v>
      </c>
      <c r="H16" s="0" t="n">
        <f aca="false">-H12</f>
        <v>2658.16785749489</v>
      </c>
      <c r="I16" s="0" t="n">
        <f aca="false">-I12</f>
        <v>2676.57055804678</v>
      </c>
      <c r="J16" s="0" t="n">
        <f aca="false">-J12</f>
        <v>2730.10196920771</v>
      </c>
      <c r="K16" s="0" t="n">
        <f aca="false">-K12</f>
        <v>2784.70400859187</v>
      </c>
      <c r="L16" s="0" t="n">
        <f aca="false">-L12</f>
        <v>2840.39808876371</v>
      </c>
    </row>
    <row r="17" customFormat="false" ht="15" hidden="false" customHeight="false" outlineLevel="0" collapsed="false">
      <c r="A17" s="0" t="s">
        <v>114</v>
      </c>
      <c r="C17" s="4" t="n">
        <f aca="false">-C6*Assumptions!C18/100</f>
        <v>-2364.92715</v>
      </c>
      <c r="D17" s="4" t="n">
        <f aca="false">-D6*Assumptions!D18/100</f>
        <v>-2436.19454925</v>
      </c>
      <c r="E17" s="4" t="n">
        <f aca="false">-E6*Assumptions!E18/100</f>
        <v>-2472.73746748875</v>
      </c>
      <c r="F17" s="4" t="n">
        <f aca="false">-F6*Assumptions!F18/100</f>
        <v>-2522.19221683852</v>
      </c>
      <c r="G17" s="4" t="n">
        <f aca="false">-G6*Assumptions!G18/100</f>
        <v>-2572.6360611753</v>
      </c>
      <c r="H17" s="4" t="n">
        <f aca="false">-H6*Assumptions!H18/100</f>
        <v>-2624.0887823988</v>
      </c>
      <c r="I17" s="4" t="n">
        <f aca="false">-I6*Assumptions!I18/100</f>
        <v>-2676.57055804678</v>
      </c>
      <c r="J17" s="4" t="n">
        <f aca="false">-J6*Assumptions!J18/100</f>
        <v>-2730.10196920771</v>
      </c>
      <c r="K17" s="4" t="n">
        <f aca="false">-K6*Assumptions!K18/100</f>
        <v>-2784.70400859187</v>
      </c>
      <c r="L17" s="4" t="n">
        <f aca="false">-L6*Assumptions!L18/100</f>
        <v>-2840.39808876371</v>
      </c>
    </row>
    <row r="18" customFormat="false" ht="15" hidden="false" customHeight="false" outlineLevel="0" collapsed="false">
      <c r="A18" s="0" t="s">
        <v>115</v>
      </c>
      <c r="C18" s="4" t="n">
        <f aca="false">(C6-B6)*Assumptions!$B$23/100</f>
        <v>-77.9474999999999</v>
      </c>
      <c r="D18" s="4" t="n">
        <f aca="false">(D6-C6)*Assumptions!$B$23/100</f>
        <v>31.9584750000002</v>
      </c>
      <c r="E18" s="4" t="n">
        <f aca="false">(E6-D6)*Assumptions!$B$23/100</f>
        <v>-47.4583353749997</v>
      </c>
      <c r="F18" s="4" t="n">
        <f aca="false">(F6-E6)*Assumptions!$B$23/100</f>
        <v>-64.2269472075001</v>
      </c>
      <c r="G18" s="4" t="n">
        <f aca="false">(G6-F6)*Assumptions!$B$23/100</f>
        <v>-65.5114861516504</v>
      </c>
      <c r="H18" s="4" t="n">
        <f aca="false">(H6-G6)*Assumptions!$B$23/100</f>
        <v>-66.8217158746833</v>
      </c>
      <c r="I18" s="4" t="n">
        <f aca="false">(I6-H6)*Assumptions!$B$23/100</f>
        <v>-68.158150192177</v>
      </c>
      <c r="J18" s="4" t="n">
        <f aca="false">(J6-I6)*Assumptions!$B$23/100</f>
        <v>-69.5213131960205</v>
      </c>
      <c r="K18" s="4" t="n">
        <f aca="false">(K6-J6)*Assumptions!$B$23/100</f>
        <v>-70.9117394599409</v>
      </c>
      <c r="L18" s="4" t="n">
        <f aca="false">(L6-K6)*Assumptions!$B$23/100</f>
        <v>-72.3299742491392</v>
      </c>
    </row>
    <row r="19" customFormat="false" ht="15" hidden="false" customHeight="false" outlineLevel="0" collapsed="false">
      <c r="A19" s="0" t="s">
        <v>116</v>
      </c>
      <c r="C19" s="0" t="n">
        <f aca="false">C15+C16+C17+C18</f>
        <v>1683.763434375</v>
      </c>
      <c r="D19" s="0" t="n">
        <f aca="false">D15+D16+D17+D18</f>
        <v>1546.67034571875</v>
      </c>
      <c r="E19" s="0" t="n">
        <f aca="false">E15+E16+E17+E18</f>
        <v>1546.17279221109</v>
      </c>
      <c r="F19" s="0" t="n">
        <f aca="false">F15+F16+F17+F18</f>
        <v>1594.03254600614</v>
      </c>
      <c r="G19" s="0" t="n">
        <f aca="false">G15+G16+G17+G18</f>
        <v>1617.56048244193</v>
      </c>
      <c r="H19" s="0" t="n">
        <f aca="false">H15+H16+H17+H18</f>
        <v>1641.39192331674</v>
      </c>
      <c r="I19" s="0" t="n">
        <f aca="false">I15+I16+I17+I18</f>
        <v>1665.52959763358</v>
      </c>
      <c r="J19" s="0" t="n">
        <f aca="false">J15+J16+J17+J18</f>
        <v>1698.84018958625</v>
      </c>
      <c r="K19" s="0" t="n">
        <f aca="false">K15+K16+K17+K18</f>
        <v>1732.81699337797</v>
      </c>
      <c r="L19" s="0" t="n">
        <f aca="false">L15+L16+L17+L18</f>
        <v>1767.47333324553</v>
      </c>
    </row>
    <row r="20" customFormat="false" ht="15" hidden="false" customHeight="false" outlineLevel="0" collapsed="false">
      <c r="A20" s="0" t="s">
        <v>117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118</v>
      </c>
      <c r="C21" s="0" t="n">
        <f aca="false">C19*C20</f>
        <v>1559.04021701389</v>
      </c>
      <c r="D21" s="0" t="n">
        <f aca="false">D19*D20</f>
        <v>1326.02052959426</v>
      </c>
      <c r="E21" s="0" t="n">
        <f aca="false">E19*E20</f>
        <v>1227.40181264535</v>
      </c>
      <c r="F21" s="0" t="n">
        <f aca="false">F19*F20</f>
        <v>1171.66150764365</v>
      </c>
      <c r="G21" s="0" t="n">
        <f aca="false">G19*G20</f>
        <v>1100.88448453579</v>
      </c>
      <c r="H21" s="0" t="n">
        <f aca="false">H19*H20</f>
        <v>1034.35533588545</v>
      </c>
      <c r="I21" s="0" t="n">
        <f aca="false">I19*I20</f>
        <v>971.820523243999</v>
      </c>
      <c r="J21" s="0" t="n">
        <f aca="false">J19*J20</f>
        <v>917.830494174887</v>
      </c>
      <c r="K21" s="0" t="n">
        <f aca="false">K19*K20</f>
        <v>866.839911165171</v>
      </c>
      <c r="L21" s="0" t="n">
        <f aca="false">L19*L20</f>
        <v>818.682138322661</v>
      </c>
    </row>
    <row r="23" customFormat="false" ht="15" hidden="false" customHeight="false" outlineLevel="0" collapsed="false">
      <c r="A23" s="0" t="s">
        <v>94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119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120</v>
      </c>
    </row>
    <row r="27" customFormat="false" ht="15" hidden="false" customHeight="false" outlineLevel="0" collapsed="false">
      <c r="A27" s="0" t="s">
        <v>98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99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100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121</v>
      </c>
      <c r="B30" s="0" t="n">
        <f aca="false">SUM(C21:L21)</f>
        <v>10994.5369542251</v>
      </c>
    </row>
    <row r="31" customFormat="false" ht="15" hidden="false" customHeight="false" outlineLevel="0" collapsed="false">
      <c r="A31" s="0" t="s">
        <v>122</v>
      </c>
      <c r="B31" s="0" t="n">
        <f aca="false">L19</f>
        <v>1767.47333324553</v>
      </c>
    </row>
    <row r="32" customFormat="false" ht="15" hidden="false" customHeight="false" outlineLevel="0" collapsed="false">
      <c r="A32" s="0" t="s">
        <v>123</v>
      </c>
      <c r="B32" s="0" t="n">
        <f aca="false">IF(B27&gt;B28,B31*(1+B28/100)/((B27-B28)/100),B31*B29)</f>
        <v>27599.7758960648</v>
      </c>
    </row>
    <row r="33" customFormat="false" ht="15" hidden="false" customHeight="false" outlineLevel="0" collapsed="false">
      <c r="A33" s="0" t="s">
        <v>124</v>
      </c>
      <c r="B33" s="0" t="n">
        <f aca="false">B31*B29</f>
        <v>24744.6266654375</v>
      </c>
    </row>
    <row r="34" customFormat="false" ht="15" hidden="false" customHeight="false" outlineLevel="0" collapsed="false">
      <c r="A34" s="0" t="s">
        <v>125</v>
      </c>
      <c r="B34" s="0" t="n">
        <f aca="false">MAX(0,MIN(B32,B33))</f>
        <v>24744.6266654375</v>
      </c>
    </row>
    <row r="35" customFormat="false" ht="15" hidden="false" customHeight="false" outlineLevel="0" collapsed="false">
      <c r="A35" s="0" t="s">
        <v>126</v>
      </c>
      <c r="B35" s="0" t="n">
        <f aca="false">B34/(1+B27/100)^L4</f>
        <v>11461.5499365173</v>
      </c>
    </row>
    <row r="36" customFormat="false" ht="15" hidden="false" customHeight="false" outlineLevel="0" collapsed="false">
      <c r="A36" s="0" t="s">
        <v>127</v>
      </c>
      <c r="B36" s="0" t="n">
        <f aca="false">B30+B35</f>
        <v>22456.0868907424</v>
      </c>
    </row>
    <row r="37" customFormat="false" ht="15" hidden="false" customHeight="false" outlineLevel="0" collapsed="false">
      <c r="A37" s="0" t="s">
        <v>128</v>
      </c>
      <c r="B37" s="0" t="n">
        <f aca="false">B36+Assumptions!$B$5-Assumptions!$B$4</f>
        <v>8422.08689074237</v>
      </c>
    </row>
    <row r="38" customFormat="false" ht="15" hidden="false" customHeight="false" outlineLevel="0" collapsed="false">
      <c r="A38" s="0" t="s">
        <v>129</v>
      </c>
      <c r="B38" s="0" t="n">
        <f aca="false">B37/Assumptions!$B$3*Assumptions!$B$10</f>
        <v>16.0115720356319</v>
      </c>
    </row>
    <row r="39" customFormat="false" ht="15" hidden="false" customHeight="false" outlineLevel="0" collapsed="false">
      <c r="A39" s="0" t="s">
        <v>130</v>
      </c>
      <c r="B39" s="4" t="n">
        <f aca="false">B38/Assumptions!$B$2-1</f>
        <v>-0.623611376689425</v>
      </c>
    </row>
    <row r="41" customFormat="false" ht="15" hidden="false" customHeight="false" outlineLevel="0" collapsed="false">
      <c r="A41" s="0" t="s">
        <v>131</v>
      </c>
      <c r="B41" s="0" t="n">
        <f aca="false">SUMPRODUCT(-C10:L10/(1+$B$27/100)^C4:L4)</f>
        <v>1463.25516896319</v>
      </c>
    </row>
    <row r="42" customFormat="false" ht="15" hidden="false" customHeight="false" outlineLevel="0" collapsed="false">
      <c r="A42" s="0" t="s">
        <v>132</v>
      </c>
      <c r="B42" s="0" t="n">
        <f aca="false">IF(B27&gt;B28,-L10*(1+B28/100)/((B27-B28)/100),-L10*20)/(1+B27/100)^L4</f>
        <v>1734.27104773738</v>
      </c>
    </row>
    <row r="43" customFormat="false" ht="15" hidden="false" customHeight="false" outlineLevel="0" collapsed="false">
      <c r="A43" s="0" t="s">
        <v>133</v>
      </c>
      <c r="B43" s="0" t="n">
        <f aca="false">(B37+B41+B42)/Assumptions!$B$3*Assumptions!$B$10</f>
        <v>22.090519215671</v>
      </c>
    </row>
    <row r="45" customFormat="false" ht="15" hidden="false" customHeight="false" outlineLevel="0" collapsed="false">
      <c r="A45" s="0" t="s">
        <v>74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134</v>
      </c>
      <c r="B46" s="0" t="n">
        <f aca="false">MAX(0,MIN(IF(B45&gt;B28,B31*(1+B28/100)/((B45-B28)/100),B31*B29),B31*B29))</f>
        <v>13288.7809869942</v>
      </c>
    </row>
    <row r="47" customFormat="false" ht="15" hidden="false" customHeight="false" outlineLevel="0" collapsed="false">
      <c r="A47" s="0" t="s">
        <v>135</v>
      </c>
      <c r="B47" s="0" t="n">
        <f aca="false">(SUMPRODUCT(C19:L19/(1+B45/100)^C4:L4)+B46/(1+B45/100)^L4+Assumptions!$B$5-Assumptions!$B$4)/Assumptions!$B$3*Assumptions!$B$10</f>
        <v>-4.87215734827326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136</v>
      </c>
    </row>
    <row r="3" customFormat="false" ht="15" hidden="false" customHeight="false" outlineLevel="0" collapsed="false">
      <c r="A3" s="0" t="s">
        <v>106</v>
      </c>
      <c r="B3" s="0" t="s">
        <v>67</v>
      </c>
      <c r="C3" s="2" t="s">
        <v>81</v>
      </c>
      <c r="D3" s="2" t="s">
        <v>82</v>
      </c>
      <c r="E3" s="2" t="s">
        <v>83</v>
      </c>
      <c r="F3" s="2" t="s">
        <v>84</v>
      </c>
      <c r="G3" s="2" t="s">
        <v>85</v>
      </c>
      <c r="H3" s="2" t="s">
        <v>86</v>
      </c>
      <c r="I3" s="2" t="s">
        <v>87</v>
      </c>
      <c r="J3" s="2" t="s">
        <v>88</v>
      </c>
      <c r="K3" s="2" t="s">
        <v>89</v>
      </c>
      <c r="L3" s="2" t="s">
        <v>90</v>
      </c>
    </row>
    <row r="4" customFormat="false" ht="15" hidden="false" customHeight="false" outlineLevel="0" collapsed="false">
      <c r="A4" s="0" t="s">
        <v>107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91</v>
      </c>
      <c r="C5" s="4" t="n">
        <f aca="false">Assumptions!C27</f>
        <v>3</v>
      </c>
      <c r="D5" s="4" t="n">
        <f aca="false">Assumptions!D27</f>
        <v>4.5</v>
      </c>
      <c r="E5" s="4" t="n">
        <f aca="false">Assumptions!E27</f>
        <v>3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31179</v>
      </c>
      <c r="C6" s="0" t="n">
        <f aca="false">B6*(1+C5/100)</f>
        <v>32114.37</v>
      </c>
      <c r="D6" s="0" t="n">
        <f aca="false">C6*(1+D5/100)</f>
        <v>33559.51665</v>
      </c>
      <c r="E6" s="0" t="n">
        <f aca="false">D6*(1+E5/100)</f>
        <v>34566.3021495</v>
      </c>
      <c r="F6" s="0" t="n">
        <f aca="false">E6*(1+F5/100)</f>
        <v>35603.291213985</v>
      </c>
      <c r="G6" s="0" t="n">
        <f aca="false">F6*(1+G5/100)</f>
        <v>36671.3899504046</v>
      </c>
      <c r="H6" s="0" t="n">
        <f aca="false">G6*(1+H5/100)</f>
        <v>37588.1746991647</v>
      </c>
      <c r="I6" s="0" t="n">
        <f aca="false">H6*(1+I5/100)</f>
        <v>38527.8790666438</v>
      </c>
      <c r="J6" s="0" t="n">
        <f aca="false">I6*(1+J5/100)</f>
        <v>39491.0760433099</v>
      </c>
      <c r="K6" s="0" t="n">
        <f aca="false">J6*(1+K5/100)</f>
        <v>40478.3529443926</v>
      </c>
      <c r="L6" s="0" t="n">
        <f aca="false">K6*(1+L5/100)</f>
        <v>41490.3117680024</v>
      </c>
    </row>
    <row r="7" customFormat="false" ht="15" hidden="false" customHeight="false" outlineLevel="0" collapsed="false">
      <c r="A7" s="0" t="s">
        <v>92</v>
      </c>
      <c r="C7" s="4" t="n">
        <f aca="false">Assumptions!C28</f>
        <v>15.2</v>
      </c>
      <c r="D7" s="4" t="n">
        <f aca="false">Assumptions!D28</f>
        <v>16</v>
      </c>
      <c r="E7" s="4" t="n">
        <f aca="false">Assumptions!E28</f>
        <v>16.5</v>
      </c>
      <c r="F7" s="4" t="n">
        <f aca="false">Assumptions!F28</f>
        <v>17</v>
      </c>
      <c r="G7" s="4" t="n">
        <f aca="false">Assumptions!G28</f>
        <v>17.3</v>
      </c>
      <c r="H7" s="4" t="n">
        <f aca="false">Assumptions!H28</f>
        <v>17.3</v>
      </c>
      <c r="I7" s="4" t="n">
        <f aca="false">Assumptions!I28</f>
        <v>17.2</v>
      </c>
      <c r="J7" s="4" t="n">
        <f aca="false">Assumptions!J28</f>
        <v>17</v>
      </c>
      <c r="K7" s="4" t="n">
        <f aca="false">Assumptions!K28</f>
        <v>17</v>
      </c>
      <c r="L7" s="4" t="n">
        <f aca="false">Assumptions!L28</f>
        <v>17</v>
      </c>
    </row>
    <row r="8" customFormat="false" ht="15" hidden="false" customHeight="false" outlineLevel="0" collapsed="false">
      <c r="A8" s="0" t="s">
        <v>43</v>
      </c>
      <c r="C8" s="0" t="n">
        <f aca="false">C6*C7/100</f>
        <v>4881.38424</v>
      </c>
      <c r="D8" s="0" t="n">
        <f aca="false">D6*D7/100</f>
        <v>5369.522664</v>
      </c>
      <c r="E8" s="0" t="n">
        <f aca="false">E6*E7/100</f>
        <v>5703.4398546675</v>
      </c>
      <c r="F8" s="0" t="n">
        <f aca="false">F6*F7/100</f>
        <v>6052.55950637745</v>
      </c>
      <c r="G8" s="0" t="n">
        <f aca="false">G6*G7/100</f>
        <v>6344.15046141999</v>
      </c>
      <c r="H8" s="0" t="n">
        <f aca="false">H6*H7/100</f>
        <v>6502.75422295549</v>
      </c>
      <c r="I8" s="0" t="n">
        <f aca="false">I6*I7/100</f>
        <v>6626.79519946273</v>
      </c>
      <c r="J8" s="0" t="n">
        <f aca="false">J6*J7/100</f>
        <v>6713.48292736268</v>
      </c>
      <c r="K8" s="0" t="n">
        <f aca="false">K6*K7/100</f>
        <v>6881.32000054674</v>
      </c>
      <c r="L8" s="0" t="n">
        <f aca="false">L6*L7/100</f>
        <v>7053.35300056041</v>
      </c>
    </row>
    <row r="9" customFormat="false" ht="15" hidden="false" customHeight="false" outlineLevel="0" collapsed="false">
      <c r="A9" s="0" t="s">
        <v>93</v>
      </c>
      <c r="C9" s="4" t="n">
        <f aca="false">Assumptions!C29</f>
        <v>0.65</v>
      </c>
      <c r="D9" s="4" t="n">
        <f aca="false">Assumptions!D29</f>
        <v>0.65</v>
      </c>
      <c r="E9" s="4" t="n">
        <f aca="false">Assumptions!E29</f>
        <v>0.65</v>
      </c>
      <c r="F9" s="4" t="n">
        <f aca="false">Assumptions!F29</f>
        <v>0.65</v>
      </c>
      <c r="G9" s="4" t="n">
        <f aca="false">Assumptions!G29</f>
        <v>0.65</v>
      </c>
      <c r="H9" s="4" t="n">
        <f aca="false">Assumptions!H29</f>
        <v>0.65</v>
      </c>
      <c r="I9" s="4" t="n">
        <f aca="false">Assumptions!I29</f>
        <v>0.65</v>
      </c>
      <c r="J9" s="4" t="n">
        <f aca="false">Assumptions!J29</f>
        <v>0.65</v>
      </c>
      <c r="K9" s="4" t="n">
        <f aca="false">Assumptions!K29</f>
        <v>0.65</v>
      </c>
      <c r="L9" s="4" t="n">
        <f aca="false">Assumptions!L29</f>
        <v>0.65</v>
      </c>
    </row>
    <row r="10" customFormat="false" ht="15" hidden="false" customHeight="false" outlineLevel="0" collapsed="false">
      <c r="A10" s="0" t="s">
        <v>108</v>
      </c>
      <c r="C10" s="0" t="n">
        <f aca="false">-C6*C9/100</f>
        <v>-208.743405</v>
      </c>
      <c r="D10" s="0" t="n">
        <f aca="false">-D6*D9/100</f>
        <v>-218.136858225</v>
      </c>
      <c r="E10" s="0" t="n">
        <f aca="false">-E6*E9/100</f>
        <v>-224.68096397175</v>
      </c>
      <c r="F10" s="0" t="n">
        <f aca="false">-F6*F9/100</f>
        <v>-231.421392890903</v>
      </c>
      <c r="G10" s="0" t="n">
        <f aca="false">-G6*G9/100</f>
        <v>-238.36403467763</v>
      </c>
      <c r="H10" s="0" t="n">
        <f aca="false">-H6*H9/100</f>
        <v>-244.32313554457</v>
      </c>
      <c r="I10" s="0" t="n">
        <f aca="false">-I6*I9/100</f>
        <v>-250.431213933185</v>
      </c>
      <c r="J10" s="0" t="n">
        <f aca="false">-J6*J9/100</f>
        <v>-256.691994281514</v>
      </c>
      <c r="K10" s="0" t="n">
        <f aca="false">-K6*K9/100</f>
        <v>-263.109294138552</v>
      </c>
      <c r="L10" s="0" t="n">
        <f aca="false">-L6*L9/100</f>
        <v>-269.687026492016</v>
      </c>
    </row>
    <row r="11" customFormat="false" ht="15" hidden="false" customHeight="false" outlineLevel="0" collapsed="false">
      <c r="A11" s="0" t="s">
        <v>109</v>
      </c>
      <c r="C11" s="0" t="n">
        <f aca="false">C8+C10+C24</f>
        <v>4672.640835</v>
      </c>
      <c r="D11" s="0" t="n">
        <f aca="false">D8+D10+D24</f>
        <v>5151.385805775</v>
      </c>
      <c r="E11" s="0" t="n">
        <f aca="false">E8+E10+E24</f>
        <v>5478.75889069575</v>
      </c>
      <c r="F11" s="0" t="n">
        <f aca="false">F8+F10+F24</f>
        <v>5821.13811348655</v>
      </c>
      <c r="G11" s="0" t="n">
        <f aca="false">G8+G10+G24</f>
        <v>6105.78642674236</v>
      </c>
      <c r="H11" s="0" t="n">
        <f aca="false">H8+H10+H24</f>
        <v>6258.43108741092</v>
      </c>
      <c r="I11" s="0" t="n">
        <f aca="false">I8+I10+I24</f>
        <v>6376.36398552955</v>
      </c>
      <c r="J11" s="0" t="n">
        <f aca="false">J8+J10+J24</f>
        <v>6456.79093308116</v>
      </c>
      <c r="K11" s="0" t="n">
        <f aca="false">K8+K10+K24</f>
        <v>6618.21070640819</v>
      </c>
      <c r="L11" s="0" t="n">
        <f aca="false">L8+L10+L24</f>
        <v>6783.6659740684</v>
      </c>
    </row>
    <row r="12" customFormat="false" ht="15" hidden="false" customHeight="false" outlineLevel="0" collapsed="false">
      <c r="A12" s="0" t="s">
        <v>110</v>
      </c>
      <c r="C12" s="4" t="n">
        <f aca="false">-C6*Assumptions!C31/100</f>
        <v>-2761.83582</v>
      </c>
      <c r="D12" s="4" t="n">
        <f aca="false">-D6*Assumptions!D31/100</f>
        <v>-2785.43988195</v>
      </c>
      <c r="E12" s="4" t="n">
        <f aca="false">-E6*Assumptions!E31/100</f>
        <v>-2799.8704741095</v>
      </c>
      <c r="F12" s="4" t="n">
        <f aca="false">-F6*Assumptions!F31/100</f>
        <v>-2812.66000590482</v>
      </c>
      <c r="G12" s="4" t="n">
        <f aca="false">-G6*Assumptions!G31/100</f>
        <v>-2860.36841613156</v>
      </c>
      <c r="H12" s="4" t="n">
        <f aca="false">-H6*Assumptions!H31/100</f>
        <v>-2894.28945183568</v>
      </c>
      <c r="I12" s="4" t="n">
        <f aca="false">-I6*Assumptions!I31/100</f>
        <v>-2928.11880906493</v>
      </c>
      <c r="J12" s="4" t="n">
        <f aca="false">-J6*Assumptions!J31/100</f>
        <v>-3001.32177929155</v>
      </c>
      <c r="K12" s="4" t="n">
        <f aca="false">-K6*Assumptions!K31/100</f>
        <v>-3076.35482377384</v>
      </c>
      <c r="L12" s="4" t="n">
        <f aca="false">-L6*Assumptions!L31/100</f>
        <v>-3153.26369436818</v>
      </c>
    </row>
    <row r="13" customFormat="false" ht="15" hidden="false" customHeight="false" outlineLevel="0" collapsed="false">
      <c r="A13" s="0" t="s">
        <v>111</v>
      </c>
      <c r="C13" s="0" t="n">
        <f aca="false">C11+C12</f>
        <v>1910.805015</v>
      </c>
      <c r="D13" s="0" t="n">
        <f aca="false">D11+D12</f>
        <v>2365.945923825</v>
      </c>
      <c r="E13" s="0" t="n">
        <f aca="false">E11+E12</f>
        <v>2678.88841658625</v>
      </c>
      <c r="F13" s="0" t="n">
        <f aca="false">F11+F12</f>
        <v>3008.47810758173</v>
      </c>
      <c r="G13" s="0" t="n">
        <f aca="false">G11+G12</f>
        <v>3245.4180106108</v>
      </c>
      <c r="H13" s="0" t="n">
        <f aca="false">H11+H12</f>
        <v>3364.14163557524</v>
      </c>
      <c r="I13" s="0" t="n">
        <f aca="false">I11+I12</f>
        <v>3448.24517646462</v>
      </c>
      <c r="J13" s="0" t="n">
        <f aca="false">J11+J12</f>
        <v>3455.46915378961</v>
      </c>
      <c r="K13" s="0" t="n">
        <f aca="false">K11+K12</f>
        <v>3541.85588263435</v>
      </c>
      <c r="L13" s="0" t="n">
        <f aca="false">L11+L12</f>
        <v>3630.40227970021</v>
      </c>
    </row>
    <row r="14" customFormat="false" ht="15" hidden="false" customHeight="false" outlineLevel="0" collapsed="false">
      <c r="A14" s="0" t="s">
        <v>97</v>
      </c>
      <c r="C14" s="4" t="n">
        <f aca="false">Assumptions!C33</f>
        <v>25</v>
      </c>
      <c r="D14" s="4" t="n">
        <f aca="false">Assumptions!D33</f>
        <v>25</v>
      </c>
      <c r="E14" s="4" t="n">
        <f aca="false">Assumptions!E33</f>
        <v>25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112</v>
      </c>
      <c r="C15" s="0" t="n">
        <f aca="false">C13-MAX(0,C13)*C14/100</f>
        <v>1433.10376125</v>
      </c>
      <c r="D15" s="0" t="n">
        <f aca="false">D13-MAX(0,D13)*D14/100</f>
        <v>1774.45944286875</v>
      </c>
      <c r="E15" s="0" t="n">
        <f aca="false">E13-MAX(0,E13)*E14/100</f>
        <v>2009.16631243969</v>
      </c>
      <c r="F15" s="0" t="n">
        <f aca="false">F13-MAX(0,F13)*F14/100</f>
        <v>2256.3585806863</v>
      </c>
      <c r="G15" s="0" t="n">
        <f aca="false">G13-MAX(0,G13)*G14/100</f>
        <v>2434.0635079581</v>
      </c>
      <c r="H15" s="0" t="n">
        <f aca="false">H13-MAX(0,H13)*H14/100</f>
        <v>2523.10622668143</v>
      </c>
      <c r="I15" s="0" t="n">
        <f aca="false">I13-MAX(0,I13)*I14/100</f>
        <v>2586.18388234846</v>
      </c>
      <c r="J15" s="0" t="n">
        <f aca="false">J13-MAX(0,J13)*J14/100</f>
        <v>2591.60186534221</v>
      </c>
      <c r="K15" s="0" t="n">
        <f aca="false">K13-MAX(0,K13)*K14/100</f>
        <v>2656.39191197576</v>
      </c>
      <c r="L15" s="0" t="n">
        <f aca="false">L13-MAX(0,L13)*L14/100</f>
        <v>2722.80170977516</v>
      </c>
    </row>
    <row r="16" customFormat="false" ht="15" hidden="false" customHeight="false" outlineLevel="0" collapsed="false">
      <c r="A16" s="0" t="s">
        <v>113</v>
      </c>
      <c r="C16" s="0" t="n">
        <f aca="false">-C12</f>
        <v>2761.83582</v>
      </c>
      <c r="D16" s="0" t="n">
        <f aca="false">-D12</f>
        <v>2785.43988195</v>
      </c>
      <c r="E16" s="0" t="n">
        <f aca="false">-E12</f>
        <v>2799.8704741095</v>
      </c>
      <c r="F16" s="0" t="n">
        <f aca="false">-F12</f>
        <v>2812.66000590482</v>
      </c>
      <c r="G16" s="0" t="n">
        <f aca="false">-G12</f>
        <v>2860.36841613156</v>
      </c>
      <c r="H16" s="0" t="n">
        <f aca="false">-H12</f>
        <v>2894.28945183568</v>
      </c>
      <c r="I16" s="0" t="n">
        <f aca="false">-I12</f>
        <v>2928.11880906493</v>
      </c>
      <c r="J16" s="0" t="n">
        <f aca="false">-J12</f>
        <v>3001.32177929155</v>
      </c>
      <c r="K16" s="0" t="n">
        <f aca="false">-K12</f>
        <v>3076.35482377384</v>
      </c>
      <c r="L16" s="0" t="n">
        <f aca="false">-L12</f>
        <v>3153.26369436818</v>
      </c>
    </row>
    <row r="17" customFormat="false" ht="15" hidden="false" customHeight="false" outlineLevel="0" collapsed="false">
      <c r="A17" s="0" t="s">
        <v>114</v>
      </c>
      <c r="C17" s="4" t="n">
        <f aca="false">-C6*Assumptions!C32/100</f>
        <v>-2376.46338</v>
      </c>
      <c r="D17" s="4" t="n">
        <f aca="false">-D6*Assumptions!D32/100</f>
        <v>-2550.5232654</v>
      </c>
      <c r="E17" s="4" t="n">
        <f aca="false">-E6*Assumptions!E32/100</f>
        <v>-2627.038963362</v>
      </c>
      <c r="F17" s="4" t="n">
        <f aca="false">-F6*Assumptions!F32/100</f>
        <v>-2705.85013226286</v>
      </c>
      <c r="G17" s="4" t="n">
        <f aca="false">-G6*Assumptions!G32/100</f>
        <v>-2787.02563623075</v>
      </c>
      <c r="H17" s="4" t="n">
        <f aca="false">-H6*Assumptions!H32/100</f>
        <v>-2856.70127713651</v>
      </c>
      <c r="I17" s="4" t="n">
        <f aca="false">-I6*Assumptions!I32/100</f>
        <v>-2928.11880906493</v>
      </c>
      <c r="J17" s="4" t="n">
        <f aca="false">-J6*Assumptions!J32/100</f>
        <v>-3001.32177929155</v>
      </c>
      <c r="K17" s="4" t="n">
        <f aca="false">-K6*Assumptions!K32/100</f>
        <v>-3076.35482377384</v>
      </c>
      <c r="L17" s="4" t="n">
        <f aca="false">-L6*Assumptions!L32/100</f>
        <v>-3153.26369436818</v>
      </c>
    </row>
    <row r="18" customFormat="false" ht="15" hidden="false" customHeight="false" outlineLevel="0" collapsed="false">
      <c r="A18" s="0" t="s">
        <v>115</v>
      </c>
      <c r="C18" s="4" t="n">
        <f aca="false">(C6-B6)*Assumptions!$B$37/100</f>
        <v>-93.5370000000003</v>
      </c>
      <c r="D18" s="4" t="n">
        <f aca="false">(D6-C6)*Assumptions!$B$37/100</f>
        <v>-144.514665</v>
      </c>
      <c r="E18" s="4" t="n">
        <f aca="false">(E6-D6)*Assumptions!$B$37/100</f>
        <v>-100.67854995</v>
      </c>
      <c r="F18" s="4" t="n">
        <f aca="false">(F6-E6)*Assumptions!$B$37/100</f>
        <v>-103.6989064485</v>
      </c>
      <c r="G18" s="4" t="n">
        <f aca="false">(G6-F6)*Assumptions!$B$37/100</f>
        <v>-106.809873641955</v>
      </c>
      <c r="H18" s="4" t="n">
        <f aca="false">(H6-G6)*Assumptions!$B$37/100</f>
        <v>-91.678474876011</v>
      </c>
      <c r="I18" s="4" t="n">
        <f aca="false">(I6-H6)*Assumptions!$B$37/100</f>
        <v>-93.9704367479113</v>
      </c>
      <c r="J18" s="4" t="n">
        <f aca="false">(J6-I6)*Assumptions!$B$37/100</f>
        <v>-96.3196976666091</v>
      </c>
      <c r="K18" s="4" t="n">
        <f aca="false">(K6-J6)*Assumptions!$B$37/100</f>
        <v>-98.727690108274</v>
      </c>
      <c r="L18" s="4" t="n">
        <f aca="false">(L6-K6)*Assumptions!$B$37/100</f>
        <v>-101.195882360981</v>
      </c>
    </row>
    <row r="19" customFormat="false" ht="15" hidden="false" customHeight="false" outlineLevel="0" collapsed="false">
      <c r="A19" s="0" t="s">
        <v>116</v>
      </c>
      <c r="C19" s="0" t="n">
        <f aca="false">C15+C16+C17+C18</f>
        <v>1724.93920125</v>
      </c>
      <c r="D19" s="0" t="n">
        <f aca="false">D15+D16+D17+D18</f>
        <v>1864.86139441875</v>
      </c>
      <c r="E19" s="0" t="n">
        <f aca="false">E15+E16+E17+E18</f>
        <v>2081.31927323719</v>
      </c>
      <c r="F19" s="0" t="n">
        <f aca="false">F15+F16+F17+F18</f>
        <v>2259.46954787975</v>
      </c>
      <c r="G19" s="0" t="n">
        <f aca="false">G15+G16+G17+G18</f>
        <v>2400.59641421696</v>
      </c>
      <c r="H19" s="0" t="n">
        <f aca="false">H15+H16+H17+H18</f>
        <v>2469.01592650458</v>
      </c>
      <c r="I19" s="0" t="n">
        <f aca="false">I15+I16+I17+I18</f>
        <v>2492.21344560055</v>
      </c>
      <c r="J19" s="0" t="n">
        <f aca="false">J15+J16+J17+J18</f>
        <v>2495.2821676756</v>
      </c>
      <c r="K19" s="0" t="n">
        <f aca="false">K15+K16+K17+K18</f>
        <v>2557.66422186749</v>
      </c>
      <c r="L19" s="0" t="n">
        <f aca="false">L15+L16+L17+L18</f>
        <v>2621.60582741418</v>
      </c>
    </row>
    <row r="20" customFormat="false" ht="15" hidden="false" customHeight="false" outlineLevel="0" collapsed="false">
      <c r="A20" s="0" t="s">
        <v>117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118</v>
      </c>
      <c r="C21" s="0" t="n">
        <f aca="false">C19*C20</f>
        <v>1597.16592708333</v>
      </c>
      <c r="D21" s="0" t="n">
        <f aca="false">D19*D20</f>
        <v>1598.81806791731</v>
      </c>
      <c r="E21" s="0" t="n">
        <f aca="false">E19*E20</f>
        <v>1652.21834295235</v>
      </c>
      <c r="F21" s="0" t="n">
        <f aca="false">F19*F20</f>
        <v>1660.77756917612</v>
      </c>
      <c r="G21" s="0" t="n">
        <f aca="false">G19*G20</f>
        <v>1633.80558237554</v>
      </c>
      <c r="H21" s="0" t="n">
        <f aca="false">H19*H20</f>
        <v>1555.89884517384</v>
      </c>
      <c r="I21" s="0" t="n">
        <f aca="false">I19*I20</f>
        <v>1454.18260845107</v>
      </c>
      <c r="J21" s="0" t="n">
        <f aca="false">J19*J20</f>
        <v>1348.12331324777</v>
      </c>
      <c r="K21" s="0" t="n">
        <f aca="false">K19*K20</f>
        <v>1279.4688852583</v>
      </c>
      <c r="L21" s="0" t="n">
        <f aca="false">L19*L20</f>
        <v>1214.31074758311</v>
      </c>
    </row>
    <row r="23" customFormat="false" ht="15" hidden="false" customHeight="false" outlineLevel="0" collapsed="false">
      <c r="A23" s="0" t="s">
        <v>94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119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120</v>
      </c>
    </row>
    <row r="27" customFormat="false" ht="15" hidden="false" customHeight="false" outlineLevel="0" collapsed="false">
      <c r="A27" s="0" t="s">
        <v>98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99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100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121</v>
      </c>
      <c r="B30" s="0" t="n">
        <f aca="false">SUM(C21:L21)</f>
        <v>14994.7698892187</v>
      </c>
    </row>
    <row r="31" customFormat="false" ht="15" hidden="false" customHeight="false" outlineLevel="0" collapsed="false">
      <c r="A31" s="0" t="s">
        <v>122</v>
      </c>
      <c r="B31" s="0" t="n">
        <f aca="false">L19</f>
        <v>2621.60582741418</v>
      </c>
    </row>
    <row r="32" customFormat="false" ht="15" hidden="false" customHeight="false" outlineLevel="0" collapsed="false">
      <c r="A32" s="0" t="s">
        <v>123</v>
      </c>
      <c r="B32" s="0" t="n">
        <f aca="false">IF(B27&gt;B28,B31*(1+B28/100)/((B27-B28)/100),B31*B29)</f>
        <v>44567.2990660411</v>
      </c>
    </row>
    <row r="33" customFormat="false" ht="15" hidden="false" customHeight="false" outlineLevel="0" collapsed="false">
      <c r="A33" s="0" t="s">
        <v>124</v>
      </c>
      <c r="B33" s="0" t="n">
        <f aca="false">B31*B29</f>
        <v>41945.6932386269</v>
      </c>
    </row>
    <row r="34" customFormat="false" ht="15" hidden="false" customHeight="false" outlineLevel="0" collapsed="false">
      <c r="A34" s="0" t="s">
        <v>125</v>
      </c>
      <c r="B34" s="0" t="n">
        <f aca="false">MAX(0,MIN(B32,B33))</f>
        <v>41945.6932386269</v>
      </c>
    </row>
    <row r="35" customFormat="false" ht="15" hidden="false" customHeight="false" outlineLevel="0" collapsed="false">
      <c r="A35" s="0" t="s">
        <v>126</v>
      </c>
      <c r="B35" s="0" t="n">
        <f aca="false">B34/(1+B27/100)^L4</f>
        <v>19428.9719613297</v>
      </c>
    </row>
    <row r="36" customFormat="false" ht="15" hidden="false" customHeight="false" outlineLevel="0" collapsed="false">
      <c r="A36" s="0" t="s">
        <v>127</v>
      </c>
      <c r="B36" s="0" t="n">
        <f aca="false">B30+B35</f>
        <v>34423.7418505485</v>
      </c>
    </row>
    <row r="37" customFormat="false" ht="15" hidden="false" customHeight="false" outlineLevel="0" collapsed="false">
      <c r="A37" s="0" t="s">
        <v>128</v>
      </c>
      <c r="B37" s="0" t="n">
        <f aca="false">B36+Assumptions!$B$5-Assumptions!$B$4</f>
        <v>20389.7418505485</v>
      </c>
    </row>
    <row r="38" customFormat="false" ht="15" hidden="false" customHeight="false" outlineLevel="0" collapsed="false">
      <c r="A38" s="0" t="s">
        <v>129</v>
      </c>
      <c r="B38" s="0" t="n">
        <f aca="false">B37/Assumptions!$B$3*Assumptions!$B$10</f>
        <v>38.7637677767081</v>
      </c>
    </row>
    <row r="39" customFormat="false" ht="15" hidden="false" customHeight="false" outlineLevel="0" collapsed="false">
      <c r="A39" s="0" t="s">
        <v>130</v>
      </c>
      <c r="B39" s="4" t="n">
        <f aca="false">B38/Assumptions!$B$2-1</f>
        <v>-0.0887689756298046</v>
      </c>
    </row>
    <row r="41" customFormat="false" ht="15" hidden="false" customHeight="false" outlineLevel="0" collapsed="false">
      <c r="A41" s="0" t="s">
        <v>131</v>
      </c>
      <c r="B41" s="0" t="n">
        <f aca="false">SUMPRODUCT(-C10:L10/(1+$B$27/100)^C4:L4)</f>
        <v>1586.29466123156</v>
      </c>
    </row>
    <row r="42" customFormat="false" ht="15" hidden="false" customHeight="false" outlineLevel="0" collapsed="false">
      <c r="A42" s="0" t="s">
        <v>132</v>
      </c>
      <c r="B42" s="0" t="n">
        <f aca="false">IF(B27&gt;B28,-L10*(1+B28/100)/((B27-B28)/100),-L10*20)/(1+B27/100)^L4</f>
        <v>2123.5936663644</v>
      </c>
    </row>
    <row r="43" customFormat="false" ht="15" hidden="false" customHeight="false" outlineLevel="0" collapsed="false">
      <c r="A43" s="0" t="s">
        <v>133</v>
      </c>
      <c r="B43" s="0" t="n">
        <f aca="false">(B37+B41+B42)/Assumptions!$B$3*Assumptions!$B$10</f>
        <v>45.816787410921</v>
      </c>
    </row>
    <row r="45" customFormat="false" ht="15" hidden="false" customHeight="false" outlineLevel="0" collapsed="false">
      <c r="A45" s="0" t="s">
        <v>74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134</v>
      </c>
      <c r="B46" s="0" t="n">
        <f aca="false">MAX(0,MIN(IF(B45&gt;B28,B31*(1+B28/100)/((B45-B28)/100),B31*B29),B31*B29))</f>
        <v>20569.5226458651</v>
      </c>
    </row>
    <row r="47" customFormat="false" ht="15" hidden="false" customHeight="false" outlineLevel="0" collapsed="false">
      <c r="A47" s="0" t="s">
        <v>135</v>
      </c>
      <c r="B47" s="0" t="n">
        <f aca="false">(SUMPRODUCT(C19:L19/(1+B45/100)^C4:L4)+B46/(1+B45/100)^L4+Assumptions!$B$5-Assumptions!$B$4)/Assumptions!$B$3*Assumptions!$B$10</f>
        <v>3.82038501342228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137</v>
      </c>
    </row>
    <row r="3" customFormat="false" ht="15" hidden="false" customHeight="false" outlineLevel="0" collapsed="false">
      <c r="A3" s="0" t="s">
        <v>106</v>
      </c>
      <c r="B3" s="0" t="s">
        <v>67</v>
      </c>
      <c r="C3" s="2" t="s">
        <v>81</v>
      </c>
      <c r="D3" s="2" t="s">
        <v>82</v>
      </c>
      <c r="E3" s="2" t="s">
        <v>83</v>
      </c>
      <c r="F3" s="2" t="s">
        <v>84</v>
      </c>
      <c r="G3" s="2" t="s">
        <v>85</v>
      </c>
      <c r="H3" s="2" t="s">
        <v>86</v>
      </c>
      <c r="I3" s="2" t="s">
        <v>87</v>
      </c>
      <c r="J3" s="2" t="s">
        <v>88</v>
      </c>
      <c r="K3" s="2" t="s">
        <v>89</v>
      </c>
      <c r="L3" s="2" t="s">
        <v>90</v>
      </c>
    </row>
    <row r="4" customFormat="false" ht="15" hidden="false" customHeight="false" outlineLevel="0" collapsed="false">
      <c r="A4" s="0" t="s">
        <v>107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91</v>
      </c>
      <c r="C5" s="4" t="n">
        <f aca="false">Assumptions!C41</f>
        <v>3</v>
      </c>
      <c r="D5" s="4" t="n">
        <f aca="false">Assumptions!D41</f>
        <v>6.5</v>
      </c>
      <c r="E5" s="4" t="n">
        <f aca="false">Assumptions!E41</f>
        <v>4</v>
      </c>
      <c r="F5" s="4" t="n">
        <f aca="false">Assumptions!F41</f>
        <v>3.5</v>
      </c>
      <c r="G5" s="4" t="n">
        <f aca="false">Assumptions!G41</f>
        <v>3.5</v>
      </c>
      <c r="H5" s="4" t="n">
        <f aca="false">Assumptions!H41</f>
        <v>3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31179</v>
      </c>
      <c r="C6" s="0" t="n">
        <f aca="false">B6*(1+C5/100)</f>
        <v>32114.37</v>
      </c>
      <c r="D6" s="0" t="n">
        <f aca="false">C6*(1+D5/100)</f>
        <v>34201.80405</v>
      </c>
      <c r="E6" s="0" t="n">
        <f aca="false">D6*(1+E5/100)</f>
        <v>35569.876212</v>
      </c>
      <c r="F6" s="0" t="n">
        <f aca="false">E6*(1+F5/100)</f>
        <v>36814.82187942</v>
      </c>
      <c r="G6" s="0" t="n">
        <f aca="false">F6*(1+G5/100)</f>
        <v>38103.3406451997</v>
      </c>
      <c r="H6" s="0" t="n">
        <f aca="false">G6*(1+H5/100)</f>
        <v>39246.4408645557</v>
      </c>
      <c r="I6" s="0" t="n">
        <f aca="false">H6*(1+I5/100)</f>
        <v>40423.8340904924</v>
      </c>
      <c r="J6" s="0" t="n">
        <f aca="false">I6*(1+J5/100)</f>
        <v>41636.5491132071</v>
      </c>
      <c r="K6" s="0" t="n">
        <f aca="false">J6*(1+K5/100)</f>
        <v>42677.4628410373</v>
      </c>
      <c r="L6" s="0" t="n">
        <f aca="false">K6*(1+L5/100)</f>
        <v>43744.3994120632</v>
      </c>
    </row>
    <row r="7" customFormat="false" ht="15" hidden="false" customHeight="false" outlineLevel="0" collapsed="false">
      <c r="A7" s="0" t="s">
        <v>92</v>
      </c>
      <c r="C7" s="4" t="n">
        <f aca="false">Assumptions!C42</f>
        <v>15.2</v>
      </c>
      <c r="D7" s="4" t="n">
        <f aca="false">Assumptions!D42</f>
        <v>16.8</v>
      </c>
      <c r="E7" s="4" t="n">
        <f aca="false">Assumptions!E42</f>
        <v>17.8</v>
      </c>
      <c r="F7" s="4" t="n">
        <f aca="false">Assumptions!F42</f>
        <v>18.6</v>
      </c>
      <c r="G7" s="4" t="n">
        <f aca="false">Assumptions!G42</f>
        <v>19.2</v>
      </c>
      <c r="H7" s="4" t="n">
        <f aca="false">Assumptions!H42</f>
        <v>19.2</v>
      </c>
      <c r="I7" s="4" t="n">
        <f aca="false">Assumptions!I42</f>
        <v>19</v>
      </c>
      <c r="J7" s="4" t="n">
        <f aca="false">Assumptions!J42</f>
        <v>18.8</v>
      </c>
      <c r="K7" s="4" t="n">
        <f aca="false">Assumptions!K42</f>
        <v>18.5</v>
      </c>
      <c r="L7" s="4" t="n">
        <f aca="false">Assumptions!L42</f>
        <v>18.5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4881.38424</v>
      </c>
      <c r="D8" s="0" t="n">
        <f aca="false">D6*D7/100</f>
        <v>5745.9030804</v>
      </c>
      <c r="E8" s="0" t="n">
        <f aca="false">E6*E7/100</f>
        <v>6331.437965736</v>
      </c>
      <c r="F8" s="0" t="n">
        <f aca="false">F6*F7/100</f>
        <v>6847.55686957212</v>
      </c>
      <c r="G8" s="0" t="n">
        <f aca="false">G6*G7/100</f>
        <v>7315.84140387834</v>
      </c>
      <c r="H8" s="0" t="n">
        <f aca="false">H6*H7/100</f>
        <v>7535.31664599469</v>
      </c>
      <c r="I8" s="0" t="n">
        <f aca="false">I6*I7/100</f>
        <v>7680.52847719355</v>
      </c>
      <c r="J8" s="0" t="n">
        <f aca="false">J6*J7/100</f>
        <v>7827.67123328294</v>
      </c>
      <c r="K8" s="0" t="n">
        <f aca="false">K6*K7/100</f>
        <v>7895.3306255919</v>
      </c>
      <c r="L8" s="0" t="n">
        <f aca="false">L6*L7/100</f>
        <v>8092.7138912317</v>
      </c>
    </row>
    <row r="9" customFormat="false" ht="15" hidden="false" customHeight="false" outlineLevel="0" collapsed="false">
      <c r="A9" s="0" t="s">
        <v>93</v>
      </c>
      <c r="C9" s="4" t="n">
        <f aca="false">Assumptions!C43</f>
        <v>0.65</v>
      </c>
      <c r="D9" s="4" t="n">
        <f aca="false">Assumptions!D43</f>
        <v>0.65</v>
      </c>
      <c r="E9" s="4" t="n">
        <f aca="false">Assumptions!E43</f>
        <v>0.65</v>
      </c>
      <c r="F9" s="4" t="n">
        <f aca="false">Assumptions!F43</f>
        <v>0.65</v>
      </c>
      <c r="G9" s="4" t="n">
        <f aca="false">Assumptions!G43</f>
        <v>0.65</v>
      </c>
      <c r="H9" s="4" t="n">
        <f aca="false">Assumptions!H43</f>
        <v>0.65</v>
      </c>
      <c r="I9" s="4" t="n">
        <f aca="false">Assumptions!I43</f>
        <v>0.65</v>
      </c>
      <c r="J9" s="4" t="n">
        <f aca="false">Assumptions!J43</f>
        <v>0.65</v>
      </c>
      <c r="K9" s="4" t="n">
        <f aca="false">Assumptions!K43</f>
        <v>0.65</v>
      </c>
      <c r="L9" s="4" t="n">
        <f aca="false">Assumptions!L43</f>
        <v>0.65</v>
      </c>
    </row>
    <row r="10" customFormat="false" ht="15" hidden="false" customHeight="false" outlineLevel="0" collapsed="false">
      <c r="A10" s="0" t="s">
        <v>108</v>
      </c>
      <c r="C10" s="0" t="n">
        <f aca="false">-C6*C9/100</f>
        <v>-208.743405</v>
      </c>
      <c r="D10" s="0" t="n">
        <f aca="false">-D6*D9/100</f>
        <v>-222.311726325</v>
      </c>
      <c r="E10" s="0" t="n">
        <f aca="false">-E6*E9/100</f>
        <v>-231.204195378</v>
      </c>
      <c r="F10" s="0" t="n">
        <f aca="false">-F6*F9/100</f>
        <v>-239.29634221623</v>
      </c>
      <c r="G10" s="0" t="n">
        <f aca="false">-G6*G9/100</f>
        <v>-247.671714193798</v>
      </c>
      <c r="H10" s="0" t="n">
        <f aca="false">-H6*H9/100</f>
        <v>-255.101865619612</v>
      </c>
      <c r="I10" s="0" t="n">
        <f aca="false">-I6*I9/100</f>
        <v>-262.7549215882</v>
      </c>
      <c r="J10" s="0" t="n">
        <f aca="false">-J6*J9/100</f>
        <v>-270.637569235846</v>
      </c>
      <c r="K10" s="0" t="n">
        <f aca="false">-K6*K9/100</f>
        <v>-277.403508466743</v>
      </c>
      <c r="L10" s="0" t="n">
        <f aca="false">-L6*L9/100</f>
        <v>-284.338596178411</v>
      </c>
    </row>
    <row r="11" customFormat="false" ht="15" hidden="false" customHeight="false" outlineLevel="0" collapsed="false">
      <c r="A11" s="0" t="s">
        <v>109</v>
      </c>
      <c r="C11" s="0" t="n">
        <f aca="false">C8+C10+C24</f>
        <v>4672.640835</v>
      </c>
      <c r="D11" s="0" t="n">
        <f aca="false">D8+D10+D24</f>
        <v>5523.591354075</v>
      </c>
      <c r="E11" s="0" t="n">
        <f aca="false">E8+E10+E24</f>
        <v>6100.233770358</v>
      </c>
      <c r="F11" s="0" t="n">
        <f aca="false">F8+F10+F24</f>
        <v>6608.26052735589</v>
      </c>
      <c r="G11" s="0" t="n">
        <f aca="false">G8+G10+G24</f>
        <v>7068.16968968454</v>
      </c>
      <c r="H11" s="0" t="n">
        <f aca="false">H8+H10+H24</f>
        <v>7280.21478037508</v>
      </c>
      <c r="I11" s="0" t="n">
        <f aca="false">I8+I10+I24</f>
        <v>7417.77355560535</v>
      </c>
      <c r="J11" s="0" t="n">
        <f aca="false">J8+J10+J24</f>
        <v>7557.0336640471</v>
      </c>
      <c r="K11" s="0" t="n">
        <f aca="false">K8+K10+K24</f>
        <v>7617.92711712516</v>
      </c>
      <c r="L11" s="0" t="n">
        <f aca="false">L8+L10+L24</f>
        <v>7808.37529505329</v>
      </c>
    </row>
    <row r="12" customFormat="false" ht="15" hidden="false" customHeight="false" outlineLevel="0" collapsed="false">
      <c r="A12" s="0" t="s">
        <v>110</v>
      </c>
      <c r="C12" s="4" t="n">
        <f aca="false">-C6*Assumptions!C45/100</f>
        <v>-2761.83582</v>
      </c>
      <c r="D12" s="4" t="n">
        <f aca="false">-D6*Assumptions!D45/100</f>
        <v>-2838.74973615</v>
      </c>
      <c r="E12" s="4" t="n">
        <f aca="false">-E6*Assumptions!E45/100</f>
        <v>-2881.159973172</v>
      </c>
      <c r="F12" s="4" t="n">
        <f aca="false">-F6*Assumptions!F45/100</f>
        <v>-2908.37092847418</v>
      </c>
      <c r="G12" s="4" t="n">
        <f aca="false">-G6*Assumptions!G45/100</f>
        <v>-2972.06057032558</v>
      </c>
      <c r="H12" s="4" t="n">
        <f aca="false">-H6*Assumptions!H45/100</f>
        <v>-3021.97594657079</v>
      </c>
      <c r="I12" s="4" t="n">
        <f aca="false">-I6*Assumptions!I45/100</f>
        <v>-3072.21139087742</v>
      </c>
      <c r="J12" s="4" t="n">
        <f aca="false">-J6*Assumptions!J45/100</f>
        <v>-3164.37773260374</v>
      </c>
      <c r="K12" s="4" t="n">
        <f aca="false">-K6*Assumptions!K45/100</f>
        <v>-3243.48717591884</v>
      </c>
      <c r="L12" s="4" t="n">
        <f aca="false">-L6*Assumptions!L45/100</f>
        <v>-3324.57435531681</v>
      </c>
    </row>
    <row r="13" customFormat="false" ht="15" hidden="false" customHeight="false" outlineLevel="0" collapsed="false">
      <c r="A13" s="0" t="s">
        <v>111</v>
      </c>
      <c r="C13" s="0" t="n">
        <f aca="false">C11+C12</f>
        <v>1910.805015</v>
      </c>
      <c r="D13" s="0" t="n">
        <f aca="false">D11+D12</f>
        <v>2684.841617925</v>
      </c>
      <c r="E13" s="0" t="n">
        <f aca="false">E11+E12</f>
        <v>3219.073797186</v>
      </c>
      <c r="F13" s="0" t="n">
        <f aca="false">F11+F12</f>
        <v>3699.88959888171</v>
      </c>
      <c r="G13" s="0" t="n">
        <f aca="false">G11+G12</f>
        <v>4096.10911935897</v>
      </c>
      <c r="H13" s="0" t="n">
        <f aca="false">H11+H12</f>
        <v>4258.23883380429</v>
      </c>
      <c r="I13" s="0" t="n">
        <f aca="false">I11+I12</f>
        <v>4345.56216472793</v>
      </c>
      <c r="J13" s="0" t="n">
        <f aca="false">J11+J12</f>
        <v>4392.65593144335</v>
      </c>
      <c r="K13" s="0" t="n">
        <f aca="false">K11+K12</f>
        <v>4374.43994120632</v>
      </c>
      <c r="L13" s="0" t="n">
        <f aca="false">L11+L12</f>
        <v>4483.80093973648</v>
      </c>
    </row>
    <row r="14" customFormat="false" ht="15" hidden="false" customHeight="false" outlineLevel="0" collapsed="false">
      <c r="A14" s="0" t="s">
        <v>97</v>
      </c>
      <c r="C14" s="4" t="n">
        <f aca="false">Assumptions!C47</f>
        <v>25</v>
      </c>
      <c r="D14" s="4" t="n">
        <f aca="false">Assumptions!D47</f>
        <v>25</v>
      </c>
      <c r="E14" s="4" t="n">
        <f aca="false">Assumptions!E47</f>
        <v>25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112</v>
      </c>
      <c r="C15" s="0" t="n">
        <f aca="false">C13-MAX(0,C13)*C14/100</f>
        <v>1433.10376125</v>
      </c>
      <c r="D15" s="0" t="n">
        <f aca="false">D13-MAX(0,D13)*D14/100</f>
        <v>2013.63121344375</v>
      </c>
      <c r="E15" s="0" t="n">
        <f aca="false">E13-MAX(0,E13)*E14/100</f>
        <v>2414.3053478895</v>
      </c>
      <c r="F15" s="0" t="n">
        <f aca="false">F13-MAX(0,F13)*F14/100</f>
        <v>2774.91719916128</v>
      </c>
      <c r="G15" s="0" t="n">
        <f aca="false">G13-MAX(0,G13)*G14/100</f>
        <v>3072.08183951922</v>
      </c>
      <c r="H15" s="0" t="n">
        <f aca="false">H13-MAX(0,H13)*H14/100</f>
        <v>3193.67912535322</v>
      </c>
      <c r="I15" s="0" t="n">
        <f aca="false">I13-MAX(0,I13)*I14/100</f>
        <v>3259.17162354595</v>
      </c>
      <c r="J15" s="0" t="n">
        <f aca="false">J13-MAX(0,J13)*J14/100</f>
        <v>3294.49194858251</v>
      </c>
      <c r="K15" s="0" t="n">
        <f aca="false">K13-MAX(0,K13)*K14/100</f>
        <v>3280.82995590474</v>
      </c>
      <c r="L15" s="0" t="n">
        <f aca="false">L13-MAX(0,L13)*L14/100</f>
        <v>3362.85070480236</v>
      </c>
    </row>
    <row r="16" customFormat="false" ht="15" hidden="false" customHeight="false" outlineLevel="0" collapsed="false">
      <c r="A16" s="0" t="s">
        <v>113</v>
      </c>
      <c r="C16" s="0" t="n">
        <f aca="false">-C12</f>
        <v>2761.83582</v>
      </c>
      <c r="D16" s="0" t="n">
        <f aca="false">-D12</f>
        <v>2838.74973615</v>
      </c>
      <c r="E16" s="0" t="n">
        <f aca="false">-E12</f>
        <v>2881.159973172</v>
      </c>
      <c r="F16" s="0" t="n">
        <f aca="false">-F12</f>
        <v>2908.37092847418</v>
      </c>
      <c r="G16" s="0" t="n">
        <f aca="false">-G12</f>
        <v>2972.06057032558</v>
      </c>
      <c r="H16" s="0" t="n">
        <f aca="false">-H12</f>
        <v>3021.97594657079</v>
      </c>
      <c r="I16" s="0" t="n">
        <f aca="false">-I12</f>
        <v>3072.21139087742</v>
      </c>
      <c r="J16" s="0" t="n">
        <f aca="false">-J12</f>
        <v>3164.37773260374</v>
      </c>
      <c r="K16" s="0" t="n">
        <f aca="false">-K12</f>
        <v>3243.48717591884</v>
      </c>
      <c r="L16" s="0" t="n">
        <f aca="false">-L12</f>
        <v>3324.57435531681</v>
      </c>
    </row>
    <row r="17" customFormat="false" ht="15" hidden="false" customHeight="false" outlineLevel="0" collapsed="false">
      <c r="A17" s="0" t="s">
        <v>114</v>
      </c>
      <c r="C17" s="4" t="n">
        <f aca="false">-C6*Assumptions!C46/100</f>
        <v>-2376.46338</v>
      </c>
      <c r="D17" s="4" t="n">
        <f aca="false">-D6*Assumptions!D46/100</f>
        <v>-2599.3371078</v>
      </c>
      <c r="E17" s="4" t="n">
        <f aca="false">-E6*Assumptions!E46/100</f>
        <v>-2703.310592112</v>
      </c>
      <c r="F17" s="4" t="n">
        <f aca="false">-F6*Assumptions!F46/100</f>
        <v>-2797.92646283592</v>
      </c>
      <c r="G17" s="4" t="n">
        <f aca="false">-G6*Assumptions!G46/100</f>
        <v>-2895.85388903518</v>
      </c>
      <c r="H17" s="4" t="n">
        <f aca="false">-H6*Assumptions!H46/100</f>
        <v>-2982.72950570623</v>
      </c>
      <c r="I17" s="4" t="n">
        <f aca="false">-I6*Assumptions!I46/100</f>
        <v>-3072.21139087742</v>
      </c>
      <c r="J17" s="4" t="n">
        <f aca="false">-J6*Assumptions!J46/100</f>
        <v>-3164.37773260374</v>
      </c>
      <c r="K17" s="4" t="n">
        <f aca="false">-K6*Assumptions!K46/100</f>
        <v>-3243.48717591884</v>
      </c>
      <c r="L17" s="4" t="n">
        <f aca="false">-L6*Assumptions!L46/100</f>
        <v>-3324.57435531681</v>
      </c>
    </row>
    <row r="18" customFormat="false" ht="15" hidden="false" customHeight="false" outlineLevel="0" collapsed="false">
      <c r="A18" s="0" t="s">
        <v>115</v>
      </c>
      <c r="C18" s="4" t="n">
        <f aca="false">(C6-B6)*Assumptions!$B$51/100</f>
        <v>-93.5370000000003</v>
      </c>
      <c r="D18" s="4" t="n">
        <f aca="false">(D6-C6)*Assumptions!$B$51/100</f>
        <v>-208.743405</v>
      </c>
      <c r="E18" s="4" t="n">
        <f aca="false">(E6-D6)*Assumptions!$B$51/100</f>
        <v>-136.8072162</v>
      </c>
      <c r="F18" s="4" t="n">
        <f aca="false">(F6-E6)*Assumptions!$B$51/100</f>
        <v>-124.494566742</v>
      </c>
      <c r="G18" s="4" t="n">
        <f aca="false">(G6-F6)*Assumptions!$B$51/100</f>
        <v>-128.85187657797</v>
      </c>
      <c r="H18" s="4" t="n">
        <f aca="false">(H6-G6)*Assumptions!$B$51/100</f>
        <v>-114.310021935599</v>
      </c>
      <c r="I18" s="4" t="n">
        <f aca="false">(I6-H6)*Assumptions!$B$51/100</f>
        <v>-117.739322593667</v>
      </c>
      <c r="J18" s="4" t="n">
        <f aca="false">(J6-I6)*Assumptions!$B$51/100</f>
        <v>-121.271502271477</v>
      </c>
      <c r="K18" s="4" t="n">
        <f aca="false">(K6-J6)*Assumptions!$B$51/100</f>
        <v>-104.091372783017</v>
      </c>
      <c r="L18" s="4" t="n">
        <f aca="false">(L6-K6)*Assumptions!$B$51/100</f>
        <v>-106.693657102593</v>
      </c>
    </row>
    <row r="19" customFormat="false" ht="15" hidden="false" customHeight="false" outlineLevel="0" collapsed="false">
      <c r="A19" s="0" t="s">
        <v>116</v>
      </c>
      <c r="C19" s="0" t="n">
        <f aca="false">C15+C16+C17+C18</f>
        <v>1724.93920125</v>
      </c>
      <c r="D19" s="0" t="n">
        <f aca="false">D15+D16+D17+D18</f>
        <v>2044.30043679375</v>
      </c>
      <c r="E19" s="0" t="n">
        <f aca="false">E15+E16+E17+E18</f>
        <v>2455.3475127495</v>
      </c>
      <c r="F19" s="0" t="n">
        <f aca="false">F15+F16+F17+F18</f>
        <v>2760.86709805754</v>
      </c>
      <c r="G19" s="0" t="n">
        <f aca="false">G15+G16+G17+G18</f>
        <v>3019.43664423165</v>
      </c>
      <c r="H19" s="0" t="n">
        <f aca="false">H15+H16+H17+H18</f>
        <v>3118.61554428218</v>
      </c>
      <c r="I19" s="0" t="n">
        <f aca="false">I15+I16+I17+I18</f>
        <v>3141.43230095228</v>
      </c>
      <c r="J19" s="0" t="n">
        <f aca="false">J15+J16+J17+J18</f>
        <v>3173.22044631104</v>
      </c>
      <c r="K19" s="0" t="n">
        <f aca="false">K15+K16+K17+K18</f>
        <v>3176.73858312173</v>
      </c>
      <c r="L19" s="0" t="n">
        <f aca="false">L15+L16+L17+L18</f>
        <v>3256.15704769977</v>
      </c>
    </row>
    <row r="20" customFormat="false" ht="15" hidden="false" customHeight="false" outlineLevel="0" collapsed="false">
      <c r="A20" s="0" t="s">
        <v>117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118</v>
      </c>
      <c r="C21" s="0" t="n">
        <f aca="false">C19*C20</f>
        <v>1597.16592708333</v>
      </c>
      <c r="D21" s="0" t="n">
        <f aca="false">D19*D20</f>
        <v>1752.65812482318</v>
      </c>
      <c r="E21" s="0" t="n">
        <f aca="false">E19*E20</f>
        <v>1949.13401852924</v>
      </c>
      <c r="F21" s="0" t="n">
        <f aca="false">F19*F20</f>
        <v>2029.31973667581</v>
      </c>
      <c r="G21" s="0" t="n">
        <f aca="false">G19*G20</f>
        <v>2054.97784457205</v>
      </c>
      <c r="H21" s="0" t="n">
        <f aca="false">H19*H20</f>
        <v>1965.25679393215</v>
      </c>
      <c r="I21" s="0" t="n">
        <f aca="false">I19*I20</f>
        <v>1832.99557497188</v>
      </c>
      <c r="J21" s="0" t="n">
        <f aca="false">J19*J20</f>
        <v>1714.39227080733</v>
      </c>
      <c r="K21" s="0" t="n">
        <f aca="false">K19*K20</f>
        <v>1589.1601950533</v>
      </c>
      <c r="L21" s="0" t="n">
        <f aca="false">L19*L20</f>
        <v>1508.23074067558</v>
      </c>
    </row>
    <row r="23" customFormat="false" ht="15" hidden="false" customHeight="false" outlineLevel="0" collapsed="false">
      <c r="A23" s="0" t="s">
        <v>94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119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120</v>
      </c>
    </row>
    <row r="27" customFormat="false" ht="15" hidden="false" customHeight="false" outlineLevel="0" collapsed="false">
      <c r="A27" s="0" t="s">
        <v>98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99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100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121</v>
      </c>
      <c r="B30" s="0" t="n">
        <f aca="false">SUM(C21:L21)</f>
        <v>17993.2912271238</v>
      </c>
    </row>
    <row r="31" customFormat="false" ht="15" hidden="false" customHeight="false" outlineLevel="0" collapsed="false">
      <c r="A31" s="0" t="s">
        <v>122</v>
      </c>
      <c r="B31" s="0" t="n">
        <f aca="false">L19</f>
        <v>3256.15704769977</v>
      </c>
    </row>
    <row r="32" customFormat="false" ht="15" hidden="false" customHeight="false" outlineLevel="0" collapsed="false">
      <c r="A32" s="0" t="s">
        <v>123</v>
      </c>
      <c r="B32" s="0" t="n">
        <f aca="false">IF(B27&gt;B28,B31*(1+B28/100)/((B27-B28)/100),B31*B29)</f>
        <v>60682.9267980411</v>
      </c>
    </row>
    <row r="33" customFormat="false" ht="15" hidden="false" customHeight="false" outlineLevel="0" collapsed="false">
      <c r="A33" s="0" t="s">
        <v>124</v>
      </c>
      <c r="B33" s="0" t="n">
        <f aca="false">B31*B29</f>
        <v>58610.8268585958</v>
      </c>
    </row>
    <row r="34" customFormat="false" ht="15" hidden="false" customHeight="false" outlineLevel="0" collapsed="false">
      <c r="A34" s="0" t="s">
        <v>125</v>
      </c>
      <c r="B34" s="0" t="n">
        <f aca="false">MAX(0,MIN(B32,B33))</f>
        <v>58610.8268585958</v>
      </c>
    </row>
    <row r="35" customFormat="false" ht="15" hidden="false" customHeight="false" outlineLevel="0" collapsed="false">
      <c r="A35" s="0" t="s">
        <v>126</v>
      </c>
      <c r="B35" s="0" t="n">
        <f aca="false">B34/(1+B27/100)^L4</f>
        <v>27148.1533321605</v>
      </c>
    </row>
    <row r="36" customFormat="false" ht="15" hidden="false" customHeight="false" outlineLevel="0" collapsed="false">
      <c r="A36" s="0" t="s">
        <v>127</v>
      </c>
      <c r="B36" s="0" t="n">
        <f aca="false">B30+B35</f>
        <v>45141.4445592843</v>
      </c>
    </row>
    <row r="37" customFormat="false" ht="15" hidden="false" customHeight="false" outlineLevel="0" collapsed="false">
      <c r="A37" s="0" t="s">
        <v>128</v>
      </c>
      <c r="B37" s="0" t="n">
        <f aca="false">B36+Assumptions!$B$5-Assumptions!$B$4</f>
        <v>31107.4445592843</v>
      </c>
    </row>
    <row r="38" customFormat="false" ht="15" hidden="false" customHeight="false" outlineLevel="0" collapsed="false">
      <c r="A38" s="0" t="s">
        <v>129</v>
      </c>
      <c r="B38" s="0" t="n">
        <f aca="false">B37/Assumptions!$B$3*Assumptions!$B$10</f>
        <v>59.139628439704</v>
      </c>
    </row>
    <row r="39" customFormat="false" ht="15" hidden="false" customHeight="false" outlineLevel="0" collapsed="false">
      <c r="A39" s="0" t="s">
        <v>130</v>
      </c>
      <c r="B39" s="4" t="n">
        <f aca="false">B38/Assumptions!$B$2-1</f>
        <v>0.390212234125624</v>
      </c>
    </row>
    <row r="41" customFormat="false" ht="15" hidden="false" customHeight="false" outlineLevel="0" collapsed="false">
      <c r="A41" s="0" t="s">
        <v>131</v>
      </c>
      <c r="B41" s="0" t="n">
        <f aca="false">SUMPRODUCT(-C10:L10/(1+$B$27/100)^C4:L4)</f>
        <v>1642.62999346199</v>
      </c>
    </row>
    <row r="42" customFormat="false" ht="15" hidden="false" customHeight="false" outlineLevel="0" collapsed="false">
      <c r="A42" s="0" t="s">
        <v>132</v>
      </c>
      <c r="B42" s="0" t="n">
        <f aca="false">IF(B27&gt;B28,-L10*(1+B28/100)/((B27-B28)/100),-L10*20)/(1+B27/100)^L4</f>
        <v>2454.47965118191</v>
      </c>
    </row>
    <row r="43" customFormat="false" ht="15" hidden="false" customHeight="false" outlineLevel="0" collapsed="false">
      <c r="A43" s="0" t="s">
        <v>133</v>
      </c>
      <c r="B43" s="0" t="n">
        <f aca="false">(B37+B41+B42)/Assumptions!$B$3*Assumptions!$B$10</f>
        <v>66.9288102736278</v>
      </c>
    </row>
    <row r="45" customFormat="false" ht="15" hidden="false" customHeight="false" outlineLevel="0" collapsed="false">
      <c r="A45" s="0" t="s">
        <v>74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134</v>
      </c>
      <c r="B46" s="0" t="n">
        <f aca="false">MAX(0,MIN(IF(B45&gt;B28,B31*(1+B28/100)/((B45-B28)/100),B31*B29),B31*B29))</f>
        <v>26700.4877911381</v>
      </c>
    </row>
    <row r="47" customFormat="false" ht="15" hidden="false" customHeight="false" outlineLevel="0" collapsed="false">
      <c r="A47" s="0" t="s">
        <v>135</v>
      </c>
      <c r="B47" s="0" t="n">
        <f aca="false">(SUMPRODUCT(C19:L19/(1+B45/100)^C4:L4)+B46/(1+B45/100)^L4+Assumptions!$B$5-Assumptions!$B$4)/Assumptions!$B$3*Assumptions!$B$10</f>
        <v>10.6089709520026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138</v>
      </c>
    </row>
    <row r="3" customFormat="false" ht="15" hidden="false" customHeight="false" outlineLevel="0" collapsed="false">
      <c r="A3" s="2" t="s">
        <v>139</v>
      </c>
      <c r="B3" s="2" t="s">
        <v>140</v>
      </c>
      <c r="C3" s="2" t="s">
        <v>130</v>
      </c>
      <c r="D3" s="2" t="s">
        <v>141</v>
      </c>
      <c r="E3" s="2" t="s">
        <v>133</v>
      </c>
      <c r="F3" s="2" t="s">
        <v>142</v>
      </c>
    </row>
    <row r="4" customFormat="false" ht="15" hidden="false" customHeight="false" outlineLevel="0" collapsed="false">
      <c r="A4" s="0" t="s">
        <v>143</v>
      </c>
      <c r="B4" s="4" t="n">
        <f aca="false">DCF_Bear!$B$38</f>
        <v>16.0115720356319</v>
      </c>
      <c r="C4" s="0" t="n">
        <f aca="false">B4/Assumptions!$B$2-1</f>
        <v>-0.623611376689425</v>
      </c>
      <c r="D4" s="4" t="n">
        <f aca="false">Assumptions!$B$24</f>
        <v>0.25</v>
      </c>
      <c r="E4" s="4" t="n">
        <f aca="false">DCF_Bear!$B$43</f>
        <v>22.090519215671</v>
      </c>
      <c r="F4" s="4" t="n">
        <f aca="false">DCF_Bear!$B$47</f>
        <v>-4.87215734827326</v>
      </c>
    </row>
    <row r="5" customFormat="false" ht="15" hidden="false" customHeight="false" outlineLevel="0" collapsed="false">
      <c r="A5" s="0" t="s">
        <v>144</v>
      </c>
      <c r="B5" s="4" t="n">
        <f aca="false">DCF_Base!$B$38</f>
        <v>38.7637677767081</v>
      </c>
      <c r="C5" s="0" t="n">
        <f aca="false">B5/Assumptions!$B$2-1</f>
        <v>-0.0887689756298046</v>
      </c>
      <c r="D5" s="4" t="n">
        <f aca="false">Assumptions!$B$38</f>
        <v>0.5</v>
      </c>
      <c r="E5" s="4" t="n">
        <f aca="false">DCF_Base!$B$43</f>
        <v>45.816787410921</v>
      </c>
      <c r="F5" s="4" t="n">
        <f aca="false">DCF_Base!$B$47</f>
        <v>3.82038501342228</v>
      </c>
    </row>
    <row r="6" customFormat="false" ht="15" hidden="false" customHeight="false" outlineLevel="0" collapsed="false">
      <c r="A6" s="0" t="s">
        <v>145</v>
      </c>
      <c r="B6" s="4" t="n">
        <f aca="false">DCF_Bull!$B$38</f>
        <v>59.139628439704</v>
      </c>
      <c r="C6" s="0" t="n">
        <f aca="false">B6/Assumptions!$B$2-1</f>
        <v>0.390212234125624</v>
      </c>
      <c r="D6" s="4" t="n">
        <f aca="false">Assumptions!$B$52</f>
        <v>0.25</v>
      </c>
      <c r="E6" s="4" t="n">
        <f aca="false">DCF_Bull!$B$43</f>
        <v>66.9288102736278</v>
      </c>
      <c r="F6" s="4" t="n">
        <f aca="false">DCF_Bull!$B$47</f>
        <v>10.6089709520026</v>
      </c>
    </row>
    <row r="8" customFormat="false" ht="15" hidden="false" customHeight="false" outlineLevel="0" collapsed="false">
      <c r="A8" s="0" t="s">
        <v>146</v>
      </c>
      <c r="B8" s="0" t="n">
        <f aca="false">SUMPRODUCT(B4:B6,D4:D6)</f>
        <v>38.169684007188</v>
      </c>
    </row>
    <row r="9" customFormat="false" ht="15" hidden="false" customHeight="false" outlineLevel="0" collapsed="false">
      <c r="A9" s="0" t="s">
        <v>147</v>
      </c>
      <c r="B9" s="0" t="n">
        <f aca="false">SUMPRODUCT(E4:E6,D4:D6)</f>
        <v>45.1632260777852</v>
      </c>
    </row>
    <row r="10" customFormat="false" ht="15" hidden="false" customHeight="false" outlineLevel="0" collapsed="false">
      <c r="A10" s="0" t="s">
        <v>148</v>
      </c>
      <c r="B10" s="0" t="n">
        <f aca="false">1-Assumptions!$B$2/B8</f>
        <v>-0.114497044093657</v>
      </c>
    </row>
    <row r="11" customFormat="false" ht="15" hidden="false" customHeight="false" outlineLevel="0" collapsed="false">
      <c r="A11" s="0" t="s">
        <v>149</v>
      </c>
      <c r="B11" s="0" t="n">
        <f aca="false">IF(ABS(B9-B8)&gt;0.01*ABS(B8),(Assumptions!$B$2-B8)/(B9-B8)*100,"n/a")</f>
        <v>62.4907371500062</v>
      </c>
    </row>
    <row r="12" customFormat="false" ht="15" hidden="false" customHeight="false" outlineLevel="0" collapsed="false">
      <c r="A12" s="0" t="s">
        <v>150</v>
      </c>
      <c r="B12" s="0" t="n">
        <f aca="false">SUMPRODUCT(F4:F6,D4:D6)</f>
        <v>3.34439590764348</v>
      </c>
    </row>
    <row r="14" customFormat="false" ht="15" hidden="false" customHeight="false" outlineLevel="0" collapsed="false">
      <c r="A14" s="2" t="s">
        <v>151</v>
      </c>
      <c r="C14" s="0" t="s">
        <v>152</v>
      </c>
    </row>
    <row r="15" customFormat="false" ht="15" hidden="false" customHeight="false" outlineLevel="0" collapsed="false">
      <c r="A15" s="0" t="s">
        <v>153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38.7637677767081</v>
      </c>
      <c r="C15" s="3" t="n">
        <v>8</v>
      </c>
    </row>
    <row r="16" customFormat="false" ht="15" hidden="false" customHeight="false" outlineLevel="0" collapsed="false">
      <c r="A16" s="0" t="s">
        <v>154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31.1698322265293</v>
      </c>
      <c r="C16" s="3" t="n">
        <v>9</v>
      </c>
    </row>
    <row r="17" customFormat="false" ht="15" hidden="false" customHeight="false" outlineLevel="0" collapsed="false">
      <c r="A17" s="0" t="s">
        <v>155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23.7489758073319</v>
      </c>
      <c r="C17" s="3" t="n">
        <v>10</v>
      </c>
    </row>
    <row r="18" customFormat="false" ht="15" hidden="false" customHeight="false" outlineLevel="0" collapsed="false">
      <c r="A18" s="0" t="s">
        <v>156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17.9823388663759</v>
      </c>
      <c r="C18" s="3" t="n">
        <v>11</v>
      </c>
    </row>
    <row r="19" customFormat="false" ht="15" hidden="false" customHeight="false" outlineLevel="0" collapsed="false">
      <c r="A19" s="0" t="s">
        <v>157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13.3734704368733</v>
      </c>
      <c r="C19" s="3" t="n">
        <v>12</v>
      </c>
    </row>
    <row r="20" customFormat="false" ht="15" hidden="false" customHeight="false" outlineLevel="0" collapsed="false">
      <c r="A20" s="0" t="s">
        <v>158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3.82038501342228</v>
      </c>
      <c r="C20" s="3" t="n">
        <v>15</v>
      </c>
    </row>
    <row r="22" customFormat="false" ht="15" hidden="false" customHeight="false" outlineLevel="0" collapsed="false">
      <c r="A22" s="2" t="s">
        <v>159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49.3302894680399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49.3302894680399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49.3302894680399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49.3302894680399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49.3302894680399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43.7979249694736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43.7979249694736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43.7979249694736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43.7979249694736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43.7979249694736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35.1360061733908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37.8758540975745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38.7637677767081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38.7637677767081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38.7637677767081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27.0719908703258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28.9843168365541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31.1698322265293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33.6915807534237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34.1774222127337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20.8132534063026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22.1947698303164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23.7489758073319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25.5104092479494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27.5234760372265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2026-10-02T21:17:32Z</dcterms:created>
  <dc:creator>openpyxl</dc:creator>
  <dc:description/>
  <dc:language>en-NZ</dc:language>
  <cp:lastModifiedBy/>
  <dcterms:modified xsi:type="dcterms:W3CDTF">2026-10-02T21:17:32Z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