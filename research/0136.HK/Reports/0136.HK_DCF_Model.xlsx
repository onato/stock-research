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<sst xmlns="http://schemas.openxmlformats.org/spreadsheetml/2006/main" count="354" uniqueCount="164">
  <si>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</si>
  <si>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0136.HK</t>
  </si>
  <si>
    <t xml:space="preserve">Company</t>
  </si>
  <si>
    <t xml:space="preserve">China Ruyi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</si>
  <si>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</si>
  <si>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</si>
  <si>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</si>
  <si>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</si>
  <si>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(HKEX), Yahoo Finance chart API</t>
  </si>
  <si>
    <t xml:space="preserve">Balance sheet date</t>
  </si>
  <si>
    <t xml:space="preserve">2026-06-30</t>
  </si>
  <si>
    <t xml:space="preserve">Model</t>
  </si>
  <si>
    <t xml:space="preserve">Sum of parts: owner-FCF DCF of the operating content/streaming/games business plus haircut investment book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</si>
  <si>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</si>
  <si>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</si>
  <si>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</si>
  <si>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</si>
  <si>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</si>
  <si>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</si>
  <si>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</si>
  <si>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</si>
  <si>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</si>
  <si>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2026-10-10T21:11:14Z</t>
  </si>
  <si>
    <t xml:space="preserve">Drivers file</t>
  </si>
  <si>
    <t xml:space="preserve">0136.HK_Drivers.json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</si>
  <si>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</si>
  <si>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</si>
  <si>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</si>
  <si>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Ruyi is two things: a mid-sized, hit-driven Chinese content and games operator, and an RMB13.5bn investment book funded largely by equity placings and convertible bonds. Reported profit is dominated by fair-value marks (+1,282m FY2025, -1,222m FY2024), so the operating business is valued on operating cash economics alone and the investment book is added at haircut values by fair-value level (blended ~38% discount, matching holdco precedent). Net cash, net of the CBs at redemption value, is added and acquisition payables deducted.
key_risks_to_valuation: Level-3 unlisted-fund marks (RMB8.3bn) are unobservable and connected to the controlling shareholder's ecosystem; the bridge haircut is the largest single judgment in the valuation; Further equity placings or CB conversions dilute the flat share count; the company has nearly doubled its share count since FY2021; HK$2.52bn zero-coupon CB matures 31 Jan 2027 and must be redeemed from cash or refinanced; Tencent customer concentration (43% of FY2025 revenue) and VIE licence structure; Game launches gated by PRC version-number approval; film revenue gated by box office; Trade receivables of RMB2.7bn exceed TTM revenue; collection risk sits in the working-capital driver; CNY/HKD rate is a static input and is not refreshed by price updates</t>
  </si>
  <si>
    <t xml:space="preserve">Data sources</t>
  </si>
  <si>
    <t xml:space="preserve">price: Yahoo Finance chart API at inputs.price_as_of; 52-week range 1.175-2.89 HKD
fx: Yahoo Finance CNYHKD=X, HKDCNY=X and USDCNY=X, 2026-10-10
financials: 0136.HK_Metrics.csv and kpis; FY2025 Annual Report (income statement, cash flow statement, Notes 3.3, 21, 31); H1 FY2026 Interim Report (balance sheet, Notes 6, 8, 13, 14, 19, 20, 24, 25)
qualitative: 0136.HK_Analysis.json (2026-10-11)</t>
  </si>
  <si>
    <t xml:space="preserve">Scenario narrative: bear</t>
  </si>
  <si>
    <t xml:space="preserve">Content stays hit-or-miss after the H1 2026 box-office slump, game launches slip or fail version-number approval, Red Alert Online decays, and Tencent-related customers (43% of FY2025 revenue) reprice or cut volumes. Revenue resets ~30% to ~RMB2.3bn and grows with inflation at 15% margins, while receivables over a year of revenue keep absorbing cash. The investment-book haircut in the bridge is common to all scenarios, so a further mark-down of the Level-3 funds would be additional downside beyond this case.</t>
  </si>
  <si>
    <t xml:space="preserve">Scenario narrative: base</t>
  </si>
  <si>
    <t xml:space="preserve">H1 FY2026's 46% revenue drop is mostly timing: the 2026 film slate (Pegasus 3, Scare Out, Once Upon a Time in the Middle East) and drama releases restore FY2026 revenue to ~RMB2.5bn, and the game pipeline (EA FC Theater end-2026, Red Alert: Glory and Project LORD 2027, CookieRun/Sanguo once version numbers are granted, 12 titles under the 2026 Tencent framework) lifts FY2027 18%. Operating EBITDA (ex fair-value marks) recovers to 22%, short of the FY2024 peak, as Red Alert Online ages and Pumpkin Films' AI short drama remains sub-scale. The investment book is worth roughly 60% of carrying value; net cash covers the January 2027 CB redemption.</t>
  </si>
  <si>
    <t xml:space="preserve">Scenario narrative: bull</t>
  </si>
  <si>
    <t xml:space="preserve">The licensed-IP game slate hits (EA, Ubisoft, Devsisters, Krafton, Pokemon, Tencent framework), turning Jingxiu into a multi-title publisher and pushing revenue past RMB5bn by FY2029 with 28% operating EBITDA margins; AI production tooling cuts content costs and Tencent remains a reliable distributor and buyer. Box office normalises after H1 2026's -40.6%.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</si>
  <si>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</si>
  <si>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</si>
  <si>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</si>
  <si>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</si>
  <si>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</si>
  <si>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</si>
  <si>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</si>
  <si>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</si>
  <si>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</si>
  <si>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</si>
  <si>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</si>
  <si>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</si>
  <si>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</si>
  <si>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</si>
  <si>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</si>
  <si>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</si>
  <si>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</si>
  <si>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</si>
  <si>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</si>
  <si>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</si>
  <si>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</si>
  <si>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</si>
  <si>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</si>
  <si>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</si>
  <si>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</si>
  <si>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</si>
  <si>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</si>
  <si>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</si>
  <si>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</si>
  <si>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</si>
  <si>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</si>
  <si>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</si>
  <si>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</si>
  <si>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</si>
  <si>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</si>
  <si>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</si>
  <si>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</si>
  <si>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</si>
  <si>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</si>
  <si>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</si>
  <si>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</si>
  <si>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</si>
  <si>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</si>
  <si>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</si>
  <si>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</si>
  <si>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</si>
  <si>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</si>
  <si>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</si>
  <si>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</si>
  <si>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</si>
  <si>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</si>
  <si>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</si>
  <si>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</si>
  <si>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</si>
  <si>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</si>
  <si>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</si>
  <si>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</si>
  <si>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</si>
  <si>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</si>
  <si>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</si>
  <si>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</si>
  <si>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</si>
  <si>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</si>
  <si>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</si>
  <si>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</si>
  <si>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</si>
  <si>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</si>
  <si>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</si>
  <si>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</si>
  <si>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</si>
  <si>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</si>
  <si>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</si>
  <si>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0136.HK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</si>
  <si>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</si>
  <si>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</si>
  <si>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</si>
  <si>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</si>
  <si>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</si>
  <si>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</si>
  <si>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</si>
  <si>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</si>
  <si>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</si>
  <si>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</si>
  <si>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</si>
  <si>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</si>
  <si>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</si>
  <si>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</si>
  <si>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</si>
  <si>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</si>
  <si>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</si>
  <si>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</si>
  <si>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</si>
  <si>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</si>
  <si>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</si>
  <si>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</si>
  <si>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</si>
  <si>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</si>
  <si>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</si>
  <si>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</si>
  <si>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</si>
  <si>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</si>
  <si>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</si>
  <si>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</si>
  <si>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0136.HK owner-FCF component DCF: base case (millions, CNY)</t>
  </si>
  <si>
    <t xml:space="preserve">0136.HK owner-FCF component DCF: bull case (millions, CNY)</t>
  </si>
  <si>
    <t xml:space="preserve">0136.HK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</si>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</sst>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1.51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499.419</v>
      </c>
      <c r="C2" s="0" t="n">
        <v>141.788</v>
      </c>
      <c r="D2" s="0" t="n">
        <v>357.631</v>
      </c>
      <c r="E2" s="0" t="n">
        <v>71.6</v>
      </c>
      <c r="F2" s="0" t="n">
        <v>134.66</v>
      </c>
      <c r="G2" s="0" t="n">
        <v>27</v>
      </c>
      <c r="I2" s="0" t="n">
        <v>124.496</v>
      </c>
      <c r="J2" s="0" t="n">
        <v>24.9</v>
      </c>
      <c r="K2" s="0" t="n">
        <v>0.01545</v>
      </c>
      <c r="L2" s="0" t="n">
        <v>283.732</v>
      </c>
      <c r="M2" s="0" t="n">
        <v>6.878</v>
      </c>
      <c r="N2" s="0" t="n">
        <v>276.854</v>
      </c>
      <c r="O2" s="0" t="n">
        <v>1041.078</v>
      </c>
      <c r="P2" s="0" t="n">
        <v>1431.983</v>
      </c>
      <c r="Q2" s="0" t="n">
        <v>389.342</v>
      </c>
      <c r="R2" s="0" t="n">
        <v>52.632</v>
      </c>
      <c r="S2" s="0" t="n">
        <v>1227.239</v>
      </c>
      <c r="T2" s="0" t="n">
        <v>8057.2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337.3</v>
      </c>
      <c r="C3" s="0" t="n">
        <v>134.91</v>
      </c>
      <c r="D3" s="0" t="n">
        <v>202.39</v>
      </c>
      <c r="E3" s="0" t="n">
        <v>60</v>
      </c>
      <c r="F3" s="0" t="n">
        <v>86.275</v>
      </c>
      <c r="G3" s="0" t="n">
        <v>25.6</v>
      </c>
      <c r="I3" s="0" t="n">
        <v>90.065</v>
      </c>
      <c r="J3" s="0" t="n">
        <v>26.7</v>
      </c>
      <c r="K3" s="0" t="n">
        <v>0.01118</v>
      </c>
      <c r="L3" s="0" t="n">
        <v>97.791</v>
      </c>
      <c r="M3" s="0" t="n">
        <v>13.901</v>
      </c>
      <c r="N3" s="0" t="n">
        <v>83.89</v>
      </c>
      <c r="O3" s="0" t="n">
        <v>1141.551</v>
      </c>
      <c r="P3" s="0" t="n">
        <v>1537.805</v>
      </c>
      <c r="Q3" s="0" t="n">
        <v>396.254</v>
      </c>
      <c r="R3" s="0" t="n">
        <v>53.571</v>
      </c>
      <c r="S3" s="0" t="n">
        <v>1313.301</v>
      </c>
      <c r="T3" s="0" t="n">
        <v>8057.2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230.114</v>
      </c>
      <c r="C4" s="0" t="n">
        <v>119.892</v>
      </c>
      <c r="D4" s="0" t="n">
        <v>110.222</v>
      </c>
      <c r="E4" s="0" t="n">
        <v>47.9</v>
      </c>
      <c r="F4" s="0" t="n">
        <v>5.18</v>
      </c>
      <c r="G4" s="0" t="n">
        <v>2.3</v>
      </c>
      <c r="I4" s="0" t="n">
        <v>12.022</v>
      </c>
      <c r="J4" s="0" t="n">
        <v>5.2</v>
      </c>
      <c r="K4" s="0" t="n">
        <v>0.00149</v>
      </c>
      <c r="L4" s="0" t="n">
        <v>-234.818</v>
      </c>
      <c r="M4" s="0" t="n">
        <v>2.88</v>
      </c>
      <c r="N4" s="0" t="n">
        <v>-237.698</v>
      </c>
      <c r="O4" s="0" t="n">
        <v>1183.168</v>
      </c>
      <c r="P4" s="0" t="n">
        <v>1273.241</v>
      </c>
      <c r="Q4" s="0" t="n">
        <v>90.073</v>
      </c>
      <c r="R4" s="0" t="n">
        <v>0</v>
      </c>
      <c r="S4" s="0" t="n">
        <v>1031.092</v>
      </c>
      <c r="T4" s="0" t="n">
        <v>8061.4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2318.132</v>
      </c>
      <c r="C5" s="0" t="n">
        <v>1285.864</v>
      </c>
      <c r="D5" s="0" t="n">
        <v>1032.268</v>
      </c>
      <c r="E5" s="0" t="n">
        <v>44.5</v>
      </c>
      <c r="F5" s="0" t="n">
        <v>967.614</v>
      </c>
      <c r="G5" s="0" t="n">
        <v>41.7</v>
      </c>
      <c r="H5" s="0" t="n">
        <v>944.161</v>
      </c>
      <c r="I5" s="0" t="n">
        <v>1173.652</v>
      </c>
      <c r="J5" s="0" t="n">
        <v>50.6</v>
      </c>
      <c r="K5" s="0" t="n">
        <v>0.12792</v>
      </c>
      <c r="L5" s="0" t="n">
        <v>-1467.455</v>
      </c>
      <c r="M5" s="0" t="n">
        <v>3.179</v>
      </c>
      <c r="N5" s="0" t="n">
        <v>-1470.634</v>
      </c>
      <c r="O5" s="0" t="n">
        <v>5613.251</v>
      </c>
      <c r="P5" s="0" t="n">
        <v>10619.892</v>
      </c>
      <c r="Q5" s="0" t="n">
        <v>5000.476</v>
      </c>
      <c r="R5" s="0" t="n">
        <v>1523.018</v>
      </c>
      <c r="S5" s="0" t="n">
        <v>1139.463</v>
      </c>
      <c r="T5" s="0" t="n">
        <v>9174.6</v>
      </c>
      <c r="U5" s="0" t="n">
        <v>8.603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1319.928</v>
      </c>
      <c r="C6" s="0" t="n">
        <v>1058.313</v>
      </c>
      <c r="D6" s="0" t="n">
        <v>261.615</v>
      </c>
      <c r="E6" s="0" t="n">
        <v>19.8</v>
      </c>
      <c r="F6" s="0" t="n">
        <v>883.747</v>
      </c>
      <c r="G6" s="0" t="n">
        <v>67</v>
      </c>
      <c r="H6" s="0" t="n">
        <v>830.391</v>
      </c>
      <c r="I6" s="0" t="n">
        <v>789.525</v>
      </c>
      <c r="J6" s="0" t="n">
        <v>59.8</v>
      </c>
      <c r="K6" s="0" t="n">
        <v>0.0843</v>
      </c>
      <c r="L6" s="0" t="n">
        <v>-322.563</v>
      </c>
      <c r="M6" s="0" t="n">
        <v>1.665</v>
      </c>
      <c r="N6" s="0" t="n">
        <v>-324.228</v>
      </c>
      <c r="O6" s="0" t="n">
        <v>7971.239</v>
      </c>
      <c r="P6" s="0" t="n">
        <v>13218.969</v>
      </c>
      <c r="Q6" s="0" t="n">
        <v>5243.538</v>
      </c>
      <c r="R6" s="0" t="n">
        <v>1769.916</v>
      </c>
      <c r="S6" s="0" t="n">
        <v>1189.72</v>
      </c>
      <c r="T6" s="0" t="n">
        <v>9365.9</v>
      </c>
      <c r="U6" s="0" t="n">
        <v>91.28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3627.247</v>
      </c>
      <c r="C7" s="0" t="n">
        <v>2466.264</v>
      </c>
      <c r="D7" s="0" t="n">
        <v>1160.983</v>
      </c>
      <c r="E7" s="0" t="n">
        <v>32</v>
      </c>
      <c r="F7" s="0" t="n">
        <v>981.921</v>
      </c>
      <c r="G7" s="0" t="n">
        <v>27.1</v>
      </c>
      <c r="I7" s="0" t="n">
        <v>689.758</v>
      </c>
      <c r="J7" s="0" t="n">
        <v>19</v>
      </c>
      <c r="K7" s="0" t="n">
        <v>0.0655</v>
      </c>
      <c r="L7" s="0" t="n">
        <v>543.234</v>
      </c>
      <c r="M7" s="0" t="n">
        <v>59.649</v>
      </c>
      <c r="N7" s="0" t="n">
        <v>483.585</v>
      </c>
      <c r="O7" s="0" t="n">
        <v>11037.54</v>
      </c>
      <c r="P7" s="0" t="n">
        <v>16681.158</v>
      </c>
      <c r="Q7" s="0" t="n">
        <v>5645.174</v>
      </c>
      <c r="R7" s="0" t="n">
        <v>1755.398</v>
      </c>
      <c r="S7" s="0" t="n">
        <v>569.902</v>
      </c>
      <c r="T7" s="0" t="n">
        <v>10531.4</v>
      </c>
      <c r="U7" s="0" t="n">
        <v>82.295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3670.76</v>
      </c>
      <c r="C8" s="0" t="n">
        <v>1760.345</v>
      </c>
      <c r="D8" s="0" t="n">
        <v>1910.415</v>
      </c>
      <c r="E8" s="0" t="n">
        <v>52</v>
      </c>
      <c r="F8" s="0" t="n">
        <v>65.196</v>
      </c>
      <c r="G8" s="0" t="n">
        <v>1.8</v>
      </c>
      <c r="I8" s="0" t="n">
        <v>-190.533</v>
      </c>
      <c r="J8" s="0" t="n">
        <v>-5.2</v>
      </c>
      <c r="K8" s="0" t="n">
        <v>-0.0157</v>
      </c>
      <c r="L8" s="0" t="n">
        <v>517.104</v>
      </c>
      <c r="M8" s="0" t="n">
        <v>17.647</v>
      </c>
      <c r="N8" s="0" t="n">
        <v>499.457</v>
      </c>
      <c r="O8" s="0" t="n">
        <v>16345.215</v>
      </c>
      <c r="P8" s="0" t="n">
        <v>21670.713</v>
      </c>
      <c r="Q8" s="0" t="n">
        <v>5338.106</v>
      </c>
      <c r="R8" s="0" t="n">
        <v>1700.864</v>
      </c>
      <c r="S8" s="0" t="n">
        <v>3493.642</v>
      </c>
      <c r="T8" s="0" t="n">
        <v>12138.6</v>
      </c>
      <c r="U8" s="0" t="n">
        <v>67.272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3342.975</v>
      </c>
      <c r="C9" s="0" t="n">
        <v>2159.234</v>
      </c>
      <c r="D9" s="0" t="n">
        <v>1183.741</v>
      </c>
      <c r="E9" s="0" t="n">
        <v>35.4</v>
      </c>
      <c r="F9" s="0" t="n">
        <v>1658.143</v>
      </c>
      <c r="G9" s="0" t="n">
        <v>49.6</v>
      </c>
      <c r="I9" s="0" t="n">
        <v>1796.636</v>
      </c>
      <c r="J9" s="0" t="n">
        <v>53.7</v>
      </c>
      <c r="K9" s="0" t="n">
        <v>0.1142</v>
      </c>
      <c r="L9" s="0" t="n">
        <v>594.174</v>
      </c>
      <c r="M9" s="0" t="n">
        <v>36.969</v>
      </c>
      <c r="N9" s="0" t="n">
        <v>557.205</v>
      </c>
      <c r="O9" s="0" t="n">
        <v>23868.944</v>
      </c>
      <c r="P9" s="0" t="n">
        <v>30260.321</v>
      </c>
      <c r="Q9" s="0" t="n">
        <v>6414.598</v>
      </c>
      <c r="R9" s="0" t="n">
        <v>2655.483</v>
      </c>
      <c r="S9" s="0" t="n">
        <v>6286.066</v>
      </c>
      <c r="T9" s="0" t="n">
        <v>15733.7</v>
      </c>
      <c r="U9" s="0" t="n">
        <v>50.317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1.51</v>
      </c>
    </row>
    <row r="3" customFormat="false" ht="15" hidden="false" customHeight="false" outlineLevel="0" collapsed="false">
      <c r="A3" s="0" t="s">
        <v>75</v>
      </c>
      <c r="B3" s="3" t="n">
        <v>16545.6</v>
      </c>
    </row>
    <row r="4" customFormat="false" ht="15" hidden="false" customHeight="false" outlineLevel="0" collapsed="false">
      <c r="A4" s="0" t="s">
        <v>76</v>
      </c>
      <c r="B4" s="3" t="n">
        <v>-791.5</v>
      </c>
    </row>
    <row r="5" customFormat="false" ht="15" hidden="false" customHeight="false" outlineLevel="0" collapsed="false">
      <c r="A5" s="0" t="s">
        <v>77</v>
      </c>
      <c r="B5" s="3" t="n">
        <v>7327.5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3342.975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-30</v>
      </c>
      <c r="D13" s="3" t="n">
        <v>5</v>
      </c>
      <c r="E13" s="3" t="n">
        <v>4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8</v>
      </c>
      <c r="D14" s="3" t="n">
        <v>11</v>
      </c>
      <c r="E14" s="3" t="n">
        <v>13</v>
      </c>
      <c r="F14" s="3" t="n">
        <v>14</v>
      </c>
      <c r="G14" s="3" t="n">
        <v>15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97</v>
      </c>
      <c r="C15" s="3" t="n">
        <v>1.4</v>
      </c>
      <c r="D15" s="3" t="n">
        <v>1.4</v>
      </c>
      <c r="E15" s="3" t="n">
        <v>1.3</v>
      </c>
      <c r="F15" s="3" t="n">
        <v>1.3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98</v>
      </c>
      <c r="C16" s="3" t="n">
        <v>1.6</v>
      </c>
      <c r="D16" s="3" t="n">
        <v>1.5</v>
      </c>
      <c r="E16" s="3" t="n">
        <v>1.5</v>
      </c>
      <c r="F16" s="3" t="n">
        <v>1.4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99</v>
      </c>
      <c r="C17" s="3" t="n">
        <v>2.7</v>
      </c>
      <c r="D17" s="3" t="n">
        <v>2.7</v>
      </c>
      <c r="E17" s="3" t="n">
        <v>2.6</v>
      </c>
      <c r="F17" s="3" t="n">
        <v>2.6</v>
      </c>
      <c r="G17" s="3" t="n">
        <v>2.6</v>
      </c>
      <c r="H17" s="3" t="n">
        <v>2.6</v>
      </c>
      <c r="I17" s="3" t="n">
        <v>2.6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100</v>
      </c>
      <c r="C18" s="3" t="n">
        <v>3</v>
      </c>
      <c r="D18" s="3" t="n">
        <v>3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101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102</v>
      </c>
      <c r="B20" s="3" t="n">
        <v>10.5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-20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-24</v>
      </c>
      <c r="D27" s="3" t="n">
        <v>18</v>
      </c>
      <c r="E27" s="3" t="n">
        <v>12</v>
      </c>
      <c r="F27" s="3" t="n">
        <v>8</v>
      </c>
      <c r="G27" s="3" t="n">
        <v>6</v>
      </c>
      <c r="H27" s="3" t="n">
        <v>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12</v>
      </c>
      <c r="D28" s="3" t="n">
        <v>16</v>
      </c>
      <c r="E28" s="3" t="n">
        <v>19</v>
      </c>
      <c r="F28" s="3" t="n">
        <v>21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97</v>
      </c>
      <c r="C29" s="3" t="n">
        <v>1.3</v>
      </c>
      <c r="D29" s="3" t="n">
        <v>1.3</v>
      </c>
      <c r="E29" s="3" t="n">
        <v>1.2</v>
      </c>
      <c r="F29" s="3" t="n">
        <v>1.2</v>
      </c>
      <c r="G29" s="3" t="n">
        <v>1.1</v>
      </c>
      <c r="H29" s="3" t="n">
        <v>1.1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98</v>
      </c>
      <c r="C30" s="3" t="n">
        <v>1.5</v>
      </c>
      <c r="D30" s="3" t="n">
        <v>1.3</v>
      </c>
      <c r="E30" s="3" t="n">
        <v>1.2</v>
      </c>
      <c r="F30" s="3" t="n">
        <v>1.1</v>
      </c>
      <c r="G30" s="3" t="n">
        <v>1.1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99</v>
      </c>
      <c r="C31" s="3" t="n">
        <v>2.6</v>
      </c>
      <c r="D31" s="3" t="n">
        <v>2.5</v>
      </c>
      <c r="E31" s="3" t="n">
        <v>2.5</v>
      </c>
      <c r="F31" s="3" t="n">
        <v>2.4</v>
      </c>
      <c r="G31" s="3" t="n">
        <v>2.4</v>
      </c>
      <c r="H31" s="3" t="n">
        <v>2.3</v>
      </c>
      <c r="I31" s="3" t="n">
        <v>2.3</v>
      </c>
      <c r="J31" s="3" t="n">
        <v>2.3</v>
      </c>
      <c r="K31" s="3" t="n">
        <v>2.3</v>
      </c>
      <c r="L31" s="3" t="n">
        <v>2.3</v>
      </c>
    </row>
    <row r="32" customFormat="false" ht="15" hidden="false" customHeight="false" outlineLevel="0" collapsed="false">
      <c r="A32" s="0" t="s">
        <v>100</v>
      </c>
      <c r="C32" s="3" t="n">
        <v>3</v>
      </c>
      <c r="D32" s="3" t="n">
        <v>2.8</v>
      </c>
      <c r="E32" s="3" t="n">
        <v>2.6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101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102</v>
      </c>
      <c r="B34" s="3" t="n">
        <v>10.5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-20</v>
      </c>
      <c r="D41" s="3" t="n">
        <v>30</v>
      </c>
      <c r="E41" s="3" t="n">
        <v>18</v>
      </c>
      <c r="F41" s="3" t="n">
        <v>12</v>
      </c>
      <c r="G41" s="3" t="n">
        <v>8</v>
      </c>
      <c r="H41" s="3" t="n">
        <v>6</v>
      </c>
      <c r="I41" s="3" t="n">
        <v>5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13</v>
      </c>
      <c r="D42" s="3" t="n">
        <v>20</v>
      </c>
      <c r="E42" s="3" t="n">
        <v>24</v>
      </c>
      <c r="F42" s="3" t="n">
        <v>27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97</v>
      </c>
      <c r="C43" s="3" t="n">
        <v>1.3</v>
      </c>
      <c r="D43" s="3" t="n">
        <v>1.3</v>
      </c>
      <c r="E43" s="3" t="n">
        <v>1.2</v>
      </c>
      <c r="F43" s="3" t="n">
        <v>1.2</v>
      </c>
      <c r="G43" s="3" t="n">
        <v>1.1</v>
      </c>
      <c r="H43" s="3" t="n">
        <v>1.1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98</v>
      </c>
      <c r="C44" s="3" t="n">
        <v>1.5</v>
      </c>
      <c r="D44" s="3" t="n">
        <v>1.2</v>
      </c>
      <c r="E44" s="3" t="n">
        <v>1.1</v>
      </c>
      <c r="F44" s="3" t="n">
        <v>1</v>
      </c>
      <c r="G44" s="3" t="n">
        <v>1</v>
      </c>
      <c r="H44" s="3" t="n">
        <v>0.9</v>
      </c>
      <c r="I44" s="3" t="n">
        <v>0.9</v>
      </c>
      <c r="J44" s="3" t="n">
        <v>0.9</v>
      </c>
      <c r="K44" s="3" t="n">
        <v>0.9</v>
      </c>
      <c r="L44" s="3" t="n">
        <v>0.9</v>
      </c>
    </row>
    <row r="45" customFormat="false" ht="15" hidden="false" customHeight="false" outlineLevel="0" collapsed="false">
      <c r="A45" s="0" t="s">
        <v>99</v>
      </c>
      <c r="C45" s="3" t="n">
        <v>2.6</v>
      </c>
      <c r="D45" s="3" t="n">
        <v>2.5</v>
      </c>
      <c r="E45" s="3" t="n">
        <v>2.5</v>
      </c>
      <c r="F45" s="3" t="n">
        <v>2.4</v>
      </c>
      <c r="G45" s="3" t="n">
        <v>2.4</v>
      </c>
      <c r="H45" s="3" t="n">
        <v>2.3</v>
      </c>
      <c r="I45" s="3" t="n">
        <v>2.3</v>
      </c>
      <c r="J45" s="3" t="n">
        <v>2.3</v>
      </c>
      <c r="K45" s="3" t="n">
        <v>2.3</v>
      </c>
      <c r="L45" s="3" t="n">
        <v>2.3</v>
      </c>
    </row>
    <row r="46" customFormat="false" ht="15" hidden="false" customHeight="false" outlineLevel="0" collapsed="false">
      <c r="A46" s="0" t="s">
        <v>100</v>
      </c>
      <c r="C46" s="3" t="n">
        <v>3</v>
      </c>
      <c r="D46" s="3" t="n">
        <v>2.8</v>
      </c>
      <c r="E46" s="3" t="n">
        <v>2.6</v>
      </c>
      <c r="F46" s="3" t="n">
        <v>2.5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101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102</v>
      </c>
      <c r="B48" s="3" t="n">
        <v>10.5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14</v>
      </c>
    </row>
    <row r="51" customFormat="false" ht="15" hidden="false" customHeight="false" outlineLevel="0" collapsed="false">
      <c r="A51" s="0" t="s">
        <v>105</v>
      </c>
      <c r="B51" s="3" t="n">
        <v>-12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-30</v>
      </c>
      <c r="D5" s="4" t="n">
        <f aca="false">Assumptions!D13</f>
        <v>5</v>
      </c>
      <c r="E5" s="4" t="n">
        <f aca="false">Assumptions!E13</f>
        <v>4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3342.975</v>
      </c>
      <c r="C6" s="0" t="n">
        <f aca="false">B6*(1+C5/100)</f>
        <v>2340.0825</v>
      </c>
      <c r="D6" s="0" t="n">
        <f aca="false">C6*(1+D5/100)</f>
        <v>2457.086625</v>
      </c>
      <c r="E6" s="0" t="n">
        <f aca="false">D6*(1+E5/100)</f>
        <v>2555.37009</v>
      </c>
      <c r="F6" s="0" t="n">
        <f aca="false">E6*(1+F5/100)</f>
        <v>2632.0311927</v>
      </c>
      <c r="G6" s="0" t="n">
        <f aca="false">F6*(1+G5/100)</f>
        <v>2710.992128481</v>
      </c>
      <c r="H6" s="0" t="n">
        <f aca="false">G6*(1+H5/100)</f>
        <v>2792.32189233543</v>
      </c>
      <c r="I6" s="0" t="n">
        <f aca="false">H6*(1+I5/100)</f>
        <v>2862.12993964382</v>
      </c>
      <c r="J6" s="0" t="n">
        <f aca="false">I6*(1+J5/100)</f>
        <v>2933.68318813491</v>
      </c>
      <c r="K6" s="0" t="n">
        <f aca="false">J6*(1+K5/100)</f>
        <v>3007.02526783828</v>
      </c>
      <c r="L6" s="0" t="n">
        <f aca="false">K6*(1+L5/100)</f>
        <v>3082.20089953424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8</v>
      </c>
      <c r="D7" s="4" t="n">
        <f aca="false">Assumptions!D14</f>
        <v>11</v>
      </c>
      <c r="E7" s="4" t="n">
        <f aca="false">Assumptions!E14</f>
        <v>13</v>
      </c>
      <c r="F7" s="4" t="n">
        <f aca="false">Assumptions!F14</f>
        <v>14</v>
      </c>
      <c r="G7" s="4" t="n">
        <f aca="false">Assumptions!G14</f>
        <v>15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187.2066</v>
      </c>
      <c r="D8" s="0" t="n">
        <f aca="false">D6*D7/100</f>
        <v>270.27952875</v>
      </c>
      <c r="E8" s="0" t="n">
        <f aca="false">E6*E7/100</f>
        <v>332.1981117</v>
      </c>
      <c r="F8" s="0" t="n">
        <f aca="false">F6*F7/100</f>
        <v>368.484366978</v>
      </c>
      <c r="G8" s="0" t="n">
        <f aca="false">G6*G7/100</f>
        <v>406.64881927215</v>
      </c>
      <c r="H8" s="0" t="n">
        <f aca="false">H6*H7/100</f>
        <v>418.848283850315</v>
      </c>
      <c r="I8" s="0" t="n">
        <f aca="false">I6*I7/100</f>
        <v>429.319490946572</v>
      </c>
      <c r="J8" s="0" t="n">
        <f aca="false">J6*J7/100</f>
        <v>440.052478220237</v>
      </c>
      <c r="K8" s="0" t="n">
        <f aca="false">K6*K7/100</f>
        <v>451.053790175742</v>
      </c>
      <c r="L8" s="0" t="n">
        <f aca="false">L6*L7/100</f>
        <v>462.330134930136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1.4</v>
      </c>
      <c r="D9" s="4" t="n">
        <f aca="false">Assumptions!D15</f>
        <v>1.4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-32.761155</v>
      </c>
      <c r="D10" s="0" t="n">
        <f aca="false">-D6*D9/100</f>
        <v>-34.39921275</v>
      </c>
      <c r="E10" s="0" t="n">
        <f aca="false">-E6*E9/100</f>
        <v>-33.21981117</v>
      </c>
      <c r="F10" s="0" t="n">
        <f aca="false">-F6*F9/100</f>
        <v>-34.2164055051</v>
      </c>
      <c r="G10" s="0" t="n">
        <f aca="false">-G6*G9/100</f>
        <v>-32.531905541772</v>
      </c>
      <c r="H10" s="0" t="n">
        <f aca="false">-H6*H9/100</f>
        <v>-33.5078627080252</v>
      </c>
      <c r="I10" s="0" t="n">
        <f aca="false">-I6*I9/100</f>
        <v>-34.3455592757258</v>
      </c>
      <c r="J10" s="0" t="n">
        <f aca="false">-J6*J9/100</f>
        <v>-35.2041982576189</v>
      </c>
      <c r="K10" s="0" t="n">
        <f aca="false">-K6*K9/100</f>
        <v>-36.0843032140594</v>
      </c>
      <c r="L10" s="0" t="n">
        <f aca="false">-L6*L9/100</f>
        <v>-36.9864107944109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117.004125</v>
      </c>
      <c r="D11" s="0" t="n">
        <f aca="false">D8+D10+D24</f>
        <v>199.024016625</v>
      </c>
      <c r="E11" s="0" t="n">
        <f aca="false">E8+E10+E24</f>
        <v>260.64774918</v>
      </c>
      <c r="F11" s="0" t="n">
        <f aca="false">F8+F10+F24</f>
        <v>297.4195247751</v>
      </c>
      <c r="G11" s="0" t="n">
        <f aca="false">G8+G10+G24</f>
        <v>336.163023931644</v>
      </c>
      <c r="H11" s="0" t="n">
        <f aca="false">H8+H10+H24</f>
        <v>346.247914649593</v>
      </c>
      <c r="I11" s="0" t="n">
        <f aca="false">I8+I10+I24</f>
        <v>354.904112515833</v>
      </c>
      <c r="J11" s="0" t="n">
        <f aca="false">J8+J10+J24</f>
        <v>363.776715328729</v>
      </c>
      <c r="K11" s="0" t="n">
        <f aca="false">K8+K10+K24</f>
        <v>372.871133211947</v>
      </c>
      <c r="L11" s="0" t="n">
        <f aca="false">L8+L10+L24</f>
        <v>382.192911542246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-63.1822275</v>
      </c>
      <c r="D12" s="4" t="n">
        <f aca="false">-D6*Assumptions!D17/100</f>
        <v>-66.341338875</v>
      </c>
      <c r="E12" s="4" t="n">
        <f aca="false">-E6*Assumptions!E17/100</f>
        <v>-66.43962234</v>
      </c>
      <c r="F12" s="4" t="n">
        <f aca="false">-F6*Assumptions!F17/100</f>
        <v>-68.4328110102</v>
      </c>
      <c r="G12" s="4" t="n">
        <f aca="false">-G6*Assumptions!G17/100</f>
        <v>-70.485795340506</v>
      </c>
      <c r="H12" s="4" t="n">
        <f aca="false">-H6*Assumptions!H17/100</f>
        <v>-72.6003692007212</v>
      </c>
      <c r="I12" s="4" t="n">
        <f aca="false">-I6*Assumptions!I17/100</f>
        <v>-74.4153784307392</v>
      </c>
      <c r="J12" s="4" t="n">
        <f aca="false">-J6*Assumptions!J17/100</f>
        <v>-76.2757628915077</v>
      </c>
      <c r="K12" s="4" t="n">
        <f aca="false">-K6*Assumptions!K17/100</f>
        <v>-78.1826569637954</v>
      </c>
      <c r="L12" s="4" t="n">
        <f aca="false">-L6*Assumptions!L17/100</f>
        <v>-80.1372233878902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53.8218975</v>
      </c>
      <c r="D13" s="0" t="n">
        <f aca="false">D11+D12</f>
        <v>132.68267775</v>
      </c>
      <c r="E13" s="0" t="n">
        <f aca="false">E11+E12</f>
        <v>194.20812684</v>
      </c>
      <c r="F13" s="0" t="n">
        <f aca="false">F11+F12</f>
        <v>228.9867137649</v>
      </c>
      <c r="G13" s="0" t="n">
        <f aca="false">G11+G12</f>
        <v>265.677228591138</v>
      </c>
      <c r="H13" s="0" t="n">
        <f aca="false">H11+H12</f>
        <v>273.647545448872</v>
      </c>
      <c r="I13" s="0" t="n">
        <f aca="false">I11+I12</f>
        <v>280.488734085094</v>
      </c>
      <c r="J13" s="0" t="n">
        <f aca="false">J11+J12</f>
        <v>287.500952437221</v>
      </c>
      <c r="K13" s="0" t="n">
        <f aca="false">K11+K12</f>
        <v>294.688476248152</v>
      </c>
      <c r="L13" s="0" t="n">
        <f aca="false">L11+L12</f>
        <v>302.055688154355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40.366423125</v>
      </c>
      <c r="D15" s="0" t="n">
        <f aca="false">D13-MAX(0,D13)*D14/100</f>
        <v>99.5120083125</v>
      </c>
      <c r="E15" s="0" t="n">
        <f aca="false">E13-MAX(0,E13)*E14/100</f>
        <v>145.65609513</v>
      </c>
      <c r="F15" s="0" t="n">
        <f aca="false">F13-MAX(0,F13)*F14/100</f>
        <v>171.740035323675</v>
      </c>
      <c r="G15" s="0" t="n">
        <f aca="false">G13-MAX(0,G13)*G14/100</f>
        <v>199.257921443354</v>
      </c>
      <c r="H15" s="0" t="n">
        <f aca="false">H13-MAX(0,H13)*H14/100</f>
        <v>205.235659086654</v>
      </c>
      <c r="I15" s="0" t="n">
        <f aca="false">I13-MAX(0,I13)*I14/100</f>
        <v>210.36655056382</v>
      </c>
      <c r="J15" s="0" t="n">
        <f aca="false">J13-MAX(0,J13)*J14/100</f>
        <v>215.625714327916</v>
      </c>
      <c r="K15" s="0" t="n">
        <f aca="false">K13-MAX(0,K13)*K14/100</f>
        <v>221.016357186114</v>
      </c>
      <c r="L15" s="0" t="n">
        <f aca="false">L13-MAX(0,L13)*L14/100</f>
        <v>226.541766115767</v>
      </c>
    </row>
    <row r="16" customFormat="false" ht="15" hidden="false" customHeight="false" outlineLevel="0" collapsed="false">
      <c r="A16" s="0" t="s">
        <v>117</v>
      </c>
      <c r="C16" s="0" t="n">
        <f aca="false">-C12</f>
        <v>63.1822275</v>
      </c>
      <c r="D16" s="0" t="n">
        <f aca="false">-D12</f>
        <v>66.341338875</v>
      </c>
      <c r="E16" s="0" t="n">
        <f aca="false">-E12</f>
        <v>66.43962234</v>
      </c>
      <c r="F16" s="0" t="n">
        <f aca="false">-F12</f>
        <v>68.4328110102</v>
      </c>
      <c r="G16" s="0" t="n">
        <f aca="false">-G12</f>
        <v>70.485795340506</v>
      </c>
      <c r="H16" s="0" t="n">
        <f aca="false">-H12</f>
        <v>72.6003692007212</v>
      </c>
      <c r="I16" s="0" t="n">
        <f aca="false">-I12</f>
        <v>74.4153784307392</v>
      </c>
      <c r="J16" s="0" t="n">
        <f aca="false">-J12</f>
        <v>76.2757628915077</v>
      </c>
      <c r="K16" s="0" t="n">
        <f aca="false">-K12</f>
        <v>78.1826569637954</v>
      </c>
      <c r="L16" s="0" t="n">
        <f aca="false">-L12</f>
        <v>80.1372233878902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-70.202475</v>
      </c>
      <c r="D17" s="4" t="n">
        <f aca="false">-D6*Assumptions!D18/100</f>
        <v>-73.71259875</v>
      </c>
      <c r="E17" s="4" t="n">
        <f aca="false">-E6*Assumptions!E18/100</f>
        <v>-71.55036252</v>
      </c>
      <c r="F17" s="4" t="n">
        <f aca="false">-F6*Assumptions!F18/100</f>
        <v>-73.6968733956</v>
      </c>
      <c r="G17" s="4" t="n">
        <f aca="false">-G6*Assumptions!G18/100</f>
        <v>-75.907779597468</v>
      </c>
      <c r="H17" s="4" t="n">
        <f aca="false">-H6*Assumptions!H18/100</f>
        <v>-78.185012985392</v>
      </c>
      <c r="I17" s="4" t="n">
        <f aca="false">-I6*Assumptions!I18/100</f>
        <v>-80.1396383100268</v>
      </c>
      <c r="J17" s="4" t="n">
        <f aca="false">-J6*Assumptions!J18/100</f>
        <v>-82.1431292677775</v>
      </c>
      <c r="K17" s="4" t="n">
        <f aca="false">-K6*Assumptions!K18/100</f>
        <v>-84.1967074994719</v>
      </c>
      <c r="L17" s="4" t="n">
        <f aca="false">-L6*Assumptions!L18/100</f>
        <v>-86.3016251869587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200.5785</v>
      </c>
      <c r="D18" s="4" t="n">
        <f aca="false">(D6-C6)*Assumptions!$B$23/100</f>
        <v>-23.400825</v>
      </c>
      <c r="E18" s="4" t="n">
        <f aca="false">(E6-D6)*Assumptions!$B$23/100</f>
        <v>-19.656693</v>
      </c>
      <c r="F18" s="4" t="n">
        <f aca="false">(F6-E6)*Assumptions!$B$23/100</f>
        <v>-15.33222054</v>
      </c>
      <c r="G18" s="4" t="n">
        <f aca="false">(G6-F6)*Assumptions!$B$23/100</f>
        <v>-15.7921871562</v>
      </c>
      <c r="H18" s="4" t="n">
        <f aca="false">(H6-G6)*Assumptions!$B$23/100</f>
        <v>-16.265952770886</v>
      </c>
      <c r="I18" s="4" t="n">
        <f aca="false">(I6-H6)*Assumptions!$B$23/100</f>
        <v>-13.9616094616771</v>
      </c>
      <c r="J18" s="4" t="n">
        <f aca="false">(J6-I6)*Assumptions!$B$23/100</f>
        <v>-14.310649698219</v>
      </c>
      <c r="K18" s="4" t="n">
        <f aca="false">(K6-J6)*Assumptions!$B$23/100</f>
        <v>-14.6684159406745</v>
      </c>
      <c r="L18" s="4" t="n">
        <f aca="false">(L6-K6)*Assumptions!$B$23/100</f>
        <v>-15.0351263391914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233.924675625</v>
      </c>
      <c r="D19" s="0" t="n">
        <f aca="false">D15+D16+D17+D18</f>
        <v>68.7399234375</v>
      </c>
      <c r="E19" s="0" t="n">
        <f aca="false">E15+E16+E17+E18</f>
        <v>120.88866195</v>
      </c>
      <c r="F19" s="0" t="n">
        <f aca="false">F15+F16+F17+F18</f>
        <v>151.143752398275</v>
      </c>
      <c r="G19" s="0" t="n">
        <f aca="false">G15+G16+G17+G18</f>
        <v>178.043750030192</v>
      </c>
      <c r="H19" s="0" t="n">
        <f aca="false">H15+H16+H17+H18</f>
        <v>183.385062531097</v>
      </c>
      <c r="I19" s="0" t="n">
        <f aca="false">I15+I16+I17+I18</f>
        <v>190.680681222856</v>
      </c>
      <c r="J19" s="0" t="n">
        <f aca="false">J15+J16+J17+J18</f>
        <v>195.447698253427</v>
      </c>
      <c r="K19" s="0" t="n">
        <f aca="false">K15+K16+K17+K18</f>
        <v>200.333890709763</v>
      </c>
      <c r="L19" s="0" t="n">
        <f aca="false">L15+L16+L17+L18</f>
        <v>205.342237977507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211.696539027149</v>
      </c>
      <c r="D21" s="0" t="n">
        <f aca="false">D19*D20</f>
        <v>56.2969009131672</v>
      </c>
      <c r="E21" s="0" t="n">
        <f aca="false">E19*E20</f>
        <v>89.5980868754934</v>
      </c>
      <c r="F21" s="0" t="n">
        <f aca="false">F19*F20</f>
        <v>101.377385814792</v>
      </c>
      <c r="G21" s="0" t="n">
        <f aca="false">G19*G20</f>
        <v>108.072536066764</v>
      </c>
      <c r="H21" s="0" t="n">
        <f aca="false">H19*H20</f>
        <v>100.737296062232</v>
      </c>
      <c r="I21" s="0" t="n">
        <f aca="false">I19*I20</f>
        <v>94.7917953087559</v>
      </c>
      <c r="J21" s="0" t="n">
        <f aca="false">J19*J20</f>
        <v>87.9290408972623</v>
      </c>
      <c r="K21" s="0" t="n">
        <f aca="false">K19*K20</f>
        <v>81.5631374838858</v>
      </c>
      <c r="L21" s="0" t="n">
        <f aca="false">L19*L20</f>
        <v>75.6581139556407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1.6</v>
      </c>
      <c r="D23" s="4" t="n">
        <f aca="false">Assumptions!D16</f>
        <v>1.5</v>
      </c>
      <c r="E23" s="4" t="n">
        <f aca="false">Assumptions!E16</f>
        <v>1.5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-37.44132</v>
      </c>
      <c r="D24" s="0" t="n">
        <f aca="false">-D6*D23/100</f>
        <v>-36.856299375</v>
      </c>
      <c r="E24" s="0" t="n">
        <f aca="false">-E6*E23/100</f>
        <v>-38.33055135</v>
      </c>
      <c r="F24" s="0" t="n">
        <f aca="false">-F6*F23/100</f>
        <v>-36.8484366978</v>
      </c>
      <c r="G24" s="0" t="n">
        <f aca="false">-G6*G23/100</f>
        <v>-37.953889798734</v>
      </c>
      <c r="H24" s="0" t="n">
        <f aca="false">-H6*H23/100</f>
        <v>-39.092506492696</v>
      </c>
      <c r="I24" s="0" t="n">
        <f aca="false">-I6*I23/100</f>
        <v>-40.0698191550134</v>
      </c>
      <c r="J24" s="0" t="n">
        <f aca="false">-J6*J23/100</f>
        <v>-41.0715646338887</v>
      </c>
      <c r="K24" s="0" t="n">
        <f aca="false">-K6*K23/100</f>
        <v>-42.098353749736</v>
      </c>
      <c r="L24" s="0" t="n">
        <f aca="false">-L6*L23/100</f>
        <v>-43.1508125934794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1007.72083240514</v>
      </c>
    </row>
    <row r="31" customFormat="false" ht="15" hidden="false" customHeight="false" outlineLevel="0" collapsed="false">
      <c r="A31" s="0" t="s">
        <v>126</v>
      </c>
      <c r="B31" s="0" t="n">
        <f aca="false">L19</f>
        <v>205.342237977507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2464.10685573008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2053.42237977507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2053.42237977507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756.581139556407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1764.30197196155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9883.30197196155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0.70013890347501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-0.536331852003304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204.775996250504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163.531211713016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0.726230001921367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1611.14679028505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0.662333032558757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-24</v>
      </c>
      <c r="D5" s="4" t="n">
        <f aca="false">Assumptions!D27</f>
        <v>18</v>
      </c>
      <c r="E5" s="4" t="n">
        <f aca="false">Assumptions!E27</f>
        <v>12</v>
      </c>
      <c r="F5" s="4" t="n">
        <f aca="false">Assumptions!F27</f>
        <v>8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3342.975</v>
      </c>
      <c r="C6" s="0" t="n">
        <f aca="false">B6*(1+C5/100)</f>
        <v>2540.661</v>
      </c>
      <c r="D6" s="0" t="n">
        <f aca="false">C6*(1+D5/100)</f>
        <v>2997.97998</v>
      </c>
      <c r="E6" s="0" t="n">
        <f aca="false">D6*(1+E5/100)</f>
        <v>3357.7375776</v>
      </c>
      <c r="F6" s="0" t="n">
        <f aca="false">E6*(1+F5/100)</f>
        <v>3626.356583808</v>
      </c>
      <c r="G6" s="0" t="n">
        <f aca="false">F6*(1+G5/100)</f>
        <v>3843.93797883648</v>
      </c>
      <c r="H6" s="0" t="n">
        <f aca="false">G6*(1+H5/100)</f>
        <v>4036.13487777831</v>
      </c>
      <c r="I6" s="0" t="n">
        <f aca="false">H6*(1+I5/100)</f>
        <v>4197.58027288944</v>
      </c>
      <c r="J6" s="0" t="n">
        <f aca="false">I6*(1+J5/100)</f>
        <v>4344.49558244057</v>
      </c>
      <c r="K6" s="0" t="n">
        <f aca="false">J6*(1+K5/100)</f>
        <v>4474.83044991379</v>
      </c>
      <c r="L6" s="0" t="n">
        <f aca="false">K6*(1+L5/100)</f>
        <v>4609.0753634112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12</v>
      </c>
      <c r="D7" s="4" t="n">
        <f aca="false">Assumptions!D28</f>
        <v>16</v>
      </c>
      <c r="E7" s="4" t="n">
        <f aca="false">Assumptions!E28</f>
        <v>19</v>
      </c>
      <c r="F7" s="4" t="n">
        <f aca="false">Assumptions!F28</f>
        <v>21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304.87932</v>
      </c>
      <c r="D8" s="0" t="n">
        <f aca="false">D6*D7/100</f>
        <v>479.6767968</v>
      </c>
      <c r="E8" s="0" t="n">
        <f aca="false">E6*E7/100</f>
        <v>637.970139744</v>
      </c>
      <c r="F8" s="0" t="n">
        <f aca="false">F6*F7/100</f>
        <v>761.53488259968</v>
      </c>
      <c r="G8" s="0" t="n">
        <f aca="false">G6*G7/100</f>
        <v>845.666355344026</v>
      </c>
      <c r="H8" s="0" t="n">
        <f aca="false">H6*H7/100</f>
        <v>887.949673111227</v>
      </c>
      <c r="I8" s="0" t="n">
        <f aca="false">I6*I7/100</f>
        <v>923.467660035676</v>
      </c>
      <c r="J8" s="0" t="n">
        <f aca="false">J6*J7/100</f>
        <v>955.789028136925</v>
      </c>
      <c r="K8" s="0" t="n">
        <f aca="false">K6*K7/100</f>
        <v>984.462698981033</v>
      </c>
      <c r="L8" s="0" t="n">
        <f aca="false">L6*L7/100</f>
        <v>1013.99657995046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1.3</v>
      </c>
      <c r="D9" s="4" t="n">
        <f aca="false">Assumptions!D29</f>
        <v>1.3</v>
      </c>
      <c r="E9" s="4" t="n">
        <f aca="false">Assumptions!E29</f>
        <v>1.2</v>
      </c>
      <c r="F9" s="4" t="n">
        <f aca="false">Assumptions!F29</f>
        <v>1.2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-33.028593</v>
      </c>
      <c r="D10" s="0" t="n">
        <f aca="false">-D6*D9/100</f>
        <v>-38.97373974</v>
      </c>
      <c r="E10" s="0" t="n">
        <f aca="false">-E6*E9/100</f>
        <v>-40.2928509312</v>
      </c>
      <c r="F10" s="0" t="n">
        <f aca="false">-F6*F9/100</f>
        <v>-43.516279005696</v>
      </c>
      <c r="G10" s="0" t="n">
        <f aca="false">-G6*G9/100</f>
        <v>-42.2833177672013</v>
      </c>
      <c r="H10" s="0" t="n">
        <f aca="false">-H6*H9/100</f>
        <v>-44.3974836555614</v>
      </c>
      <c r="I10" s="0" t="n">
        <f aca="false">-I6*I9/100</f>
        <v>-41.9758027288944</v>
      </c>
      <c r="J10" s="0" t="n">
        <f aca="false">-J6*J9/100</f>
        <v>-43.4449558244057</v>
      </c>
      <c r="K10" s="0" t="n">
        <f aca="false">-K6*K9/100</f>
        <v>-44.7483044991378</v>
      </c>
      <c r="L10" s="0" t="n">
        <f aca="false">-L6*L9/100</f>
        <v>-46.090753634112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233.740812</v>
      </c>
      <c r="D11" s="0" t="n">
        <f aca="false">D8+D10+D24</f>
        <v>401.72931732</v>
      </c>
      <c r="E11" s="0" t="n">
        <f aca="false">E8+E10+E24</f>
        <v>557.3844378816</v>
      </c>
      <c r="F11" s="0" t="n">
        <f aca="false">F8+F10+F24</f>
        <v>678.128681172096</v>
      </c>
      <c r="G11" s="0" t="n">
        <f aca="false">G8+G10+G24</f>
        <v>761.099719809623</v>
      </c>
      <c r="H11" s="0" t="n">
        <f aca="false">H8+H10+H24</f>
        <v>803.190840677883</v>
      </c>
      <c r="I11" s="0" t="n">
        <f aca="false">I8+I10+I24</f>
        <v>839.516054577888</v>
      </c>
      <c r="J11" s="0" t="n">
        <f aca="false">J8+J10+J24</f>
        <v>868.899116488114</v>
      </c>
      <c r="K11" s="0" t="n">
        <f aca="false">K8+K10+K24</f>
        <v>894.966089982757</v>
      </c>
      <c r="L11" s="0" t="n">
        <f aca="false">L8+L10+L24</f>
        <v>921.81507268224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-66.057186</v>
      </c>
      <c r="D12" s="4" t="n">
        <f aca="false">-D6*Assumptions!D31/100</f>
        <v>-74.9494995</v>
      </c>
      <c r="E12" s="4" t="n">
        <f aca="false">-E6*Assumptions!E31/100</f>
        <v>-83.94343944</v>
      </c>
      <c r="F12" s="4" t="n">
        <f aca="false">-F6*Assumptions!F31/100</f>
        <v>-87.032558011392</v>
      </c>
      <c r="G12" s="4" t="n">
        <f aca="false">-G6*Assumptions!G31/100</f>
        <v>-92.2545114920756</v>
      </c>
      <c r="H12" s="4" t="n">
        <f aca="false">-H6*Assumptions!H31/100</f>
        <v>-92.831102188901</v>
      </c>
      <c r="I12" s="4" t="n">
        <f aca="false">-I6*Assumptions!I31/100</f>
        <v>-96.5443462764571</v>
      </c>
      <c r="J12" s="4" t="n">
        <f aca="false">-J6*Assumptions!J31/100</f>
        <v>-99.9233983961331</v>
      </c>
      <c r="K12" s="4" t="n">
        <f aca="false">-K6*Assumptions!K31/100</f>
        <v>-102.921100348017</v>
      </c>
      <c r="L12" s="4" t="n">
        <f aca="false">-L6*Assumptions!L31/100</f>
        <v>-106.008733358458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167.683626</v>
      </c>
      <c r="D13" s="0" t="n">
        <f aca="false">D11+D12</f>
        <v>326.77981782</v>
      </c>
      <c r="E13" s="0" t="n">
        <f aca="false">E11+E12</f>
        <v>473.4409984416</v>
      </c>
      <c r="F13" s="0" t="n">
        <f aca="false">F11+F12</f>
        <v>591.096123160704</v>
      </c>
      <c r="G13" s="0" t="n">
        <f aca="false">G11+G12</f>
        <v>668.845208317548</v>
      </c>
      <c r="H13" s="0" t="n">
        <f aca="false">H11+H12</f>
        <v>710.359738488982</v>
      </c>
      <c r="I13" s="0" t="n">
        <f aca="false">I11+I12</f>
        <v>742.971708301431</v>
      </c>
      <c r="J13" s="0" t="n">
        <f aca="false">J11+J12</f>
        <v>768.97571809198</v>
      </c>
      <c r="K13" s="0" t="n">
        <f aca="false">K11+K12</f>
        <v>792.04498963474</v>
      </c>
      <c r="L13" s="0" t="n">
        <f aca="false">L11+L12</f>
        <v>815.806339323782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130.79322828</v>
      </c>
      <c r="D15" s="0" t="n">
        <f aca="false">D13-MAX(0,D13)*D14/100</f>
        <v>254.8882578996</v>
      </c>
      <c r="E15" s="0" t="n">
        <f aca="false">E13-MAX(0,E13)*E14/100</f>
        <v>369.283978784448</v>
      </c>
      <c r="F15" s="0" t="n">
        <f aca="false">F13-MAX(0,F13)*F14/100</f>
        <v>461.054976065349</v>
      </c>
      <c r="G15" s="0" t="n">
        <f aca="false">G13-MAX(0,G13)*G14/100</f>
        <v>521.699262487687</v>
      </c>
      <c r="H15" s="0" t="n">
        <f aca="false">H13-MAX(0,H13)*H14/100</f>
        <v>554.080596021406</v>
      </c>
      <c r="I15" s="0" t="n">
        <f aca="false">I13-MAX(0,I13)*I14/100</f>
        <v>579.517932475116</v>
      </c>
      <c r="J15" s="0" t="n">
        <f aca="false">J13-MAX(0,J13)*J14/100</f>
        <v>599.801060111745</v>
      </c>
      <c r="K15" s="0" t="n">
        <f aca="false">K13-MAX(0,K13)*K14/100</f>
        <v>617.795091915097</v>
      </c>
      <c r="L15" s="0" t="n">
        <f aca="false">L13-MAX(0,L13)*L14/100</f>
        <v>636.32894467255</v>
      </c>
    </row>
    <row r="16" customFormat="false" ht="15" hidden="false" customHeight="false" outlineLevel="0" collapsed="false">
      <c r="A16" s="0" t="s">
        <v>117</v>
      </c>
      <c r="C16" s="0" t="n">
        <f aca="false">-C12</f>
        <v>66.057186</v>
      </c>
      <c r="D16" s="0" t="n">
        <f aca="false">-D12</f>
        <v>74.9494995</v>
      </c>
      <c r="E16" s="0" t="n">
        <f aca="false">-E12</f>
        <v>83.94343944</v>
      </c>
      <c r="F16" s="0" t="n">
        <f aca="false">-F12</f>
        <v>87.032558011392</v>
      </c>
      <c r="G16" s="0" t="n">
        <f aca="false">-G12</f>
        <v>92.2545114920756</v>
      </c>
      <c r="H16" s="0" t="n">
        <f aca="false">-H12</f>
        <v>92.831102188901</v>
      </c>
      <c r="I16" s="0" t="n">
        <f aca="false">-I12</f>
        <v>96.5443462764571</v>
      </c>
      <c r="J16" s="0" t="n">
        <f aca="false">-J12</f>
        <v>99.9233983961331</v>
      </c>
      <c r="K16" s="0" t="n">
        <f aca="false">-K12</f>
        <v>102.921100348017</v>
      </c>
      <c r="L16" s="0" t="n">
        <f aca="false">-L12</f>
        <v>106.008733358458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-76.21983</v>
      </c>
      <c r="D17" s="4" t="n">
        <f aca="false">-D6*Assumptions!D32/100</f>
        <v>-83.94343944</v>
      </c>
      <c r="E17" s="4" t="n">
        <f aca="false">-E6*Assumptions!E32/100</f>
        <v>-87.3011770176</v>
      </c>
      <c r="F17" s="4" t="n">
        <f aca="false">-F6*Assumptions!F32/100</f>
        <v>-90.6589145952</v>
      </c>
      <c r="G17" s="4" t="n">
        <f aca="false">-G6*Assumptions!G32/100</f>
        <v>-96.098449470912</v>
      </c>
      <c r="H17" s="4" t="n">
        <f aca="false">-H6*Assumptions!H32/100</f>
        <v>-100.903371944458</v>
      </c>
      <c r="I17" s="4" t="n">
        <f aca="false">-I6*Assumptions!I32/100</f>
        <v>-104.939506822236</v>
      </c>
      <c r="J17" s="4" t="n">
        <f aca="false">-J6*Assumptions!J32/100</f>
        <v>-108.612389561014</v>
      </c>
      <c r="K17" s="4" t="n">
        <f aca="false">-K6*Assumptions!K32/100</f>
        <v>-111.870761247845</v>
      </c>
      <c r="L17" s="4" t="n">
        <f aca="false">-L6*Assumptions!L32/100</f>
        <v>-115.22688408528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120.3471</v>
      </c>
      <c r="D18" s="4" t="n">
        <f aca="false">(D6-C6)*Assumptions!$B$37/100</f>
        <v>-68.597847</v>
      </c>
      <c r="E18" s="4" t="n">
        <f aca="false">(E6-D6)*Assumptions!$B$37/100</f>
        <v>-53.96363964</v>
      </c>
      <c r="F18" s="4" t="n">
        <f aca="false">(F6-E6)*Assumptions!$B$37/100</f>
        <v>-40.2928509312001</v>
      </c>
      <c r="G18" s="4" t="n">
        <f aca="false">(G6-F6)*Assumptions!$B$37/100</f>
        <v>-32.637209254272</v>
      </c>
      <c r="H18" s="4" t="n">
        <f aca="false">(H6-G6)*Assumptions!$B$37/100</f>
        <v>-28.8295348412736</v>
      </c>
      <c r="I18" s="4" t="n">
        <f aca="false">(I6-H6)*Assumptions!$B$37/100</f>
        <v>-24.2168092666699</v>
      </c>
      <c r="J18" s="4" t="n">
        <f aca="false">(J6-I6)*Assumptions!$B$37/100</f>
        <v>-22.0372964326695</v>
      </c>
      <c r="K18" s="4" t="n">
        <f aca="false">(K6-J6)*Assumptions!$B$37/100</f>
        <v>-19.5502301209825</v>
      </c>
      <c r="L18" s="4" t="n">
        <f aca="false">(L6-K6)*Assumptions!$B$37/100</f>
        <v>-20.1367370246121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240.97768428</v>
      </c>
      <c r="D19" s="0" t="n">
        <f aca="false">D15+D16+D17+D18</f>
        <v>177.2964709596</v>
      </c>
      <c r="E19" s="0" t="n">
        <f aca="false">E15+E16+E17+E18</f>
        <v>311.962601566848</v>
      </c>
      <c r="F19" s="0" t="n">
        <f aca="false">F15+F16+F17+F18</f>
        <v>417.135768550341</v>
      </c>
      <c r="G19" s="0" t="n">
        <f aca="false">G15+G16+G17+G18</f>
        <v>485.218115254579</v>
      </c>
      <c r="H19" s="0" t="n">
        <f aca="false">H15+H16+H17+H18</f>
        <v>517.178791424576</v>
      </c>
      <c r="I19" s="0" t="n">
        <f aca="false">I15+I16+I17+I18</f>
        <v>546.905962662667</v>
      </c>
      <c r="J19" s="0" t="n">
        <f aca="false">J15+J16+J17+J18</f>
        <v>569.074772514194</v>
      </c>
      <c r="K19" s="0" t="n">
        <f aca="false">K15+K16+K17+K18</f>
        <v>589.295200894287</v>
      </c>
      <c r="L19" s="0" t="n">
        <f aca="false">L15+L16+L17+L18</f>
        <v>606.974056921116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218.079352289593</v>
      </c>
      <c r="D21" s="0" t="n">
        <f aca="false">D19*D20</f>
        <v>145.20298188784</v>
      </c>
      <c r="E21" s="0" t="n">
        <f aca="false">E19*E20</f>
        <v>231.214837075888</v>
      </c>
      <c r="F21" s="0" t="n">
        <f aca="false">F19*F20</f>
        <v>279.787507419065</v>
      </c>
      <c r="G21" s="0" t="n">
        <f aca="false">G19*G20</f>
        <v>294.527340904724</v>
      </c>
      <c r="H21" s="0" t="n">
        <f aca="false">H19*H20</f>
        <v>284.097255849343</v>
      </c>
      <c r="I21" s="0" t="n">
        <f aca="false">I19*I20</f>
        <v>271.879656257719</v>
      </c>
      <c r="J21" s="0" t="n">
        <f aca="false">J19*J20</f>
        <v>256.018358840526</v>
      </c>
      <c r="K21" s="0" t="n">
        <f aca="false">K19*K20</f>
        <v>239.923286663311</v>
      </c>
      <c r="L21" s="0" t="n">
        <f aca="false">L19*L20</f>
        <v>223.638900690688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1.5</v>
      </c>
      <c r="D23" s="4" t="n">
        <f aca="false">Assumptions!D30</f>
        <v>1.3</v>
      </c>
      <c r="E23" s="4" t="n">
        <f aca="false">Assumptions!E30</f>
        <v>1.2</v>
      </c>
      <c r="F23" s="4" t="n">
        <f aca="false">Assumptions!F30</f>
        <v>1.1</v>
      </c>
      <c r="G23" s="4" t="n">
        <f aca="false">Assumptions!G30</f>
        <v>1.1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-38.109915</v>
      </c>
      <c r="D24" s="0" t="n">
        <f aca="false">-D6*D23/100</f>
        <v>-38.97373974</v>
      </c>
      <c r="E24" s="0" t="n">
        <f aca="false">-E6*E23/100</f>
        <v>-40.2928509312</v>
      </c>
      <c r="F24" s="0" t="n">
        <f aca="false">-F6*F23/100</f>
        <v>-39.889922421888</v>
      </c>
      <c r="G24" s="0" t="n">
        <f aca="false">-G6*G23/100</f>
        <v>-42.2833177672013</v>
      </c>
      <c r="H24" s="0" t="n">
        <f aca="false">-H6*H23/100</f>
        <v>-40.3613487777831</v>
      </c>
      <c r="I24" s="0" t="n">
        <f aca="false">-I6*I23/100</f>
        <v>-41.9758027288944</v>
      </c>
      <c r="J24" s="0" t="n">
        <f aca="false">-J6*J23/100</f>
        <v>-43.4449558244057</v>
      </c>
      <c r="K24" s="0" t="n">
        <f aca="false">-K6*K23/100</f>
        <v>-44.7483044991378</v>
      </c>
      <c r="L24" s="0" t="n">
        <f aca="false">-L6*L23/100</f>
        <v>-46.090753634112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2444.3694778787</v>
      </c>
    </row>
    <row r="31" customFormat="false" ht="15" hidden="false" customHeight="false" outlineLevel="0" collapsed="false">
      <c r="A31" s="0" t="s">
        <v>126</v>
      </c>
      <c r="B31" s="0" t="n">
        <f aca="false">L19</f>
        <v>606.974056921116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7776.85510430179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7283.68868305339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7283.68868305339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2683.66680828826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5128.03628616696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13247.036286167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0.938427813498229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-0.378524626822365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246.527987866851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217.582973504659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0.971305705978619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4977.18726675315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0.801244145085564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-20</v>
      </c>
      <c r="D5" s="4" t="n">
        <f aca="false">Assumptions!D41</f>
        <v>30</v>
      </c>
      <c r="E5" s="4" t="n">
        <f aca="false">Assumptions!E41</f>
        <v>18</v>
      </c>
      <c r="F5" s="4" t="n">
        <f aca="false">Assumptions!F41</f>
        <v>12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3342.975</v>
      </c>
      <c r="C6" s="0" t="n">
        <f aca="false">B6*(1+C5/100)</f>
        <v>2674.38</v>
      </c>
      <c r="D6" s="0" t="n">
        <f aca="false">C6*(1+D5/100)</f>
        <v>3476.694</v>
      </c>
      <c r="E6" s="0" t="n">
        <f aca="false">D6*(1+E5/100)</f>
        <v>4102.49892</v>
      </c>
      <c r="F6" s="0" t="n">
        <f aca="false">E6*(1+F5/100)</f>
        <v>4594.7987904</v>
      </c>
      <c r="G6" s="0" t="n">
        <f aca="false">F6*(1+G5/100)</f>
        <v>4962.382693632</v>
      </c>
      <c r="H6" s="0" t="n">
        <f aca="false">G6*(1+H5/100)</f>
        <v>5260.12565524992</v>
      </c>
      <c r="I6" s="0" t="n">
        <f aca="false">H6*(1+I5/100)</f>
        <v>5523.13193801242</v>
      </c>
      <c r="J6" s="0" t="n">
        <f aca="false">I6*(1+J5/100)</f>
        <v>5744.05721553291</v>
      </c>
      <c r="K6" s="0" t="n">
        <f aca="false">J6*(1+K5/100)</f>
        <v>5916.3789319989</v>
      </c>
      <c r="L6" s="0" t="n">
        <f aca="false">K6*(1+L5/100)</f>
        <v>6093.87029995887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13</v>
      </c>
      <c r="D7" s="4" t="n">
        <f aca="false">Assumptions!D42</f>
        <v>20</v>
      </c>
      <c r="E7" s="4" t="n">
        <f aca="false">Assumptions!E42</f>
        <v>24</v>
      </c>
      <c r="F7" s="4" t="n">
        <f aca="false">Assumptions!F42</f>
        <v>27</v>
      </c>
      <c r="G7" s="4" t="n">
        <f aca="false">Assumptions!G42</f>
        <v>28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347.6694</v>
      </c>
      <c r="D8" s="0" t="n">
        <f aca="false">D6*D7/100</f>
        <v>695.3388</v>
      </c>
      <c r="E8" s="0" t="n">
        <f aca="false">E6*E7/100</f>
        <v>984.5997408</v>
      </c>
      <c r="F8" s="0" t="n">
        <f aca="false">F6*F7/100</f>
        <v>1240.595673408</v>
      </c>
      <c r="G8" s="0" t="n">
        <f aca="false">G6*G7/100</f>
        <v>1389.46715421696</v>
      </c>
      <c r="H8" s="0" t="n">
        <f aca="false">H6*H7/100</f>
        <v>1472.83518346998</v>
      </c>
      <c r="I8" s="0" t="n">
        <f aca="false">I6*I7/100</f>
        <v>1546.47694264348</v>
      </c>
      <c r="J8" s="0" t="n">
        <f aca="false">J6*J7/100</f>
        <v>1608.33602034922</v>
      </c>
      <c r="K8" s="0" t="n">
        <f aca="false">K6*K7/100</f>
        <v>1656.58610095969</v>
      </c>
      <c r="L8" s="0" t="n">
        <f aca="false">L6*L7/100</f>
        <v>1706.28368398848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1.2</v>
      </c>
      <c r="F9" s="4" t="n">
        <f aca="false">Assumptions!F43</f>
        <v>1.2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-34.76694</v>
      </c>
      <c r="D10" s="0" t="n">
        <f aca="false">-D6*D9/100</f>
        <v>-45.197022</v>
      </c>
      <c r="E10" s="0" t="n">
        <f aca="false">-E6*E9/100</f>
        <v>-49.22998704</v>
      </c>
      <c r="F10" s="0" t="n">
        <f aca="false">-F6*F9/100</f>
        <v>-55.1375854848</v>
      </c>
      <c r="G10" s="0" t="n">
        <f aca="false">-G6*G9/100</f>
        <v>-54.586209629952</v>
      </c>
      <c r="H10" s="0" t="n">
        <f aca="false">-H6*H9/100</f>
        <v>-57.8613822077491</v>
      </c>
      <c r="I10" s="0" t="n">
        <f aca="false">-I6*I9/100</f>
        <v>-55.2313193801242</v>
      </c>
      <c r="J10" s="0" t="n">
        <f aca="false">-J6*J9/100</f>
        <v>-57.4405721553291</v>
      </c>
      <c r="K10" s="0" t="n">
        <f aca="false">-K6*K9/100</f>
        <v>-59.163789319989</v>
      </c>
      <c r="L10" s="0" t="n">
        <f aca="false">-L6*L9/100</f>
        <v>-60.9387029995887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272.78676</v>
      </c>
      <c r="D11" s="0" t="n">
        <f aca="false">D8+D10+D24</f>
        <v>608.42145</v>
      </c>
      <c r="E11" s="0" t="n">
        <f aca="false">E8+E10+E24</f>
        <v>890.24226564</v>
      </c>
      <c r="F11" s="0" t="n">
        <f aca="false">F8+F10+F24</f>
        <v>1139.5101000192</v>
      </c>
      <c r="G11" s="0" t="n">
        <f aca="false">G8+G10+G24</f>
        <v>1285.25711765069</v>
      </c>
      <c r="H11" s="0" t="n">
        <f aca="false">H8+H10+H24</f>
        <v>1367.63267036498</v>
      </c>
      <c r="I11" s="0" t="n">
        <f aca="false">I8+I10+I24</f>
        <v>1441.53743582124</v>
      </c>
      <c r="J11" s="0" t="n">
        <f aca="false">J8+J10+J24</f>
        <v>1499.19893325409</v>
      </c>
      <c r="K11" s="0" t="n">
        <f aca="false">K8+K10+K24</f>
        <v>1544.17490125171</v>
      </c>
      <c r="L11" s="0" t="n">
        <f aca="false">L8+L10+L24</f>
        <v>1590.50014828926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-69.53388</v>
      </c>
      <c r="D12" s="4" t="n">
        <f aca="false">-D6*Assumptions!D45/100</f>
        <v>-86.91735</v>
      </c>
      <c r="E12" s="4" t="n">
        <f aca="false">-E6*Assumptions!E45/100</f>
        <v>-102.562473</v>
      </c>
      <c r="F12" s="4" t="n">
        <f aca="false">-F6*Assumptions!F45/100</f>
        <v>-110.2751709696</v>
      </c>
      <c r="G12" s="4" t="n">
        <f aca="false">-G6*Assumptions!G45/100</f>
        <v>-119.097184647168</v>
      </c>
      <c r="H12" s="4" t="n">
        <f aca="false">-H6*Assumptions!H45/100</f>
        <v>-120.982890070748</v>
      </c>
      <c r="I12" s="4" t="n">
        <f aca="false">-I6*Assumptions!I45/100</f>
        <v>-127.032034574286</v>
      </c>
      <c r="J12" s="4" t="n">
        <f aca="false">-J6*Assumptions!J45/100</f>
        <v>-132.113315957257</v>
      </c>
      <c r="K12" s="4" t="n">
        <f aca="false">-K6*Assumptions!K45/100</f>
        <v>-136.076715435975</v>
      </c>
      <c r="L12" s="4" t="n">
        <f aca="false">-L6*Assumptions!L45/100</f>
        <v>-140.159016899054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203.25288</v>
      </c>
      <c r="D13" s="0" t="n">
        <f aca="false">D11+D12</f>
        <v>521.5041</v>
      </c>
      <c r="E13" s="0" t="n">
        <f aca="false">E11+E12</f>
        <v>787.67979264</v>
      </c>
      <c r="F13" s="0" t="n">
        <f aca="false">F11+F12</f>
        <v>1029.2349290496</v>
      </c>
      <c r="G13" s="0" t="n">
        <f aca="false">G11+G12</f>
        <v>1166.15993300352</v>
      </c>
      <c r="H13" s="0" t="n">
        <f aca="false">H11+H12</f>
        <v>1246.64978029423</v>
      </c>
      <c r="I13" s="0" t="n">
        <f aca="false">I11+I12</f>
        <v>1314.50540124696</v>
      </c>
      <c r="J13" s="0" t="n">
        <f aca="false">J11+J12</f>
        <v>1367.08561729683</v>
      </c>
      <c r="K13" s="0" t="n">
        <f aca="false">K11+K12</f>
        <v>1408.09818581574</v>
      </c>
      <c r="L13" s="0" t="n">
        <f aca="false">L11+L12</f>
        <v>1450.34113139021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162.602304</v>
      </c>
      <c r="D15" s="0" t="n">
        <f aca="false">D13-MAX(0,D13)*D14/100</f>
        <v>417.20328</v>
      </c>
      <c r="E15" s="0" t="n">
        <f aca="false">E13-MAX(0,E13)*E14/100</f>
        <v>630.143834112</v>
      </c>
      <c r="F15" s="0" t="n">
        <f aca="false">F13-MAX(0,F13)*F14/100</f>
        <v>823.38794323968</v>
      </c>
      <c r="G15" s="0" t="n">
        <f aca="false">G13-MAX(0,G13)*G14/100</f>
        <v>932.927946402816</v>
      </c>
      <c r="H15" s="0" t="n">
        <f aca="false">H13-MAX(0,H13)*H14/100</f>
        <v>997.319824235385</v>
      </c>
      <c r="I15" s="0" t="n">
        <f aca="false">I13-MAX(0,I13)*I14/100</f>
        <v>1051.60432099756</v>
      </c>
      <c r="J15" s="0" t="n">
        <f aca="false">J13-MAX(0,J13)*J14/100</f>
        <v>1093.66849383747</v>
      </c>
      <c r="K15" s="0" t="n">
        <f aca="false">K13-MAX(0,K13)*K14/100</f>
        <v>1126.47854865259</v>
      </c>
      <c r="L15" s="0" t="n">
        <f aca="false">L13-MAX(0,L13)*L14/100</f>
        <v>1160.27290511217</v>
      </c>
    </row>
    <row r="16" customFormat="false" ht="15" hidden="false" customHeight="false" outlineLevel="0" collapsed="false">
      <c r="A16" s="0" t="s">
        <v>117</v>
      </c>
      <c r="C16" s="0" t="n">
        <f aca="false">-C12</f>
        <v>69.53388</v>
      </c>
      <c r="D16" s="0" t="n">
        <f aca="false">-D12</f>
        <v>86.91735</v>
      </c>
      <c r="E16" s="0" t="n">
        <f aca="false">-E12</f>
        <v>102.562473</v>
      </c>
      <c r="F16" s="0" t="n">
        <f aca="false">-F12</f>
        <v>110.2751709696</v>
      </c>
      <c r="G16" s="0" t="n">
        <f aca="false">-G12</f>
        <v>119.097184647168</v>
      </c>
      <c r="H16" s="0" t="n">
        <f aca="false">-H12</f>
        <v>120.982890070748</v>
      </c>
      <c r="I16" s="0" t="n">
        <f aca="false">-I12</f>
        <v>127.032034574286</v>
      </c>
      <c r="J16" s="0" t="n">
        <f aca="false">-J12</f>
        <v>132.113315957257</v>
      </c>
      <c r="K16" s="0" t="n">
        <f aca="false">-K12</f>
        <v>136.076715435975</v>
      </c>
      <c r="L16" s="0" t="n">
        <f aca="false">-L12</f>
        <v>140.159016899054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-80.2314</v>
      </c>
      <c r="D17" s="4" t="n">
        <f aca="false">-D6*Assumptions!D46/100</f>
        <v>-97.347432</v>
      </c>
      <c r="E17" s="4" t="n">
        <f aca="false">-E6*Assumptions!E46/100</f>
        <v>-106.66497192</v>
      </c>
      <c r="F17" s="4" t="n">
        <f aca="false">-F6*Assumptions!F46/100</f>
        <v>-114.86996976</v>
      </c>
      <c r="G17" s="4" t="n">
        <f aca="false">-G6*Assumptions!G46/100</f>
        <v>-124.0595673408</v>
      </c>
      <c r="H17" s="4" t="n">
        <f aca="false">-H6*Assumptions!H46/100</f>
        <v>-131.503141381248</v>
      </c>
      <c r="I17" s="4" t="n">
        <f aca="false">-I6*Assumptions!I46/100</f>
        <v>-138.07829845031</v>
      </c>
      <c r="J17" s="4" t="n">
        <f aca="false">-J6*Assumptions!J46/100</f>
        <v>-143.601430388323</v>
      </c>
      <c r="K17" s="4" t="n">
        <f aca="false">-K6*Assumptions!K46/100</f>
        <v>-147.909473299973</v>
      </c>
      <c r="L17" s="4" t="n">
        <f aca="false">-L6*Assumptions!L46/100</f>
        <v>-152.346757498972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80.2314</v>
      </c>
      <c r="D18" s="4" t="n">
        <f aca="false">(D6-C6)*Assumptions!$B$51/100</f>
        <v>-96.27768</v>
      </c>
      <c r="E18" s="4" t="n">
        <f aca="false">(E6-D6)*Assumptions!$B$51/100</f>
        <v>-75.0965904</v>
      </c>
      <c r="F18" s="4" t="n">
        <f aca="false">(F6-E6)*Assumptions!$B$51/100</f>
        <v>-59.075984448</v>
      </c>
      <c r="G18" s="4" t="n">
        <f aca="false">(G6-F6)*Assumptions!$B$51/100</f>
        <v>-44.11006838784</v>
      </c>
      <c r="H18" s="4" t="n">
        <f aca="false">(H6-G6)*Assumptions!$B$51/100</f>
        <v>-35.7291553941505</v>
      </c>
      <c r="I18" s="4" t="n">
        <f aca="false">(I6-H6)*Assumptions!$B$51/100</f>
        <v>-31.5607539314995</v>
      </c>
      <c r="J18" s="4" t="n">
        <f aca="false">(J6-I6)*Assumptions!$B$51/100</f>
        <v>-26.5110333024596</v>
      </c>
      <c r="K18" s="4" t="n">
        <f aca="false">(K6-J6)*Assumptions!$B$51/100</f>
        <v>-20.6786059759185</v>
      </c>
      <c r="L18" s="4" t="n">
        <f aca="false">(L6-K6)*Assumptions!$B$51/100</f>
        <v>-21.298964155196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232.136184</v>
      </c>
      <c r="D19" s="0" t="n">
        <f aca="false">D15+D16+D17+D18</f>
        <v>310.495518</v>
      </c>
      <c r="E19" s="0" t="n">
        <f aca="false">E15+E16+E17+E18</f>
        <v>550.944744792</v>
      </c>
      <c r="F19" s="0" t="n">
        <f aca="false">F15+F16+F17+F18</f>
        <v>759.71716000128</v>
      </c>
      <c r="G19" s="0" t="n">
        <f aca="false">G15+G16+G17+G18</f>
        <v>883.855495321344</v>
      </c>
      <c r="H19" s="0" t="n">
        <f aca="false">H15+H16+H17+H18</f>
        <v>951.070417530735</v>
      </c>
      <c r="I19" s="0" t="n">
        <f aca="false">I15+I16+I17+I18</f>
        <v>1008.99730319004</v>
      </c>
      <c r="J19" s="0" t="n">
        <f aca="false">J15+J16+J17+J18</f>
        <v>1055.66934610394</v>
      </c>
      <c r="K19" s="0" t="n">
        <f aca="false">K15+K16+K17+K18</f>
        <v>1093.96718481267</v>
      </c>
      <c r="L19" s="0" t="n">
        <f aca="false">L15+L16+L17+L18</f>
        <v>1126.78620035705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210.077994570136</v>
      </c>
      <c r="D21" s="0" t="n">
        <f aca="false">D19*D20</f>
        <v>254.290876927172</v>
      </c>
      <c r="E21" s="0" t="n">
        <f aca="false">E19*E20</f>
        <v>408.339329025638</v>
      </c>
      <c r="F21" s="0" t="n">
        <f aca="false">F19*F20</f>
        <v>509.568794061823</v>
      </c>
      <c r="G21" s="0" t="n">
        <f aca="false">G19*G20</f>
        <v>536.500185374244</v>
      </c>
      <c r="H21" s="0" t="n">
        <f aca="false">H19*H20</f>
        <v>522.443109075898</v>
      </c>
      <c r="I21" s="0" t="n">
        <f aca="false">I19*I20</f>
        <v>501.595993981653</v>
      </c>
      <c r="J21" s="0" t="n">
        <f aca="false">J19*J20</f>
        <v>474.930090950467</v>
      </c>
      <c r="K21" s="0" t="n">
        <f aca="false">K19*K20</f>
        <v>445.393415869936</v>
      </c>
      <c r="L21" s="0" t="n">
        <f aca="false">L19*L20</f>
        <v>415.163093525823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1.5</v>
      </c>
      <c r="D23" s="4" t="n">
        <f aca="false">Assumptions!D44</f>
        <v>1.2</v>
      </c>
      <c r="E23" s="4" t="n">
        <f aca="false">Assumptions!E44</f>
        <v>1.1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0.9</v>
      </c>
      <c r="L23" s="4" t="n">
        <f aca="false">Assumptions!L44</f>
        <v>0.9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-40.1157</v>
      </c>
      <c r="D24" s="0" t="n">
        <f aca="false">-D6*D23/100</f>
        <v>-41.720328</v>
      </c>
      <c r="E24" s="0" t="n">
        <f aca="false">-E6*E23/100</f>
        <v>-45.12748812</v>
      </c>
      <c r="F24" s="0" t="n">
        <f aca="false">-F6*F23/100</f>
        <v>-45.947987904</v>
      </c>
      <c r="G24" s="0" t="n">
        <f aca="false">-G6*G23/100</f>
        <v>-49.62382693632</v>
      </c>
      <c r="H24" s="0" t="n">
        <f aca="false">-H6*H23/100</f>
        <v>-47.3411308972493</v>
      </c>
      <c r="I24" s="0" t="n">
        <f aca="false">-I6*I23/100</f>
        <v>-49.7081874421118</v>
      </c>
      <c r="J24" s="0" t="n">
        <f aca="false">-J6*J23/100</f>
        <v>-51.6965149397962</v>
      </c>
      <c r="K24" s="0" t="n">
        <f aca="false">-K6*K23/100</f>
        <v>-53.2474103879901</v>
      </c>
      <c r="L24" s="0" t="n">
        <f aca="false">-L6*L23/100</f>
        <v>-54.8448326996298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4278.30288336279</v>
      </c>
    </row>
    <row r="31" customFormat="false" ht="15" hidden="false" customHeight="false" outlineLevel="0" collapsed="false">
      <c r="A31" s="0" t="s">
        <v>126</v>
      </c>
      <c r="B31" s="0" t="n">
        <f aca="false">L19</f>
        <v>1126.78620035705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15474.5304849035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15775.0068049988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15474.5304849035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5701.57315108797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9979.87603445076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18098.8760344508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1.28213498452638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-0.150903983757362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306.706281049662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308.351728814641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1.32570605437951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9671.58155306472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0.98521217466177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0.70013890347501</v>
      </c>
      <c r="C4" s="0" t="n">
        <f aca="false">B4/Assumptions!$B$2-1</f>
        <v>-0.536331852003304</v>
      </c>
      <c r="D4" s="4" t="n">
        <f aca="false">Assumptions!$B$24</f>
        <v>0.3</v>
      </c>
      <c r="E4" s="4" t="n">
        <f aca="false">DCF_Bear!$B$43</f>
        <v>0.726230001921367</v>
      </c>
      <c r="F4" s="4" t="n">
        <f aca="false">DCF_Bear!$B$47</f>
        <v>0.662333032558757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0.938427813498229</v>
      </c>
      <c r="C5" s="0" t="n">
        <f aca="false">B5/Assumptions!$B$2-1</f>
        <v>-0.378524626822365</v>
      </c>
      <c r="D5" s="4" t="n">
        <f aca="false">Assumptions!$B$38</f>
        <v>0.5</v>
      </c>
      <c r="E5" s="4" t="n">
        <f aca="false">DCF_Base!$B$43</f>
        <v>0.971305705978619</v>
      </c>
      <c r="F5" s="4" t="n">
        <f aca="false">DCF_Base!$B$47</f>
        <v>0.801244145085564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1.28213498452638</v>
      </c>
      <c r="C6" s="0" t="n">
        <f aca="false">B6/Assumptions!$B$2-1</f>
        <v>-0.150903983757362</v>
      </c>
      <c r="D6" s="4" t="n">
        <f aca="false">Assumptions!$B$52</f>
        <v>0.2</v>
      </c>
      <c r="E6" s="4" t="n">
        <f aca="false">DCF_Bull!$B$43</f>
        <v>1.32570605437951</v>
      </c>
      <c r="F6" s="4" t="n">
        <f aca="false">DCF_Bull!$B$47</f>
        <v>0.98521217466177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0.935682574696894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0.968663064441622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-0.613795148946907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1741.38537586426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0.796364417242763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0.98033802763429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0.951767492708242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0.938427813498229</v>
      </c>
      <c r="C17" s="3" t="n">
        <v>10.5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0.925676429238388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0.885063642978674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0.801244145085564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0.995636718198593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0.995636718198593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0.995636718198593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0.995636718198593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0.995636718198593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0.965726582637253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0.965726582637253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0.965726582637253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0.965726582637253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0.965726582637253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0.926985855711888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0.938427813498229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0.938427813498229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0.938427813498229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0.938427813498229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0.886699949427951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0.895196152159631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0.904636377417054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0.913483942792844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0.913483942792844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0.853951846096012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0.860400478069446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0.867493973240225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0.87533415211319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0.88404546197204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2026-10-10T21:11:14Z</dcterms:created>
  <dc:creator>openpyxl</dc:creator>
  <dc:description/>
  <dc:language>en-NZ</dc:language>
  <cp:lastModifiedBy/>
  <dcterms:modified xsi:type="dcterms:W3CDTF">2026-10-10T21:11:14Z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