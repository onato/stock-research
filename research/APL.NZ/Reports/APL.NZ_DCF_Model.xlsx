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<sst xmlns="http://schemas.openxmlformats.org/spreadsheetml/2006/main" count="120" uniqueCount="110">
  <si>
    <t>APL.NZ NTA Realisation (Wind-Down) Model -- BASE CASE</t>
  </si>
  <si>
    <t>Gray cells are INPUTS - adjust to see valuation change. This is an asset-realisation model, not a growth FCF DCF.</t>
  </si>
  <si>
    <t>KEY INPUTS</t>
  </si>
  <si>
    <t>Current Stock Price</t>
  </si>
  <si>
    <t>Shares Outstanding (M)</t>
  </si>
  <si>
    <t>Shareholders Equity / NTA (NZ$m)</t>
  </si>
  <si>
    <t>Current NTA per Share</t>
  </si>
  <si>
    <t>Cash (NZ$m)</t>
  </si>
  <si>
    <t>Total Debt (NZ$m)</t>
  </si>
  <si>
    <t>Property Carrying Value (NZ$m)</t>
  </si>
  <si>
    <t>Occupancy %</t>
  </si>
  <si>
    <t>Cost of Equity (Base)</t>
  </si>
  <si>
    <t>Realisation Horizon (years)</t>
  </si>
  <si>
    <t>Exit Price-to-NTA Multiple</t>
  </si>
  <si>
    <t>REALISATION PATH (BASE CASE)</t>
  </si>
  <si>
    <t>FY2027</t>
  </si>
  <si>
    <t>FY2028</t>
  </si>
  <si>
    <t>FY2029</t>
  </si>
  <si>
    <t>NTA per Share (projected)</t>
  </si>
  <si>
    <t>Dividend per Share</t>
  </si>
  <si>
    <t>Discount Factor</t>
  </si>
  <si>
    <t>PV of Dividend</t>
  </si>
  <si>
    <t>VALUATION (BASE CASE)</t>
  </si>
  <si>
    <t>Sum of PV of Dividends</t>
  </si>
  <si>
    <t>Exit NTA per Share (Year 3)</t>
  </si>
  <si>
    <t>Exit Value per Share (NTA x Multiple)</t>
  </si>
  <si>
    <t>PV of Exit Value</t>
  </si>
  <si>
    <t>INTRINSIC VALUE PER SHARE</t>
  </si>
  <si>
    <t>Upside/(Downside) vs Current Price</t>
  </si>
  <si>
    <t>ENTRY PRICE (15% IRR Target)</t>
  </si>
  <si>
    <t>Hurdle Rate</t>
  </si>
  <si>
    <t>PV of Dividends @ Hurdle</t>
  </si>
  <si>
    <t>PV of Exit Value @ Hurdle</t>
  </si>
  <si>
    <t>ENTRY PRICE</t>
  </si>
  <si>
    <t>Discount/(Premium) of Entry Price to Current</t>
  </si>
  <si>
    <t>SCENARIO SUMMARY (from JSON - not formula-linked)</t>
  </si>
  <si>
    <t>Scenario</t>
  </si>
  <si>
    <t>Cost of Equity</t>
  </si>
  <si>
    <t>Exit P/NTA</t>
  </si>
  <si>
    <t>Intrinsic Value</t>
  </si>
  <si>
    <t>Upside %</t>
  </si>
  <si>
    <t>Bear</t>
  </si>
  <si>
    <t>Base</t>
  </si>
  <si>
    <t>Bull</t>
  </si>
  <si>
    <t>Probability-Weighted IV</t>
  </si>
  <si>
    <t>Weights (Bear/Base/Bull)</t>
  </si>
  <si>
    <t>0.25/0.5/0.25</t>
  </si>
  <si>
    <t>Sensitivity Analysis</t>
  </si>
  <si>
    <t>Intrinsic Value/Share by Cost of Equity &amp; Exit Price-to-NTA Multiple</t>
  </si>
  <si>
    <t>(Terminal growth is not meaningful for a wind-down vehicle; exit P/NTA multiple is the analogous lever)</t>
  </si>
  <si>
    <t>CoE \ Exit P/NTA</t>
  </si>
  <si>
    <t>NTA / Earnings Quality Reconciliation</t>
  </si>
  <si>
    <t>APL.NZ has no meaningful "free cash flow" concept to reconcile (see valuation_philosophy) -- this sheet instead reconciles reported earnings to NTA and to AFFO, the company's own cash-quality metric.</t>
  </si>
  <si>
    <t>Fiscal Year</t>
  </si>
  <si>
    <t>FY2015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</si>
  <si>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</si>
  <si>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</si>
  <si>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</si>
  <si>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</si>
  <si>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</si>
  <si>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</si>
  <si>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</si>
  <si>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</si>
  <si>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</si>
  <si>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</si>
  <si>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Shareholders Equity (NZ$m)</t>
  </si>
  <si>
    <t>NTA per Share</t>
  </si>
  <si>
    <t>Net Income / (Loss) (NZ$m)</t>
  </si>
  <si>
    <t>Note</t>
  </si>
  <si>
    <t>FY2021 equity/share step change reflects a real capital raise (shares 161.9m -&gt; 362.7m), not restatement.</t>
  </si>
  <si>
    <t>FY2025-FY2026 sees 35 Graham Street sold (Nov-2024); portfolio is now single-asset (Munroe Lane) only.</t>
  </si>
  <si>
    <t>FY2026 AFFO (post leasing incentives) was only $0.169m vs $2.902m dividends paid -- distributions currently funded from cash, not earnings.</t>
  </si>
  <si>
    <t>Reported Net Income is dominated by IAS 40 unrealised fair-value revaluations in most years and is NOT a cash-earnings proxy.</t>
  </si>
  <si>
    <t>Historical P/NTA Discount</t>
  </si>
  <si>
    <t>Fiscal Year End</t>
  </si>
  <si>
    <t>Approx Price (NZ$)</t>
  </si>
  <si>
    <t>NTA/Share (NZ$)</t>
  </si>
  <si>
    <t>P/NTA Discount %</t>
  </si>
  <si>
    <t>Tightest Discount:</t>
  </si>
  <si>
    <t>Widest Discount:</t>
  </si>
  <si>
    <t>Current Discount:</t>
  </si>
  <si>
    <t>Model Provenance &amp; Methodology Notes</t>
  </si>
  <si>
    <t>Built by</t>
  </si>
  <si>
    <t>Claude (dcf-analyst agent), Stock Research Project</t>
  </si>
  <si>
    <t>Build date</t>
  </si>
  <si>
    <t>2026-08-09</t>
  </si>
  <si>
    <t>Share price date/source</t>
  </si>
  <si>
    <t>NZ$0.165, Yahoo Finance intraday quote fetched 2026-08-09</t>
  </si>
  <si>
    <t>Data vintage</t>
  </si>
  <si>
    <t>FY2026 Annual Results (22-May-2026); Aug-2026 AGM (6-Aug-2026) and dividend increase announcement (0.25 cps for FY2027 Q1, ex-div 14-Aug-2026)</t>
  </si>
  <si>
    <t>Model type</t>
  </si>
  <si>
    <t>NTA / asset-realisation (wind-down) model -- NOT a standard growth FCF-to-firm DCF. See "DCF Model" sheet valuation_philosophy equivalent in the JSON output for full rationale.</t>
  </si>
  <si>
    <t>Why not a standard FCF DCF</t>
  </si>
  <si>
    <t>35 Graham Street sold Nov-2024 (all historical revenue/NI CAGRs describe a dead 2-asset portfolio); reported NI dominated by IAS 40 fair-value swings; FY2026 AFFO ($0.169m) far below dividends paid ($2.902m); vehicle is explicitly being wound down, not grown.</t>
  </si>
  <si>
    <t>Discount rate</t>
  </si>
  <si>
    <t>Cost of equity build-up (18.75% base), NOT WACC -- company is debt-free (0% LVR since Nov-2024).</t>
  </si>
  <si>
    <t>Terminal value analogue</t>
  </si>
  <si>
    <t>Exit price-to-NTA multiple applied to projected Year-3 NTA/share, calibrated to APL.NZ's own historical P/NTA trading range (-7.7% tightest FY2019 to -46.9% widest, essentially today).</t>
  </si>
  <si>
    <t>Realisation horizon</t>
  </si>
  <si>
    <t>3 years (FY2027-FY2029) -- this is the MODEL'S OWN ESTIMATE. No sale process, wind-up resolution or fixed timetable had been disclosed by management as of the 6-Aug-2026 AGM. Treat with real uncertainty in both directions.</t>
  </si>
  <si>
    <t>Net cash treatment</t>
  </si>
  <si>
    <t>NOT added a second time on top of exit NTA value -- the $6.926m cash balance is already embedded inside reported shareholders equity / NTA per share.</t>
  </si>
  <si>
    <t>SBC</t>
  </si>
  <si>
    <t>Verified nil. Externally managed vehicle (Centuria Funds Management NZ) with no equity incentive scheme.</t>
  </si>
  <si>
    <t>Cell colour convention</t>
  </si>
  <si>
    <t>Gray-shaded cells = editable inputs. White cells with borders = formulas. Green highlighted cells = key outputs (Intrinsic Value, Entry Price).</t>
  </si>
  <si>
    <t>What to refresh next</t>
  </si>
  <si>
    <t>After FY2027 H1 results (expected ~Nov-2026): update NTA/share, occupancy %, AFFO, dividend rate, and re-check whether MILK Orthodontics has commenced. After any sale/wind-up announcement: replace this entire model with a much shorter, higher-confidence liquidation-value calculation using the actual disclosed sale price and wind-up timetable.</t>
  </si>
  <si>
    <t>Staleness warning</t>
  </si>
  <si>
    <t>All figures in this workbook go stale after the next results release or any wind-up/sale announcement and MUST be re-checked before being relied upon.</t>
  </si>
</sst>
</file>

<file path=xl/styles.xml><?xml version="1.0" encoding="utf-8"?>
<styleSheet xmlns="http://schemas.openxmlformats.org/spreadsheetml/2006/main">
  <numFmts count="6">
    <numFmt numFmtId="164" formatCode="#,##0.0000"/>
    <numFmt numFmtId="165" formatCode="&quot;$&quot;#,##0.0000"/>
    <numFmt numFmtId="166" formatCode="0.00%"/>
    <numFmt numFmtId="167" formatCode="0.0%"/>
    <numFmt numFmtId="168" formatCode="0%"/>
    <numFmt numFmtId="169" formatCode="#,##0.0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/>
    <xf numFmtId="164" fontId="0" fillId="0" borderId="2" xfId="0" applyNumberFormat="1" applyBorder="1"/>
    <xf numFmtId="0" fontId="5" fillId="0" borderId="0" xfId="0" applyFont="1"/>
    <xf numFmtId="165" fontId="4" fillId="4" borderId="2" xfId="0" applyNumberFormat="1" applyFont="1" applyFill="1" applyBorder="1"/>
    <xf numFmtId="167" fontId="0" fillId="0" borderId="2" xfId="0" applyNumberFormat="1" applyBorder="1"/>
    <xf numFmtId="168" fontId="4" fillId="3" borderId="0" xfId="0" applyNumberFormat="1" applyFont="1" applyFill="1"/>
    <xf numFmtId="166" fontId="4" fillId="3" borderId="0" xfId="0" applyNumberFormat="1" applyFont="1" applyFill="1"/>
    <xf numFmtId="169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32.7109375" customWidth="1"/>
    <col min="2" max="5" width="14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0.165</v>
      </c>
    </row>
    <row r="6" spans="1:2">
      <c r="A6" t="s">
        <v>4</v>
      </c>
      <c r="B6" s="4">
        <v>362.717801</v>
      </c>
    </row>
    <row r="7" spans="1:2">
      <c r="A7" t="s">
        <v>5</v>
      </c>
      <c r="B7" s="4">
        <v>111.31</v>
      </c>
    </row>
    <row r="8" spans="1:2">
      <c r="A8" t="s">
        <v>6</v>
      </c>
      <c r="B8" s="5">
        <f>B7/B6</f>
        <v>0</v>
      </c>
    </row>
    <row r="9" spans="1:2">
      <c r="A9" t="s">
        <v>7</v>
      </c>
      <c r="B9" s="4">
        <v>6.926</v>
      </c>
    </row>
    <row r="10" spans="1:2">
      <c r="A10" t="s">
        <v>8</v>
      </c>
      <c r="B10" s="4">
        <v>0</v>
      </c>
    </row>
    <row r="11" spans="1:2">
      <c r="A11" t="s">
        <v>9</v>
      </c>
      <c r="B11" s="4">
        <v>105.5</v>
      </c>
    </row>
    <row r="12" spans="1:2">
      <c r="A12" t="s">
        <v>10</v>
      </c>
      <c r="B12" s="6">
        <v>0.7559999999999999</v>
      </c>
    </row>
    <row r="14" spans="1:2">
      <c r="A14" t="s">
        <v>11</v>
      </c>
      <c r="B14" s="6">
        <v>0.1875</v>
      </c>
    </row>
    <row r="15" spans="1:2">
      <c r="A15" t="s">
        <v>12</v>
      </c>
      <c r="B15" s="4">
        <v>3</v>
      </c>
    </row>
    <row r="16" spans="1:2">
      <c r="A16" t="s">
        <v>13</v>
      </c>
      <c r="B16" s="6">
        <v>0.75</v>
      </c>
    </row>
    <row r="18" spans="1:4">
      <c r="A18" s="3" t="s">
        <v>14</v>
      </c>
    </row>
    <row r="19" spans="1:4">
      <c r="A19" s="7"/>
      <c r="B19" s="7" t="s">
        <v>15</v>
      </c>
      <c r="C19" s="7" t="s">
        <v>16</v>
      </c>
      <c r="D19" s="7" t="s">
        <v>17</v>
      </c>
    </row>
    <row r="20" spans="1:4">
      <c r="A20" t="s">
        <v>18</v>
      </c>
      <c r="B20" s="4">
        <v>0.3</v>
      </c>
      <c r="C20" s="4">
        <v>0.298</v>
      </c>
      <c r="D20" s="4">
        <v>0.298</v>
      </c>
    </row>
    <row r="21" spans="1:4">
      <c r="A21" t="s">
        <v>19</v>
      </c>
      <c r="B21" s="4">
        <v>0.008</v>
      </c>
      <c r="C21" s="4">
        <v>0.01</v>
      </c>
      <c r="D21" s="4">
        <v>0.01</v>
      </c>
    </row>
    <row r="22" spans="1:4">
      <c r="A22" t="s">
        <v>20</v>
      </c>
      <c r="B22" s="8">
        <f>1/(1+$B$14)^1</f>
        <v>0</v>
      </c>
      <c r="C22" s="8">
        <f>1/(1+$B$14)^2</f>
        <v>0</v>
      </c>
      <c r="D22" s="8">
        <f>1/(1+$B$14)^3</f>
        <v>0</v>
      </c>
    </row>
    <row r="23" spans="1:4">
      <c r="A23" t="s">
        <v>21</v>
      </c>
      <c r="B23" s="8">
        <f>B21*B22</f>
        <v>0</v>
      </c>
      <c r="C23" s="8">
        <f>C21*C22</f>
        <v>0</v>
      </c>
      <c r="D23" s="8">
        <f>D21*D22</f>
        <v>0</v>
      </c>
    </row>
    <row r="25" spans="1:4">
      <c r="A25" s="3" t="s">
        <v>22</v>
      </c>
    </row>
    <row r="26" spans="1:4">
      <c r="A26" t="s">
        <v>23</v>
      </c>
      <c r="B26" s="8">
        <f>SUM(B23:D23)</f>
        <v>0</v>
      </c>
    </row>
    <row r="27" spans="1:4">
      <c r="A27" t="s">
        <v>24</v>
      </c>
      <c r="B27" s="8">
        <f>D20</f>
        <v>0</v>
      </c>
    </row>
    <row r="28" spans="1:4">
      <c r="A28" t="s">
        <v>25</v>
      </c>
      <c r="B28" s="8">
        <f>B27*B16</f>
        <v>0</v>
      </c>
    </row>
    <row r="29" spans="1:4">
      <c r="A29" t="s">
        <v>26</v>
      </c>
      <c r="B29" s="8">
        <f>B28*D22</f>
        <v>0</v>
      </c>
    </row>
    <row r="30" spans="1:4">
      <c r="A30" s="9" t="s">
        <v>27</v>
      </c>
      <c r="B30" s="10">
        <f>B26+B29</f>
        <v>0</v>
      </c>
    </row>
    <row r="31" spans="1:4">
      <c r="A31" t="s">
        <v>28</v>
      </c>
      <c r="B31" s="11">
        <f>(B30-B5)/B5</f>
        <v>0</v>
      </c>
    </row>
    <row r="33" spans="1:5">
      <c r="A33" s="3" t="s">
        <v>29</v>
      </c>
    </row>
    <row r="34" spans="1:5">
      <c r="A34" t="s">
        <v>30</v>
      </c>
      <c r="B34" s="6">
        <v>0.15</v>
      </c>
    </row>
    <row r="35" spans="1:5">
      <c r="A35" t="s">
        <v>31</v>
      </c>
      <c r="B35" s="8">
        <f>NPV(B34,B21:D21)</f>
        <v>0</v>
      </c>
    </row>
    <row r="36" spans="1:5">
      <c r="A36" t="s">
        <v>32</v>
      </c>
      <c r="B36" s="8">
        <f>B28/(1+B34)^B15</f>
        <v>0</v>
      </c>
    </row>
    <row r="37" spans="1:5">
      <c r="A37" s="9" t="s">
        <v>33</v>
      </c>
      <c r="B37" s="10">
        <f>B35+B36</f>
        <v>0</v>
      </c>
    </row>
    <row r="38" spans="1:5">
      <c r="A38" t="s">
        <v>34</v>
      </c>
      <c r="B38" s="11">
        <f>(B37-B5)/B5</f>
        <v>0</v>
      </c>
    </row>
    <row r="40" spans="1:5">
      <c r="A40" s="3" t="s">
        <v>35</v>
      </c>
    </row>
    <row r="41" spans="1:5">
      <c r="A41" s="7" t="s">
        <v>36</v>
      </c>
      <c r="B41" s="7" t="s">
        <v>37</v>
      </c>
      <c r="C41" s="7" t="s">
        <v>38</v>
      </c>
      <c r="D41" s="7" t="s">
        <v>39</v>
      </c>
      <c r="E41" s="7" t="s">
        <v>40</v>
      </c>
    </row>
    <row r="42" spans="1:5">
      <c r="A42" t="s">
        <v>41</v>
      </c>
      <c r="B42" s="11">
        <v>0.2225</v>
      </c>
      <c r="C42" s="11">
        <v>0.55</v>
      </c>
      <c r="D42" s="5">
        <v>0.08450000000000001</v>
      </c>
      <c r="E42" s="11">
        <v>-0.488</v>
      </c>
    </row>
    <row r="43" spans="1:5">
      <c r="A43" t="s">
        <v>42</v>
      </c>
      <c r="B43" s="11">
        <v>0.1875</v>
      </c>
      <c r="C43" s="11">
        <v>0.75</v>
      </c>
      <c r="D43" s="5">
        <v>0.1533</v>
      </c>
      <c r="E43" s="11">
        <v>-0.07099999999999999</v>
      </c>
    </row>
    <row r="44" spans="1:5">
      <c r="A44" t="s">
        <v>43</v>
      </c>
      <c r="B44" s="11">
        <v>0.1525</v>
      </c>
      <c r="C44" s="11">
        <v>0.95</v>
      </c>
      <c r="D44" s="5">
        <v>0.2217</v>
      </c>
      <c r="E44" s="11">
        <v>0.344</v>
      </c>
    </row>
    <row r="45" spans="1:5">
      <c r="A45" s="9" t="s">
        <v>44</v>
      </c>
      <c r="B45" s="5">
        <v>0.1532</v>
      </c>
    </row>
    <row r="46" spans="1:5">
      <c r="A46" t="s">
        <v>45</v>
      </c>
      <c r="B4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0.7109375" customWidth="1"/>
    <col min="2" max="6" width="12.7109375" customWidth="1"/>
  </cols>
  <sheetData>
    <row r="1" spans="1:6">
      <c r="A1" s="1" t="s">
        <v>47</v>
      </c>
    </row>
    <row r="2" spans="1:6">
      <c r="A2" t="s">
        <v>48</v>
      </c>
    </row>
    <row r="3" spans="1:6">
      <c r="A3" s="2" t="s">
        <v>49</v>
      </c>
    </row>
    <row r="5" spans="1:6">
      <c r="A5" s="7" t="s">
        <v>50</v>
      </c>
      <c r="B5" s="12">
        <v>0.55</v>
      </c>
      <c r="C5" s="12">
        <v>0.65</v>
      </c>
      <c r="D5" s="12">
        <v>0.75</v>
      </c>
      <c r="E5" s="12">
        <v>0.85</v>
      </c>
      <c r="F5" s="12">
        <v>0.95</v>
      </c>
    </row>
    <row r="6" spans="1:6">
      <c r="A6" s="13">
        <v>0.1475</v>
      </c>
      <c r="B6" s="5">
        <f>NPV(0.1475,'DCF Model'!$B$21:$D$21)+('DCF Model'!$D$20*0.55)/(1+0.1475)^'DCF Model'!$B$15</f>
        <v>0</v>
      </c>
      <c r="C6" s="5">
        <f>NPV(0.1475,'DCF Model'!$B$21:$D$21)+('DCF Model'!$D$20*0.65)/(1+0.1475)^'DCF Model'!$B$15</f>
        <v>0</v>
      </c>
      <c r="D6" s="5">
        <f>NPV(0.1475,'DCF Model'!$B$21:$D$21)+('DCF Model'!$D$20*0.75)/(1+0.1475)^'DCF Model'!$B$15</f>
        <v>0</v>
      </c>
      <c r="E6" s="5">
        <f>NPV(0.1475,'DCF Model'!$B$21:$D$21)+('DCF Model'!$D$20*0.85)/(1+0.1475)^'DCF Model'!$B$15</f>
        <v>0</v>
      </c>
      <c r="F6" s="5">
        <f>NPV(0.1475,'DCF Model'!$B$21:$D$21)+('DCF Model'!$D$20*0.95)/(1+0.1475)^'DCF Model'!$B$15</f>
        <v>0</v>
      </c>
    </row>
    <row r="7" spans="1:6">
      <c r="A7" s="13">
        <v>0.1675</v>
      </c>
      <c r="B7" s="5">
        <f>NPV(0.1675,'DCF Model'!$B$21:$D$21)+('DCF Model'!$D$20*0.55)/(1+0.1675)^'DCF Model'!$B$15</f>
        <v>0</v>
      </c>
      <c r="C7" s="5">
        <f>NPV(0.1675,'DCF Model'!$B$21:$D$21)+('DCF Model'!$D$20*0.65)/(1+0.1675)^'DCF Model'!$B$15</f>
        <v>0</v>
      </c>
      <c r="D7" s="5">
        <f>NPV(0.1675,'DCF Model'!$B$21:$D$21)+('DCF Model'!$D$20*0.75)/(1+0.1675)^'DCF Model'!$B$15</f>
        <v>0</v>
      </c>
      <c r="E7" s="5">
        <f>NPV(0.1675,'DCF Model'!$B$21:$D$21)+('DCF Model'!$D$20*0.85)/(1+0.1675)^'DCF Model'!$B$15</f>
        <v>0</v>
      </c>
      <c r="F7" s="5">
        <f>NPV(0.1675,'DCF Model'!$B$21:$D$21)+('DCF Model'!$D$20*0.95)/(1+0.1675)^'DCF Model'!$B$15</f>
        <v>0</v>
      </c>
    </row>
    <row r="8" spans="1:6">
      <c r="A8" s="13">
        <v>0.1875</v>
      </c>
      <c r="B8" s="5">
        <f>NPV(0.1875,'DCF Model'!$B$21:$D$21)+('DCF Model'!$D$20*0.55)/(1+0.1875)^'DCF Model'!$B$15</f>
        <v>0</v>
      </c>
      <c r="C8" s="5">
        <f>NPV(0.1875,'DCF Model'!$B$21:$D$21)+('DCF Model'!$D$20*0.65)/(1+0.1875)^'DCF Model'!$B$15</f>
        <v>0</v>
      </c>
      <c r="D8" s="5">
        <f>NPV(0.1875,'DCF Model'!$B$21:$D$21)+('DCF Model'!$D$20*0.75)/(1+0.1875)^'DCF Model'!$B$15</f>
        <v>0</v>
      </c>
      <c r="E8" s="5">
        <f>NPV(0.1875,'DCF Model'!$B$21:$D$21)+('DCF Model'!$D$20*0.85)/(1+0.1875)^'DCF Model'!$B$15</f>
        <v>0</v>
      </c>
      <c r="F8" s="5">
        <f>NPV(0.1875,'DCF Model'!$B$21:$D$21)+('DCF Model'!$D$20*0.95)/(1+0.1875)^'DCF Model'!$B$15</f>
        <v>0</v>
      </c>
    </row>
    <row r="9" spans="1:6">
      <c r="A9" s="13">
        <v>0.2075</v>
      </c>
      <c r="B9" s="5">
        <f>NPV(0.2075,'DCF Model'!$B$21:$D$21)+('DCF Model'!$D$20*0.55)/(1+0.2075)^'DCF Model'!$B$15</f>
        <v>0</v>
      </c>
      <c r="C9" s="5">
        <f>NPV(0.2075,'DCF Model'!$B$21:$D$21)+('DCF Model'!$D$20*0.65)/(1+0.2075)^'DCF Model'!$B$15</f>
        <v>0</v>
      </c>
      <c r="D9" s="5">
        <f>NPV(0.2075,'DCF Model'!$B$21:$D$21)+('DCF Model'!$D$20*0.75)/(1+0.2075)^'DCF Model'!$B$15</f>
        <v>0</v>
      </c>
      <c r="E9" s="5">
        <f>NPV(0.2075,'DCF Model'!$B$21:$D$21)+('DCF Model'!$D$20*0.85)/(1+0.2075)^'DCF Model'!$B$15</f>
        <v>0</v>
      </c>
      <c r="F9" s="5">
        <f>NPV(0.2075,'DCF Model'!$B$21:$D$21)+('DCF Model'!$D$20*0.95)/(1+0.2075)^'DCF Model'!$B$15</f>
        <v>0</v>
      </c>
    </row>
    <row r="10" spans="1:6">
      <c r="A10" s="13">
        <v>0.2275</v>
      </c>
      <c r="B10" s="5">
        <f>NPV(0.2275,'DCF Model'!$B$21:$D$21)+('DCF Model'!$D$20*0.55)/(1+0.2275)^'DCF Model'!$B$15</f>
        <v>0</v>
      </c>
      <c r="C10" s="5">
        <f>NPV(0.2275,'DCF Model'!$B$21:$D$21)+('DCF Model'!$D$20*0.65)/(1+0.2275)^'DCF Model'!$B$15</f>
        <v>0</v>
      </c>
      <c r="D10" s="5">
        <f>NPV(0.2275,'DCF Model'!$B$21:$D$21)+('DCF Model'!$D$20*0.75)/(1+0.2275)^'DCF Model'!$B$15</f>
        <v>0</v>
      </c>
      <c r="E10" s="5">
        <f>NPV(0.2275,'DCF Model'!$B$21:$D$21)+('DCF Model'!$D$20*0.85)/(1+0.2275)^'DCF Model'!$B$15</f>
        <v>0</v>
      </c>
      <c r="F10" s="5">
        <f>NPV(0.2275,'DCF Model'!$B$21:$D$21)+('DCF Model'!$D$20*0.95)/(1+0.2275)^'DCF Model'!$B$15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" width="45.7109375" customWidth="1"/>
    <col min="2" max="12" width="11.7109375" customWidth="1"/>
  </cols>
  <sheetData>
    <row r="1" spans="1:12">
      <c r="A1" s="1" t="s">
        <v>51</v>
      </c>
    </row>
    <row r="2" spans="1:12">
      <c r="A2" s="2" t="s">
        <v>52</v>
      </c>
    </row>
    <row r="4" spans="1:12">
      <c r="A4" s="7" t="s">
        <v>53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</row>
    <row r="5" spans="1:12">
      <c r="A5" t="s">
        <v>65</v>
      </c>
      <c r="B5" s="14">
        <v>117.425</v>
      </c>
      <c r="C5" s="14">
        <v>117.073</v>
      </c>
      <c r="D5" s="14">
        <v>114.339</v>
      </c>
      <c r="E5" s="14">
        <v>112.314</v>
      </c>
      <c r="F5" s="14">
        <v>91.795</v>
      </c>
      <c r="G5" s="14">
        <v>162.361</v>
      </c>
      <c r="H5" s="14">
        <v>159.554</v>
      </c>
      <c r="I5" s="14">
        <v>146.505</v>
      </c>
      <c r="J5" s="14">
        <v>141.208</v>
      </c>
      <c r="K5" s="14">
        <v>117.374</v>
      </c>
      <c r="L5" s="14">
        <v>111.31</v>
      </c>
    </row>
    <row r="6" spans="1:12">
      <c r="A6" t="s">
        <v>4</v>
      </c>
      <c r="B6" s="14">
        <v>161.920433</v>
      </c>
      <c r="C6" s="14">
        <v>161.920433</v>
      </c>
      <c r="D6" s="14">
        <v>161.920433</v>
      </c>
      <c r="E6" s="14">
        <v>161.920433</v>
      </c>
      <c r="F6" s="14">
        <v>161.920433</v>
      </c>
      <c r="G6" s="14">
        <v>362.717801</v>
      </c>
      <c r="H6" s="14">
        <v>362.717801</v>
      </c>
      <c r="I6" s="14">
        <v>362.717801</v>
      </c>
      <c r="J6" s="14">
        <v>362.717801</v>
      </c>
      <c r="K6" s="14">
        <v>362.717801</v>
      </c>
      <c r="L6" s="14">
        <v>362.717801</v>
      </c>
    </row>
    <row r="7" spans="1:12">
      <c r="A7" t="s">
        <v>66</v>
      </c>
      <c r="B7" s="5">
        <v>0.7252</v>
      </c>
      <c r="C7" s="5">
        <v>0.723</v>
      </c>
      <c r="D7" s="5">
        <v>0.7060999999999999</v>
      </c>
      <c r="E7" s="5">
        <v>0.6936</v>
      </c>
      <c r="F7" s="5">
        <v>0.5669</v>
      </c>
      <c r="G7" s="5">
        <v>0.4476</v>
      </c>
      <c r="H7" s="5">
        <v>0.4399</v>
      </c>
      <c r="I7" s="5">
        <v>0.4039</v>
      </c>
      <c r="J7" s="5">
        <v>0.3893</v>
      </c>
      <c r="K7" s="5">
        <v>0.3236</v>
      </c>
      <c r="L7" s="5">
        <v>0.3069</v>
      </c>
    </row>
    <row r="8" spans="1:12">
      <c r="A8" t="s">
        <v>67</v>
      </c>
      <c r="B8" s="14">
        <v>5.076</v>
      </c>
      <c r="C8" s="14">
        <v>3.073</v>
      </c>
      <c r="D8" s="14">
        <v>3.095</v>
      </c>
      <c r="E8" s="14">
        <v>3.803</v>
      </c>
      <c r="F8" s="14">
        <v>-14.688</v>
      </c>
      <c r="G8" s="14">
        <v>15.949</v>
      </c>
      <c r="H8" s="14">
        <v>2.931</v>
      </c>
      <c r="I8" s="14">
        <v>-13.049</v>
      </c>
      <c r="J8" s="14">
        <v>-5.297</v>
      </c>
      <c r="K8" s="14">
        <v>-5.696</v>
      </c>
      <c r="L8" s="14">
        <v>-3.164</v>
      </c>
    </row>
    <row r="9" spans="1:12">
      <c r="A9" s="9" t="s">
        <v>68</v>
      </c>
    </row>
    <row r="10" spans="1:12">
      <c r="A10" s="15" t="s">
        <v>69</v>
      </c>
    </row>
    <row r="11" spans="1:12">
      <c r="A11" s="15" t="s">
        <v>70</v>
      </c>
    </row>
    <row r="12" spans="1:12">
      <c r="A12" s="15" t="s">
        <v>71</v>
      </c>
    </row>
    <row r="13" spans="1:12">
      <c r="A13" s="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0.7109375" customWidth="1"/>
    <col min="2" max="4" width="15.7109375" customWidth="1"/>
  </cols>
  <sheetData>
    <row r="1" spans="1:4">
      <c r="A1" s="1" t="s">
        <v>73</v>
      </c>
    </row>
    <row r="3" spans="1:4">
      <c r="A3" s="7" t="s">
        <v>74</v>
      </c>
      <c r="B3" s="7" t="s">
        <v>75</v>
      </c>
      <c r="C3" s="7" t="s">
        <v>76</v>
      </c>
      <c r="D3" s="7" t="s">
        <v>77</v>
      </c>
    </row>
    <row r="4" spans="1:4">
      <c r="A4" t="s">
        <v>56</v>
      </c>
      <c r="B4" s="5">
        <v>0.58</v>
      </c>
      <c r="C4" s="5">
        <v>0.7060999999999999</v>
      </c>
      <c r="D4" s="11">
        <f>B4/C4-1</f>
        <v>0</v>
      </c>
    </row>
    <row r="5" spans="1:4">
      <c r="A5" t="s">
        <v>57</v>
      </c>
      <c r="B5" s="5">
        <v>0.64</v>
      </c>
      <c r="C5" s="5">
        <v>0.6936</v>
      </c>
      <c r="D5" s="11">
        <f>B5/C5-1</f>
        <v>0</v>
      </c>
    </row>
    <row r="6" spans="1:4">
      <c r="A6" t="s">
        <v>58</v>
      </c>
      <c r="B6" s="5">
        <v>0.415</v>
      </c>
      <c r="C6" s="5">
        <v>0.5669</v>
      </c>
      <c r="D6" s="11">
        <f>B6/C6-1</f>
        <v>0</v>
      </c>
    </row>
    <row r="7" spans="1:4">
      <c r="A7" t="s">
        <v>59</v>
      </c>
      <c r="B7" s="5">
        <v>0.325</v>
      </c>
      <c r="C7" s="5">
        <v>0.4476</v>
      </c>
      <c r="D7" s="11">
        <f>B7/C7-1</f>
        <v>0</v>
      </c>
    </row>
    <row r="8" spans="1:4">
      <c r="A8" t="s">
        <v>60</v>
      </c>
      <c r="B8" s="5">
        <v>0.265</v>
      </c>
      <c r="C8" s="5">
        <v>0.4399</v>
      </c>
      <c r="D8" s="11">
        <f>B8/C8-1</f>
        <v>0</v>
      </c>
    </row>
    <row r="9" spans="1:4">
      <c r="A9" t="s">
        <v>61</v>
      </c>
      <c r="B9" s="5">
        <v>0.265</v>
      </c>
      <c r="C9" s="5">
        <v>0.4039</v>
      </c>
      <c r="D9" s="11">
        <f>B9/C9-1</f>
        <v>0</v>
      </c>
    </row>
    <row r="10" spans="1:4">
      <c r="A10" t="s">
        <v>62</v>
      </c>
      <c r="B10" s="5">
        <v>0.21</v>
      </c>
      <c r="C10" s="5">
        <v>0.3893</v>
      </c>
      <c r="D10" s="11">
        <f>B10/C10-1</f>
        <v>0</v>
      </c>
    </row>
    <row r="11" spans="1:4">
      <c r="A11" t="s">
        <v>63</v>
      </c>
      <c r="B11" s="5">
        <v>0.215</v>
      </c>
      <c r="C11" s="5">
        <v>0.3236</v>
      </c>
      <c r="D11" s="11">
        <f>B11/C11-1</f>
        <v>0</v>
      </c>
    </row>
    <row r="12" spans="1:4">
      <c r="A12" t="s">
        <v>64</v>
      </c>
      <c r="B12" s="5">
        <v>0.163</v>
      </c>
      <c r="C12" s="5">
        <v>0.3069</v>
      </c>
      <c r="D12" s="11">
        <f>B12/C12-1</f>
        <v>0</v>
      </c>
    </row>
    <row r="14" spans="1:4">
      <c r="A14" s="9" t="s">
        <v>78</v>
      </c>
      <c r="B14" s="11">
        <v>-0.077</v>
      </c>
    </row>
    <row r="15" spans="1:4">
      <c r="A15" s="9" t="s">
        <v>79</v>
      </c>
      <c r="B15" s="11">
        <v>-0.469</v>
      </c>
    </row>
    <row r="16" spans="1:4">
      <c r="A16" s="9" t="s">
        <v>80</v>
      </c>
      <c r="B16" s="11">
        <v>-0.462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81</v>
      </c>
    </row>
    <row r="3" spans="1:2">
      <c r="A3" s="9" t="s">
        <v>82</v>
      </c>
      <c r="B3" s="15" t="s">
        <v>83</v>
      </c>
    </row>
    <row r="4" spans="1:2">
      <c r="A4" s="9" t="s">
        <v>84</v>
      </c>
      <c r="B4" s="15" t="s">
        <v>85</v>
      </c>
    </row>
    <row r="5" spans="1:2">
      <c r="A5" s="9" t="s">
        <v>86</v>
      </c>
      <c r="B5" s="15" t="s">
        <v>87</v>
      </c>
    </row>
    <row r="6" spans="1:2">
      <c r="A6" s="9" t="s">
        <v>88</v>
      </c>
      <c r="B6" s="15" t="s">
        <v>89</v>
      </c>
    </row>
    <row r="7" spans="1:2">
      <c r="A7" s="9" t="s">
        <v>90</v>
      </c>
      <c r="B7" s="15" t="s">
        <v>91</v>
      </c>
    </row>
    <row r="8" spans="1:2">
      <c r="A8" s="9" t="s">
        <v>92</v>
      </c>
      <c r="B8" s="15" t="s">
        <v>93</v>
      </c>
    </row>
    <row r="9" spans="1:2">
      <c r="A9" s="9" t="s">
        <v>94</v>
      </c>
      <c r="B9" s="15" t="s">
        <v>95</v>
      </c>
    </row>
    <row r="10" spans="1:2">
      <c r="A10" s="9" t="s">
        <v>96</v>
      </c>
      <c r="B10" s="15" t="s">
        <v>97</v>
      </c>
    </row>
    <row r="11" spans="1:2">
      <c r="A11" s="9" t="s">
        <v>98</v>
      </c>
      <c r="B11" s="15" t="s">
        <v>99</v>
      </c>
    </row>
    <row r="12" spans="1:2">
      <c r="A12" s="9" t="s">
        <v>100</v>
      </c>
      <c r="B12" s="15" t="s">
        <v>101</v>
      </c>
    </row>
    <row r="13" spans="1:2">
      <c r="A13" s="9" t="s">
        <v>102</v>
      </c>
      <c r="B13" s="15" t="s">
        <v>103</v>
      </c>
    </row>
    <row r="14" spans="1:2">
      <c r="A14" s="9" t="s">
        <v>104</v>
      </c>
      <c r="B14" s="15" t="s">
        <v>105</v>
      </c>
    </row>
    <row r="15" spans="1:2">
      <c r="A15" s="9" t="s">
        <v>106</v>
      </c>
      <c r="B15" s="15" t="s">
        <v>107</v>
      </c>
    </row>
    <row r="16" spans="1:2">
      <c r="A16" s="9" t="s">
        <v>108</v>
      </c>
      <c r="B16" s="1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2026-08-09T04:03:53Z</dcterms:created>
  <dcterms:modified xsi:type="dcterms:W3CDTF">2026-08-09T04:03:53Z</dcterms:modified>
</cp:coreProperties>
</file>