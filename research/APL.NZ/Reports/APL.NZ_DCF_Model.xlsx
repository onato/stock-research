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Sensitiv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0.0000"/>
    <numFmt numFmtId="165" formatCode="0.0%"/>
    <numFmt numFmtId="166" formatCode="0.00x"/>
    <numFmt numFmtId="167" formatCode="#,##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3" borderId="0" pivotButton="0" quotePrefix="0" xfId="0"/>
    <xf numFmtId="167" fontId="0" fillId="3" borderId="0" pivotButton="0" quotePrefix="0" xfId="0"/>
    <xf numFmtId="2" fontId="0" fillId="3" borderId="0" pivotButton="0" quotePrefix="0" xfId="0"/>
    <xf numFmtId="167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Asset Plus Limited (APL.NZ) — NAV / Wind-Down Valuation Model</t>
        </is>
      </c>
    </row>
    <row r="2">
      <c r="A2" t="inlineStr">
        <is>
          <t>Valuation date: 2026-08-08   |   Current price: NZ$0.165   |   All $ figures in NZD thousands unless noted</t>
        </is>
      </c>
    </row>
    <row r="4">
      <c r="A4" s="2" t="inlineStr">
        <is>
          <t>Model type: NAV / wind-down scenario valuation (NOT a growth-FCF DCF)</t>
        </is>
      </c>
    </row>
    <row r="5" ht="120" customHeight="1">
      <c r="A5" s="3" t="inlineStr">
        <is>
          <t>Asset Plus is an externally managed (Centuria), debt-free (0% LVR) single-asset vehicle whose entire portfolio is the 6-8 Munroe Lane office building in Albany, Auckland (independently valued at $105.5m, 75.6% occupied, at Mar-2026). Management's explicit, board-articulated strategy is: complete lease-up, sell the building, and put an orderly wind-up to a shareholder vote. There is no acquisition pipeline, no reinvestment of proceeds, and no terminal growth in a going-concern sense. Revenue and shareholders' equity have both compounded NEGATIVELY over 3-5 years (revenue 5yr CAGR -14.0%, equity 5yr CAGR -7.3%, NTA/share -11.2% over the last 2 years alone) as the company has shed assets (Graham Street sold Nov-2024) and absorbed valuation write-downs. A perpetuity-growth Gordon terminal value would capitalize a shrinking, terminating cash flow stream in perpetuity - a definitional error. Instead this model discounts (a) interim distributable cash flow (AFFO-style, net of leasing incentives) paid as dividends during the remaining lease-up period, and (b) a single terminal distribution equal to net sale proceeds of Munroe Lane plus residual cash, less transaction and wind-up costs, at the point of liquidation.</t>
        </is>
      </c>
    </row>
    <row r="7">
      <c r="A7" s="4" t="inlineStr">
        <is>
          <t>Scenario</t>
        </is>
      </c>
      <c r="B7" s="4" t="inlineStr">
        <is>
          <t>Intrinsic Value ($/sh)</t>
        </is>
      </c>
      <c r="C7" s="4" t="inlineStr">
        <is>
          <t>Upside vs current</t>
        </is>
      </c>
      <c r="D7" s="4" t="inlineStr">
        <is>
          <t>Cost of Equity</t>
        </is>
      </c>
      <c r="E7" s="4" t="inlineStr">
        <is>
          <t>Horizon (yrs)</t>
        </is>
      </c>
      <c r="F7" s="4" t="inlineStr">
        <is>
          <t>Sale % of book</t>
        </is>
      </c>
      <c r="G7" s="4" t="inlineStr">
        <is>
          <t>Implied P/NTA</t>
        </is>
      </c>
    </row>
    <row r="8">
      <c r="A8" s="2" t="inlineStr">
        <is>
          <t>Bull</t>
        </is>
      </c>
      <c r="B8" s="5" t="n">
        <v>0.2438</v>
      </c>
      <c r="C8" s="6" t="n">
        <v>0.478</v>
      </c>
      <c r="D8" s="6" t="n">
        <v>0.1593</v>
      </c>
      <c r="E8" t="n">
        <v>2</v>
      </c>
      <c r="F8" s="6" t="n">
        <v>1.03</v>
      </c>
      <c r="G8" s="7" t="n">
        <v>0.794</v>
      </c>
    </row>
    <row r="9">
      <c r="A9" s="2" t="inlineStr">
        <is>
          <t>Base</t>
        </is>
      </c>
      <c r="B9" s="5" t="n">
        <v>0.1901</v>
      </c>
      <c r="C9" s="6" t="n">
        <v>0.152</v>
      </c>
      <c r="D9" s="6" t="n">
        <v>0.1743</v>
      </c>
      <c r="E9" t="n">
        <v>3</v>
      </c>
      <c r="F9" s="6" t="n">
        <v>0.95</v>
      </c>
      <c r="G9" s="7" t="n">
        <v>0.619</v>
      </c>
    </row>
    <row r="10">
      <c r="A10" s="2" t="inlineStr">
        <is>
          <t>Bear</t>
        </is>
      </c>
      <c r="B10" s="5" t="n">
        <v>0.0985</v>
      </c>
      <c r="C10" s="6" t="n">
        <v>-0.403</v>
      </c>
      <c r="D10" s="6" t="n">
        <v>0.1943</v>
      </c>
      <c r="E10" t="n">
        <v>5</v>
      </c>
      <c r="F10" s="6" t="n">
        <v>0.78</v>
      </c>
      <c r="G10" s="7" t="n">
        <v>0.321</v>
      </c>
    </row>
    <row r="12">
      <c r="A12" s="2" t="inlineStr">
        <is>
          <t>Probability-weighted IV</t>
        </is>
      </c>
      <c r="B12" s="5" t="n">
        <v>0.1733</v>
      </c>
      <c r="C12" t="inlineStr">
        <is>
          <t>Weights: bull 20% / base 50% / bear 30%</t>
        </is>
      </c>
    </row>
    <row r="13" ht="60" customHeight="1">
      <c r="A13" s="2" t="inlineStr">
        <is>
          <t>Entry price (15% IRR hurdle)</t>
        </is>
      </c>
      <c r="B13" s="5" t="n">
        <v>0.2029</v>
      </c>
      <c r="C13" s="8" t="inlineStr">
        <is>
          <t>Entry price is calculated on the BASE-case cash flow path (interim AFFO + terminal distribution) discounted at the 15% hurdle rate rather than the base-case cost of equity (17.43%). Because CoE (17.43%) exceeds the 15% hurdle, entry price is HIGHER than the CoE-discounted intrinsic value here - an investor targeting only a 15% return can justify paying more than the risk-adjusted fair value. This is the correct and expected mathematical relationship, not an anomaly (see valuation_philosophy).</t>
        </is>
      </c>
    </row>
    <row r="15">
      <c r="A15" s="2" t="inlineStr">
        <is>
          <t>Sanity check</t>
        </is>
      </c>
      <c r="B15" t="inlineStr">
        <is>
          <t>PASSED</t>
        </is>
      </c>
    </row>
    <row r="16">
      <c r="A16" t="inlineStr">
        <is>
          <t>Implied P/B (base)</t>
        </is>
      </c>
      <c r="B16" s="7" t="n">
        <v>0.619</v>
      </c>
      <c r="C16" t="inlineStr">
        <is>
          <t>10yr historical P/B: avg 0.69x, range 0.57x–0.86x</t>
        </is>
      </c>
    </row>
  </sheetData>
  <mergeCells count="2">
    <mergeCell ref="C13:H13"/>
    <mergeCell ref="A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2" max="2"/>
  </cols>
  <sheetData>
    <row r="1">
      <c r="A1" s="1" t="inlineStr">
        <is>
          <t>Key Inputs</t>
        </is>
      </c>
    </row>
    <row r="3">
      <c r="A3" t="inlineStr">
        <is>
          <t>shares_outstanding</t>
        </is>
      </c>
      <c r="B3" t="n">
        <v>362717.801</v>
      </c>
    </row>
    <row r="4">
      <c r="A4" t="inlineStr">
        <is>
          <t>net_debt</t>
        </is>
      </c>
      <c r="B4" t="n">
        <v>-6926</v>
      </c>
    </row>
    <row r="5">
      <c r="A5" t="inlineStr">
        <is>
          <t>cash</t>
        </is>
      </c>
      <c r="B5" t="n">
        <v>6926</v>
      </c>
    </row>
    <row r="6">
      <c r="A6" t="inlineStr">
        <is>
          <t>total_debt</t>
        </is>
      </c>
      <c r="B6" t="n">
        <v>0</v>
      </c>
    </row>
    <row r="7">
      <c r="A7" t="inlineStr">
        <is>
          <t>investment_property_book_value</t>
        </is>
      </c>
      <c r="B7" t="n">
        <v>105500</v>
      </c>
    </row>
    <row r="8">
      <c r="A8" t="inlineStr">
        <is>
          <t>nta_per_share</t>
        </is>
      </c>
      <c r="B8" t="n">
        <v>0.307</v>
      </c>
    </row>
    <row r="9">
      <c r="A9" t="inlineStr">
        <is>
          <t>last_fcf</t>
        </is>
      </c>
    </row>
    <row r="10">
      <c r="A10" t="inlineStr">
        <is>
          <t>reported_fcf</t>
        </is>
      </c>
      <c r="B10" t="n">
        <v>-808</v>
      </c>
    </row>
    <row r="11">
      <c r="A11" t="inlineStr">
        <is>
          <t>affo_fy2026</t>
        </is>
      </c>
      <c r="B11" t="n">
        <v>169</v>
      </c>
    </row>
    <row r="12">
      <c r="A12" t="inlineStr">
        <is>
          <t>affo_per_share_fy2026_cps</t>
        </is>
      </c>
      <c r="B12" t="n">
        <v>0.05</v>
      </c>
    </row>
    <row r="13">
      <c r="A13" t="inlineStr">
        <is>
          <t>affo_fy2025</t>
        </is>
      </c>
      <c r="B13" t="n">
        <v>526</v>
      </c>
    </row>
    <row r="14">
      <c r="A14" t="inlineStr">
        <is>
          <t>affo_per_share_fy2025_cps</t>
        </is>
      </c>
      <c r="B14" t="n">
        <v>0.15</v>
      </c>
    </row>
    <row r="15">
      <c r="A15" t="inlineStr">
        <is>
          <t>sbc</t>
        </is>
      </c>
      <c r="B15" t="n">
        <v>0</v>
      </c>
    </row>
    <row r="16">
      <c r="A16" t="inlineStr">
        <is>
          <t>sbc_incl_equity_taxes</t>
        </is>
      </c>
      <c r="B16" t="n">
        <v>0</v>
      </c>
    </row>
    <row r="17">
      <c r="A17" t="inlineStr">
        <is>
          <t>sbc_pct_of_revenue</t>
        </is>
      </c>
      <c r="B17" t="n">
        <v>0</v>
      </c>
    </row>
    <row r="18">
      <c r="A18" t="inlineStr">
        <is>
          <t>interest_income</t>
        </is>
      </c>
    </row>
    <row r="19">
      <c r="A19" t="inlineStr">
        <is>
          <t>sbc_source</t>
        </is>
      </c>
      <c r="B19" t="inlineStr">
        <is>
          <t>not applicable - externally managed, no employees, zero SBC across full history</t>
        </is>
      </c>
    </row>
    <row r="20">
      <c r="A20" t="inlineStr">
        <is>
          <t>buyback_cash</t>
        </is>
      </c>
      <c r="B20" t="n">
        <v>0</v>
      </c>
    </row>
    <row r="21">
      <c r="A21" t="inlineStr">
        <is>
          <t>uncovered_dilution</t>
        </is>
      </c>
      <c r="B21" t="n">
        <v>0</v>
      </c>
    </row>
    <row r="22">
      <c r="A22" t="inlineStr">
        <is>
          <t>annual_share_growth_pct</t>
        </is>
      </c>
      <c r="B22" t="n">
        <v>0</v>
      </c>
    </row>
    <row r="23">
      <c r="A23" t="inlineStr">
        <is>
          <t>projected_shares</t>
        </is>
      </c>
      <c r="B23" t="inlineStr">
        <is>
          <t>362717.801, 362717.801, 362717.801</t>
        </is>
      </c>
    </row>
    <row r="24">
      <c r="A24" t="inlineStr">
        <is>
          <t>current_occupancy_pct</t>
        </is>
      </c>
      <c r="B24" t="n">
        <v>75.59999999999999</v>
      </c>
    </row>
    <row r="25">
      <c r="A25" t="inlineStr">
        <is>
          <t>passing_net_rent_m</t>
        </is>
      </c>
      <c r="B25" t="n">
        <v>5.2</v>
      </c>
    </row>
    <row r="26">
      <c r="A26" t="inlineStr">
        <is>
          <t>fully_leased_passing_rent_m_low</t>
        </is>
      </c>
      <c r="B26" t="n">
        <v>7.1</v>
      </c>
    </row>
    <row r="27">
      <c r="A27" t="inlineStr">
        <is>
          <t>fully_leased_passing_rent_m_high</t>
        </is>
      </c>
      <c r="B27" t="n">
        <v>7.2</v>
      </c>
    </row>
    <row r="28">
      <c r="A28" t="inlineStr">
        <is>
          <t>current_quarterly_dividend_cps</t>
        </is>
      </c>
      <c r="B28" t="n">
        <v>0.2</v>
      </c>
    </row>
    <row r="29">
      <c r="A29" t="inlineStr">
        <is>
          <t>annualized_dividend_run_rate_cps</t>
        </is>
      </c>
      <c r="B29" t="n">
        <v>0.8</v>
      </c>
    </row>
    <row r="30">
      <c r="A30" t="inlineStr">
        <is>
          <t>currency</t>
        </is>
      </c>
      <c r="B30" t="inlineStr">
        <is>
          <t>NZD</t>
        </is>
      </c>
    </row>
    <row r="31">
      <c r="A31" t="inlineStr">
        <is>
          <t>units</t>
        </is>
      </c>
      <c r="B31" t="inlineStr">
        <is>
          <t>thousands (except shares_outstanding in thousands, nta_per_share and current_price in dollars/share)</t>
        </is>
      </c>
    </row>
    <row r="33">
      <c r="A33" s="2" t="inlineStr">
        <is>
          <t>Cost of equity build</t>
        </is>
      </c>
    </row>
    <row r="34">
      <c r="A34" t="inlineStr">
        <is>
          <t>risk_free_rate_pct</t>
        </is>
      </c>
      <c r="B34" t="n">
        <v>4.75</v>
      </c>
    </row>
    <row r="35">
      <c r="A35" t="inlineStr">
        <is>
          <t>equity_risk_premium_pct</t>
        </is>
      </c>
      <c r="B35" t="n">
        <v>5.5</v>
      </c>
    </row>
    <row r="36">
      <c r="A36" t="inlineStr">
        <is>
          <t>beta</t>
        </is>
      </c>
      <c r="B36" t="n">
        <v>0.85</v>
      </c>
    </row>
    <row r="37">
      <c r="A37" t="inlineStr">
        <is>
          <t>capm_base_pct</t>
        </is>
      </c>
      <c r="B37" t="n">
        <v>9.43</v>
      </c>
    </row>
    <row r="38">
      <c r="A38" t="inlineStr">
        <is>
          <t>cost_of_equity_base_pct</t>
        </is>
      </c>
      <c r="B38" t="n">
        <v>17.43</v>
      </c>
    </row>
    <row r="39">
      <c r="A39" t="inlineStr">
        <is>
          <t>cost_of_equity_bull_pct</t>
        </is>
      </c>
      <c r="B39" t="n">
        <v>15.93</v>
      </c>
    </row>
    <row r="40">
      <c r="A40" t="inlineStr">
        <is>
          <t>cost_of_equity_bear_pct</t>
        </is>
      </c>
      <c r="B40" t="n">
        <v>19.43</v>
      </c>
    </row>
    <row r="41">
      <c r="A41" t="inlineStr">
        <is>
          <t>premium: small_cap_illiquidity_pct</t>
        </is>
      </c>
      <c r="B41" t="n">
        <v>3</v>
      </c>
    </row>
    <row r="42">
      <c r="A42" t="inlineStr">
        <is>
          <t>premium: single_asset_concentration_pct</t>
        </is>
      </c>
      <c r="B42" t="n">
        <v>2.5</v>
      </c>
    </row>
    <row r="43">
      <c r="A43" t="inlineStr">
        <is>
          <t>premium: external_manager_conflict_pct</t>
        </is>
      </c>
      <c r="B43" t="n">
        <v>1</v>
      </c>
    </row>
    <row r="44">
      <c r="A44" t="inlineStr">
        <is>
          <t>premium: albany_office_market_risk_pct</t>
        </is>
      </c>
      <c r="B44" t="n">
        <v>1.5</v>
      </c>
    </row>
    <row r="45" ht="110" customHeight="1">
      <c r="A45" t="inlineStr">
        <is>
          <t>rationale</t>
        </is>
      </c>
      <c r="B45" s="8" t="inlineStr">
        <is>
          <t>APL carries zero debt (0% LVR), so cost of equity = discount rate; no WACC blend is needed. CAPM base uses NZ 10yr govt bond yield (~4.75%) and NZ equity market ERP (~5.5%) with a below-1.0 beta (0.85) reflecting the low-leverage balance sheet, offset by four company-specific premiums: (1) small-cap illiquidity - APL trades a thin NZX micro-cap free float; (2) single-asset concentration - 100% of the portfolio is one Auckland office building with no diversification; (3) external-manager conflict - Centuria is both manager (fee-earner) and ~20% shareholder, with a board nominee no longer classified as independent from Oct-2025; (4) Albany office market risk - the North Shore office submarket vacancy rose from 9.5% to 11.7% over H2 2025, a structurally soft leasing market. Bull case reduces the discount rate 1.5pp (faster resolution, less uncertainty); bear case adds 2.0pp (prolonged wind-up, deeper distress).</t>
        </is>
      </c>
    </row>
  </sheetData>
  <mergeCells count="1">
    <mergeCell ref="B45:F4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Scenario Cash Flows &amp; PV (editable — yellow cells are assumptions)</t>
        </is>
      </c>
    </row>
    <row r="3" ht="55" customHeight="1">
      <c r="A3" s="2" t="inlineStr">
        <is>
          <t>BASE</t>
        </is>
      </c>
      <c r="B3" s="8" t="inlineStr">
        <is>
          <t>Munroe Lane completes lease-up over ~2-3 years as MILK Orthodontics commences and remaining Levels 1/2 fill gradually; property sells at 95% of the Mar-2026 independent valuation ($105.5m) reflecting continued but not severe Albany office softness plus normal transaction friction; wind-up completes within ~3 years of this valuation date (by ~FY2029).</t>
        </is>
      </c>
    </row>
    <row r="4">
      <c r="A4" t="inlineStr">
        <is>
          <t>Cost of equity</t>
        </is>
      </c>
      <c r="B4" s="9" t="n">
        <v>0.1743</v>
      </c>
    </row>
    <row r="5">
      <c r="A5" t="inlineStr">
        <is>
          <t>Sale % of Mar-2026 book ($105.5m)</t>
        </is>
      </c>
      <c r="B5" s="9" t="n">
        <v>0.95</v>
      </c>
    </row>
    <row r="6">
      <c r="A6" t="inlineStr">
        <is>
          <t>Txn cost % of sale</t>
        </is>
      </c>
      <c r="B6" s="9" t="n">
        <v>0.015</v>
      </c>
    </row>
    <row r="7">
      <c r="A7" t="inlineStr">
        <is>
          <t>Wind-up fixed costs ($k)</t>
        </is>
      </c>
      <c r="B7" s="10" t="n">
        <v>400</v>
      </c>
    </row>
    <row r="8">
      <c r="A8" s="2" t="inlineStr">
        <is>
          <t>Year</t>
        </is>
      </c>
      <c r="B8" s="2" t="n">
        <v>1</v>
      </c>
      <c r="C8" s="2" t="n">
        <v>2</v>
      </c>
      <c r="D8" s="2" t="n">
        <v>3</v>
      </c>
    </row>
    <row r="9">
      <c r="A9" t="inlineStr">
        <is>
          <t>Interim AFFO ($m)</t>
        </is>
      </c>
      <c r="B9" s="11" t="n">
        <v>0.6</v>
      </c>
      <c r="C9" s="11" t="n">
        <v>2</v>
      </c>
      <c r="D9" s="11" t="n">
        <v>3.2</v>
      </c>
    </row>
    <row r="10">
      <c r="A10" t="inlineStr">
        <is>
          <t>PV of AFFO ($k)</t>
        </is>
      </c>
      <c r="B10" s="12">
        <f>B9*1000/(1+$B$4)^B8</f>
        <v/>
      </c>
      <c r="C10" s="12">
        <f>C9*1000/(1+$B$4)^C8</f>
        <v/>
      </c>
      <c r="D10" s="12">
        <f>D9*1000/(1+$B$4)^D8</f>
        <v/>
      </c>
    </row>
    <row r="11">
      <c r="A11" t="inlineStr">
        <is>
          <t>Terminal distribution ($k, yr 3)</t>
        </is>
      </c>
      <c r="B11" s="12">
        <f>105500*B5*(1-B6)-B7+6926</f>
        <v/>
      </c>
    </row>
    <row r="12">
      <c r="A12" t="inlineStr">
        <is>
          <t>PV terminal ($k)</t>
        </is>
      </c>
      <c r="B12" s="12">
        <f>B11/(1+$B$4)^3</f>
        <v/>
      </c>
    </row>
    <row r="13">
      <c r="A13" t="inlineStr">
        <is>
          <t>Total PV ($k)</t>
        </is>
      </c>
      <c r="B13" s="12">
        <f>SUM(B10:D10)+B12</f>
        <v/>
      </c>
    </row>
    <row r="14">
      <c r="A14" s="2" t="inlineStr">
        <is>
          <t>Intrinsic value ($/share)</t>
        </is>
      </c>
      <c r="B14" s="13">
        <f>B13/362717.801</f>
        <v/>
      </c>
    </row>
    <row r="16" ht="55" customHeight="1">
      <c r="A16" s="2" t="inlineStr">
        <is>
          <t>BULL</t>
        </is>
      </c>
      <c r="B16" s="8" t="inlineStr">
        <is>
          <t>Albany office vacancy recovers faster than expected; Munroe Lane reaches close to full occupancy within ~18-24 months on the back of MILK Orthodontics plus 1-2 further large leases; property sells at a premium to the independent valuation (103% of book) reflecting a fully-let, well-specified (5 Star Green Star) asset; wind-up completes within 2 years.</t>
        </is>
      </c>
    </row>
    <row r="17">
      <c r="A17" t="inlineStr">
        <is>
          <t>Cost of equity</t>
        </is>
      </c>
      <c r="B17" s="9" t="n">
        <v>0.1593</v>
      </c>
    </row>
    <row r="18">
      <c r="A18" t="inlineStr">
        <is>
          <t>Sale % of Mar-2026 book ($105.5m)</t>
        </is>
      </c>
      <c r="B18" s="9" t="n">
        <v>1.03</v>
      </c>
    </row>
    <row r="19">
      <c r="A19" t="inlineStr">
        <is>
          <t>Txn cost % of sale</t>
        </is>
      </c>
      <c r="B19" s="9" t="n">
        <v>0.015</v>
      </c>
    </row>
    <row r="20">
      <c r="A20" t="inlineStr">
        <is>
          <t>Wind-up fixed costs ($k)</t>
        </is>
      </c>
      <c r="B20" s="10" t="n">
        <v>350</v>
      </c>
    </row>
    <row r="21">
      <c r="A21" s="2" t="inlineStr">
        <is>
          <t>Year</t>
        </is>
      </c>
      <c r="B21" s="2" t="n">
        <v>1</v>
      </c>
      <c r="C21" s="2" t="n">
        <v>2</v>
      </c>
    </row>
    <row r="22">
      <c r="A22" t="inlineStr">
        <is>
          <t>Interim AFFO ($m)</t>
        </is>
      </c>
      <c r="B22" s="11" t="n">
        <v>1.5</v>
      </c>
      <c r="C22" s="11" t="n">
        <v>3.5</v>
      </c>
    </row>
    <row r="23">
      <c r="A23" t="inlineStr">
        <is>
          <t>PV of AFFO ($k)</t>
        </is>
      </c>
      <c r="B23" s="12">
        <f>B22*1000/(1+$B$17)^B21</f>
        <v/>
      </c>
      <c r="C23" s="12">
        <f>C22*1000/(1+$B$17)^C21</f>
        <v/>
      </c>
    </row>
    <row r="24">
      <c r="A24" t="inlineStr">
        <is>
          <t>Terminal distribution ($k, yr 2)</t>
        </is>
      </c>
      <c r="B24" s="12">
        <f>105500*B18*(1-B19)-B20+6926</f>
        <v/>
      </c>
    </row>
    <row r="25">
      <c r="A25" t="inlineStr">
        <is>
          <t>PV terminal ($k)</t>
        </is>
      </c>
      <c r="B25" s="12">
        <f>B24/(1+$B$17)^2</f>
        <v/>
      </c>
    </row>
    <row r="26">
      <c r="A26" t="inlineStr">
        <is>
          <t>Total PV ($k)</t>
        </is>
      </c>
      <c r="B26" s="12">
        <f>SUM(B23:C23)+B25</f>
        <v/>
      </c>
    </row>
    <row r="27">
      <c r="A27" s="2" t="inlineStr">
        <is>
          <t>Intrinsic value ($/share)</t>
        </is>
      </c>
      <c r="B27" s="13">
        <f>B26/362717.801</f>
        <v/>
      </c>
    </row>
    <row r="29" ht="55" customHeight="1">
      <c r="A29" s="2" t="inlineStr">
        <is>
          <t>BEAR</t>
        </is>
      </c>
      <c r="B29" s="8" t="inlineStr">
        <is>
          <t>Albany/North Shore office market softness persists or worsens (vacancy keeps climbing beyond 11.7%); lease-up of the remaining ~3,552m2 stalls, requiring further incentives; dividends are suspended to preserve cash for leasing capex and corporate overhead; the property eventually sells at a material discount to book (22% below the Mar-2026 valuation) after a prolonged ~5-year process, with cash eroded by ongoing vacancy carry and admin costs in the interim.</t>
        </is>
      </c>
    </row>
    <row r="30">
      <c r="A30" t="inlineStr">
        <is>
          <t>Cost of equity</t>
        </is>
      </c>
      <c r="B30" s="9" t="n">
        <v>0.1943</v>
      </c>
    </row>
    <row r="31">
      <c r="A31" t="inlineStr">
        <is>
          <t>Sale % of Mar-2026 book ($105.5m)</t>
        </is>
      </c>
      <c r="B31" s="9" t="n">
        <v>0.78</v>
      </c>
    </row>
    <row r="32">
      <c r="A32" t="inlineStr">
        <is>
          <t>Txn cost % of sale</t>
        </is>
      </c>
      <c r="B32" s="9" t="n">
        <v>0.015</v>
      </c>
    </row>
    <row r="33">
      <c r="A33" t="inlineStr">
        <is>
          <t>Wind-up fixed costs ($k)</t>
        </is>
      </c>
      <c r="B33" s="10" t="n">
        <v>500</v>
      </c>
    </row>
    <row r="34">
      <c r="A34" s="2" t="inlineStr">
        <is>
          <t>Year</t>
        </is>
      </c>
      <c r="B34" s="2" t="n">
        <v>1</v>
      </c>
      <c r="C34" s="2" t="n">
        <v>2</v>
      </c>
      <c r="D34" s="2" t="n">
        <v>3</v>
      </c>
      <c r="E34" s="2" t="n">
        <v>4</v>
      </c>
      <c r="F34" s="2" t="n">
        <v>5</v>
      </c>
    </row>
    <row r="35">
      <c r="A35" t="inlineStr">
        <is>
          <t>Interim AFFO ($m)</t>
        </is>
      </c>
      <c r="B35" s="11" t="n">
        <v>-1</v>
      </c>
      <c r="C35" s="11" t="n">
        <v>-0.5</v>
      </c>
      <c r="D35" s="11" t="n">
        <v>0</v>
      </c>
      <c r="E35" s="11" t="n">
        <v>0.3</v>
      </c>
      <c r="F35" s="11" t="n">
        <v>0.5</v>
      </c>
    </row>
    <row r="36">
      <c r="A36" t="inlineStr">
        <is>
          <t>PV of AFFO ($k)</t>
        </is>
      </c>
      <c r="B36" s="12">
        <f>B35*1000/(1+$B$30)^B34</f>
        <v/>
      </c>
      <c r="C36" s="12">
        <f>C35*1000/(1+$B$30)^C34</f>
        <v/>
      </c>
      <c r="D36" s="12">
        <f>D35*1000/(1+$B$30)^D34</f>
        <v/>
      </c>
      <c r="E36" s="12">
        <f>E35*1000/(1+$B$30)^E34</f>
        <v/>
      </c>
      <c r="F36" s="12">
        <f>F35*1000/(1+$B$30)^F34</f>
        <v/>
      </c>
    </row>
    <row r="37">
      <c r="A37" t="inlineStr">
        <is>
          <t>Terminal distribution ($k, yr 5)</t>
        </is>
      </c>
      <c r="B37" s="12">
        <f>105500*B31*(1-B32)-B33+6926</f>
        <v/>
      </c>
    </row>
    <row r="38">
      <c r="A38" t="inlineStr">
        <is>
          <t>PV terminal ($k)</t>
        </is>
      </c>
      <c r="B38" s="12">
        <f>B37/(1+$B$30)^5</f>
        <v/>
      </c>
    </row>
    <row r="39">
      <c r="A39" t="inlineStr">
        <is>
          <t>Total PV ($k)</t>
        </is>
      </c>
      <c r="B39" s="12">
        <f>SUM(B36:F36)+B38</f>
        <v/>
      </c>
    </row>
    <row r="40">
      <c r="A40" s="2" t="inlineStr">
        <is>
          <t>Intrinsic value ($/share)</t>
        </is>
      </c>
      <c r="B40" s="13">
        <f>B39/362717.801</f>
        <v/>
      </c>
    </row>
  </sheetData>
  <mergeCells count="3">
    <mergeCell ref="B3:I3"/>
    <mergeCell ref="B16:I16"/>
    <mergeCell ref="B29:I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Sensitivity: Intrinsic Value ($/share)</t>
        </is>
      </c>
    </row>
    <row r="2" ht="30" customHeight="1">
      <c r="A2" s="8" t="inlineStr">
        <is>
          <t>Rows = Cost of Equity (%), Columns = Sale price as % of Mar-2026 independent valuation ($105.5m). Base case = CoE 17.4%, sale 95% of book, cell = $0.190.</t>
        </is>
      </c>
    </row>
    <row r="4">
      <c r="A4" s="2" t="inlineStr">
        <is>
          <t>CoE % \ Sale % of book</t>
        </is>
      </c>
      <c r="B4" s="14" t="n">
        <v>0.75</v>
      </c>
      <c r="C4" s="14" t="n">
        <v>0.85</v>
      </c>
      <c r="D4" s="14" t="n">
        <v>0.95</v>
      </c>
      <c r="E4" s="14" t="n">
        <v>1</v>
      </c>
      <c r="F4" s="14" t="n">
        <v>1.05</v>
      </c>
    </row>
    <row r="5">
      <c r="A5" s="15" t="n">
        <v>0.1425</v>
      </c>
      <c r="B5" s="5" t="n">
        <v>0.1677</v>
      </c>
      <c r="C5" s="5" t="n">
        <v>0.1869</v>
      </c>
      <c r="D5" s="5" t="n">
        <v>0.2062</v>
      </c>
      <c r="E5" s="5" t="n">
        <v>0.2158</v>
      </c>
      <c r="F5" s="5" t="n">
        <v>0.2254</v>
      </c>
    </row>
    <row r="6">
      <c r="A6" s="15" t="n">
        <v>0.1575</v>
      </c>
      <c r="B6" s="5" t="n">
        <v>0.1614</v>
      </c>
      <c r="C6" s="5" t="n">
        <v>0.1799</v>
      </c>
      <c r="D6" s="5" t="n">
        <v>0.1983</v>
      </c>
      <c r="E6" s="5" t="n">
        <v>0.2076</v>
      </c>
      <c r="F6" s="5" t="n">
        <v>0.2168</v>
      </c>
    </row>
    <row r="7">
      <c r="A7" s="15" t="n">
        <v>0.17425</v>
      </c>
      <c r="B7" s="5" t="n">
        <v>0.1547</v>
      </c>
      <c r="C7" s="5" t="n">
        <v>0.1724</v>
      </c>
      <c r="D7" s="5" t="n">
        <v>0.1901</v>
      </c>
      <c r="E7" s="5" t="n">
        <v>0.1989</v>
      </c>
      <c r="F7" s="5" t="n">
        <v>0.2078</v>
      </c>
    </row>
    <row r="8">
      <c r="A8" s="15" t="n">
        <v>0.19</v>
      </c>
      <c r="B8" s="5" t="n">
        <v>0.1487</v>
      </c>
      <c r="C8" s="5" t="n">
        <v>0.1657</v>
      </c>
      <c r="D8" s="5" t="n">
        <v>0.1827</v>
      </c>
      <c r="E8" s="5" t="n">
        <v>0.1912</v>
      </c>
      <c r="F8" s="5" t="n">
        <v>0.1997</v>
      </c>
    </row>
    <row r="9">
      <c r="A9" s="15" t="n">
        <v>0.2075</v>
      </c>
      <c r="B9" s="5" t="n">
        <v>0.1424</v>
      </c>
      <c r="C9" s="5" t="n">
        <v>0.1587</v>
      </c>
      <c r="D9" s="5" t="n">
        <v>0.175</v>
      </c>
      <c r="E9" s="5" t="n">
        <v>0.1831</v>
      </c>
      <c r="F9" s="5" t="n">
        <v>0.1912</v>
      </c>
    </row>
  </sheetData>
  <mergeCells count="1"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2026-08-08T10:22:58Z</dcterms:created>
  <dcterms:modified xmlns:dcterms="http://purl.org/dc/terms/" xmlns:xsi="http://www.w3.org/2001/XMLSchema-instance" xsi:type="dcterms:W3CDTF">2026-08-08T10:22:58Z</dcterms:modified>
</cp:coreProperties>
</file>