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Actual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ase" sheetId="6" state="visible" r:id="rId6"/>
    <sheet xmlns:r="http://schemas.openxmlformats.org/officeDocument/2006/relationships" name="DCF_Bull" sheetId="7" state="visible" r:id="rId7"/>
    <sheet xmlns:r="http://schemas.openxmlformats.org/officeDocument/2006/relationships" name="FCF_Quality" sheetId="8" state="visible" r:id="rId8"/>
    <sheet xmlns:r="http://schemas.openxmlformats.org/officeDocument/2006/relationships" name="Valu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40" customWidth="1" min="2" max="2"/>
  </cols>
  <sheetData>
    <row r="1">
      <c r="A1" s="1" t="inlineStr">
        <is>
          <t>VSL.NZ owner-FCF DCF model</t>
        </is>
      </c>
      <c r="B1" s="2" t="inlineStr"/>
    </row>
    <row r="2">
      <c r="A2" s="1" t="inlineStr">
        <is>
          <t>Version</t>
        </is>
      </c>
      <c r="B2" s="2" t="inlineStr">
        <is>
          <t>v2 2026-09-20. Supersedes v1 2026-09-20, which was built directly from the FY26 annual report before the financial parser populated the FY2025/FY2026 rows in core_metrics / VSL.NZ_Metrics.csv. v2 re-anchors on the DB; every FY0 anchor ties to v1 to the thousand, so driver paths are carried unchanged and the Reconciliation tab shows the NZ$0.6m net-bank-debt refinement as the only value change.</t>
        </is>
      </c>
    </row>
    <row r="3">
      <c r="A3" s="1" t="inlineStr">
        <is>
          <t>Built by</t>
        </is>
      </c>
      <c r="B3" s="2" t="inlineStr">
        <is>
          <t>dcf-analyst agent (Claude Fable 5.1) on 2026-09-20 at the research-stock orchestrator's request.</t>
        </is>
      </c>
    </row>
    <row r="4">
      <c r="A4" s="1" t="inlineStr">
        <is>
          <t>Data vintage</t>
        </is>
      </c>
      <c r="B4" s="2" t="inlineStr">
        <is>
          <t>Price NZ$6.35 NZX regular close 2026-09-18T04:59:55Z (Yahoo; latest close as at Sunday 20-Sep-2026). Balance sheet 30-Jun-2026 (core_metrics FY2026 from the FY26 annual report, NZX ann. 478454, 24-Aug-2026): bank loans 258.587 less cash 30.701 = net bank debt 227.9 (company KPI rounds to 227.3), lease liabilities 372.8, NCI book 9.3. Shares 146,529,960 at 30-Jun-2026 (post Oct-2025 raise). FY27 guidance: D&amp;A 67-70, interest 38-41, capex 30-35; no revenue/EBITDA guidance; trading update at Oct-2026 AGM.</t>
        </is>
      </c>
    </row>
    <row r="5">
      <c r="A5" s="1" t="inlineStr">
        <is>
          <t>Model</t>
        </is>
      </c>
      <c r="B5" s="2" t="inlineStr">
        <is>
          <t>Component owner-FCF DCF, 10-year explicit horizon FY2027-FY2036, Gordon/cap terminal value, end-of-year discounting, WACC 10.5% NZD in all scenarios.</t>
        </is>
      </c>
    </row>
    <row r="6">
      <c r="A6" s="1" t="inlineStr">
        <is>
          <t>Leases</t>
        </is>
      </c>
      <c r="B6" s="2" t="inlineStr">
        <is>
          <t>Treatment B: full lease cash (principal + interest, FY26 53.5 = 4.62% of revenue) charged in the flows as a % of revenue; lease liabilities EXCLUDED from the bridge; D&amp;A ex right-of-use for tax. Never add lease liabilities to net debt in this workbook.</t>
        </is>
      </c>
    </row>
    <row r="7">
      <c r="A7" s="1" t="inlineStr">
        <is>
          <t>NCI</t>
        </is>
      </c>
      <c r="B7" s="2" t="inlineStr">
        <is>
          <t>Roofing Industries minority charged once, in the bridge (NZ$15m estimate vs 9.3m book). Flows are whole-company.</t>
        </is>
      </c>
    </row>
    <row r="8">
      <c r="A8" s="1" t="inlineStr">
        <is>
          <t>Working capital</t>
        </is>
      </c>
      <c r="B8" s="2" t="inlineStr">
        <is>
          <t>NWC is 32.6% of revenue; wc_capture is NEGATIVE (base -27%): growth consumes cash.</t>
        </is>
      </c>
    </row>
    <row r="9">
      <c r="A9" s="1" t="inlineStr">
        <is>
          <t>SBC</t>
        </is>
      </c>
      <c r="B9" s="2" t="inlineStr">
        <is>
          <t>Expensed in the flows at 0.35% of revenue; share count held flat. Street memo adds SBC back.</t>
        </is>
      </c>
    </row>
    <row r="10">
      <c r="A10" s="1" t="inlineStr">
        <is>
          <t>EBITDA basis</t>
        </is>
      </c>
      <c r="B10" s="2" t="inlineStr">
        <is>
          <t>Adjusted EBITDA before significant items (FY26 130.3; core_metrics ebitda 128.2 is statutory after 1.0 acquisition costs and 1.1 disposal loss). FY25 adjusted 112.1 vs statutory 109.0.</t>
        </is>
      </c>
    </row>
    <row r="11">
      <c r="A11" s="1" t="inlineStr">
        <is>
          <t>Drivers</t>
        </is>
      </c>
      <c r="B11" s="2" t="inlineStr">
        <is>
          <t>Scenario driver paths are the dcf-analyst agent's judgment as of 2026-09-20 (v1), carried unchanged into v2 because the DB rows corroborate rather than change the FY25/FY26 picture. Blue cells are inputs; yellow fill = key lever; black = formula; green = cross-sheet link.</t>
        </is>
      </c>
    </row>
    <row r="12">
      <c r="A12" s="1" t="inlineStr">
        <is>
          <t>Refresh after</t>
        </is>
      </c>
      <c r="B12" s="2" t="inlineStr">
        <is>
          <t>Oct-2026 AGM trading update; 1H FY27 result (Feb-2027): net bank debt, lease liabilities, covenant headroom, margin. Figures in this file go stale; the live cells are authoritative over the JSON snapshot.</t>
        </is>
      </c>
    </row>
    <row r="13">
      <c r="A13" s="1" t="inlineStr">
        <is>
          <t>Sheets</t>
        </is>
      </c>
      <c r="B13" s="2" t="inlineStr">
        <is>
          <t>Reconciliation (v1 -&gt; v2 bridge), Actuals (hardcoded history from core_metrics), Assumptions (globals + per-scenario), DCF_Bear/Base/Bull (identical layout), FCF_Quality (reported to owner FCF), Valuation (summary, entry price, required-return table, sensitivity).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6" customWidth="1" min="3" max="3"/>
  </cols>
  <sheetData>
    <row r="1">
      <c r="A1" s="1" t="inlineStr">
        <is>
          <t>Reconciliation v1 -&gt; v2 (NZ$ per share). Prior values hardcoded; live values link to the model; bridge figures are approximate, live cells are authoritative.</t>
        </is>
      </c>
    </row>
    <row r="3">
      <c r="A3" s="1" t="inlineStr">
        <is>
          <t>Scenario</t>
        </is>
      </c>
      <c r="B3" s="1" t="inlineStr">
        <is>
          <t>v1 (2026-09-20, price 6.35)</t>
        </is>
      </c>
      <c r="C3" s="1" t="inlineStr">
        <is>
          <t>v2 live</t>
        </is>
      </c>
      <c r="D3" s="1" t="inlineStr">
        <is>
          <t>Change</t>
        </is>
      </c>
    </row>
    <row r="4">
      <c r="A4" t="inlineStr">
        <is>
          <t>Bear</t>
        </is>
      </c>
      <c r="B4" s="3" t="n">
        <v>-0.01</v>
      </c>
      <c r="C4" s="4">
        <f>DCF_Bear!$B$43</f>
        <v/>
      </c>
      <c r="D4">
        <f>C4-B4</f>
        <v/>
      </c>
    </row>
    <row r="5">
      <c r="A5" t="inlineStr">
        <is>
          <t>Base</t>
        </is>
      </c>
      <c r="B5" s="3" t="n">
        <v>2.45</v>
      </c>
      <c r="C5" s="4">
        <f>DCF_Base!$B$43</f>
        <v/>
      </c>
      <c r="D5">
        <f>C5-B5</f>
        <v/>
      </c>
    </row>
    <row r="6">
      <c r="A6" t="inlineStr">
        <is>
          <t>Bull</t>
        </is>
      </c>
      <c r="B6" s="3" t="n">
        <v>4.16</v>
      </c>
      <c r="C6" s="4">
        <f>DCF_Bull!$B$43</f>
        <v/>
      </c>
      <c r="D6">
        <f>C6-B6</f>
        <v/>
      </c>
    </row>
    <row r="7">
      <c r="A7" t="inlineStr">
        <is>
          <t>Weighted</t>
        </is>
      </c>
      <c r="B7" s="3" t="n">
        <v>2.27</v>
      </c>
      <c r="C7" s="4">
        <f>Valuation!$B$8</f>
        <v/>
      </c>
      <c r="D7">
        <f>C7-B7</f>
        <v/>
      </c>
    </row>
    <row r="9">
      <c r="A9" s="1" t="inlineStr">
        <is>
          <t>Bridge (approximate)</t>
        </is>
      </c>
    </row>
    <row r="10">
      <c r="A10" t="inlineStr">
        <is>
          <t>Prior weighted IV (v1), unrounded 2.2666, reported 2.27</t>
        </is>
      </c>
      <c r="B10" s="3" t="n">
        <v>2.267</v>
      </c>
    </row>
    <row r="11">
      <c r="A11" t="inlineStr">
        <is>
          <t>Anchor refresh: net bank debt 227.3 (company KPI) -&gt; 227.9 (DB balance sheet: bank loans 258.587 - cash 30.701); +0.6m bridge</t>
        </is>
      </c>
      <c r="B11" s="3" t="n">
        <v>-0.004</v>
      </c>
    </row>
    <row r="12">
      <c r="A12" t="inlineStr">
        <is>
          <t>Anchor refresh: price, shares, lease liabilities, NCI, FY27 guidance -- unchanged</t>
        </is>
      </c>
      <c r="B12" s="3" t="n">
        <v>0</v>
      </c>
    </row>
    <row r="13">
      <c r="A13" t="inlineStr">
        <is>
          <t>Driver changes: none (all paths carried; see assumptions_unchanged_note)</t>
        </is>
      </c>
      <c r="B13" s="3" t="n">
        <v>0</v>
      </c>
    </row>
    <row r="14">
      <c r="A14" t="inlineStr">
        <is>
          <t>Methodology change: none (same engine, same lease/NCI/WC treatment)</t>
        </is>
      </c>
      <c r="B14" s="3" t="n">
        <v>0</v>
      </c>
    </row>
    <row r="15">
      <c r="A15" t="inlineStr">
        <is>
          <t>Price move: none (same 18-Sep-2026 close)</t>
        </is>
      </c>
      <c r="B15" s="3" t="n">
        <v>0</v>
      </c>
    </row>
    <row r="16">
      <c r="A16" t="inlineStr">
        <is>
          <t>Residual (rounding of the v1 unrounded figure)</t>
        </is>
      </c>
      <c r="B16" s="3" t="n">
        <v>-0</v>
      </c>
    </row>
    <row r="17">
      <c r="A17" t="inlineStr">
        <is>
          <t>New weighted IV (v2), unrounded</t>
        </is>
      </c>
      <c r="B17" s="3" t="n">
        <v>2.262</v>
      </c>
    </row>
    <row r="19">
      <c r="A19" t="inlineStr">
        <is>
          <t>Unchanged assertions</t>
        </is>
      </c>
      <c r="B19" s="2" t="inlineStr">
        <is>
          <t>Deliberately unchanged, with what would move each: WACC 10.5% (leverage &lt; ~2.0x sustained); lease treatment B and lease_cost_pct 4.4/4.2/4.8 (rent re-basing or network change); NCI 15m in the bridge (a full year of Roofing NCI NPAT); wc_capture -27/-24/-30 (inventory-turn improvement showing in 1H FY27 NWC/revenue); growth and margin paths (Oct-2026 AGM update, 1H FY27 result); weights 25/50/25 (covenant headroom and pricing discipline evidence).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8" max="8"/>
  </cols>
  <sheetData>
    <row r="1">
      <c r="A1" s="1" t="inlineStr">
        <is>
          <t>NZ$m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  <c r="G1" s="1" t="inlineStr">
        <is>
          <t>FY2026</t>
        </is>
      </c>
      <c r="H1" s="1" t="inlineStr">
        <is>
          <t>Source</t>
        </is>
      </c>
    </row>
    <row r="2">
      <c r="A2" t="inlineStr">
        <is>
          <t>Revenue</t>
        </is>
      </c>
      <c r="B2" s="3" t="n">
        <v>731.546</v>
      </c>
      <c r="C2" s="3" t="n">
        <v>972.667</v>
      </c>
      <c r="D2" s="3" t="n">
        <v>1244.837</v>
      </c>
      <c r="E2" s="3" t="n">
        <v>1064.326</v>
      </c>
      <c r="F2" s="3" t="n">
        <v>948.153</v>
      </c>
      <c r="G2" s="3" t="n">
        <v>1158.807</v>
      </c>
      <c r="H2" t="inlineStr">
        <is>
          <t>core_metrics revenue (NZ$000s / 1000)</t>
        </is>
      </c>
    </row>
    <row r="3">
      <c r="A3" t="inlineStr">
        <is>
          <t>Adjusted EBITDA (post IFRS-16)</t>
        </is>
      </c>
      <c r="B3" s="3" t="n">
        <v>95.896</v>
      </c>
      <c r="C3" s="3" t="n">
        <v>224.443</v>
      </c>
      <c r="D3" s="3" t="n">
        <v>208.7</v>
      </c>
      <c r="E3" s="3" t="n">
        <v>147.566</v>
      </c>
      <c r="F3" s="3" t="n">
        <v>112.086</v>
      </c>
      <c r="G3" s="3" t="n">
        <v>130.323</v>
      </c>
      <c r="H3" t="inlineStr">
        <is>
          <t>Company adjusted EBITDA before significant items (FY26 AR segment note); FY22-24 core_metrics ebitda</t>
        </is>
      </c>
    </row>
    <row r="4">
      <c r="A4" t="inlineStr">
        <is>
          <t>Operating cash flow</t>
        </is>
      </c>
      <c r="B4" s="3" t="n">
        <v>105.454</v>
      </c>
      <c r="C4" s="3" t="n">
        <v>12.146</v>
      </c>
      <c r="D4" s="3" t="n">
        <v>145.404</v>
      </c>
      <c r="E4" s="3" t="n">
        <v>168.711</v>
      </c>
      <c r="F4" s="3" t="n">
        <v>104.954</v>
      </c>
      <c r="G4" s="3" t="n">
        <v>73.004</v>
      </c>
      <c r="H4" t="inlineStr">
        <is>
          <t>core_metrics operating_cash_flow</t>
        </is>
      </c>
    </row>
    <row r="5">
      <c r="A5" t="inlineStr">
        <is>
          <t>Capex</t>
        </is>
      </c>
      <c r="B5" s="3" t="n">
        <v>5.661</v>
      </c>
      <c r="C5" s="3" t="n">
        <v>12.209</v>
      </c>
      <c r="D5" s="3" t="n">
        <v>22.952</v>
      </c>
      <c r="E5" s="3" t="n">
        <v>26.688</v>
      </c>
      <c r="F5" s="3" t="n">
        <v>21.32</v>
      </c>
      <c r="G5" s="3" t="n">
        <v>26.606</v>
      </c>
      <c r="H5" t="inlineStr">
        <is>
          <t>core_metrics capex (positive = outflow)</t>
        </is>
      </c>
    </row>
    <row r="6">
      <c r="A6" t="inlineStr">
        <is>
          <t>Lease principal paid</t>
        </is>
      </c>
      <c r="B6" s="3" t="n">
        <v>12.153</v>
      </c>
      <c r="C6" s="3" t="n">
        <v>12.866</v>
      </c>
      <c r="D6" s="3" t="n">
        <v>21.372</v>
      </c>
      <c r="E6" s="3" t="n">
        <v>23.656</v>
      </c>
      <c r="F6" s="3" t="n">
        <v>26.743</v>
      </c>
      <c r="G6" s="3" t="n">
        <v>30.989</v>
      </c>
      <c r="H6" t="inlineStr">
        <is>
          <t>Cash flow statements, financing (FY26 AR line 4737)</t>
        </is>
      </c>
    </row>
    <row r="7">
      <c r="A7" t="inlineStr">
        <is>
          <t>Lease interest paid</t>
        </is>
      </c>
      <c r="B7" s="3" t="n">
        <v>11.392</v>
      </c>
      <c r="C7" s="3" t="n">
        <v>11.499</v>
      </c>
      <c r="D7" s="3" t="n">
        <v>16.363</v>
      </c>
      <c r="E7" s="3" t="n">
        <v>16.982</v>
      </c>
      <c r="F7" s="3" t="n">
        <v>17.965</v>
      </c>
      <c r="G7" s="3" t="n">
        <v>22.532</v>
      </c>
      <c r="H7" t="inlineStr">
        <is>
          <t>Cash flow statements, operating (FY26 AR line 4205)</t>
        </is>
      </c>
    </row>
    <row r="8">
      <c r="A8" t="inlineStr">
        <is>
          <t>Bank interest paid</t>
        </is>
      </c>
      <c r="B8" s="3" t="n">
        <v>13.699</v>
      </c>
      <c r="C8" s="3" t="n">
        <v>15.748</v>
      </c>
      <c r="D8" s="3" t="n">
        <v>21.234</v>
      </c>
      <c r="E8" s="3" t="n">
        <v>17.51</v>
      </c>
      <c r="F8" s="3" t="n">
        <v>23.867</v>
      </c>
      <c r="G8" s="3" t="n">
        <v>16.01</v>
      </c>
      <c r="H8" t="inlineStr">
        <is>
          <t>Cash flow statements, operating (FY21 = expense)</t>
        </is>
      </c>
    </row>
    <row r="9">
      <c r="A9" t="inlineStr">
        <is>
          <t>Interest received</t>
        </is>
      </c>
      <c r="B9" s="3" t="n">
        <v>0.013</v>
      </c>
      <c r="C9" s="3" t="n">
        <v>0.004</v>
      </c>
      <c r="D9" s="3" t="n">
        <v>0.051</v>
      </c>
      <c r="E9" s="3" t="n">
        <v>0.263</v>
      </c>
      <c r="F9" s="3" t="n">
        <v>0.174</v>
      </c>
      <c r="G9" s="3" t="n">
        <v>1.548</v>
      </c>
      <c r="H9" t="inlineStr">
        <is>
          <t>kpis InterestIncome</t>
        </is>
      </c>
    </row>
    <row r="10">
      <c r="A10" t="inlineStr">
        <is>
          <t>Tax paid</t>
        </is>
      </c>
      <c r="B10" s="3" t="n">
        <v>18.398</v>
      </c>
      <c r="C10" s="3" t="n">
        <v>40.334</v>
      </c>
      <c r="D10" s="3" t="n">
        <v>69.39100000000001</v>
      </c>
      <c r="E10" s="3" t="n">
        <v>20.322</v>
      </c>
      <c r="F10" s="3" t="n">
        <v>7.49</v>
      </c>
      <c r="G10" s="3" t="n">
        <v>9.186999999999999</v>
      </c>
      <c r="H10" t="inlineStr">
        <is>
          <t>kpis CashTaxesPaid</t>
        </is>
      </c>
    </row>
    <row r="11">
      <c r="A11" t="inlineStr">
        <is>
          <t>SBC expense</t>
        </is>
      </c>
      <c r="B11" s="3" t="n">
        <v>0</v>
      </c>
      <c r="C11" s="3" t="n">
        <v>2.683</v>
      </c>
      <c r="D11" s="3" t="n">
        <v>1.243</v>
      </c>
      <c r="E11" s="3" t="n">
        <v>2.03</v>
      </c>
      <c r="F11" s="3" t="n">
        <v>3.502</v>
      </c>
      <c r="G11" s="3" t="n">
        <v>4.366</v>
      </c>
      <c r="H11" t="inlineStr">
        <is>
          <t>core_metrics stock_based_comp</t>
        </is>
      </c>
    </row>
    <row r="12">
      <c r="A12" t="inlineStr">
        <is>
          <t>NPAT attributable</t>
        </is>
      </c>
      <c r="B12" s="3" t="n">
        <v>64.83199999999999</v>
      </c>
      <c r="C12" s="3" t="n">
        <v>123.984</v>
      </c>
      <c r="D12" s="3" t="n">
        <v>87.899</v>
      </c>
      <c r="E12" s="3" t="n">
        <v>39.985</v>
      </c>
      <c r="F12" s="3" t="n">
        <v>15.728</v>
      </c>
      <c r="G12" s="3" t="n">
        <v>20.658</v>
      </c>
      <c r="H12" t="inlineStr">
        <is>
          <t>core_metrics net_income</t>
        </is>
      </c>
    </row>
    <row r="13">
      <c r="A13" t="inlineStr">
        <is>
          <t>Shareholders' equity</t>
        </is>
      </c>
      <c r="B13" s="3" t="n">
        <v>154.117</v>
      </c>
      <c r="C13" s="3" t="n">
        <v>185.265</v>
      </c>
      <c r="D13" s="3" t="n">
        <v>185.918</v>
      </c>
      <c r="E13" s="3" t="n">
        <v>172.056</v>
      </c>
      <c r="F13" s="3" t="n">
        <v>169.653</v>
      </c>
      <c r="G13" s="3" t="n">
        <v>308.537</v>
      </c>
      <c r="H13" t="inlineStr">
        <is>
          <t>core_metrics shareholders_equity (FY26 incl. NCI 9.3)</t>
        </is>
      </c>
    </row>
    <row r="14">
      <c r="A14" t="inlineStr">
        <is>
          <t>Net bank debt</t>
        </is>
      </c>
      <c r="B14" s="3" t="n">
        <v>69.8</v>
      </c>
      <c r="C14" s="3" t="n">
        <v>186.9</v>
      </c>
      <c r="D14" s="3" t="n">
        <v>339.7</v>
      </c>
      <c r="E14" s="3" t="n">
        <v>276</v>
      </c>
      <c r="F14" s="3" t="n">
        <v>232.4</v>
      </c>
      <c r="G14" s="3" t="n">
        <v>227.9</v>
      </c>
      <c r="H14" t="inlineStr">
        <is>
          <t>total_debt less cash_and_equivalents (FY26: 258.587 - 30.701); company KPI FY26 227.3</t>
        </is>
      </c>
    </row>
    <row r="15">
      <c r="A15" t="inlineStr">
        <is>
          <t>Lease liabilities</t>
        </is>
      </c>
      <c r="E15" s="3" t="n">
        <v>290.3</v>
      </c>
      <c r="F15" s="3" t="n">
        <v>295.3</v>
      </c>
      <c r="G15" s="3" t="n">
        <v>372.8</v>
      </c>
      <c r="H15" t="inlineStr">
        <is>
          <t>kpis LeaseLiabilities / balance sheets</t>
        </is>
      </c>
    </row>
    <row r="16">
      <c r="A16" t="inlineStr">
        <is>
          <t>Shares on issue (m)</t>
        </is>
      </c>
      <c r="B16" s="3" t="n">
        <v>131.409</v>
      </c>
      <c r="C16" s="3" t="n">
        <v>131.409</v>
      </c>
      <c r="D16" s="3" t="n">
        <v>131.409</v>
      </c>
      <c r="E16" s="3" t="n">
        <v>131.409</v>
      </c>
      <c r="F16" s="3" t="n">
        <v>131.695</v>
      </c>
      <c r="G16" s="3" t="n">
        <v>146.53</v>
      </c>
      <c r="H16" t="inlineStr">
        <is>
          <t>core_metrics shares_outstanding; raise Oct-2025</t>
        </is>
      </c>
    </row>
    <row r="17">
      <c r="A17" t="inlineStr">
        <is>
          <t>Dividends paid</t>
        </is>
      </c>
      <c r="B17" s="3" t="n">
        <v>48</v>
      </c>
      <c r="C17" s="3" t="n">
        <v>104.137</v>
      </c>
      <c r="D17" s="3" t="n">
        <v>85.173</v>
      </c>
      <c r="E17" s="3" t="n">
        <v>57.423</v>
      </c>
      <c r="F17" s="3" t="n">
        <v>19.361</v>
      </c>
      <c r="G17" s="3" t="n">
        <v>8.787000000000001</v>
      </c>
      <c r="H17" t="inlineStr">
        <is>
          <t>kpis DividendsPaid</t>
        </is>
      </c>
    </row>
    <row r="19">
      <c r="A19" s="1" t="inlineStr">
        <is>
          <t>Guidance FY2027</t>
        </is>
      </c>
    </row>
    <row r="20">
      <c r="A20" t="inlineStr">
        <is>
          <t>D&amp;A NZ$67-70m; interest expense NZ$38-41m; capex NZ$30-35m (NZ$14-17m growth). No revenue or EBITDA guidance. Trading update at Oct-2026 AGM.</t>
        </is>
      </c>
    </row>
    <row r="21">
      <c r="A21" t="inlineStr">
        <is>
          <t>Balance sheet 30-Jun-2026: receivables 182.2, inventories 384.3, payables 189.2 (NWC 377.3 = 32.6% of revenue); gross bank loans 258.6, facilities 405.5; NCI 9.3; no buyback programme. H1 FY2026 CSV row is presentation-rounded with NULL balance-sheet cells and is not used.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2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</cols>
  <sheetData>
    <row r="2">
      <c r="A2" t="inlineStr">
        <is>
          <t>Current price (NZ$)</t>
        </is>
      </c>
      <c r="B2" s="3" t="n">
        <v>6.35</v>
      </c>
      <c r="C2" t="inlineStr">
        <is>
          <t>2026-09-18T04:59:55Z NZX regular close (Fri 18-Sep-2026); latest regular close as at valuation date 2026-09-20 (Sunday)</t>
        </is>
      </c>
    </row>
    <row r="3">
      <c r="A3" t="inlineStr">
        <is>
          <t>Price timestamp</t>
        </is>
      </c>
      <c r="B3" s="3" t="inlineStr">
        <is>
          <t>2026-09-18T04:59:55Z NZX regular close (Fri 18-Sep-2026); latest regular close as at valuation date 2026-09-20 (Sunday)</t>
        </is>
      </c>
      <c r="C3" t="inlineStr">
        <is>
          <t>Yahoo regularMarketTime</t>
        </is>
      </c>
    </row>
    <row r="4">
      <c r="A4" t="inlineStr">
        <is>
          <t>Diluted shares (m)</t>
        </is>
      </c>
      <c r="B4" s="3" t="n">
        <v>146.52996</v>
      </c>
      <c r="C4" t="inlineStr">
        <is>
          <t>146,529,960 ordinary shares on issue at 30-Jun-2026 (core_metrics FY2026 shares_outstanding; FY26 AR). Diluted EPS equals basic ($0.14) so PSRs are immaterial. Count is post the Oct-2025 NZ$93.8m net equity raise (131.7m -&gt; 146.5m; kpis EquityRaised FY2026 93,824). Held FLAT: SBC is expensed in the flows; no buyback programme.</t>
        </is>
      </c>
    </row>
    <row r="5">
      <c r="A5" t="inlineStr">
        <is>
          <t>Net bank debt (NZ$m)</t>
        </is>
      </c>
      <c r="B5" s="3" t="n">
        <v>227.9</v>
      </c>
      <c r="C5" t="inlineStr">
        <is>
          <t>30-Jun-2026; bank loans 258.587 less cash 30.701 (core_metrics). Company KPI 227.3. Lease liabilities are NOT here (treatment B).</t>
        </is>
      </c>
    </row>
    <row r="6">
      <c r="A6" t="inlineStr">
        <is>
          <t>NCI deduction (NZ$m)</t>
        </is>
      </c>
      <c r="B6" s="3" t="n">
        <v>15</v>
      </c>
      <c r="C6" t="inlineStr">
        <is>
          <t>Roofing Industries minority, ~10x annualised NCI NPAT; book 9.3</t>
        </is>
      </c>
    </row>
    <row r="7">
      <c r="A7" t="inlineStr">
        <is>
          <t>Lease liabilities memo (NZ$m)</t>
        </is>
      </c>
      <c r="B7" s="3" t="n">
        <v>372.8</v>
      </c>
      <c r="C7" t="inlineStr">
        <is>
          <t>Memo only; charged through the flows, never in the bridge</t>
        </is>
      </c>
    </row>
    <row r="8">
      <c r="A8" t="inlineStr">
        <is>
          <t>D&amp;A ex-ROU % revenue</t>
        </is>
      </c>
      <c r="B8" s="3" t="n">
        <v>2.1</v>
      </c>
      <c r="C8" t="inlineStr">
        <is>
          <t>FY26 22.9 = 1.98%; FY27 guidance implies ~2.1%</t>
        </is>
      </c>
    </row>
    <row r="9">
      <c r="A9" t="inlineStr">
        <is>
          <t>Cash tax rate</t>
        </is>
      </c>
      <c r="B9" s="3" t="n">
        <v>29</v>
      </c>
      <c r="C9" t="inlineStr">
        <is>
          <t>Blended NZ 28% / AU 30%; FY26 cash tax 29% of PBT</t>
        </is>
      </c>
    </row>
    <row r="10">
      <c r="A10" t="inlineStr">
        <is>
          <t>Hurdle rate</t>
        </is>
      </c>
      <c r="B10" s="3" t="n">
        <v>15</v>
      </c>
      <c r="C10" t="inlineStr">
        <is>
          <t>Entry-price IRR; TV rebuilt at this rate</t>
        </is>
      </c>
    </row>
    <row r="11">
      <c r="A11" t="inlineStr">
        <is>
          <t>FY2026A revenue (NZ$m)</t>
        </is>
      </c>
      <c r="B11" s="3" t="n">
        <v>1158.807</v>
      </c>
      <c r="C11" t="inlineStr">
        <is>
          <t>core_metrics FY2026 revenue</t>
        </is>
      </c>
    </row>
    <row r="13">
      <c r="A13" s="1" t="inlineStr">
        <is>
          <t>Per scenario</t>
        </is>
      </c>
      <c r="B13" s="1" t="inlineStr">
        <is>
          <t>Bear</t>
        </is>
      </c>
      <c r="C13" s="1" t="inlineStr">
        <is>
          <t>Base</t>
        </is>
      </c>
      <c r="D13" s="1" t="inlineStr">
        <is>
          <t>Bull</t>
        </is>
      </c>
    </row>
    <row r="14">
      <c r="A14" t="inlineStr">
        <is>
          <t>WACC %</t>
        </is>
      </c>
      <c r="B14" s="5" t="n">
        <v>10.5</v>
      </c>
      <c r="C14" s="5" t="n">
        <v>10.5</v>
      </c>
      <c r="D14" s="5" t="n">
        <v>10.5</v>
      </c>
    </row>
    <row r="15">
      <c r="A15" t="inlineStr">
        <is>
          <t>Terminal growth %</t>
        </is>
      </c>
      <c r="B15" s="5" t="n">
        <v>2</v>
      </c>
      <c r="C15" s="5" t="n">
        <v>2.5</v>
      </c>
      <c r="D15" s="5" t="n">
        <v>3</v>
      </c>
    </row>
    <row r="16">
      <c r="A16" t="inlineStr">
        <is>
          <t>Terminal cap (x FCF10)</t>
        </is>
      </c>
      <c r="B16" s="5" t="n">
        <v>12</v>
      </c>
      <c r="C16" s="5" t="n">
        <v>13</v>
      </c>
      <c r="D16" s="5" t="n">
        <v>13</v>
      </c>
    </row>
    <row r="17">
      <c r="A17" t="inlineStr">
        <is>
          <t>Lease cash % revenue</t>
        </is>
      </c>
      <c r="B17" s="5" t="n">
        <v>4.8</v>
      </c>
      <c r="C17" s="5" t="n">
        <v>4.4</v>
      </c>
      <c r="D17" s="5" t="n">
        <v>4.2</v>
      </c>
    </row>
    <row r="18">
      <c r="A18" t="inlineStr">
        <is>
          <t>WC capture % of revenue change</t>
        </is>
      </c>
      <c r="B18" s="5" t="n">
        <v>-30</v>
      </c>
      <c r="C18" s="5" t="n">
        <v>-27</v>
      </c>
      <c r="D18" s="5" t="n">
        <v>-24</v>
      </c>
    </row>
    <row r="19">
      <c r="A19" t="inlineStr">
        <is>
          <t>Probability weight</t>
        </is>
      </c>
      <c r="B19" s="5" t="n">
        <v>0.25</v>
      </c>
      <c r="C19" s="5" t="n">
        <v>0.5</v>
      </c>
      <c r="D19" s="5" t="n">
        <v>0.25</v>
      </c>
    </row>
    <row r="20">
      <c r="A20" t="inlineStr">
        <is>
          <t>Weights sum (must be 1)</t>
        </is>
      </c>
      <c r="B20">
        <f>SUM(B19:D19)</f>
        <v/>
      </c>
    </row>
    <row r="22">
      <c r="A22" s="1" t="inlineStr">
        <is>
          <t>Narratives</t>
        </is>
      </c>
    </row>
    <row r="23">
      <c r="A23" t="inlineStr">
        <is>
          <t>Bear</t>
        </is>
      </c>
      <c r="B23" s="2" t="inlineStr">
        <is>
          <t>The 'aggressive and unsustainable' competitor pricing management called out in FY25 persists; Australian rates stay restrictive, NZ recovery stalls on the November 2026 election and construction remains flat; rollforming margins normalise after a strong first nine months. Revenue +3% FY27 then flat for two years; EBITDA margin slips to 10.2% before a slow recovery to 11%. Semi-fixed leases rise to 4.8% of revenue; working capital stays heavy (30%). With NZ$227m of bank debt and NZ$373m of leases against ~NZ$60m of pre-IFRS-16 EBITDA, this path revisits the covenant discussion that only ended 30-Jun-2026; the equity value falls below NZ$1/share. Terminal growth 2.0%, cap 12x.</t>
        </is>
      </c>
    </row>
    <row r="24">
      <c r="A24" t="inlineStr">
        <is>
          <t>Base</t>
        </is>
      </c>
      <c r="B24" s="2" t="inlineStr">
        <is>
          <t>FY27 revenue +7.5%: ~3.5pp from annualising Roofing Industries (NZ$135m for nine months of FY26; pro-forma full year NZ$1,199.6m) plus ~4% underlying, carrying the 2H FY26 momentum (underlying revenue +16.4% YoY in 2H) into an NZ recovery and a flat-to-firming Australia. Growth fades to 2.5% by FY35. Adjusted EBITDA margin recovers from the FY26 trough of 11.2% to a 14.0% mid-cycle by FY32 (segment margins ~16% less ~2% corporate; FY24 segments ran 14.6-16.8%, FY23 18-20%) -- above FY25-26 but below the FY23-24 13.9-16.8% that still carried Ullrich integration and pre-price-war margins, and well below the FY22 23% boom. Lease cash 4.4% of revenue flat (FY26 4.62%; the 82-site network is semi-fixed so the ratio drifts down as revenue grows, but rent inflation and hybrid-site additions keep it near 4.4% on average), D&amp;A ex-ROU 2.1% (FY27 guidance), capex 2.6% fading to 2.4% (FY27 NZ$30-35m), working capital absorbing 27c of every revenue dollar added (NWC is 32.6% of revenue; management targets inventory turns). Owner FCF margin builds from ~1% (FY27 working-capital drag on 7.5% growth) to ~4%; the business earns roughly its cost of capital, so most of the equity value sits in the terminal margin assumption.</t>
        </is>
      </c>
    </row>
    <row r="25">
      <c r="A25" t="inlineStr">
        <is>
          <t>Bull</t>
        </is>
      </c>
      <c r="B25" s="2" t="inlineStr">
        <is>
          <t>Australia's rate cycle turns, Brisbane 2032 and resource-sector maintenance spend lift Queensland (23% of group revenue) and engineering steels, NZ recovers post-election, competitor pricing rationalises after network consolidation and possible safeguard measures. Rollforming synergies and hybrid sites lift group margin toward 15.5% by FY32 (segment margins back to ~17%, corporate cost leverage). Revenue +10% FY27 fading to 3%; lease cost dilutes to 4.2%; working-capital intensity eases to 24%. Terminal growth 3.0%.</t>
        </is>
      </c>
    </row>
    <row r="27">
      <c r="A27" t="inlineStr">
        <is>
          <t>WACC rationale</t>
        </is>
      </c>
      <c r="B27" s="2" t="inlineStr">
        <is>
          <t>NZD-built: NZ 10yr government bond ~4.5% (Sep-2026) + beta 1.2 x ERP 5.0% = cost of equity ~10.5%; pre-tax cost of bank debt ~6.5% (BKBM + margin, FY26 bank interest NZ$16.0m on ~NZ$250m average drawn), 4.6% after 29% tax; capital weights ~80/20 on NZ$930m market cap vs NZ$227m net bank debt (lease liabilities are in the flows, not the capital structure) gives ~9.3%. House WACC 10.5% = 9.3% + ~1.2pp financing-stress premium: net bank debt / pre-IFRS-16 EBITDA 2.96x, covenant relaxation only expired 30-Jun-2026 after two extensions, NZ$405.5m facilities 64% drawn, and a further NZ$372.8m of lease commitments ranking alongside. Risk is charged ONCE: financing stress in the discount rate; cyclicality, competitor pricing and Roofing execution in the scenario paths and the 25% bear weight. WACC is identical in all three scenarios. RE-VALIDATED 2026-09-20 v2 against the DB FY2025/FY2026 rows: net bank debt fell 276.0 (FY24) -&gt; 232.3 (FY25) -&gt; 227.9 (FY26) but the FY26 step was equity-funded, not organic -- the NZ$93.8m raise covered the NZ$87.0m net Roofing outflow while levered owner FCF (9.5) barely covered the dividend (8.8). Leverage is still 2.96x pre-IFRS-16 EBITDA with NZ$372.8m of leases alongside, so the ~1.2pp premium stays. What would remove it: net bank debt / pre-IFRS-16 EBITDA sustained below ~2.0x (roughly NZ$70m of organic debt paydown or EBITDA above NZ$115m pre-IFRS-16) with the Oct-2025 amended facility running without further relaxation.</t>
        </is>
      </c>
    </row>
    <row r="28">
      <c r="A28" t="inlineStr">
        <is>
          <t>Unchanged drivers</t>
        </is>
      </c>
      <c r="B28" s="2" t="inlineStr">
        <is>
          <t>All three scenario driver paths (growth, EBITDA margin, SBC%, lease cost %, D&amp;A %, capex %, wc_capture, tax, WACC, terminal growth, cap) are carried from v1 unchanged. The DB FY2025/FY2026 rows are the same figures v1 read off the FY26 annual report, so they are corroboration, not new evidence. What would move them: (1) the Oct-2026 AGM trading update on FY27 volumes and margin -&gt; FY27 growth and margin; (2) 1H FY27 net bank debt and leverage -&gt; WACC premium and bear weight; (3) evidence that Roofing rollforming margins are above or below the group's -&gt; margin path; (4) a change in the 82-site network or a rent re-basing -&gt; lease_cost_pct.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Bear scenario -- owner FCF, lease treatment B (NZ$m)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3</v>
      </c>
      <c r="D5" s="5" t="n">
        <v>1</v>
      </c>
      <c r="E5" s="5" t="n">
        <v>0</v>
      </c>
      <c r="F5" s="5" t="n">
        <v>1</v>
      </c>
      <c r="G5" s="5" t="n">
        <v>2</v>
      </c>
      <c r="H5" s="5" t="n">
        <v>2</v>
      </c>
      <c r="I5" s="5" t="n">
        <v>2</v>
      </c>
      <c r="J5" s="5" t="n">
        <v>2</v>
      </c>
      <c r="K5" s="5" t="n">
        <v>2</v>
      </c>
      <c r="L5" s="5" t="n">
        <v>2</v>
      </c>
    </row>
    <row r="6">
      <c r="A6" t="inlineStr">
        <is>
          <t>Revenue</t>
        </is>
      </c>
      <c r="B6" s="3" t="n">
        <v>1158.807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</t>
        </is>
      </c>
      <c r="B7" s="3" t="n">
        <v>11.25</v>
      </c>
      <c r="C7" s="5" t="n">
        <v>10.8</v>
      </c>
      <c r="D7" s="5" t="n">
        <v>10.5</v>
      </c>
      <c r="E7" s="5" t="n">
        <v>10.2</v>
      </c>
      <c r="F7" s="5" t="n">
        <v>10.2</v>
      </c>
      <c r="G7" s="5" t="n">
        <v>10.5</v>
      </c>
      <c r="H7" s="5" t="n">
        <v>10.8</v>
      </c>
      <c r="I7" s="5" t="n">
        <v>11</v>
      </c>
      <c r="J7" s="5" t="n">
        <v>11</v>
      </c>
      <c r="K7" s="5" t="n">
        <v>11</v>
      </c>
      <c r="L7" s="5" t="n">
        <v>11</v>
      </c>
    </row>
    <row r="8">
      <c r="A8" t="inlineStr">
        <is>
          <t>Adjusted EBITDA (post IFRS-16)</t>
        </is>
      </c>
      <c r="B8">
        <f>B6*B7/100</f>
        <v/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revenue</t>
        </is>
      </c>
      <c r="B9" s="3" t="n">
        <v>0.38</v>
      </c>
      <c r="C9" s="5" t="n">
        <v>0.35</v>
      </c>
      <c r="D9" s="5" t="n">
        <v>0.35</v>
      </c>
      <c r="E9" s="5" t="n">
        <v>0.35</v>
      </c>
      <c r="F9" s="5" t="n">
        <v>0.35</v>
      </c>
      <c r="G9" s="5" t="n">
        <v>0.35</v>
      </c>
      <c r="H9" s="5" t="n">
        <v>0.35</v>
      </c>
      <c r="I9" s="5" t="n">
        <v>0.35</v>
      </c>
      <c r="J9" s="5" t="n">
        <v>0.35</v>
      </c>
      <c r="K9" s="5" t="n">
        <v>0.35</v>
      </c>
      <c r="L9" s="5" t="n">
        <v>0.35</v>
      </c>
    </row>
    <row r="10">
      <c r="A10" t="inlineStr">
        <is>
          <t>SBC (negative)</t>
        </is>
      </c>
      <c r="B10">
        <f>-B6*B9/100</f>
        <v/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% revenue</t>
        </is>
      </c>
      <c r="B11" s="3" t="n">
        <v>4.62</v>
      </c>
      <c r="C11" s="4">
        <f>Assumptions!$B$17</f>
        <v/>
      </c>
      <c r="D11" s="4">
        <f>Assumptions!$B$17</f>
        <v/>
      </c>
      <c r="E11" s="4">
        <f>Assumptions!$B$17</f>
        <v/>
      </c>
      <c r="F11" s="4">
        <f>Assumptions!$B$17</f>
        <v/>
      </c>
      <c r="G11" s="4">
        <f>Assumptions!$B$17</f>
        <v/>
      </c>
      <c r="H11" s="4">
        <f>Assumptions!$B$17</f>
        <v/>
      </c>
      <c r="I11" s="4">
        <f>Assumptions!$B$17</f>
        <v/>
      </c>
      <c r="J11" s="4">
        <f>Assumptions!$B$17</f>
        <v/>
      </c>
      <c r="K11" s="4">
        <f>Assumptions!$B$17</f>
        <v/>
      </c>
      <c r="L11" s="4">
        <f>Assumptions!$B$17</f>
        <v/>
      </c>
    </row>
    <row r="12">
      <c r="A12" t="inlineStr">
        <is>
          <t>Lease cash (negative)</t>
        </is>
      </c>
      <c r="B12">
        <f>-B6*B11/100</f>
        <v/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 (pre IFRS-16, post SBC)</t>
        </is>
      </c>
      <c r="B13">
        <f>B8+B10+B12</f>
        <v/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(negative)</t>
        </is>
      </c>
      <c r="B14" s="3" t="n">
        <v>-22.889</v>
      </c>
      <c r="C14" s="4">
        <f>-C6*Assumptions!$B$8/100</f>
        <v/>
      </c>
      <c r="D14" s="4">
        <f>-D6*Assumptions!$B$8/100</f>
        <v/>
      </c>
      <c r="E14" s="4">
        <f>-E6*Assumptions!$B$8/100</f>
        <v/>
      </c>
      <c r="F14" s="4">
        <f>-F6*Assumptions!$B$8/100</f>
        <v/>
      </c>
      <c r="G14" s="4">
        <f>-G6*Assumptions!$B$8/100</f>
        <v/>
      </c>
      <c r="H14" s="4">
        <f>-H6*Assumptions!$B$8/100</f>
        <v/>
      </c>
      <c r="I14" s="4">
        <f>-I6*Assumptions!$B$8/100</f>
        <v/>
      </c>
      <c r="J14" s="4">
        <f>-J6*Assumptions!$B$8/100</f>
        <v/>
      </c>
      <c r="K14" s="4">
        <f>-K6*Assumptions!$B$8/100</f>
        <v/>
      </c>
      <c r="L14" s="4">
        <f>-L6*Assumptions!$B$8/100</f>
        <v/>
      </c>
    </row>
    <row r="15">
      <c r="A15" t="inlineStr">
        <is>
          <t>EBIT</t>
        </is>
      </c>
      <c r="B15">
        <f>B13+B14</f>
        <v/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Cash tax rate %</t>
        </is>
      </c>
      <c r="B16" s="3" t="n">
        <v>29</v>
      </c>
      <c r="C16" s="5" t="n">
        <v>29</v>
      </c>
      <c r="D16" s="5" t="n">
        <v>29</v>
      </c>
      <c r="E16" s="5" t="n">
        <v>29</v>
      </c>
      <c r="F16" s="5" t="n">
        <v>29</v>
      </c>
      <c r="G16" s="5" t="n">
        <v>29</v>
      </c>
      <c r="H16" s="5" t="n">
        <v>29</v>
      </c>
      <c r="I16" s="5" t="n">
        <v>29</v>
      </c>
      <c r="J16" s="5" t="n">
        <v>29</v>
      </c>
      <c r="K16" s="5" t="n">
        <v>29</v>
      </c>
      <c r="L16" s="5" t="n">
        <v>29</v>
      </c>
    </row>
    <row r="17">
      <c r="A17" t="inlineStr">
        <is>
          <t>Cash tax (negative)</t>
        </is>
      </c>
      <c r="B17">
        <f>-MAX(0,B15)*B16/100</f>
        <v/>
      </c>
      <c r="C17">
        <f>-MAX(0,C15)*C16/100</f>
        <v/>
      </c>
      <c r="D17">
        <f>-MAX(0,D15)*D16/100</f>
        <v/>
      </c>
      <c r="E17">
        <f>-MAX(0,E15)*E16/100</f>
        <v/>
      </c>
      <c r="F17">
        <f>-MAX(0,F15)*F16/100</f>
        <v/>
      </c>
      <c r="G17">
        <f>-MAX(0,G15)*G16/100</f>
        <v/>
      </c>
      <c r="H17">
        <f>-MAX(0,H15)*H16/100</f>
        <v/>
      </c>
      <c r="I17">
        <f>-MAX(0,I15)*I16/100</f>
        <v/>
      </c>
      <c r="J17">
        <f>-MAX(0,J15)*J16/100</f>
        <v/>
      </c>
      <c r="K17">
        <f>-MAX(0,K15)*K16/100</f>
        <v/>
      </c>
      <c r="L17">
        <f>-MAX(0,L15)*L16/100</f>
        <v/>
      </c>
    </row>
    <row r="18">
      <c r="A18" t="inlineStr">
        <is>
          <t>NOPAT</t>
        </is>
      </c>
      <c r="B18">
        <f>B15+B17</f>
        <v/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add back D&amp;A</t>
        </is>
      </c>
      <c r="B19">
        <f>-B14</f>
        <v/>
      </c>
      <c r="C19">
        <f>-C14</f>
        <v/>
      </c>
      <c r="D19">
        <f>-D14</f>
        <v/>
      </c>
      <c r="E19">
        <f>-E14</f>
        <v/>
      </c>
      <c r="F19">
        <f>-F14</f>
        <v/>
      </c>
      <c r="G19">
        <f>-G14</f>
        <v/>
      </c>
      <c r="H19">
        <f>-H14</f>
        <v/>
      </c>
      <c r="I19">
        <f>-I14</f>
        <v/>
      </c>
      <c r="J19">
        <f>-J14</f>
        <v/>
      </c>
      <c r="K19">
        <f>-K14</f>
        <v/>
      </c>
      <c r="L19">
        <f>-L14</f>
        <v/>
      </c>
    </row>
    <row r="20">
      <c r="A20" t="inlineStr">
        <is>
          <t>Capex % revenue</t>
        </is>
      </c>
      <c r="C20" s="5" t="n">
        <v>2.5</v>
      </c>
      <c r="D20" s="5" t="n">
        <v>2.3</v>
      </c>
      <c r="E20" s="5" t="n">
        <v>2.3</v>
      </c>
      <c r="F20" s="5" t="n">
        <v>2.3</v>
      </c>
      <c r="G20" s="5" t="n">
        <v>2.3</v>
      </c>
      <c r="H20" s="5" t="n">
        <v>2.3</v>
      </c>
      <c r="I20" s="5" t="n">
        <v>2.3</v>
      </c>
      <c r="J20" s="5" t="n">
        <v>2.3</v>
      </c>
      <c r="K20" s="5" t="n">
        <v>2.3</v>
      </c>
      <c r="L20" s="5" t="n">
        <v>2.3</v>
      </c>
    </row>
    <row r="21">
      <c r="A21" t="inlineStr">
        <is>
          <t>Capex (negative)</t>
        </is>
      </c>
      <c r="B21" s="3" t="n">
        <v>-26.606</v>
      </c>
      <c r="C21">
        <f>-C6*C20/100</f>
        <v/>
      </c>
      <c r="D21">
        <f>-D6*D20/100</f>
        <v/>
      </c>
      <c r="E21">
        <f>-E6*E20/100</f>
        <v/>
      </c>
      <c r="F21">
        <f>-F6*F20/100</f>
        <v/>
      </c>
      <c r="G21">
        <f>-G6*G20/100</f>
        <v/>
      </c>
      <c r="H21">
        <f>-H6*H20/100</f>
        <v/>
      </c>
      <c r="I21">
        <f>-I6*I20/100</f>
        <v/>
      </c>
      <c r="J21">
        <f>-J6*J20/100</f>
        <v/>
      </c>
      <c r="K21">
        <f>-K6*K20/100</f>
        <v/>
      </c>
      <c r="L21">
        <f>-L6*L20/100</f>
        <v/>
      </c>
    </row>
    <row r="22">
      <c r="A22" t="inlineStr">
        <is>
          <t>Working capital (negative = consumed)</t>
        </is>
      </c>
      <c r="B22" s="3" t="n">
        <v>-11.136</v>
      </c>
      <c r="C22" s="4">
        <f>Assumptions!$B$18/100*(C6-B6)</f>
        <v/>
      </c>
      <c r="D22" s="4">
        <f>Assumptions!$B$18/100*(D6-C6)</f>
        <v/>
      </c>
      <c r="E22" s="4">
        <f>Assumptions!$B$18/100*(E6-D6)</f>
        <v/>
      </c>
      <c r="F22" s="4">
        <f>Assumptions!$B$18/100*(F6-E6)</f>
        <v/>
      </c>
      <c r="G22" s="4">
        <f>Assumptions!$B$18/100*(G6-F6)</f>
        <v/>
      </c>
      <c r="H22" s="4">
        <f>Assumptions!$B$18/100*(H6-G6)</f>
        <v/>
      </c>
      <c r="I22" s="4">
        <f>Assumptions!$B$18/100*(I6-H6)</f>
        <v/>
      </c>
      <c r="J22" s="4">
        <f>Assumptions!$B$18/100*(J6-I6)</f>
        <v/>
      </c>
      <c r="K22" s="4">
        <f>Assumptions!$B$18/100*(K6-J6)</f>
        <v/>
      </c>
      <c r="L22" s="4">
        <f>Assumptions!$B$18/100*(L6-K6)</f>
        <v/>
      </c>
    </row>
    <row r="23">
      <c r="A23" s="1" t="inlineStr">
        <is>
          <t>Unlevered owner FCF</t>
        </is>
      </c>
      <c r="B23">
        <f>B18+B19+B21+B22</f>
        <v/>
      </c>
      <c r="C23" s="1">
        <f>C18+C19+C21+C22</f>
        <v/>
      </c>
      <c r="D23" s="1">
        <f>D18+D19+D21+D22</f>
        <v/>
      </c>
      <c r="E23" s="1">
        <f>E18+E19+E21+E22</f>
        <v/>
      </c>
      <c r="F23" s="1">
        <f>F18+F19+F21+F22</f>
        <v/>
      </c>
      <c r="G23" s="1">
        <f>G18+G19+G21+G22</f>
        <v/>
      </c>
      <c r="H23" s="1">
        <f>H18+H19+H21+H22</f>
        <v/>
      </c>
      <c r="I23" s="1">
        <f>I18+I19+I21+I22</f>
        <v/>
      </c>
      <c r="J23" s="1">
        <f>J18+J19+J21+J22</f>
        <v/>
      </c>
      <c r="K23" s="1">
        <f>K18+K19+K21+K22</f>
        <v/>
      </c>
      <c r="L23" s="1">
        <f>L18+L19+L21+L22</f>
        <v/>
      </c>
    </row>
    <row r="24">
      <c r="A24" t="inlineStr">
        <is>
          <t>Discount factor</t>
        </is>
      </c>
      <c r="C24" s="4">
        <f>1/(1+Assumptions!$B$14/100)^C4</f>
        <v/>
      </c>
      <c r="D24" s="4">
        <f>1/(1+Assumptions!$B$14/100)^D4</f>
        <v/>
      </c>
      <c r="E24" s="4">
        <f>1/(1+Assumptions!$B$14/100)^E4</f>
        <v/>
      </c>
      <c r="F24" s="4">
        <f>1/(1+Assumptions!$B$14/100)^F4</f>
        <v/>
      </c>
      <c r="G24" s="4">
        <f>1/(1+Assumptions!$B$14/100)^G4</f>
        <v/>
      </c>
      <c r="H24" s="4">
        <f>1/(1+Assumptions!$B$14/100)^H4</f>
        <v/>
      </c>
      <c r="I24" s="4">
        <f>1/(1+Assumptions!$B$14/100)^I4</f>
        <v/>
      </c>
      <c r="J24" s="4">
        <f>1/(1+Assumptions!$B$14/100)^J4</f>
        <v/>
      </c>
      <c r="K24" s="4">
        <f>1/(1+Assumptions!$B$14/100)^K4</f>
        <v/>
      </c>
      <c r="L24" s="4">
        <f>1/(1+Assumptions!$B$14/100)^L4</f>
        <v/>
      </c>
    </row>
    <row r="25">
      <c r="A25" t="inlineStr">
        <is>
          <t>PV of FCF</t>
        </is>
      </c>
      <c r="C25">
        <f>C23*C24</f>
        <v/>
      </c>
      <c r="D25">
        <f>D23*D24</f>
        <v/>
      </c>
      <c r="E25">
        <f>E23*E24</f>
        <v/>
      </c>
      <c r="F25">
        <f>F23*F24</f>
        <v/>
      </c>
      <c r="G25">
        <f>G23*G24</f>
        <v/>
      </c>
      <c r="H25">
        <f>H23*H24</f>
        <v/>
      </c>
      <c r="I25">
        <f>I23*I24</f>
        <v/>
      </c>
      <c r="J25">
        <f>J23*J24</f>
        <v/>
      </c>
      <c r="K25">
        <f>K23*K24</f>
        <v/>
      </c>
      <c r="L25">
        <f>L23*L24</f>
        <v/>
      </c>
    </row>
    <row r="27">
      <c r="A27" t="inlineStr">
        <is>
          <t>Memo: FCF before SBC</t>
        </is>
      </c>
      <c r="C27">
        <f>C23-C10</f>
        <v/>
      </c>
      <c r="D27">
        <f>D23-D10</f>
        <v/>
      </c>
      <c r="E27">
        <f>E23-E10</f>
        <v/>
      </c>
      <c r="F27">
        <f>F23-F10</f>
        <v/>
      </c>
      <c r="G27">
        <f>G23-G10</f>
        <v/>
      </c>
      <c r="H27">
        <f>H23-H10</f>
        <v/>
      </c>
      <c r="I27">
        <f>I23-I10</f>
        <v/>
      </c>
      <c r="J27">
        <f>J23-J10</f>
        <v/>
      </c>
      <c r="K27">
        <f>K23-K10</f>
        <v/>
      </c>
      <c r="L27">
        <f>L23-L10</f>
        <v/>
      </c>
    </row>
    <row r="28">
      <c r="A28" t="inlineStr">
        <is>
          <t>Memo: owner FCF margin</t>
        </is>
      </c>
      <c r="B28">
        <f>B23/B6</f>
        <v/>
      </c>
      <c r="C28">
        <f>C23/C6</f>
        <v/>
      </c>
      <c r="D28">
        <f>D23/D6</f>
        <v/>
      </c>
      <c r="E28">
        <f>E23/E6</f>
        <v/>
      </c>
      <c r="F28">
        <f>F23/F6</f>
        <v/>
      </c>
      <c r="G28">
        <f>G23/G6</f>
        <v/>
      </c>
      <c r="H28">
        <f>H23/H6</f>
        <v/>
      </c>
      <c r="I28">
        <f>I23/I6</f>
        <v/>
      </c>
      <c r="J28">
        <f>J23/J6</f>
        <v/>
      </c>
      <c r="K28">
        <f>K23/K6</f>
        <v/>
      </c>
      <c r="L28">
        <f>L23/L6</f>
        <v/>
      </c>
    </row>
    <row r="30">
      <c r="A30" t="inlineStr">
        <is>
          <t>Sum of PV (FY27-FY36)</t>
        </is>
      </c>
      <c r="B30">
        <f>SUM(C25:L25)</f>
        <v/>
      </c>
    </row>
    <row r="31">
      <c r="A31" t="inlineStr">
        <is>
          <t>Terminal growth %</t>
        </is>
      </c>
      <c r="B31" s="4">
        <f>Assumptions!$B$15</f>
        <v/>
      </c>
    </row>
    <row r="32">
      <c r="A32" t="inlineStr">
        <is>
          <t>Terminal FCF = FCF10 x (1+g)</t>
        </is>
      </c>
      <c r="B32">
        <f>L23*(1+B31/100)</f>
        <v/>
      </c>
    </row>
    <row r="33">
      <c r="A33" t="inlineStr">
        <is>
          <t>Gordon TV</t>
        </is>
      </c>
      <c r="B33">
        <f>B32/(Assumptions!$B$14/100-B31/100)</f>
        <v/>
      </c>
    </row>
    <row r="34">
      <c r="A34" t="inlineStr">
        <is>
          <t>Cap TV = cap x FCF10</t>
        </is>
      </c>
      <c r="B34">
        <f>Assumptions!$B$16*L23</f>
        <v/>
      </c>
    </row>
    <row r="35">
      <c r="A35" t="inlineStr">
        <is>
          <t>TV used = MAX(0, MIN(Gordon, cap))</t>
        </is>
      </c>
      <c r="B35">
        <f>MAX(0,MIN(B33,B34))</f>
        <v/>
      </c>
    </row>
    <row r="36">
      <c r="A36" t="inlineStr">
        <is>
          <t>Implied exit multiple (TV / FCF10)</t>
        </is>
      </c>
      <c r="B36">
        <f>IF(L23&lt;&gt;0,B35/L23,0)</f>
        <v/>
      </c>
    </row>
    <row r="37">
      <c r="A37" t="inlineStr">
        <is>
          <t>PV of TV</t>
        </is>
      </c>
      <c r="B37">
        <f>B35*L24</f>
        <v/>
      </c>
    </row>
    <row r="38">
      <c r="A38" t="inlineStr">
        <is>
          <t>Enterprise value (ex leases)</t>
        </is>
      </c>
      <c r="B38">
        <f>B30+B37</f>
        <v/>
      </c>
    </row>
    <row r="39">
      <c r="A39" t="inlineStr">
        <is>
          <t>less net bank debt</t>
        </is>
      </c>
      <c r="B39" s="4">
        <f>-Assumptions!$B$5</f>
        <v/>
      </c>
    </row>
    <row r="40">
      <c r="A40" t="inlineStr">
        <is>
          <t>less NCI</t>
        </is>
      </c>
      <c r="B40" s="4">
        <f>-Assumptions!$B$6</f>
        <v/>
      </c>
    </row>
    <row r="41">
      <c r="A41" t="inlineStr">
        <is>
          <t>Equity value</t>
        </is>
      </c>
      <c r="B41">
        <f>B38+B39+B40</f>
        <v/>
      </c>
    </row>
    <row r="42">
      <c r="A42" t="inlineStr">
        <is>
          <t>Diluted shares (m)</t>
        </is>
      </c>
      <c r="B42" s="4">
        <f>Assumptions!$B$4</f>
        <v/>
      </c>
    </row>
    <row r="43">
      <c r="A43" t="inlineStr">
        <is>
          <t>VALUE PER SHARE (NZ$)</t>
        </is>
      </c>
      <c r="B43" s="6">
        <f>B41/B42</f>
        <v/>
      </c>
    </row>
    <row r="44">
      <c r="A44" t="inlineStr">
        <is>
          <t>Upside vs price</t>
        </is>
      </c>
      <c r="B44">
        <f>B43/Assumptions!$B$2-1</f>
        <v/>
      </c>
    </row>
    <row r="46">
      <c r="A46" t="inlineStr">
        <is>
          <t>Street memo: PV of explicit SBC</t>
        </is>
      </c>
      <c r="B46">
        <f>SUMPRODUCT(-C10:L10/(1+Assumptions!$B$14/100)^C4:L4)</f>
        <v/>
      </c>
    </row>
    <row r="47">
      <c r="A47" t="inlineStr">
        <is>
          <t>Street memo: PV of terminal SBC</t>
        </is>
      </c>
      <c r="B47">
        <f>(-L10*(1+B31/100)/(Assumptions!$B$14/100-B31/100))*L24</f>
        <v/>
      </c>
    </row>
    <row r="48">
      <c r="A48" t="inlineStr">
        <is>
          <t>Street value per share</t>
        </is>
      </c>
      <c r="B48">
        <f>(B41+B46+B47)/B42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Base scenario -- owner FCF, lease treatment B (NZ$m)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7.5</v>
      </c>
      <c r="D5" s="5" t="n">
        <v>5.5</v>
      </c>
      <c r="E5" s="5" t="n">
        <v>5</v>
      </c>
      <c r="F5" s="5" t="n">
        <v>4.5</v>
      </c>
      <c r="G5" s="5" t="n">
        <v>4</v>
      </c>
      <c r="H5" s="5" t="n">
        <v>3.5</v>
      </c>
      <c r="I5" s="5" t="n">
        <v>3</v>
      </c>
      <c r="J5" s="5" t="n">
        <v>3</v>
      </c>
      <c r="K5" s="5" t="n">
        <v>2.5</v>
      </c>
      <c r="L5" s="5" t="n">
        <v>2.5</v>
      </c>
    </row>
    <row r="6">
      <c r="A6" t="inlineStr">
        <is>
          <t>Revenue</t>
        </is>
      </c>
      <c r="B6" s="3" t="n">
        <v>1158.807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</t>
        </is>
      </c>
      <c r="B7" s="3" t="n">
        <v>11.25</v>
      </c>
      <c r="C7" s="5" t="n">
        <v>11.6</v>
      </c>
      <c r="D7" s="5" t="n">
        <v>12.1</v>
      </c>
      <c r="E7" s="5" t="n">
        <v>12.6</v>
      </c>
      <c r="F7" s="5" t="n">
        <v>13.1</v>
      </c>
      <c r="G7" s="5" t="n">
        <v>13.5</v>
      </c>
      <c r="H7" s="5" t="n">
        <v>14</v>
      </c>
      <c r="I7" s="5" t="n">
        <v>14</v>
      </c>
      <c r="J7" s="5" t="n">
        <v>14</v>
      </c>
      <c r="K7" s="5" t="n">
        <v>14</v>
      </c>
      <c r="L7" s="5" t="n">
        <v>14</v>
      </c>
    </row>
    <row r="8">
      <c r="A8" t="inlineStr">
        <is>
          <t>Adjusted EBITDA (post IFRS-16)</t>
        </is>
      </c>
      <c r="B8">
        <f>B6*B7/100</f>
        <v/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revenue</t>
        </is>
      </c>
      <c r="B9" s="3" t="n">
        <v>0.38</v>
      </c>
      <c r="C9" s="5" t="n">
        <v>0.35</v>
      </c>
      <c r="D9" s="5" t="n">
        <v>0.35</v>
      </c>
      <c r="E9" s="5" t="n">
        <v>0.35</v>
      </c>
      <c r="F9" s="5" t="n">
        <v>0.35</v>
      </c>
      <c r="G9" s="5" t="n">
        <v>0.35</v>
      </c>
      <c r="H9" s="5" t="n">
        <v>0.35</v>
      </c>
      <c r="I9" s="5" t="n">
        <v>0.35</v>
      </c>
      <c r="J9" s="5" t="n">
        <v>0.35</v>
      </c>
      <c r="K9" s="5" t="n">
        <v>0.35</v>
      </c>
      <c r="L9" s="5" t="n">
        <v>0.35</v>
      </c>
    </row>
    <row r="10">
      <c r="A10" t="inlineStr">
        <is>
          <t>SBC (negative)</t>
        </is>
      </c>
      <c r="B10">
        <f>-B6*B9/100</f>
        <v/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% revenue</t>
        </is>
      </c>
      <c r="B11" s="3" t="n">
        <v>4.62</v>
      </c>
      <c r="C11" s="4">
        <f>Assumptions!$C$17</f>
        <v/>
      </c>
      <c r="D11" s="4">
        <f>Assumptions!$C$17</f>
        <v/>
      </c>
      <c r="E11" s="4">
        <f>Assumptions!$C$17</f>
        <v/>
      </c>
      <c r="F11" s="4">
        <f>Assumptions!$C$17</f>
        <v/>
      </c>
      <c r="G11" s="4">
        <f>Assumptions!$C$17</f>
        <v/>
      </c>
      <c r="H11" s="4">
        <f>Assumptions!$C$17</f>
        <v/>
      </c>
      <c r="I11" s="4">
        <f>Assumptions!$C$17</f>
        <v/>
      </c>
      <c r="J11" s="4">
        <f>Assumptions!$C$17</f>
        <v/>
      </c>
      <c r="K11" s="4">
        <f>Assumptions!$C$17</f>
        <v/>
      </c>
      <c r="L11" s="4">
        <f>Assumptions!$C$17</f>
        <v/>
      </c>
    </row>
    <row r="12">
      <c r="A12" t="inlineStr">
        <is>
          <t>Lease cash (negative)</t>
        </is>
      </c>
      <c r="B12">
        <f>-B6*B11/100</f>
        <v/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 (pre IFRS-16, post SBC)</t>
        </is>
      </c>
      <c r="B13">
        <f>B8+B10+B12</f>
        <v/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(negative)</t>
        </is>
      </c>
      <c r="B14" s="3" t="n">
        <v>-22.889</v>
      </c>
      <c r="C14" s="4">
        <f>-C6*Assumptions!$B$8/100</f>
        <v/>
      </c>
      <c r="D14" s="4">
        <f>-D6*Assumptions!$B$8/100</f>
        <v/>
      </c>
      <c r="E14" s="4">
        <f>-E6*Assumptions!$B$8/100</f>
        <v/>
      </c>
      <c r="F14" s="4">
        <f>-F6*Assumptions!$B$8/100</f>
        <v/>
      </c>
      <c r="G14" s="4">
        <f>-G6*Assumptions!$B$8/100</f>
        <v/>
      </c>
      <c r="H14" s="4">
        <f>-H6*Assumptions!$B$8/100</f>
        <v/>
      </c>
      <c r="I14" s="4">
        <f>-I6*Assumptions!$B$8/100</f>
        <v/>
      </c>
      <c r="J14" s="4">
        <f>-J6*Assumptions!$B$8/100</f>
        <v/>
      </c>
      <c r="K14" s="4">
        <f>-K6*Assumptions!$B$8/100</f>
        <v/>
      </c>
      <c r="L14" s="4">
        <f>-L6*Assumptions!$B$8/100</f>
        <v/>
      </c>
    </row>
    <row r="15">
      <c r="A15" t="inlineStr">
        <is>
          <t>EBIT</t>
        </is>
      </c>
      <c r="B15">
        <f>B13+B14</f>
        <v/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Cash tax rate %</t>
        </is>
      </c>
      <c r="B16" s="3" t="n">
        <v>29</v>
      </c>
      <c r="C16" s="5" t="n">
        <v>29</v>
      </c>
      <c r="D16" s="5" t="n">
        <v>29</v>
      </c>
      <c r="E16" s="5" t="n">
        <v>29</v>
      </c>
      <c r="F16" s="5" t="n">
        <v>29</v>
      </c>
      <c r="G16" s="5" t="n">
        <v>29</v>
      </c>
      <c r="H16" s="5" t="n">
        <v>29</v>
      </c>
      <c r="I16" s="5" t="n">
        <v>29</v>
      </c>
      <c r="J16" s="5" t="n">
        <v>29</v>
      </c>
      <c r="K16" s="5" t="n">
        <v>29</v>
      </c>
      <c r="L16" s="5" t="n">
        <v>29</v>
      </c>
    </row>
    <row r="17">
      <c r="A17" t="inlineStr">
        <is>
          <t>Cash tax (negative)</t>
        </is>
      </c>
      <c r="B17">
        <f>-MAX(0,B15)*B16/100</f>
        <v/>
      </c>
      <c r="C17">
        <f>-MAX(0,C15)*C16/100</f>
        <v/>
      </c>
      <c r="D17">
        <f>-MAX(0,D15)*D16/100</f>
        <v/>
      </c>
      <c r="E17">
        <f>-MAX(0,E15)*E16/100</f>
        <v/>
      </c>
      <c r="F17">
        <f>-MAX(0,F15)*F16/100</f>
        <v/>
      </c>
      <c r="G17">
        <f>-MAX(0,G15)*G16/100</f>
        <v/>
      </c>
      <c r="H17">
        <f>-MAX(0,H15)*H16/100</f>
        <v/>
      </c>
      <c r="I17">
        <f>-MAX(0,I15)*I16/100</f>
        <v/>
      </c>
      <c r="J17">
        <f>-MAX(0,J15)*J16/100</f>
        <v/>
      </c>
      <c r="K17">
        <f>-MAX(0,K15)*K16/100</f>
        <v/>
      </c>
      <c r="L17">
        <f>-MAX(0,L15)*L16/100</f>
        <v/>
      </c>
    </row>
    <row r="18">
      <c r="A18" t="inlineStr">
        <is>
          <t>NOPAT</t>
        </is>
      </c>
      <c r="B18">
        <f>B15+B17</f>
        <v/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add back D&amp;A</t>
        </is>
      </c>
      <c r="B19">
        <f>-B14</f>
        <v/>
      </c>
      <c r="C19">
        <f>-C14</f>
        <v/>
      </c>
      <c r="D19">
        <f>-D14</f>
        <v/>
      </c>
      <c r="E19">
        <f>-E14</f>
        <v/>
      </c>
      <c r="F19">
        <f>-F14</f>
        <v/>
      </c>
      <c r="G19">
        <f>-G14</f>
        <v/>
      </c>
      <c r="H19">
        <f>-H14</f>
        <v/>
      </c>
      <c r="I19">
        <f>-I14</f>
        <v/>
      </c>
      <c r="J19">
        <f>-J14</f>
        <v/>
      </c>
      <c r="K19">
        <f>-K14</f>
        <v/>
      </c>
      <c r="L19">
        <f>-L14</f>
        <v/>
      </c>
    </row>
    <row r="20">
      <c r="A20" t="inlineStr">
        <is>
          <t>Capex % revenue</t>
        </is>
      </c>
      <c r="C20" s="5" t="n">
        <v>2.6</v>
      </c>
      <c r="D20" s="5" t="n">
        <v>2.5</v>
      </c>
      <c r="E20" s="5" t="n">
        <v>2.4</v>
      </c>
      <c r="F20" s="5" t="n">
        <v>2.4</v>
      </c>
      <c r="G20" s="5" t="n">
        <v>2.4</v>
      </c>
      <c r="H20" s="5" t="n">
        <v>2.4</v>
      </c>
      <c r="I20" s="5" t="n">
        <v>2.4</v>
      </c>
      <c r="J20" s="5" t="n">
        <v>2.4</v>
      </c>
      <c r="K20" s="5" t="n">
        <v>2.4</v>
      </c>
      <c r="L20" s="5" t="n">
        <v>2.4</v>
      </c>
    </row>
    <row r="21">
      <c r="A21" t="inlineStr">
        <is>
          <t>Capex (negative)</t>
        </is>
      </c>
      <c r="B21" s="3" t="n">
        <v>-26.606</v>
      </c>
      <c r="C21">
        <f>-C6*C20/100</f>
        <v/>
      </c>
      <c r="D21">
        <f>-D6*D20/100</f>
        <v/>
      </c>
      <c r="E21">
        <f>-E6*E20/100</f>
        <v/>
      </c>
      <c r="F21">
        <f>-F6*F20/100</f>
        <v/>
      </c>
      <c r="G21">
        <f>-G6*G20/100</f>
        <v/>
      </c>
      <c r="H21">
        <f>-H6*H20/100</f>
        <v/>
      </c>
      <c r="I21">
        <f>-I6*I20/100</f>
        <v/>
      </c>
      <c r="J21">
        <f>-J6*J20/100</f>
        <v/>
      </c>
      <c r="K21">
        <f>-K6*K20/100</f>
        <v/>
      </c>
      <c r="L21">
        <f>-L6*L20/100</f>
        <v/>
      </c>
    </row>
    <row r="22">
      <c r="A22" t="inlineStr">
        <is>
          <t>Working capital (negative = consumed)</t>
        </is>
      </c>
      <c r="B22" s="3" t="n">
        <v>-11.136</v>
      </c>
      <c r="C22" s="4">
        <f>Assumptions!$C$18/100*(C6-B6)</f>
        <v/>
      </c>
      <c r="D22" s="4">
        <f>Assumptions!$C$18/100*(D6-C6)</f>
        <v/>
      </c>
      <c r="E22" s="4">
        <f>Assumptions!$C$18/100*(E6-D6)</f>
        <v/>
      </c>
      <c r="F22" s="4">
        <f>Assumptions!$C$18/100*(F6-E6)</f>
        <v/>
      </c>
      <c r="G22" s="4">
        <f>Assumptions!$C$18/100*(G6-F6)</f>
        <v/>
      </c>
      <c r="H22" s="4">
        <f>Assumptions!$C$18/100*(H6-G6)</f>
        <v/>
      </c>
      <c r="I22" s="4">
        <f>Assumptions!$C$18/100*(I6-H6)</f>
        <v/>
      </c>
      <c r="J22" s="4">
        <f>Assumptions!$C$18/100*(J6-I6)</f>
        <v/>
      </c>
      <c r="K22" s="4">
        <f>Assumptions!$C$18/100*(K6-J6)</f>
        <v/>
      </c>
      <c r="L22" s="4">
        <f>Assumptions!$C$18/100*(L6-K6)</f>
        <v/>
      </c>
    </row>
    <row r="23">
      <c r="A23" s="1" t="inlineStr">
        <is>
          <t>Unlevered owner FCF</t>
        </is>
      </c>
      <c r="B23">
        <f>B18+B19+B21+B22</f>
        <v/>
      </c>
      <c r="C23" s="1">
        <f>C18+C19+C21+C22</f>
        <v/>
      </c>
      <c r="D23" s="1">
        <f>D18+D19+D21+D22</f>
        <v/>
      </c>
      <c r="E23" s="1">
        <f>E18+E19+E21+E22</f>
        <v/>
      </c>
      <c r="F23" s="1">
        <f>F18+F19+F21+F22</f>
        <v/>
      </c>
      <c r="G23" s="1">
        <f>G18+G19+G21+G22</f>
        <v/>
      </c>
      <c r="H23" s="1">
        <f>H18+H19+H21+H22</f>
        <v/>
      </c>
      <c r="I23" s="1">
        <f>I18+I19+I21+I22</f>
        <v/>
      </c>
      <c r="J23" s="1">
        <f>J18+J19+J21+J22</f>
        <v/>
      </c>
      <c r="K23" s="1">
        <f>K18+K19+K21+K22</f>
        <v/>
      </c>
      <c r="L23" s="1">
        <f>L18+L19+L21+L22</f>
        <v/>
      </c>
    </row>
    <row r="24">
      <c r="A24" t="inlineStr">
        <is>
          <t>Discount factor</t>
        </is>
      </c>
      <c r="C24" s="4">
        <f>1/(1+Assumptions!$C$14/100)^C4</f>
        <v/>
      </c>
      <c r="D24" s="4">
        <f>1/(1+Assumptions!$C$14/100)^D4</f>
        <v/>
      </c>
      <c r="E24" s="4">
        <f>1/(1+Assumptions!$C$14/100)^E4</f>
        <v/>
      </c>
      <c r="F24" s="4">
        <f>1/(1+Assumptions!$C$14/100)^F4</f>
        <v/>
      </c>
      <c r="G24" s="4">
        <f>1/(1+Assumptions!$C$14/100)^G4</f>
        <v/>
      </c>
      <c r="H24" s="4">
        <f>1/(1+Assumptions!$C$14/100)^H4</f>
        <v/>
      </c>
      <c r="I24" s="4">
        <f>1/(1+Assumptions!$C$14/100)^I4</f>
        <v/>
      </c>
      <c r="J24" s="4">
        <f>1/(1+Assumptions!$C$14/100)^J4</f>
        <v/>
      </c>
      <c r="K24" s="4">
        <f>1/(1+Assumptions!$C$14/100)^K4</f>
        <v/>
      </c>
      <c r="L24" s="4">
        <f>1/(1+Assumptions!$C$14/100)^L4</f>
        <v/>
      </c>
    </row>
    <row r="25">
      <c r="A25" t="inlineStr">
        <is>
          <t>PV of FCF</t>
        </is>
      </c>
      <c r="C25">
        <f>C23*C24</f>
        <v/>
      </c>
      <c r="D25">
        <f>D23*D24</f>
        <v/>
      </c>
      <c r="E25">
        <f>E23*E24</f>
        <v/>
      </c>
      <c r="F25">
        <f>F23*F24</f>
        <v/>
      </c>
      <c r="G25">
        <f>G23*G24</f>
        <v/>
      </c>
      <c r="H25">
        <f>H23*H24</f>
        <v/>
      </c>
      <c r="I25">
        <f>I23*I24</f>
        <v/>
      </c>
      <c r="J25">
        <f>J23*J24</f>
        <v/>
      </c>
      <c r="K25">
        <f>K23*K24</f>
        <v/>
      </c>
      <c r="L25">
        <f>L23*L24</f>
        <v/>
      </c>
    </row>
    <row r="27">
      <c r="A27" t="inlineStr">
        <is>
          <t>Memo: FCF before SBC</t>
        </is>
      </c>
      <c r="C27">
        <f>C23-C10</f>
        <v/>
      </c>
      <c r="D27">
        <f>D23-D10</f>
        <v/>
      </c>
      <c r="E27">
        <f>E23-E10</f>
        <v/>
      </c>
      <c r="F27">
        <f>F23-F10</f>
        <v/>
      </c>
      <c r="G27">
        <f>G23-G10</f>
        <v/>
      </c>
      <c r="H27">
        <f>H23-H10</f>
        <v/>
      </c>
      <c r="I27">
        <f>I23-I10</f>
        <v/>
      </c>
      <c r="J27">
        <f>J23-J10</f>
        <v/>
      </c>
      <c r="K27">
        <f>K23-K10</f>
        <v/>
      </c>
      <c r="L27">
        <f>L23-L10</f>
        <v/>
      </c>
    </row>
    <row r="28">
      <c r="A28" t="inlineStr">
        <is>
          <t>Memo: owner FCF margin</t>
        </is>
      </c>
      <c r="B28">
        <f>B23/B6</f>
        <v/>
      </c>
      <c r="C28">
        <f>C23/C6</f>
        <v/>
      </c>
      <c r="D28">
        <f>D23/D6</f>
        <v/>
      </c>
      <c r="E28">
        <f>E23/E6</f>
        <v/>
      </c>
      <c r="F28">
        <f>F23/F6</f>
        <v/>
      </c>
      <c r="G28">
        <f>G23/G6</f>
        <v/>
      </c>
      <c r="H28">
        <f>H23/H6</f>
        <v/>
      </c>
      <c r="I28">
        <f>I23/I6</f>
        <v/>
      </c>
      <c r="J28">
        <f>J23/J6</f>
        <v/>
      </c>
      <c r="K28">
        <f>K23/K6</f>
        <v/>
      </c>
      <c r="L28">
        <f>L23/L6</f>
        <v/>
      </c>
    </row>
    <row r="30">
      <c r="A30" t="inlineStr">
        <is>
          <t>Sum of PV (FY27-FY36)</t>
        </is>
      </c>
      <c r="B30">
        <f>SUM(C25:L25)</f>
        <v/>
      </c>
    </row>
    <row r="31">
      <c r="A31" t="inlineStr">
        <is>
          <t>Terminal growth %</t>
        </is>
      </c>
      <c r="B31" s="4">
        <f>Assumptions!$C$15</f>
        <v/>
      </c>
    </row>
    <row r="32">
      <c r="A32" t="inlineStr">
        <is>
          <t>Terminal FCF = FCF10 x (1+g)</t>
        </is>
      </c>
      <c r="B32">
        <f>L23*(1+B31/100)</f>
        <v/>
      </c>
    </row>
    <row r="33">
      <c r="A33" t="inlineStr">
        <is>
          <t>Gordon TV</t>
        </is>
      </c>
      <c r="B33">
        <f>B32/(Assumptions!$C$14/100-B31/100)</f>
        <v/>
      </c>
    </row>
    <row r="34">
      <c r="A34" t="inlineStr">
        <is>
          <t>Cap TV = cap x FCF10</t>
        </is>
      </c>
      <c r="B34">
        <f>Assumptions!$C$16*L23</f>
        <v/>
      </c>
    </row>
    <row r="35">
      <c r="A35" t="inlineStr">
        <is>
          <t>TV used = MAX(0, MIN(Gordon, cap))</t>
        </is>
      </c>
      <c r="B35">
        <f>MAX(0,MIN(B33,B34))</f>
        <v/>
      </c>
    </row>
    <row r="36">
      <c r="A36" t="inlineStr">
        <is>
          <t>Implied exit multiple (TV / FCF10)</t>
        </is>
      </c>
      <c r="B36">
        <f>IF(L23&lt;&gt;0,B35/L23,0)</f>
        <v/>
      </c>
    </row>
    <row r="37">
      <c r="A37" t="inlineStr">
        <is>
          <t>PV of TV</t>
        </is>
      </c>
      <c r="B37">
        <f>B35*L24</f>
        <v/>
      </c>
    </row>
    <row r="38">
      <c r="A38" t="inlineStr">
        <is>
          <t>Enterprise value (ex leases)</t>
        </is>
      </c>
      <c r="B38">
        <f>B30+B37</f>
        <v/>
      </c>
    </row>
    <row r="39">
      <c r="A39" t="inlineStr">
        <is>
          <t>less net bank debt</t>
        </is>
      </c>
      <c r="B39" s="4">
        <f>-Assumptions!$B$5</f>
        <v/>
      </c>
    </row>
    <row r="40">
      <c r="A40" t="inlineStr">
        <is>
          <t>less NCI</t>
        </is>
      </c>
      <c r="B40" s="4">
        <f>-Assumptions!$B$6</f>
        <v/>
      </c>
    </row>
    <row r="41">
      <c r="A41" t="inlineStr">
        <is>
          <t>Equity value</t>
        </is>
      </c>
      <c r="B41">
        <f>B38+B39+B40</f>
        <v/>
      </c>
    </row>
    <row r="42">
      <c r="A42" t="inlineStr">
        <is>
          <t>Diluted shares (m)</t>
        </is>
      </c>
      <c r="B42" s="4">
        <f>Assumptions!$B$4</f>
        <v/>
      </c>
    </row>
    <row r="43">
      <c r="A43" t="inlineStr">
        <is>
          <t>VALUE PER SHARE (NZ$)</t>
        </is>
      </c>
      <c r="B43" s="6">
        <f>B41/B42</f>
        <v/>
      </c>
    </row>
    <row r="44">
      <c r="A44" t="inlineStr">
        <is>
          <t>Upside vs price</t>
        </is>
      </c>
      <c r="B44">
        <f>B43/Assumptions!$B$2-1</f>
        <v/>
      </c>
    </row>
    <row r="46">
      <c r="A46" t="inlineStr">
        <is>
          <t>Street memo: PV of explicit SBC</t>
        </is>
      </c>
      <c r="B46">
        <f>SUMPRODUCT(-C10:L10/(1+Assumptions!$C$14/100)^C4:L4)</f>
        <v/>
      </c>
    </row>
    <row r="47">
      <c r="A47" t="inlineStr">
        <is>
          <t>Street memo: PV of terminal SBC</t>
        </is>
      </c>
      <c r="B47">
        <f>(-L10*(1+B31/100)/(Assumptions!$C$14/100-B31/100))*L24</f>
        <v/>
      </c>
    </row>
    <row r="48">
      <c r="A48" t="inlineStr">
        <is>
          <t>Street value per share</t>
        </is>
      </c>
      <c r="B48">
        <f>(B41+B46+B47)/B42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Bull scenario -- owner FCF, lease treatment B (NZ$m)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FY2027E</t>
        </is>
      </c>
      <c r="D3" t="inlineStr">
        <is>
          <t>FY2028E</t>
        </is>
      </c>
      <c r="E3" t="inlineStr">
        <is>
          <t>FY2029E</t>
        </is>
      </c>
      <c r="F3" t="inlineStr">
        <is>
          <t>FY2030E</t>
        </is>
      </c>
      <c r="G3" t="inlineStr">
        <is>
          <t>FY2031E</t>
        </is>
      </c>
      <c r="H3" t="inlineStr">
        <is>
          <t>FY2032E</t>
        </is>
      </c>
      <c r="I3" t="inlineStr">
        <is>
          <t>FY2033E</t>
        </is>
      </c>
      <c r="J3" t="inlineStr">
        <is>
          <t>FY2034E</t>
        </is>
      </c>
      <c r="K3" t="inlineStr">
        <is>
          <t>FY2035E</t>
        </is>
      </c>
      <c r="L3" t="inlineStr">
        <is>
          <t>FY2036E</t>
        </is>
      </c>
    </row>
    <row r="4">
      <c r="A4" t="inlineStr">
        <is>
          <t>Year 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5" t="n">
        <v>10</v>
      </c>
      <c r="D5" s="5" t="n">
        <v>8</v>
      </c>
      <c r="E5" s="5" t="n">
        <v>7</v>
      </c>
      <c r="F5" s="5" t="n">
        <v>6</v>
      </c>
      <c r="G5" s="5" t="n">
        <v>5</v>
      </c>
      <c r="H5" s="5" t="n">
        <v>4</v>
      </c>
      <c r="I5" s="5" t="n">
        <v>3.5</v>
      </c>
      <c r="J5" s="5" t="n">
        <v>3</v>
      </c>
      <c r="K5" s="5" t="n">
        <v>3</v>
      </c>
      <c r="L5" s="5" t="n">
        <v>3</v>
      </c>
    </row>
    <row r="6">
      <c r="A6" t="inlineStr">
        <is>
          <t>Revenue</t>
        </is>
      </c>
      <c r="B6" s="3" t="n">
        <v>1158.807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</t>
        </is>
      </c>
      <c r="B7" s="3" t="n">
        <v>11.25</v>
      </c>
      <c r="C7" s="5" t="n">
        <v>12</v>
      </c>
      <c r="D7" s="5" t="n">
        <v>12.8</v>
      </c>
      <c r="E7" s="5" t="n">
        <v>13.5</v>
      </c>
      <c r="F7" s="5" t="n">
        <v>14.2</v>
      </c>
      <c r="G7" s="5" t="n">
        <v>14.8</v>
      </c>
      <c r="H7" s="5" t="n">
        <v>15.2</v>
      </c>
      <c r="I7" s="5" t="n">
        <v>15.5</v>
      </c>
      <c r="J7" s="5" t="n">
        <v>15.5</v>
      </c>
      <c r="K7" s="5" t="n">
        <v>15.5</v>
      </c>
      <c r="L7" s="5" t="n">
        <v>15.5</v>
      </c>
    </row>
    <row r="8">
      <c r="A8" t="inlineStr">
        <is>
          <t>Adjusted EBITDA (post IFRS-16)</t>
        </is>
      </c>
      <c r="B8">
        <f>B6*B7/100</f>
        <v/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revenue</t>
        </is>
      </c>
      <c r="B9" s="3" t="n">
        <v>0.38</v>
      </c>
      <c r="C9" s="5" t="n">
        <v>0.35</v>
      </c>
      <c r="D9" s="5" t="n">
        <v>0.35</v>
      </c>
      <c r="E9" s="5" t="n">
        <v>0.35</v>
      </c>
      <c r="F9" s="5" t="n">
        <v>0.35</v>
      </c>
      <c r="G9" s="5" t="n">
        <v>0.35</v>
      </c>
      <c r="H9" s="5" t="n">
        <v>0.35</v>
      </c>
      <c r="I9" s="5" t="n">
        <v>0.35</v>
      </c>
      <c r="J9" s="5" t="n">
        <v>0.35</v>
      </c>
      <c r="K9" s="5" t="n">
        <v>0.35</v>
      </c>
      <c r="L9" s="5" t="n">
        <v>0.35</v>
      </c>
    </row>
    <row r="10">
      <c r="A10" t="inlineStr">
        <is>
          <t>SBC (negative)</t>
        </is>
      </c>
      <c r="B10">
        <f>-B6*B9/100</f>
        <v/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% revenue</t>
        </is>
      </c>
      <c r="B11" s="3" t="n">
        <v>4.62</v>
      </c>
      <c r="C11" s="4">
        <f>Assumptions!$D$17</f>
        <v/>
      </c>
      <c r="D11" s="4">
        <f>Assumptions!$D$17</f>
        <v/>
      </c>
      <c r="E11" s="4">
        <f>Assumptions!$D$17</f>
        <v/>
      </c>
      <c r="F11" s="4">
        <f>Assumptions!$D$17</f>
        <v/>
      </c>
      <c r="G11" s="4">
        <f>Assumptions!$D$17</f>
        <v/>
      </c>
      <c r="H11" s="4">
        <f>Assumptions!$D$17</f>
        <v/>
      </c>
      <c r="I11" s="4">
        <f>Assumptions!$D$17</f>
        <v/>
      </c>
      <c r="J11" s="4">
        <f>Assumptions!$D$17</f>
        <v/>
      </c>
      <c r="K11" s="4">
        <f>Assumptions!$D$17</f>
        <v/>
      </c>
      <c r="L11" s="4">
        <f>Assumptions!$D$17</f>
        <v/>
      </c>
    </row>
    <row r="12">
      <c r="A12" t="inlineStr">
        <is>
          <t>Lease cash (negative)</t>
        </is>
      </c>
      <c r="B12">
        <f>-B6*B11/100</f>
        <v/>
      </c>
      <c r="C12">
        <f>-C6*C11/100</f>
        <v/>
      </c>
      <c r="D12">
        <f>-D6*D11/100</f>
        <v/>
      </c>
      <c r="E12">
        <f>-E6*E11/100</f>
        <v/>
      </c>
      <c r="F12">
        <f>-F6*F11/100</f>
        <v/>
      </c>
      <c r="G12">
        <f>-G6*G11/100</f>
        <v/>
      </c>
      <c r="H12">
        <f>-H6*H11/100</f>
        <v/>
      </c>
      <c r="I12">
        <f>-I6*I11/100</f>
        <v/>
      </c>
      <c r="J12">
        <f>-J6*J11/100</f>
        <v/>
      </c>
      <c r="K12">
        <f>-K6*K11/100</f>
        <v/>
      </c>
      <c r="L12">
        <f>-L6*L11/100</f>
        <v/>
      </c>
    </row>
    <row r="13">
      <c r="A13" t="inlineStr">
        <is>
          <t>Owner EBITDA (pre IFRS-16, post SBC)</t>
        </is>
      </c>
      <c r="B13">
        <f>B8+B10+B12</f>
        <v/>
      </c>
      <c r="C13">
        <f>C8+C10+C12</f>
        <v/>
      </c>
      <c r="D13">
        <f>D8+D10+D12</f>
        <v/>
      </c>
      <c r="E13">
        <f>E8+E10+E12</f>
        <v/>
      </c>
      <c r="F13">
        <f>F8+F10+F12</f>
        <v/>
      </c>
      <c r="G13">
        <f>G8+G10+G12</f>
        <v/>
      </c>
      <c r="H13">
        <f>H8+H10+H12</f>
        <v/>
      </c>
      <c r="I13">
        <f>I8+I10+I12</f>
        <v/>
      </c>
      <c r="J13">
        <f>J8+J10+J12</f>
        <v/>
      </c>
      <c r="K13">
        <f>K8+K10+K12</f>
        <v/>
      </c>
      <c r="L13">
        <f>L8+L10+L12</f>
        <v/>
      </c>
    </row>
    <row r="14">
      <c r="A14" t="inlineStr">
        <is>
          <t>D&amp;A ex-ROU (negative)</t>
        </is>
      </c>
      <c r="B14" s="3" t="n">
        <v>-22.889</v>
      </c>
      <c r="C14" s="4">
        <f>-C6*Assumptions!$B$8/100</f>
        <v/>
      </c>
      <c r="D14" s="4">
        <f>-D6*Assumptions!$B$8/100</f>
        <v/>
      </c>
      <c r="E14" s="4">
        <f>-E6*Assumptions!$B$8/100</f>
        <v/>
      </c>
      <c r="F14" s="4">
        <f>-F6*Assumptions!$B$8/100</f>
        <v/>
      </c>
      <c r="G14" s="4">
        <f>-G6*Assumptions!$B$8/100</f>
        <v/>
      </c>
      <c r="H14" s="4">
        <f>-H6*Assumptions!$B$8/100</f>
        <v/>
      </c>
      <c r="I14" s="4">
        <f>-I6*Assumptions!$B$8/100</f>
        <v/>
      </c>
      <c r="J14" s="4">
        <f>-J6*Assumptions!$B$8/100</f>
        <v/>
      </c>
      <c r="K14" s="4">
        <f>-K6*Assumptions!$B$8/100</f>
        <v/>
      </c>
      <c r="L14" s="4">
        <f>-L6*Assumptions!$B$8/100</f>
        <v/>
      </c>
    </row>
    <row r="15">
      <c r="A15" t="inlineStr">
        <is>
          <t>EBIT</t>
        </is>
      </c>
      <c r="B15">
        <f>B13+B14</f>
        <v/>
      </c>
      <c r="C15">
        <f>C13+C14</f>
        <v/>
      </c>
      <c r="D15">
        <f>D13+D14</f>
        <v/>
      </c>
      <c r="E15">
        <f>E13+E14</f>
        <v/>
      </c>
      <c r="F15">
        <f>F13+F14</f>
        <v/>
      </c>
      <c r="G15">
        <f>G13+G14</f>
        <v/>
      </c>
      <c r="H15">
        <f>H13+H14</f>
        <v/>
      </c>
      <c r="I15">
        <f>I13+I14</f>
        <v/>
      </c>
      <c r="J15">
        <f>J13+J14</f>
        <v/>
      </c>
      <c r="K15">
        <f>K13+K14</f>
        <v/>
      </c>
      <c r="L15">
        <f>L13+L14</f>
        <v/>
      </c>
    </row>
    <row r="16">
      <c r="A16" t="inlineStr">
        <is>
          <t>Cash tax rate %</t>
        </is>
      </c>
      <c r="B16" s="3" t="n">
        <v>29</v>
      </c>
      <c r="C16" s="5" t="n">
        <v>29</v>
      </c>
      <c r="D16" s="5" t="n">
        <v>29</v>
      </c>
      <c r="E16" s="5" t="n">
        <v>29</v>
      </c>
      <c r="F16" s="5" t="n">
        <v>29</v>
      </c>
      <c r="G16" s="5" t="n">
        <v>29</v>
      </c>
      <c r="H16" s="5" t="n">
        <v>29</v>
      </c>
      <c r="I16" s="5" t="n">
        <v>29</v>
      </c>
      <c r="J16" s="5" t="n">
        <v>29</v>
      </c>
      <c r="K16" s="5" t="n">
        <v>29</v>
      </c>
      <c r="L16" s="5" t="n">
        <v>29</v>
      </c>
    </row>
    <row r="17">
      <c r="A17" t="inlineStr">
        <is>
          <t>Cash tax (negative)</t>
        </is>
      </c>
      <c r="B17">
        <f>-MAX(0,B15)*B16/100</f>
        <v/>
      </c>
      <c r="C17">
        <f>-MAX(0,C15)*C16/100</f>
        <v/>
      </c>
      <c r="D17">
        <f>-MAX(0,D15)*D16/100</f>
        <v/>
      </c>
      <c r="E17">
        <f>-MAX(0,E15)*E16/100</f>
        <v/>
      </c>
      <c r="F17">
        <f>-MAX(0,F15)*F16/100</f>
        <v/>
      </c>
      <c r="G17">
        <f>-MAX(0,G15)*G16/100</f>
        <v/>
      </c>
      <c r="H17">
        <f>-MAX(0,H15)*H16/100</f>
        <v/>
      </c>
      <c r="I17">
        <f>-MAX(0,I15)*I16/100</f>
        <v/>
      </c>
      <c r="J17">
        <f>-MAX(0,J15)*J16/100</f>
        <v/>
      </c>
      <c r="K17">
        <f>-MAX(0,K15)*K16/100</f>
        <v/>
      </c>
      <c r="L17">
        <f>-MAX(0,L15)*L16/100</f>
        <v/>
      </c>
    </row>
    <row r="18">
      <c r="A18" t="inlineStr">
        <is>
          <t>NOPAT</t>
        </is>
      </c>
      <c r="B18">
        <f>B15+B17</f>
        <v/>
      </c>
      <c r="C18">
        <f>C15+C17</f>
        <v/>
      </c>
      <c r="D18">
        <f>D15+D17</f>
        <v/>
      </c>
      <c r="E18">
        <f>E15+E17</f>
        <v/>
      </c>
      <c r="F18">
        <f>F15+F17</f>
        <v/>
      </c>
      <c r="G18">
        <f>G15+G17</f>
        <v/>
      </c>
      <c r="H18">
        <f>H15+H17</f>
        <v/>
      </c>
      <c r="I18">
        <f>I15+I17</f>
        <v/>
      </c>
      <c r="J18">
        <f>J15+J17</f>
        <v/>
      </c>
      <c r="K18">
        <f>K15+K17</f>
        <v/>
      </c>
      <c r="L18">
        <f>L15+L17</f>
        <v/>
      </c>
    </row>
    <row r="19">
      <c r="A19" t="inlineStr">
        <is>
          <t>add back D&amp;A</t>
        </is>
      </c>
      <c r="B19">
        <f>-B14</f>
        <v/>
      </c>
      <c r="C19">
        <f>-C14</f>
        <v/>
      </c>
      <c r="D19">
        <f>-D14</f>
        <v/>
      </c>
      <c r="E19">
        <f>-E14</f>
        <v/>
      </c>
      <c r="F19">
        <f>-F14</f>
        <v/>
      </c>
      <c r="G19">
        <f>-G14</f>
        <v/>
      </c>
      <c r="H19">
        <f>-H14</f>
        <v/>
      </c>
      <c r="I19">
        <f>-I14</f>
        <v/>
      </c>
      <c r="J19">
        <f>-J14</f>
        <v/>
      </c>
      <c r="K19">
        <f>-K14</f>
        <v/>
      </c>
      <c r="L19">
        <f>-L14</f>
        <v/>
      </c>
    </row>
    <row r="20">
      <c r="A20" t="inlineStr">
        <is>
          <t>Capex % revenue</t>
        </is>
      </c>
      <c r="C20" s="5" t="n">
        <v>2.6</v>
      </c>
      <c r="D20" s="5" t="n">
        <v>2.5</v>
      </c>
      <c r="E20" s="5" t="n">
        <v>2.4</v>
      </c>
      <c r="F20" s="5" t="n">
        <v>2.4</v>
      </c>
      <c r="G20" s="5" t="n">
        <v>2.4</v>
      </c>
      <c r="H20" s="5" t="n">
        <v>2.4</v>
      </c>
      <c r="I20" s="5" t="n">
        <v>2.4</v>
      </c>
      <c r="J20" s="5" t="n">
        <v>2.4</v>
      </c>
      <c r="K20" s="5" t="n">
        <v>2.4</v>
      </c>
      <c r="L20" s="5" t="n">
        <v>2.4</v>
      </c>
    </row>
    <row r="21">
      <c r="A21" t="inlineStr">
        <is>
          <t>Capex (negative)</t>
        </is>
      </c>
      <c r="B21" s="3" t="n">
        <v>-26.606</v>
      </c>
      <c r="C21">
        <f>-C6*C20/100</f>
        <v/>
      </c>
      <c r="D21">
        <f>-D6*D20/100</f>
        <v/>
      </c>
      <c r="E21">
        <f>-E6*E20/100</f>
        <v/>
      </c>
      <c r="F21">
        <f>-F6*F20/100</f>
        <v/>
      </c>
      <c r="G21">
        <f>-G6*G20/100</f>
        <v/>
      </c>
      <c r="H21">
        <f>-H6*H20/100</f>
        <v/>
      </c>
      <c r="I21">
        <f>-I6*I20/100</f>
        <v/>
      </c>
      <c r="J21">
        <f>-J6*J20/100</f>
        <v/>
      </c>
      <c r="K21">
        <f>-K6*K20/100</f>
        <v/>
      </c>
      <c r="L21">
        <f>-L6*L20/100</f>
        <v/>
      </c>
    </row>
    <row r="22">
      <c r="A22" t="inlineStr">
        <is>
          <t>Working capital (negative = consumed)</t>
        </is>
      </c>
      <c r="B22" s="3" t="n">
        <v>-11.136</v>
      </c>
      <c r="C22" s="4">
        <f>Assumptions!$D$18/100*(C6-B6)</f>
        <v/>
      </c>
      <c r="D22" s="4">
        <f>Assumptions!$D$18/100*(D6-C6)</f>
        <v/>
      </c>
      <c r="E22" s="4">
        <f>Assumptions!$D$18/100*(E6-D6)</f>
        <v/>
      </c>
      <c r="F22" s="4">
        <f>Assumptions!$D$18/100*(F6-E6)</f>
        <v/>
      </c>
      <c r="G22" s="4">
        <f>Assumptions!$D$18/100*(G6-F6)</f>
        <v/>
      </c>
      <c r="H22" s="4">
        <f>Assumptions!$D$18/100*(H6-G6)</f>
        <v/>
      </c>
      <c r="I22" s="4">
        <f>Assumptions!$D$18/100*(I6-H6)</f>
        <v/>
      </c>
      <c r="J22" s="4">
        <f>Assumptions!$D$18/100*(J6-I6)</f>
        <v/>
      </c>
      <c r="K22" s="4">
        <f>Assumptions!$D$18/100*(K6-J6)</f>
        <v/>
      </c>
      <c r="L22" s="4">
        <f>Assumptions!$D$18/100*(L6-K6)</f>
        <v/>
      </c>
    </row>
    <row r="23">
      <c r="A23" s="1" t="inlineStr">
        <is>
          <t>Unlevered owner FCF</t>
        </is>
      </c>
      <c r="B23">
        <f>B18+B19+B21+B22</f>
        <v/>
      </c>
      <c r="C23" s="1">
        <f>C18+C19+C21+C22</f>
        <v/>
      </c>
      <c r="D23" s="1">
        <f>D18+D19+D21+D22</f>
        <v/>
      </c>
      <c r="E23" s="1">
        <f>E18+E19+E21+E22</f>
        <v/>
      </c>
      <c r="F23" s="1">
        <f>F18+F19+F21+F22</f>
        <v/>
      </c>
      <c r="G23" s="1">
        <f>G18+G19+G21+G22</f>
        <v/>
      </c>
      <c r="H23" s="1">
        <f>H18+H19+H21+H22</f>
        <v/>
      </c>
      <c r="I23" s="1">
        <f>I18+I19+I21+I22</f>
        <v/>
      </c>
      <c r="J23" s="1">
        <f>J18+J19+J21+J22</f>
        <v/>
      </c>
      <c r="K23" s="1">
        <f>K18+K19+K21+K22</f>
        <v/>
      </c>
      <c r="L23" s="1">
        <f>L18+L19+L21+L22</f>
        <v/>
      </c>
    </row>
    <row r="24">
      <c r="A24" t="inlineStr">
        <is>
          <t>Discount factor</t>
        </is>
      </c>
      <c r="C24" s="4">
        <f>1/(1+Assumptions!$D$14/100)^C4</f>
        <v/>
      </c>
      <c r="D24" s="4">
        <f>1/(1+Assumptions!$D$14/100)^D4</f>
        <v/>
      </c>
      <c r="E24" s="4">
        <f>1/(1+Assumptions!$D$14/100)^E4</f>
        <v/>
      </c>
      <c r="F24" s="4">
        <f>1/(1+Assumptions!$D$14/100)^F4</f>
        <v/>
      </c>
      <c r="G24" s="4">
        <f>1/(1+Assumptions!$D$14/100)^G4</f>
        <v/>
      </c>
      <c r="H24" s="4">
        <f>1/(1+Assumptions!$D$14/100)^H4</f>
        <v/>
      </c>
      <c r="I24" s="4">
        <f>1/(1+Assumptions!$D$14/100)^I4</f>
        <v/>
      </c>
      <c r="J24" s="4">
        <f>1/(1+Assumptions!$D$14/100)^J4</f>
        <v/>
      </c>
      <c r="K24" s="4">
        <f>1/(1+Assumptions!$D$14/100)^K4</f>
        <v/>
      </c>
      <c r="L24" s="4">
        <f>1/(1+Assumptions!$D$14/100)^L4</f>
        <v/>
      </c>
    </row>
    <row r="25">
      <c r="A25" t="inlineStr">
        <is>
          <t>PV of FCF</t>
        </is>
      </c>
      <c r="C25">
        <f>C23*C24</f>
        <v/>
      </c>
      <c r="D25">
        <f>D23*D24</f>
        <v/>
      </c>
      <c r="E25">
        <f>E23*E24</f>
        <v/>
      </c>
      <c r="F25">
        <f>F23*F24</f>
        <v/>
      </c>
      <c r="G25">
        <f>G23*G24</f>
        <v/>
      </c>
      <c r="H25">
        <f>H23*H24</f>
        <v/>
      </c>
      <c r="I25">
        <f>I23*I24</f>
        <v/>
      </c>
      <c r="J25">
        <f>J23*J24</f>
        <v/>
      </c>
      <c r="K25">
        <f>K23*K24</f>
        <v/>
      </c>
      <c r="L25">
        <f>L23*L24</f>
        <v/>
      </c>
    </row>
    <row r="27">
      <c r="A27" t="inlineStr">
        <is>
          <t>Memo: FCF before SBC</t>
        </is>
      </c>
      <c r="C27">
        <f>C23-C10</f>
        <v/>
      </c>
      <c r="D27">
        <f>D23-D10</f>
        <v/>
      </c>
      <c r="E27">
        <f>E23-E10</f>
        <v/>
      </c>
      <c r="F27">
        <f>F23-F10</f>
        <v/>
      </c>
      <c r="G27">
        <f>G23-G10</f>
        <v/>
      </c>
      <c r="H27">
        <f>H23-H10</f>
        <v/>
      </c>
      <c r="I27">
        <f>I23-I10</f>
        <v/>
      </c>
      <c r="J27">
        <f>J23-J10</f>
        <v/>
      </c>
      <c r="K27">
        <f>K23-K10</f>
        <v/>
      </c>
      <c r="L27">
        <f>L23-L10</f>
        <v/>
      </c>
    </row>
    <row r="28">
      <c r="A28" t="inlineStr">
        <is>
          <t>Memo: owner FCF margin</t>
        </is>
      </c>
      <c r="B28">
        <f>B23/B6</f>
        <v/>
      </c>
      <c r="C28">
        <f>C23/C6</f>
        <v/>
      </c>
      <c r="D28">
        <f>D23/D6</f>
        <v/>
      </c>
      <c r="E28">
        <f>E23/E6</f>
        <v/>
      </c>
      <c r="F28">
        <f>F23/F6</f>
        <v/>
      </c>
      <c r="G28">
        <f>G23/G6</f>
        <v/>
      </c>
      <c r="H28">
        <f>H23/H6</f>
        <v/>
      </c>
      <c r="I28">
        <f>I23/I6</f>
        <v/>
      </c>
      <c r="J28">
        <f>J23/J6</f>
        <v/>
      </c>
      <c r="K28">
        <f>K23/K6</f>
        <v/>
      </c>
      <c r="L28">
        <f>L23/L6</f>
        <v/>
      </c>
    </row>
    <row r="30">
      <c r="A30" t="inlineStr">
        <is>
          <t>Sum of PV (FY27-FY36)</t>
        </is>
      </c>
      <c r="B30">
        <f>SUM(C25:L25)</f>
        <v/>
      </c>
    </row>
    <row r="31">
      <c r="A31" t="inlineStr">
        <is>
          <t>Terminal growth %</t>
        </is>
      </c>
      <c r="B31" s="4">
        <f>Assumptions!$D$15</f>
        <v/>
      </c>
    </row>
    <row r="32">
      <c r="A32" t="inlineStr">
        <is>
          <t>Terminal FCF = FCF10 x (1+g)</t>
        </is>
      </c>
      <c r="B32">
        <f>L23*(1+B31/100)</f>
        <v/>
      </c>
    </row>
    <row r="33">
      <c r="A33" t="inlineStr">
        <is>
          <t>Gordon TV</t>
        </is>
      </c>
      <c r="B33">
        <f>B32/(Assumptions!$D$14/100-B31/100)</f>
        <v/>
      </c>
    </row>
    <row r="34">
      <c r="A34" t="inlineStr">
        <is>
          <t>Cap TV = cap x FCF10</t>
        </is>
      </c>
      <c r="B34">
        <f>Assumptions!$D$16*L23</f>
        <v/>
      </c>
    </row>
    <row r="35">
      <c r="A35" t="inlineStr">
        <is>
          <t>TV used = MAX(0, MIN(Gordon, cap))</t>
        </is>
      </c>
      <c r="B35">
        <f>MAX(0,MIN(B33,B34))</f>
        <v/>
      </c>
    </row>
    <row r="36">
      <c r="A36" t="inlineStr">
        <is>
          <t>Implied exit multiple (TV / FCF10)</t>
        </is>
      </c>
      <c r="B36">
        <f>IF(L23&lt;&gt;0,B35/L23,0)</f>
        <v/>
      </c>
    </row>
    <row r="37">
      <c r="A37" t="inlineStr">
        <is>
          <t>PV of TV</t>
        </is>
      </c>
      <c r="B37">
        <f>B35*L24</f>
        <v/>
      </c>
    </row>
    <row r="38">
      <c r="A38" t="inlineStr">
        <is>
          <t>Enterprise value (ex leases)</t>
        </is>
      </c>
      <c r="B38">
        <f>B30+B37</f>
        <v/>
      </c>
    </row>
    <row r="39">
      <c r="A39" t="inlineStr">
        <is>
          <t>less net bank debt</t>
        </is>
      </c>
      <c r="B39" s="4">
        <f>-Assumptions!$B$5</f>
        <v/>
      </c>
    </row>
    <row r="40">
      <c r="A40" t="inlineStr">
        <is>
          <t>less NCI</t>
        </is>
      </c>
      <c r="B40" s="4">
        <f>-Assumptions!$B$6</f>
        <v/>
      </c>
    </row>
    <row r="41">
      <c r="A41" t="inlineStr">
        <is>
          <t>Equity value</t>
        </is>
      </c>
      <c r="B41">
        <f>B38+B39+B40</f>
        <v/>
      </c>
    </row>
    <row r="42">
      <c r="A42" t="inlineStr">
        <is>
          <t>Diluted shares (m)</t>
        </is>
      </c>
      <c r="B42" s="4">
        <f>Assumptions!$B$4</f>
        <v/>
      </c>
    </row>
    <row r="43">
      <c r="A43" t="inlineStr">
        <is>
          <t>VALUE PER SHARE (NZ$)</t>
        </is>
      </c>
      <c r="B43" s="6">
        <f>B41/B42</f>
        <v/>
      </c>
    </row>
    <row r="44">
      <c r="A44" t="inlineStr">
        <is>
          <t>Upside vs price</t>
        </is>
      </c>
      <c r="B44">
        <f>B43/Assumptions!$B$2-1</f>
        <v/>
      </c>
    </row>
    <row r="46">
      <c r="A46" t="inlineStr">
        <is>
          <t>Street memo: PV of explicit SBC</t>
        </is>
      </c>
      <c r="B46">
        <f>SUMPRODUCT(-C10:L10/(1+Assumptions!$D$14/100)^C4:L4)</f>
        <v/>
      </c>
    </row>
    <row r="47">
      <c r="A47" t="inlineStr">
        <is>
          <t>Street memo: PV of terminal SBC</t>
        </is>
      </c>
      <c r="B47">
        <f>(-L10*(1+B31/100)/(Assumptions!$D$14/100-B31/100))*L24</f>
        <v/>
      </c>
    </row>
    <row r="48">
      <c r="A48" t="inlineStr">
        <is>
          <t>Street value per share</t>
        </is>
      </c>
      <c r="B48">
        <f>(B41+B46+B47)/B42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Reported FCF reconciled to unlevered owner FCF (NZ$m, lease treatment B)</t>
        </is>
      </c>
    </row>
    <row r="2">
      <c r="A2" t="inlineStr">
        <is>
          <t>Line</t>
        </is>
      </c>
      <c r="B2" s="1" t="inlineStr">
        <is>
          <t>FY2021</t>
        </is>
      </c>
      <c r="C2" s="1" t="inlineStr">
        <is>
          <t>FY2022</t>
        </is>
      </c>
      <c r="D2" s="1" t="inlineStr">
        <is>
          <t>FY2023</t>
        </is>
      </c>
      <c r="E2" s="1" t="inlineStr">
        <is>
          <t>FY2024</t>
        </is>
      </c>
      <c r="F2" s="1" t="inlineStr">
        <is>
          <t>FY2025</t>
        </is>
      </c>
      <c r="G2" s="1" t="inlineStr">
        <is>
          <t>FY2026</t>
        </is>
      </c>
    </row>
    <row r="3">
      <c r="A3" t="inlineStr">
        <is>
          <t>Operating cash flow</t>
        </is>
      </c>
      <c r="B3">
        <f>Actuals!B4</f>
        <v/>
      </c>
      <c r="C3">
        <f>Actuals!C4</f>
        <v/>
      </c>
      <c r="D3">
        <f>Actuals!D4</f>
        <v/>
      </c>
      <c r="E3">
        <f>Actuals!E4</f>
        <v/>
      </c>
      <c r="F3">
        <f>Actuals!F4</f>
        <v/>
      </c>
      <c r="G3">
        <f>Actuals!G4</f>
        <v/>
      </c>
    </row>
    <row r="4">
      <c r="A4" t="inlineStr">
        <is>
          <t>less capex</t>
        </is>
      </c>
      <c r="B4">
        <f>-Actuals!B5</f>
        <v/>
      </c>
      <c r="C4">
        <f>-Actuals!C5</f>
        <v/>
      </c>
      <c r="D4">
        <f>-Actuals!D5</f>
        <v/>
      </c>
      <c r="E4">
        <f>-Actuals!E5</f>
        <v/>
      </c>
      <c r="F4">
        <f>-Actuals!F5</f>
        <v/>
      </c>
      <c r="G4">
        <f>-Actuals!G5</f>
        <v/>
      </c>
    </row>
    <row r="5">
      <c r="A5" t="inlineStr">
        <is>
          <t>Reported FCF (company style, post-interest)</t>
        </is>
      </c>
      <c r="B5">
        <f>B3+B4</f>
        <v/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t="inlineStr">
        <is>
          <t>less SBC</t>
        </is>
      </c>
      <c r="B6">
        <f>-Actuals!B11</f>
        <v/>
      </c>
      <c r="C6">
        <f>-Actuals!C11</f>
        <v/>
      </c>
      <c r="D6">
        <f>-Actuals!D11</f>
        <v/>
      </c>
      <c r="E6">
        <f>-Actuals!E11</f>
        <v/>
      </c>
      <c r="F6">
        <f>-Actuals!F11</f>
        <v/>
      </c>
      <c r="G6">
        <f>-Actuals!G11</f>
        <v/>
      </c>
    </row>
    <row r="7">
      <c r="A7" t="inlineStr">
        <is>
          <t>less interest received</t>
        </is>
      </c>
      <c r="B7">
        <f>-Actuals!B9</f>
        <v/>
      </c>
      <c r="C7">
        <f>-Actuals!C9</f>
        <v/>
      </c>
      <c r="D7">
        <f>-Actuals!D9</f>
        <v/>
      </c>
      <c r="E7">
        <f>-Actuals!E9</f>
        <v/>
      </c>
      <c r="F7">
        <f>-Actuals!F9</f>
        <v/>
      </c>
      <c r="G7">
        <f>-Actuals!G9</f>
        <v/>
      </c>
    </row>
    <row r="8">
      <c r="A8" t="inlineStr">
        <is>
          <t>less lease principal</t>
        </is>
      </c>
      <c r="B8">
        <f>-Actuals!B6</f>
        <v/>
      </c>
      <c r="C8">
        <f>-Actuals!C6</f>
        <v/>
      </c>
      <c r="D8">
        <f>-Actuals!D6</f>
        <v/>
      </c>
      <c r="E8">
        <f>-Actuals!E6</f>
        <v/>
      </c>
      <c r="F8">
        <f>-Actuals!F6</f>
        <v/>
      </c>
      <c r="G8">
        <f>-Actuals!G6</f>
        <v/>
      </c>
    </row>
    <row r="9">
      <c r="A9" t="inlineStr">
        <is>
          <t>Owner FCF (levered)</t>
        </is>
      </c>
      <c r="B9">
        <f>B5+B6+B7+B8</f>
        <v/>
      </c>
      <c r="C9">
        <f>C5+C6+C7+C8</f>
        <v/>
      </c>
      <c r="D9">
        <f>D5+D6+D7+D8</f>
        <v/>
      </c>
      <c r="E9">
        <f>E5+E6+E7+E8</f>
        <v/>
      </c>
      <c r="F9">
        <f>F5+F6+F7+F8</f>
        <v/>
      </c>
      <c r="G9">
        <f>G5+G6+G7+G8</f>
        <v/>
      </c>
    </row>
    <row r="10">
      <c r="A10" t="inlineStr">
        <is>
          <t>add back bank interest x (1 - tax)</t>
        </is>
      </c>
      <c r="B10">
        <f>Actuals!B8*(1-Assumptions!$B$9/100)</f>
        <v/>
      </c>
      <c r="C10">
        <f>Actuals!C8*(1-Assumptions!$B$9/100)</f>
        <v/>
      </c>
      <c r="D10">
        <f>Actuals!D8*(1-Assumptions!$B$9/100)</f>
        <v/>
      </c>
      <c r="E10">
        <f>Actuals!E8*(1-Assumptions!$B$9/100)</f>
        <v/>
      </c>
      <c r="F10">
        <f>Actuals!F8*(1-Assumptions!$B$9/100)</f>
        <v/>
      </c>
      <c r="G10">
        <f>Actuals!G8*(1-Assumptions!$B$9/100)</f>
        <v/>
      </c>
    </row>
    <row r="11">
      <c r="A11" t="inlineStr">
        <is>
          <t>Owner FCF (unlevered)</t>
        </is>
      </c>
      <c r="B11">
        <f>B9+B10</f>
        <v/>
      </c>
      <c r="C11">
        <f>C9+C10</f>
        <v/>
      </c>
      <c r="D11">
        <f>D9+D10</f>
        <v/>
      </c>
      <c r="E11">
        <f>E9+E10</f>
        <v/>
      </c>
      <c r="F11">
        <f>F9+F10</f>
        <v/>
      </c>
      <c r="G11">
        <f>G9+G10</f>
        <v/>
      </c>
    </row>
    <row r="12">
      <c r="A12" t="inlineStr">
        <is>
          <t>Reported FCF margin</t>
        </is>
      </c>
      <c r="B12">
        <f>B5/Actuals!B2</f>
        <v/>
      </c>
      <c r="C12">
        <f>C5/Actuals!C2</f>
        <v/>
      </c>
      <c r="D12">
        <f>D5/Actuals!D2</f>
        <v/>
      </c>
      <c r="E12">
        <f>E5/Actuals!E2</f>
        <v/>
      </c>
      <c r="F12">
        <f>F5/Actuals!F2</f>
        <v/>
      </c>
      <c r="G12">
        <f>G5/Actuals!G2</f>
        <v/>
      </c>
    </row>
    <row r="13">
      <c r="A13" t="inlineStr">
        <is>
          <t>Owner FCF margin (unlevered)</t>
        </is>
      </c>
      <c r="B13">
        <f>B11/Actuals!B2</f>
        <v/>
      </c>
      <c r="C13">
        <f>C11/Actuals!C2</f>
        <v/>
      </c>
      <c r="D13">
        <f>D11/Actuals!D2</f>
        <v/>
      </c>
      <c r="E13">
        <f>E11/Actuals!E2</f>
        <v/>
      </c>
      <c r="F13">
        <f>F11/Actuals!F2</f>
        <v/>
      </c>
      <c r="G13">
        <f>G11/Actuals!G2</f>
        <v/>
      </c>
    </row>
    <row r="14">
      <c r="A14" t="inlineStr">
        <is>
          <t>Memo: lease cash (principal + interest)</t>
        </is>
      </c>
      <c r="B14">
        <f>Actuals!B6+Actuals!B7</f>
        <v/>
      </c>
      <c r="C14">
        <f>Actuals!C6+Actuals!C7</f>
        <v/>
      </c>
      <c r="D14">
        <f>Actuals!D6+Actuals!D7</f>
        <v/>
      </c>
      <c r="E14">
        <f>Actuals!E6+Actuals!E7</f>
        <v/>
      </c>
      <c r="F14">
        <f>Actuals!F6+Actuals!F7</f>
        <v/>
      </c>
      <c r="G14">
        <f>Actuals!G6+Actuals!G7</f>
        <v/>
      </c>
    </row>
    <row r="15">
      <c r="A15" t="inlineStr">
        <is>
          <t>Memo: lease cash % revenue</t>
        </is>
      </c>
      <c r="B15">
        <f>B14/Actuals!B2</f>
        <v/>
      </c>
      <c r="C15">
        <f>C14/Actuals!C2</f>
        <v/>
      </c>
      <c r="D15">
        <f>D14/Actuals!D2</f>
        <v/>
      </c>
      <c r="E15">
        <f>E14/Actuals!E2</f>
        <v/>
      </c>
      <c r="F15">
        <f>F14/Actuals!F2</f>
        <v/>
      </c>
      <c r="G15">
        <f>G14/Actuals!G2</f>
        <v/>
      </c>
    </row>
    <row r="16">
      <c r="A16" t="inlineStr">
        <is>
          <t>Memo: cash tax paid / NPAT (flag)</t>
        </is>
      </c>
      <c r="B16">
        <f>IF(Actuals!B12&lt;&gt;0,Actuals!B10/Actuals!B12,0)</f>
        <v/>
      </c>
      <c r="C16">
        <f>IF(Actuals!C12&lt;&gt;0,Actuals!C10/Actuals!C12,0)</f>
        <v/>
      </c>
      <c r="D16">
        <f>IF(Actuals!D12&lt;&gt;0,Actuals!D10/Actuals!D12,0)</f>
        <v/>
      </c>
      <c r="E16">
        <f>IF(Actuals!E12&lt;&gt;0,Actuals!E10/Actuals!E12,0)</f>
        <v/>
      </c>
      <c r="F16">
        <f>IF(Actuals!F12&lt;&gt;0,Actuals!F10/Actuals!F12,0)</f>
        <v/>
      </c>
      <c r="G16">
        <f>IF(Actuals!G12&lt;&gt;0,Actuals!G10/Actuals!G12,0)</f>
        <v/>
      </c>
    </row>
    <row r="18">
      <c r="A18" t="inlineStr">
        <is>
          <t>Working-capital note: FY23-FY25 owner FCF was flattered by NZ$60m+ of inventory/receivable release after the FY22 build; FY26 absorbed NZ$11.1m. The DCF is built from components, not this series.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Valuation summary (NZ$ per share)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Probability</t>
        </is>
      </c>
      <c r="E3" s="1" t="inlineStr">
        <is>
          <t>Street value per share</t>
        </is>
      </c>
      <c r="F3" s="1" t="inlineStr">
        <is>
          <t>Entry price @ hurdle</t>
        </is>
      </c>
    </row>
    <row r="4">
      <c r="A4" t="inlineStr">
        <is>
          <t>Bear</t>
        </is>
      </c>
      <c r="B4" s="4">
        <f>DCF_Bear!$B$43</f>
        <v/>
      </c>
      <c r="C4">
        <f>B4/Assumptions!$B$2-1</f>
        <v/>
      </c>
      <c r="D4" s="4">
        <f>Assumptions!$B$19</f>
        <v/>
      </c>
      <c r="E4" s="4">
        <f>DCF_Bear!$B$48</f>
        <v/>
      </c>
      <c r="F4">
        <f>(SUMPRODUCT(DCF_Bear!$C$23:$L$23/(1+Assumptions!$B$10/100)^DCF_Bear!$C$4:$L$4)+MAX(0,MIN(DCF_Bear!$L$23*(1+Assumptions!$B$15/100)/(Assumptions!$B$10/100-Assumptions!$B$15/100),Assumptions!$B$16*DCF_Bear!$L$23))/(1+Assumptions!$B$10/100)^10-Assumptions!$B$5-Assumptions!$B$6)/Assumptions!$B$4</f>
        <v/>
      </c>
    </row>
    <row r="5">
      <c r="A5" t="inlineStr">
        <is>
          <t>Base</t>
        </is>
      </c>
      <c r="B5" s="4">
        <f>DCF_Base!$B$43</f>
        <v/>
      </c>
      <c r="C5">
        <f>B5/Assumptions!$B$2-1</f>
        <v/>
      </c>
      <c r="D5" s="4">
        <f>Assumptions!$C$19</f>
        <v/>
      </c>
      <c r="E5" s="4">
        <f>DCF_Base!$B$48</f>
        <v/>
      </c>
      <c r="F5">
        <f>(SUMPRODUCT(DCF_Base!$C$23:$L$23/(1+Assumptions!$B$10/100)^DCF_Base!$C$4:$L$4)+MAX(0,MIN(DCF_Base!$L$23*(1+Assumptions!$C$15/100)/(Assumptions!$B$10/100-Assumptions!$C$15/100),Assumptions!$C$16*DCF_Base!$L$23))/(1+Assumptions!$B$10/100)^10-Assumptions!$B$5-Assumptions!$B$6)/Assumptions!$B$4</f>
        <v/>
      </c>
    </row>
    <row r="6">
      <c r="A6" t="inlineStr">
        <is>
          <t>Bull</t>
        </is>
      </c>
      <c r="B6" s="4">
        <f>DCF_Bull!$B$43</f>
        <v/>
      </c>
      <c r="C6">
        <f>B6/Assumptions!$B$2-1</f>
        <v/>
      </c>
      <c r="D6" s="4">
        <f>Assumptions!$D$19</f>
        <v/>
      </c>
      <c r="E6" s="4">
        <f>DCF_Bull!$B$48</f>
        <v/>
      </c>
      <c r="F6">
        <f>(SUMPRODUCT(DCF_Bull!$C$23:$L$23/(1+Assumptions!$B$10/100)^DCF_Bull!$C$4:$L$4)+MAX(0,MIN(DCF_Bull!$L$23*(1+Assumptions!$D$15/100)/(Assumptions!$B$10/100-Assumptions!$D$15/100),Assumptions!$D$16*DCF_Bull!$L$23))/(1+Assumptions!$B$10/100)^10-Assumptions!$B$5-Assumptions!$B$6)/Assumptions!$B$4</f>
        <v/>
      </c>
    </row>
    <row r="8">
      <c r="A8" t="inlineStr">
        <is>
          <t>Probability-weighted value</t>
        </is>
      </c>
      <c r="B8" s="6">
        <f>SUMPRODUCT(B4:B6,D4:D6)</f>
        <v/>
      </c>
    </row>
    <row r="9">
      <c r="A9" t="inlineStr">
        <is>
          <t>Margin of safety (1 - price / weighted)</t>
        </is>
      </c>
      <c r="B9">
        <f>1-Assumptions!$B$2/B8</f>
        <v/>
      </c>
    </row>
    <row r="10">
      <c r="A10" t="inlineStr">
        <is>
          <t>Street weighted value</t>
        </is>
      </c>
      <c r="B10">
        <f>SUMPRODUCT(E4:E6,D4:D6)</f>
        <v/>
      </c>
    </row>
    <row r="11">
      <c r="A11" t="inlineStr">
        <is>
          <t>Band position (price - house) / (street - house)</t>
        </is>
      </c>
      <c r="B11">
        <f>IF(ABS(B10-B8)&lt;0.000001,"n/a",(Assumptions!$B$2-B8)/(B10-B8))</f>
        <v/>
      </c>
    </row>
    <row r="12">
      <c r="A12" t="inlineStr">
        <is>
          <t>Weighted entry price @ hurdle (buy-below)</t>
        </is>
      </c>
      <c r="B12" s="1">
        <f>SUMPRODUCT(F4:F6,D4:D6)</f>
        <v/>
      </c>
    </row>
    <row r="13">
      <c r="A13" t="inlineStr">
        <is>
          <t>Current price</t>
        </is>
      </c>
      <c r="B13" s="4">
        <f>Assumptions!$B$2</f>
        <v/>
      </c>
    </row>
    <row r="15">
      <c r="A15" s="1" t="inlineStr">
        <is>
          <t>Required-return table (base case; TV rebuilt at each rate)</t>
        </is>
      </c>
    </row>
    <row r="16">
      <c r="A16" t="inlineStr">
        <is>
          <t>Required return %</t>
        </is>
      </c>
      <c r="B16" s="3" t="n">
        <v>9</v>
      </c>
      <c r="C16" s="3" t="n">
        <v>10</v>
      </c>
      <c r="D16" s="3" t="n">
        <v>10.5</v>
      </c>
      <c r="E16" s="3" t="n">
        <v>11</v>
      </c>
      <c r="F16" s="3" t="n">
        <v>12</v>
      </c>
      <c r="G16" s="3" t="n">
        <v>15</v>
      </c>
    </row>
    <row r="17">
      <c r="A17" t="inlineStr">
        <is>
          <t>Value per share</t>
        </is>
      </c>
      <c r="B17">
        <f>(SUMPRODUCT(DCF_Base!$C$23:$L$23/(1+B$16/100)^DCF_Base!$C$4:$L$4)+MAX(0,MIN(DCF_Base!$L$23*(1+Assumptions!$C$15/100)/(B$16/100-Assumptions!$C$15/100),Assumptions!$C$16*DCF_Base!$L$23))/(1+B$16/100)^10-Assumptions!$B$5-Assumptions!$B$6)/Assumptions!$B$4</f>
        <v/>
      </c>
      <c r="C17">
        <f>(SUMPRODUCT(DCF_Base!$C$23:$L$23/(1+C$16/100)^DCF_Base!$C$4:$L$4)+MAX(0,MIN(DCF_Base!$L$23*(1+Assumptions!$C$15/100)/(C$16/100-Assumptions!$C$15/100),Assumptions!$C$16*DCF_Base!$L$23))/(1+C$16/100)^10-Assumptions!$B$5-Assumptions!$B$6)/Assumptions!$B$4</f>
        <v/>
      </c>
      <c r="D17">
        <f>(SUMPRODUCT(DCF_Base!$C$23:$L$23/(1+D$16/100)^DCF_Base!$C$4:$L$4)+MAX(0,MIN(DCF_Base!$L$23*(1+Assumptions!$C$15/100)/(D$16/100-Assumptions!$C$15/100),Assumptions!$C$16*DCF_Base!$L$23))/(1+D$16/100)^10-Assumptions!$B$5-Assumptions!$B$6)/Assumptions!$B$4</f>
        <v/>
      </c>
      <c r="E17">
        <f>(SUMPRODUCT(DCF_Base!$C$23:$L$23/(1+E$16/100)^DCF_Base!$C$4:$L$4)+MAX(0,MIN(DCF_Base!$L$23*(1+Assumptions!$C$15/100)/(E$16/100-Assumptions!$C$15/100),Assumptions!$C$16*DCF_Base!$L$23))/(1+E$16/100)^10-Assumptions!$B$5-Assumptions!$B$6)/Assumptions!$B$4</f>
        <v/>
      </c>
      <c r="F17">
        <f>(SUMPRODUCT(DCF_Base!$C$23:$L$23/(1+F$16/100)^DCF_Base!$C$4:$L$4)+MAX(0,MIN(DCF_Base!$L$23*(1+Assumptions!$C$15/100)/(F$16/100-Assumptions!$C$15/100),Assumptions!$C$16*DCF_Base!$L$23))/(1+F$16/100)^10-Assumptions!$B$5-Assumptions!$B$6)/Assumptions!$B$4</f>
        <v/>
      </c>
      <c r="G17">
        <f>(SUMPRODUCT(DCF_Base!$C$23:$L$23/(1+G$16/100)^DCF_Base!$C$4:$L$4)+MAX(0,MIN(DCF_Base!$L$23*(1+Assumptions!$C$15/100)/(G$16/100-Assumptions!$C$15/100),Assumptions!$C$16*DCF_Base!$L$23))/(1+G$16/100)^10-Assumptions!$B$5-Assumptions!$B$6)/Assumptions!$B$4</f>
        <v/>
      </c>
    </row>
    <row r="19">
      <c r="A19" s="1" t="inlineStr">
        <is>
          <t>Sensitivity: base value per share, WACC (rows) x terminal growth (columns), cap 13x applied</t>
        </is>
      </c>
    </row>
    <row r="20">
      <c r="B20" s="3" t="n">
        <v>1.5</v>
      </c>
      <c r="C20" s="3" t="n">
        <v>2</v>
      </c>
      <c r="D20" s="3" t="n">
        <v>2.5</v>
      </c>
      <c r="E20" s="3" t="n">
        <v>3</v>
      </c>
      <c r="F20" s="3" t="n">
        <v>3.5</v>
      </c>
    </row>
    <row r="21">
      <c r="A21" s="3" t="n">
        <v>8.5</v>
      </c>
      <c r="B21">
        <f>IF($A21&gt;B$20,(SUMPRODUCT(DCF_Base!$C$23:$L$23/(1+$A21/100)^DCF_Base!$C$4:$L$4)+MAX(0,MIN(DCF_Base!$L$23*(1+B$20/100)/($A21/100-B$20/100),Assumptions!$C$16*DCF_Base!$L$23))/(1+$A21/100)^10-Assumptions!$B$5-Assumptions!$B$6)/Assumptions!$B$4,"n/a")</f>
        <v/>
      </c>
      <c r="C21">
        <f>IF($A21&gt;C$20,(SUMPRODUCT(DCF_Base!$C$23:$L$23/(1+$A21/100)^DCF_Base!$C$4:$L$4)+MAX(0,MIN(DCF_Base!$L$23*(1+C$20/100)/($A21/100-C$20/100),Assumptions!$C$16*DCF_Base!$L$23))/(1+$A21/100)^10-Assumptions!$B$5-Assumptions!$B$6)/Assumptions!$B$4,"n/a")</f>
        <v/>
      </c>
      <c r="D21">
        <f>IF($A21&gt;D$20,(SUMPRODUCT(DCF_Base!$C$23:$L$23/(1+$A21/100)^DCF_Base!$C$4:$L$4)+MAX(0,MIN(DCF_Base!$L$23*(1+D$20/100)/($A21/100-D$20/100),Assumptions!$C$16*DCF_Base!$L$23))/(1+$A21/100)^10-Assumptions!$B$5-Assumptions!$B$6)/Assumptions!$B$4,"n/a")</f>
        <v/>
      </c>
      <c r="E21">
        <f>IF($A21&gt;E$20,(SUMPRODUCT(DCF_Base!$C$23:$L$23/(1+$A21/100)^DCF_Base!$C$4:$L$4)+MAX(0,MIN(DCF_Base!$L$23*(1+E$20/100)/($A21/100-E$20/100),Assumptions!$C$16*DCF_Base!$L$23))/(1+$A21/100)^10-Assumptions!$B$5-Assumptions!$B$6)/Assumptions!$B$4,"n/a")</f>
        <v/>
      </c>
      <c r="F21">
        <f>IF($A21&gt;F$20,(SUMPRODUCT(DCF_Base!$C$23:$L$23/(1+$A21/100)^DCF_Base!$C$4:$L$4)+MAX(0,MIN(DCF_Base!$L$23*(1+F$20/100)/($A21/100-F$20/100),Assumptions!$C$16*DCF_Base!$L$23))/(1+$A21/100)^10-Assumptions!$B$5-Assumptions!$B$6)/Assumptions!$B$4,"n/a")</f>
        <v/>
      </c>
    </row>
    <row r="22">
      <c r="A22" s="3" t="n">
        <v>9.5</v>
      </c>
      <c r="B22">
        <f>IF($A22&gt;B$20,(SUMPRODUCT(DCF_Base!$C$23:$L$23/(1+$A22/100)^DCF_Base!$C$4:$L$4)+MAX(0,MIN(DCF_Base!$L$23*(1+B$20/100)/($A22/100-B$20/100),Assumptions!$C$16*DCF_Base!$L$23))/(1+$A22/100)^10-Assumptions!$B$5-Assumptions!$B$6)/Assumptions!$B$4,"n/a")</f>
        <v/>
      </c>
      <c r="C22">
        <f>IF($A22&gt;C$20,(SUMPRODUCT(DCF_Base!$C$23:$L$23/(1+$A22/100)^DCF_Base!$C$4:$L$4)+MAX(0,MIN(DCF_Base!$L$23*(1+C$20/100)/($A22/100-C$20/100),Assumptions!$C$16*DCF_Base!$L$23))/(1+$A22/100)^10-Assumptions!$B$5-Assumptions!$B$6)/Assumptions!$B$4,"n/a")</f>
        <v/>
      </c>
      <c r="D22">
        <f>IF($A22&gt;D$20,(SUMPRODUCT(DCF_Base!$C$23:$L$23/(1+$A22/100)^DCF_Base!$C$4:$L$4)+MAX(0,MIN(DCF_Base!$L$23*(1+D$20/100)/($A22/100-D$20/100),Assumptions!$C$16*DCF_Base!$L$23))/(1+$A22/100)^10-Assumptions!$B$5-Assumptions!$B$6)/Assumptions!$B$4,"n/a")</f>
        <v/>
      </c>
      <c r="E22">
        <f>IF($A22&gt;E$20,(SUMPRODUCT(DCF_Base!$C$23:$L$23/(1+$A22/100)^DCF_Base!$C$4:$L$4)+MAX(0,MIN(DCF_Base!$L$23*(1+E$20/100)/($A22/100-E$20/100),Assumptions!$C$16*DCF_Base!$L$23))/(1+$A22/100)^10-Assumptions!$B$5-Assumptions!$B$6)/Assumptions!$B$4,"n/a")</f>
        <v/>
      </c>
      <c r="F22">
        <f>IF($A22&gt;F$20,(SUMPRODUCT(DCF_Base!$C$23:$L$23/(1+$A22/100)^DCF_Base!$C$4:$L$4)+MAX(0,MIN(DCF_Base!$L$23*(1+F$20/100)/($A22/100-F$20/100),Assumptions!$C$16*DCF_Base!$L$23))/(1+$A22/100)^10-Assumptions!$B$5-Assumptions!$B$6)/Assumptions!$B$4,"n/a")</f>
        <v/>
      </c>
    </row>
    <row r="23">
      <c r="A23" s="3" t="n">
        <v>10.5</v>
      </c>
      <c r="B23">
        <f>IF($A23&gt;B$20,(SUMPRODUCT(DCF_Base!$C$23:$L$23/(1+$A23/100)^DCF_Base!$C$4:$L$4)+MAX(0,MIN(DCF_Base!$L$23*(1+B$20/100)/($A23/100-B$20/100),Assumptions!$C$16*DCF_Base!$L$23))/(1+$A23/100)^10-Assumptions!$B$5-Assumptions!$B$6)/Assumptions!$B$4,"n/a")</f>
        <v/>
      </c>
      <c r="C23">
        <f>IF($A23&gt;C$20,(SUMPRODUCT(DCF_Base!$C$23:$L$23/(1+$A23/100)^DCF_Base!$C$4:$L$4)+MAX(0,MIN(DCF_Base!$L$23*(1+C$20/100)/($A23/100-C$20/100),Assumptions!$C$16*DCF_Base!$L$23))/(1+$A23/100)^10-Assumptions!$B$5-Assumptions!$B$6)/Assumptions!$B$4,"n/a")</f>
        <v/>
      </c>
      <c r="D23">
        <f>IF($A23&gt;D$20,(SUMPRODUCT(DCF_Base!$C$23:$L$23/(1+$A23/100)^DCF_Base!$C$4:$L$4)+MAX(0,MIN(DCF_Base!$L$23*(1+D$20/100)/($A23/100-D$20/100),Assumptions!$C$16*DCF_Base!$L$23))/(1+$A23/100)^10-Assumptions!$B$5-Assumptions!$B$6)/Assumptions!$B$4,"n/a")</f>
        <v/>
      </c>
      <c r="E23">
        <f>IF($A23&gt;E$20,(SUMPRODUCT(DCF_Base!$C$23:$L$23/(1+$A23/100)^DCF_Base!$C$4:$L$4)+MAX(0,MIN(DCF_Base!$L$23*(1+E$20/100)/($A23/100-E$20/100),Assumptions!$C$16*DCF_Base!$L$23))/(1+$A23/100)^10-Assumptions!$B$5-Assumptions!$B$6)/Assumptions!$B$4,"n/a")</f>
        <v/>
      </c>
      <c r="F23">
        <f>IF($A23&gt;F$20,(SUMPRODUCT(DCF_Base!$C$23:$L$23/(1+$A23/100)^DCF_Base!$C$4:$L$4)+MAX(0,MIN(DCF_Base!$L$23*(1+F$20/100)/($A23/100-F$20/100),Assumptions!$C$16*DCF_Base!$L$23))/(1+$A23/100)^10-Assumptions!$B$5-Assumptions!$B$6)/Assumptions!$B$4,"n/a")</f>
        <v/>
      </c>
    </row>
    <row r="24">
      <c r="A24" s="3" t="n">
        <v>11.5</v>
      </c>
      <c r="B24">
        <f>IF($A24&gt;B$20,(SUMPRODUCT(DCF_Base!$C$23:$L$23/(1+$A24/100)^DCF_Base!$C$4:$L$4)+MAX(0,MIN(DCF_Base!$L$23*(1+B$20/100)/($A24/100-B$20/100),Assumptions!$C$16*DCF_Base!$L$23))/(1+$A24/100)^10-Assumptions!$B$5-Assumptions!$B$6)/Assumptions!$B$4,"n/a")</f>
        <v/>
      </c>
      <c r="C24">
        <f>IF($A24&gt;C$20,(SUMPRODUCT(DCF_Base!$C$23:$L$23/(1+$A24/100)^DCF_Base!$C$4:$L$4)+MAX(0,MIN(DCF_Base!$L$23*(1+C$20/100)/($A24/100-C$20/100),Assumptions!$C$16*DCF_Base!$L$23))/(1+$A24/100)^10-Assumptions!$B$5-Assumptions!$B$6)/Assumptions!$B$4,"n/a")</f>
        <v/>
      </c>
      <c r="D24">
        <f>IF($A24&gt;D$20,(SUMPRODUCT(DCF_Base!$C$23:$L$23/(1+$A24/100)^DCF_Base!$C$4:$L$4)+MAX(0,MIN(DCF_Base!$L$23*(1+D$20/100)/($A24/100-D$20/100),Assumptions!$C$16*DCF_Base!$L$23))/(1+$A24/100)^10-Assumptions!$B$5-Assumptions!$B$6)/Assumptions!$B$4,"n/a")</f>
        <v/>
      </c>
      <c r="E24">
        <f>IF($A24&gt;E$20,(SUMPRODUCT(DCF_Base!$C$23:$L$23/(1+$A24/100)^DCF_Base!$C$4:$L$4)+MAX(0,MIN(DCF_Base!$L$23*(1+E$20/100)/($A24/100-E$20/100),Assumptions!$C$16*DCF_Base!$L$23))/(1+$A24/100)^10-Assumptions!$B$5-Assumptions!$B$6)/Assumptions!$B$4,"n/a")</f>
        <v/>
      </c>
      <c r="F24">
        <f>IF($A24&gt;F$20,(SUMPRODUCT(DCF_Base!$C$23:$L$23/(1+$A24/100)^DCF_Base!$C$4:$L$4)+MAX(0,MIN(DCF_Base!$L$23*(1+F$20/100)/($A24/100-F$20/100),Assumptions!$C$16*DCF_Base!$L$23))/(1+$A24/100)^10-Assumptions!$B$5-Assumptions!$B$6)/Assumptions!$B$4,"n/a")</f>
        <v/>
      </c>
    </row>
    <row r="25">
      <c r="A25" s="3" t="n">
        <v>12.5</v>
      </c>
      <c r="B25">
        <f>IF($A25&gt;B$20,(SUMPRODUCT(DCF_Base!$C$23:$L$23/(1+$A25/100)^DCF_Base!$C$4:$L$4)+MAX(0,MIN(DCF_Base!$L$23*(1+B$20/100)/($A25/100-B$20/100),Assumptions!$C$16*DCF_Base!$L$23))/(1+$A25/100)^10-Assumptions!$B$5-Assumptions!$B$6)/Assumptions!$B$4,"n/a")</f>
        <v/>
      </c>
      <c r="C25">
        <f>IF($A25&gt;C$20,(SUMPRODUCT(DCF_Base!$C$23:$L$23/(1+$A25/100)^DCF_Base!$C$4:$L$4)+MAX(0,MIN(DCF_Base!$L$23*(1+C$20/100)/($A25/100-C$20/100),Assumptions!$C$16*DCF_Base!$L$23))/(1+$A25/100)^10-Assumptions!$B$5-Assumptions!$B$6)/Assumptions!$B$4,"n/a")</f>
        <v/>
      </c>
      <c r="D25">
        <f>IF($A25&gt;D$20,(SUMPRODUCT(DCF_Base!$C$23:$L$23/(1+$A25/100)^DCF_Base!$C$4:$L$4)+MAX(0,MIN(DCF_Base!$L$23*(1+D$20/100)/($A25/100-D$20/100),Assumptions!$C$16*DCF_Base!$L$23))/(1+$A25/100)^10-Assumptions!$B$5-Assumptions!$B$6)/Assumptions!$B$4,"n/a")</f>
        <v/>
      </c>
      <c r="E25">
        <f>IF($A25&gt;E$20,(SUMPRODUCT(DCF_Base!$C$23:$L$23/(1+$A25/100)^DCF_Base!$C$4:$L$4)+MAX(0,MIN(DCF_Base!$L$23*(1+E$20/100)/($A25/100-E$20/100),Assumptions!$C$16*DCF_Base!$L$23))/(1+$A25/100)^10-Assumptions!$B$5-Assumptions!$B$6)/Assumptions!$B$4,"n/a")</f>
        <v/>
      </c>
      <c r="F25">
        <f>IF($A25&gt;F$20,(SUMPRODUCT(DCF_Base!$C$23:$L$23/(1+$A25/100)^DCF_Base!$C$4:$L$4)+MAX(0,MIN(DCF_Base!$L$23*(1+F$20/100)/($A25/100-F$20/100),Assumptions!$C$16*DCF_Base!$L$23))/(1+$A25/100)^10-Assumptions!$B$5-Assumptions!$B$6)/Assumptions!$B$4,"n/a")</f>
        <v/>
      </c>
    </row>
    <row r="27">
      <c r="A27" t="inlineStr">
        <is>
          <t>Market-implied memo: EV ex-lease / pre-IFRS-16 EBITDA FY26</t>
        </is>
      </c>
      <c r="B27">
        <f>(Assumptions!$B$2*Assumptions!$B$4+Assumptions!$B$5+Assumptions!$B$6)/(Actuals!G3-Actuals!G6-Actuals!G7)</f>
        <v/>
      </c>
    </row>
    <row r="28">
      <c r="A28" t="inlineStr">
        <is>
          <t>Market-implied memo: P/E on FY26 adjusted NPAT 21.7</t>
        </is>
      </c>
      <c r="B28">
        <f>Assumptions!$B$2/(21.7/Assumptions!$B$4)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2026-09-20T09:16:53Z</dcterms:created>
  <dcterms:modified xsi:type="dcterms:W3CDTF">2026-09-20T09:16:53Z</dcterms:modified>
</cp:coreProperties>
</file>