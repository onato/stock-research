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<sst xmlns="http://schemas.openxmlformats.org/spreadsheetml/2006/main" count="359" uniqueCount="179">
  <si>
    <t xml:space="preserve">Ticker</t>
  </si>
  <si>
    <t xml:space="preserve">2259.HK</t>
  </si>
  <si>
    <t xml:space="preserve">Company</t>
  </si>
  <si>
    <t xml:space="preserve">Zijin Gold International Company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</si>
  <si>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</si>
  <si>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</si>
  <si>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</si>
  <si>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</si>
  <si>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(Yahoo regularMarketTime; Fri close, market shut for weekend)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</si>
  <si>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</si>
  <si>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</si>
  <si>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</si>
  <si>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</si>
  <si>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</si>
  <si>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</si>
  <si>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</si>
  <si>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</si>
  <si>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</si>
  <si>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</si>
  <si>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</si>
  <si>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</si>
  <si>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</si>
  <si>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2026-10-17T23:06:19Z</t>
  </si>
  <si>
    <t xml:space="preserve">Drivers file</t>
  </si>
  <si>
    <t xml:space="preserve">2259.HK_Drivers.json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</si>
  <si>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</si>
  <si>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</si>
  <si>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</si>
  <si>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price-taking miner on a normalized commodity deck, not on the latest year. FY2025 and H1 FY2026 earnings sit on the highest realised gold prices in history and on a freshly-IPO'd balance sheet; extrapolating them would capitalize the peak. Volumes are taken from management guidance (with a haircut), the gold price from an explicit deck per scenario, costs from H1 FY2026 unit economics with royalties scaling with price, and NCI/tax charged once through a calibrated combined leakage rate. Terminal value capped at 12x owner FCF because the asset base depletes.
key_risks_to_valuation: Gold price: every US$100/oz on the long-run deck is worth roughly US$140m/yr of EBITDA after royalties at ~2.25Moz; the valuation is dominated by this one input; Execution of five concurrent expansions (US$3.2bn, Q1-Q3 2028) in Ghana, Kazakhstan, Suriname and Tajikistan: overruns or slippage hit both capex and the volume ramp; Resource nationalism / fiscal take: Porgera precedent (licence not renewed 2019-20), Ghana and Kazakhstan royalty regimes, windfall taxes are more likely at high prices; Controlled company: Zijin Mining Group ~85%, connected-party sales and services, thin free float; capital allocation (M&amp;A such as the Allied Gold approach) may serve the parent's strategy; Cash tax: H1 FY2026 cash tax paid was 31.5% of PBT vs 17% in FY2025; a structurally higher combined leakage than the 40.5% modelled would cut value further; Model is a single-currency USD build; HKD peg removes FX translation risk for the quote but not operating-currency (AUD, KZT, GHS) cost exposure</t>
  </si>
  <si>
    <t xml:space="preserve">Data sources</t>
  </si>
  <si>
    <t xml:space="preserve">price: Yahoo Finance chart API at inputs.price_as_of; 52-week range 84.2-268.0 HKD. Gold spot from Yahoo GC=F and USD/HKD from Yahoo HKD=X on 2026-10-17.
financials: 2259.HK_Metrics.csv / duckdb core_metrics and kpis (FY2022-FY2025, H1 FY2025, H1 FY2026); balance sheet, income statement, dividend and subsequent-events notes read from 2259.HK_HalfYear_H1-2026.txt; 2026 and 2028 production guidance from 2259.HK_Annual_FY2025.txt (MD&amp;A section 10, Table 13).
qualitative: 2259.HK_Analysis.json (2026-10-18): project capex budgets and timing, AISC, resource/reserve base, jurisdiction and governance risks.</t>
  </si>
  <si>
    <t xml:space="preserve">Scenario narrative: bear</t>
  </si>
  <si>
    <t xml:space="preserve">Gold reverts to US$2,800 as real rates rise and central-bank buying fades, the kind of 30-40% drawdown that followed the 1980 and 2011 peaks; expansions slip and overrun ~15% in emerging-market jurisdictions (Kazakhstan, Ghana, Suriname); output peaks ~65t; margins compress to ~50% as fixed costs and royalties bite. The balance sheet (US$3.4bn net cash) means this is a value case, not a solvency case. Resource-nationalism events (a Porgera-style licence loss at one mine) are a further tail inside this scenario's weight rather than modelled separately.</t>
  </si>
  <si>
    <t xml:space="preserve">Scenario narrative: base</t>
  </si>
  <si>
    <t xml:space="preserve">Zijin Gold is a mid-tier, fast-growing, unhedged gold producer, so the only questions are the gold price, the volume ramp and how much host governments and minorities take. Base: gold eases from ~US$4,180 spot to a US$3,600 mid-cycle by mid-2029 and then rises with inflation; the five expansions (US$3.2bn, commissioning Q1-Q3 2028) lift consolidated output from ~1.80Moz in 2026 to ~2.25-2.28Moz, then reserves deplete slowly. Royalties scale with price, so EBITDA margin settles near 59% (66% TTM). Growth capex roughly triples spending for two years, depressing Y1-Y2 owner FCF to ~US$1.1-1.3bn before it recovers to ~US$2.2bn. No M&amp;A is modelled.</t>
  </si>
  <si>
    <t xml:space="preserve">Scenario narrative: bull</t>
  </si>
  <si>
    <t xml:space="preserve">The regime shift the company describes (official-sector reserve diversification, fiscal and geopolitical fragmentation) holds: gold stays US$4,500-4,800 and compounds 2.5%/yr, the expansions hit the top of the 70-75t 2028 guidance and Akyem's 13.5Mtpa expansion takes it to ~13t, margins widen to ~68%. Partly offset by a heavier host-state take (42% combined leakage). Parent-backed M&amp;A could add more, but is not counted because deals at fair value do not create value for the buyer.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</si>
  <si>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</si>
  <si>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</si>
  <si>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</si>
  <si>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</si>
  <si>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</si>
  <si>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</si>
  <si>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</si>
  <si>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</si>
  <si>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</si>
  <si>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</si>
  <si>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</si>
  <si>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</si>
  <si>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</si>
  <si>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</si>
  <si>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</si>
  <si>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</si>
  <si>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</si>
  <si>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</si>
  <si>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</si>
  <si>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</si>
  <si>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</si>
  <si>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</si>
  <si>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</si>
  <si>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</si>
  <si>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</si>
  <si>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</si>
  <si>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</si>
  <si>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</si>
  <si>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CapexIntangibles</t>
  </si>
  <si>
    <t xml:space="preserve">CapexPPE</t>
  </si>
  <si>
    <t xml:space="preserve">CashGeneratedFromOperations</t>
  </si>
  <si>
    <t xml:space="preserve">DividendPerShareDeclared</t>
  </si>
  <si>
    <t xml:space="preserve">EffectiveCashTaxRate</t>
  </si>
  <si>
    <t xml:space="preserve">GoldOuncesSold</t>
  </si>
  <si>
    <t xml:space="preserve">GoldOutputMineProducedKg</t>
  </si>
  <si>
    <t xml:space="preserve">InterestPaid</t>
  </si>
  <si>
    <t xml:space="preserve">LeasePrincipalPaid</t>
  </si>
  <si>
    <t xml:space="preserve">NonControllingInterestProfit</t>
  </si>
  <si>
    <t xml:space="preserve">ProfitForPeriodInclNCI</t>
  </si>
  <si>
    <t xml:space="preserve">RealizedGoldPrice</t>
  </si>
  <si>
    <t xml:space="preserve">ShareOfJVProfit</t>
  </si>
  <si>
    <t xml:space="preserve">SharePlacingProceeds</t>
  </si>
  <si>
    <t xml:space="preserve">SharesIssuedPeriodEnd</t>
  </si>
  <si>
    <t xml:space="preserve">TotalEquityInclNCI</t>
  </si>
  <si>
    <t xml:space="preserve">FY2022</t>
  </si>
  <si>
    <t xml:space="preserve">thousands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</si>
  <si>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</si>
  <si>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</si>
  <si>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</si>
  <si>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</si>
  <si>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</si>
  <si>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</si>
  <si>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</si>
  <si>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</si>
  <si>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</si>
  <si>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</si>
  <si>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</si>
  <si>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</si>
  <si>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</si>
  <si>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</si>
  <si>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</si>
  <si>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</si>
  <si>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</si>
  <si>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</si>
  <si>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</si>
  <si>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</si>
  <si>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</si>
  <si>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</si>
  <si>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</si>
  <si>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</si>
  <si>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</si>
  <si>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</si>
  <si>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</si>
  <si>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</si>
  <si>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</si>
  <si>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</si>
  <si>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</si>
  <si>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</si>
  <si>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</si>
  <si>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</si>
  <si>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</si>
  <si>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</si>
  <si>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</si>
  <si>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</si>
  <si>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</si>
  <si>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</si>
  <si>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</si>
  <si>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2259.HK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</si>
  <si>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</si>
  <si>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</si>
  <si>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</si>
  <si>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</si>
  <si>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</si>
  <si>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</si>
  <si>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</si>
  <si>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</si>
  <si>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</si>
  <si>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</si>
  <si>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</si>
  <si>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</si>
  <si>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</si>
  <si>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</si>
  <si>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</si>
  <si>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</si>
  <si>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</si>
  <si>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</si>
  <si>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</si>
  <si>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</si>
  <si>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</si>
  <si>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</si>
  <si>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</si>
  <si>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</si>
  <si>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</si>
  <si>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</si>
  <si>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</si>
  <si>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</si>
  <si>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</si>
  <si>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</si>
  <si>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2259.HK owner-FCF component DCF: base case (millions, USD)</t>
  </si>
  <si>
    <t xml:space="preserve">2259.HK owner-FCF component DCF: bull case (millions, USD)</t>
  </si>
  <si>
    <t xml:space="preserve">2259.HK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</si>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</sst>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148.4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  <c r="AP1" s="2" t="s">
        <v>77</v>
      </c>
      <c r="AQ1" s="2" t="s">
        <v>78</v>
      </c>
      <c r="AR1" s="2" t="s">
        <v>79</v>
      </c>
      <c r="AS1" s="2" t="s">
        <v>80</v>
      </c>
    </row>
    <row r="2" customFormat="false" ht="15" hidden="false" customHeight="false" outlineLevel="0" collapsed="false">
      <c r="A2" s="0" t="s">
        <v>81</v>
      </c>
      <c r="B2" s="0" t="n">
        <v>1817981</v>
      </c>
      <c r="I2" s="0" t="n">
        <v>183680</v>
      </c>
      <c r="J2" s="0" t="n">
        <v>10.1</v>
      </c>
      <c r="L2" s="0" t="n">
        <v>714749</v>
      </c>
      <c r="O2" s="0" t="n">
        <v>1805686</v>
      </c>
      <c r="P2" s="0" t="n">
        <v>4192123</v>
      </c>
      <c r="Q2" s="0" t="n">
        <v>1828044</v>
      </c>
      <c r="AA2" s="0" t="s">
        <v>82</v>
      </c>
      <c r="AB2" s="0" t="s">
        <v>14</v>
      </c>
      <c r="AN2" s="0" t="n">
        <v>290316</v>
      </c>
      <c r="AS2" s="0" t="n">
        <v>2364079</v>
      </c>
    </row>
    <row r="3" customFormat="false" ht="15" hidden="false" customHeight="false" outlineLevel="0" collapsed="false">
      <c r="A3" s="0" t="s">
        <v>83</v>
      </c>
      <c r="B3" s="0" t="n">
        <v>2262365</v>
      </c>
      <c r="I3" s="0" t="n">
        <v>230383</v>
      </c>
      <c r="J3" s="0" t="n">
        <v>10.2</v>
      </c>
      <c r="L3" s="0" t="n">
        <v>924874</v>
      </c>
      <c r="O3" s="0" t="n">
        <v>2012799</v>
      </c>
      <c r="P3" s="0" t="n">
        <v>5154891</v>
      </c>
      <c r="Q3" s="0" t="n">
        <v>2563561</v>
      </c>
      <c r="S3" s="0" t="n">
        <v>154754</v>
      </c>
      <c r="AA3" s="0" t="s">
        <v>82</v>
      </c>
      <c r="AB3" s="0" t="s">
        <v>14</v>
      </c>
      <c r="AN3" s="0" t="n">
        <v>322161</v>
      </c>
      <c r="AS3" s="0" t="n">
        <v>2591330</v>
      </c>
    </row>
    <row r="4" customFormat="false" ht="15" hidden="false" customHeight="false" outlineLevel="0" collapsed="false">
      <c r="A4" s="0" t="s">
        <v>84</v>
      </c>
      <c r="B4" s="0" t="n">
        <v>2989935</v>
      </c>
      <c r="C4" s="0" t="n">
        <v>1855611</v>
      </c>
      <c r="D4" s="0" t="n">
        <v>1134324</v>
      </c>
      <c r="E4" s="0" t="n">
        <v>37.9</v>
      </c>
      <c r="F4" s="0" t="n">
        <v>980105</v>
      </c>
      <c r="G4" s="0" t="n">
        <v>32.8</v>
      </c>
      <c r="H4" s="0" t="n">
        <v>1392261</v>
      </c>
      <c r="I4" s="0" t="n">
        <v>481371</v>
      </c>
      <c r="J4" s="0" t="n">
        <v>16.1</v>
      </c>
      <c r="K4" s="0" t="n">
        <v>0.88</v>
      </c>
      <c r="L4" s="0" t="n">
        <v>876455</v>
      </c>
      <c r="M4" s="0" t="n">
        <v>487048</v>
      </c>
      <c r="N4" s="0" t="n">
        <v>389407</v>
      </c>
      <c r="O4" s="0" t="n">
        <v>2325376</v>
      </c>
      <c r="P4" s="0" t="n">
        <v>5402737</v>
      </c>
      <c r="Q4" s="0" t="n">
        <v>2500646</v>
      </c>
      <c r="R4" s="0" t="n">
        <v>681656</v>
      </c>
      <c r="S4" s="0" t="n">
        <v>234585</v>
      </c>
      <c r="T4" s="0" t="n">
        <v>546000</v>
      </c>
      <c r="U4" s="0" t="n">
        <v>1307</v>
      </c>
      <c r="AA4" s="0" t="s">
        <v>82</v>
      </c>
      <c r="AB4" s="0" t="s">
        <v>14</v>
      </c>
      <c r="AD4" s="0" t="n">
        <v>12819</v>
      </c>
      <c r="AE4" s="0" t="n">
        <v>474229</v>
      </c>
      <c r="AF4" s="0" t="n">
        <v>1013086</v>
      </c>
      <c r="AH4" s="0" t="n">
        <v>14.6</v>
      </c>
      <c r="AK4" s="0" t="n">
        <v>37748</v>
      </c>
      <c r="AL4" s="0" t="n">
        <v>16049</v>
      </c>
      <c r="AM4" s="0" t="n">
        <v>139184</v>
      </c>
      <c r="AN4" s="0" t="n">
        <v>620555</v>
      </c>
      <c r="AS4" s="0" t="n">
        <v>2902091</v>
      </c>
    </row>
    <row r="5" customFormat="false" ht="15" hidden="false" customHeight="false" outlineLevel="0" collapsed="false">
      <c r="A5" s="0" t="s">
        <v>85</v>
      </c>
      <c r="B5" s="0" t="n">
        <v>5383480</v>
      </c>
      <c r="C5" s="0" t="n">
        <v>2546576</v>
      </c>
      <c r="D5" s="0" t="n">
        <v>2836904</v>
      </c>
      <c r="E5" s="0" t="n">
        <v>52.7</v>
      </c>
      <c r="F5" s="0" t="n">
        <v>2791131</v>
      </c>
      <c r="G5" s="0" t="n">
        <v>51.8</v>
      </c>
      <c r="H5" s="0" t="n">
        <v>3462143</v>
      </c>
      <c r="I5" s="0" t="n">
        <v>1601556</v>
      </c>
      <c r="J5" s="0" t="n">
        <v>29.7</v>
      </c>
      <c r="K5" s="0" t="n">
        <v>0.82</v>
      </c>
      <c r="L5" s="0" t="n">
        <v>2402470</v>
      </c>
      <c r="M5" s="0" t="n">
        <v>615250</v>
      </c>
      <c r="N5" s="0" t="n">
        <v>1787220</v>
      </c>
      <c r="O5" s="0" t="n">
        <v>8374465</v>
      </c>
      <c r="P5" s="0" t="n">
        <v>12567477</v>
      </c>
      <c r="Q5" s="0" t="n">
        <v>3672338</v>
      </c>
      <c r="R5" s="0" t="n">
        <v>581519</v>
      </c>
      <c r="S5" s="0" t="n">
        <v>3616820</v>
      </c>
      <c r="T5" s="0" t="n">
        <v>1953310</v>
      </c>
      <c r="U5" s="0" t="n">
        <v>1424</v>
      </c>
      <c r="AA5" s="0" t="s">
        <v>82</v>
      </c>
      <c r="AB5" s="0" t="s">
        <v>14</v>
      </c>
      <c r="AC5" s="0" t="n">
        <v>1501</v>
      </c>
      <c r="AD5" s="0" t="n">
        <v>20096</v>
      </c>
      <c r="AE5" s="0" t="n">
        <v>595154</v>
      </c>
      <c r="AF5" s="0" t="n">
        <v>2871557</v>
      </c>
      <c r="AH5" s="0" t="n">
        <v>17</v>
      </c>
      <c r="AI5" s="0" t="n">
        <v>1498000</v>
      </c>
      <c r="AJ5" s="0" t="n">
        <v>46900</v>
      </c>
      <c r="AK5" s="0" t="n">
        <v>62249</v>
      </c>
      <c r="AL5" s="0" t="n">
        <v>18754</v>
      </c>
      <c r="AM5" s="0" t="n">
        <v>270911</v>
      </c>
      <c r="AN5" s="0" t="n">
        <v>1872467</v>
      </c>
      <c r="AO5" s="0" t="n">
        <v>3524</v>
      </c>
      <c r="AP5" s="0" t="n">
        <v>70254</v>
      </c>
      <c r="AQ5" s="0" t="n">
        <v>6726144</v>
      </c>
      <c r="AR5" s="0" t="n">
        <v>2676340</v>
      </c>
      <c r="AS5" s="0" t="n">
        <v>8895139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86</v>
      </c>
      <c r="B1" s="2" t="s">
        <v>87</v>
      </c>
    </row>
    <row r="2" customFormat="false" ht="15" hidden="false" customHeight="false" outlineLevel="0" collapsed="false">
      <c r="A2" s="0" t="s">
        <v>88</v>
      </c>
      <c r="B2" s="3" t="n">
        <v>148.4</v>
      </c>
    </row>
    <row r="3" customFormat="false" ht="15" hidden="false" customHeight="false" outlineLevel="0" collapsed="false">
      <c r="A3" s="0" t="s">
        <v>89</v>
      </c>
      <c r="B3" s="3" t="n">
        <v>2676.34</v>
      </c>
    </row>
    <row r="4" customFormat="false" ht="15" hidden="false" customHeight="false" outlineLevel="0" collapsed="false">
      <c r="A4" s="0" t="s">
        <v>90</v>
      </c>
      <c r="B4" s="3" t="n">
        <v>-3358.4</v>
      </c>
    </row>
    <row r="5" customFormat="false" ht="15" hidden="false" customHeight="false" outlineLevel="0" collapsed="false">
      <c r="A5" s="0" t="s">
        <v>91</v>
      </c>
      <c r="B5" s="3" t="n">
        <v>-513</v>
      </c>
    </row>
    <row r="6" customFormat="false" ht="15" hidden="false" customHeight="false" outlineLevel="0" collapsed="false">
      <c r="A6" s="0" t="s">
        <v>92</v>
      </c>
      <c r="B6" s="3" t="n">
        <v>15</v>
      </c>
    </row>
    <row r="7" customFormat="false" ht="15" hidden="false" customHeight="false" outlineLevel="0" collapsed="false">
      <c r="A7" s="0" t="s">
        <v>93</v>
      </c>
      <c r="B7" s="3" t="n">
        <v>7373</v>
      </c>
    </row>
    <row r="8" customFormat="false" ht="15" hidden="false" customHeight="false" outlineLevel="0" collapsed="false">
      <c r="A8" s="0" t="s">
        <v>94</v>
      </c>
      <c r="B8" s="3" t="s">
        <v>95</v>
      </c>
    </row>
    <row r="9" customFormat="false" ht="15" hidden="false" customHeight="false" outlineLevel="0" collapsed="false">
      <c r="A9" s="0" t="s">
        <v>96</v>
      </c>
      <c r="B9" s="3" t="s">
        <v>97</v>
      </c>
    </row>
    <row r="10" customFormat="false" ht="15" hidden="false" customHeight="false" outlineLevel="0" collapsed="false">
      <c r="A10" s="0" t="s">
        <v>98</v>
      </c>
      <c r="B10" s="3" t="n">
        <v>7.8479</v>
      </c>
    </row>
    <row r="12" customFormat="false" ht="15" hidden="false" customHeight="false" outlineLevel="0" collapsed="false">
      <c r="A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  <c r="K12" s="2" t="s">
        <v>108</v>
      </c>
      <c r="L12" s="2" t="s">
        <v>109</v>
      </c>
    </row>
    <row r="13" customFormat="false" ht="15" hidden="false" customHeight="false" outlineLevel="0" collapsed="false">
      <c r="A13" s="0" t="s">
        <v>110</v>
      </c>
      <c r="C13" s="3" t="n">
        <v>-8.9</v>
      </c>
      <c r="D13" s="3" t="n">
        <v>-12.9</v>
      </c>
      <c r="E13" s="3" t="n">
        <v>-3.3</v>
      </c>
      <c r="F13" s="3" t="n">
        <v>7.2</v>
      </c>
      <c r="G13" s="3" t="n">
        <v>2</v>
      </c>
      <c r="H13" s="3" t="n">
        <v>0</v>
      </c>
      <c r="I13" s="3" t="n">
        <v>0</v>
      </c>
      <c r="J13" s="3" t="n">
        <v>-0.6</v>
      </c>
      <c r="K13" s="3" t="n">
        <v>-0.6</v>
      </c>
      <c r="L13" s="3" t="n">
        <v>-0.7</v>
      </c>
    </row>
    <row r="14" customFormat="false" ht="15" hidden="false" customHeight="false" outlineLevel="0" collapsed="false">
      <c r="A14" s="0" t="s">
        <v>111</v>
      </c>
      <c r="C14" s="3" t="n">
        <v>59.7</v>
      </c>
      <c r="D14" s="3" t="n">
        <v>52.3</v>
      </c>
      <c r="E14" s="3" t="n">
        <v>48.9</v>
      </c>
      <c r="F14" s="3" t="n">
        <v>50.1</v>
      </c>
      <c r="G14" s="3" t="n">
        <v>50.3</v>
      </c>
      <c r="H14" s="3" t="n">
        <v>50.1</v>
      </c>
      <c r="I14" s="3" t="n">
        <v>49.9</v>
      </c>
      <c r="J14" s="3" t="n">
        <v>49.7</v>
      </c>
      <c r="K14" s="3" t="n">
        <v>49.4</v>
      </c>
      <c r="L14" s="3" t="n">
        <v>49.2</v>
      </c>
    </row>
    <row r="15" customFormat="false" ht="15" hidden="false" customHeight="false" outlineLevel="0" collapsed="false">
      <c r="A15" s="0" t="s">
        <v>112</v>
      </c>
      <c r="C15" s="3" t="n">
        <v>0.03</v>
      </c>
      <c r="D15" s="3" t="n">
        <v>0.03</v>
      </c>
      <c r="E15" s="3" t="n">
        <v>0.03</v>
      </c>
      <c r="F15" s="3" t="n">
        <v>0.03</v>
      </c>
      <c r="G15" s="3" t="n">
        <v>0.03</v>
      </c>
      <c r="H15" s="3" t="n">
        <v>0.03</v>
      </c>
      <c r="I15" s="3" t="n">
        <v>0.03</v>
      </c>
      <c r="J15" s="3" t="n">
        <v>0.03</v>
      </c>
      <c r="K15" s="3" t="n">
        <v>0.03</v>
      </c>
      <c r="L15" s="3" t="n">
        <v>0.03</v>
      </c>
    </row>
    <row r="16" customFormat="false" ht="15" hidden="false" customHeight="false" outlineLevel="0" collapsed="false">
      <c r="A16" s="0" t="s">
        <v>113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114</v>
      </c>
      <c r="C17" s="3" t="n">
        <v>13</v>
      </c>
      <c r="D17" s="3" t="n">
        <v>15.8</v>
      </c>
      <c r="E17" s="3" t="n">
        <v>18.9</v>
      </c>
      <c r="F17" s="3" t="n">
        <v>19.2</v>
      </c>
      <c r="G17" s="3" t="n">
        <v>19</v>
      </c>
      <c r="H17" s="3" t="n">
        <v>18.8</v>
      </c>
      <c r="I17" s="3" t="n">
        <v>18.7</v>
      </c>
      <c r="J17" s="3" t="n">
        <v>18.5</v>
      </c>
      <c r="K17" s="3" t="n">
        <v>18.3</v>
      </c>
      <c r="L17" s="3" t="n">
        <v>18.1</v>
      </c>
    </row>
    <row r="18" customFormat="false" ht="15" hidden="false" customHeight="false" outlineLevel="0" collapsed="false">
      <c r="A18" s="0" t="s">
        <v>115</v>
      </c>
      <c r="C18" s="3" t="n">
        <v>29.8</v>
      </c>
      <c r="D18" s="3" t="n">
        <v>35.8</v>
      </c>
      <c r="E18" s="3" t="n">
        <v>22.2</v>
      </c>
      <c r="F18" s="3" t="n">
        <v>20.6</v>
      </c>
      <c r="G18" s="3" t="n">
        <v>20.7</v>
      </c>
      <c r="H18" s="3" t="n">
        <v>20.8</v>
      </c>
      <c r="I18" s="3" t="n">
        <v>20.9</v>
      </c>
      <c r="J18" s="3" t="n">
        <v>21</v>
      </c>
      <c r="K18" s="3" t="n">
        <v>21.1</v>
      </c>
      <c r="L18" s="3" t="n">
        <v>21.2</v>
      </c>
    </row>
    <row r="19" customFormat="false" ht="15" hidden="false" customHeight="false" outlineLevel="0" collapsed="false">
      <c r="A19" s="0" t="s">
        <v>116</v>
      </c>
      <c r="C19" s="3" t="n">
        <v>40.5</v>
      </c>
      <c r="D19" s="3" t="n">
        <v>40.5</v>
      </c>
      <c r="E19" s="3" t="n">
        <v>40.5</v>
      </c>
      <c r="F19" s="3" t="n">
        <v>40.5</v>
      </c>
      <c r="G19" s="3" t="n">
        <v>40.5</v>
      </c>
      <c r="H19" s="3" t="n">
        <v>40.5</v>
      </c>
      <c r="I19" s="3" t="n">
        <v>40.5</v>
      </c>
      <c r="J19" s="3" t="n">
        <v>40.5</v>
      </c>
      <c r="K19" s="3" t="n">
        <v>40.5</v>
      </c>
      <c r="L19" s="3" t="n">
        <v>40.5</v>
      </c>
    </row>
    <row r="20" customFormat="false" ht="15" hidden="false" customHeight="false" outlineLevel="0" collapsed="false">
      <c r="A20" s="0" t="s">
        <v>117</v>
      </c>
      <c r="B20" s="3" t="n">
        <v>9.5</v>
      </c>
    </row>
    <row r="21" customFormat="false" ht="15" hidden="false" customHeight="false" outlineLevel="0" collapsed="false">
      <c r="A21" s="0" t="s">
        <v>118</v>
      </c>
      <c r="B21" s="3" t="n">
        <v>1</v>
      </c>
    </row>
    <row r="22" customFormat="false" ht="15" hidden="false" customHeight="false" outlineLevel="0" collapsed="false">
      <c r="A22" s="0" t="s">
        <v>119</v>
      </c>
      <c r="B22" s="3" t="n">
        <v>12</v>
      </c>
    </row>
    <row r="23" customFormat="false" ht="15" hidden="false" customHeight="false" outlineLevel="0" collapsed="false">
      <c r="A23" s="0" t="s">
        <v>120</v>
      </c>
      <c r="B23" s="3" t="n">
        <v>-8</v>
      </c>
    </row>
    <row r="24" customFormat="false" ht="15" hidden="false" customHeight="false" outlineLevel="0" collapsed="false">
      <c r="A24" s="0" t="s">
        <v>121</v>
      </c>
      <c r="B24" s="3" t="n">
        <v>0.3</v>
      </c>
    </row>
    <row r="26" customFormat="false" ht="15" hidden="false" customHeight="false" outlineLevel="0" collapsed="false">
      <c r="A26" s="2" t="s">
        <v>122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105</v>
      </c>
      <c r="I26" s="2" t="s">
        <v>106</v>
      </c>
      <c r="J26" s="2" t="s">
        <v>107</v>
      </c>
      <c r="K26" s="2" t="s">
        <v>108</v>
      </c>
      <c r="L26" s="2" t="s">
        <v>109</v>
      </c>
    </row>
    <row r="27" customFormat="false" ht="15" hidden="false" customHeight="false" outlineLevel="0" collapsed="false">
      <c r="A27" s="0" t="s">
        <v>110</v>
      </c>
      <c r="C27" s="3" t="n">
        <v>2</v>
      </c>
      <c r="D27" s="3" t="n">
        <v>-0.5</v>
      </c>
      <c r="E27" s="3" t="n">
        <v>4.6</v>
      </c>
      <c r="F27" s="3" t="n">
        <v>7.7</v>
      </c>
      <c r="G27" s="3" t="n">
        <v>3.3</v>
      </c>
      <c r="H27" s="3" t="n">
        <v>2</v>
      </c>
      <c r="I27" s="3" t="n">
        <v>0.7</v>
      </c>
      <c r="J27" s="3" t="n">
        <v>0.6</v>
      </c>
      <c r="K27" s="3" t="n">
        <v>0.1</v>
      </c>
      <c r="L27" s="3" t="n">
        <v>0.6</v>
      </c>
    </row>
    <row r="28" customFormat="false" ht="15" hidden="false" customHeight="false" outlineLevel="0" collapsed="false">
      <c r="A28" s="0" t="s">
        <v>111</v>
      </c>
      <c r="C28" s="3" t="n">
        <v>62.5</v>
      </c>
      <c r="D28" s="3" t="n">
        <v>59.6</v>
      </c>
      <c r="E28" s="3" t="n">
        <v>58.5</v>
      </c>
      <c r="F28" s="3" t="n">
        <v>59.4</v>
      </c>
      <c r="G28" s="3" t="n">
        <v>59.5</v>
      </c>
      <c r="H28" s="3" t="n">
        <v>59.4</v>
      </c>
      <c r="I28" s="3" t="n">
        <v>59.2</v>
      </c>
      <c r="J28" s="3" t="n">
        <v>59.1</v>
      </c>
      <c r="K28" s="3" t="n">
        <v>58.9</v>
      </c>
      <c r="L28" s="3" t="n">
        <v>58.7</v>
      </c>
    </row>
    <row r="29" customFormat="false" ht="15" hidden="false" customHeight="false" outlineLevel="0" collapsed="false">
      <c r="A29" s="0" t="s">
        <v>112</v>
      </c>
      <c r="C29" s="3" t="n">
        <v>0.03</v>
      </c>
      <c r="D29" s="3" t="n">
        <v>0.03</v>
      </c>
      <c r="E29" s="3" t="n">
        <v>0.03</v>
      </c>
      <c r="F29" s="3" t="n">
        <v>0.03</v>
      </c>
      <c r="G29" s="3" t="n">
        <v>0.03</v>
      </c>
      <c r="H29" s="3" t="n">
        <v>0.03</v>
      </c>
      <c r="I29" s="3" t="n">
        <v>0.03</v>
      </c>
      <c r="J29" s="3" t="n">
        <v>0.03</v>
      </c>
      <c r="K29" s="3" t="n">
        <v>0.03</v>
      </c>
      <c r="L29" s="3" t="n">
        <v>0.03</v>
      </c>
    </row>
    <row r="30" customFormat="false" ht="15" hidden="false" customHeight="false" outlineLevel="0" collapsed="false">
      <c r="A30" s="0" t="s">
        <v>113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114</v>
      </c>
      <c r="C31" s="3" t="n">
        <v>11.9</v>
      </c>
      <c r="D31" s="3" t="n">
        <v>12.9</v>
      </c>
      <c r="E31" s="3" t="n">
        <v>14.7</v>
      </c>
      <c r="F31" s="3" t="n">
        <v>15</v>
      </c>
      <c r="G31" s="3" t="n">
        <v>14.8</v>
      </c>
      <c r="H31" s="3" t="n">
        <v>14.7</v>
      </c>
      <c r="I31" s="3" t="n">
        <v>14.5</v>
      </c>
      <c r="J31" s="3" t="n">
        <v>14.4</v>
      </c>
      <c r="K31" s="3" t="n">
        <v>14.2</v>
      </c>
      <c r="L31" s="3" t="n">
        <v>14.1</v>
      </c>
    </row>
    <row r="32" customFormat="false" ht="15" hidden="false" customHeight="false" outlineLevel="0" collapsed="false">
      <c r="A32" s="0" t="s">
        <v>115</v>
      </c>
      <c r="C32" s="3" t="n">
        <v>24.9</v>
      </c>
      <c r="D32" s="3" t="n">
        <v>25.7</v>
      </c>
      <c r="E32" s="3" t="n">
        <v>14.8</v>
      </c>
      <c r="F32" s="3" t="n">
        <v>16</v>
      </c>
      <c r="G32" s="3" t="n">
        <v>16.1</v>
      </c>
      <c r="H32" s="3" t="n">
        <v>16.2</v>
      </c>
      <c r="I32" s="3" t="n">
        <v>16.3</v>
      </c>
      <c r="J32" s="3" t="n">
        <v>16.3</v>
      </c>
      <c r="K32" s="3" t="n">
        <v>16.4</v>
      </c>
      <c r="L32" s="3" t="n">
        <v>16.5</v>
      </c>
    </row>
    <row r="33" customFormat="false" ht="15" hidden="false" customHeight="false" outlineLevel="0" collapsed="false">
      <c r="A33" s="0" t="s">
        <v>116</v>
      </c>
      <c r="C33" s="3" t="n">
        <v>40.5</v>
      </c>
      <c r="D33" s="3" t="n">
        <v>40.5</v>
      </c>
      <c r="E33" s="3" t="n">
        <v>40.5</v>
      </c>
      <c r="F33" s="3" t="n">
        <v>40.5</v>
      </c>
      <c r="G33" s="3" t="n">
        <v>40.5</v>
      </c>
      <c r="H33" s="3" t="n">
        <v>40.5</v>
      </c>
      <c r="I33" s="3" t="n">
        <v>40.5</v>
      </c>
      <c r="J33" s="3" t="n">
        <v>40.5</v>
      </c>
      <c r="K33" s="3" t="n">
        <v>40.5</v>
      </c>
      <c r="L33" s="3" t="n">
        <v>40.5</v>
      </c>
    </row>
    <row r="34" customFormat="false" ht="15" hidden="false" customHeight="false" outlineLevel="0" collapsed="false">
      <c r="A34" s="0" t="s">
        <v>117</v>
      </c>
      <c r="B34" s="3" t="n">
        <v>9.5</v>
      </c>
    </row>
    <row r="35" customFormat="false" ht="15" hidden="false" customHeight="false" outlineLevel="0" collapsed="false">
      <c r="A35" s="0" t="s">
        <v>118</v>
      </c>
      <c r="B35" s="3" t="n">
        <v>2</v>
      </c>
    </row>
    <row r="36" customFormat="false" ht="15" hidden="false" customHeight="false" outlineLevel="0" collapsed="false">
      <c r="A36" s="0" t="s">
        <v>119</v>
      </c>
      <c r="B36" s="3" t="n">
        <v>12</v>
      </c>
    </row>
    <row r="37" customFormat="false" ht="15" hidden="false" customHeight="false" outlineLevel="0" collapsed="false">
      <c r="A37" s="0" t="s">
        <v>120</v>
      </c>
      <c r="B37" s="3" t="n">
        <v>-8</v>
      </c>
    </row>
    <row r="38" customFormat="false" ht="15" hidden="false" customHeight="false" outlineLevel="0" collapsed="false">
      <c r="A38" s="0" t="s">
        <v>121</v>
      </c>
      <c r="B38" s="3" t="n">
        <v>0.5</v>
      </c>
    </row>
    <row r="40" customFormat="false" ht="15" hidden="false" customHeight="false" outlineLevel="0" collapsed="false">
      <c r="A40" s="2" t="s">
        <v>123</v>
      </c>
      <c r="C40" s="2" t="s">
        <v>100</v>
      </c>
      <c r="D40" s="2" t="s">
        <v>101</v>
      </c>
      <c r="E40" s="2" t="s">
        <v>102</v>
      </c>
      <c r="F40" s="2" t="s">
        <v>103</v>
      </c>
      <c r="G40" s="2" t="s">
        <v>104</v>
      </c>
      <c r="H40" s="2" t="s">
        <v>105</v>
      </c>
      <c r="I40" s="2" t="s">
        <v>106</v>
      </c>
      <c r="J40" s="2" t="s">
        <v>107</v>
      </c>
      <c r="K40" s="2" t="s">
        <v>108</v>
      </c>
      <c r="L40" s="2" t="s">
        <v>109</v>
      </c>
    </row>
    <row r="41" customFormat="false" ht="15" hidden="false" customHeight="false" outlineLevel="0" collapsed="false">
      <c r="A41" s="0" t="s">
        <v>110</v>
      </c>
      <c r="C41" s="3" t="n">
        <v>15.2</v>
      </c>
      <c r="D41" s="3" t="n">
        <v>12.9</v>
      </c>
      <c r="E41" s="3" t="n">
        <v>14.9</v>
      </c>
      <c r="F41" s="3" t="n">
        <v>9.3</v>
      </c>
      <c r="G41" s="3" t="n">
        <v>4.6</v>
      </c>
      <c r="H41" s="3" t="n">
        <v>2.5</v>
      </c>
      <c r="I41" s="3" t="n">
        <v>2.5</v>
      </c>
      <c r="J41" s="3" t="n">
        <v>1.3</v>
      </c>
      <c r="K41" s="3" t="n">
        <v>1.7</v>
      </c>
      <c r="L41" s="3" t="n">
        <v>1.6</v>
      </c>
    </row>
    <row r="42" customFormat="false" ht="15" hidden="false" customHeight="false" outlineLevel="0" collapsed="false">
      <c r="A42" s="0" t="s">
        <v>111</v>
      </c>
      <c r="C42" s="3" t="n">
        <v>65.4</v>
      </c>
      <c r="D42" s="3" t="n">
        <v>65.8</v>
      </c>
      <c r="E42" s="3" t="n">
        <v>66.9</v>
      </c>
      <c r="F42" s="3" t="n">
        <v>67.7</v>
      </c>
      <c r="G42" s="3" t="n">
        <v>67.9</v>
      </c>
      <c r="H42" s="3" t="n">
        <v>67.9</v>
      </c>
      <c r="I42" s="3" t="n">
        <v>67.9</v>
      </c>
      <c r="J42" s="3" t="n">
        <v>67.9</v>
      </c>
      <c r="K42" s="3" t="n">
        <v>67.9</v>
      </c>
      <c r="L42" s="3" t="n">
        <v>67.9</v>
      </c>
    </row>
    <row r="43" customFormat="false" ht="15" hidden="false" customHeight="false" outlineLevel="0" collapsed="false">
      <c r="A43" s="0" t="s">
        <v>112</v>
      </c>
      <c r="C43" s="3" t="n">
        <v>0.03</v>
      </c>
      <c r="D43" s="3" t="n">
        <v>0.03</v>
      </c>
      <c r="E43" s="3" t="n">
        <v>0.03</v>
      </c>
      <c r="F43" s="3" t="n">
        <v>0.03</v>
      </c>
      <c r="G43" s="3" t="n">
        <v>0.03</v>
      </c>
      <c r="H43" s="3" t="n">
        <v>0.03</v>
      </c>
      <c r="I43" s="3" t="n">
        <v>0.03</v>
      </c>
      <c r="J43" s="3" t="n">
        <v>0.03</v>
      </c>
      <c r="K43" s="3" t="n">
        <v>0.03</v>
      </c>
      <c r="L43" s="3" t="n">
        <v>0.03</v>
      </c>
    </row>
    <row r="44" customFormat="false" ht="15" hidden="false" customHeight="false" outlineLevel="0" collapsed="false">
      <c r="A44" s="0" t="s">
        <v>113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114</v>
      </c>
      <c r="C45" s="3" t="n">
        <v>10.7</v>
      </c>
      <c r="D45" s="3" t="n">
        <v>10.4</v>
      </c>
      <c r="E45" s="3" t="n">
        <v>11</v>
      </c>
      <c r="F45" s="3" t="n">
        <v>11.2</v>
      </c>
      <c r="G45" s="3" t="n">
        <v>11</v>
      </c>
      <c r="H45" s="3" t="n">
        <v>10.8</v>
      </c>
      <c r="I45" s="3" t="n">
        <v>10.7</v>
      </c>
      <c r="J45" s="3" t="n">
        <v>10.5</v>
      </c>
      <c r="K45" s="3" t="n">
        <v>10.4</v>
      </c>
      <c r="L45" s="3" t="n">
        <v>10.2</v>
      </c>
    </row>
    <row r="46" customFormat="false" ht="15" hidden="false" customHeight="false" outlineLevel="0" collapsed="false">
      <c r="A46" s="0" t="s">
        <v>115</v>
      </c>
      <c r="C46" s="3" t="n">
        <v>22.1</v>
      </c>
      <c r="D46" s="3" t="n">
        <v>20.3</v>
      </c>
      <c r="E46" s="3" t="n">
        <v>10.9</v>
      </c>
      <c r="F46" s="3" t="n">
        <v>12</v>
      </c>
      <c r="G46" s="3" t="n">
        <v>12</v>
      </c>
      <c r="H46" s="3" t="n">
        <v>11.9</v>
      </c>
      <c r="I46" s="3" t="n">
        <v>12</v>
      </c>
      <c r="J46" s="3" t="n">
        <v>12</v>
      </c>
      <c r="K46" s="3" t="n">
        <v>12</v>
      </c>
      <c r="L46" s="3" t="n">
        <v>12</v>
      </c>
    </row>
    <row r="47" customFormat="false" ht="15" hidden="false" customHeight="false" outlineLevel="0" collapsed="false">
      <c r="A47" s="0" t="s">
        <v>116</v>
      </c>
      <c r="C47" s="3" t="n">
        <v>42</v>
      </c>
      <c r="D47" s="3" t="n">
        <v>42</v>
      </c>
      <c r="E47" s="3" t="n">
        <v>42</v>
      </c>
      <c r="F47" s="3" t="n">
        <v>42</v>
      </c>
      <c r="G47" s="3" t="n">
        <v>42</v>
      </c>
      <c r="H47" s="3" t="n">
        <v>42</v>
      </c>
      <c r="I47" s="3" t="n">
        <v>42</v>
      </c>
      <c r="J47" s="3" t="n">
        <v>42</v>
      </c>
      <c r="K47" s="3" t="n">
        <v>42</v>
      </c>
      <c r="L47" s="3" t="n">
        <v>42</v>
      </c>
    </row>
    <row r="48" customFormat="false" ht="15" hidden="false" customHeight="false" outlineLevel="0" collapsed="false">
      <c r="A48" s="0" t="s">
        <v>117</v>
      </c>
      <c r="B48" s="3" t="n">
        <v>9.5</v>
      </c>
    </row>
    <row r="49" customFormat="false" ht="15" hidden="false" customHeight="false" outlineLevel="0" collapsed="false">
      <c r="A49" s="0" t="s">
        <v>118</v>
      </c>
      <c r="B49" s="3" t="n">
        <v>2.5</v>
      </c>
    </row>
    <row r="50" customFormat="false" ht="15" hidden="false" customHeight="false" outlineLevel="0" collapsed="false">
      <c r="A50" s="0" t="s">
        <v>119</v>
      </c>
      <c r="B50" s="3" t="n">
        <v>12</v>
      </c>
    </row>
    <row r="51" customFormat="false" ht="15" hidden="false" customHeight="false" outlineLevel="0" collapsed="false">
      <c r="A51" s="0" t="s">
        <v>120</v>
      </c>
      <c r="B51" s="3" t="n">
        <v>-8</v>
      </c>
    </row>
    <row r="52" customFormat="false" ht="15" hidden="false" customHeight="false" outlineLevel="0" collapsed="false">
      <c r="A52" s="0" t="s">
        <v>121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124</v>
      </c>
    </row>
    <row r="3" customFormat="false" ht="15" hidden="false" customHeight="false" outlineLevel="0" collapsed="false">
      <c r="A3" s="0" t="s">
        <v>125</v>
      </c>
      <c r="B3" s="0" t="s">
        <v>95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Assumptions!C13</f>
        <v>-8.9</v>
      </c>
      <c r="D5" s="4" t="n">
        <f aca="false">Assumptions!D13</f>
        <v>-12.9</v>
      </c>
      <c r="E5" s="4" t="n">
        <f aca="false">Assumptions!E13</f>
        <v>-3.3</v>
      </c>
      <c r="F5" s="4" t="n">
        <f aca="false">Assumptions!F13</f>
        <v>7.2</v>
      </c>
      <c r="G5" s="4" t="n">
        <f aca="false">Assumptions!G13</f>
        <v>2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-0.6</v>
      </c>
      <c r="K5" s="4" t="n">
        <f aca="false">Assumptions!K13</f>
        <v>-0.6</v>
      </c>
      <c r="L5" s="4" t="n">
        <f aca="false">Assumptions!L13</f>
        <v>-0.7</v>
      </c>
    </row>
    <row r="6" customFormat="false" ht="15" hidden="false" customHeight="false" outlineLevel="0" collapsed="false">
      <c r="A6" s="0" t="s">
        <v>38</v>
      </c>
      <c r="B6" s="3" t="n">
        <v>7373</v>
      </c>
      <c r="C6" s="0" t="n">
        <f aca="false">B6*(1+C5/100)</f>
        <v>6716.803</v>
      </c>
      <c r="D6" s="0" t="n">
        <f aca="false">C6*(1+D5/100)</f>
        <v>5850.335413</v>
      </c>
      <c r="E6" s="0" t="n">
        <f aca="false">D6*(1+E5/100)</f>
        <v>5657.274344371</v>
      </c>
      <c r="F6" s="0" t="n">
        <f aca="false">E6*(1+F5/100)</f>
        <v>6064.59809716571</v>
      </c>
      <c r="G6" s="0" t="n">
        <f aca="false">F6*(1+G5/100)</f>
        <v>6185.89005910903</v>
      </c>
      <c r="H6" s="0" t="n">
        <f aca="false">G6*(1+H5/100)</f>
        <v>6185.89005910903</v>
      </c>
      <c r="I6" s="0" t="n">
        <f aca="false">H6*(1+I5/100)</f>
        <v>6185.89005910903</v>
      </c>
      <c r="J6" s="0" t="n">
        <f aca="false">I6*(1+J5/100)</f>
        <v>6148.77471875437</v>
      </c>
      <c r="K6" s="0" t="n">
        <f aca="false">J6*(1+K5/100)</f>
        <v>6111.88207044185</v>
      </c>
      <c r="L6" s="0" t="n">
        <f aca="false">K6*(1+L5/100)</f>
        <v>6069.09889594875</v>
      </c>
    </row>
    <row r="7" customFormat="false" ht="15" hidden="false" customHeight="false" outlineLevel="0" collapsed="false">
      <c r="A7" s="0" t="s">
        <v>111</v>
      </c>
      <c r="C7" s="4" t="n">
        <f aca="false">Assumptions!C14</f>
        <v>59.7</v>
      </c>
      <c r="D7" s="4" t="n">
        <f aca="false">Assumptions!D14</f>
        <v>52.3</v>
      </c>
      <c r="E7" s="4" t="n">
        <f aca="false">Assumptions!E14</f>
        <v>48.9</v>
      </c>
      <c r="F7" s="4" t="n">
        <f aca="false">Assumptions!F14</f>
        <v>50.1</v>
      </c>
      <c r="G7" s="4" t="n">
        <f aca="false">Assumptions!G14</f>
        <v>50.3</v>
      </c>
      <c r="H7" s="4" t="n">
        <f aca="false">Assumptions!H14</f>
        <v>50.1</v>
      </c>
      <c r="I7" s="4" t="n">
        <f aca="false">Assumptions!I14</f>
        <v>49.9</v>
      </c>
      <c r="J7" s="4" t="n">
        <f aca="false">Assumptions!J14</f>
        <v>49.7</v>
      </c>
      <c r="K7" s="4" t="n">
        <f aca="false">Assumptions!K14</f>
        <v>49.4</v>
      </c>
      <c r="L7" s="4" t="n">
        <f aca="false">Assumptions!L14</f>
        <v>49.2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4009.931391</v>
      </c>
      <c r="D8" s="0" t="n">
        <f aca="false">D6*D7/100</f>
        <v>3059.725420999</v>
      </c>
      <c r="E8" s="0" t="n">
        <f aca="false">E6*E7/100</f>
        <v>2766.40715439742</v>
      </c>
      <c r="F8" s="0" t="n">
        <f aca="false">F6*F7/100</f>
        <v>3038.36364668002</v>
      </c>
      <c r="G8" s="0" t="n">
        <f aca="false">G6*G7/100</f>
        <v>3111.50269973184</v>
      </c>
      <c r="H8" s="0" t="n">
        <f aca="false">H6*H7/100</f>
        <v>3099.13091961362</v>
      </c>
      <c r="I8" s="0" t="n">
        <f aca="false">I6*I7/100</f>
        <v>3086.7591394954</v>
      </c>
      <c r="J8" s="0" t="n">
        <f aca="false">J6*J7/100</f>
        <v>3055.94103522092</v>
      </c>
      <c r="K8" s="0" t="n">
        <f aca="false">K6*K7/100</f>
        <v>3019.26974279827</v>
      </c>
      <c r="L8" s="0" t="n">
        <f aca="false">L6*L7/100</f>
        <v>2985.99665680679</v>
      </c>
    </row>
    <row r="9" customFormat="false" ht="15" hidden="false" customHeight="false" outlineLevel="0" collapsed="false">
      <c r="A9" s="0" t="s">
        <v>112</v>
      </c>
      <c r="C9" s="4" t="n">
        <f aca="false">Assumptions!C15</f>
        <v>0.03</v>
      </c>
      <c r="D9" s="4" t="n">
        <f aca="false">Assumptions!D15</f>
        <v>0.03</v>
      </c>
      <c r="E9" s="4" t="n">
        <f aca="false">Assumptions!E15</f>
        <v>0.03</v>
      </c>
      <c r="F9" s="4" t="n">
        <f aca="false">Assumptions!F15</f>
        <v>0.03</v>
      </c>
      <c r="G9" s="4" t="n">
        <f aca="false">Assumptions!G15</f>
        <v>0.03</v>
      </c>
      <c r="H9" s="4" t="n">
        <f aca="false">Assumptions!H15</f>
        <v>0.03</v>
      </c>
      <c r="I9" s="4" t="n">
        <f aca="false">Assumptions!I15</f>
        <v>0.03</v>
      </c>
      <c r="J9" s="4" t="n">
        <f aca="false">Assumptions!J15</f>
        <v>0.03</v>
      </c>
      <c r="K9" s="4" t="n">
        <f aca="false">Assumptions!K15</f>
        <v>0.03</v>
      </c>
      <c r="L9" s="4" t="n">
        <f aca="false">Assumptions!L15</f>
        <v>0.03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-2.0150409</v>
      </c>
      <c r="D10" s="0" t="n">
        <f aca="false">-D6*D9/100</f>
        <v>-1.7551006239</v>
      </c>
      <c r="E10" s="0" t="n">
        <f aca="false">-E6*E9/100</f>
        <v>-1.6971823033113</v>
      </c>
      <c r="F10" s="0" t="n">
        <f aca="false">-F6*F9/100</f>
        <v>-1.81937942914971</v>
      </c>
      <c r="G10" s="0" t="n">
        <f aca="false">-G6*G9/100</f>
        <v>-1.85576701773271</v>
      </c>
      <c r="H10" s="0" t="n">
        <f aca="false">-H6*H9/100</f>
        <v>-1.85576701773271</v>
      </c>
      <c r="I10" s="0" t="n">
        <f aca="false">-I6*I9/100</f>
        <v>-1.85576701773271</v>
      </c>
      <c r="J10" s="0" t="n">
        <f aca="false">-J6*J9/100</f>
        <v>-1.84463241562631</v>
      </c>
      <c r="K10" s="0" t="n">
        <f aca="false">-K6*K9/100</f>
        <v>-1.83356462113255</v>
      </c>
      <c r="L10" s="0" t="n">
        <f aca="false">-L6*L9/100</f>
        <v>-1.82072966878463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4007.9163501</v>
      </c>
      <c r="D11" s="0" t="n">
        <f aca="false">D8+D10+D24</f>
        <v>3057.9703203751</v>
      </c>
      <c r="E11" s="0" t="n">
        <f aca="false">E8+E10+E24</f>
        <v>2764.70997209411</v>
      </c>
      <c r="F11" s="0" t="n">
        <f aca="false">F8+F10+F24</f>
        <v>3036.54426725087</v>
      </c>
      <c r="G11" s="0" t="n">
        <f aca="false">G8+G10+G24</f>
        <v>3109.64693271411</v>
      </c>
      <c r="H11" s="0" t="n">
        <f aca="false">H8+H10+H24</f>
        <v>3097.27515259589</v>
      </c>
      <c r="I11" s="0" t="n">
        <f aca="false">I8+I10+I24</f>
        <v>3084.90337247767</v>
      </c>
      <c r="J11" s="0" t="n">
        <f aca="false">J8+J10+J24</f>
        <v>3054.0964028053</v>
      </c>
      <c r="K11" s="0" t="n">
        <f aca="false">K8+K10+K24</f>
        <v>3017.43617817714</v>
      </c>
      <c r="L11" s="0" t="n">
        <f aca="false">L8+L10+L24</f>
        <v>2984.175927138</v>
      </c>
    </row>
    <row r="12" customFormat="false" ht="15" hidden="false" customHeight="false" outlineLevel="0" collapsed="false">
      <c r="A12" s="0" t="s">
        <v>129</v>
      </c>
      <c r="C12" s="4" t="n">
        <f aca="false">-C6*Assumptions!C17/100</f>
        <v>-873.18439</v>
      </c>
      <c r="D12" s="4" t="n">
        <f aca="false">-D6*Assumptions!D17/100</f>
        <v>-924.352995254</v>
      </c>
      <c r="E12" s="4" t="n">
        <f aca="false">-E6*Assumptions!E17/100</f>
        <v>-1069.22485108612</v>
      </c>
      <c r="F12" s="4" t="n">
        <f aca="false">-F6*Assumptions!F17/100</f>
        <v>-1164.40283465582</v>
      </c>
      <c r="G12" s="4" t="n">
        <f aca="false">-G6*Assumptions!G17/100</f>
        <v>-1175.31911123072</v>
      </c>
      <c r="H12" s="4" t="n">
        <f aca="false">-H6*Assumptions!H17/100</f>
        <v>-1162.9473311125</v>
      </c>
      <c r="I12" s="4" t="n">
        <f aca="false">-I6*Assumptions!I17/100</f>
        <v>-1156.76144105339</v>
      </c>
      <c r="J12" s="4" t="n">
        <f aca="false">-J6*Assumptions!J17/100</f>
        <v>-1137.52332296956</v>
      </c>
      <c r="K12" s="4" t="n">
        <f aca="false">-K6*Assumptions!K17/100</f>
        <v>-1118.47441889086</v>
      </c>
      <c r="L12" s="4" t="n">
        <f aca="false">-L6*Assumptions!L17/100</f>
        <v>-1098.50690016672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3134.7319601</v>
      </c>
      <c r="D13" s="0" t="n">
        <f aca="false">D11+D12</f>
        <v>2133.6173251211</v>
      </c>
      <c r="E13" s="0" t="n">
        <f aca="false">E11+E12</f>
        <v>1695.48512100799</v>
      </c>
      <c r="F13" s="0" t="n">
        <f aca="false">F11+F12</f>
        <v>1872.14143259506</v>
      </c>
      <c r="G13" s="0" t="n">
        <f aca="false">G11+G12</f>
        <v>1934.32782148339</v>
      </c>
      <c r="H13" s="0" t="n">
        <f aca="false">H11+H12</f>
        <v>1934.32782148339</v>
      </c>
      <c r="I13" s="0" t="n">
        <f aca="false">I11+I12</f>
        <v>1928.14193142428</v>
      </c>
      <c r="J13" s="0" t="n">
        <f aca="false">J11+J12</f>
        <v>1916.57307983574</v>
      </c>
      <c r="K13" s="0" t="n">
        <f aca="false">K11+K12</f>
        <v>1898.96175928628</v>
      </c>
      <c r="L13" s="0" t="n">
        <f aca="false">L11+L12</f>
        <v>1885.66902697128</v>
      </c>
    </row>
    <row r="14" customFormat="false" ht="15" hidden="false" customHeight="false" outlineLevel="0" collapsed="false">
      <c r="A14" s="0" t="s">
        <v>116</v>
      </c>
      <c r="C14" s="4" t="n">
        <f aca="false">Assumptions!C19</f>
        <v>40.5</v>
      </c>
      <c r="D14" s="4" t="n">
        <f aca="false">Assumptions!D19</f>
        <v>40.5</v>
      </c>
      <c r="E14" s="4" t="n">
        <f aca="false">Assumptions!E19</f>
        <v>40.5</v>
      </c>
      <c r="F14" s="4" t="n">
        <f aca="false">Assumptions!F19</f>
        <v>40.5</v>
      </c>
      <c r="G14" s="4" t="n">
        <f aca="false">Assumptions!G19</f>
        <v>40.5</v>
      </c>
      <c r="H14" s="4" t="n">
        <f aca="false">Assumptions!H19</f>
        <v>40.5</v>
      </c>
      <c r="I14" s="4" t="n">
        <f aca="false">Assumptions!I19</f>
        <v>40.5</v>
      </c>
      <c r="J14" s="4" t="n">
        <f aca="false">Assumptions!J19</f>
        <v>40.5</v>
      </c>
      <c r="K14" s="4" t="n">
        <f aca="false">Assumptions!K19</f>
        <v>40.5</v>
      </c>
      <c r="L14" s="4" t="n">
        <f aca="false">Assumptions!L19</f>
        <v>40.5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1865.1655162595</v>
      </c>
      <c r="D15" s="0" t="n">
        <f aca="false">D13-MAX(0,D13)*D14/100</f>
        <v>1269.50230844705</v>
      </c>
      <c r="E15" s="0" t="n">
        <f aca="false">E13-MAX(0,E13)*E14/100</f>
        <v>1008.81364699975</v>
      </c>
      <c r="F15" s="0" t="n">
        <f aca="false">F13-MAX(0,F13)*F14/100</f>
        <v>1113.92415239406</v>
      </c>
      <c r="G15" s="0" t="n">
        <f aca="false">G13-MAX(0,G13)*G14/100</f>
        <v>1150.92505378262</v>
      </c>
      <c r="H15" s="0" t="n">
        <f aca="false">H13-MAX(0,H13)*H14/100</f>
        <v>1150.92505378262</v>
      </c>
      <c r="I15" s="0" t="n">
        <f aca="false">I13-MAX(0,I13)*I14/100</f>
        <v>1147.24444919745</v>
      </c>
      <c r="J15" s="0" t="n">
        <f aca="false">J13-MAX(0,J13)*J14/100</f>
        <v>1140.36098250226</v>
      </c>
      <c r="K15" s="0" t="n">
        <f aca="false">K13-MAX(0,K13)*K14/100</f>
        <v>1129.88224677534</v>
      </c>
      <c r="L15" s="0" t="n">
        <f aca="false">L13-MAX(0,L13)*L14/100</f>
        <v>1121.97307104791</v>
      </c>
    </row>
    <row r="16" customFormat="false" ht="15" hidden="false" customHeight="false" outlineLevel="0" collapsed="false">
      <c r="A16" s="0" t="s">
        <v>132</v>
      </c>
      <c r="C16" s="0" t="n">
        <f aca="false">-C12</f>
        <v>873.18439</v>
      </c>
      <c r="D16" s="0" t="n">
        <f aca="false">-D12</f>
        <v>924.352995254</v>
      </c>
      <c r="E16" s="0" t="n">
        <f aca="false">-E12</f>
        <v>1069.22485108612</v>
      </c>
      <c r="F16" s="0" t="n">
        <f aca="false">-F12</f>
        <v>1164.40283465582</v>
      </c>
      <c r="G16" s="0" t="n">
        <f aca="false">-G12</f>
        <v>1175.31911123072</v>
      </c>
      <c r="H16" s="0" t="n">
        <f aca="false">-H12</f>
        <v>1162.9473311125</v>
      </c>
      <c r="I16" s="0" t="n">
        <f aca="false">-I12</f>
        <v>1156.76144105339</v>
      </c>
      <c r="J16" s="0" t="n">
        <f aca="false">-J12</f>
        <v>1137.52332296956</v>
      </c>
      <c r="K16" s="0" t="n">
        <f aca="false">-K12</f>
        <v>1118.47441889086</v>
      </c>
      <c r="L16" s="0" t="n">
        <f aca="false">-L12</f>
        <v>1098.50690016672</v>
      </c>
    </row>
    <row r="17" customFormat="false" ht="15" hidden="false" customHeight="false" outlineLevel="0" collapsed="false">
      <c r="A17" s="0" t="s">
        <v>133</v>
      </c>
      <c r="C17" s="4" t="n">
        <f aca="false">-C6*Assumptions!C18/100</f>
        <v>-2001.607294</v>
      </c>
      <c r="D17" s="4" t="n">
        <f aca="false">-D6*Assumptions!D18/100</f>
        <v>-2094.420077854</v>
      </c>
      <c r="E17" s="4" t="n">
        <f aca="false">-E6*Assumptions!E18/100</f>
        <v>-1255.91490445036</v>
      </c>
      <c r="F17" s="4" t="n">
        <f aca="false">-F6*Assumptions!F18/100</f>
        <v>-1249.30720801614</v>
      </c>
      <c r="G17" s="4" t="n">
        <f aca="false">-G6*Assumptions!G18/100</f>
        <v>-1280.47924223557</v>
      </c>
      <c r="H17" s="4" t="n">
        <f aca="false">-H6*Assumptions!H18/100</f>
        <v>-1286.66513229468</v>
      </c>
      <c r="I17" s="4" t="n">
        <f aca="false">-I6*Assumptions!I18/100</f>
        <v>-1292.85102235379</v>
      </c>
      <c r="J17" s="4" t="n">
        <f aca="false">-J6*Assumptions!J18/100</f>
        <v>-1291.24269093842</v>
      </c>
      <c r="K17" s="4" t="n">
        <f aca="false">-K6*Assumptions!K18/100</f>
        <v>-1289.60711686323</v>
      </c>
      <c r="L17" s="4" t="n">
        <f aca="false">-L6*Assumptions!L18/100</f>
        <v>-1286.64896594114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(C6-B6)*Assumptions!$B$23/100</f>
        <v>52.49576</v>
      </c>
      <c r="D18" s="4" t="n">
        <f aca="false">(D6-C6)*Assumptions!$B$23/100</f>
        <v>69.31740696</v>
      </c>
      <c r="E18" s="4" t="n">
        <f aca="false">(E6-D6)*Assumptions!$B$23/100</f>
        <v>15.44488549032</v>
      </c>
      <c r="F18" s="4" t="n">
        <f aca="false">(F6-E6)*Assumptions!$B$23/100</f>
        <v>-32.585900223577</v>
      </c>
      <c r="G18" s="4" t="n">
        <f aca="false">(G6-F6)*Assumptions!$B$23/100</f>
        <v>-9.70335695546513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2.96922722837233</v>
      </c>
      <c r="K18" s="4" t="n">
        <f aca="false">(K6-J6)*Assumptions!$B$23/100</f>
        <v>2.95141186500208</v>
      </c>
      <c r="L18" s="4" t="n">
        <f aca="false">(L6-K6)*Assumptions!$B$23/100</f>
        <v>3.42265395944742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789.2383722595</v>
      </c>
      <c r="D19" s="0" t="n">
        <f aca="false">D15+D16+D17+D18</f>
        <v>168.752632807054</v>
      </c>
      <c r="E19" s="0" t="n">
        <f aca="false">E15+E16+E17+E18</f>
        <v>837.56847912583</v>
      </c>
      <c r="F19" s="0" t="n">
        <f aca="false">F15+F16+F17+F18</f>
        <v>996.433878810161</v>
      </c>
      <c r="G19" s="0" t="n">
        <f aca="false">G15+G16+G17+G18</f>
        <v>1036.0615658223</v>
      </c>
      <c r="H19" s="0" t="n">
        <f aca="false">H15+H16+H17+H18</f>
        <v>1027.20725260044</v>
      </c>
      <c r="I19" s="0" t="n">
        <f aca="false">I15+I16+I17+I18</f>
        <v>1011.15486789705</v>
      </c>
      <c r="J19" s="0" t="n">
        <f aca="false">J15+J16+J17+J18</f>
        <v>989.610841761777</v>
      </c>
      <c r="K19" s="0" t="n">
        <f aca="false">K15+K16+K17+K18</f>
        <v>961.700960667968</v>
      </c>
      <c r="L19" s="0" t="n">
        <f aca="false">L15+L16+L17+L18</f>
        <v>937.253659232946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720.765636766667</v>
      </c>
      <c r="D21" s="0" t="n">
        <f aca="false">D19*D20</f>
        <v>140.74154651242</v>
      </c>
      <c r="E21" s="0" t="n">
        <f aca="false">E19*E20</f>
        <v>637.937257907766</v>
      </c>
      <c r="F21" s="0" t="n">
        <f aca="false">F19*F20</f>
        <v>693.093791256539</v>
      </c>
      <c r="G21" s="0" t="n">
        <f aca="false">G19*G20</f>
        <v>658.134969545569</v>
      </c>
      <c r="H21" s="0" t="n">
        <f aca="false">H19*H20</f>
        <v>595.899967881252</v>
      </c>
      <c r="I21" s="0" t="n">
        <f aca="false">I19*I20</f>
        <v>535.696541750699</v>
      </c>
      <c r="J21" s="0" t="n">
        <f aca="false">J19*J20</f>
        <v>478.797077838797</v>
      </c>
      <c r="K21" s="0" t="n">
        <f aca="false">K19*K20</f>
        <v>424.925679228373</v>
      </c>
      <c r="L21" s="0" t="n">
        <f aca="false">L19*L20</f>
        <v>378.195148073951</v>
      </c>
    </row>
    <row r="23" customFormat="false" ht="15" hidden="false" customHeight="false" outlineLevel="0" collapsed="false">
      <c r="A23" s="0" t="s">
        <v>113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118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5264.18761676203</v>
      </c>
    </row>
    <row r="31" customFormat="false" ht="15" hidden="false" customHeight="false" outlineLevel="0" collapsed="false">
      <c r="A31" s="0" t="s">
        <v>141</v>
      </c>
      <c r="B31" s="0" t="n">
        <f aca="false">L19</f>
        <v>937.253659232946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11136.778774415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11247.0439107954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11136.778774415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4493.84823005518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9758.03584681721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12603.4358468172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36.9573761862233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-0.750961076912242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11.5380527612114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8.72984887162031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37.0168082707956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6761.61568446626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25.2736391860332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125</v>
      </c>
      <c r="B3" s="0" t="s">
        <v>95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Assumptions!C27</f>
        <v>2</v>
      </c>
      <c r="D5" s="4" t="n">
        <f aca="false">Assumptions!D27</f>
        <v>-0.5</v>
      </c>
      <c r="E5" s="4" t="n">
        <f aca="false">Assumptions!E27</f>
        <v>4.6</v>
      </c>
      <c r="F5" s="4" t="n">
        <f aca="false">Assumptions!F27</f>
        <v>7.7</v>
      </c>
      <c r="G5" s="4" t="n">
        <f aca="false">Assumptions!G27</f>
        <v>3.3</v>
      </c>
      <c r="H5" s="4" t="n">
        <f aca="false">Assumptions!H27</f>
        <v>2</v>
      </c>
      <c r="I5" s="4" t="n">
        <f aca="false">Assumptions!I27</f>
        <v>0.7</v>
      </c>
      <c r="J5" s="4" t="n">
        <f aca="false">Assumptions!J27</f>
        <v>0.6</v>
      </c>
      <c r="K5" s="4" t="n">
        <f aca="false">Assumptions!K27</f>
        <v>0.1</v>
      </c>
      <c r="L5" s="4" t="n">
        <f aca="false">Assumptions!L27</f>
        <v>0.6</v>
      </c>
    </row>
    <row r="6" customFormat="false" ht="15" hidden="false" customHeight="false" outlineLevel="0" collapsed="false">
      <c r="A6" s="0" t="s">
        <v>38</v>
      </c>
      <c r="B6" s="3" t="n">
        <v>7373</v>
      </c>
      <c r="C6" s="0" t="n">
        <f aca="false">B6*(1+C5/100)</f>
        <v>7520.46</v>
      </c>
      <c r="D6" s="0" t="n">
        <f aca="false">C6*(1+D5/100)</f>
        <v>7482.8577</v>
      </c>
      <c r="E6" s="0" t="n">
        <f aca="false">D6*(1+E5/100)</f>
        <v>7827.0691542</v>
      </c>
      <c r="F6" s="0" t="n">
        <f aca="false">E6*(1+F5/100)</f>
        <v>8429.7534790734</v>
      </c>
      <c r="G6" s="0" t="n">
        <f aca="false">F6*(1+G5/100)</f>
        <v>8707.93534388282</v>
      </c>
      <c r="H6" s="0" t="n">
        <f aca="false">G6*(1+H5/100)</f>
        <v>8882.09405076048</v>
      </c>
      <c r="I6" s="0" t="n">
        <f aca="false">H6*(1+I5/100)</f>
        <v>8944.2687091158</v>
      </c>
      <c r="J6" s="0" t="n">
        <f aca="false">I6*(1+J5/100)</f>
        <v>8997.9343213705</v>
      </c>
      <c r="K6" s="0" t="n">
        <f aca="false">J6*(1+K5/100)</f>
        <v>9006.93225569187</v>
      </c>
      <c r="L6" s="0" t="n">
        <f aca="false">K6*(1+L5/100)</f>
        <v>9060.97384922602</v>
      </c>
    </row>
    <row r="7" customFormat="false" ht="15" hidden="false" customHeight="false" outlineLevel="0" collapsed="false">
      <c r="A7" s="0" t="s">
        <v>111</v>
      </c>
      <c r="C7" s="4" t="n">
        <f aca="false">Assumptions!C28</f>
        <v>62.5</v>
      </c>
      <c r="D7" s="4" t="n">
        <f aca="false">Assumptions!D28</f>
        <v>59.6</v>
      </c>
      <c r="E7" s="4" t="n">
        <f aca="false">Assumptions!E28</f>
        <v>58.5</v>
      </c>
      <c r="F7" s="4" t="n">
        <f aca="false">Assumptions!F28</f>
        <v>59.4</v>
      </c>
      <c r="G7" s="4" t="n">
        <f aca="false">Assumptions!G28</f>
        <v>59.5</v>
      </c>
      <c r="H7" s="4" t="n">
        <f aca="false">Assumptions!H28</f>
        <v>59.4</v>
      </c>
      <c r="I7" s="4" t="n">
        <f aca="false">Assumptions!I28</f>
        <v>59.2</v>
      </c>
      <c r="J7" s="4" t="n">
        <f aca="false">Assumptions!J28</f>
        <v>59.1</v>
      </c>
      <c r="K7" s="4" t="n">
        <f aca="false">Assumptions!K28</f>
        <v>58.9</v>
      </c>
      <c r="L7" s="4" t="n">
        <f aca="false">Assumptions!L28</f>
        <v>58.7</v>
      </c>
    </row>
    <row r="8" customFormat="false" ht="15" hidden="false" customHeight="false" outlineLevel="0" collapsed="false">
      <c r="A8" s="0" t="s">
        <v>44</v>
      </c>
      <c r="C8" s="0" t="n">
        <f aca="false">C6*C7/100</f>
        <v>4700.2875</v>
      </c>
      <c r="D8" s="0" t="n">
        <f aca="false">D6*D7/100</f>
        <v>4459.7831892</v>
      </c>
      <c r="E8" s="0" t="n">
        <f aca="false">E6*E7/100</f>
        <v>4578.835455207</v>
      </c>
      <c r="F8" s="0" t="n">
        <f aca="false">F6*F7/100</f>
        <v>5007.2735665696</v>
      </c>
      <c r="G8" s="0" t="n">
        <f aca="false">G6*G7/100</f>
        <v>5181.22152961028</v>
      </c>
      <c r="H8" s="0" t="n">
        <f aca="false">H6*H7/100</f>
        <v>5275.96386615172</v>
      </c>
      <c r="I8" s="0" t="n">
        <f aca="false">I6*I7/100</f>
        <v>5295.00707579656</v>
      </c>
      <c r="J8" s="0" t="n">
        <f aca="false">J6*J7/100</f>
        <v>5317.77918392996</v>
      </c>
      <c r="K8" s="0" t="n">
        <f aca="false">K6*K7/100</f>
        <v>5305.08309860251</v>
      </c>
      <c r="L8" s="0" t="n">
        <f aca="false">L6*L7/100</f>
        <v>5318.79164949567</v>
      </c>
    </row>
    <row r="9" customFormat="false" ht="15" hidden="false" customHeight="false" outlineLevel="0" collapsed="false">
      <c r="A9" s="0" t="s">
        <v>112</v>
      </c>
      <c r="C9" s="4" t="n">
        <f aca="false">Assumptions!C29</f>
        <v>0.03</v>
      </c>
      <c r="D9" s="4" t="n">
        <f aca="false">Assumptions!D29</f>
        <v>0.03</v>
      </c>
      <c r="E9" s="4" t="n">
        <f aca="false">Assumptions!E29</f>
        <v>0.03</v>
      </c>
      <c r="F9" s="4" t="n">
        <f aca="false">Assumptions!F29</f>
        <v>0.03</v>
      </c>
      <c r="G9" s="4" t="n">
        <f aca="false">Assumptions!G29</f>
        <v>0.03</v>
      </c>
      <c r="H9" s="4" t="n">
        <f aca="false">Assumptions!H29</f>
        <v>0.03</v>
      </c>
      <c r="I9" s="4" t="n">
        <f aca="false">Assumptions!I29</f>
        <v>0.03</v>
      </c>
      <c r="J9" s="4" t="n">
        <f aca="false">Assumptions!J29</f>
        <v>0.03</v>
      </c>
      <c r="K9" s="4" t="n">
        <f aca="false">Assumptions!K29</f>
        <v>0.03</v>
      </c>
      <c r="L9" s="4" t="n">
        <f aca="false">Assumptions!L29</f>
        <v>0.03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-2.256138</v>
      </c>
      <c r="D10" s="0" t="n">
        <f aca="false">-D6*D9/100</f>
        <v>-2.24485731</v>
      </c>
      <c r="E10" s="0" t="n">
        <f aca="false">-E6*E9/100</f>
        <v>-2.34812074626</v>
      </c>
      <c r="F10" s="0" t="n">
        <f aca="false">-F6*F9/100</f>
        <v>-2.52892604372202</v>
      </c>
      <c r="G10" s="0" t="n">
        <f aca="false">-G6*G9/100</f>
        <v>-2.61238060316485</v>
      </c>
      <c r="H10" s="0" t="n">
        <f aca="false">-H6*H9/100</f>
        <v>-2.66462821522814</v>
      </c>
      <c r="I10" s="0" t="n">
        <f aca="false">-I6*I9/100</f>
        <v>-2.68328061273474</v>
      </c>
      <c r="J10" s="0" t="n">
        <f aca="false">-J6*J9/100</f>
        <v>-2.69938029641115</v>
      </c>
      <c r="K10" s="0" t="n">
        <f aca="false">-K6*K9/100</f>
        <v>-2.70207967670756</v>
      </c>
      <c r="L10" s="0" t="n">
        <f aca="false">-L6*L9/100</f>
        <v>-2.71829215476781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4698.031362</v>
      </c>
      <c r="D11" s="0" t="n">
        <f aca="false">D8+D10+D24</f>
        <v>4457.53833189</v>
      </c>
      <c r="E11" s="0" t="n">
        <f aca="false">E8+E10+E24</f>
        <v>4576.48733446074</v>
      </c>
      <c r="F11" s="0" t="n">
        <f aca="false">F8+F10+F24</f>
        <v>5004.74464052588</v>
      </c>
      <c r="G11" s="0" t="n">
        <f aca="false">G8+G10+G24</f>
        <v>5178.60914900711</v>
      </c>
      <c r="H11" s="0" t="n">
        <f aca="false">H8+H10+H24</f>
        <v>5273.2992379365</v>
      </c>
      <c r="I11" s="0" t="n">
        <f aca="false">I8+I10+I24</f>
        <v>5292.32379518382</v>
      </c>
      <c r="J11" s="0" t="n">
        <f aca="false">J8+J10+J24</f>
        <v>5315.07980363355</v>
      </c>
      <c r="K11" s="0" t="n">
        <f aca="false">K8+K10+K24</f>
        <v>5302.3810189258</v>
      </c>
      <c r="L11" s="0" t="n">
        <f aca="false">L8+L10+L24</f>
        <v>5316.0733573409</v>
      </c>
    </row>
    <row r="12" customFormat="false" ht="15" hidden="false" customHeight="false" outlineLevel="0" collapsed="false">
      <c r="A12" s="0" t="s">
        <v>129</v>
      </c>
      <c r="C12" s="4" t="n">
        <f aca="false">-C6*Assumptions!C31/100</f>
        <v>-894.93474</v>
      </c>
      <c r="D12" s="4" t="n">
        <f aca="false">-D6*Assumptions!D31/100</f>
        <v>-965.2886433</v>
      </c>
      <c r="E12" s="4" t="n">
        <f aca="false">-E6*Assumptions!E31/100</f>
        <v>-1150.5791656674</v>
      </c>
      <c r="F12" s="4" t="n">
        <f aca="false">-F6*Assumptions!F31/100</f>
        <v>-1264.46302186101</v>
      </c>
      <c r="G12" s="4" t="n">
        <f aca="false">-G6*Assumptions!G31/100</f>
        <v>-1288.77443089466</v>
      </c>
      <c r="H12" s="4" t="n">
        <f aca="false">-H6*Assumptions!H31/100</f>
        <v>-1305.66782546179</v>
      </c>
      <c r="I12" s="4" t="n">
        <f aca="false">-I6*Assumptions!I31/100</f>
        <v>-1296.91896282179</v>
      </c>
      <c r="J12" s="4" t="n">
        <f aca="false">-J6*Assumptions!J31/100</f>
        <v>-1295.70254227735</v>
      </c>
      <c r="K12" s="4" t="n">
        <f aca="false">-K6*Assumptions!K31/100</f>
        <v>-1278.98438030824</v>
      </c>
      <c r="L12" s="4" t="n">
        <f aca="false">-L6*Assumptions!L31/100</f>
        <v>-1277.59731274087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3803.096622</v>
      </c>
      <c r="D13" s="0" t="n">
        <f aca="false">D11+D12</f>
        <v>3492.24968859</v>
      </c>
      <c r="E13" s="0" t="n">
        <f aca="false">E11+E12</f>
        <v>3425.90816879334</v>
      </c>
      <c r="F13" s="0" t="n">
        <f aca="false">F11+F12</f>
        <v>3740.28161866487</v>
      </c>
      <c r="G13" s="0" t="n">
        <f aca="false">G11+G12</f>
        <v>3889.83471811246</v>
      </c>
      <c r="H13" s="0" t="n">
        <f aca="false">H11+H12</f>
        <v>3967.63141247471</v>
      </c>
      <c r="I13" s="0" t="n">
        <f aca="false">I11+I12</f>
        <v>3995.40483236203</v>
      </c>
      <c r="J13" s="0" t="n">
        <f aca="false">J11+J12</f>
        <v>4019.3772613562</v>
      </c>
      <c r="K13" s="0" t="n">
        <f aca="false">K11+K12</f>
        <v>4023.39663861756</v>
      </c>
      <c r="L13" s="0" t="n">
        <f aca="false">L11+L12</f>
        <v>4038.47604460004</v>
      </c>
    </row>
    <row r="14" customFormat="false" ht="15" hidden="false" customHeight="false" outlineLevel="0" collapsed="false">
      <c r="A14" s="0" t="s">
        <v>116</v>
      </c>
      <c r="C14" s="4" t="n">
        <f aca="false">Assumptions!C33</f>
        <v>40.5</v>
      </c>
      <c r="D14" s="4" t="n">
        <f aca="false">Assumptions!D33</f>
        <v>40.5</v>
      </c>
      <c r="E14" s="4" t="n">
        <f aca="false">Assumptions!E33</f>
        <v>40.5</v>
      </c>
      <c r="F14" s="4" t="n">
        <f aca="false">Assumptions!F33</f>
        <v>40.5</v>
      </c>
      <c r="G14" s="4" t="n">
        <f aca="false">Assumptions!G33</f>
        <v>40.5</v>
      </c>
      <c r="H14" s="4" t="n">
        <f aca="false">Assumptions!H33</f>
        <v>40.5</v>
      </c>
      <c r="I14" s="4" t="n">
        <f aca="false">Assumptions!I33</f>
        <v>40.5</v>
      </c>
      <c r="J14" s="4" t="n">
        <f aca="false">Assumptions!J33</f>
        <v>40.5</v>
      </c>
      <c r="K14" s="4" t="n">
        <f aca="false">Assumptions!K33</f>
        <v>40.5</v>
      </c>
      <c r="L14" s="4" t="n">
        <f aca="false">Assumptions!L33</f>
        <v>40.5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2262.84249009</v>
      </c>
      <c r="D15" s="0" t="n">
        <f aca="false">D13-MAX(0,D13)*D14/100</f>
        <v>2077.88856471105</v>
      </c>
      <c r="E15" s="0" t="n">
        <f aca="false">E13-MAX(0,E13)*E14/100</f>
        <v>2038.41536043204</v>
      </c>
      <c r="F15" s="0" t="n">
        <f aca="false">F13-MAX(0,F13)*F14/100</f>
        <v>2225.4675631056</v>
      </c>
      <c r="G15" s="0" t="n">
        <f aca="false">G13-MAX(0,G13)*G14/100</f>
        <v>2314.45165727691</v>
      </c>
      <c r="H15" s="0" t="n">
        <f aca="false">H13-MAX(0,H13)*H14/100</f>
        <v>2360.74069042245</v>
      </c>
      <c r="I15" s="0" t="n">
        <f aca="false">I13-MAX(0,I13)*I14/100</f>
        <v>2377.26587525541</v>
      </c>
      <c r="J15" s="0" t="n">
        <f aca="false">J13-MAX(0,J13)*J14/100</f>
        <v>2391.52947050694</v>
      </c>
      <c r="K15" s="0" t="n">
        <f aca="false">K13-MAX(0,K13)*K14/100</f>
        <v>2393.92099997745</v>
      </c>
      <c r="L15" s="0" t="n">
        <f aca="false">L13-MAX(0,L13)*L14/100</f>
        <v>2402.89324653702</v>
      </c>
    </row>
    <row r="16" customFormat="false" ht="15" hidden="false" customHeight="false" outlineLevel="0" collapsed="false">
      <c r="A16" s="0" t="s">
        <v>132</v>
      </c>
      <c r="C16" s="0" t="n">
        <f aca="false">-C12</f>
        <v>894.93474</v>
      </c>
      <c r="D16" s="0" t="n">
        <f aca="false">-D12</f>
        <v>965.2886433</v>
      </c>
      <c r="E16" s="0" t="n">
        <f aca="false">-E12</f>
        <v>1150.5791656674</v>
      </c>
      <c r="F16" s="0" t="n">
        <f aca="false">-F12</f>
        <v>1264.46302186101</v>
      </c>
      <c r="G16" s="0" t="n">
        <f aca="false">-G12</f>
        <v>1288.77443089466</v>
      </c>
      <c r="H16" s="0" t="n">
        <f aca="false">-H12</f>
        <v>1305.66782546179</v>
      </c>
      <c r="I16" s="0" t="n">
        <f aca="false">-I12</f>
        <v>1296.91896282179</v>
      </c>
      <c r="J16" s="0" t="n">
        <f aca="false">-J12</f>
        <v>1295.70254227735</v>
      </c>
      <c r="K16" s="0" t="n">
        <f aca="false">-K12</f>
        <v>1278.98438030824</v>
      </c>
      <c r="L16" s="0" t="n">
        <f aca="false">-L12</f>
        <v>1277.59731274087</v>
      </c>
    </row>
    <row r="17" customFormat="false" ht="15" hidden="false" customHeight="false" outlineLevel="0" collapsed="false">
      <c r="A17" s="0" t="s">
        <v>133</v>
      </c>
      <c r="C17" s="4" t="n">
        <f aca="false">-C6*Assumptions!C32/100</f>
        <v>-1872.59454</v>
      </c>
      <c r="D17" s="4" t="n">
        <f aca="false">-D6*Assumptions!D32/100</f>
        <v>-1923.0944289</v>
      </c>
      <c r="E17" s="4" t="n">
        <f aca="false">-E6*Assumptions!E32/100</f>
        <v>-1158.4062348216</v>
      </c>
      <c r="F17" s="4" t="n">
        <f aca="false">-F6*Assumptions!F32/100</f>
        <v>-1348.76055665174</v>
      </c>
      <c r="G17" s="4" t="n">
        <f aca="false">-G6*Assumptions!G32/100</f>
        <v>-1401.97759036513</v>
      </c>
      <c r="H17" s="4" t="n">
        <f aca="false">-H6*Assumptions!H32/100</f>
        <v>-1438.8992362232</v>
      </c>
      <c r="I17" s="4" t="n">
        <f aca="false">-I6*Assumptions!I32/100</f>
        <v>-1457.91579958588</v>
      </c>
      <c r="J17" s="4" t="n">
        <f aca="false">-J6*Assumptions!J32/100</f>
        <v>-1466.66329438339</v>
      </c>
      <c r="K17" s="4" t="n">
        <f aca="false">-K6*Assumptions!K32/100</f>
        <v>-1477.13688993347</v>
      </c>
      <c r="L17" s="4" t="n">
        <f aca="false">-L6*Assumptions!L32/100</f>
        <v>-1495.06068512229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(C6-B6)*Assumptions!$B$37/100</f>
        <v>-11.7968</v>
      </c>
      <c r="D18" s="4" t="n">
        <f aca="false">(D6-C6)*Assumptions!$B$37/100</f>
        <v>3.00818400000004</v>
      </c>
      <c r="E18" s="4" t="n">
        <f aca="false">(E6-D6)*Assumptions!$B$37/100</f>
        <v>-27.536916336</v>
      </c>
      <c r="F18" s="4" t="n">
        <f aca="false">(F6-E6)*Assumptions!$B$37/100</f>
        <v>-48.214745989872</v>
      </c>
      <c r="G18" s="4" t="n">
        <f aca="false">(G6-F6)*Assumptions!$B$37/100</f>
        <v>-22.2545491847537</v>
      </c>
      <c r="H18" s="4" t="n">
        <f aca="false">(H6-G6)*Assumptions!$B$37/100</f>
        <v>-13.9326965502126</v>
      </c>
      <c r="I18" s="4" t="n">
        <f aca="false">(I6-H6)*Assumptions!$B$37/100</f>
        <v>-4.97397266842585</v>
      </c>
      <c r="J18" s="4" t="n">
        <f aca="false">(J6-I6)*Assumptions!$B$37/100</f>
        <v>-4.29324898037565</v>
      </c>
      <c r="K18" s="4" t="n">
        <f aca="false">(K6-J6)*Assumptions!$B$37/100</f>
        <v>-0.719834745709522</v>
      </c>
      <c r="L18" s="4" t="n">
        <f aca="false">(L6-K6)*Assumptions!$B$37/100</f>
        <v>-4.32332748273213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1273.38589009</v>
      </c>
      <c r="D19" s="0" t="n">
        <f aca="false">D15+D16+D17+D18</f>
        <v>1123.09096311105</v>
      </c>
      <c r="E19" s="0" t="n">
        <f aca="false">E15+E16+E17+E18</f>
        <v>2003.05137494184</v>
      </c>
      <c r="F19" s="0" t="n">
        <f aca="false">F15+F16+F17+F18</f>
        <v>2092.95528232499</v>
      </c>
      <c r="G19" s="0" t="n">
        <f aca="false">G15+G16+G17+G18</f>
        <v>2178.99394862168</v>
      </c>
      <c r="H19" s="0" t="n">
        <f aca="false">H15+H16+H17+H18</f>
        <v>2213.57658311083</v>
      </c>
      <c r="I19" s="0" t="n">
        <f aca="false">I15+I16+I17+I18</f>
        <v>2211.2950658229</v>
      </c>
      <c r="J19" s="0" t="n">
        <f aca="false">J15+J16+J17+J18</f>
        <v>2216.27546942052</v>
      </c>
      <c r="K19" s="0" t="n">
        <f aca="false">K15+K16+K17+K18</f>
        <v>2195.04865560651</v>
      </c>
      <c r="L19" s="0" t="n">
        <f aca="false">L15+L16+L17+L18</f>
        <v>2181.10654667286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1162.90948866667</v>
      </c>
      <c r="D21" s="0" t="n">
        <f aca="false">D19*D20</f>
        <v>936.670180447489</v>
      </c>
      <c r="E21" s="0" t="n">
        <f aca="false">E19*E20</f>
        <v>1525.63179420558</v>
      </c>
      <c r="F21" s="0" t="n">
        <f aca="false">F19*F20</f>
        <v>1455.80589179605</v>
      </c>
      <c r="G21" s="0" t="n">
        <f aca="false">G19*G20</f>
        <v>1384.15723864625</v>
      </c>
      <c r="H21" s="0" t="n">
        <f aca="false">H19*H20</f>
        <v>1284.13249754529</v>
      </c>
      <c r="I21" s="0" t="n">
        <f aca="false">I19*I20</f>
        <v>1171.51502421716</v>
      </c>
      <c r="J21" s="0" t="n">
        <f aca="false">J19*J20</f>
        <v>1072.28637123177</v>
      </c>
      <c r="K21" s="0" t="n">
        <f aca="false">K19*K20</f>
        <v>969.877934067028</v>
      </c>
      <c r="L21" s="0" t="n">
        <f aca="false">L19*L20</f>
        <v>880.107434372779</v>
      </c>
    </row>
    <row r="23" customFormat="false" ht="15" hidden="false" customHeight="false" outlineLevel="0" collapsed="false">
      <c r="A23" s="0" t="s">
        <v>113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11843.0938551961</v>
      </c>
    </row>
    <row r="31" customFormat="false" ht="15" hidden="false" customHeight="false" outlineLevel="0" collapsed="false">
      <c r="A31" s="0" t="s">
        <v>141</v>
      </c>
      <c r="B31" s="0" t="n">
        <f aca="false">L19</f>
        <v>2181.10654667286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29663.049034751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26173.2785600744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26173.2785600744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10561.2892124734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22404.3830676694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25249.7830676694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74.0405824883097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-0.501074241992522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15.7037669202299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14.9174244948583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74.1303737884085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17113.2975200486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47.8115724841242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0" t="s">
        <v>125</v>
      </c>
      <c r="B3" s="0" t="s">
        <v>95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Assumptions!C41</f>
        <v>15.2</v>
      </c>
      <c r="D5" s="4" t="n">
        <f aca="false">Assumptions!D41</f>
        <v>12.9</v>
      </c>
      <c r="E5" s="4" t="n">
        <f aca="false">Assumptions!E41</f>
        <v>14.9</v>
      </c>
      <c r="F5" s="4" t="n">
        <f aca="false">Assumptions!F41</f>
        <v>9.3</v>
      </c>
      <c r="G5" s="4" t="n">
        <f aca="false">Assumptions!G41</f>
        <v>4.6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1.3</v>
      </c>
      <c r="K5" s="4" t="n">
        <f aca="false">Assumptions!K41</f>
        <v>1.7</v>
      </c>
      <c r="L5" s="4" t="n">
        <f aca="false">Assumptions!L41</f>
        <v>1.6</v>
      </c>
    </row>
    <row r="6" customFormat="false" ht="15" hidden="false" customHeight="false" outlineLevel="0" collapsed="false">
      <c r="A6" s="0" t="s">
        <v>38</v>
      </c>
      <c r="B6" s="3" t="n">
        <v>7373</v>
      </c>
      <c r="C6" s="0" t="n">
        <f aca="false">B6*(1+C5/100)</f>
        <v>8493.696</v>
      </c>
      <c r="D6" s="0" t="n">
        <f aca="false">C6*(1+D5/100)</f>
        <v>9589.382784</v>
      </c>
      <c r="E6" s="0" t="n">
        <f aca="false">D6*(1+E5/100)</f>
        <v>11018.200818816</v>
      </c>
      <c r="F6" s="0" t="n">
        <f aca="false">E6*(1+F5/100)</f>
        <v>12042.8934949659</v>
      </c>
      <c r="G6" s="0" t="n">
        <f aca="false">F6*(1+G5/100)</f>
        <v>12596.8665957343</v>
      </c>
      <c r="H6" s="0" t="n">
        <f aca="false">G6*(1+H5/100)</f>
        <v>12911.7882606277</v>
      </c>
      <c r="I6" s="0" t="n">
        <f aca="false">H6*(1+I5/100)</f>
        <v>13234.5829671434</v>
      </c>
      <c r="J6" s="0" t="n">
        <f aca="false">I6*(1+J5/100)</f>
        <v>13406.6325457162</v>
      </c>
      <c r="K6" s="0" t="n">
        <f aca="false">J6*(1+K5/100)</f>
        <v>13634.5452989934</v>
      </c>
      <c r="L6" s="0" t="n">
        <f aca="false">K6*(1+L5/100)</f>
        <v>13852.6980237773</v>
      </c>
    </row>
    <row r="7" customFormat="false" ht="15" hidden="false" customHeight="false" outlineLevel="0" collapsed="false">
      <c r="A7" s="0" t="s">
        <v>111</v>
      </c>
      <c r="C7" s="4" t="n">
        <f aca="false">Assumptions!C42</f>
        <v>65.4</v>
      </c>
      <c r="D7" s="4" t="n">
        <f aca="false">Assumptions!D42</f>
        <v>65.8</v>
      </c>
      <c r="E7" s="4" t="n">
        <f aca="false">Assumptions!E42</f>
        <v>66.9</v>
      </c>
      <c r="F7" s="4" t="n">
        <f aca="false">Assumptions!F42</f>
        <v>67.7</v>
      </c>
      <c r="G7" s="4" t="n">
        <f aca="false">Assumptions!G42</f>
        <v>67.9</v>
      </c>
      <c r="H7" s="4" t="n">
        <f aca="false">Assumptions!H42</f>
        <v>67.9</v>
      </c>
      <c r="I7" s="4" t="n">
        <f aca="false">Assumptions!I42</f>
        <v>67.9</v>
      </c>
      <c r="J7" s="4" t="n">
        <f aca="false">Assumptions!J42</f>
        <v>67.9</v>
      </c>
      <c r="K7" s="4" t="n">
        <f aca="false">Assumptions!K42</f>
        <v>67.9</v>
      </c>
      <c r="L7" s="4" t="n">
        <f aca="false">Assumptions!L42</f>
        <v>67.9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5554.877184</v>
      </c>
      <c r="D8" s="0" t="n">
        <f aca="false">D6*D7/100</f>
        <v>6309.813871872</v>
      </c>
      <c r="E8" s="0" t="n">
        <f aca="false">E6*E7/100</f>
        <v>7371.1763477879</v>
      </c>
      <c r="F8" s="0" t="n">
        <f aca="false">F6*F7/100</f>
        <v>8153.03889609191</v>
      </c>
      <c r="G8" s="0" t="n">
        <f aca="false">G6*G7/100</f>
        <v>8553.2724185036</v>
      </c>
      <c r="H8" s="0" t="n">
        <f aca="false">H6*H7/100</f>
        <v>8767.10422896619</v>
      </c>
      <c r="I8" s="0" t="n">
        <f aca="false">I6*I7/100</f>
        <v>8986.28183469035</v>
      </c>
      <c r="J8" s="0" t="n">
        <f aca="false">J6*J7/100</f>
        <v>9103.10349854132</v>
      </c>
      <c r="K8" s="0" t="n">
        <f aca="false">K6*K7/100</f>
        <v>9257.85625801652</v>
      </c>
      <c r="L8" s="0" t="n">
        <f aca="false">L6*L7/100</f>
        <v>9405.98195814479</v>
      </c>
    </row>
    <row r="9" customFormat="false" ht="15" hidden="false" customHeight="false" outlineLevel="0" collapsed="false">
      <c r="A9" s="0" t="s">
        <v>112</v>
      </c>
      <c r="C9" s="4" t="n">
        <f aca="false">Assumptions!C43</f>
        <v>0.03</v>
      </c>
      <c r="D9" s="4" t="n">
        <f aca="false">Assumptions!D43</f>
        <v>0.03</v>
      </c>
      <c r="E9" s="4" t="n">
        <f aca="false">Assumptions!E43</f>
        <v>0.03</v>
      </c>
      <c r="F9" s="4" t="n">
        <f aca="false">Assumptions!F43</f>
        <v>0.03</v>
      </c>
      <c r="G9" s="4" t="n">
        <f aca="false">Assumptions!G43</f>
        <v>0.03</v>
      </c>
      <c r="H9" s="4" t="n">
        <f aca="false">Assumptions!H43</f>
        <v>0.03</v>
      </c>
      <c r="I9" s="4" t="n">
        <f aca="false">Assumptions!I43</f>
        <v>0.03</v>
      </c>
      <c r="J9" s="4" t="n">
        <f aca="false">Assumptions!J43</f>
        <v>0.03</v>
      </c>
      <c r="K9" s="4" t="n">
        <f aca="false">Assumptions!K43</f>
        <v>0.03</v>
      </c>
      <c r="L9" s="4" t="n">
        <f aca="false">Assumptions!L43</f>
        <v>0.03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-2.5481088</v>
      </c>
      <c r="D10" s="0" t="n">
        <f aca="false">-D6*D9/100</f>
        <v>-2.8768148352</v>
      </c>
      <c r="E10" s="0" t="n">
        <f aca="false">-E6*E9/100</f>
        <v>-3.3054602456448</v>
      </c>
      <c r="F10" s="0" t="n">
        <f aca="false">-F6*F9/100</f>
        <v>-3.61286804848977</v>
      </c>
      <c r="G10" s="0" t="n">
        <f aca="false">-G6*G9/100</f>
        <v>-3.7790599787203</v>
      </c>
      <c r="H10" s="0" t="n">
        <f aca="false">-H6*H9/100</f>
        <v>-3.8735364781883</v>
      </c>
      <c r="I10" s="0" t="n">
        <f aca="false">-I6*I9/100</f>
        <v>-3.97037489014301</v>
      </c>
      <c r="J10" s="0" t="n">
        <f aca="false">-J6*J9/100</f>
        <v>-4.02198976371487</v>
      </c>
      <c r="K10" s="0" t="n">
        <f aca="false">-K6*K9/100</f>
        <v>-4.09036358969802</v>
      </c>
      <c r="L10" s="0" t="n">
        <f aca="false">-L6*L9/100</f>
        <v>-4.15580940713319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5552.3290752</v>
      </c>
      <c r="D11" s="0" t="n">
        <f aca="false">D8+D10+D24</f>
        <v>6306.9370570368</v>
      </c>
      <c r="E11" s="0" t="n">
        <f aca="false">E8+E10+E24</f>
        <v>7367.87088754226</v>
      </c>
      <c r="F11" s="0" t="n">
        <f aca="false">F8+F10+F24</f>
        <v>8149.42602804342</v>
      </c>
      <c r="G11" s="0" t="n">
        <f aca="false">G8+G10+G24</f>
        <v>8549.49335852488</v>
      </c>
      <c r="H11" s="0" t="n">
        <f aca="false">H8+H10+H24</f>
        <v>8763.23069248801</v>
      </c>
      <c r="I11" s="0" t="n">
        <f aca="false">I8+I10+I24</f>
        <v>8982.3114598002</v>
      </c>
      <c r="J11" s="0" t="n">
        <f aca="false">J8+J10+J24</f>
        <v>9099.08150877761</v>
      </c>
      <c r="K11" s="0" t="n">
        <f aca="false">K8+K10+K24</f>
        <v>9253.76589442682</v>
      </c>
      <c r="L11" s="0" t="n">
        <f aca="false">L8+L10+L24</f>
        <v>9401.82614873765</v>
      </c>
    </row>
    <row r="12" customFormat="false" ht="15" hidden="false" customHeight="false" outlineLevel="0" collapsed="false">
      <c r="A12" s="0" t="s">
        <v>129</v>
      </c>
      <c r="C12" s="4" t="n">
        <f aca="false">-C6*Assumptions!C45/100</f>
        <v>-908.825472</v>
      </c>
      <c r="D12" s="4" t="n">
        <f aca="false">-D6*Assumptions!D45/100</f>
        <v>-997.295809536</v>
      </c>
      <c r="E12" s="4" t="n">
        <f aca="false">-E6*Assumptions!E45/100</f>
        <v>-1212.00209006976</v>
      </c>
      <c r="F12" s="4" t="n">
        <f aca="false">-F6*Assumptions!F45/100</f>
        <v>-1348.80407143618</v>
      </c>
      <c r="G12" s="4" t="n">
        <f aca="false">-G6*Assumptions!G45/100</f>
        <v>-1385.65532553078</v>
      </c>
      <c r="H12" s="4" t="n">
        <f aca="false">-H6*Assumptions!H45/100</f>
        <v>-1394.47313214779</v>
      </c>
      <c r="I12" s="4" t="n">
        <f aca="false">-I6*Assumptions!I45/100</f>
        <v>-1416.10037748434</v>
      </c>
      <c r="J12" s="4" t="n">
        <f aca="false">-J6*Assumptions!J45/100</f>
        <v>-1407.6964173002</v>
      </c>
      <c r="K12" s="4" t="n">
        <f aca="false">-K6*Assumptions!K45/100</f>
        <v>-1417.99271109531</v>
      </c>
      <c r="L12" s="4" t="n">
        <f aca="false">-L6*Assumptions!L45/100</f>
        <v>-1412.97519842528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4643.5036032</v>
      </c>
      <c r="D13" s="0" t="n">
        <f aca="false">D11+D12</f>
        <v>5309.6412475008</v>
      </c>
      <c r="E13" s="0" t="n">
        <f aca="false">E11+E12</f>
        <v>6155.8687974725</v>
      </c>
      <c r="F13" s="0" t="n">
        <f aca="false">F11+F12</f>
        <v>6800.62195660724</v>
      </c>
      <c r="G13" s="0" t="n">
        <f aca="false">G11+G12</f>
        <v>7163.83803299411</v>
      </c>
      <c r="H13" s="0" t="n">
        <f aca="false">H11+H12</f>
        <v>7368.75756034022</v>
      </c>
      <c r="I13" s="0" t="n">
        <f aca="false">I11+I12</f>
        <v>7566.21108231586</v>
      </c>
      <c r="J13" s="0" t="n">
        <f aca="false">J11+J12</f>
        <v>7691.3850914774</v>
      </c>
      <c r="K13" s="0" t="n">
        <f aca="false">K11+K12</f>
        <v>7835.77318333151</v>
      </c>
      <c r="L13" s="0" t="n">
        <f aca="false">L11+L12</f>
        <v>7988.85095031237</v>
      </c>
    </row>
    <row r="14" customFormat="false" ht="15" hidden="false" customHeight="false" outlineLevel="0" collapsed="false">
      <c r="A14" s="0" t="s">
        <v>116</v>
      </c>
      <c r="C14" s="4" t="n">
        <f aca="false">Assumptions!C47</f>
        <v>42</v>
      </c>
      <c r="D14" s="4" t="n">
        <f aca="false">Assumptions!D47</f>
        <v>42</v>
      </c>
      <c r="E14" s="4" t="n">
        <f aca="false">Assumptions!E47</f>
        <v>42</v>
      </c>
      <c r="F14" s="4" t="n">
        <f aca="false">Assumptions!F47</f>
        <v>42</v>
      </c>
      <c r="G14" s="4" t="n">
        <f aca="false">Assumptions!G47</f>
        <v>42</v>
      </c>
      <c r="H14" s="4" t="n">
        <f aca="false">Assumptions!H47</f>
        <v>42</v>
      </c>
      <c r="I14" s="4" t="n">
        <f aca="false">Assumptions!I47</f>
        <v>42</v>
      </c>
      <c r="J14" s="4" t="n">
        <f aca="false">Assumptions!J47</f>
        <v>42</v>
      </c>
      <c r="K14" s="4" t="n">
        <f aca="false">Assumptions!K47</f>
        <v>42</v>
      </c>
      <c r="L14" s="4" t="n">
        <f aca="false">Assumptions!L47</f>
        <v>42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2693.232089856</v>
      </c>
      <c r="D15" s="0" t="n">
        <f aca="false">D13-MAX(0,D13)*D14/100</f>
        <v>3079.59192355046</v>
      </c>
      <c r="E15" s="0" t="n">
        <f aca="false">E13-MAX(0,E13)*E14/100</f>
        <v>3570.40390253405</v>
      </c>
      <c r="F15" s="0" t="n">
        <f aca="false">F13-MAX(0,F13)*F14/100</f>
        <v>3944.3607348322</v>
      </c>
      <c r="G15" s="0" t="n">
        <f aca="false">G13-MAX(0,G13)*G14/100</f>
        <v>4155.02605913658</v>
      </c>
      <c r="H15" s="0" t="n">
        <f aca="false">H13-MAX(0,H13)*H14/100</f>
        <v>4273.87938499733</v>
      </c>
      <c r="I15" s="0" t="n">
        <f aca="false">I13-MAX(0,I13)*I14/100</f>
        <v>4388.4024277432</v>
      </c>
      <c r="J15" s="0" t="n">
        <f aca="false">J13-MAX(0,J13)*J14/100</f>
        <v>4461.00335305689</v>
      </c>
      <c r="K15" s="0" t="n">
        <f aca="false">K13-MAX(0,K13)*K14/100</f>
        <v>4544.74844633228</v>
      </c>
      <c r="L15" s="0" t="n">
        <f aca="false">L13-MAX(0,L13)*L14/100</f>
        <v>4633.53355118117</v>
      </c>
    </row>
    <row r="16" customFormat="false" ht="15" hidden="false" customHeight="false" outlineLevel="0" collapsed="false">
      <c r="A16" s="0" t="s">
        <v>132</v>
      </c>
      <c r="C16" s="0" t="n">
        <f aca="false">-C12</f>
        <v>908.825472</v>
      </c>
      <c r="D16" s="0" t="n">
        <f aca="false">-D12</f>
        <v>997.295809536</v>
      </c>
      <c r="E16" s="0" t="n">
        <f aca="false">-E12</f>
        <v>1212.00209006976</v>
      </c>
      <c r="F16" s="0" t="n">
        <f aca="false">-F12</f>
        <v>1348.80407143618</v>
      </c>
      <c r="G16" s="0" t="n">
        <f aca="false">-G12</f>
        <v>1385.65532553078</v>
      </c>
      <c r="H16" s="0" t="n">
        <f aca="false">-H12</f>
        <v>1394.47313214779</v>
      </c>
      <c r="I16" s="0" t="n">
        <f aca="false">-I12</f>
        <v>1416.10037748434</v>
      </c>
      <c r="J16" s="0" t="n">
        <f aca="false">-J12</f>
        <v>1407.6964173002</v>
      </c>
      <c r="K16" s="0" t="n">
        <f aca="false">-K12</f>
        <v>1417.99271109531</v>
      </c>
      <c r="L16" s="0" t="n">
        <f aca="false">-L12</f>
        <v>1412.97519842528</v>
      </c>
    </row>
    <row r="17" customFormat="false" ht="15" hidden="false" customHeight="false" outlineLevel="0" collapsed="false">
      <c r="A17" s="0" t="s">
        <v>133</v>
      </c>
      <c r="C17" s="4" t="n">
        <f aca="false">-C6*Assumptions!C46/100</f>
        <v>-1877.106816</v>
      </c>
      <c r="D17" s="4" t="n">
        <f aca="false">-D6*Assumptions!D46/100</f>
        <v>-1946.644705152</v>
      </c>
      <c r="E17" s="4" t="n">
        <f aca="false">-E6*Assumptions!E46/100</f>
        <v>-1200.98388925094</v>
      </c>
      <c r="F17" s="4" t="n">
        <f aca="false">-F6*Assumptions!F46/100</f>
        <v>-1445.14721939591</v>
      </c>
      <c r="G17" s="4" t="n">
        <f aca="false">-G6*Assumptions!G46/100</f>
        <v>-1511.62399148812</v>
      </c>
      <c r="H17" s="4" t="n">
        <f aca="false">-H6*Assumptions!H46/100</f>
        <v>-1536.50280301469</v>
      </c>
      <c r="I17" s="4" t="n">
        <f aca="false">-I6*Assumptions!I46/100</f>
        <v>-1588.1499560572</v>
      </c>
      <c r="J17" s="4" t="n">
        <f aca="false">-J6*Assumptions!J46/100</f>
        <v>-1608.79590548595</v>
      </c>
      <c r="K17" s="4" t="n">
        <f aca="false">-K6*Assumptions!K46/100</f>
        <v>-1636.14543587921</v>
      </c>
      <c r="L17" s="4" t="n">
        <f aca="false">-L6*Assumptions!L46/100</f>
        <v>-1662.32376285328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(C6-B6)*Assumptions!$B$51/100</f>
        <v>-89.65568</v>
      </c>
      <c r="D18" s="4" t="n">
        <f aca="false">(D6-C6)*Assumptions!$B$51/100</f>
        <v>-87.65494272</v>
      </c>
      <c r="E18" s="4" t="n">
        <f aca="false">(E6-D6)*Assumptions!$B$51/100</f>
        <v>-114.30544278528</v>
      </c>
      <c r="F18" s="4" t="n">
        <f aca="false">(F6-E6)*Assumptions!$B$51/100</f>
        <v>-81.975414091991</v>
      </c>
      <c r="G18" s="4" t="n">
        <f aca="false">(G6-F6)*Assumptions!$B$51/100</f>
        <v>-44.3178480614745</v>
      </c>
      <c r="H18" s="4" t="n">
        <f aca="false">(H6-G6)*Assumptions!$B$51/100</f>
        <v>-25.1937331914685</v>
      </c>
      <c r="I18" s="4" t="n">
        <f aca="false">(I6-H6)*Assumptions!$B$51/100</f>
        <v>-25.8235765212553</v>
      </c>
      <c r="J18" s="4" t="n">
        <f aca="false">(J6-I6)*Assumptions!$B$51/100</f>
        <v>-13.7639662858289</v>
      </c>
      <c r="K18" s="4" t="n">
        <f aca="false">(K6-J6)*Assumptions!$B$51/100</f>
        <v>-18.233020262174</v>
      </c>
      <c r="L18" s="4" t="n">
        <f aca="false">(L6-K6)*Assumptions!$B$51/100</f>
        <v>-17.4522179827116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1635.295065856</v>
      </c>
      <c r="D19" s="0" t="n">
        <f aca="false">D15+D16+D17+D18</f>
        <v>2042.58808521446</v>
      </c>
      <c r="E19" s="0" t="n">
        <f aca="false">E15+E16+E17+E18</f>
        <v>3467.11666056759</v>
      </c>
      <c r="F19" s="0" t="n">
        <f aca="false">F15+F16+F17+F18</f>
        <v>3766.04217278048</v>
      </c>
      <c r="G19" s="0" t="n">
        <f aca="false">G15+G16+G17+G18</f>
        <v>3984.73954511777</v>
      </c>
      <c r="H19" s="0" t="n">
        <f aca="false">H15+H16+H17+H18</f>
        <v>4106.65598093895</v>
      </c>
      <c r="I19" s="0" t="n">
        <f aca="false">I15+I16+I17+I18</f>
        <v>4190.52927264908</v>
      </c>
      <c r="J19" s="0" t="n">
        <f aca="false">J15+J16+J17+J18</f>
        <v>4246.13989858532</v>
      </c>
      <c r="K19" s="0" t="n">
        <f aca="false">K15+K16+K17+K18</f>
        <v>4308.36270128621</v>
      </c>
      <c r="L19" s="0" t="n">
        <f aca="false">L15+L16+L17+L18</f>
        <v>4366.73276877047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1493.42015146667</v>
      </c>
      <c r="D21" s="0" t="n">
        <f aca="false">D19*D20</f>
        <v>1703.54086463123</v>
      </c>
      <c r="E21" s="0" t="n">
        <f aca="false">E19*E20</f>
        <v>2640.74275765162</v>
      </c>
      <c r="F21" s="0" t="n">
        <f aca="false">F19*F20</f>
        <v>2619.56212356137</v>
      </c>
      <c r="G21" s="0" t="n">
        <f aca="false">G19*G20</f>
        <v>2531.21679800146</v>
      </c>
      <c r="H21" s="0" t="n">
        <f aca="false">H19*H20</f>
        <v>2382.33926108461</v>
      </c>
      <c r="I21" s="0" t="n">
        <f aca="false">I19*I20</f>
        <v>2220.08725936504</v>
      </c>
      <c r="J21" s="0" t="n">
        <f aca="false">J19*J20</f>
        <v>2054.38268230571</v>
      </c>
      <c r="K21" s="0" t="n">
        <f aca="false">K19*K20</f>
        <v>1903.64159138893</v>
      </c>
      <c r="L21" s="0" t="n">
        <f aca="false">L19*L20</f>
        <v>1762.0386218989</v>
      </c>
    </row>
    <row r="23" customFormat="false" ht="15" hidden="false" customHeight="false" outlineLevel="0" collapsed="false">
      <c r="A23" s="0" t="s">
        <v>113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21310.9721113555</v>
      </c>
    </row>
    <row r="31" customFormat="false" ht="15" hidden="false" customHeight="false" outlineLevel="0" collapsed="false">
      <c r="A31" s="0" t="s">
        <v>141</v>
      </c>
      <c r="B31" s="0" t="n">
        <f aca="false">L19</f>
        <v>4366.73276877047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63941.444114139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52400.7932252456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52400.7932252456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21144.4634627868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42455.4355741423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45300.8355741423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132.836794840084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-0.104873350134202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21.938269095726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24.5550179213224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132.973128290685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35807.2087039179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82.456681654574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157</v>
      </c>
    </row>
    <row r="3" customFormat="false" ht="15" hidden="false" customHeight="false" outlineLevel="0" collapsed="false">
      <c r="A3" s="2" t="s">
        <v>158</v>
      </c>
      <c r="B3" s="2" t="s">
        <v>159</v>
      </c>
      <c r="C3" s="2" t="s">
        <v>149</v>
      </c>
      <c r="D3" s="2" t="s">
        <v>160</v>
      </c>
      <c r="E3" s="2" t="s">
        <v>152</v>
      </c>
      <c r="F3" s="2" t="s">
        <v>161</v>
      </c>
    </row>
    <row r="4" customFormat="false" ht="15" hidden="false" customHeight="false" outlineLevel="0" collapsed="false">
      <c r="A4" s="0" t="s">
        <v>162</v>
      </c>
      <c r="B4" s="4" t="n">
        <f aca="false">DCF_Bear!$B$38</f>
        <v>36.9573761862233</v>
      </c>
      <c r="C4" s="0" t="n">
        <f aca="false">B4/Assumptions!$B$2-1</f>
        <v>-0.750961076912242</v>
      </c>
      <c r="D4" s="4" t="n">
        <f aca="false">Assumptions!$B$24</f>
        <v>0.3</v>
      </c>
      <c r="E4" s="4" t="n">
        <f aca="false">DCF_Bear!$B$43</f>
        <v>37.0168082707956</v>
      </c>
      <c r="F4" s="4" t="n">
        <f aca="false">DCF_Bear!$B$47</f>
        <v>25.2736391860332</v>
      </c>
    </row>
    <row r="5" customFormat="false" ht="15" hidden="false" customHeight="false" outlineLevel="0" collapsed="false">
      <c r="A5" s="0" t="s">
        <v>163</v>
      </c>
      <c r="B5" s="4" t="n">
        <f aca="false">DCF_Base!$B$38</f>
        <v>74.0405824883097</v>
      </c>
      <c r="C5" s="0" t="n">
        <f aca="false">B5/Assumptions!$B$2-1</f>
        <v>-0.501074241992522</v>
      </c>
      <c r="D5" s="4" t="n">
        <f aca="false">Assumptions!$B$38</f>
        <v>0.5</v>
      </c>
      <c r="E5" s="4" t="n">
        <f aca="false">DCF_Base!$B$43</f>
        <v>74.1303737884085</v>
      </c>
      <c r="F5" s="4" t="n">
        <f aca="false">DCF_Base!$B$47</f>
        <v>47.8115724841242</v>
      </c>
    </row>
    <row r="6" customFormat="false" ht="15" hidden="false" customHeight="false" outlineLevel="0" collapsed="false">
      <c r="A6" s="0" t="s">
        <v>164</v>
      </c>
      <c r="B6" s="4" t="n">
        <f aca="false">DCF_Bull!$B$38</f>
        <v>132.836794840084</v>
      </c>
      <c r="C6" s="0" t="n">
        <f aca="false">B6/Assumptions!$B$2-1</f>
        <v>-0.104873350134202</v>
      </c>
      <c r="D6" s="4" t="n">
        <f aca="false">Assumptions!$B$52</f>
        <v>0.2</v>
      </c>
      <c r="E6" s="4" t="n">
        <f aca="false">DCF_Bull!$B$43</f>
        <v>132.973128290685</v>
      </c>
      <c r="F6" s="4" t="n">
        <f aca="false">DCF_Bull!$B$47</f>
        <v>82.456681654574</v>
      </c>
    </row>
    <row r="8" customFormat="false" ht="15" hidden="false" customHeight="false" outlineLevel="0" collapsed="false">
      <c r="A8" s="0" t="s">
        <v>165</v>
      </c>
      <c r="B8" s="0" t="n">
        <f aca="false">SUMPRODUCT(B4:B6,D4:D6)</f>
        <v>74.6748630680387</v>
      </c>
    </row>
    <row r="9" customFormat="false" ht="15" hidden="false" customHeight="false" outlineLevel="0" collapsed="false">
      <c r="A9" s="0" t="s">
        <v>166</v>
      </c>
      <c r="B9" s="0" t="n">
        <f aca="false">SUMPRODUCT(E4:E6,D4:D6)</f>
        <v>74.76485503358</v>
      </c>
    </row>
    <row r="10" customFormat="false" ht="15" hidden="false" customHeight="false" outlineLevel="0" collapsed="false">
      <c r="A10" s="0" t="s">
        <v>167</v>
      </c>
      <c r="B10" s="0" t="n">
        <f aca="false">1-Assumptions!$B$2/B8</f>
        <v>-0.987281849647155</v>
      </c>
    </row>
    <row r="11" customFormat="false" ht="15" hidden="false" customHeight="false" outlineLevel="0" collapsed="false">
      <c r="A11" s="0" t="s">
        <v>168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169</v>
      </c>
      <c r="B12" s="0" t="n">
        <f aca="false">SUMPRODUCT(F4:F6,D4:D6)</f>
        <v>47.9792143287869</v>
      </c>
    </row>
    <row r="14" customFormat="false" ht="15" hidden="false" customHeight="false" outlineLevel="0" collapsed="false">
      <c r="A14" s="2" t="s">
        <v>170</v>
      </c>
      <c r="C14" s="0" t="s">
        <v>171</v>
      </c>
    </row>
    <row r="15" customFormat="false" ht="15" hidden="false" customHeight="false" outlineLevel="0" collapsed="false">
      <c r="A15" s="0" t="s">
        <v>172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76.3408088657082</v>
      </c>
      <c r="C15" s="3" t="n">
        <v>9</v>
      </c>
    </row>
    <row r="16" customFormat="false" ht="15" hidden="false" customHeight="false" outlineLevel="0" collapsed="false">
      <c r="A16" s="0" t="s">
        <v>173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74.0405824883097</v>
      </c>
      <c r="C16" s="3" t="n">
        <v>9.5</v>
      </c>
    </row>
    <row r="17" customFormat="false" ht="15" hidden="false" customHeight="false" outlineLevel="0" collapsed="false">
      <c r="A17" s="0" t="s">
        <v>174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71.8406180465674</v>
      </c>
      <c r="C17" s="3" t="n">
        <v>10</v>
      </c>
    </row>
    <row r="18" customFormat="false" ht="15" hidden="false" customHeight="false" outlineLevel="0" collapsed="false">
      <c r="A18" s="0" t="s">
        <v>175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66.2200774806555</v>
      </c>
      <c r="C18" s="3" t="n">
        <v>11</v>
      </c>
    </row>
    <row r="19" customFormat="false" ht="15" hidden="false" customHeight="false" outlineLevel="0" collapsed="false">
      <c r="A19" s="0" t="s">
        <v>176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60.2406457054942</v>
      </c>
      <c r="C19" s="3" t="n">
        <v>12</v>
      </c>
    </row>
    <row r="20" customFormat="false" ht="15" hidden="false" customHeight="false" outlineLevel="0" collapsed="false">
      <c r="A20" s="0" t="s">
        <v>177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47.8115724841242</v>
      </c>
      <c r="C20" s="3" t="n">
        <v>15</v>
      </c>
    </row>
    <row r="22" customFormat="false" ht="15" hidden="false" customHeight="false" outlineLevel="0" collapsed="false">
      <c r="A22" s="2" t="s">
        <v>178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83.8976480213508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83.8976480213508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83.8976480213508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83.8976480213508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83.8976480213508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78.7465975951491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78.7465975951491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78.7465975951491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78.7465975951491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78.7465975951491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73.7369634926482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74.0405824883097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74.0405824883097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74.0405824883097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74.0405824883097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66.5112334641577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68.0339969144265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69.7359090059034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69.7359090059034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69.7359090059034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60.6662674987497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61.8096616217256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63.0734130208041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64.4775812420025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65.793595404471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2026-10-17T23:06:19Z</dcterms:created>
  <dc:creator>openpyxl</dc:creator>
  <dc:description/>
  <dc:language>en-NZ</dc:language>
  <cp:lastModifiedBy/>
  <dcterms:modified xsi:type="dcterms:W3CDTF">2026-10-17T23:06:19Z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