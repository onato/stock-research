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  <sheet name="FCF Quality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<sst xmlns="http://schemas.openxmlformats.org/spreadsheetml/2006/main" count="187" uniqueCount="174">
  <si>
    <t>MFB.NZ DCF Valuation Model - My Food Bag Group Limited</t>
  </si>
  <si>
    <t>Gray cells are INPUTS - adjust to see valuation change. Base case = standalone, no takeover premium.</t>
  </si>
  <si>
    <t>KEY INPUTS</t>
  </si>
  <si>
    <t>Current Stock Price (NZ$)</t>
  </si>
  <si>
    <t>Shares Outstanding FY26 (M)</t>
  </si>
  <si>
    <t>Cash &amp; Equivalents (NZ$M)</t>
  </si>
  <si>
    <t>Total Debt (NZ$M, excl. lease liabilities)</t>
  </si>
  <si>
    <t>Net Debt (NZ$M)</t>
  </si>
  <si>
    <t>Reported FCF FY26 (NZ$M, already lease-adjusted)</t>
  </si>
  <si>
    <t>Less: Stock-Based Comp (NZ$M)</t>
  </si>
  <si>
    <t>Base Year Owner FCF (NZ$M)</t>
  </si>
  <si>
    <t>Annual Share Growth (uncovered SBC dilution)</t>
  </si>
  <si>
    <t>WACC (base case)</t>
  </si>
  <si>
    <t>Terminal Growth Rate</t>
  </si>
  <si>
    <t>Terminal Cap Multiple (x owner FCF)</t>
  </si>
  <si>
    <t>GROWTH ASSUMPTIONS (Base Case)</t>
  </si>
  <si>
    <t>Revenue Growth Rate</t>
  </si>
  <si>
    <t>FY2027</t>
  </si>
  <si>
    <t>FY2028</t>
  </si>
  <si>
    <t>FY2029</t>
  </si>
  <si>
    <t>FY2030</t>
  </si>
  <si>
    <t>FY2031</t>
  </si>
  <si>
    <t>EBITDA Margin</t>
  </si>
  <si>
    <t>SBC % of Revenue</t>
  </si>
  <si>
    <t>D&amp;A % of Revenue</t>
  </si>
  <si>
    <t>CapEx % of Revenue</t>
  </si>
  <si>
    <t>Lease Principal % of Revenue</t>
  </si>
  <si>
    <t>Working Capital Capture % (of rev change)</t>
  </si>
  <si>
    <t>Cash Tax Rate</t>
  </si>
  <si>
    <t>PROJECTIONS (Component Build)</t>
  </si>
  <si>
    <t>FY26 Base</t>
  </si>
  <si>
    <t>Revenue</t>
  </si>
  <si>
    <t>Adj. EBITDA</t>
  </si>
  <si>
    <t>Less: SBC</t>
  </si>
  <si>
    <t>Owner EBITDA</t>
  </si>
  <si>
    <t>Less: D&amp;A</t>
  </si>
  <si>
    <t>EBIT</t>
  </si>
  <si>
    <t>NOPAT</t>
  </si>
  <si>
    <t>Add back: D&amp;A</t>
  </si>
  <si>
    <t>Less: CapEx</t>
  </si>
  <si>
    <t>Less: Lease Principal Repayment</t>
  </si>
  <si>
    <t>+/- Working Capital (on rev change)</t>
  </si>
  <si>
    <t>Owner FCF</t>
  </si>
  <si>
    <t>Owner FCF Margin %</t>
  </si>
  <si>
    <t>Shares Outstanding (M)</t>
  </si>
  <si>
    <t>Discount Factor</t>
  </si>
  <si>
    <t>PV of Owner FCF</t>
  </si>
  <si>
    <t>VALUATION</t>
  </si>
  <si>
    <t>Sum of PV of FCF (Yr1-5)</t>
  </si>
  <si>
    <t>Terminal FCF (Year 5 * (1+g))</t>
  </si>
  <si>
    <t>Gordon Growth Terminal Value</t>
  </si>
  <si>
    <t>Cap Terminal Value (multiple x Yr5 FCF)</t>
  </si>
  <si>
    <t>Terminal Value (lower of the two)</t>
  </si>
  <si>
    <t>PV of Terminal Value</t>
  </si>
  <si>
    <t>Enterprise Value</t>
  </si>
  <si>
    <t>Less: Net Debt (excl. lease liabilities)</t>
  </si>
  <si>
    <t>Equity Value</t>
  </si>
  <si>
    <t>INTRINSIC VALUE/SHARE</t>
  </si>
  <si>
    <t>ENTRY PRICE (15% IRR Target)</t>
  </si>
  <si>
    <t>PV of Yrs 1-5 FCF @15%</t>
  </si>
  <si>
    <t>PV of Terminal Value @15%</t>
  </si>
  <si>
    <t>Less: Net Debt</t>
  </si>
  <si>
    <t>Entry Price (15% IRR)</t>
  </si>
  <si>
    <t>Upside to Intrinsic Value</t>
  </si>
  <si>
    <t>Upside to Entry Price</t>
  </si>
  <si>
    <t>NOTE: net debt excludes IFRS16 lease liabilities because owner</t>
  </si>
  <si>
    <t>FCF already charges the annual lease PRINCIPAL as a cash cost.</t>
  </si>
  <si>
    <t>FY2022 EBITDA ($34.2m) is a COVID-era peak (~2.1x normal) and is</t>
  </si>
  <si>
    <t>NOT used anywhere as a growth/margin/multiple anchor.</t>
  </si>
  <si>
    <t>Sensitivity Analysis</t>
  </si>
  <si>
    <t>Intrinsic Value by WACC &amp; Terminal Growth (base case; terminal cap usually binds)</t>
  </si>
  <si>
    <t>WACC \ Term G</t>
  </si>
  <si>
    <t>Note: FCF path (C42:G42) held at base-case assumptions; only WACC and</t>
  </si>
  <si>
    <t>terminal growth vary here. Terminal cap multiple stays at base $B$17=5.0x.</t>
  </si>
  <si>
    <t>Historical Growth Rates &amp; Multiples</t>
  </si>
  <si>
    <t>Metric</t>
  </si>
  <si>
    <t>3-Year CAGR</t>
  </si>
  <si>
    <t>5-Year CAGR</t>
  </si>
  <si>
    <t>Equity (Book Value)</t>
  </si>
  <si>
    <t>FCF (owner basis)</t>
  </si>
  <si>
    <t>Net Income</t>
  </si>
  <si>
    <t>Selected Growth Rate:</t>
  </si>
  <si>
    <t>Source:</t>
  </si>
  <si>
    <t>revenue_fy24_fy26_cagr (post-COVID stabilisation trend)</t>
  </si>
  <si>
    <t>Warning:</t>
  </si>
  <si>
    <t>Standard 3yr/5yr CAGRs computed from FY2021 or FY2022 start-years are NEGATIVE or wildly distorted (FCF 5yr -17.4%, NI 5yr +22.3% from a depressed FY2021 base, revenue 5yr -2.25%) because FY2021-22 was a COVID-lockdown demand spike (EBITDA $34.2m FY22 vs $16.4m FY26, ~2.1x). None of these headline CAGRs are used as the growth driver. Instead the model anchors to the FY2024-&gt;FY2026 stabilisation/recovery revenue CAGR of 2.43% as the starting point, fading further toward a 1.5% terminal rate given structural category headwinds (HelloFresh NZ reach 72%-&gt;84% of population, active customers still ~20-25% below 2021 peak, supermarket duopoly encroachment). Equity CAGR (7.69% 3yr / 5.97% 5yr) is NOT used as the primary growth driver here because the equity build reflects retained-earnings/dividend-payout mechanics on a shrunken FY2023 base, not underlying revenue-generating capacity in a competitively squeezed category.</t>
  </si>
  <si>
    <t>Historical Trading Multiples (FY-end price, post-COVID FY23-26)</t>
  </si>
  <si>
    <t>FY</t>
  </si>
  <si>
    <t>Price</t>
  </si>
  <si>
    <t>EV/EBITDA</t>
  </si>
  <si>
    <t>P/E</t>
  </si>
  <si>
    <t>P/B</t>
  </si>
  <si>
    <t>P/S</t>
  </si>
  <si>
    <t>FY2023</t>
  </si>
  <si>
    <t>FY2024</t>
  </si>
  <si>
    <t>FY2025</t>
  </si>
  <si>
    <t>FY2026</t>
  </si>
  <si>
    <t>FY2022 (excluded - COVID/IPO bubble)</t>
  </si>
  <si>
    <t>Current (13-Aug-2026)</t>
  </si>
  <si>
    <t>Sanity Check Verdict:</t>
  </si>
  <si>
    <t>PASS</t>
  </si>
  <si>
    <t>PASS - no fix required. Every multiple implied by the base intrinsic value ($0.1854) falls inside or immediately adjacent to the post-COVID (FY23-26) historical trading range: implied P/E 7.07x vs historical 5.38x-8.01x; implied P/B 0.65x vs historical 0.50x-0.96x; implied P/S 0.28x vs historical 0.20x-0.32x; implied EV/EBITDA 3.00x vs historical 2.76x-3.91x. The base case values MFB at a multiple the market has actually paid for the standalone business post-COVID, not at an unprecedented re-rating and not at the IPO-hype multiples. The gap between the base IV and the current $0.29 price is explained by the current price sitting ABOVE the historical multiple range (P/E 11.06x, EV/EBITDA 4.63x, EV/OwnerFCF 9.45x), consistent with an unresolved M&amp;A speculation premium rather than a standalone fundamentals re-rating.</t>
  </si>
  <si>
    <t>FCF Quality - Reported vs Owner FCF Reconciliation</t>
  </si>
  <si>
    <t>FreeCashFlow in the Metrics CSV is already IFRS16 lease-adjusted (OCF - CapEx - lease principal)</t>
  </si>
  <si>
    <t>NZ$ millions</t>
  </si>
  <si>
    <t>FY2021</t>
  </si>
  <si>
    <t>FY2022</t>
  </si>
  <si>
    <t>Operating Cash Flow</t>
  </si>
  <si>
    <t>Less: Stock-Based Comp</t>
  </si>
  <si>
    <t>Reported FCF Margin %</t>
  </si>
  <si>
    <t>Memo: EBITDA (NZ$M)</t>
  </si>
  <si>
    <t>Memo: EBITDA Margin %</t>
  </si>
  <si>
    <t>Memo: Cash Tax Rate (effective)</t>
  </si>
  <si>
    <t>FY2026 effective tax rate 25.6% vs 28% NZ statutory - no abnormal one-off, no ramp needed.</t>
  </si>
  <si>
    <t>IMPORTANT NOTES</t>
  </si>
  <si>
    <t>FY2022 EBITDA ($34.2m) is a verified COVID-lockdown demand spike, ~2.1x the current run-rate.</t>
  </si>
  <si>
    <t>Never used as a growth, margin, or exit-multiple anchor anywhere in this model.</t>
  </si>
  <si>
    <t>Lease principal repayment (~1.3-1.5% of revenue) is deducted as a real cash cost in the</t>
  </si>
  <si>
    <t>owner FCF definition used throughout - this ties exactly to the company reported FCF</t>
  </si>
  <si>
    <t>(verified for FY2024, FY2025 and FY2026 cash flow statements).</t>
  </si>
  <si>
    <t>SBC is small (~0.3% of revenue) but real; deducted separately since it is a non-cash</t>
  </si>
  <si>
    <t>add-back inside OCF, not already stripped from the lease-adjusted reported FCF figure.</t>
  </si>
  <si>
    <t>Interest income (FY26: $0.088m) is immaterial given MFB holds net DEBT (not net cash)</t>
  </si>
  <si>
    <t>of $1.877m, so no interest-income strip is required.</t>
  </si>
  <si>
    <t>Model Provenance &amp; Methodology Notes</t>
  </si>
  <si>
    <t>Ticker</t>
  </si>
  <si>
    <t>MFB.NZ - My Food Bag Group Limited</t>
  </si>
  <si>
    <t>Built by</t>
  </si>
  <si>
    <t>Claude (DCF valuation agent), research-stock workflow</t>
  </si>
  <si>
    <t>Valuation date</t>
  </si>
  <si>
    <t>2026-08-13</t>
  </si>
  <si>
    <t>Share price date/source</t>
  </si>
  <si>
    <t>13-Aug-2026, live Yahoo Finance quote (regularMarketTime confirmed same-day, actively trading)</t>
  </si>
  <si>
    <t>Data vintage</t>
  </si>
  <si>
    <t>FY2026 Annual Report (year ended 31-Mar-2026), published ~20-May-2026; H1 FY2026 interim (30-Sep-2025)</t>
  </si>
  <si>
    <t>Fiscal year end</t>
  </si>
  <si>
    <t>31 March</t>
  </si>
  <si>
    <t>Currency / units</t>
  </si>
  <si>
    <t>NZD, millions</t>
  </si>
  <si>
    <t>METHODOLOGY CHOICES</t>
  </si>
  <si>
    <t>Base FCF</t>
  </si>
  <si>
    <t>FreeCashFlow per Metrics CSV (OCF - CapEx - IFRS16 lease principal repayment) less SBC = owner FCF. Verified to tie exactly to FY2024/25/26 cash flow statements.</t>
  </si>
  <si>
    <t>Net debt definition</t>
  </si>
  <si>
    <t>Total Debt (2.5) - Cash (0.623) = 1.877, EXCLUDING capitalised lease liabilities (matches company-reported "$1.9m net debt"). Deliberate: owner FCF already deducts the annual lease principal as a cash cost, so adding the lease liability to net debt would double-count the same obligation.</t>
  </si>
  <si>
    <t>SBC treatment</t>
  </si>
  <si>
    <t>Deducted once from FCF (0.514 FY26, ~0.3% of revenue). No buybacks exist, so 100% of SBC is uncovered dilution; shares grow ~0.70%/yr through the projection.</t>
  </si>
  <si>
    <t>Growth driver</t>
  </si>
  <si>
    <t>FY2024-&gt;FY2026 revenue stabilisation CAGR (2.43%), NOT the 3yr/5yr headline CAGRs, which are negative/distorted by the FY2021-22 COVID-era peak. Base case fades further to 1.5% terminal.</t>
  </si>
  <si>
    <t>FY2022 exclusion</t>
  </si>
  <si>
    <t>FY2022 EBITDA ($34.2m, ~2.1x normal run-rate) is a verified real but non-repeatable COVID lockdown demand spike. Excluded from all growth, margin and multiple anchors throughout this model.</t>
  </si>
  <si>
    <t>WACC build (base 17.0%)</t>
  </si>
  <si>
    <t>NZ small-cap base 11.5% + micro-cap illiquidity 2.25% + single-country/category concentration 1.25% + competitive/no-moat/churn 1.75%. See DCF JSON assumptions.base.wacc_rationale for full detail.</t>
  </si>
  <si>
    <t>Terminal value</t>
  </si>
  <si>
    <t>Lower of Gordon Growth and a 5.0x (base) / 6.0x (bull) / 3.5x (bear) cap on EV/owner-FCF, anchored to the post-COVID (FY23-26) historical EV/EBITDA trading range of 2.76x-3.91x (average 3.36x), excluding the FY2021-22 IPO-bubble years. The cap binds in ALL three scenarios across the full sensitivity range tested.</t>
  </si>
  <si>
    <t>Strategic review handling</t>
  </si>
  <si>
    <t>Base case = standalone DCF, NO takeover premium. Bull case reflects a modest trade-sale exit multiple uplift. Bear case explicitly models the review concluding with no transaction and the ~17% announcement-driven share price premium unwinding. Probability weights: 25% bull / 45% base / 30% bear - deliberately not presuming a deal.</t>
  </si>
  <si>
    <t>Sanity check</t>
  </si>
  <si>
    <t>PASS - base-case implied P/E (7.07x), P/B (0.65x), P/S (0.28x) and EV/EBITDA (3.00x) all fall within the post-COVID historical trading range. Current market multiples sit above this range, consistent with an unresolved M&amp;A speculation premium.</t>
  </si>
  <si>
    <t>WHAT TO REFRESH NEXT</t>
  </si>
  <si>
    <t>After H1 FY2027 results (~Nov-2026)</t>
  </si>
  <si>
    <t>Update revenue/EBITDA trajectory, active customer count, and any strategic review update. Re-check whether the review has concluded (deal or no-deal) and re-weight scenarios accordingly.</t>
  </si>
  <si>
    <t>After any strategic review outcome</t>
  </si>
  <si>
    <t>If a transaction is announced, re-base the valuation entirely around deal terms rather than a standalone DCF. If the review concludes with no transaction, re-check whether the share price gives back the speculation premium toward $0.21-0.24 as the bear case anticipates.</t>
  </si>
  <si>
    <t>Ongoing</t>
  </si>
  <si>
    <t>Re-verify SBC, lease principal and net debt inputs each year from the cash flow statement; re-run the FY-end EV/EBITDA history with the new year added and the oldest excluded year re-assessed.</t>
  </si>
  <si>
    <t>CELL COLOUR CONVENTIONS</t>
  </si>
  <si>
    <t>Gray cells</t>
  </si>
  <si>
    <t>Direct inputs - safe to overtype/adjust; all downstream cells are formulas that recalculate automatically.</t>
  </si>
  <si>
    <t>Green cells</t>
  </si>
  <si>
    <t>Key output results (Intrinsic Value/Share, Entry Price).</t>
  </si>
  <si>
    <t>White/unshaded cells</t>
  </si>
  <si>
    <t>Formulas - do not hardcode over these without understanding the dependency chain.</t>
  </si>
  <si>
    <t>STALENESS WARNING</t>
  </si>
  <si>
    <t>All figures in this model reflect data available as of 13-Aug-2026. Share prices, financial results, and especially the strategic review status WILL change. Do not rely on this file without checking for newer filings/announcements first.</t>
  </si>
</sst>
</file>

<file path=xl/styles.xml><?xml version="1.0" encoding="utf-8"?>
<styleSheet xmlns="http://schemas.openxmlformats.org/spreadsheetml/2006/main">
  <numFmts count="5">
    <numFmt numFmtId="164" formatCode="#,##0.000"/>
    <numFmt numFmtId="165" formatCode="#,##0.00"/>
    <numFmt numFmtId="166" formatCode="0.00%"/>
    <numFmt numFmtId="167" formatCode="0.0%"/>
    <numFmt numFmtId="168" formatCode="&quot;$&quot;#,##0.00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D6303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/>
    <xf numFmtId="164" fontId="0" fillId="2" borderId="2" xfId="0" applyNumberFormat="1" applyFill="1" applyBorder="1"/>
    <xf numFmtId="165" fontId="0" fillId="0" borderId="2" xfId="0" applyNumberFormat="1" applyBorder="1"/>
    <xf numFmtId="166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7" fontId="0" fillId="0" borderId="2" xfId="0" applyNumberFormat="1" applyBorder="1"/>
    <xf numFmtId="168" fontId="4" fillId="4" borderId="2" xfId="0" applyNumberFormat="1" applyFont="1" applyFill="1" applyBorder="1"/>
    <xf numFmtId="0" fontId="6" fillId="0" borderId="0" xfId="0" applyFont="1"/>
    <xf numFmtId="167" fontId="4" fillId="3" borderId="0" xfId="0" applyNumberFormat="1" applyFont="1" applyFill="1"/>
    <xf numFmtId="168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cols>
    <col min="1" max="1" width="30.7109375" customWidth="1"/>
    <col min="2" max="8" width="13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0.29</v>
      </c>
    </row>
    <row r="6" spans="1:2">
      <c r="A6" t="s">
        <v>4</v>
      </c>
      <c r="B6" s="4">
        <v>254.956</v>
      </c>
    </row>
    <row r="7" spans="1:2">
      <c r="A7" t="s">
        <v>5</v>
      </c>
      <c r="B7" s="4">
        <v>0.623</v>
      </c>
    </row>
    <row r="8" spans="1:2">
      <c r="A8" t="s">
        <v>6</v>
      </c>
      <c r="B8" s="4">
        <v>2.5</v>
      </c>
    </row>
    <row r="9" spans="1:2">
      <c r="A9" t="s">
        <v>7</v>
      </c>
      <c r="B9" s="5">
        <f>B8-B7</f>
        <v>0</v>
      </c>
    </row>
    <row r="10" spans="1:2">
      <c r="A10" t="s">
        <v>8</v>
      </c>
      <c r="B10" s="4">
        <v>8.539</v>
      </c>
    </row>
    <row r="11" spans="1:2">
      <c r="A11" t="s">
        <v>9</v>
      </c>
      <c r="B11" s="4">
        <v>0.514</v>
      </c>
    </row>
    <row r="12" spans="1:2">
      <c r="A12" t="s">
        <v>10</v>
      </c>
      <c r="B12" s="5">
        <f>B10-B11</f>
        <v>0</v>
      </c>
    </row>
    <row r="13" spans="1:2">
      <c r="A13" t="s">
        <v>11</v>
      </c>
      <c r="B13" s="6">
        <v>0.00695</v>
      </c>
    </row>
    <row r="15" spans="1:2">
      <c r="A15" t="s">
        <v>12</v>
      </c>
      <c r="B15" s="6">
        <v>0.17</v>
      </c>
    </row>
    <row r="16" spans="1:2">
      <c r="A16" t="s">
        <v>13</v>
      </c>
      <c r="B16" s="6">
        <v>0.017</v>
      </c>
    </row>
    <row r="17" spans="1:7">
      <c r="A17" t="s">
        <v>14</v>
      </c>
      <c r="B17" s="4">
        <v>5</v>
      </c>
    </row>
    <row r="19" spans="1:7">
      <c r="A19" s="3" t="s">
        <v>15</v>
      </c>
      <c r="B19" s="7" t="s">
        <v>17</v>
      </c>
      <c r="C19" s="7" t="s">
        <v>18</v>
      </c>
      <c r="D19" s="7" t="s">
        <v>19</v>
      </c>
      <c r="E19" s="7" t="s">
        <v>20</v>
      </c>
      <c r="F19" s="7" t="s">
        <v>21</v>
      </c>
    </row>
    <row r="20" spans="1:7">
      <c r="A20" t="s">
        <v>16</v>
      </c>
      <c r="B20" s="6">
        <v>0.03</v>
      </c>
      <c r="C20" s="6">
        <v>0.025</v>
      </c>
      <c r="D20" s="6">
        <v>0.02</v>
      </c>
      <c r="E20" s="6">
        <v>0.018</v>
      </c>
      <c r="F20" s="6">
        <v>0.015</v>
      </c>
    </row>
    <row r="21" spans="1:7">
      <c r="A21" t="s">
        <v>22</v>
      </c>
      <c r="B21" s="6">
        <v>0.098</v>
      </c>
      <c r="C21" s="6">
        <v>0.099</v>
      </c>
      <c r="D21" s="6">
        <v>0.1</v>
      </c>
      <c r="E21" s="6">
        <v>0.1</v>
      </c>
      <c r="F21" s="6">
        <v>0.1</v>
      </c>
    </row>
    <row r="22" spans="1:7">
      <c r="A22" t="s">
        <v>23</v>
      </c>
      <c r="B22" s="6">
        <v>0.003</v>
      </c>
      <c r="C22" s="6">
        <v>0.003</v>
      </c>
      <c r="D22" s="6">
        <v>0.0029</v>
      </c>
      <c r="E22" s="6">
        <v>0.0028</v>
      </c>
      <c r="F22" s="6">
        <v>0.0028</v>
      </c>
    </row>
    <row r="23" spans="1:7">
      <c r="A23" t="s">
        <v>24</v>
      </c>
      <c r="B23" s="6">
        <v>0.036</v>
      </c>
      <c r="C23" s="6">
        <v>0.036</v>
      </c>
      <c r="D23" s="6">
        <v>0.036</v>
      </c>
      <c r="E23" s="6">
        <v>0.036</v>
      </c>
      <c r="F23" s="6">
        <v>0.036</v>
      </c>
    </row>
    <row r="24" spans="1:7">
      <c r="A24" t="s">
        <v>25</v>
      </c>
      <c r="B24" s="6">
        <v>0.018</v>
      </c>
      <c r="C24" s="6">
        <v>0.018</v>
      </c>
      <c r="D24" s="6">
        <v>0.018</v>
      </c>
      <c r="E24" s="6">
        <v>0.018</v>
      </c>
      <c r="F24" s="6">
        <v>0.018</v>
      </c>
    </row>
    <row r="25" spans="1:7">
      <c r="A25" t="s">
        <v>26</v>
      </c>
      <c r="B25" s="6">
        <v>0.0135</v>
      </c>
      <c r="C25" s="6">
        <v>0.013</v>
      </c>
      <c r="D25" s="6">
        <v>0.0125</v>
      </c>
      <c r="E25" s="6">
        <v>0.0125</v>
      </c>
      <c r="F25" s="6">
        <v>0.0125</v>
      </c>
    </row>
    <row r="26" spans="1:7">
      <c r="A26" t="s">
        <v>27</v>
      </c>
      <c r="B26" s="6">
        <v>0.06</v>
      </c>
      <c r="C26" s="6">
        <v>0.06</v>
      </c>
      <c r="D26" s="6">
        <v>0.06</v>
      </c>
      <c r="E26" s="6">
        <v>0.06</v>
      </c>
      <c r="F26" s="6">
        <v>0.06</v>
      </c>
    </row>
    <row r="27" spans="1:7">
      <c r="A27" t="s">
        <v>28</v>
      </c>
      <c r="B27" s="6">
        <v>0.28</v>
      </c>
      <c r="C27" s="6">
        <v>0.28</v>
      </c>
      <c r="D27" s="6">
        <v>0.28</v>
      </c>
      <c r="E27" s="6">
        <v>0.28</v>
      </c>
      <c r="F27" s="6">
        <v>0.28</v>
      </c>
    </row>
    <row r="29" spans="1:7">
      <c r="A29" s="3" t="s">
        <v>29</v>
      </c>
    </row>
    <row r="30" spans="1:7">
      <c r="A30" s="7"/>
      <c r="B30" s="7" t="s">
        <v>30</v>
      </c>
      <c r="C30" s="7" t="s">
        <v>17</v>
      </c>
      <c r="D30" s="7" t="s">
        <v>18</v>
      </c>
      <c r="E30" s="7" t="s">
        <v>19</v>
      </c>
      <c r="F30" s="7" t="s">
        <v>20</v>
      </c>
      <c r="G30" s="7" t="s">
        <v>21</v>
      </c>
    </row>
    <row r="31" spans="1:7">
      <c r="A31" t="s">
        <v>31</v>
      </c>
      <c r="B31" s="5">
        <f>170.221</f>
        <v>0</v>
      </c>
      <c r="C31" s="5">
        <f>B31*(1+B20)</f>
        <v>0</v>
      </c>
      <c r="D31" s="5">
        <f>C31*(1+C20)</f>
        <v>0</v>
      </c>
      <c r="E31" s="5">
        <f>D31*(1+D20)</f>
        <v>0</v>
      </c>
      <c r="F31" s="5">
        <f>E31*(1+E20)</f>
        <v>0</v>
      </c>
      <c r="G31" s="5">
        <f>F31*(1+F20)</f>
        <v>0</v>
      </c>
    </row>
    <row r="32" spans="1:7">
      <c r="A32" t="s">
        <v>32</v>
      </c>
      <c r="C32" s="5">
        <f>C31*C21</f>
        <v>0</v>
      </c>
      <c r="D32" s="5">
        <f>D31*D21</f>
        <v>0</v>
      </c>
      <c r="E32" s="5">
        <f>E31*E21</f>
        <v>0</v>
      </c>
      <c r="F32" s="5">
        <f>F31*F21</f>
        <v>0</v>
      </c>
      <c r="G32" s="5">
        <f>G31*G21</f>
        <v>0</v>
      </c>
    </row>
    <row r="33" spans="1:7">
      <c r="A33" t="s">
        <v>33</v>
      </c>
      <c r="C33" s="5">
        <f>C31*C22</f>
        <v>0</v>
      </c>
      <c r="D33" s="5">
        <f>D31*D22</f>
        <v>0</v>
      </c>
      <c r="E33" s="5">
        <f>E31*E22</f>
        <v>0</v>
      </c>
      <c r="F33" s="5">
        <f>F31*F22</f>
        <v>0</v>
      </c>
      <c r="G33" s="5">
        <f>G31*G22</f>
        <v>0</v>
      </c>
    </row>
    <row r="34" spans="1:7">
      <c r="A34" t="s">
        <v>34</v>
      </c>
      <c r="C34" s="5">
        <f>C32-C33</f>
        <v>0</v>
      </c>
      <c r="D34" s="5">
        <f>D32-D33</f>
        <v>0</v>
      </c>
      <c r="E34" s="5">
        <f>E32-E33</f>
        <v>0</v>
      </c>
      <c r="F34" s="5">
        <f>F32-F33</f>
        <v>0</v>
      </c>
      <c r="G34" s="5">
        <f>G32-G33</f>
        <v>0</v>
      </c>
    </row>
    <row r="35" spans="1:7">
      <c r="A35" t="s">
        <v>35</v>
      </c>
      <c r="C35" s="5">
        <f>C31*C23</f>
        <v>0</v>
      </c>
      <c r="D35" s="5">
        <f>D31*D23</f>
        <v>0</v>
      </c>
      <c r="E35" s="5">
        <f>E31*E23</f>
        <v>0</v>
      </c>
      <c r="F35" s="5">
        <f>F31*F23</f>
        <v>0</v>
      </c>
      <c r="G35" s="5">
        <f>G31*G23</f>
        <v>0</v>
      </c>
    </row>
    <row r="36" spans="1:7">
      <c r="A36" t="s">
        <v>36</v>
      </c>
      <c r="C36" s="5">
        <f>C34-C35</f>
        <v>0</v>
      </c>
      <c r="D36" s="5">
        <f>D34-D35</f>
        <v>0</v>
      </c>
      <c r="E36" s="5">
        <f>E34-E35</f>
        <v>0</v>
      </c>
      <c r="F36" s="5">
        <f>F34-F35</f>
        <v>0</v>
      </c>
      <c r="G36" s="5">
        <f>G34-G35</f>
        <v>0</v>
      </c>
    </row>
    <row r="37" spans="1:7">
      <c r="A37" t="s">
        <v>37</v>
      </c>
      <c r="C37" s="5">
        <f>C36*(1-C27)</f>
        <v>0</v>
      </c>
      <c r="D37" s="5">
        <f>D36*(1-D27)</f>
        <v>0</v>
      </c>
      <c r="E37" s="5">
        <f>E36*(1-E27)</f>
        <v>0</v>
      </c>
      <c r="F37" s="5">
        <f>F36*(1-F27)</f>
        <v>0</v>
      </c>
      <c r="G37" s="5">
        <f>G36*(1-G27)</f>
        <v>0</v>
      </c>
    </row>
    <row r="38" spans="1:7">
      <c r="A38" t="s">
        <v>38</v>
      </c>
      <c r="C38" s="5">
        <f>C35</f>
        <v>0</v>
      </c>
      <c r="D38" s="5">
        <f>D35</f>
        <v>0</v>
      </c>
      <c r="E38" s="5">
        <f>E35</f>
        <v>0</v>
      </c>
      <c r="F38" s="5">
        <f>F35</f>
        <v>0</v>
      </c>
      <c r="G38" s="5">
        <f>G35</f>
        <v>0</v>
      </c>
    </row>
    <row r="39" spans="1:7">
      <c r="A39" t="s">
        <v>39</v>
      </c>
      <c r="C39" s="5">
        <f>C31*C24</f>
        <v>0</v>
      </c>
      <c r="D39" s="5">
        <f>D31*D24</f>
        <v>0</v>
      </c>
      <c r="E39" s="5">
        <f>E31*E24</f>
        <v>0</v>
      </c>
      <c r="F39" s="5">
        <f>F31*F24</f>
        <v>0</v>
      </c>
      <c r="G39" s="5">
        <f>G31*G24</f>
        <v>0</v>
      </c>
    </row>
    <row r="40" spans="1:7">
      <c r="A40" t="s">
        <v>40</v>
      </c>
      <c r="C40" s="5">
        <f>C31*C25</f>
        <v>0</v>
      </c>
      <c r="D40" s="5">
        <f>D31*D25</f>
        <v>0</v>
      </c>
      <c r="E40" s="5">
        <f>E31*E25</f>
        <v>0</v>
      </c>
      <c r="F40" s="5">
        <f>F31*F25</f>
        <v>0</v>
      </c>
      <c r="G40" s="5">
        <f>G31*G25</f>
        <v>0</v>
      </c>
    </row>
    <row r="41" spans="1:7">
      <c r="A41" t="s">
        <v>41</v>
      </c>
      <c r="C41" s="5">
        <f>(C31-B31)*C26</f>
        <v>0</v>
      </c>
      <c r="D41" s="5">
        <f>(D31-C31)*D26</f>
        <v>0</v>
      </c>
      <c r="E41" s="5">
        <f>(E31-D31)*E26</f>
        <v>0</v>
      </c>
      <c r="F41" s="5">
        <f>(F31-E31)*F26</f>
        <v>0</v>
      </c>
      <c r="G41" s="5">
        <f>(G31-F31)*G26</f>
        <v>0</v>
      </c>
    </row>
    <row r="42" spans="1:7">
      <c r="A42" s="8" t="s">
        <v>42</v>
      </c>
      <c r="C42" s="5">
        <f>C37+C38-C39-C40+C41</f>
        <v>0</v>
      </c>
      <c r="D42" s="5">
        <f>D37+D38-D39-D40+D41</f>
        <v>0</v>
      </c>
      <c r="E42" s="5">
        <f>E37+E38-E39-E40+E41</f>
        <v>0</v>
      </c>
      <c r="F42" s="5">
        <f>F37+F38-F39-F40+F41</f>
        <v>0</v>
      </c>
      <c r="G42" s="5">
        <f>G37+G38-G39-G40+G41</f>
        <v>0</v>
      </c>
    </row>
    <row r="43" spans="1:7">
      <c r="A43" t="s">
        <v>43</v>
      </c>
      <c r="C43" s="9">
        <f>C42/C31</f>
        <v>0</v>
      </c>
      <c r="D43" s="9">
        <f>D42/D31</f>
        <v>0</v>
      </c>
      <c r="E43" s="9">
        <f>E42/E31</f>
        <v>0</v>
      </c>
      <c r="F43" s="9">
        <f>F42/F31</f>
        <v>0</v>
      </c>
      <c r="G43" s="9">
        <f>G42/G31</f>
        <v>0</v>
      </c>
    </row>
    <row r="44" spans="1:7">
      <c r="A44" t="s">
        <v>44</v>
      </c>
      <c r="B44" s="5">
        <f>B6</f>
        <v>0</v>
      </c>
      <c r="C44" s="5">
        <f>B44*(1+$B$13)</f>
        <v>0</v>
      </c>
      <c r="D44" s="5">
        <f>C44*(1+$B$13)</f>
        <v>0</v>
      </c>
      <c r="E44" s="5">
        <f>D44*(1+$B$13)</f>
        <v>0</v>
      </c>
      <c r="F44" s="5">
        <f>E44*(1+$B$13)</f>
        <v>0</v>
      </c>
      <c r="G44" s="5">
        <f>F44*(1+$B$13)</f>
        <v>0</v>
      </c>
    </row>
    <row r="45" spans="1:7">
      <c r="A45" t="s">
        <v>45</v>
      </c>
      <c r="C45" s="5">
        <f>1/(1+$B$15)^1</f>
        <v>0</v>
      </c>
      <c r="D45" s="5">
        <f>1/(1+$B$15)^2</f>
        <v>0</v>
      </c>
      <c r="E45" s="5">
        <f>1/(1+$B$15)^3</f>
        <v>0</v>
      </c>
      <c r="F45" s="5">
        <f>1/(1+$B$15)^4</f>
        <v>0</v>
      </c>
      <c r="G45" s="5">
        <f>1/(1+$B$15)^5</f>
        <v>0</v>
      </c>
    </row>
    <row r="46" spans="1:7">
      <c r="A46" t="s">
        <v>46</v>
      </c>
      <c r="C46" s="5">
        <f>C42*C45</f>
        <v>0</v>
      </c>
      <c r="D46" s="5">
        <f>D42*D45</f>
        <v>0</v>
      </c>
      <c r="E46" s="5">
        <f>E42*E45</f>
        <v>0</v>
      </c>
      <c r="F46" s="5">
        <f>F42*F45</f>
        <v>0</v>
      </c>
      <c r="G46" s="5">
        <f>G42*G45</f>
        <v>0</v>
      </c>
    </row>
    <row r="48" spans="1:7">
      <c r="A48" s="3" t="s">
        <v>47</v>
      </c>
    </row>
    <row r="49" spans="1:2">
      <c r="A49" t="s">
        <v>48</v>
      </c>
      <c r="B49" s="5">
        <f>SUM(C46:G46)</f>
        <v>0</v>
      </c>
    </row>
    <row r="50" spans="1:2">
      <c r="A50" t="s">
        <v>49</v>
      </c>
      <c r="B50" s="5">
        <f>G42*(1+$B$16)</f>
        <v>0</v>
      </c>
    </row>
    <row r="51" spans="1:2">
      <c r="A51" t="s">
        <v>50</v>
      </c>
      <c r="B51" s="5">
        <f>B50/($B$15-$B$16)</f>
        <v>0</v>
      </c>
    </row>
    <row r="52" spans="1:2">
      <c r="A52" t="s">
        <v>51</v>
      </c>
      <c r="B52" s="5">
        <f>$B$17*G42</f>
        <v>0</v>
      </c>
    </row>
    <row r="53" spans="1:2">
      <c r="A53" t="s">
        <v>52</v>
      </c>
      <c r="B53" s="5">
        <f>MIN(B51,B52)</f>
        <v>0</v>
      </c>
    </row>
    <row r="54" spans="1:2">
      <c r="A54" t="s">
        <v>53</v>
      </c>
      <c r="B54" s="5">
        <f>B53*G45</f>
        <v>0</v>
      </c>
    </row>
    <row r="55" spans="1:2">
      <c r="A55" t="s">
        <v>54</v>
      </c>
      <c r="B55" s="5">
        <f>B49+B54</f>
        <v>0</v>
      </c>
    </row>
    <row r="56" spans="1:2">
      <c r="A56" t="s">
        <v>55</v>
      </c>
      <c r="B56" s="5">
        <f>B9</f>
        <v>0</v>
      </c>
    </row>
    <row r="57" spans="1:2">
      <c r="A57" t="s">
        <v>56</v>
      </c>
      <c r="B57" s="5">
        <f>B55-B56</f>
        <v>0</v>
      </c>
    </row>
    <row r="58" spans="1:2">
      <c r="A58" s="8" t="s">
        <v>57</v>
      </c>
      <c r="B58" s="10">
        <f>B57/G44</f>
        <v>0</v>
      </c>
    </row>
    <row r="60" spans="1:2">
      <c r="A60" s="3" t="s">
        <v>58</v>
      </c>
    </row>
    <row r="61" spans="1:2">
      <c r="A61" t="s">
        <v>59</v>
      </c>
      <c r="B61" s="5">
        <f>NPV(0.15,C42:G42)</f>
        <v>0</v>
      </c>
    </row>
    <row r="62" spans="1:2">
      <c r="A62" t="s">
        <v>60</v>
      </c>
      <c r="B62" s="5">
        <f>B53/(1.15^5)</f>
        <v>0</v>
      </c>
    </row>
    <row r="63" spans="1:2">
      <c r="A63" t="s">
        <v>61</v>
      </c>
      <c r="B63" s="5">
        <f>B9</f>
        <v>0</v>
      </c>
    </row>
    <row r="64" spans="1:2">
      <c r="A64" t="s">
        <v>62</v>
      </c>
      <c r="B64" s="10">
        <f>(B61+B62-B63)/G44</f>
        <v>0</v>
      </c>
    </row>
    <row r="66" spans="1:2">
      <c r="A66" t="s">
        <v>63</v>
      </c>
      <c r="B66" s="9">
        <f>(B58-B5)/B5</f>
        <v>0</v>
      </c>
    </row>
    <row r="67" spans="1:2">
      <c r="A67" t="s">
        <v>64</v>
      </c>
      <c r="B67" s="9">
        <f>(B5-B64)/B5</f>
        <v>0</v>
      </c>
    </row>
    <row r="69" spans="1:2">
      <c r="A69" s="11" t="s">
        <v>65</v>
      </c>
    </row>
    <row r="70" spans="1:2">
      <c r="A70" s="11" t="s">
        <v>66</v>
      </c>
    </row>
    <row r="71" spans="1:2">
      <c r="A71" s="11" t="s">
        <v>67</v>
      </c>
    </row>
    <row r="72" spans="1:2">
      <c r="A72" s="1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69</v>
      </c>
    </row>
    <row r="2" spans="1:6">
      <c r="A2" s="2" t="s">
        <v>70</v>
      </c>
    </row>
    <row r="4" spans="1:6">
      <c r="A4" s="7" t="s">
        <v>71</v>
      </c>
      <c r="B4" s="12">
        <v>0.007</v>
      </c>
      <c r="C4" s="12">
        <v>0.012</v>
      </c>
      <c r="D4" s="12">
        <v>0.017</v>
      </c>
      <c r="E4" s="12">
        <v>0.022</v>
      </c>
      <c r="F4" s="12">
        <v>0.027</v>
      </c>
    </row>
    <row r="5" spans="1:6">
      <c r="A5" s="12">
        <v>0.15</v>
      </c>
      <c r="B5" s="13">
        <f t="array" ref="B5">(SUMPRODUCT('DCF Model'!$C$42:$G$42,1/(1+0.15)^{1,2,3,4,5})+MIN('DCF Model'!$G$42*(1+0.007)/(0.15-0.007),'DCF Model'!$B$17*'DCF Model'!$G$42)/(1+0.15)^5-'DCF Model'!$B$9)/'DCF Model'!$G$44</f>
        <v>0</v>
      </c>
      <c r="C5" s="13">
        <f t="array" ref="C5">(SUMPRODUCT('DCF Model'!$C$42:$G$42,1/(1+0.15)^{1,2,3,4,5})+MIN('DCF Model'!$G$42*(1+0.012)/(0.15-0.012),'DCF Model'!$B$17*'DCF Model'!$G$42)/(1+0.15)^5-'DCF Model'!$B$9)/'DCF Model'!$G$44</f>
        <v>0</v>
      </c>
      <c r="D5" s="13">
        <f t="array" ref="D5">(SUMPRODUCT('DCF Model'!$C$42:$G$42,1/(1+0.15)^{1,2,3,4,5})+MIN('DCF Model'!$G$42*(1+0.017)/(0.15-0.017),'DCF Model'!$B$17*'DCF Model'!$G$42)/(1+0.15)^5-'DCF Model'!$B$9)/'DCF Model'!$G$44</f>
        <v>0</v>
      </c>
      <c r="E5" s="13">
        <f t="array" ref="E5">(SUMPRODUCT('DCF Model'!$C$42:$G$42,1/(1+0.15)^{1,2,3,4,5})+MIN('DCF Model'!$G$42*(1+0.022)/(0.15-0.022),'DCF Model'!$B$17*'DCF Model'!$G$42)/(1+0.15)^5-'DCF Model'!$B$9)/'DCF Model'!$G$44</f>
        <v>0</v>
      </c>
      <c r="F5" s="13">
        <f t="array" ref="F5">(SUMPRODUCT('DCF Model'!$C$42:$G$42,1/(1+0.15)^{1,2,3,4,5})+MIN('DCF Model'!$G$42*(1+0.027)/(0.15-0.027),'DCF Model'!$B$17*'DCF Model'!$G$42)/(1+0.15)^5-'DCF Model'!$B$9)/'DCF Model'!$G$44</f>
        <v>0</v>
      </c>
    </row>
    <row r="6" spans="1:6">
      <c r="A6" s="12">
        <v>0.16</v>
      </c>
      <c r="B6" s="13">
        <f t="array" ref="B6">(SUMPRODUCT('DCF Model'!$C$42:$G$42,1/(1+0.16)^{1,2,3,4,5})+MIN('DCF Model'!$G$42*(1+0.007)/(0.16-0.007),'DCF Model'!$B$17*'DCF Model'!$G$42)/(1+0.16)^5-'DCF Model'!$B$9)/'DCF Model'!$G$44</f>
        <v>0</v>
      </c>
      <c r="C6" s="13">
        <f t="array" ref="C6">(SUMPRODUCT('DCF Model'!$C$42:$G$42,1/(1+0.16)^{1,2,3,4,5})+MIN('DCF Model'!$G$42*(1+0.012)/(0.16-0.012),'DCF Model'!$B$17*'DCF Model'!$G$42)/(1+0.16)^5-'DCF Model'!$B$9)/'DCF Model'!$G$44</f>
        <v>0</v>
      </c>
      <c r="D6" s="13">
        <f t="array" ref="D6">(SUMPRODUCT('DCF Model'!$C$42:$G$42,1/(1+0.16)^{1,2,3,4,5})+MIN('DCF Model'!$G$42*(1+0.017)/(0.16-0.017),'DCF Model'!$B$17*'DCF Model'!$G$42)/(1+0.16)^5-'DCF Model'!$B$9)/'DCF Model'!$G$44</f>
        <v>0</v>
      </c>
      <c r="E6" s="13">
        <f t="array" ref="E6">(SUMPRODUCT('DCF Model'!$C$42:$G$42,1/(1+0.16)^{1,2,3,4,5})+MIN('DCF Model'!$G$42*(1+0.022)/(0.16-0.022),'DCF Model'!$B$17*'DCF Model'!$G$42)/(1+0.16)^5-'DCF Model'!$B$9)/'DCF Model'!$G$44</f>
        <v>0</v>
      </c>
      <c r="F6" s="13">
        <f t="array" ref="F6">(SUMPRODUCT('DCF Model'!$C$42:$G$42,1/(1+0.16)^{1,2,3,4,5})+MIN('DCF Model'!$G$42*(1+0.027)/(0.16-0.027),'DCF Model'!$B$17*'DCF Model'!$G$42)/(1+0.16)^5-'DCF Model'!$B$9)/'DCF Model'!$G$44</f>
        <v>0</v>
      </c>
    </row>
    <row r="7" spans="1:6">
      <c r="A7" s="12">
        <v>0.17</v>
      </c>
      <c r="B7" s="13">
        <f t="array" ref="B7">(SUMPRODUCT('DCF Model'!$C$42:$G$42,1/(1+0.17)^{1,2,3,4,5})+MIN('DCF Model'!$G$42*(1+0.007)/(0.17-0.007),'DCF Model'!$B$17*'DCF Model'!$G$42)/(1+0.17)^5-'DCF Model'!$B$9)/'DCF Model'!$G$44</f>
        <v>0</v>
      </c>
      <c r="C7" s="13">
        <f t="array" ref="C7">(SUMPRODUCT('DCF Model'!$C$42:$G$42,1/(1+0.17)^{1,2,3,4,5})+MIN('DCF Model'!$G$42*(1+0.012)/(0.17-0.012),'DCF Model'!$B$17*'DCF Model'!$G$42)/(1+0.17)^5-'DCF Model'!$B$9)/'DCF Model'!$G$44</f>
        <v>0</v>
      </c>
      <c r="D7" s="13">
        <f t="array" ref="D7">(SUMPRODUCT('DCF Model'!$C$42:$G$42,1/(1+0.17)^{1,2,3,4,5})+MIN('DCF Model'!$G$42*(1+0.017)/(0.17-0.017),'DCF Model'!$B$17*'DCF Model'!$G$42)/(1+0.17)^5-'DCF Model'!$B$9)/'DCF Model'!$G$44</f>
        <v>0</v>
      </c>
      <c r="E7" s="13">
        <f t="array" ref="E7">(SUMPRODUCT('DCF Model'!$C$42:$G$42,1/(1+0.17)^{1,2,3,4,5})+MIN('DCF Model'!$G$42*(1+0.022)/(0.17-0.022),'DCF Model'!$B$17*'DCF Model'!$G$42)/(1+0.17)^5-'DCF Model'!$B$9)/'DCF Model'!$G$44</f>
        <v>0</v>
      </c>
      <c r="F7" s="13">
        <f t="array" ref="F7">(SUMPRODUCT('DCF Model'!$C$42:$G$42,1/(1+0.17)^{1,2,3,4,5})+MIN('DCF Model'!$G$42*(1+0.027)/(0.17-0.027),'DCF Model'!$B$17*'DCF Model'!$G$42)/(1+0.17)^5-'DCF Model'!$B$9)/'DCF Model'!$G$44</f>
        <v>0</v>
      </c>
    </row>
    <row r="8" spans="1:6">
      <c r="A8" s="12">
        <v>0.18</v>
      </c>
      <c r="B8" s="13">
        <f t="array" ref="B8">(SUMPRODUCT('DCF Model'!$C$42:$G$42,1/(1+0.18)^{1,2,3,4,5})+MIN('DCF Model'!$G$42*(1+0.007)/(0.18-0.007),'DCF Model'!$B$17*'DCF Model'!$G$42)/(1+0.18)^5-'DCF Model'!$B$9)/'DCF Model'!$G$44</f>
        <v>0</v>
      </c>
      <c r="C8" s="13">
        <f t="array" ref="C8">(SUMPRODUCT('DCF Model'!$C$42:$G$42,1/(1+0.18)^{1,2,3,4,5})+MIN('DCF Model'!$G$42*(1+0.012)/(0.18-0.012),'DCF Model'!$B$17*'DCF Model'!$G$42)/(1+0.18)^5-'DCF Model'!$B$9)/'DCF Model'!$G$44</f>
        <v>0</v>
      </c>
      <c r="D8" s="13">
        <f t="array" ref="D8">(SUMPRODUCT('DCF Model'!$C$42:$G$42,1/(1+0.18)^{1,2,3,4,5})+MIN('DCF Model'!$G$42*(1+0.017)/(0.18-0.017),'DCF Model'!$B$17*'DCF Model'!$G$42)/(1+0.18)^5-'DCF Model'!$B$9)/'DCF Model'!$G$44</f>
        <v>0</v>
      </c>
      <c r="E8" s="13">
        <f t="array" ref="E8">(SUMPRODUCT('DCF Model'!$C$42:$G$42,1/(1+0.18)^{1,2,3,4,5})+MIN('DCF Model'!$G$42*(1+0.022)/(0.18-0.022),'DCF Model'!$B$17*'DCF Model'!$G$42)/(1+0.18)^5-'DCF Model'!$B$9)/'DCF Model'!$G$44</f>
        <v>0</v>
      </c>
      <c r="F8" s="13">
        <f t="array" ref="F8">(SUMPRODUCT('DCF Model'!$C$42:$G$42,1/(1+0.18)^{1,2,3,4,5})+MIN('DCF Model'!$G$42*(1+0.027)/(0.18-0.027),'DCF Model'!$B$17*'DCF Model'!$G$42)/(1+0.18)^5-'DCF Model'!$B$9)/'DCF Model'!$G$44</f>
        <v>0</v>
      </c>
    </row>
    <row r="9" spans="1:6">
      <c r="A9" s="12">
        <v>0.19</v>
      </c>
      <c r="B9" s="13">
        <f t="array" ref="B9">(SUMPRODUCT('DCF Model'!$C$42:$G$42,1/(1+0.19)^{1,2,3,4,5})+MIN('DCF Model'!$G$42*(1+0.007)/(0.19-0.007),'DCF Model'!$B$17*'DCF Model'!$G$42)/(1+0.19)^5-'DCF Model'!$B$9)/'DCF Model'!$G$44</f>
        <v>0</v>
      </c>
      <c r="C9" s="13">
        <f t="array" ref="C9">(SUMPRODUCT('DCF Model'!$C$42:$G$42,1/(1+0.19)^{1,2,3,4,5})+MIN('DCF Model'!$G$42*(1+0.012)/(0.19-0.012),'DCF Model'!$B$17*'DCF Model'!$G$42)/(1+0.19)^5-'DCF Model'!$B$9)/'DCF Model'!$G$44</f>
        <v>0</v>
      </c>
      <c r="D9" s="13">
        <f t="array" ref="D9">(SUMPRODUCT('DCF Model'!$C$42:$G$42,1/(1+0.19)^{1,2,3,4,5})+MIN('DCF Model'!$G$42*(1+0.017)/(0.19-0.017),'DCF Model'!$B$17*'DCF Model'!$G$42)/(1+0.19)^5-'DCF Model'!$B$9)/'DCF Model'!$G$44</f>
        <v>0</v>
      </c>
      <c r="E9" s="13">
        <f t="array" ref="E9">(SUMPRODUCT('DCF Model'!$C$42:$G$42,1/(1+0.19)^{1,2,3,4,5})+MIN('DCF Model'!$G$42*(1+0.022)/(0.19-0.022),'DCF Model'!$B$17*'DCF Model'!$G$42)/(1+0.19)^5-'DCF Model'!$B$9)/'DCF Model'!$G$44</f>
        <v>0</v>
      </c>
      <c r="F9" s="13">
        <f t="array" ref="F9">(SUMPRODUCT('DCF Model'!$C$42:$G$42,1/(1+0.19)^{1,2,3,4,5})+MIN('DCF Model'!$G$42*(1+0.027)/(0.19-0.027),'DCF Model'!$B$17*'DCF Model'!$G$42)/(1+0.19)^5-'DCF Model'!$B$9)/'DCF Model'!$G$44</f>
        <v>0</v>
      </c>
    </row>
    <row r="11" spans="1:6">
      <c r="A11" s="2" t="s">
        <v>72</v>
      </c>
    </row>
    <row r="12" spans="1:6">
      <c r="A12" s="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74</v>
      </c>
    </row>
    <row r="3" spans="1:6">
      <c r="A3" s="7" t="s">
        <v>75</v>
      </c>
      <c r="B3" s="7" t="s">
        <v>76</v>
      </c>
      <c r="C3" s="7" t="s">
        <v>77</v>
      </c>
    </row>
    <row r="4" spans="1:6">
      <c r="A4" t="s">
        <v>31</v>
      </c>
      <c r="B4" s="9">
        <v>-0.0105</v>
      </c>
      <c r="C4" s="9">
        <v>-0.0225</v>
      </c>
    </row>
    <row r="5" spans="1:6">
      <c r="A5" t="s">
        <v>78</v>
      </c>
      <c r="B5" s="9">
        <v>0.07690000000000001</v>
      </c>
      <c r="C5" s="9">
        <v>0.0597</v>
      </c>
    </row>
    <row r="6" spans="1:6">
      <c r="A6" t="s">
        <v>79</v>
      </c>
      <c r="B6" s="9">
        <v>0.655</v>
      </c>
      <c r="C6" s="9">
        <v>-0.1739</v>
      </c>
    </row>
    <row r="7" spans="1:6">
      <c r="A7" t="s">
        <v>80</v>
      </c>
      <c r="B7" s="9">
        <v>-0.0521</v>
      </c>
      <c r="C7" s="9">
        <v>0.2232</v>
      </c>
    </row>
    <row r="9" spans="1:6">
      <c r="A9" s="8" t="s">
        <v>81</v>
      </c>
      <c r="B9" s="9">
        <v>0.0243</v>
      </c>
    </row>
    <row r="10" spans="1:6">
      <c r="A10" t="s">
        <v>82</v>
      </c>
      <c r="B10" t="s">
        <v>83</v>
      </c>
    </row>
    <row r="11" spans="1:6">
      <c r="A11" s="8" t="s">
        <v>84</v>
      </c>
    </row>
    <row r="12" spans="1:6" ht="90" customHeight="1">
      <c r="A12" s="2" t="s">
        <v>85</v>
      </c>
    </row>
    <row r="14" spans="1:6">
      <c r="A14" s="3" t="s">
        <v>86</v>
      </c>
    </row>
    <row r="16" spans="1:6">
      <c r="A16" s="7" t="s">
        <v>87</v>
      </c>
      <c r="B16" s="7" t="s">
        <v>88</v>
      </c>
      <c r="C16" s="7" t="s">
        <v>89</v>
      </c>
      <c r="D16" s="7" t="s">
        <v>90</v>
      </c>
      <c r="E16" s="7" t="s">
        <v>91</v>
      </c>
      <c r="F16" s="7" t="s">
        <v>92</v>
      </c>
    </row>
    <row r="18" spans="1:6">
      <c r="A18" t="s">
        <v>93</v>
      </c>
      <c r="B18" s="13">
        <v>0.23</v>
      </c>
      <c r="C18" s="5">
        <v>3.91</v>
      </c>
      <c r="D18" s="5">
        <v>7.11</v>
      </c>
      <c r="E18" s="5">
        <v>0.96</v>
      </c>
      <c r="F18" s="5">
        <v>0.32</v>
      </c>
    </row>
    <row r="19" spans="1:6">
      <c r="A19" t="s">
        <v>94</v>
      </c>
      <c r="B19" s="13">
        <v>0.132</v>
      </c>
      <c r="C19" s="5">
        <v>2.76</v>
      </c>
      <c r="D19" s="5">
        <v>5.38</v>
      </c>
      <c r="E19" s="5">
        <v>0.5</v>
      </c>
      <c r="F19" s="5">
        <v>0.2</v>
      </c>
    </row>
    <row r="20" spans="1:6">
      <c r="A20" t="s">
        <v>95</v>
      </c>
      <c r="B20" s="13">
        <v>0.189</v>
      </c>
      <c r="C20" s="5">
        <v>3.38</v>
      </c>
      <c r="D20" s="5">
        <v>7.47</v>
      </c>
      <c r="E20" s="5">
        <v>0.6899999999999999</v>
      </c>
      <c r="F20" s="5">
        <v>0.29</v>
      </c>
    </row>
    <row r="21" spans="1:6">
      <c r="A21" t="s">
        <v>96</v>
      </c>
      <c r="B21" s="13">
        <v>0.21</v>
      </c>
      <c r="C21" s="5">
        <v>3.39</v>
      </c>
      <c r="D21" s="5">
        <v>8.01</v>
      </c>
      <c r="E21" s="5">
        <v>0.74</v>
      </c>
      <c r="F21" s="5">
        <v>0.31</v>
      </c>
    </row>
    <row r="22" spans="1:6">
      <c r="A22" s="11" t="s">
        <v>97</v>
      </c>
      <c r="B22" s="13">
        <v>0.93</v>
      </c>
      <c r="C22" s="5">
        <v>6.52</v>
      </c>
      <c r="D22" s="5">
        <v>11.27</v>
      </c>
      <c r="E22" s="5">
        <v>3.37</v>
      </c>
      <c r="F22" s="5">
        <v>1.16</v>
      </c>
    </row>
    <row r="24" spans="1:6">
      <c r="A24" s="8" t="s">
        <v>98</v>
      </c>
      <c r="B24" s="13">
        <v>0.29</v>
      </c>
      <c r="C24" s="5">
        <v>4.63</v>
      </c>
      <c r="D24" s="5">
        <v>11.06</v>
      </c>
      <c r="E24" s="5">
        <v>1.02</v>
      </c>
      <c r="F24" s="5">
        <v>0.43</v>
      </c>
    </row>
    <row r="26" spans="1:6">
      <c r="A26" s="8" t="s">
        <v>99</v>
      </c>
      <c r="B26" t="s">
        <v>100</v>
      </c>
    </row>
    <row r="27" spans="1:6" ht="120" customHeight="1">
      <c r="A27" s="2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cols>
    <col min="1" max="1" width="32.7109375" customWidth="1"/>
    <col min="2" max="7" width="12.7109375" customWidth="1"/>
  </cols>
  <sheetData>
    <row r="1" spans="1:7">
      <c r="A1" s="1" t="s">
        <v>102</v>
      </c>
    </row>
    <row r="2" spans="1:7">
      <c r="A2" s="2" t="s">
        <v>103</v>
      </c>
    </row>
    <row r="4" spans="1:7">
      <c r="A4" s="7" t="s">
        <v>104</v>
      </c>
      <c r="B4" s="7" t="s">
        <v>105</v>
      </c>
      <c r="C4" s="7" t="s">
        <v>106</v>
      </c>
      <c r="D4" s="7" t="s">
        <v>93</v>
      </c>
      <c r="E4" s="7" t="s">
        <v>94</v>
      </c>
      <c r="F4" s="7" t="s">
        <v>95</v>
      </c>
      <c r="G4" s="7" t="s">
        <v>96</v>
      </c>
    </row>
    <row r="5" spans="1:7">
      <c r="A5" t="s">
        <v>107</v>
      </c>
      <c r="B5" s="5">
        <v>24.064</v>
      </c>
      <c r="C5" s="5">
        <v>29.534</v>
      </c>
      <c r="D5" s="5">
        <v>9.757999999999999</v>
      </c>
      <c r="E5" s="5">
        <v>9.798999999999999</v>
      </c>
      <c r="F5" s="5">
        <v>13.227</v>
      </c>
      <c r="G5" s="5">
        <v>13.532</v>
      </c>
    </row>
    <row r="6" spans="1:7">
      <c r="A6" t="s">
        <v>39</v>
      </c>
      <c r="B6" s="5">
        <v>0.674</v>
      </c>
      <c r="C6" s="5">
        <v>2.879</v>
      </c>
      <c r="D6" s="5">
        <v>7.747</v>
      </c>
      <c r="E6" s="5">
        <v>3.848</v>
      </c>
      <c r="F6" s="5">
        <v>3.17</v>
      </c>
      <c r="G6" s="5">
        <v>2.872</v>
      </c>
    </row>
    <row r="7" spans="1:7">
      <c r="A7" t="s">
        <v>40</v>
      </c>
      <c r="E7" s="5">
        <v>2.451</v>
      </c>
      <c r="F7" s="5">
        <v>2.404</v>
      </c>
      <c r="G7" s="5">
        <v>2.121</v>
      </c>
    </row>
    <row r="8" spans="1:7">
      <c r="A8" t="inlineStr">
        <is>
          <t>= Reported (Owner) FCF per CSV</t>
        </is>
      </c>
      <c r="B8" s="5">
        <v>21.164</v>
      </c>
      <c r="C8" s="5">
        <v>24.098</v>
      </c>
      <c r="D8" s="5">
        <v>-0.592</v>
      </c>
      <c r="E8" s="5">
        <v>3.5</v>
      </c>
      <c r="F8" s="5">
        <v>7.653</v>
      </c>
      <c r="G8" s="5">
        <v>8.539</v>
      </c>
    </row>
    <row r="9" spans="1:7">
      <c r="A9" t="s">
        <v>108</v>
      </c>
      <c r="B9" s="5">
        <v>0.305</v>
      </c>
      <c r="C9" s="5">
        <v>0</v>
      </c>
      <c r="D9" s="5">
        <v>0.266</v>
      </c>
      <c r="E9" s="5">
        <v>0.57</v>
      </c>
      <c r="F9" s="5">
        <v>0.52</v>
      </c>
      <c r="G9" s="5">
        <v>0.514</v>
      </c>
    </row>
    <row r="10" spans="1:7">
      <c r="A10" s="8" t="inlineStr">
        <is>
          <t>= Owner FCF (SBC-adjusted)</t>
        </is>
      </c>
      <c r="B10" s="5">
        <v>20.859</v>
      </c>
      <c r="C10" s="5">
        <v>24.098</v>
      </c>
      <c r="D10" s="5">
        <v>-0.858</v>
      </c>
      <c r="E10" s="5">
        <v>2.93</v>
      </c>
      <c r="F10" s="5">
        <v>7.132999999999999</v>
      </c>
      <c r="G10" s="5">
        <v>8.025</v>
      </c>
    </row>
    <row r="12" spans="1:7">
      <c r="A12" t="s">
        <v>109</v>
      </c>
      <c r="B12" s="9">
        <v>0.110974778459441</v>
      </c>
      <c r="C12" s="9">
        <v>0.124245955226497</v>
      </c>
      <c r="D12" s="9">
        <v>-0.003369494689630835</v>
      </c>
      <c r="E12" s="9">
        <v>0.02157364317194193</v>
      </c>
      <c r="F12" s="9">
        <v>0.04721101528667135</v>
      </c>
      <c r="G12" s="9">
        <v>0.0501641983069069</v>
      </c>
    </row>
    <row r="13" spans="1:7">
      <c r="A13" t="s">
        <v>43</v>
      </c>
      <c r="B13" s="9">
        <v>0.1093754915840805</v>
      </c>
      <c r="C13" s="9">
        <v>0.124245955226497</v>
      </c>
      <c r="D13" s="9">
        <v>-0.004883490614363609</v>
      </c>
      <c r="E13" s="9">
        <v>0.01806022128393996</v>
      </c>
      <c r="F13" s="9">
        <v>0.04400315850513873</v>
      </c>
      <c r="G13" s="9">
        <v>0.04714459438024686</v>
      </c>
    </row>
    <row r="15" spans="1:7">
      <c r="A15" t="s">
        <v>110</v>
      </c>
      <c r="B15" s="5">
        <v>15.5</v>
      </c>
      <c r="C15" s="5">
        <v>34.2</v>
      </c>
      <c r="D15" s="5">
        <v>18.166</v>
      </c>
      <c r="E15" s="5">
        <v>16.031</v>
      </c>
      <c r="F15" s="5">
        <v>16.073</v>
      </c>
      <c r="G15" s="5">
        <v>16.367</v>
      </c>
    </row>
    <row r="16" spans="1:7">
      <c r="A16" t="s">
        <v>111</v>
      </c>
      <c r="B16" s="9">
        <v>0.08127523464946777</v>
      </c>
      <c r="C16" s="9">
        <v>0.1763304701114697</v>
      </c>
      <c r="D16" s="9">
        <v>0.1033956765740435</v>
      </c>
      <c r="E16" s="9">
        <v>0.09881344962554318</v>
      </c>
      <c r="F16" s="9">
        <v>0.09915361932610332</v>
      </c>
      <c r="G16" s="9">
        <v>0.0961514736724611</v>
      </c>
    </row>
    <row r="18" spans="1:7">
      <c r="A18" t="s">
        <v>112</v>
      </c>
      <c r="G18" s="9">
        <v>0.256</v>
      </c>
    </row>
    <row r="19" spans="1:7">
      <c r="A19" s="2" t="s">
        <v>113</v>
      </c>
    </row>
    <row r="21" spans="1:7">
      <c r="A21" s="8" t="s">
        <v>114</v>
      </c>
    </row>
    <row r="22" spans="1:7">
      <c r="A22" s="2" t="s">
        <v>115</v>
      </c>
    </row>
    <row r="23" spans="1:7">
      <c r="A23" s="2" t="s">
        <v>116</v>
      </c>
    </row>
    <row r="24" spans="1:7">
      <c r="A24" s="2"/>
    </row>
    <row r="25" spans="1:7">
      <c r="A25" s="2" t="s">
        <v>117</v>
      </c>
    </row>
    <row r="26" spans="1:7">
      <c r="A26" s="2" t="s">
        <v>118</v>
      </c>
    </row>
    <row r="27" spans="1:7">
      <c r="A27" s="2" t="s">
        <v>119</v>
      </c>
    </row>
    <row r="28" spans="1:7">
      <c r="A28" s="2"/>
    </row>
    <row r="29" spans="1:7">
      <c r="A29" s="2" t="s">
        <v>120</v>
      </c>
    </row>
    <row r="30" spans="1:7">
      <c r="A30" s="2" t="s">
        <v>121</v>
      </c>
    </row>
    <row r="31" spans="1:7">
      <c r="A31" s="2"/>
    </row>
    <row r="32" spans="1:7">
      <c r="A32" s="2" t="s">
        <v>122</v>
      </c>
    </row>
    <row r="33" spans="1:1">
      <c r="A33" s="2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" t="s">
        <v>124</v>
      </c>
    </row>
    <row r="3" spans="1:2" ht="30" customHeight="1">
      <c r="A3" t="s">
        <v>125</v>
      </c>
      <c r="B3" s="2" t="s">
        <v>126</v>
      </c>
    </row>
    <row r="4" spans="1:2" ht="30" customHeight="1">
      <c r="A4" t="s">
        <v>127</v>
      </c>
      <c r="B4" s="2" t="s">
        <v>128</v>
      </c>
    </row>
    <row r="5" spans="1:2" ht="30" customHeight="1">
      <c r="A5" t="s">
        <v>129</v>
      </c>
      <c r="B5" s="2" t="s">
        <v>130</v>
      </c>
    </row>
    <row r="6" spans="1:2" ht="30" customHeight="1">
      <c r="A6" t="s">
        <v>131</v>
      </c>
      <c r="B6" s="2" t="s">
        <v>132</v>
      </c>
    </row>
    <row r="7" spans="1:2" ht="30" customHeight="1">
      <c r="A7" t="s">
        <v>133</v>
      </c>
      <c r="B7" s="2" t="s">
        <v>134</v>
      </c>
    </row>
    <row r="8" spans="1:2" ht="30" customHeight="1">
      <c r="A8" t="s">
        <v>135</v>
      </c>
      <c r="B8" s="2" t="s">
        <v>136</v>
      </c>
    </row>
    <row r="9" spans="1:2" ht="30" customHeight="1">
      <c r="A9" t="s">
        <v>137</v>
      </c>
      <c r="B9" s="2" t="s">
        <v>138</v>
      </c>
    </row>
    <row r="11" spans="1:2">
      <c r="A11" s="8" t="s">
        <v>139</v>
      </c>
    </row>
    <row r="12" spans="1:2" ht="30" customHeight="1">
      <c r="A12" t="s">
        <v>140</v>
      </c>
      <c r="B12" s="2" t="s">
        <v>141</v>
      </c>
    </row>
    <row r="13" spans="1:2" ht="30" customHeight="1">
      <c r="A13" t="s">
        <v>142</v>
      </c>
      <c r="B13" s="2" t="s">
        <v>143</v>
      </c>
    </row>
    <row r="14" spans="1:2" ht="30" customHeight="1">
      <c r="A14" t="s">
        <v>144</v>
      </c>
      <c r="B14" s="2" t="s">
        <v>145</v>
      </c>
    </row>
    <row r="15" spans="1:2" ht="30" customHeight="1">
      <c r="A15" t="s">
        <v>146</v>
      </c>
      <c r="B15" s="2" t="s">
        <v>147</v>
      </c>
    </row>
    <row r="16" spans="1:2" ht="30" customHeight="1">
      <c r="A16" t="s">
        <v>148</v>
      </c>
      <c r="B16" s="2" t="s">
        <v>149</v>
      </c>
    </row>
    <row r="17" spans="1:2" ht="30" customHeight="1">
      <c r="A17" t="s">
        <v>150</v>
      </c>
      <c r="B17" s="2" t="s">
        <v>151</v>
      </c>
    </row>
    <row r="18" spans="1:2" ht="30" customHeight="1">
      <c r="A18" t="s">
        <v>152</v>
      </c>
      <c r="B18" s="2" t="s">
        <v>153</v>
      </c>
    </row>
    <row r="19" spans="1:2" ht="30" customHeight="1">
      <c r="A19" t="s">
        <v>154</v>
      </c>
      <c r="B19" s="2" t="s">
        <v>155</v>
      </c>
    </row>
    <row r="20" spans="1:2" ht="30" customHeight="1">
      <c r="A20" t="s">
        <v>156</v>
      </c>
      <c r="B20" s="2" t="s">
        <v>157</v>
      </c>
    </row>
    <row r="22" spans="1:2">
      <c r="A22" s="8" t="s">
        <v>158</v>
      </c>
    </row>
    <row r="23" spans="1:2" ht="30" customHeight="1">
      <c r="A23" t="s">
        <v>159</v>
      </c>
      <c r="B23" s="2" t="s">
        <v>160</v>
      </c>
    </row>
    <row r="24" spans="1:2" ht="30" customHeight="1">
      <c r="A24" t="s">
        <v>161</v>
      </c>
      <c r="B24" s="2" t="s">
        <v>162</v>
      </c>
    </row>
    <row r="25" spans="1:2" ht="30" customHeight="1">
      <c r="A25" t="s">
        <v>163</v>
      </c>
      <c r="B25" s="2" t="s">
        <v>164</v>
      </c>
    </row>
    <row r="27" spans="1:2">
      <c r="A27" s="8" t="s">
        <v>165</v>
      </c>
    </row>
    <row r="28" spans="1:2" ht="30" customHeight="1">
      <c r="A28" t="s">
        <v>166</v>
      </c>
      <c r="B28" s="2" t="s">
        <v>167</v>
      </c>
    </row>
    <row r="29" spans="1:2" ht="30" customHeight="1">
      <c r="A29" t="s">
        <v>168</v>
      </c>
      <c r="B29" s="2" t="s">
        <v>169</v>
      </c>
    </row>
    <row r="30" spans="1:2" ht="30" customHeight="1">
      <c r="A30" t="s">
        <v>170</v>
      </c>
      <c r="B30" s="2" t="s">
        <v>171</v>
      </c>
    </row>
    <row r="32" spans="1:2" ht="30" customHeight="1">
      <c r="A32" t="s">
        <v>172</v>
      </c>
      <c r="B32" s="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Historical</vt:lpstr>
      <vt:lpstr>FCF Quality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2026-08-13T11:21:15Z</dcterms:created>
  <dcterms:modified xsi:type="dcterms:W3CDTF">2026-08-13T11:21:15Z</dcterms:modified>
</cp:coreProperties>
</file>