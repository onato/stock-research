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<sst xmlns="http://schemas.openxmlformats.org/spreadsheetml/2006/main" count="387" uniqueCount="174">
  <si>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</si>
  <si>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POOL</t>
  </si>
  <si>
    <t xml:space="preserve">Company</t>
  </si>
  <si>
    <t xml:space="preserve">Pool Corporation</t>
  </si>
  <si>
    <t xml:space="preserve">Valuation date</t>
  </si>
  <si>
    <t xml:space="preserve">2026-10-02</t>
  </si>
  <si>
    <t xml:space="preserve">Current price</t>
  </si>
  <si>
    <t xml:space="preserve">Price as of</t>
  </si>
  <si>
    <t xml:space="preserve">2026-10-01T20:00:00Z regular close (Yahoo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</si>
  <si>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</si>
  <si>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</si>
  <si>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</si>
  <si>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</si>
  <si>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</si>
  <si>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</si>
  <si>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</si>
  <si>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</si>
  <si>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</si>
  <si>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</si>
  <si>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</si>
  <si>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</si>
  <si>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2026-10-02T07:36:18Z</t>
  </si>
  <si>
    <t xml:space="preserve">Drivers file</t>
  </si>
  <si>
    <t xml:space="preserve">POOL_Drivers.json</t>
  </si>
  <si>
    <t xml:space="preserve">Convention</t>
  </si>
  <si>
    <t xml:space="preserve">Percents stored as percents; formulas divide by 100. Blue = input, green = link, black = formula.</t>
  </si>
  <si>
    <t xml:space="preserve">Methodology</t>
  </si>
  <si>
    <t xml:space="preserve">summary: Value POOL on mid-cycle owner FCF, not on the boom (FY21-22) or the inventory-distorted latest FCF. Pre-SBC EBITDA margins are steered to a stated mid-cycle level per scenario, working capital consumes cash as revenue grows (distributor), SBC is fully expensed with a flat share count, and cyclicality is priced through the scenario flows and weights at a single 8.5% USD WACC.
key_risks_to_valuation: Terminal value carries most of the value; the 15x cap binds in base (Gordon ~18.7x), so the exit multiple is the key judgment.; Timing of the new-construction recovery: every year it slips pushes the base path toward the bear.; Heritage/SRS (Home Depot) share gains and price competition compressing the gross margin that underpins the mid-cycle margin assumption.; Working-capital intensity: inventory decisions swing annual FCF by $150-250M, so any single year's FCF is a poor anchor.; June balance sheet is the seasonal debt peak; net debt is ~$200M above the December level.</t>
  </si>
  <si>
    <t xml:space="preserve">Data sources</t>
  </si>
  <si>
    <t xml:space="preserve">price: Yahoo Finance chart API at inputs.price_as_of; 52-week range 158.40-313.75 (price near the 52-week low).
financials: POOL_Metrics.csv (SEC XBRL, FY2007-Q1 2026); SEC companyfacts API for depreciation, amortisation, SBC, buybacks, lease cost, cash taxes; Q2-2026 10-Q (accession 0001193125-26-322532, filed 2026-07-29) for the 2026-06-30 balance sheet, H1-26 cash flow, cover share count and FY2026 EPS guidance; 8-K 2026-08-28 (receivables facility extended to Aug-2028, limit raised to $400M seasonal).
qualitative: POOL_Analysis.json (business mix, Q2-26 results, CEO transition, Heritage/SRS competition, bull/bear cases).</t>
  </si>
  <si>
    <t xml:space="preserve">Scenario narrative: bear</t>
  </si>
  <si>
    <t xml:space="preserve">The discretionary trough lasts: high mortgage/HELOC rates keep construction depressed, small builder customers fail or retrench, and Home Depot's capital lets Heritage buy independents and compete on price, eroding POOL's share and gross margin. Tariffs and freight squeeze margin further; growth is price-only and EBIT margin settles near FY19's ~10%. The new, first-time CEO's execution and rising leverage (debt-funded buybacks) add to the de-rating.</t>
  </si>
  <si>
    <t xml:space="preserve">Scenario narrative: base</t>
  </si>
  <si>
    <t xml:space="preserve">The ~60% maintenance base (chemicals, parts, repair on 14m+ ageing US pools) keeps compounding at price plus installed-base growth, while new construction and major remodel -- roughly half their 2022 level -- recover gradually as rates ease rather than snapping back. POOL holds its 35-40% share: Heritage under Home Depot is a real competitor but early share loss is modest, and POOL360/private label (~18% of sales) and building-materials gains offset freight and mix pressure. Margins return to a mid-cycle ~11.5% EBIT, between the pre-COVID trend and the pandemic peak; the new CEO executes a continuity plan (sales excellence, pricing discipline, bolt-on M&amp;A).</t>
  </si>
  <si>
    <t xml:space="preserve">Scenario narrative: bull</t>
  </si>
  <si>
    <t xml:space="preserve">A rate-cutting cycle unlocks pent-up financed demand: new pool starts and big-ticket remodels (resurfacing, automation, outdoor living) recover meaningfully in FY27-29, operating leverage on a fixed branch network lifts EBIT margin toward 13%, and the consolidation flywheel resumes with bolt-ons. The market re-awards the category leader a premium multiple at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</si>
  <si>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</si>
  <si>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</si>
  <si>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</si>
  <si>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</si>
  <si>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</si>
  <si>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</si>
  <si>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</si>
  <si>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</si>
  <si>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</si>
  <si>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</si>
  <si>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</si>
  <si>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</si>
  <si>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</si>
  <si>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</si>
  <si>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</si>
  <si>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</si>
  <si>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</si>
  <si>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</si>
  <si>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</si>
  <si>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</si>
  <si>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</si>
  <si>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</si>
  <si>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</si>
  <si>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</si>
  <si>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</si>
  <si>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</si>
  <si>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</si>
  <si>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</si>
  <si>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</si>
  <si>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</si>
  <si>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</si>
  <si>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</si>
  <si>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</si>
  <si>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</si>
  <si>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</si>
  <si>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</si>
  <si>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</si>
  <si>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</si>
  <si>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</si>
  <si>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</si>
  <si>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</si>
  <si>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</si>
  <si>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</si>
  <si>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</si>
  <si>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</si>
  <si>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</si>
  <si>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</si>
  <si>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</si>
  <si>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</si>
  <si>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</si>
  <si>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</si>
  <si>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</si>
  <si>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</si>
  <si>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</si>
  <si>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</si>
  <si>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</si>
  <si>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</si>
  <si>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</si>
  <si>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</si>
  <si>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</si>
  <si>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</si>
  <si>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</si>
  <si>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</si>
  <si>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</si>
  <si>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</si>
  <si>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</si>
  <si>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</si>
  <si>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</si>
  <si>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</si>
  <si>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</si>
  <si>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</si>
  <si>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</si>
  <si>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</si>
  <si>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</si>
  <si>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</si>
  <si>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</si>
  <si>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</si>
  <si>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</si>
  <si>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</si>
  <si>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</si>
  <si>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</si>
  <si>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</si>
  <si>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</si>
  <si>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POOL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</si>
  <si>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</si>
  <si>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</si>
  <si>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</si>
  <si>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</si>
  <si>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</si>
  <si>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</si>
  <si>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</si>
  <si>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</si>
  <si>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</si>
  <si>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</si>
  <si>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</si>
  <si>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</si>
  <si>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</si>
  <si>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</si>
  <si>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</si>
  <si>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</si>
  <si>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</si>
  <si>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</si>
  <si>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</si>
  <si>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</si>
  <si>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</si>
  <si>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</si>
  <si>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</si>
  <si>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</si>
  <si>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</si>
  <si>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</si>
  <si>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</si>
  <si>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</si>
  <si>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</si>
  <si>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</si>
  <si>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POOL owner-FCF component DCF: base case (millions, USD)</t>
  </si>
  <si>
    <t xml:space="preserve">POOL owner-FCF component DCF: bull case (millions, USD)</t>
  </si>
  <si>
    <t xml:space="preserve">POOL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</si>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</sst>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160.67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208.791</v>
      </c>
      <c r="S2" s="0" t="n">
        <v>15.825</v>
      </c>
      <c r="AA2" s="0" t="s">
        <v>17</v>
      </c>
      <c r="AB2" s="0" t="s">
        <v>14</v>
      </c>
    </row>
    <row r="3" customFormat="false" ht="15" hidden="false" customHeight="false" outlineLevel="0" collapsed="false">
      <c r="A3" s="0" t="s">
        <v>64</v>
      </c>
      <c r="B3" s="0" t="n">
        <v>1783.683</v>
      </c>
      <c r="C3" s="0" t="n">
        <v>1268.455</v>
      </c>
      <c r="D3" s="0" t="n">
        <v>515.228</v>
      </c>
      <c r="E3" s="0" t="n">
        <v>28.8856259772617</v>
      </c>
      <c r="F3" s="0" t="n">
        <v>115.476</v>
      </c>
      <c r="G3" s="0" t="n">
        <v>6.47402032760306</v>
      </c>
      <c r="I3" s="0" t="n">
        <v>56.956</v>
      </c>
      <c r="J3" s="0" t="n">
        <v>3.19316829279642</v>
      </c>
      <c r="K3" s="0" t="n">
        <v>1.19</v>
      </c>
      <c r="L3" s="0" t="n">
        <v>93.282</v>
      </c>
      <c r="M3" s="0" t="n">
        <v>7.003</v>
      </c>
      <c r="N3" s="0" t="n">
        <v>86.279</v>
      </c>
      <c r="O3" s="0" t="n">
        <v>241.734</v>
      </c>
      <c r="S3" s="0" t="n">
        <v>15.762</v>
      </c>
      <c r="T3" s="0" t="n">
        <v>48.488</v>
      </c>
      <c r="U3" s="0" t="n">
        <v>6.709</v>
      </c>
      <c r="AA3" s="0" t="s">
        <v>17</v>
      </c>
      <c r="AB3" s="0" t="s">
        <v>14</v>
      </c>
    </row>
    <row r="4" customFormat="false" ht="15" hidden="false" customHeight="false" outlineLevel="0" collapsed="false">
      <c r="A4" s="0" t="s">
        <v>65</v>
      </c>
      <c r="B4" s="0" t="n">
        <v>1539.794</v>
      </c>
      <c r="C4" s="0" t="n">
        <v>1090.07</v>
      </c>
      <c r="D4" s="0" t="n">
        <v>449.724</v>
      </c>
      <c r="E4" s="0" t="n">
        <v>29.2067640216808</v>
      </c>
      <c r="F4" s="0" t="n">
        <v>88.44</v>
      </c>
      <c r="G4" s="0" t="n">
        <v>5.74362544600122</v>
      </c>
      <c r="I4" s="0" t="n">
        <v>19.202</v>
      </c>
      <c r="J4" s="0" t="n">
        <v>1.24704993005558</v>
      </c>
      <c r="K4" s="0" t="n">
        <v>0.39</v>
      </c>
      <c r="L4" s="0" t="n">
        <v>113.25</v>
      </c>
      <c r="M4" s="0" t="n">
        <v>7.168</v>
      </c>
      <c r="N4" s="0" t="n">
        <v>106.082</v>
      </c>
      <c r="O4" s="0" t="n">
        <v>252.187</v>
      </c>
      <c r="P4" s="0" t="n">
        <v>743.099</v>
      </c>
      <c r="Q4" s="0" t="n">
        <v>490.912</v>
      </c>
      <c r="R4" s="0" t="n">
        <v>200.7</v>
      </c>
      <c r="S4" s="0" t="n">
        <v>15.843</v>
      </c>
      <c r="T4" s="0" t="n">
        <v>49.049</v>
      </c>
      <c r="U4" s="0" t="n">
        <v>6.429</v>
      </c>
      <c r="AA4" s="0" t="s">
        <v>17</v>
      </c>
      <c r="AB4" s="0" t="s">
        <v>14</v>
      </c>
    </row>
    <row r="5" customFormat="false" ht="15" hidden="false" customHeight="false" outlineLevel="0" collapsed="false">
      <c r="A5" s="0" t="s">
        <v>66</v>
      </c>
      <c r="B5" s="0" t="n">
        <v>1613.746</v>
      </c>
      <c r="C5" s="0" t="n">
        <v>1142.484</v>
      </c>
      <c r="D5" s="0" t="n">
        <v>471.262</v>
      </c>
      <c r="E5" s="0" t="n">
        <v>29.2029848563529</v>
      </c>
      <c r="F5" s="0" t="n">
        <v>101.245</v>
      </c>
      <c r="G5" s="0" t="n">
        <v>6.27391175562945</v>
      </c>
      <c r="I5" s="0" t="n">
        <v>57.638</v>
      </c>
      <c r="J5" s="0" t="n">
        <v>3.57168972068715</v>
      </c>
      <c r="K5" s="0" t="n">
        <v>1.17</v>
      </c>
      <c r="L5" s="0" t="n">
        <v>93.959</v>
      </c>
      <c r="M5" s="0" t="n">
        <v>8.078</v>
      </c>
      <c r="N5" s="0" t="n">
        <v>85.881</v>
      </c>
      <c r="O5" s="0" t="n">
        <v>285.182</v>
      </c>
      <c r="P5" s="0" t="n">
        <v>728.545</v>
      </c>
      <c r="Q5" s="0" t="n">
        <v>443.363</v>
      </c>
      <c r="R5" s="0" t="n">
        <v>198.7</v>
      </c>
      <c r="S5" s="0" t="n">
        <v>9.721</v>
      </c>
      <c r="T5" s="0" t="n">
        <v>50.161</v>
      </c>
      <c r="U5" s="0" t="n">
        <v>7.79</v>
      </c>
      <c r="AA5" s="0" t="s">
        <v>17</v>
      </c>
      <c r="AB5" s="0" t="s">
        <v>14</v>
      </c>
    </row>
    <row r="6" customFormat="false" ht="15" hidden="false" customHeight="false" outlineLevel="0" collapsed="false">
      <c r="A6" s="0" t="s">
        <v>67</v>
      </c>
      <c r="B6" s="0" t="n">
        <v>1793.318</v>
      </c>
      <c r="C6" s="0" t="n">
        <v>1261.728</v>
      </c>
      <c r="D6" s="0" t="n">
        <v>531.59</v>
      </c>
      <c r="E6" s="0" t="n">
        <v>29.6428185073701</v>
      </c>
      <c r="F6" s="0" t="n">
        <v>125.067</v>
      </c>
      <c r="G6" s="0" t="n">
        <v>6.97405591200222</v>
      </c>
      <c r="I6" s="0" t="n">
        <v>71.993</v>
      </c>
      <c r="J6" s="0" t="n">
        <v>4.0145138787432</v>
      </c>
      <c r="K6" s="0" t="n">
        <v>1.49</v>
      </c>
      <c r="L6" s="0" t="n">
        <v>75.103</v>
      </c>
      <c r="M6" s="0" t="n">
        <v>19.454</v>
      </c>
      <c r="N6" s="0" t="n">
        <v>55.649</v>
      </c>
      <c r="O6" s="0" t="n">
        <v>279.746</v>
      </c>
      <c r="P6" s="0" t="n">
        <v>770.902</v>
      </c>
      <c r="Q6" s="0" t="n">
        <v>491.156</v>
      </c>
      <c r="R6" s="0" t="n">
        <v>247.3</v>
      </c>
      <c r="S6" s="0" t="n">
        <v>17.487</v>
      </c>
      <c r="T6" s="0" t="n">
        <v>48.987</v>
      </c>
      <c r="U6" s="0" t="n">
        <v>8.233</v>
      </c>
      <c r="AA6" s="0" t="s">
        <v>17</v>
      </c>
      <c r="AB6" s="0" t="s">
        <v>14</v>
      </c>
    </row>
    <row r="7" customFormat="false" ht="15" hidden="false" customHeight="false" outlineLevel="0" collapsed="false">
      <c r="A7" s="0" t="s">
        <v>68</v>
      </c>
      <c r="B7" s="0" t="n">
        <v>1953.974</v>
      </c>
      <c r="C7" s="0" t="n">
        <v>1386.567</v>
      </c>
      <c r="D7" s="0" t="n">
        <v>567.407</v>
      </c>
      <c r="E7" s="0" t="n">
        <v>29.038615662235</v>
      </c>
      <c r="F7" s="0" t="n">
        <v>144.869</v>
      </c>
      <c r="G7" s="0" t="n">
        <v>7.41406999274299</v>
      </c>
      <c r="I7" s="0" t="n">
        <v>81.972</v>
      </c>
      <c r="J7" s="0" t="n">
        <v>4.1951428217571</v>
      </c>
      <c r="K7" s="0" t="n">
        <v>1.75</v>
      </c>
      <c r="L7" s="0" t="n">
        <v>119.078</v>
      </c>
      <c r="M7" s="0" t="n">
        <v>16.271</v>
      </c>
      <c r="N7" s="0" t="n">
        <v>102.807</v>
      </c>
      <c r="O7" s="0" t="n">
        <v>281.623</v>
      </c>
      <c r="P7" s="0" t="n">
        <v>780.576</v>
      </c>
      <c r="Q7" s="0" t="n">
        <v>498.953</v>
      </c>
      <c r="R7" s="0" t="n">
        <v>230.882</v>
      </c>
      <c r="S7" s="0" t="n">
        <v>12.463</v>
      </c>
      <c r="T7" s="0" t="n">
        <v>48.058</v>
      </c>
      <c r="U7" s="0" t="n">
        <v>8.465</v>
      </c>
      <c r="AA7" s="0" t="s">
        <v>17</v>
      </c>
      <c r="AB7" s="0" t="s">
        <v>14</v>
      </c>
    </row>
    <row r="8" customFormat="false" ht="15" hidden="false" customHeight="false" outlineLevel="0" collapsed="false">
      <c r="A8" s="0" t="s">
        <v>69</v>
      </c>
      <c r="B8" s="0" t="n">
        <v>2079.7</v>
      </c>
      <c r="C8" s="0" t="n">
        <v>1488.423</v>
      </c>
      <c r="D8" s="0" t="n">
        <v>591.277</v>
      </c>
      <c r="E8" s="0" t="n">
        <v>28.4308794537674</v>
      </c>
      <c r="F8" s="0" t="n">
        <v>165.486</v>
      </c>
      <c r="G8" s="0" t="n">
        <v>7.95720536615858</v>
      </c>
      <c r="I8" s="0" t="n">
        <v>97.33</v>
      </c>
      <c r="J8" s="0" t="n">
        <v>4.68000192335433</v>
      </c>
      <c r="K8" s="0" t="n">
        <v>2.1</v>
      </c>
      <c r="L8" s="0" t="n">
        <v>105.088</v>
      </c>
      <c r="M8" s="0" t="n">
        <v>18.742</v>
      </c>
      <c r="N8" s="0" t="n">
        <v>86.346</v>
      </c>
      <c r="O8" s="0" t="n">
        <v>286.182</v>
      </c>
      <c r="P8" s="0" t="n">
        <v>823.761</v>
      </c>
      <c r="Q8" s="0" t="n">
        <v>537.579</v>
      </c>
      <c r="R8" s="0" t="n">
        <v>246.418</v>
      </c>
      <c r="S8" s="0" t="n">
        <v>8.006</v>
      </c>
      <c r="T8" s="0" t="n">
        <v>47.53</v>
      </c>
      <c r="U8" s="0" t="n">
        <v>8.15</v>
      </c>
      <c r="AA8" s="0" t="s">
        <v>17</v>
      </c>
      <c r="AB8" s="0" t="s">
        <v>14</v>
      </c>
    </row>
    <row r="9" customFormat="false" ht="15" hidden="false" customHeight="false" outlineLevel="0" collapsed="false">
      <c r="A9" s="0" t="s">
        <v>70</v>
      </c>
      <c r="B9" s="0" t="n">
        <v>2246.562</v>
      </c>
      <c r="C9" s="0" t="n">
        <v>1603.222</v>
      </c>
      <c r="D9" s="0" t="n">
        <v>643.34</v>
      </c>
      <c r="E9" s="0" t="n">
        <v>28.6366456834933</v>
      </c>
      <c r="F9" s="0" t="n">
        <v>188.87</v>
      </c>
      <c r="G9" s="0" t="n">
        <v>8.40706822246615</v>
      </c>
      <c r="I9" s="0" t="n">
        <v>111.03</v>
      </c>
      <c r="J9" s="0" t="n">
        <v>4.94221837634572</v>
      </c>
      <c r="K9" s="0" t="n">
        <v>2.5</v>
      </c>
      <c r="L9" s="0" t="n">
        <v>121.815</v>
      </c>
      <c r="M9" s="0" t="n">
        <v>17.328</v>
      </c>
      <c r="N9" s="0" t="n">
        <v>104.487</v>
      </c>
      <c r="O9" s="0" t="n">
        <v>244.352</v>
      </c>
      <c r="P9" s="0" t="n">
        <v>892.937</v>
      </c>
      <c r="Q9" s="0" t="n">
        <v>645.472</v>
      </c>
      <c r="R9" s="0" t="n">
        <v>320.838</v>
      </c>
      <c r="S9" s="0" t="n">
        <v>14.83</v>
      </c>
      <c r="T9" s="0" t="n">
        <v>45.441</v>
      </c>
      <c r="U9" s="0" t="n">
        <v>9.065</v>
      </c>
      <c r="AA9" s="0" t="s">
        <v>17</v>
      </c>
      <c r="AB9" s="0" t="s">
        <v>14</v>
      </c>
    </row>
    <row r="10" customFormat="false" ht="15" hidden="false" customHeight="false" outlineLevel="0" collapsed="false">
      <c r="A10" s="0" t="s">
        <v>71</v>
      </c>
      <c r="B10" s="0" t="n">
        <v>2363.139</v>
      </c>
      <c r="C10" s="0" t="n">
        <v>1687.495</v>
      </c>
      <c r="D10" s="0" t="n">
        <v>675.644</v>
      </c>
      <c r="E10" s="0" t="n">
        <v>28.5909546581898</v>
      </c>
      <c r="F10" s="0" t="n">
        <v>216.222</v>
      </c>
      <c r="G10" s="0" t="n">
        <v>9.14977917084014</v>
      </c>
      <c r="I10" s="0" t="n">
        <v>128.275</v>
      </c>
      <c r="J10" s="0" t="n">
        <v>5.42816144120172</v>
      </c>
      <c r="K10" s="0" t="n">
        <v>2.98</v>
      </c>
      <c r="L10" s="0" t="n">
        <v>146.05</v>
      </c>
      <c r="M10" s="0" t="n">
        <v>29.095</v>
      </c>
      <c r="N10" s="0" t="n">
        <v>116.955</v>
      </c>
      <c r="O10" s="0" t="n">
        <v>255.743</v>
      </c>
      <c r="P10" s="0" t="n">
        <v>934.361</v>
      </c>
      <c r="Q10" s="0" t="n">
        <v>675.953</v>
      </c>
      <c r="R10" s="0" t="n">
        <v>328.045</v>
      </c>
      <c r="S10" s="0" t="n">
        <v>13.237</v>
      </c>
      <c r="T10" s="0" t="n">
        <v>44.254</v>
      </c>
      <c r="U10" s="0" t="n">
        <v>9.543</v>
      </c>
      <c r="AA10" s="0" t="s">
        <v>17</v>
      </c>
      <c r="AB10" s="0" t="s">
        <v>14</v>
      </c>
    </row>
    <row r="11" customFormat="false" ht="15" hidden="false" customHeight="false" outlineLevel="0" collapsed="false">
      <c r="A11" s="0" t="s">
        <v>72</v>
      </c>
      <c r="B11" s="0" t="n">
        <v>2570.803</v>
      </c>
      <c r="C11" s="0" t="n">
        <v>1829.716</v>
      </c>
      <c r="D11" s="0" t="n">
        <v>741.087</v>
      </c>
      <c r="E11" s="0" t="n">
        <v>28.8270629838226</v>
      </c>
      <c r="F11" s="0" t="n">
        <v>255.859</v>
      </c>
      <c r="G11" s="0" t="n">
        <v>9.95249344271031</v>
      </c>
      <c r="I11" s="0" t="n">
        <v>148.955</v>
      </c>
      <c r="J11" s="0" t="n">
        <v>5.79410402119494</v>
      </c>
      <c r="K11" s="0" t="n">
        <v>3.56</v>
      </c>
      <c r="L11" s="0" t="n">
        <v>165.378</v>
      </c>
      <c r="M11" s="0" t="n">
        <v>34.352</v>
      </c>
      <c r="N11" s="0" t="n">
        <v>131.026</v>
      </c>
      <c r="O11" s="0" t="n">
        <v>205.21</v>
      </c>
      <c r="P11" s="0" t="n">
        <v>994.095</v>
      </c>
      <c r="Q11" s="0" t="n">
        <v>786.598</v>
      </c>
      <c r="R11" s="0" t="n">
        <v>439.147</v>
      </c>
      <c r="S11" s="0" t="n">
        <v>21.956</v>
      </c>
      <c r="T11" s="0" t="n">
        <v>42.984</v>
      </c>
      <c r="U11" s="0" t="n">
        <v>9.902</v>
      </c>
      <c r="AA11" s="0" t="s">
        <v>17</v>
      </c>
      <c r="AB11" s="0" t="s">
        <v>14</v>
      </c>
    </row>
    <row r="12" customFormat="false" ht="15" hidden="false" customHeight="false" outlineLevel="0" collapsed="false">
      <c r="A12" s="0" t="s">
        <v>73</v>
      </c>
      <c r="B12" s="0" t="n">
        <v>2788.188</v>
      </c>
      <c r="C12" s="0" t="n">
        <v>1982.899</v>
      </c>
      <c r="D12" s="0" t="n">
        <v>805.289</v>
      </c>
      <c r="E12" s="0" t="n">
        <v>28.8821628957588</v>
      </c>
      <c r="F12" s="0" t="n">
        <v>284.371</v>
      </c>
      <c r="G12" s="0" t="n">
        <v>10.1991329135625</v>
      </c>
      <c r="I12" s="0" t="n">
        <v>191.633</v>
      </c>
      <c r="J12" s="0" t="n">
        <v>6.87303008261997</v>
      </c>
      <c r="K12" s="0" t="n">
        <v>4.69</v>
      </c>
      <c r="L12" s="0" t="n">
        <v>175.311</v>
      </c>
      <c r="M12" s="0" t="n">
        <v>39.39</v>
      </c>
      <c r="N12" s="0" t="n">
        <v>135.921</v>
      </c>
      <c r="O12" s="0" t="n">
        <v>223.146</v>
      </c>
      <c r="P12" s="0" t="n">
        <v>1101.062</v>
      </c>
      <c r="Q12" s="0" t="n">
        <v>877.916</v>
      </c>
      <c r="R12" s="0" t="n">
        <v>530.485</v>
      </c>
      <c r="S12" s="0" t="n">
        <v>29.94</v>
      </c>
      <c r="T12" s="0" t="n">
        <v>42.449</v>
      </c>
      <c r="U12" s="0" t="n">
        <v>12.482</v>
      </c>
      <c r="AA12" s="0" t="s">
        <v>17</v>
      </c>
      <c r="AB12" s="0" t="s">
        <v>14</v>
      </c>
    </row>
    <row r="13" customFormat="false" ht="15" hidden="false" customHeight="false" outlineLevel="0" collapsed="false">
      <c r="A13" s="0" t="s">
        <v>74</v>
      </c>
      <c r="B13" s="0" t="n">
        <v>2998.097</v>
      </c>
      <c r="C13" s="0" t="n">
        <v>2127.924</v>
      </c>
      <c r="D13" s="0" t="n">
        <v>870.173</v>
      </c>
      <c r="E13" s="0" t="n">
        <v>29.0241776700354</v>
      </c>
      <c r="F13" s="0" t="n">
        <v>313.889</v>
      </c>
      <c r="G13" s="0" t="n">
        <v>10.4696078879369</v>
      </c>
      <c r="I13" s="0" t="n">
        <v>234.461</v>
      </c>
      <c r="J13" s="0" t="n">
        <v>7.82032736098932</v>
      </c>
      <c r="K13" s="0" t="n">
        <v>5.82</v>
      </c>
      <c r="L13" s="0" t="n">
        <v>118.656</v>
      </c>
      <c r="M13" s="0" t="n">
        <v>31.58</v>
      </c>
      <c r="N13" s="0" t="n">
        <v>87.076</v>
      </c>
      <c r="O13" s="0" t="n">
        <v>223.59</v>
      </c>
      <c r="P13" s="0" t="n">
        <v>1240.871</v>
      </c>
      <c r="Q13" s="0" t="n">
        <v>1017.281</v>
      </c>
      <c r="R13" s="0" t="n">
        <v>666.761</v>
      </c>
      <c r="S13" s="0" t="n">
        <v>16.358</v>
      </c>
      <c r="T13" s="0" t="n">
        <v>41.693</v>
      </c>
      <c r="U13" s="0" t="n">
        <v>12.874</v>
      </c>
      <c r="AA13" s="0" t="s">
        <v>17</v>
      </c>
      <c r="AB13" s="0" t="s">
        <v>14</v>
      </c>
    </row>
    <row r="14" customFormat="false" ht="15" hidden="false" customHeight="false" outlineLevel="0" collapsed="false">
      <c r="A14" s="0" t="s">
        <v>75</v>
      </c>
      <c r="B14" s="0" t="n">
        <v>3199.517</v>
      </c>
      <c r="C14" s="0" t="n">
        <v>2274.592</v>
      </c>
      <c r="D14" s="0" t="n">
        <v>924.925</v>
      </c>
      <c r="E14" s="0" t="n">
        <v>28.9082695919415</v>
      </c>
      <c r="F14" s="0" t="n">
        <v>341.246</v>
      </c>
      <c r="G14" s="0" t="n">
        <v>10.6655473310503</v>
      </c>
      <c r="I14" s="0" t="n">
        <v>261.575</v>
      </c>
      <c r="J14" s="0" t="n">
        <v>8.1754527323968</v>
      </c>
      <c r="K14" s="0" t="n">
        <v>6.57</v>
      </c>
      <c r="L14" s="0" t="n">
        <v>298.776</v>
      </c>
      <c r="M14" s="0" t="n">
        <v>33.362</v>
      </c>
      <c r="N14" s="0" t="n">
        <v>265.414</v>
      </c>
      <c r="O14" s="0" t="n">
        <v>410.18</v>
      </c>
      <c r="P14" s="0" t="n">
        <v>1483.266</v>
      </c>
      <c r="Q14" s="0" t="n">
        <v>1073.086</v>
      </c>
      <c r="R14" s="0" t="n">
        <v>511.407</v>
      </c>
      <c r="T14" s="0" t="n">
        <v>40.865</v>
      </c>
      <c r="U14" s="0" t="n">
        <v>13.472</v>
      </c>
      <c r="AA14" s="0" t="s">
        <v>17</v>
      </c>
      <c r="AB14" s="0" t="s">
        <v>14</v>
      </c>
    </row>
    <row r="15" customFormat="false" ht="15" hidden="false" customHeight="false" outlineLevel="0" collapsed="false">
      <c r="A15" s="0" t="s">
        <v>76</v>
      </c>
      <c r="B15" s="0" t="n">
        <v>3936.623</v>
      </c>
      <c r="C15" s="0" t="n">
        <v>2805.721</v>
      </c>
      <c r="D15" s="0" t="n">
        <v>1130.902</v>
      </c>
      <c r="E15" s="0" t="n">
        <v>28.7277191643701</v>
      </c>
      <c r="F15" s="0" t="n">
        <v>464.027</v>
      </c>
      <c r="G15" s="0" t="n">
        <v>11.7874381163754</v>
      </c>
      <c r="I15" s="0" t="n">
        <v>366.738</v>
      </c>
      <c r="J15" s="0" t="n">
        <v>9.31605591899453</v>
      </c>
      <c r="K15" s="0" t="n">
        <v>9.14</v>
      </c>
      <c r="L15" s="0" t="n">
        <v>397.581</v>
      </c>
      <c r="M15" s="0" t="n">
        <v>21.702</v>
      </c>
      <c r="N15" s="0" t="n">
        <v>375.879</v>
      </c>
      <c r="O15" s="0" t="n">
        <v>639.47</v>
      </c>
      <c r="P15" s="0" t="n">
        <v>1739.67</v>
      </c>
      <c r="Q15" s="0" t="n">
        <v>1100.2</v>
      </c>
      <c r="R15" s="0" t="n">
        <v>416.018</v>
      </c>
      <c r="T15" s="0" t="n">
        <v>40.865</v>
      </c>
      <c r="U15" s="0" t="n">
        <v>14.516</v>
      </c>
      <c r="AA15" s="0" t="s">
        <v>17</v>
      </c>
      <c r="AB15" s="0" t="s">
        <v>14</v>
      </c>
    </row>
    <row r="16" customFormat="false" ht="15" hidden="false" customHeight="false" outlineLevel="0" collapsed="false">
      <c r="A16" s="0" t="s">
        <v>77</v>
      </c>
      <c r="B16" s="0" t="n">
        <v>5295.584</v>
      </c>
      <c r="C16" s="0" t="n">
        <v>3678.492</v>
      </c>
      <c r="D16" s="0" t="n">
        <v>1617.092</v>
      </c>
      <c r="E16" s="0" t="n">
        <v>30.5366131478606</v>
      </c>
      <c r="F16" s="0" t="n">
        <v>832.784</v>
      </c>
      <c r="G16" s="0" t="n">
        <v>15.7260086895043</v>
      </c>
      <c r="I16" s="0" t="n">
        <v>650.624</v>
      </c>
      <c r="J16" s="0" t="n">
        <v>12.2861614507484</v>
      </c>
      <c r="K16" s="0" t="n">
        <v>16.21</v>
      </c>
      <c r="L16" s="0" t="n">
        <v>313.49</v>
      </c>
      <c r="M16" s="0" t="n">
        <v>37.658</v>
      </c>
      <c r="N16" s="0" t="n">
        <v>275.832</v>
      </c>
      <c r="O16" s="0" t="n">
        <v>1071.393</v>
      </c>
      <c r="P16" s="0" t="n">
        <v>3230.131</v>
      </c>
      <c r="Q16" s="0" t="n">
        <v>2158.738</v>
      </c>
      <c r="R16" s="0" t="n">
        <v>1183.35</v>
      </c>
      <c r="T16" s="0" t="n">
        <v>40.48</v>
      </c>
      <c r="U16" s="0" t="n">
        <v>15.187</v>
      </c>
      <c r="AA16" s="0" t="s">
        <v>17</v>
      </c>
      <c r="AB16" s="0" t="s">
        <v>14</v>
      </c>
    </row>
    <row r="17" customFormat="false" ht="15" hidden="false" customHeight="false" outlineLevel="0" collapsed="false">
      <c r="A17" s="0" t="s">
        <v>78</v>
      </c>
      <c r="B17" s="0" t="n">
        <v>6179.727</v>
      </c>
      <c r="C17" s="0" t="n">
        <v>4246.315</v>
      </c>
      <c r="D17" s="0" t="n">
        <v>1933.412</v>
      </c>
      <c r="E17" s="0" t="n">
        <v>31.2863658863895</v>
      </c>
      <c r="F17" s="0" t="n">
        <v>1025.783</v>
      </c>
      <c r="G17" s="0" t="n">
        <v>16.5991636847388</v>
      </c>
      <c r="I17" s="0" t="n">
        <v>748.462</v>
      </c>
      <c r="J17" s="0" t="n">
        <v>12.1115706243981</v>
      </c>
      <c r="K17" s="0" t="n">
        <v>18.89</v>
      </c>
      <c r="L17" s="0" t="n">
        <v>484.854</v>
      </c>
      <c r="M17" s="0" t="n">
        <v>43.619</v>
      </c>
      <c r="N17" s="0" t="n">
        <v>441.235</v>
      </c>
      <c r="O17" s="0" t="n">
        <v>1235.194</v>
      </c>
      <c r="P17" s="0" t="n">
        <v>3565.437</v>
      </c>
      <c r="Q17" s="0" t="n">
        <v>2330.243</v>
      </c>
      <c r="R17" s="0" t="n">
        <v>1386.803</v>
      </c>
      <c r="T17" s="0" t="n">
        <v>39.806</v>
      </c>
      <c r="U17" s="0" t="n">
        <v>14.879</v>
      </c>
      <c r="AA17" s="0" t="s">
        <v>17</v>
      </c>
      <c r="AB17" s="0" t="s">
        <v>14</v>
      </c>
    </row>
    <row r="18" customFormat="false" ht="15" hidden="false" customHeight="false" outlineLevel="0" collapsed="false">
      <c r="A18" s="0" t="s">
        <v>79</v>
      </c>
      <c r="B18" s="0" t="n">
        <v>5541.595</v>
      </c>
      <c r="C18" s="0" t="n">
        <v>3881.551</v>
      </c>
      <c r="D18" s="0" t="n">
        <v>1660.044</v>
      </c>
      <c r="E18" s="0" t="n">
        <v>29.956068604797</v>
      </c>
      <c r="F18" s="0" t="n">
        <v>746.567</v>
      </c>
      <c r="G18" s="0" t="n">
        <v>13.4720599394218</v>
      </c>
      <c r="I18" s="0" t="n">
        <v>523.229</v>
      </c>
      <c r="J18" s="0" t="n">
        <v>9.44184842089687</v>
      </c>
      <c r="K18" s="0" t="n">
        <v>13.45</v>
      </c>
      <c r="L18" s="0" t="n">
        <v>888.229</v>
      </c>
      <c r="M18" s="0" t="n">
        <v>60.096</v>
      </c>
      <c r="N18" s="0" t="n">
        <v>828.133</v>
      </c>
      <c r="O18" s="0" t="n">
        <v>1312.787</v>
      </c>
      <c r="P18" s="0" t="n">
        <v>3428.068</v>
      </c>
      <c r="Q18" s="0" t="n">
        <v>2115.281</v>
      </c>
      <c r="R18" s="0" t="n">
        <v>1053.32</v>
      </c>
      <c r="T18" s="0" t="n">
        <v>38.997</v>
      </c>
      <c r="U18" s="0" t="n">
        <v>19.582</v>
      </c>
      <c r="AA18" s="0" t="s">
        <v>17</v>
      </c>
      <c r="AB18" s="0" t="s">
        <v>14</v>
      </c>
    </row>
    <row r="19" customFormat="false" ht="15" hidden="false" customHeight="false" outlineLevel="0" collapsed="false">
      <c r="A19" s="0" t="s">
        <v>80</v>
      </c>
      <c r="B19" s="0" t="n">
        <v>5310.953</v>
      </c>
      <c r="C19" s="0" t="n">
        <v>3735.606</v>
      </c>
      <c r="D19" s="0" t="n">
        <v>1575.347</v>
      </c>
      <c r="E19" s="0" t="n">
        <v>29.6622282290956</v>
      </c>
      <c r="F19" s="0" t="n">
        <v>617.204</v>
      </c>
      <c r="G19" s="0" t="n">
        <v>11.6213417817857</v>
      </c>
      <c r="I19" s="0" t="n">
        <v>434.325</v>
      </c>
      <c r="J19" s="0" t="n">
        <v>8.17791081939531</v>
      </c>
      <c r="K19" s="0" t="n">
        <v>11.37</v>
      </c>
      <c r="L19" s="0" t="n">
        <v>659.186</v>
      </c>
      <c r="M19" s="0" t="n">
        <v>59.476</v>
      </c>
      <c r="N19" s="0" t="n">
        <v>599.71</v>
      </c>
      <c r="O19" s="0" t="n">
        <v>1273.465</v>
      </c>
      <c r="P19" s="0" t="n">
        <v>3368.184</v>
      </c>
      <c r="Q19" s="0" t="n">
        <v>2094.719</v>
      </c>
      <c r="R19" s="0" t="n">
        <v>950.356</v>
      </c>
      <c r="T19" s="0" t="n">
        <v>38.228</v>
      </c>
      <c r="U19" s="0" t="n">
        <v>19.248</v>
      </c>
      <c r="AA19" s="0" t="s">
        <v>17</v>
      </c>
      <c r="AB19" s="0" t="s">
        <v>14</v>
      </c>
    </row>
    <row r="20" customFormat="false" ht="15" hidden="false" customHeight="false" outlineLevel="0" collapsed="false">
      <c r="A20" s="0" t="s">
        <v>81</v>
      </c>
      <c r="B20" s="0" t="n">
        <v>5289.396</v>
      </c>
      <c r="C20" s="0" t="n">
        <v>3716.938</v>
      </c>
      <c r="D20" s="0" t="n">
        <v>1572.458</v>
      </c>
      <c r="E20" s="0" t="n">
        <v>29.7284983011293</v>
      </c>
      <c r="F20" s="0" t="n">
        <v>580.204</v>
      </c>
      <c r="G20" s="0" t="n">
        <v>10.9691919455454</v>
      </c>
      <c r="I20" s="0" t="n">
        <v>406.404</v>
      </c>
      <c r="J20" s="0" t="n">
        <v>7.68337254385945</v>
      </c>
      <c r="K20" s="0" t="n">
        <v>10.89</v>
      </c>
      <c r="L20" s="0" t="n">
        <v>365.85</v>
      </c>
      <c r="M20" s="0" t="n">
        <v>56.334</v>
      </c>
      <c r="N20" s="0" t="n">
        <v>309.516</v>
      </c>
      <c r="O20" s="0" t="n">
        <v>1185.229</v>
      </c>
      <c r="P20" s="0" t="n">
        <v>3626.126</v>
      </c>
      <c r="Q20" s="0" t="n">
        <v>2440.897</v>
      </c>
      <c r="R20" s="0" t="n">
        <v>1199.453</v>
      </c>
      <c r="T20" s="0" t="n">
        <v>37.288</v>
      </c>
      <c r="U20" s="0" t="n">
        <v>22.733</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160.67</v>
      </c>
    </row>
    <row r="3" customFormat="false" ht="15" hidden="false" customHeight="false" outlineLevel="0" collapsed="false">
      <c r="A3" s="0" t="s">
        <v>85</v>
      </c>
      <c r="B3" s="3" t="n">
        <v>36.39</v>
      </c>
    </row>
    <row r="4" customFormat="false" ht="15" hidden="false" customHeight="false" outlineLevel="0" collapsed="false">
      <c r="A4" s="0" t="s">
        <v>86</v>
      </c>
      <c r="B4" s="3" t="n">
        <v>1311.954</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5289.396</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2</v>
      </c>
      <c r="D13" s="3" t="n">
        <v>1</v>
      </c>
      <c r="E13" s="3" t="n">
        <v>2</v>
      </c>
      <c r="F13" s="3" t="n">
        <v>3</v>
      </c>
      <c r="G13" s="3" t="n">
        <v>3</v>
      </c>
      <c r="H13" s="3" t="n">
        <v>3</v>
      </c>
      <c r="I13" s="3" t="n">
        <v>3</v>
      </c>
      <c r="J13" s="3" t="n">
        <v>2.5</v>
      </c>
      <c r="K13" s="3" t="n">
        <v>2.5</v>
      </c>
      <c r="L13" s="3" t="n">
        <v>2.5</v>
      </c>
    </row>
    <row r="14" customFormat="false" ht="15" hidden="false" customHeight="false" outlineLevel="0" collapsed="false">
      <c r="A14" s="0" t="s">
        <v>106</v>
      </c>
      <c r="C14" s="3" t="n">
        <v>11.9</v>
      </c>
      <c r="D14" s="3" t="n">
        <v>11.6</v>
      </c>
      <c r="E14" s="3" t="n">
        <v>11.5</v>
      </c>
      <c r="F14" s="3" t="n">
        <v>11.5</v>
      </c>
      <c r="G14" s="3" t="n">
        <v>11.5</v>
      </c>
      <c r="H14" s="3" t="n">
        <v>11.5</v>
      </c>
      <c r="I14" s="3" t="n">
        <v>11.5</v>
      </c>
      <c r="J14" s="3" t="n">
        <v>11.5</v>
      </c>
      <c r="K14" s="3" t="n">
        <v>11.5</v>
      </c>
      <c r="L14" s="3" t="n">
        <v>11.5</v>
      </c>
    </row>
    <row r="15" customFormat="false" ht="15" hidden="false" customHeight="false" outlineLevel="0" collapsed="false">
      <c r="A15" s="0" t="s">
        <v>107</v>
      </c>
      <c r="C15" s="3" t="n">
        <v>0.48</v>
      </c>
      <c r="D15" s="3" t="n">
        <v>0.47</v>
      </c>
      <c r="E15" s="3" t="n">
        <v>0.46</v>
      </c>
      <c r="F15" s="3" t="n">
        <v>0.45</v>
      </c>
      <c r="G15" s="3" t="n">
        <v>0.45</v>
      </c>
      <c r="H15" s="3" t="n">
        <v>0.45</v>
      </c>
      <c r="I15" s="3" t="n">
        <v>0.45</v>
      </c>
      <c r="J15" s="3" t="n">
        <v>0.45</v>
      </c>
      <c r="K15" s="3" t="n">
        <v>0.45</v>
      </c>
      <c r="L15" s="3" t="n">
        <v>0.45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1</v>
      </c>
      <c r="D17" s="3" t="n">
        <v>1.05</v>
      </c>
      <c r="E17" s="3" t="n">
        <v>1.05</v>
      </c>
      <c r="F17" s="3" t="n">
        <v>1.05</v>
      </c>
      <c r="G17" s="3" t="n">
        <v>1.05</v>
      </c>
      <c r="H17" s="3" t="n">
        <v>1.05</v>
      </c>
      <c r="I17" s="3" t="n">
        <v>1.05</v>
      </c>
      <c r="J17" s="3" t="n">
        <v>1.05</v>
      </c>
      <c r="K17" s="3" t="n">
        <v>1.05</v>
      </c>
      <c r="L17" s="3" t="n">
        <v>1.05</v>
      </c>
    </row>
    <row r="18" customFormat="false" ht="15" hidden="false" customHeight="false" outlineLevel="0" collapsed="false">
      <c r="A18" s="0" t="s">
        <v>110</v>
      </c>
      <c r="C18" s="3" t="n">
        <v>1.3</v>
      </c>
      <c r="D18" s="3" t="n">
        <v>1.2</v>
      </c>
      <c r="E18" s="3" t="n">
        <v>1.15</v>
      </c>
      <c r="F18" s="3" t="n">
        <v>1.15</v>
      </c>
      <c r="G18" s="3" t="n">
        <v>1.15</v>
      </c>
      <c r="H18" s="3" t="n">
        <v>1.15</v>
      </c>
      <c r="I18" s="3" t="n">
        <v>1.15</v>
      </c>
      <c r="J18" s="3" t="n">
        <v>1.15</v>
      </c>
      <c r="K18" s="3" t="n">
        <v>1.15</v>
      </c>
      <c r="L18" s="3" t="n">
        <v>1.15</v>
      </c>
    </row>
    <row r="19" customFormat="false" ht="15" hidden="false" customHeight="false" outlineLevel="0" collapsed="false">
      <c r="A19" s="0" t="s">
        <v>111</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112</v>
      </c>
      <c r="B20" s="3" t="n">
        <v>8.5</v>
      </c>
    </row>
    <row r="21" customFormat="false" ht="15" hidden="false" customHeight="false" outlineLevel="0" collapsed="false">
      <c r="A21" s="0" t="s">
        <v>113</v>
      </c>
      <c r="B21" s="3" t="n">
        <v>2.5</v>
      </c>
    </row>
    <row r="22" customFormat="false" ht="15" hidden="false" customHeight="false" outlineLevel="0" collapsed="false">
      <c r="A22" s="0" t="s">
        <v>114</v>
      </c>
      <c r="B22" s="3" t="n">
        <v>13</v>
      </c>
    </row>
    <row r="23" customFormat="false" ht="15" hidden="false" customHeight="false" outlineLevel="0" collapsed="false">
      <c r="A23" s="0" t="s">
        <v>115</v>
      </c>
      <c r="B23" s="3" t="n">
        <v>-25</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3</v>
      </c>
      <c r="D27" s="3" t="n">
        <v>4.5</v>
      </c>
      <c r="E27" s="3" t="n">
        <v>6</v>
      </c>
      <c r="F27" s="3" t="n">
        <v>6</v>
      </c>
      <c r="G27" s="3" t="n">
        <v>5.5</v>
      </c>
      <c r="H27" s="3" t="n">
        <v>5</v>
      </c>
      <c r="I27" s="3" t="n">
        <v>4.5</v>
      </c>
      <c r="J27" s="3" t="n">
        <v>4</v>
      </c>
      <c r="K27" s="3" t="n">
        <v>3.5</v>
      </c>
      <c r="L27" s="3" t="n">
        <v>3</v>
      </c>
    </row>
    <row r="28" customFormat="false" ht="15" hidden="false" customHeight="false" outlineLevel="0" collapsed="false">
      <c r="A28" s="0" t="s">
        <v>106</v>
      </c>
      <c r="C28" s="3" t="n">
        <v>12.1</v>
      </c>
      <c r="D28" s="3" t="n">
        <v>12.3</v>
      </c>
      <c r="E28" s="3" t="n">
        <v>12.6</v>
      </c>
      <c r="F28" s="3" t="n">
        <v>12.9</v>
      </c>
      <c r="G28" s="3" t="n">
        <v>13</v>
      </c>
      <c r="H28" s="3" t="n">
        <v>13</v>
      </c>
      <c r="I28" s="3" t="n">
        <v>13</v>
      </c>
      <c r="J28" s="3" t="n">
        <v>13</v>
      </c>
      <c r="K28" s="3" t="n">
        <v>13</v>
      </c>
      <c r="L28" s="3" t="n">
        <v>13</v>
      </c>
    </row>
    <row r="29" customFormat="false" ht="15" hidden="false" customHeight="false" outlineLevel="0" collapsed="false">
      <c r="A29" s="0" t="s">
        <v>107</v>
      </c>
      <c r="C29" s="3" t="n">
        <v>0.48</v>
      </c>
      <c r="D29" s="3" t="n">
        <v>0.47</v>
      </c>
      <c r="E29" s="3" t="n">
        <v>0.46</v>
      </c>
      <c r="F29" s="3" t="n">
        <v>0.45</v>
      </c>
      <c r="G29" s="3" t="n">
        <v>0.45</v>
      </c>
      <c r="H29" s="3" t="n">
        <v>0.45</v>
      </c>
      <c r="I29" s="3" t="n">
        <v>0.45</v>
      </c>
      <c r="J29" s="3" t="n">
        <v>0.45</v>
      </c>
      <c r="K29" s="3" t="n">
        <v>0.45</v>
      </c>
      <c r="L29" s="3" t="n">
        <v>0.45</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1</v>
      </c>
      <c r="D31" s="3" t="n">
        <v>1.05</v>
      </c>
      <c r="E31" s="3" t="n">
        <v>1.05</v>
      </c>
      <c r="F31" s="3" t="n">
        <v>1.05</v>
      </c>
      <c r="G31" s="3" t="n">
        <v>1.05</v>
      </c>
      <c r="H31" s="3" t="n">
        <v>1.05</v>
      </c>
      <c r="I31" s="3" t="n">
        <v>1.05</v>
      </c>
      <c r="J31" s="3" t="n">
        <v>1.05</v>
      </c>
      <c r="K31" s="3" t="n">
        <v>1.05</v>
      </c>
      <c r="L31" s="3" t="n">
        <v>1.05</v>
      </c>
    </row>
    <row r="32" customFormat="false" ht="15" hidden="false" customHeight="false" outlineLevel="0" collapsed="false">
      <c r="A32" s="0" t="s">
        <v>110</v>
      </c>
      <c r="C32" s="3" t="n">
        <v>1.3</v>
      </c>
      <c r="D32" s="3" t="n">
        <v>1.2</v>
      </c>
      <c r="E32" s="3" t="n">
        <v>1.15</v>
      </c>
      <c r="F32" s="3" t="n">
        <v>1.15</v>
      </c>
      <c r="G32" s="3" t="n">
        <v>1.15</v>
      </c>
      <c r="H32" s="3" t="n">
        <v>1.15</v>
      </c>
      <c r="I32" s="3" t="n">
        <v>1.15</v>
      </c>
      <c r="J32" s="3" t="n">
        <v>1.15</v>
      </c>
      <c r="K32" s="3" t="n">
        <v>1.15</v>
      </c>
      <c r="L32" s="3" t="n">
        <v>1.15</v>
      </c>
    </row>
    <row r="33" customFormat="false" ht="15" hidden="false" customHeight="false" outlineLevel="0" collapsed="false">
      <c r="A33" s="0" t="s">
        <v>111</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112</v>
      </c>
      <c r="B34" s="3" t="n">
        <v>8.5</v>
      </c>
    </row>
    <row r="35" customFormat="false" ht="15" hidden="false" customHeight="false" outlineLevel="0" collapsed="false">
      <c r="A35" s="0" t="s">
        <v>113</v>
      </c>
      <c r="B35" s="3" t="n">
        <v>3</v>
      </c>
    </row>
    <row r="36" customFormat="false" ht="15" hidden="false" customHeight="false" outlineLevel="0" collapsed="false">
      <c r="A36" s="0" t="s">
        <v>114</v>
      </c>
      <c r="B36" s="3" t="n">
        <v>15</v>
      </c>
    </row>
    <row r="37" customFormat="false" ht="15" hidden="false" customHeight="false" outlineLevel="0" collapsed="false">
      <c r="A37" s="0" t="s">
        <v>115</v>
      </c>
      <c r="B37" s="3" t="n">
        <v>-25</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3.5</v>
      </c>
      <c r="D41" s="3" t="n">
        <v>7</v>
      </c>
      <c r="E41" s="3" t="n">
        <v>9</v>
      </c>
      <c r="F41" s="3" t="n">
        <v>8</v>
      </c>
      <c r="G41" s="3" t="n">
        <v>7</v>
      </c>
      <c r="H41" s="3" t="n">
        <v>6</v>
      </c>
      <c r="I41" s="3" t="n">
        <v>5</v>
      </c>
      <c r="J41" s="3" t="n">
        <v>4.5</v>
      </c>
      <c r="K41" s="3" t="n">
        <v>4</v>
      </c>
      <c r="L41" s="3" t="n">
        <v>3.5</v>
      </c>
    </row>
    <row r="42" customFormat="false" ht="15" hidden="false" customHeight="false" outlineLevel="0" collapsed="false">
      <c r="A42" s="0" t="s">
        <v>106</v>
      </c>
      <c r="C42" s="3" t="n">
        <v>12.2</v>
      </c>
      <c r="D42" s="3" t="n">
        <v>12.8</v>
      </c>
      <c r="E42" s="3" t="n">
        <v>13.5</v>
      </c>
      <c r="F42" s="3" t="n">
        <v>14</v>
      </c>
      <c r="G42" s="3" t="n">
        <v>14.5</v>
      </c>
      <c r="H42" s="3" t="n">
        <v>14.5</v>
      </c>
      <c r="I42" s="3" t="n">
        <v>14.5</v>
      </c>
      <c r="J42" s="3" t="n">
        <v>14.5</v>
      </c>
      <c r="K42" s="3" t="n">
        <v>14.5</v>
      </c>
      <c r="L42" s="3" t="n">
        <v>14.5</v>
      </c>
    </row>
    <row r="43" customFormat="false" ht="15" hidden="false" customHeight="false" outlineLevel="0" collapsed="false">
      <c r="A43" s="0" t="s">
        <v>107</v>
      </c>
      <c r="C43" s="3" t="n">
        <v>0.48</v>
      </c>
      <c r="D43" s="3" t="n">
        <v>0.47</v>
      </c>
      <c r="E43" s="3" t="n">
        <v>0.46</v>
      </c>
      <c r="F43" s="3" t="n">
        <v>0.45</v>
      </c>
      <c r="G43" s="3" t="n">
        <v>0.45</v>
      </c>
      <c r="H43" s="3" t="n">
        <v>0.45</v>
      </c>
      <c r="I43" s="3" t="n">
        <v>0.45</v>
      </c>
      <c r="J43" s="3" t="n">
        <v>0.45</v>
      </c>
      <c r="K43" s="3" t="n">
        <v>0.45</v>
      </c>
      <c r="L43" s="3" t="n">
        <v>0.45</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1</v>
      </c>
      <c r="D45" s="3" t="n">
        <v>1.05</v>
      </c>
      <c r="E45" s="3" t="n">
        <v>1.05</v>
      </c>
      <c r="F45" s="3" t="n">
        <v>1.05</v>
      </c>
      <c r="G45" s="3" t="n">
        <v>1.05</v>
      </c>
      <c r="H45" s="3" t="n">
        <v>1.05</v>
      </c>
      <c r="I45" s="3" t="n">
        <v>1.05</v>
      </c>
      <c r="J45" s="3" t="n">
        <v>1.05</v>
      </c>
      <c r="K45" s="3" t="n">
        <v>1.05</v>
      </c>
      <c r="L45" s="3" t="n">
        <v>1.05</v>
      </c>
    </row>
    <row r="46" customFormat="false" ht="15" hidden="false" customHeight="false" outlineLevel="0" collapsed="false">
      <c r="A46" s="0" t="s">
        <v>110</v>
      </c>
      <c r="C46" s="3" t="n">
        <v>1.3</v>
      </c>
      <c r="D46" s="3" t="n">
        <v>1.2</v>
      </c>
      <c r="E46" s="3" t="n">
        <v>1.15</v>
      </c>
      <c r="F46" s="3" t="n">
        <v>1.15</v>
      </c>
      <c r="G46" s="3" t="n">
        <v>1.15</v>
      </c>
      <c r="H46" s="3" t="n">
        <v>1.15</v>
      </c>
      <c r="I46" s="3" t="n">
        <v>1.15</v>
      </c>
      <c r="J46" s="3" t="n">
        <v>1.15</v>
      </c>
      <c r="K46" s="3" t="n">
        <v>1.15</v>
      </c>
      <c r="L46" s="3" t="n">
        <v>1.15</v>
      </c>
    </row>
    <row r="47" customFormat="false" ht="15" hidden="false" customHeight="false" outlineLevel="0" collapsed="false">
      <c r="A47" s="0" t="s">
        <v>111</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112</v>
      </c>
      <c r="B48" s="3" t="n">
        <v>8.5</v>
      </c>
    </row>
    <row r="49" customFormat="false" ht="15" hidden="false" customHeight="false" outlineLevel="0" collapsed="false">
      <c r="A49" s="0" t="s">
        <v>113</v>
      </c>
      <c r="B49" s="3" t="n">
        <v>3</v>
      </c>
    </row>
    <row r="50" customFormat="false" ht="15" hidden="false" customHeight="false" outlineLevel="0" collapsed="false">
      <c r="A50" s="0" t="s">
        <v>114</v>
      </c>
      <c r="B50" s="3" t="n">
        <v>17</v>
      </c>
    </row>
    <row r="51" customFormat="false" ht="15" hidden="false" customHeight="false" outlineLevel="0" collapsed="false">
      <c r="A51" s="0" t="s">
        <v>115</v>
      </c>
      <c r="B51" s="3" t="n">
        <v>-25</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2</v>
      </c>
      <c r="D5" s="4" t="n">
        <f aca="false">Assumptions!D13</f>
        <v>1</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5289.396</v>
      </c>
      <c r="C6" s="0" t="n">
        <f aca="false">B6*(1+C5/100)</f>
        <v>5395.18392</v>
      </c>
      <c r="D6" s="0" t="n">
        <f aca="false">C6*(1+D5/100)</f>
        <v>5449.1357592</v>
      </c>
      <c r="E6" s="0" t="n">
        <f aca="false">D6*(1+E5/100)</f>
        <v>5558.118474384</v>
      </c>
      <c r="F6" s="0" t="n">
        <f aca="false">E6*(1+F5/100)</f>
        <v>5724.86202861552</v>
      </c>
      <c r="G6" s="0" t="n">
        <f aca="false">F6*(1+G5/100)</f>
        <v>5896.60788947399</v>
      </c>
      <c r="H6" s="0" t="n">
        <f aca="false">G6*(1+H5/100)</f>
        <v>6073.50612615821</v>
      </c>
      <c r="I6" s="0" t="n">
        <f aca="false">H6*(1+I5/100)</f>
        <v>6255.71130994295</v>
      </c>
      <c r="J6" s="0" t="n">
        <f aca="false">I6*(1+J5/100)</f>
        <v>6412.10409269153</v>
      </c>
      <c r="K6" s="0" t="n">
        <f aca="false">J6*(1+K5/100)</f>
        <v>6572.40669500881</v>
      </c>
      <c r="L6" s="0" t="n">
        <f aca="false">K6*(1+L5/100)</f>
        <v>6736.71686238403</v>
      </c>
    </row>
    <row r="7" customFormat="false" ht="15" hidden="false" customHeight="false" outlineLevel="0" collapsed="false">
      <c r="A7" s="0" t="s">
        <v>106</v>
      </c>
      <c r="C7" s="4" t="n">
        <f aca="false">Assumptions!C14</f>
        <v>11.9</v>
      </c>
      <c r="D7" s="4" t="n">
        <f aca="false">Assumptions!D14</f>
        <v>11.6</v>
      </c>
      <c r="E7" s="4" t="n">
        <f aca="false">Assumptions!E14</f>
        <v>11.5</v>
      </c>
      <c r="F7" s="4" t="n">
        <f aca="false">Assumptions!F14</f>
        <v>11.5</v>
      </c>
      <c r="G7" s="4" t="n">
        <f aca="false">Assumptions!G14</f>
        <v>11.5</v>
      </c>
      <c r="H7" s="4" t="n">
        <f aca="false">Assumptions!H14</f>
        <v>11.5</v>
      </c>
      <c r="I7" s="4" t="n">
        <f aca="false">Assumptions!I14</f>
        <v>11.5</v>
      </c>
      <c r="J7" s="4" t="n">
        <f aca="false">Assumptions!J14</f>
        <v>11.5</v>
      </c>
      <c r="K7" s="4" t="n">
        <f aca="false">Assumptions!K14</f>
        <v>11.5</v>
      </c>
      <c r="L7" s="4" t="n">
        <f aca="false">Assumptions!L14</f>
        <v>11.5</v>
      </c>
    </row>
    <row r="8" customFormat="false" ht="15" hidden="false" customHeight="false" outlineLevel="0" collapsed="false">
      <c r="A8" s="0" t="s">
        <v>43</v>
      </c>
      <c r="C8" s="0" t="n">
        <f aca="false">C6*C7/100</f>
        <v>642.02688648</v>
      </c>
      <c r="D8" s="0" t="n">
        <f aca="false">D6*D7/100</f>
        <v>632.0997480672</v>
      </c>
      <c r="E8" s="0" t="n">
        <f aca="false">E6*E7/100</f>
        <v>639.18362455416</v>
      </c>
      <c r="F8" s="0" t="n">
        <f aca="false">F6*F7/100</f>
        <v>658.359133290785</v>
      </c>
      <c r="G8" s="0" t="n">
        <f aca="false">G6*G7/100</f>
        <v>678.109907289508</v>
      </c>
      <c r="H8" s="0" t="n">
        <f aca="false">H6*H7/100</f>
        <v>698.453204508194</v>
      </c>
      <c r="I8" s="0" t="n">
        <f aca="false">I6*I7/100</f>
        <v>719.40680064344</v>
      </c>
      <c r="J8" s="0" t="n">
        <f aca="false">J6*J7/100</f>
        <v>737.391970659525</v>
      </c>
      <c r="K8" s="0" t="n">
        <f aca="false">K6*K7/100</f>
        <v>755.826769926014</v>
      </c>
      <c r="L8" s="0" t="n">
        <f aca="false">L6*L7/100</f>
        <v>774.722439174164</v>
      </c>
    </row>
    <row r="9" customFormat="false" ht="15" hidden="false" customHeight="false" outlineLevel="0" collapsed="false">
      <c r="A9" s="0" t="s">
        <v>107</v>
      </c>
      <c r="C9" s="4" t="n">
        <f aca="false">Assumptions!C15</f>
        <v>0.48</v>
      </c>
      <c r="D9" s="4" t="n">
        <f aca="false">Assumptions!D15</f>
        <v>0.47</v>
      </c>
      <c r="E9" s="4" t="n">
        <f aca="false">Assumptions!E15</f>
        <v>0.46</v>
      </c>
      <c r="F9" s="4" t="n">
        <f aca="false">Assumptions!F15</f>
        <v>0.45</v>
      </c>
      <c r="G9" s="4" t="n">
        <f aca="false">Assumptions!G15</f>
        <v>0.45</v>
      </c>
      <c r="H9" s="4" t="n">
        <f aca="false">Assumptions!H15</f>
        <v>0.45</v>
      </c>
      <c r="I9" s="4" t="n">
        <f aca="false">Assumptions!I15</f>
        <v>0.45</v>
      </c>
      <c r="J9" s="4" t="n">
        <f aca="false">Assumptions!J15</f>
        <v>0.45</v>
      </c>
      <c r="K9" s="4" t="n">
        <f aca="false">Assumptions!K15</f>
        <v>0.45</v>
      </c>
      <c r="L9" s="4" t="n">
        <f aca="false">Assumptions!L15</f>
        <v>0.45</v>
      </c>
    </row>
    <row r="10" customFormat="false" ht="15" hidden="false" customHeight="false" outlineLevel="0" collapsed="false">
      <c r="A10" s="0" t="s">
        <v>122</v>
      </c>
      <c r="C10" s="0" t="n">
        <f aca="false">-C6*C9/100</f>
        <v>-25.896882816</v>
      </c>
      <c r="D10" s="0" t="n">
        <f aca="false">-D6*D9/100</f>
        <v>-25.61093806824</v>
      </c>
      <c r="E10" s="0" t="n">
        <f aca="false">-E6*E9/100</f>
        <v>-25.5673449821664</v>
      </c>
      <c r="F10" s="0" t="n">
        <f aca="false">-F6*F9/100</f>
        <v>-25.7618791287698</v>
      </c>
      <c r="G10" s="0" t="n">
        <f aca="false">-G6*G9/100</f>
        <v>-26.5347355026329</v>
      </c>
      <c r="H10" s="0" t="n">
        <f aca="false">-H6*H9/100</f>
        <v>-27.3307775677119</v>
      </c>
      <c r="I10" s="0" t="n">
        <f aca="false">-I6*I9/100</f>
        <v>-28.1507008947433</v>
      </c>
      <c r="J10" s="0" t="n">
        <f aca="false">-J6*J9/100</f>
        <v>-28.8544684171119</v>
      </c>
      <c r="K10" s="0" t="n">
        <f aca="false">-K6*K9/100</f>
        <v>-29.5758301275397</v>
      </c>
      <c r="L10" s="0" t="n">
        <f aca="false">-L6*L9/100</f>
        <v>-30.3152258807282</v>
      </c>
    </row>
    <row r="11" customFormat="false" ht="15" hidden="false" customHeight="false" outlineLevel="0" collapsed="false">
      <c r="A11" s="0" t="s">
        <v>123</v>
      </c>
      <c r="C11" s="0" t="n">
        <f aca="false">C8+C10+C24</f>
        <v>616.130003664</v>
      </c>
      <c r="D11" s="0" t="n">
        <f aca="false">D8+D10+D24</f>
        <v>606.48880999896</v>
      </c>
      <c r="E11" s="0" t="n">
        <f aca="false">E8+E10+E24</f>
        <v>613.616279571994</v>
      </c>
      <c r="F11" s="0" t="n">
        <f aca="false">F8+F10+F24</f>
        <v>632.597254162015</v>
      </c>
      <c r="G11" s="0" t="n">
        <f aca="false">G8+G10+G24</f>
        <v>651.575171786875</v>
      </c>
      <c r="H11" s="0" t="n">
        <f aca="false">H8+H10+H24</f>
        <v>671.122426940482</v>
      </c>
      <c r="I11" s="0" t="n">
        <f aca="false">I8+I10+I24</f>
        <v>691.256099748696</v>
      </c>
      <c r="J11" s="0" t="n">
        <f aca="false">J8+J10+J24</f>
        <v>708.537502242414</v>
      </c>
      <c r="K11" s="0" t="n">
        <f aca="false">K8+K10+K24</f>
        <v>726.250939798474</v>
      </c>
      <c r="L11" s="0" t="n">
        <f aca="false">L8+L10+L24</f>
        <v>744.407213293436</v>
      </c>
    </row>
    <row r="12" customFormat="false" ht="15" hidden="false" customHeight="false" outlineLevel="0" collapsed="false">
      <c r="A12" s="0" t="s">
        <v>124</v>
      </c>
      <c r="C12" s="4" t="n">
        <f aca="false">-C6*Assumptions!C17/100</f>
        <v>-53.9518392</v>
      </c>
      <c r="D12" s="4" t="n">
        <f aca="false">-D6*Assumptions!D17/100</f>
        <v>-57.2159254716</v>
      </c>
      <c r="E12" s="4" t="n">
        <f aca="false">-E6*Assumptions!E17/100</f>
        <v>-58.360243981032</v>
      </c>
      <c r="F12" s="4" t="n">
        <f aca="false">-F6*Assumptions!F17/100</f>
        <v>-60.111051300463</v>
      </c>
      <c r="G12" s="4" t="n">
        <f aca="false">-G6*Assumptions!G17/100</f>
        <v>-61.9143828394769</v>
      </c>
      <c r="H12" s="4" t="n">
        <f aca="false">-H6*Assumptions!H17/100</f>
        <v>-63.7718143246612</v>
      </c>
      <c r="I12" s="4" t="n">
        <f aca="false">-I6*Assumptions!I17/100</f>
        <v>-65.684968754401</v>
      </c>
      <c r="J12" s="4" t="n">
        <f aca="false">-J6*Assumptions!J17/100</f>
        <v>-67.327092973261</v>
      </c>
      <c r="K12" s="4" t="n">
        <f aca="false">-K6*Assumptions!K17/100</f>
        <v>-69.0102702975925</v>
      </c>
      <c r="L12" s="4" t="n">
        <f aca="false">-L6*Assumptions!L17/100</f>
        <v>-70.7355270550324</v>
      </c>
    </row>
    <row r="13" customFormat="false" ht="15" hidden="false" customHeight="false" outlineLevel="0" collapsed="false">
      <c r="A13" s="0" t="s">
        <v>125</v>
      </c>
      <c r="C13" s="0" t="n">
        <f aca="false">C11+C12</f>
        <v>562.178164464</v>
      </c>
      <c r="D13" s="0" t="n">
        <f aca="false">D11+D12</f>
        <v>549.27288452736</v>
      </c>
      <c r="E13" s="0" t="n">
        <f aca="false">E11+E12</f>
        <v>555.256035590962</v>
      </c>
      <c r="F13" s="0" t="n">
        <f aca="false">F11+F12</f>
        <v>572.486202861552</v>
      </c>
      <c r="G13" s="0" t="n">
        <f aca="false">G11+G12</f>
        <v>589.660788947399</v>
      </c>
      <c r="H13" s="0" t="n">
        <f aca="false">H11+H12</f>
        <v>607.350612615821</v>
      </c>
      <c r="I13" s="0" t="n">
        <f aca="false">I11+I12</f>
        <v>625.571130994295</v>
      </c>
      <c r="J13" s="0" t="n">
        <f aca="false">J11+J12</f>
        <v>641.210409269153</v>
      </c>
      <c r="K13" s="0" t="n">
        <f aca="false">K11+K12</f>
        <v>657.240669500881</v>
      </c>
      <c r="L13" s="0" t="n">
        <f aca="false">L11+L12</f>
        <v>673.671686238403</v>
      </c>
    </row>
    <row r="14" customFormat="false" ht="15" hidden="false" customHeight="false" outlineLevel="0" collapsed="false">
      <c r="A14" s="0" t="s">
        <v>111</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126</v>
      </c>
      <c r="C15" s="0" t="n">
        <f aca="false">C13-MAX(0,C13)*C14/100</f>
        <v>421.633623348</v>
      </c>
      <c r="D15" s="0" t="n">
        <f aca="false">D13-MAX(0,D13)*D14/100</f>
        <v>411.95466339552</v>
      </c>
      <c r="E15" s="0" t="n">
        <f aca="false">E13-MAX(0,E13)*E14/100</f>
        <v>416.442026693221</v>
      </c>
      <c r="F15" s="0" t="n">
        <f aca="false">F13-MAX(0,F13)*F14/100</f>
        <v>429.364652146164</v>
      </c>
      <c r="G15" s="0" t="n">
        <f aca="false">G13-MAX(0,G13)*G14/100</f>
        <v>442.245591710549</v>
      </c>
      <c r="H15" s="0" t="n">
        <f aca="false">H13-MAX(0,H13)*H14/100</f>
        <v>455.512959461865</v>
      </c>
      <c r="I15" s="0" t="n">
        <f aca="false">I13-MAX(0,I13)*I14/100</f>
        <v>469.178348245721</v>
      </c>
      <c r="J15" s="0" t="n">
        <f aca="false">J13-MAX(0,J13)*J14/100</f>
        <v>480.907806951864</v>
      </c>
      <c r="K15" s="0" t="n">
        <f aca="false">K13-MAX(0,K13)*K14/100</f>
        <v>492.930502125661</v>
      </c>
      <c r="L15" s="0" t="n">
        <f aca="false">L13-MAX(0,L13)*L14/100</f>
        <v>505.253764678802</v>
      </c>
    </row>
    <row r="16" customFormat="false" ht="15" hidden="false" customHeight="false" outlineLevel="0" collapsed="false">
      <c r="A16" s="0" t="s">
        <v>127</v>
      </c>
      <c r="C16" s="0" t="n">
        <f aca="false">-C12</f>
        <v>53.9518392</v>
      </c>
      <c r="D16" s="0" t="n">
        <f aca="false">-D12</f>
        <v>57.2159254716</v>
      </c>
      <c r="E16" s="0" t="n">
        <f aca="false">-E12</f>
        <v>58.360243981032</v>
      </c>
      <c r="F16" s="0" t="n">
        <f aca="false">-F12</f>
        <v>60.111051300463</v>
      </c>
      <c r="G16" s="0" t="n">
        <f aca="false">-G12</f>
        <v>61.9143828394769</v>
      </c>
      <c r="H16" s="0" t="n">
        <f aca="false">-H12</f>
        <v>63.7718143246612</v>
      </c>
      <c r="I16" s="0" t="n">
        <f aca="false">-I12</f>
        <v>65.684968754401</v>
      </c>
      <c r="J16" s="0" t="n">
        <f aca="false">-J12</f>
        <v>67.327092973261</v>
      </c>
      <c r="K16" s="0" t="n">
        <f aca="false">-K12</f>
        <v>69.0102702975925</v>
      </c>
      <c r="L16" s="0" t="n">
        <f aca="false">-L12</f>
        <v>70.7355270550324</v>
      </c>
    </row>
    <row r="17" customFormat="false" ht="15" hidden="false" customHeight="false" outlineLevel="0" collapsed="false">
      <c r="A17" s="0" t="s">
        <v>128</v>
      </c>
      <c r="C17" s="4" t="n">
        <f aca="false">-C6*Assumptions!C18/100</f>
        <v>-70.13739096</v>
      </c>
      <c r="D17" s="4" t="n">
        <f aca="false">-D6*Assumptions!D18/100</f>
        <v>-65.3896291104</v>
      </c>
      <c r="E17" s="4" t="n">
        <f aca="false">-E6*Assumptions!E18/100</f>
        <v>-63.918362455416</v>
      </c>
      <c r="F17" s="4" t="n">
        <f aca="false">-F6*Assumptions!F18/100</f>
        <v>-65.8359133290785</v>
      </c>
      <c r="G17" s="4" t="n">
        <f aca="false">-G6*Assumptions!G18/100</f>
        <v>-67.8109907289508</v>
      </c>
      <c r="H17" s="4" t="n">
        <f aca="false">-H6*Assumptions!H18/100</f>
        <v>-69.8453204508194</v>
      </c>
      <c r="I17" s="4" t="n">
        <f aca="false">-I6*Assumptions!I18/100</f>
        <v>-71.9406800643439</v>
      </c>
      <c r="J17" s="4" t="n">
        <f aca="false">-J6*Assumptions!J18/100</f>
        <v>-73.7391970659525</v>
      </c>
      <c r="K17" s="4" t="n">
        <f aca="false">-K6*Assumptions!K18/100</f>
        <v>-75.5826769926013</v>
      </c>
      <c r="L17" s="4" t="n">
        <f aca="false">-L6*Assumptions!L18/100</f>
        <v>-77.4722439174164</v>
      </c>
    </row>
    <row r="18" customFormat="false" ht="15" hidden="false" customHeight="false" outlineLevel="0" collapsed="false">
      <c r="A18" s="0" t="s">
        <v>129</v>
      </c>
      <c r="C18" s="4" t="n">
        <f aca="false">(C6-B6)*Assumptions!$B$23/100</f>
        <v>-26.4469799999999</v>
      </c>
      <c r="D18" s="4" t="n">
        <f aca="false">(D6-C6)*Assumptions!$B$23/100</f>
        <v>-13.4879598</v>
      </c>
      <c r="E18" s="4" t="n">
        <f aca="false">(E6-D6)*Assumptions!$B$23/100</f>
        <v>-27.245678796</v>
      </c>
      <c r="F18" s="4" t="n">
        <f aca="false">(F6-E6)*Assumptions!$B$23/100</f>
        <v>-41.6858885578799</v>
      </c>
      <c r="G18" s="4" t="n">
        <f aca="false">(G6-F6)*Assumptions!$B$23/100</f>
        <v>-42.9364652146164</v>
      </c>
      <c r="H18" s="4" t="n">
        <f aca="false">(H6-G6)*Assumptions!$B$23/100</f>
        <v>-44.224559171055</v>
      </c>
      <c r="I18" s="4" t="n">
        <f aca="false">(I6-H6)*Assumptions!$B$23/100</f>
        <v>-45.5512959461867</v>
      </c>
      <c r="J18" s="4" t="n">
        <f aca="false">(J6-I6)*Assumptions!$B$23/100</f>
        <v>-39.0981956871433</v>
      </c>
      <c r="K18" s="4" t="n">
        <f aca="false">(K6-J6)*Assumptions!$B$23/100</f>
        <v>-40.075650579322</v>
      </c>
      <c r="L18" s="4" t="n">
        <f aca="false">(L6-K6)*Assumptions!$B$23/100</f>
        <v>-41.077541843805</v>
      </c>
    </row>
    <row r="19" customFormat="false" ht="15" hidden="false" customHeight="false" outlineLevel="0" collapsed="false">
      <c r="A19" s="0" t="s">
        <v>130</v>
      </c>
      <c r="C19" s="0" t="n">
        <f aca="false">C15+C16+C17+C18</f>
        <v>379.001091588</v>
      </c>
      <c r="D19" s="0" t="n">
        <f aca="false">D15+D16+D17+D18</f>
        <v>390.29299995672</v>
      </c>
      <c r="E19" s="0" t="n">
        <f aca="false">E15+E16+E17+E18</f>
        <v>383.638229422837</v>
      </c>
      <c r="F19" s="0" t="n">
        <f aca="false">F15+F16+F17+F18</f>
        <v>381.953901559668</v>
      </c>
      <c r="G19" s="0" t="n">
        <f aca="false">G15+G16+G17+G18</f>
        <v>393.412518606459</v>
      </c>
      <c r="H19" s="0" t="n">
        <f aca="false">H15+H16+H17+H18</f>
        <v>405.214894164652</v>
      </c>
      <c r="I19" s="0" t="n">
        <f aca="false">I15+I16+I17+I18</f>
        <v>417.371340989592</v>
      </c>
      <c r="J19" s="0" t="n">
        <f aca="false">J15+J16+J17+J18</f>
        <v>435.39750717203</v>
      </c>
      <c r="K19" s="0" t="n">
        <f aca="false">K15+K16+K17+K18</f>
        <v>446.28244485133</v>
      </c>
      <c r="L19" s="0" t="n">
        <f aca="false">L15+L16+L17+L18</f>
        <v>457.439505972613</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349.309761832258</v>
      </c>
      <c r="D21" s="0" t="n">
        <f aca="false">D19*D20</f>
        <v>331.53645221323</v>
      </c>
      <c r="E21" s="0" t="n">
        <f aca="false">E19*E20</f>
        <v>300.353476682765</v>
      </c>
      <c r="F21" s="0" t="n">
        <f aca="false">F19*F20</f>
        <v>275.60811314127</v>
      </c>
      <c r="G21" s="0" t="n">
        <f aca="false">G19*G20</f>
        <v>261.637194963602</v>
      </c>
      <c r="H21" s="0" t="n">
        <f aca="false">H19*H20</f>
        <v>248.37448001153</v>
      </c>
      <c r="I21" s="0" t="n">
        <f aca="false">I19*I20</f>
        <v>235.784068582374</v>
      </c>
      <c r="J21" s="0" t="n">
        <f aca="false">J19*J20</f>
        <v>226.698179596536</v>
      </c>
      <c r="K21" s="0" t="n">
        <f aca="false">K19*K20</f>
        <v>214.161874734055</v>
      </c>
      <c r="L21" s="0" t="n">
        <f aca="false">L19*L20</f>
        <v>202.31882175337</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8.5</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13</v>
      </c>
    </row>
    <row r="30" customFormat="false" ht="15" hidden="false" customHeight="false" outlineLevel="0" collapsed="false">
      <c r="A30" s="0" t="s">
        <v>135</v>
      </c>
      <c r="B30" s="0" t="n">
        <f aca="false">SUM(C21:L21)</f>
        <v>2645.78242351099</v>
      </c>
    </row>
    <row r="31" customFormat="false" ht="15" hidden="false" customHeight="false" outlineLevel="0" collapsed="false">
      <c r="A31" s="0" t="s">
        <v>136</v>
      </c>
      <c r="B31" s="0" t="n">
        <f aca="false">L19</f>
        <v>457.439505972613</v>
      </c>
    </row>
    <row r="32" customFormat="false" ht="15" hidden="false" customHeight="false" outlineLevel="0" collapsed="false">
      <c r="A32" s="0" t="s">
        <v>137</v>
      </c>
      <c r="B32" s="0" t="n">
        <f aca="false">IF(B27&gt;B28,B31*(1+B28/100)/((B27-B28)/100),B31*B29)</f>
        <v>7814.59156036548</v>
      </c>
    </row>
    <row r="33" customFormat="false" ht="15" hidden="false" customHeight="false" outlineLevel="0" collapsed="false">
      <c r="A33" s="0" t="s">
        <v>138</v>
      </c>
      <c r="B33" s="0" t="n">
        <f aca="false">B31*B29</f>
        <v>5946.71357764397</v>
      </c>
    </row>
    <row r="34" customFormat="false" ht="15" hidden="false" customHeight="false" outlineLevel="0" collapsed="false">
      <c r="A34" s="0" t="s">
        <v>139</v>
      </c>
      <c r="B34" s="0" t="n">
        <f aca="false">MAX(0,MIN(B32,B33))</f>
        <v>5946.71357764397</v>
      </c>
    </row>
    <row r="35" customFormat="false" ht="15" hidden="false" customHeight="false" outlineLevel="0" collapsed="false">
      <c r="A35" s="0" t="s">
        <v>140</v>
      </c>
      <c r="B35" s="0" t="n">
        <f aca="false">B34/(1+B27/100)^L4</f>
        <v>2630.14468279381</v>
      </c>
    </row>
    <row r="36" customFormat="false" ht="15" hidden="false" customHeight="false" outlineLevel="0" collapsed="false">
      <c r="A36" s="0" t="s">
        <v>141</v>
      </c>
      <c r="B36" s="0" t="n">
        <f aca="false">B30+B35</f>
        <v>5275.9271063048</v>
      </c>
    </row>
    <row r="37" customFormat="false" ht="15" hidden="false" customHeight="false" outlineLevel="0" collapsed="false">
      <c r="A37" s="0" t="s">
        <v>142</v>
      </c>
      <c r="B37" s="0" t="n">
        <f aca="false">B36+Assumptions!$B$5-Assumptions!$B$4</f>
        <v>3963.9731063048</v>
      </c>
    </row>
    <row r="38" customFormat="false" ht="15" hidden="false" customHeight="false" outlineLevel="0" collapsed="false">
      <c r="A38" s="0" t="s">
        <v>143</v>
      </c>
      <c r="B38" s="0" t="n">
        <f aca="false">B37/Assumptions!$B$3*Assumptions!$B$10</f>
        <v>108.930285966057</v>
      </c>
    </row>
    <row r="39" customFormat="false" ht="15" hidden="false" customHeight="false" outlineLevel="0" collapsed="false">
      <c r="A39" s="0" t="s">
        <v>144</v>
      </c>
      <c r="B39" s="4" t="n">
        <f aca="false">B38/Assumptions!$B$2-1</f>
        <v>-0.322024734137944</v>
      </c>
    </row>
    <row r="41" customFormat="false" ht="15" hidden="false" customHeight="false" outlineLevel="0" collapsed="false">
      <c r="A41" s="0" t="s">
        <v>145</v>
      </c>
      <c r="B41" s="0" t="n">
        <f aca="false">SUMPRODUCT(-C10:L10/(1+$B$27/100)^C4:L4)</f>
        <v>177.156037657568</v>
      </c>
    </row>
    <row r="42" customFormat="false" ht="15" hidden="false" customHeight="false" outlineLevel="0" collapsed="false">
      <c r="A42" s="0" t="s">
        <v>146</v>
      </c>
      <c r="B42" s="0" t="n">
        <f aca="false">IF(B27&gt;B28,-L10*(1+B28/100)/((B27-B28)/100),-L10*20)/(1+B27/100)^L4</f>
        <v>229.053030285166</v>
      </c>
    </row>
    <row r="43" customFormat="false" ht="15" hidden="false" customHeight="false" outlineLevel="0" collapsed="false">
      <c r="A43" s="0" t="s">
        <v>147</v>
      </c>
      <c r="B43" s="0" t="n">
        <f aca="false">(B37+B41+B42)/Assumptions!$B$3*Assumptions!$B$10</f>
        <v>120.092942408561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3751.00394897543</v>
      </c>
    </row>
    <row r="47" customFormat="false" ht="15" hidden="false" customHeight="false" outlineLevel="0" collapsed="false">
      <c r="A47" s="0" t="s">
        <v>149</v>
      </c>
      <c r="B47" s="0" t="n">
        <f aca="false">(SUMPRODUCT(C19:L19/(1+B45/100)^C4:L4)+B46/(1+B45/100)^L4+Assumptions!$B$5-Assumptions!$B$4)/Assumptions!$B$3*Assumptions!$B$10</f>
        <v>44.5315848429231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3</v>
      </c>
      <c r="D5" s="4" t="n">
        <f aca="false">Assumptions!D27</f>
        <v>4.5</v>
      </c>
      <c r="E5" s="4" t="n">
        <f aca="false">Assumptions!E27</f>
        <v>6</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37</v>
      </c>
      <c r="B6" s="3" t="n">
        <v>5289.396</v>
      </c>
      <c r="C6" s="0" t="n">
        <f aca="false">B6*(1+C5/100)</f>
        <v>5448.07788</v>
      </c>
      <c r="D6" s="0" t="n">
        <f aca="false">C6*(1+D5/100)</f>
        <v>5693.2413846</v>
      </c>
      <c r="E6" s="0" t="n">
        <f aca="false">D6*(1+E5/100)</f>
        <v>6034.835867676</v>
      </c>
      <c r="F6" s="0" t="n">
        <f aca="false">E6*(1+F5/100)</f>
        <v>6396.92601973656</v>
      </c>
      <c r="G6" s="0" t="n">
        <f aca="false">F6*(1+G5/100)</f>
        <v>6748.75695082207</v>
      </c>
      <c r="H6" s="0" t="n">
        <f aca="false">G6*(1+H5/100)</f>
        <v>7086.19479836317</v>
      </c>
      <c r="I6" s="0" t="n">
        <f aca="false">H6*(1+I5/100)</f>
        <v>7405.07356428952</v>
      </c>
      <c r="J6" s="0" t="n">
        <f aca="false">I6*(1+J5/100)</f>
        <v>7701.2765068611</v>
      </c>
      <c r="K6" s="0" t="n">
        <f aca="false">J6*(1+K5/100)</f>
        <v>7970.82118460124</v>
      </c>
      <c r="L6" s="0" t="n">
        <f aca="false">K6*(1+L5/100)</f>
        <v>8209.94582013927</v>
      </c>
    </row>
    <row r="7" customFormat="false" ht="15" hidden="false" customHeight="false" outlineLevel="0" collapsed="false">
      <c r="A7" s="0" t="s">
        <v>106</v>
      </c>
      <c r="C7" s="4" t="n">
        <f aca="false">Assumptions!C28</f>
        <v>12.1</v>
      </c>
      <c r="D7" s="4" t="n">
        <f aca="false">Assumptions!D28</f>
        <v>12.3</v>
      </c>
      <c r="E7" s="4" t="n">
        <f aca="false">Assumptions!E28</f>
        <v>12.6</v>
      </c>
      <c r="F7" s="4" t="n">
        <f aca="false">Assumptions!F28</f>
        <v>12.9</v>
      </c>
      <c r="G7" s="4" t="n">
        <f aca="false">Assumptions!G28</f>
        <v>13</v>
      </c>
      <c r="H7" s="4" t="n">
        <f aca="false">Assumptions!H28</f>
        <v>13</v>
      </c>
      <c r="I7" s="4" t="n">
        <f aca="false">Assumptions!I28</f>
        <v>13</v>
      </c>
      <c r="J7" s="4" t="n">
        <f aca="false">Assumptions!J28</f>
        <v>13</v>
      </c>
      <c r="K7" s="4" t="n">
        <f aca="false">Assumptions!K28</f>
        <v>13</v>
      </c>
      <c r="L7" s="4" t="n">
        <f aca="false">Assumptions!L28</f>
        <v>13</v>
      </c>
    </row>
    <row r="8" customFormat="false" ht="15" hidden="false" customHeight="false" outlineLevel="0" collapsed="false">
      <c r="A8" s="0" t="s">
        <v>43</v>
      </c>
      <c r="C8" s="0" t="n">
        <f aca="false">C6*C7/100</f>
        <v>659.21742348</v>
      </c>
      <c r="D8" s="0" t="n">
        <f aca="false">D6*D7/100</f>
        <v>700.2686903058</v>
      </c>
      <c r="E8" s="0" t="n">
        <f aca="false">E6*E7/100</f>
        <v>760.389319327176</v>
      </c>
      <c r="F8" s="0" t="n">
        <f aca="false">F6*F7/100</f>
        <v>825.203456546016</v>
      </c>
      <c r="G8" s="0" t="n">
        <f aca="false">G6*G7/100</f>
        <v>877.338403606869</v>
      </c>
      <c r="H8" s="0" t="n">
        <f aca="false">H6*H7/100</f>
        <v>921.205323787213</v>
      </c>
      <c r="I8" s="0" t="n">
        <f aca="false">I6*I7/100</f>
        <v>962.659563357637</v>
      </c>
      <c r="J8" s="0" t="n">
        <f aca="false">J6*J7/100</f>
        <v>1001.16594589194</v>
      </c>
      <c r="K8" s="0" t="n">
        <f aca="false">K6*K7/100</f>
        <v>1036.20675399816</v>
      </c>
      <c r="L8" s="0" t="n">
        <f aca="false">L6*L7/100</f>
        <v>1067.29295661811</v>
      </c>
    </row>
    <row r="9" customFormat="false" ht="15" hidden="false" customHeight="false" outlineLevel="0" collapsed="false">
      <c r="A9" s="0" t="s">
        <v>107</v>
      </c>
      <c r="C9" s="4" t="n">
        <f aca="false">Assumptions!C29</f>
        <v>0.48</v>
      </c>
      <c r="D9" s="4" t="n">
        <f aca="false">Assumptions!D29</f>
        <v>0.47</v>
      </c>
      <c r="E9" s="4" t="n">
        <f aca="false">Assumptions!E29</f>
        <v>0.46</v>
      </c>
      <c r="F9" s="4" t="n">
        <f aca="false">Assumptions!F29</f>
        <v>0.45</v>
      </c>
      <c r="G9" s="4" t="n">
        <f aca="false">Assumptions!G29</f>
        <v>0.45</v>
      </c>
      <c r="H9" s="4" t="n">
        <f aca="false">Assumptions!H29</f>
        <v>0.45</v>
      </c>
      <c r="I9" s="4" t="n">
        <f aca="false">Assumptions!I29</f>
        <v>0.45</v>
      </c>
      <c r="J9" s="4" t="n">
        <f aca="false">Assumptions!J29</f>
        <v>0.45</v>
      </c>
      <c r="K9" s="4" t="n">
        <f aca="false">Assumptions!K29</f>
        <v>0.45</v>
      </c>
      <c r="L9" s="4" t="n">
        <f aca="false">Assumptions!L29</f>
        <v>0.45</v>
      </c>
    </row>
    <row r="10" customFormat="false" ht="15" hidden="false" customHeight="false" outlineLevel="0" collapsed="false">
      <c r="A10" s="0" t="s">
        <v>122</v>
      </c>
      <c r="C10" s="0" t="n">
        <f aca="false">-C6*C9/100</f>
        <v>-26.150773824</v>
      </c>
      <c r="D10" s="0" t="n">
        <f aca="false">-D6*D9/100</f>
        <v>-26.75823450762</v>
      </c>
      <c r="E10" s="0" t="n">
        <f aca="false">-E6*E9/100</f>
        <v>-27.7602449913096</v>
      </c>
      <c r="F10" s="0" t="n">
        <f aca="false">-F6*F9/100</f>
        <v>-28.7861670888145</v>
      </c>
      <c r="G10" s="0" t="n">
        <f aca="false">-G6*G9/100</f>
        <v>-30.3694062786993</v>
      </c>
      <c r="H10" s="0" t="n">
        <f aca="false">-H6*H9/100</f>
        <v>-31.8878765926343</v>
      </c>
      <c r="I10" s="0" t="n">
        <f aca="false">-I6*I9/100</f>
        <v>-33.3228310393028</v>
      </c>
      <c r="J10" s="0" t="n">
        <f aca="false">-J6*J9/100</f>
        <v>-34.6557442808749</v>
      </c>
      <c r="K10" s="0" t="n">
        <f aca="false">-K6*K9/100</f>
        <v>-35.8686953307056</v>
      </c>
      <c r="L10" s="0" t="n">
        <f aca="false">-L6*L9/100</f>
        <v>-36.9447561906267</v>
      </c>
    </row>
    <row r="11" customFormat="false" ht="15" hidden="false" customHeight="false" outlineLevel="0" collapsed="false">
      <c r="A11" s="0" t="s">
        <v>123</v>
      </c>
      <c r="C11" s="0" t="n">
        <f aca="false">C8+C10+C24</f>
        <v>633.066649656</v>
      </c>
      <c r="D11" s="0" t="n">
        <f aca="false">D8+D10+D24</f>
        <v>673.51045579818</v>
      </c>
      <c r="E11" s="0" t="n">
        <f aca="false">E8+E10+E24</f>
        <v>732.629074335866</v>
      </c>
      <c r="F11" s="0" t="n">
        <f aca="false">F8+F10+F24</f>
        <v>796.417289457202</v>
      </c>
      <c r="G11" s="0" t="n">
        <f aca="false">G8+G10+G24</f>
        <v>846.96899732817</v>
      </c>
      <c r="H11" s="0" t="n">
        <f aca="false">H8+H10+H24</f>
        <v>889.317447194578</v>
      </c>
      <c r="I11" s="0" t="n">
        <f aca="false">I8+I10+I24</f>
        <v>929.336732318334</v>
      </c>
      <c r="J11" s="0" t="n">
        <f aca="false">J8+J10+J24</f>
        <v>966.510201611068</v>
      </c>
      <c r="K11" s="0" t="n">
        <f aca="false">K8+K10+K24</f>
        <v>1000.33805866745</v>
      </c>
      <c r="L11" s="0" t="n">
        <f aca="false">L8+L10+L24</f>
        <v>1030.34820042748</v>
      </c>
    </row>
    <row r="12" customFormat="false" ht="15" hidden="false" customHeight="false" outlineLevel="0" collapsed="false">
      <c r="A12" s="0" t="s">
        <v>124</v>
      </c>
      <c r="C12" s="4" t="n">
        <f aca="false">-C6*Assumptions!C31/100</f>
        <v>-54.4807788</v>
      </c>
      <c r="D12" s="4" t="n">
        <f aca="false">-D6*Assumptions!D31/100</f>
        <v>-59.7790345383</v>
      </c>
      <c r="E12" s="4" t="n">
        <f aca="false">-E6*Assumptions!E31/100</f>
        <v>-63.365776610598</v>
      </c>
      <c r="F12" s="4" t="n">
        <f aca="false">-F6*Assumptions!F31/100</f>
        <v>-67.1677232072339</v>
      </c>
      <c r="G12" s="4" t="n">
        <f aca="false">-G6*Assumptions!G31/100</f>
        <v>-70.8619479836317</v>
      </c>
      <c r="H12" s="4" t="n">
        <f aca="false">-H6*Assumptions!H31/100</f>
        <v>-74.4050453828133</v>
      </c>
      <c r="I12" s="4" t="n">
        <f aca="false">-I6*Assumptions!I31/100</f>
        <v>-77.7532724250399</v>
      </c>
      <c r="J12" s="4" t="n">
        <f aca="false">-J6*Assumptions!J31/100</f>
        <v>-80.8634033220415</v>
      </c>
      <c r="K12" s="4" t="n">
        <f aca="false">-K6*Assumptions!K31/100</f>
        <v>-83.693622438313</v>
      </c>
      <c r="L12" s="4" t="n">
        <f aca="false">-L6*Assumptions!L31/100</f>
        <v>-86.2044311114624</v>
      </c>
    </row>
    <row r="13" customFormat="false" ht="15" hidden="false" customHeight="false" outlineLevel="0" collapsed="false">
      <c r="A13" s="0" t="s">
        <v>125</v>
      </c>
      <c r="C13" s="0" t="n">
        <f aca="false">C11+C12</f>
        <v>578.585870856</v>
      </c>
      <c r="D13" s="0" t="n">
        <f aca="false">D11+D12</f>
        <v>613.73142125988</v>
      </c>
      <c r="E13" s="0" t="n">
        <f aca="false">E11+E12</f>
        <v>669.263297725268</v>
      </c>
      <c r="F13" s="0" t="n">
        <f aca="false">F11+F12</f>
        <v>729.249566249968</v>
      </c>
      <c r="G13" s="0" t="n">
        <f aca="false">G11+G12</f>
        <v>776.107049344538</v>
      </c>
      <c r="H13" s="0" t="n">
        <f aca="false">H11+H12</f>
        <v>814.912401811765</v>
      </c>
      <c r="I13" s="0" t="n">
        <f aca="false">I11+I12</f>
        <v>851.583459893294</v>
      </c>
      <c r="J13" s="0" t="n">
        <f aca="false">J11+J12</f>
        <v>885.646798289026</v>
      </c>
      <c r="K13" s="0" t="n">
        <f aca="false">K11+K12</f>
        <v>916.644436229142</v>
      </c>
      <c r="L13" s="0" t="n">
        <f aca="false">L11+L12</f>
        <v>944.143769316016</v>
      </c>
    </row>
    <row r="14" customFormat="false" ht="15" hidden="false" customHeight="false" outlineLevel="0" collapsed="false">
      <c r="A14" s="0" t="s">
        <v>111</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126</v>
      </c>
      <c r="C15" s="0" t="n">
        <f aca="false">C13-MAX(0,C13)*C14/100</f>
        <v>433.939403142</v>
      </c>
      <c r="D15" s="0" t="n">
        <f aca="false">D13-MAX(0,D13)*D14/100</f>
        <v>460.29856594491</v>
      </c>
      <c r="E15" s="0" t="n">
        <f aca="false">E13-MAX(0,E13)*E14/100</f>
        <v>501.947473293951</v>
      </c>
      <c r="F15" s="0" t="n">
        <f aca="false">F13-MAX(0,F13)*F14/100</f>
        <v>546.937174687476</v>
      </c>
      <c r="G15" s="0" t="n">
        <f aca="false">G13-MAX(0,G13)*G14/100</f>
        <v>582.080287008404</v>
      </c>
      <c r="H15" s="0" t="n">
        <f aca="false">H13-MAX(0,H13)*H14/100</f>
        <v>611.184301358824</v>
      </c>
      <c r="I15" s="0" t="n">
        <f aca="false">I13-MAX(0,I13)*I14/100</f>
        <v>638.687594919971</v>
      </c>
      <c r="J15" s="0" t="n">
        <f aca="false">J13-MAX(0,J13)*J14/100</f>
        <v>664.23509871677</v>
      </c>
      <c r="K15" s="0" t="n">
        <f aca="false">K13-MAX(0,K13)*K14/100</f>
        <v>687.483327171856</v>
      </c>
      <c r="L15" s="0" t="n">
        <f aca="false">L13-MAX(0,L13)*L14/100</f>
        <v>708.107826987012</v>
      </c>
    </row>
    <row r="16" customFormat="false" ht="15" hidden="false" customHeight="false" outlineLevel="0" collapsed="false">
      <c r="A16" s="0" t="s">
        <v>127</v>
      </c>
      <c r="C16" s="0" t="n">
        <f aca="false">-C12</f>
        <v>54.4807788</v>
      </c>
      <c r="D16" s="0" t="n">
        <f aca="false">-D12</f>
        <v>59.7790345383</v>
      </c>
      <c r="E16" s="0" t="n">
        <f aca="false">-E12</f>
        <v>63.365776610598</v>
      </c>
      <c r="F16" s="0" t="n">
        <f aca="false">-F12</f>
        <v>67.1677232072339</v>
      </c>
      <c r="G16" s="0" t="n">
        <f aca="false">-G12</f>
        <v>70.8619479836317</v>
      </c>
      <c r="H16" s="0" t="n">
        <f aca="false">-H12</f>
        <v>74.4050453828133</v>
      </c>
      <c r="I16" s="0" t="n">
        <f aca="false">-I12</f>
        <v>77.7532724250399</v>
      </c>
      <c r="J16" s="0" t="n">
        <f aca="false">-J12</f>
        <v>80.8634033220415</v>
      </c>
      <c r="K16" s="0" t="n">
        <f aca="false">-K12</f>
        <v>83.693622438313</v>
      </c>
      <c r="L16" s="0" t="n">
        <f aca="false">-L12</f>
        <v>86.2044311114624</v>
      </c>
    </row>
    <row r="17" customFormat="false" ht="15" hidden="false" customHeight="false" outlineLevel="0" collapsed="false">
      <c r="A17" s="0" t="s">
        <v>128</v>
      </c>
      <c r="C17" s="4" t="n">
        <f aca="false">-C6*Assumptions!C32/100</f>
        <v>-70.82501244</v>
      </c>
      <c r="D17" s="4" t="n">
        <f aca="false">-D6*Assumptions!D32/100</f>
        <v>-68.3188966152</v>
      </c>
      <c r="E17" s="4" t="n">
        <f aca="false">-E6*Assumptions!E32/100</f>
        <v>-69.400612478274</v>
      </c>
      <c r="F17" s="4" t="n">
        <f aca="false">-F6*Assumptions!F32/100</f>
        <v>-73.5646492269704</v>
      </c>
      <c r="G17" s="4" t="n">
        <f aca="false">-G6*Assumptions!G32/100</f>
        <v>-77.6107049344538</v>
      </c>
      <c r="H17" s="4" t="n">
        <f aca="false">-H6*Assumptions!H32/100</f>
        <v>-81.4912401811765</v>
      </c>
      <c r="I17" s="4" t="n">
        <f aca="false">-I6*Assumptions!I32/100</f>
        <v>-85.1583459893294</v>
      </c>
      <c r="J17" s="4" t="n">
        <f aca="false">-J6*Assumptions!J32/100</f>
        <v>-88.5646798289026</v>
      </c>
      <c r="K17" s="4" t="n">
        <f aca="false">-K6*Assumptions!K32/100</f>
        <v>-91.6644436229142</v>
      </c>
      <c r="L17" s="4" t="n">
        <f aca="false">-L6*Assumptions!L32/100</f>
        <v>-94.4143769316016</v>
      </c>
    </row>
    <row r="18" customFormat="false" ht="15" hidden="false" customHeight="false" outlineLevel="0" collapsed="false">
      <c r="A18" s="0" t="s">
        <v>129</v>
      </c>
      <c r="C18" s="4" t="n">
        <f aca="false">(C6-B6)*Assumptions!$B$37/100</f>
        <v>-39.67047</v>
      </c>
      <c r="D18" s="4" t="n">
        <f aca="false">(D6-C6)*Assumptions!$B$37/100</f>
        <v>-61.2908761499998</v>
      </c>
      <c r="E18" s="4" t="n">
        <f aca="false">(E6-D6)*Assumptions!$B$37/100</f>
        <v>-85.398620769</v>
      </c>
      <c r="F18" s="4" t="n">
        <f aca="false">(F6-E6)*Assumptions!$B$37/100</f>
        <v>-90.5225380151401</v>
      </c>
      <c r="G18" s="4" t="n">
        <f aca="false">(G6-F6)*Assumptions!$B$37/100</f>
        <v>-87.9577327713776</v>
      </c>
      <c r="H18" s="4" t="n">
        <f aca="false">(H6-G6)*Assumptions!$B$37/100</f>
        <v>-84.359461885276</v>
      </c>
      <c r="I18" s="4" t="n">
        <f aca="false">(I6-H6)*Assumptions!$B$37/100</f>
        <v>-79.7196914815856</v>
      </c>
      <c r="J18" s="4" t="n">
        <f aca="false">(J6-I6)*Assumptions!$B$37/100</f>
        <v>-74.0507356428952</v>
      </c>
      <c r="K18" s="4" t="n">
        <f aca="false">(K6-J6)*Assumptions!$B$37/100</f>
        <v>-67.3861694350344</v>
      </c>
      <c r="L18" s="4" t="n">
        <f aca="false">(L6-K6)*Assumptions!$B$37/100</f>
        <v>-59.7811588845093</v>
      </c>
    </row>
    <row r="19" customFormat="false" ht="15" hidden="false" customHeight="false" outlineLevel="0" collapsed="false">
      <c r="A19" s="0" t="s">
        <v>130</v>
      </c>
      <c r="C19" s="0" t="n">
        <f aca="false">C15+C16+C17+C18</f>
        <v>377.924699502</v>
      </c>
      <c r="D19" s="0" t="n">
        <f aca="false">D15+D16+D17+D18</f>
        <v>390.46782771801</v>
      </c>
      <c r="E19" s="0" t="n">
        <f aca="false">E15+E16+E17+E18</f>
        <v>410.514016657275</v>
      </c>
      <c r="F19" s="0" t="n">
        <f aca="false">F15+F16+F17+F18</f>
        <v>450.017710652599</v>
      </c>
      <c r="G19" s="0" t="n">
        <f aca="false">G15+G16+G17+G18</f>
        <v>487.373797286204</v>
      </c>
      <c r="H19" s="0" t="n">
        <f aca="false">H15+H16+H17+H18</f>
        <v>519.738644675185</v>
      </c>
      <c r="I19" s="0" t="n">
        <f aca="false">I15+I16+I17+I18</f>
        <v>551.562829874096</v>
      </c>
      <c r="J19" s="0" t="n">
        <f aca="false">J15+J16+J17+J18</f>
        <v>582.483086567013</v>
      </c>
      <c r="K19" s="0" t="n">
        <f aca="false">K15+K16+K17+K18</f>
        <v>612.126336552221</v>
      </c>
      <c r="L19" s="0" t="n">
        <f aca="false">L15+L16+L17+L18</f>
        <v>640.116722282364</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348.317695393548</v>
      </c>
      <c r="D21" s="0" t="n">
        <f aca="false">D19*D20</f>
        <v>331.684960579337</v>
      </c>
      <c r="E21" s="0" t="n">
        <f aca="false">E19*E20</f>
        <v>321.394748160308</v>
      </c>
      <c r="F21" s="0" t="n">
        <f aca="false">F19*F20</f>
        <v>324.721207472052</v>
      </c>
      <c r="G21" s="0" t="n">
        <f aca="false">G19*G20</f>
        <v>324.125713315896</v>
      </c>
      <c r="H21" s="0" t="n">
        <f aca="false">H19*H20</f>
        <v>318.571250642734</v>
      </c>
      <c r="I21" s="0" t="n">
        <f aca="false">I19*I20</f>
        <v>311.592376702657</v>
      </c>
      <c r="J21" s="0" t="n">
        <f aca="false">J19*J20</f>
        <v>303.281146987229</v>
      </c>
      <c r="K21" s="0" t="n">
        <f aca="false">K19*K20</f>
        <v>293.746987636459</v>
      </c>
      <c r="L21" s="0" t="n">
        <f aca="false">L19*L20</f>
        <v>283.114290186712</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8.5</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15</v>
      </c>
    </row>
    <row r="30" customFormat="false" ht="15" hidden="false" customHeight="false" outlineLevel="0" collapsed="false">
      <c r="A30" s="0" t="s">
        <v>135</v>
      </c>
      <c r="B30" s="0" t="n">
        <f aca="false">SUM(C21:L21)</f>
        <v>3160.55037707693</v>
      </c>
    </row>
    <row r="31" customFormat="false" ht="15" hidden="false" customHeight="false" outlineLevel="0" collapsed="false">
      <c r="A31" s="0" t="s">
        <v>136</v>
      </c>
      <c r="B31" s="0" t="n">
        <f aca="false">L19</f>
        <v>640.116722282364</v>
      </c>
    </row>
    <row r="32" customFormat="false" ht="15" hidden="false" customHeight="false" outlineLevel="0" collapsed="false">
      <c r="A32" s="0" t="s">
        <v>137</v>
      </c>
      <c r="B32" s="0" t="n">
        <f aca="false">IF(B27&gt;B28,B31*(1+B28/100)/((B27-B28)/100),B31*B29)</f>
        <v>11987.6404354697</v>
      </c>
    </row>
    <row r="33" customFormat="false" ht="15" hidden="false" customHeight="false" outlineLevel="0" collapsed="false">
      <c r="A33" s="0" t="s">
        <v>138</v>
      </c>
      <c r="B33" s="0" t="n">
        <f aca="false">B31*B29</f>
        <v>9601.75083423545</v>
      </c>
    </row>
    <row r="34" customFormat="false" ht="15" hidden="false" customHeight="false" outlineLevel="0" collapsed="false">
      <c r="A34" s="0" t="s">
        <v>139</v>
      </c>
      <c r="B34" s="0" t="n">
        <f aca="false">MAX(0,MIN(B32,B33))</f>
        <v>9601.75083423545</v>
      </c>
    </row>
    <row r="35" customFormat="false" ht="15" hidden="false" customHeight="false" outlineLevel="0" collapsed="false">
      <c r="A35" s="0" t="s">
        <v>140</v>
      </c>
      <c r="B35" s="0" t="n">
        <f aca="false">B34/(1+B27/100)^L4</f>
        <v>4246.71435280068</v>
      </c>
    </row>
    <row r="36" customFormat="false" ht="15" hidden="false" customHeight="false" outlineLevel="0" collapsed="false">
      <c r="A36" s="0" t="s">
        <v>141</v>
      </c>
      <c r="B36" s="0" t="n">
        <f aca="false">B30+B35</f>
        <v>7407.26472987762</v>
      </c>
    </row>
    <row r="37" customFormat="false" ht="15" hidden="false" customHeight="false" outlineLevel="0" collapsed="false">
      <c r="A37" s="0" t="s">
        <v>142</v>
      </c>
      <c r="B37" s="0" t="n">
        <f aca="false">B36+Assumptions!$B$5-Assumptions!$B$4</f>
        <v>6095.31072987762</v>
      </c>
    </row>
    <row r="38" customFormat="false" ht="15" hidden="false" customHeight="false" outlineLevel="0" collapsed="false">
      <c r="A38" s="0" t="s">
        <v>143</v>
      </c>
      <c r="B38" s="0" t="n">
        <f aca="false">B37/Assumptions!$B$3*Assumptions!$B$10</f>
        <v>167.499607855939</v>
      </c>
    </row>
    <row r="39" customFormat="false" ht="15" hidden="false" customHeight="false" outlineLevel="0" collapsed="false">
      <c r="A39" s="0" t="s">
        <v>144</v>
      </c>
      <c r="B39" s="4" t="n">
        <f aca="false">B38/Assumptions!$B$2-1</f>
        <v>0.042507050824292</v>
      </c>
    </row>
    <row r="41" customFormat="false" ht="15" hidden="false" customHeight="false" outlineLevel="0" collapsed="false">
      <c r="A41" s="0" t="s">
        <v>145</v>
      </c>
      <c r="B41" s="0" t="n">
        <f aca="false">SUMPRODUCT(-C10:L10/(1+$B$27/100)^C4:L4)</f>
        <v>199.50156731648</v>
      </c>
    </row>
    <row r="42" customFormat="false" ht="15" hidden="false" customHeight="false" outlineLevel="0" collapsed="false">
      <c r="A42" s="0" t="s">
        <v>146</v>
      </c>
      <c r="B42" s="0" t="n">
        <f aca="false">IF(B27&gt;B28,-L10*(1+B28/100)/((B27-B28)/100),-L10*20)/(1+B27/100)^L4</f>
        <v>306.0060114539</v>
      </c>
    </row>
    <row r="43" customFormat="false" ht="15" hidden="false" customHeight="false" outlineLevel="0" collapsed="false">
      <c r="A43" s="0" t="s">
        <v>147</v>
      </c>
      <c r="B43" s="0" t="n">
        <f aca="false">(B37+B41+B42)/Assumptions!$B$3*Assumptions!$B$10</f>
        <v>181.390995016433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5494.33519959029</v>
      </c>
    </row>
    <row r="47" customFormat="false" ht="15" hidden="false" customHeight="false" outlineLevel="0" collapsed="false">
      <c r="A47" s="0" t="s">
        <v>149</v>
      </c>
      <c r="B47" s="0" t="n">
        <f aca="false">(SUMPRODUCT(C19:L19/(1+B45/100)^C4:L4)+B46/(1+B45/100)^L4+Assumptions!$B$5-Assumptions!$B$4)/Assumptions!$B$3*Assumptions!$B$10</f>
        <v>65.7946631860837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3.5</v>
      </c>
      <c r="D5" s="4" t="n">
        <f aca="false">Assumptions!D41</f>
        <v>7</v>
      </c>
      <c r="E5" s="4" t="n">
        <f aca="false">Assumptions!E41</f>
        <v>9</v>
      </c>
      <c r="F5" s="4" t="n">
        <f aca="false">Assumptions!F41</f>
        <v>8</v>
      </c>
      <c r="G5" s="4" t="n">
        <f aca="false">Assumptions!G41</f>
        <v>7</v>
      </c>
      <c r="H5" s="4" t="n">
        <f aca="false">Assumptions!H41</f>
        <v>6</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5289.396</v>
      </c>
      <c r="C6" s="0" t="n">
        <f aca="false">B6*(1+C5/100)</f>
        <v>5474.52486</v>
      </c>
      <c r="D6" s="0" t="n">
        <f aca="false">C6*(1+D5/100)</f>
        <v>5857.7416002</v>
      </c>
      <c r="E6" s="0" t="n">
        <f aca="false">D6*(1+E5/100)</f>
        <v>6384.938344218</v>
      </c>
      <c r="F6" s="0" t="n">
        <f aca="false">E6*(1+F5/100)</f>
        <v>6895.73341175544</v>
      </c>
      <c r="G6" s="0" t="n">
        <f aca="false">F6*(1+G5/100)</f>
        <v>7378.43475057832</v>
      </c>
      <c r="H6" s="0" t="n">
        <f aca="false">G6*(1+H5/100)</f>
        <v>7821.14083561302</v>
      </c>
      <c r="I6" s="0" t="n">
        <f aca="false">H6*(1+I5/100)</f>
        <v>8212.19787739367</v>
      </c>
      <c r="J6" s="0" t="n">
        <f aca="false">I6*(1+J5/100)</f>
        <v>8581.74678187639</v>
      </c>
      <c r="K6" s="0" t="n">
        <f aca="false">J6*(1+K5/100)</f>
        <v>8925.01665315144</v>
      </c>
      <c r="L6" s="0" t="n">
        <f aca="false">K6*(1+L5/100)</f>
        <v>9237.39223601175</v>
      </c>
    </row>
    <row r="7" customFormat="false" ht="15" hidden="false" customHeight="false" outlineLevel="0" collapsed="false">
      <c r="A7" s="0" t="s">
        <v>106</v>
      </c>
      <c r="C7" s="4" t="n">
        <f aca="false">Assumptions!C42</f>
        <v>12.2</v>
      </c>
      <c r="D7" s="4" t="n">
        <f aca="false">Assumptions!D42</f>
        <v>12.8</v>
      </c>
      <c r="E7" s="4" t="n">
        <f aca="false">Assumptions!E42</f>
        <v>13.5</v>
      </c>
      <c r="F7" s="4" t="n">
        <f aca="false">Assumptions!F42</f>
        <v>14</v>
      </c>
      <c r="G7" s="4" t="n">
        <f aca="false">Assumptions!G42</f>
        <v>14.5</v>
      </c>
      <c r="H7" s="4" t="n">
        <f aca="false">Assumptions!H42</f>
        <v>14.5</v>
      </c>
      <c r="I7" s="4" t="n">
        <f aca="false">Assumptions!I42</f>
        <v>14.5</v>
      </c>
      <c r="J7" s="4" t="n">
        <f aca="false">Assumptions!J42</f>
        <v>14.5</v>
      </c>
      <c r="K7" s="4" t="n">
        <f aca="false">Assumptions!K42</f>
        <v>14.5</v>
      </c>
      <c r="L7" s="4" t="n">
        <f aca="false">Assumptions!L42</f>
        <v>14.5</v>
      </c>
    </row>
    <row r="8" customFormat="false" ht="15" hidden="false" customHeight="false" outlineLevel="0" collapsed="false">
      <c r="A8" s="0" t="s">
        <v>43</v>
      </c>
      <c r="C8" s="0" t="n">
        <f aca="false">C6*C7/100</f>
        <v>667.89203292</v>
      </c>
      <c r="D8" s="0" t="n">
        <f aca="false">D6*D7/100</f>
        <v>749.7909248256</v>
      </c>
      <c r="E8" s="0" t="n">
        <f aca="false">E6*E7/100</f>
        <v>861.96667646943</v>
      </c>
      <c r="F8" s="0" t="n">
        <f aca="false">F6*F7/100</f>
        <v>965.402677645762</v>
      </c>
      <c r="G8" s="0" t="n">
        <f aca="false">G6*G7/100</f>
        <v>1069.87303883386</v>
      </c>
      <c r="H8" s="0" t="n">
        <f aca="false">H6*H7/100</f>
        <v>1134.06542116389</v>
      </c>
      <c r="I8" s="0" t="n">
        <f aca="false">I6*I7/100</f>
        <v>1190.76869222208</v>
      </c>
      <c r="J8" s="0" t="n">
        <f aca="false">J6*J7/100</f>
        <v>1244.35328337208</v>
      </c>
      <c r="K8" s="0" t="n">
        <f aca="false">K6*K7/100</f>
        <v>1294.12741470696</v>
      </c>
      <c r="L8" s="0" t="n">
        <f aca="false">L6*L7/100</f>
        <v>1339.4218742217</v>
      </c>
    </row>
    <row r="9" customFormat="false" ht="15" hidden="false" customHeight="false" outlineLevel="0" collapsed="false">
      <c r="A9" s="0" t="s">
        <v>107</v>
      </c>
      <c r="C9" s="4" t="n">
        <f aca="false">Assumptions!C43</f>
        <v>0.48</v>
      </c>
      <c r="D9" s="4" t="n">
        <f aca="false">Assumptions!D43</f>
        <v>0.47</v>
      </c>
      <c r="E9" s="4" t="n">
        <f aca="false">Assumptions!E43</f>
        <v>0.46</v>
      </c>
      <c r="F9" s="4" t="n">
        <f aca="false">Assumptions!F43</f>
        <v>0.45</v>
      </c>
      <c r="G9" s="4" t="n">
        <f aca="false">Assumptions!G43</f>
        <v>0.45</v>
      </c>
      <c r="H9" s="4" t="n">
        <f aca="false">Assumptions!H43</f>
        <v>0.45</v>
      </c>
      <c r="I9" s="4" t="n">
        <f aca="false">Assumptions!I43</f>
        <v>0.45</v>
      </c>
      <c r="J9" s="4" t="n">
        <f aca="false">Assumptions!J43</f>
        <v>0.45</v>
      </c>
      <c r="K9" s="4" t="n">
        <f aca="false">Assumptions!K43</f>
        <v>0.45</v>
      </c>
      <c r="L9" s="4" t="n">
        <f aca="false">Assumptions!L43</f>
        <v>0.45</v>
      </c>
    </row>
    <row r="10" customFormat="false" ht="15" hidden="false" customHeight="false" outlineLevel="0" collapsed="false">
      <c r="A10" s="0" t="s">
        <v>122</v>
      </c>
      <c r="C10" s="0" t="n">
        <f aca="false">-C6*C9/100</f>
        <v>-26.277719328</v>
      </c>
      <c r="D10" s="0" t="n">
        <f aca="false">-D6*D9/100</f>
        <v>-27.53138552094</v>
      </c>
      <c r="E10" s="0" t="n">
        <f aca="false">-E6*E9/100</f>
        <v>-29.3707163834028</v>
      </c>
      <c r="F10" s="0" t="n">
        <f aca="false">-F6*F9/100</f>
        <v>-31.0308003528995</v>
      </c>
      <c r="G10" s="0" t="n">
        <f aca="false">-G6*G9/100</f>
        <v>-33.2029563776025</v>
      </c>
      <c r="H10" s="0" t="n">
        <f aca="false">-H6*H9/100</f>
        <v>-35.1951337602586</v>
      </c>
      <c r="I10" s="0" t="n">
        <f aca="false">-I6*I9/100</f>
        <v>-36.9548904482715</v>
      </c>
      <c r="J10" s="0" t="n">
        <f aca="false">-J6*J9/100</f>
        <v>-38.6178605184438</v>
      </c>
      <c r="K10" s="0" t="n">
        <f aca="false">-K6*K9/100</f>
        <v>-40.1625749391815</v>
      </c>
      <c r="L10" s="0" t="n">
        <f aca="false">-L6*L9/100</f>
        <v>-41.5682650620529</v>
      </c>
    </row>
    <row r="11" customFormat="false" ht="15" hidden="false" customHeight="false" outlineLevel="0" collapsed="false">
      <c r="A11" s="0" t="s">
        <v>123</v>
      </c>
      <c r="C11" s="0" t="n">
        <f aca="false">C8+C10+C24</f>
        <v>641.614313592</v>
      </c>
      <c r="D11" s="0" t="n">
        <f aca="false">D8+D10+D24</f>
        <v>722.25953930466</v>
      </c>
      <c r="E11" s="0" t="n">
        <f aca="false">E8+E10+E24</f>
        <v>832.595960086027</v>
      </c>
      <c r="F11" s="0" t="n">
        <f aca="false">F8+F10+F24</f>
        <v>934.371877292862</v>
      </c>
      <c r="G11" s="0" t="n">
        <f aca="false">G8+G10+G24</f>
        <v>1036.67008245625</v>
      </c>
      <c r="H11" s="0" t="n">
        <f aca="false">H8+H10+H24</f>
        <v>1098.87028740363</v>
      </c>
      <c r="I11" s="0" t="n">
        <f aca="false">I8+I10+I24</f>
        <v>1153.81380177381</v>
      </c>
      <c r="J11" s="0" t="n">
        <f aca="false">J8+J10+J24</f>
        <v>1205.73542285363</v>
      </c>
      <c r="K11" s="0" t="n">
        <f aca="false">K8+K10+K24</f>
        <v>1253.96483976778</v>
      </c>
      <c r="L11" s="0" t="n">
        <f aca="false">L8+L10+L24</f>
        <v>1297.85360915965</v>
      </c>
    </row>
    <row r="12" customFormat="false" ht="15" hidden="false" customHeight="false" outlineLevel="0" collapsed="false">
      <c r="A12" s="0" t="s">
        <v>124</v>
      </c>
      <c r="C12" s="4" t="n">
        <f aca="false">-C6*Assumptions!C45/100</f>
        <v>-54.7452486</v>
      </c>
      <c r="D12" s="4" t="n">
        <f aca="false">-D6*Assumptions!D45/100</f>
        <v>-61.5062868021</v>
      </c>
      <c r="E12" s="4" t="n">
        <f aca="false">-E6*Assumptions!E45/100</f>
        <v>-67.041852614289</v>
      </c>
      <c r="F12" s="4" t="n">
        <f aca="false">-F6*Assumptions!F45/100</f>
        <v>-72.4052008234321</v>
      </c>
      <c r="G12" s="4" t="n">
        <f aca="false">-G6*Assumptions!G45/100</f>
        <v>-77.4735648810724</v>
      </c>
      <c r="H12" s="4" t="n">
        <f aca="false">-H6*Assumptions!H45/100</f>
        <v>-82.1219787739367</v>
      </c>
      <c r="I12" s="4" t="n">
        <f aca="false">-I6*Assumptions!I45/100</f>
        <v>-86.2280777126336</v>
      </c>
      <c r="J12" s="4" t="n">
        <f aca="false">-J6*Assumptions!J45/100</f>
        <v>-90.1083412097021</v>
      </c>
      <c r="K12" s="4" t="n">
        <f aca="false">-K6*Assumptions!K45/100</f>
        <v>-93.7126748580902</v>
      </c>
      <c r="L12" s="4" t="n">
        <f aca="false">-L6*Assumptions!L45/100</f>
        <v>-96.9926184781233</v>
      </c>
    </row>
    <row r="13" customFormat="false" ht="15" hidden="false" customHeight="false" outlineLevel="0" collapsed="false">
      <c r="A13" s="0" t="s">
        <v>125</v>
      </c>
      <c r="C13" s="0" t="n">
        <f aca="false">C11+C12</f>
        <v>586.869064992</v>
      </c>
      <c r="D13" s="0" t="n">
        <f aca="false">D11+D12</f>
        <v>660.75325250256</v>
      </c>
      <c r="E13" s="0" t="n">
        <f aca="false">E11+E12</f>
        <v>765.554107471738</v>
      </c>
      <c r="F13" s="0" t="n">
        <f aca="false">F11+F12</f>
        <v>861.96667646943</v>
      </c>
      <c r="G13" s="0" t="n">
        <f aca="false">G11+G12</f>
        <v>959.196517575182</v>
      </c>
      <c r="H13" s="0" t="n">
        <f aca="false">H11+H12</f>
        <v>1016.74830862969</v>
      </c>
      <c r="I13" s="0" t="n">
        <f aca="false">I11+I12</f>
        <v>1067.58572406118</v>
      </c>
      <c r="J13" s="0" t="n">
        <f aca="false">J11+J12</f>
        <v>1115.62708164393</v>
      </c>
      <c r="K13" s="0" t="n">
        <f aca="false">K11+K12</f>
        <v>1160.25216490969</v>
      </c>
      <c r="L13" s="0" t="n">
        <f aca="false">L11+L12</f>
        <v>1200.86099068153</v>
      </c>
    </row>
    <row r="14" customFormat="false" ht="15" hidden="false" customHeight="false" outlineLevel="0" collapsed="false">
      <c r="A14" s="0" t="s">
        <v>111</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126</v>
      </c>
      <c r="C15" s="0" t="n">
        <f aca="false">C13-MAX(0,C13)*C14/100</f>
        <v>440.151798744</v>
      </c>
      <c r="D15" s="0" t="n">
        <f aca="false">D13-MAX(0,D13)*D14/100</f>
        <v>495.56493937692</v>
      </c>
      <c r="E15" s="0" t="n">
        <f aca="false">E13-MAX(0,E13)*E14/100</f>
        <v>574.165580603804</v>
      </c>
      <c r="F15" s="0" t="n">
        <f aca="false">F13-MAX(0,F13)*F14/100</f>
        <v>646.475007352073</v>
      </c>
      <c r="G15" s="0" t="n">
        <f aca="false">G13-MAX(0,G13)*G14/100</f>
        <v>719.397388181386</v>
      </c>
      <c r="H15" s="0" t="n">
        <f aca="false">H13-MAX(0,H13)*H14/100</f>
        <v>762.56123147227</v>
      </c>
      <c r="I15" s="0" t="n">
        <f aca="false">I13-MAX(0,I13)*I14/100</f>
        <v>800.689293045883</v>
      </c>
      <c r="J15" s="0" t="n">
        <f aca="false">J13-MAX(0,J13)*J14/100</f>
        <v>836.720311232948</v>
      </c>
      <c r="K15" s="0" t="n">
        <f aca="false">K13-MAX(0,K13)*K14/100</f>
        <v>870.189123682266</v>
      </c>
      <c r="L15" s="0" t="n">
        <f aca="false">L13-MAX(0,L13)*L14/100</f>
        <v>900.645743011145</v>
      </c>
    </row>
    <row r="16" customFormat="false" ht="15" hidden="false" customHeight="false" outlineLevel="0" collapsed="false">
      <c r="A16" s="0" t="s">
        <v>127</v>
      </c>
      <c r="C16" s="0" t="n">
        <f aca="false">-C12</f>
        <v>54.7452486</v>
      </c>
      <c r="D16" s="0" t="n">
        <f aca="false">-D12</f>
        <v>61.5062868021</v>
      </c>
      <c r="E16" s="0" t="n">
        <f aca="false">-E12</f>
        <v>67.041852614289</v>
      </c>
      <c r="F16" s="0" t="n">
        <f aca="false">-F12</f>
        <v>72.4052008234321</v>
      </c>
      <c r="G16" s="0" t="n">
        <f aca="false">-G12</f>
        <v>77.4735648810724</v>
      </c>
      <c r="H16" s="0" t="n">
        <f aca="false">-H12</f>
        <v>82.1219787739367</v>
      </c>
      <c r="I16" s="0" t="n">
        <f aca="false">-I12</f>
        <v>86.2280777126336</v>
      </c>
      <c r="J16" s="0" t="n">
        <f aca="false">-J12</f>
        <v>90.1083412097021</v>
      </c>
      <c r="K16" s="0" t="n">
        <f aca="false">-K12</f>
        <v>93.7126748580902</v>
      </c>
      <c r="L16" s="0" t="n">
        <f aca="false">-L12</f>
        <v>96.9926184781233</v>
      </c>
    </row>
    <row r="17" customFormat="false" ht="15" hidden="false" customHeight="false" outlineLevel="0" collapsed="false">
      <c r="A17" s="0" t="s">
        <v>128</v>
      </c>
      <c r="C17" s="4" t="n">
        <f aca="false">-C6*Assumptions!C46/100</f>
        <v>-71.16882318</v>
      </c>
      <c r="D17" s="4" t="n">
        <f aca="false">-D6*Assumptions!D46/100</f>
        <v>-70.2928992024</v>
      </c>
      <c r="E17" s="4" t="n">
        <f aca="false">-E6*Assumptions!E46/100</f>
        <v>-73.426790958507</v>
      </c>
      <c r="F17" s="4" t="n">
        <f aca="false">-F6*Assumptions!F46/100</f>
        <v>-79.3009342351876</v>
      </c>
      <c r="G17" s="4" t="n">
        <f aca="false">-G6*Assumptions!G46/100</f>
        <v>-84.8519996316507</v>
      </c>
      <c r="H17" s="4" t="n">
        <f aca="false">-H6*Assumptions!H46/100</f>
        <v>-89.9431196095498</v>
      </c>
      <c r="I17" s="4" t="n">
        <f aca="false">-I6*Assumptions!I46/100</f>
        <v>-94.4402755900272</v>
      </c>
      <c r="J17" s="4" t="n">
        <f aca="false">-J6*Assumptions!J46/100</f>
        <v>-98.6900879915785</v>
      </c>
      <c r="K17" s="4" t="n">
        <f aca="false">-K6*Assumptions!K46/100</f>
        <v>-102.637691511242</v>
      </c>
      <c r="L17" s="4" t="n">
        <f aca="false">-L6*Assumptions!L46/100</f>
        <v>-106.230010714135</v>
      </c>
    </row>
    <row r="18" customFormat="false" ht="15" hidden="false" customHeight="false" outlineLevel="0" collapsed="false">
      <c r="A18" s="0" t="s">
        <v>129</v>
      </c>
      <c r="C18" s="4" t="n">
        <f aca="false">(C6-B6)*Assumptions!$B$51/100</f>
        <v>-46.282215</v>
      </c>
      <c r="D18" s="4" t="n">
        <f aca="false">(D6-C6)*Assumptions!$B$51/100</f>
        <v>-95.8041850500001</v>
      </c>
      <c r="E18" s="4" t="n">
        <f aca="false">(E6-D6)*Assumptions!$B$51/100</f>
        <v>-131.7991860045</v>
      </c>
      <c r="F18" s="4" t="n">
        <f aca="false">(F6-E6)*Assumptions!$B$51/100</f>
        <v>-127.69876688436</v>
      </c>
      <c r="G18" s="4" t="n">
        <f aca="false">(G6-F6)*Assumptions!$B$51/100</f>
        <v>-120.67533470572</v>
      </c>
      <c r="H18" s="4" t="n">
        <f aca="false">(H6-G6)*Assumptions!$B$51/100</f>
        <v>-110.676521258675</v>
      </c>
      <c r="I18" s="4" t="n">
        <f aca="false">(I6-H6)*Assumptions!$B$51/100</f>
        <v>-97.7642604451628</v>
      </c>
      <c r="J18" s="4" t="n">
        <f aca="false">(J6-I6)*Assumptions!$B$51/100</f>
        <v>-92.3872261206789</v>
      </c>
      <c r="K18" s="4" t="n">
        <f aca="false">(K6-J6)*Assumptions!$B$51/100</f>
        <v>-85.8174678187638</v>
      </c>
      <c r="L18" s="4" t="n">
        <f aca="false">(L6-K6)*Assumptions!$B$51/100</f>
        <v>-78.0938957150752</v>
      </c>
    </row>
    <row r="19" customFormat="false" ht="15" hidden="false" customHeight="false" outlineLevel="0" collapsed="false">
      <c r="A19" s="0" t="s">
        <v>130</v>
      </c>
      <c r="C19" s="0" t="n">
        <f aca="false">C15+C16+C17+C18</f>
        <v>377.446009164</v>
      </c>
      <c r="D19" s="0" t="n">
        <f aca="false">D15+D16+D17+D18</f>
        <v>390.97414192662</v>
      </c>
      <c r="E19" s="0" t="n">
        <f aca="false">E15+E16+E17+E18</f>
        <v>435.981456255086</v>
      </c>
      <c r="F19" s="0" t="n">
        <f aca="false">F15+F16+F17+F18</f>
        <v>511.880507055957</v>
      </c>
      <c r="G19" s="0" t="n">
        <f aca="false">G15+G16+G17+G18</f>
        <v>591.343618725088</v>
      </c>
      <c r="H19" s="0" t="n">
        <f aca="false">H15+H16+H17+H18</f>
        <v>644.063569377982</v>
      </c>
      <c r="I19" s="0" t="n">
        <f aca="false">I15+I16+I17+I18</f>
        <v>694.712834723327</v>
      </c>
      <c r="J19" s="0" t="n">
        <f aca="false">J15+J16+J17+J18</f>
        <v>735.751338330393</v>
      </c>
      <c r="K19" s="0" t="n">
        <f aca="false">K15+K16+K17+K18</f>
        <v>775.44663921035</v>
      </c>
      <c r="L19" s="0" t="n">
        <f aca="false">L15+L16+L17+L18</f>
        <v>813.314455060058</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347.876506141935</v>
      </c>
      <c r="D21" s="0" t="n">
        <f aca="false">D19*D20</f>
        <v>332.115051860621</v>
      </c>
      <c r="E21" s="0" t="n">
        <f aca="false">E19*E20</f>
        <v>341.333412867729</v>
      </c>
      <c r="F21" s="0" t="n">
        <f aca="false">F19*F20</f>
        <v>369.359810509619</v>
      </c>
      <c r="G21" s="0" t="n">
        <f aca="false">G19*G20</f>
        <v>393.270367223942</v>
      </c>
      <c r="H21" s="0" t="n">
        <f aca="false">H19*H20</f>
        <v>394.775602877088</v>
      </c>
      <c r="I21" s="0" t="n">
        <f aca="false">I19*I20</f>
        <v>392.461586555233</v>
      </c>
      <c r="J21" s="0" t="n">
        <f aca="false">J19*J20</f>
        <v>383.083242985389</v>
      </c>
      <c r="K21" s="0" t="n">
        <f aca="false">K19*K20</f>
        <v>372.121081448395</v>
      </c>
      <c r="L21" s="0" t="n">
        <f aca="false">L19*L20</f>
        <v>359.717121311744</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17</v>
      </c>
    </row>
    <row r="30" customFormat="false" ht="15" hidden="false" customHeight="false" outlineLevel="0" collapsed="false">
      <c r="A30" s="0" t="s">
        <v>135</v>
      </c>
      <c r="B30" s="0" t="n">
        <f aca="false">SUM(C21:L21)</f>
        <v>3686.1137837817</v>
      </c>
    </row>
    <row r="31" customFormat="false" ht="15" hidden="false" customHeight="false" outlineLevel="0" collapsed="false">
      <c r="A31" s="0" t="s">
        <v>136</v>
      </c>
      <c r="B31" s="0" t="n">
        <f aca="false">L19</f>
        <v>813.314455060058</v>
      </c>
    </row>
    <row r="32" customFormat="false" ht="15" hidden="false" customHeight="false" outlineLevel="0" collapsed="false">
      <c r="A32" s="0" t="s">
        <v>137</v>
      </c>
      <c r="B32" s="0" t="n">
        <f aca="false">IF(B27&gt;B28,B31*(1+B28/100)/((B27-B28)/100),B31*B29)</f>
        <v>15231.1616129429</v>
      </c>
    </row>
    <row r="33" customFormat="false" ht="15" hidden="false" customHeight="false" outlineLevel="0" collapsed="false">
      <c r="A33" s="0" t="s">
        <v>138</v>
      </c>
      <c r="B33" s="0" t="n">
        <f aca="false">B31*B29</f>
        <v>13826.345736021</v>
      </c>
    </row>
    <row r="34" customFormat="false" ht="15" hidden="false" customHeight="false" outlineLevel="0" collapsed="false">
      <c r="A34" s="0" t="s">
        <v>139</v>
      </c>
      <c r="B34" s="0" t="n">
        <f aca="false">MAX(0,MIN(B32,B33))</f>
        <v>13826.345736021</v>
      </c>
    </row>
    <row r="35" customFormat="false" ht="15" hidden="false" customHeight="false" outlineLevel="0" collapsed="false">
      <c r="A35" s="0" t="s">
        <v>140</v>
      </c>
      <c r="B35" s="0" t="n">
        <f aca="false">B34/(1+B27/100)^L4</f>
        <v>6115.19106229965</v>
      </c>
    </row>
    <row r="36" customFormat="false" ht="15" hidden="false" customHeight="false" outlineLevel="0" collapsed="false">
      <c r="A36" s="0" t="s">
        <v>141</v>
      </c>
      <c r="B36" s="0" t="n">
        <f aca="false">B30+B35</f>
        <v>9801.30484608135</v>
      </c>
    </row>
    <row r="37" customFormat="false" ht="15" hidden="false" customHeight="false" outlineLevel="0" collapsed="false">
      <c r="A37" s="0" t="s">
        <v>142</v>
      </c>
      <c r="B37" s="0" t="n">
        <f aca="false">B36+Assumptions!$B$5-Assumptions!$B$4</f>
        <v>8489.35084608135</v>
      </c>
    </row>
    <row r="38" customFormat="false" ht="15" hidden="false" customHeight="false" outlineLevel="0" collapsed="false">
      <c r="A38" s="0" t="s">
        <v>143</v>
      </c>
      <c r="B38" s="0" t="n">
        <f aca="false">B37/Assumptions!$B$3*Assumptions!$B$10</f>
        <v>233.288014456756</v>
      </c>
    </row>
    <row r="39" customFormat="false" ht="15" hidden="false" customHeight="false" outlineLevel="0" collapsed="false">
      <c r="A39" s="0" t="s">
        <v>144</v>
      </c>
      <c r="B39" s="4" t="n">
        <f aca="false">B38/Assumptions!$B$2-1</f>
        <v>0.45196996612159</v>
      </c>
    </row>
    <row r="41" customFormat="false" ht="15" hidden="false" customHeight="false" outlineLevel="0" collapsed="false">
      <c r="A41" s="0" t="s">
        <v>145</v>
      </c>
      <c r="B41" s="0" t="n">
        <f aca="false">SUMPRODUCT(-C10:L10/(1+$B$27/100)^C4:L4)</f>
        <v>215.287707335419</v>
      </c>
    </row>
    <row r="42" customFormat="false" ht="15" hidden="false" customHeight="false" outlineLevel="0" collapsed="false">
      <c r="A42" s="0" t="s">
        <v>146</v>
      </c>
      <c r="B42" s="0" t="n">
        <f aca="false">IF(B27&gt;B28,-L10*(1+B28/100)/((B27-B28)/100),-L10*20)/(1+B27/100)^L4</f>
        <v>344.301608841704</v>
      </c>
    </row>
    <row r="43" customFormat="false" ht="15" hidden="false" customHeight="false" outlineLevel="0" collapsed="false">
      <c r="A43" s="0" t="s">
        <v>147</v>
      </c>
      <c r="B43" s="0" t="n">
        <f aca="false">(B37+B41+B42)/Assumptions!$B$3*Assumptions!$B$10</f>
        <v>248.665571922464</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6980.94907259883</v>
      </c>
    </row>
    <row r="47" customFormat="false" ht="15" hidden="false" customHeight="false" outlineLevel="0" collapsed="false">
      <c r="A47" s="0" t="s">
        <v>149</v>
      </c>
      <c r="B47" s="0" t="n">
        <f aca="false">(SUMPRODUCT(C19:L19/(1+B45/100)^C4:L4)+B46/(1+B45/100)^L4+Assumptions!$B$5-Assumptions!$B$4)/Assumptions!$B$3*Assumptions!$B$10</f>
        <v>85.5294116115133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108.930285966057</v>
      </c>
      <c r="C4" s="0" t="n">
        <f aca="false">B4/Assumptions!$B$2-1</f>
        <v>-0.322024734137944</v>
      </c>
      <c r="D4" s="4" t="n">
        <f aca="false">Assumptions!$B$24</f>
        <v>0.2</v>
      </c>
      <c r="E4" s="4" t="n">
        <f aca="false">DCF_Bear!$B$43</f>
        <v>120.092942408561</v>
      </c>
      <c r="F4" s="4" t="n">
        <f aca="false">DCF_Bear!$B$47</f>
        <v>44.5315848429231</v>
      </c>
    </row>
    <row r="5" customFormat="false" ht="15" hidden="false" customHeight="false" outlineLevel="0" collapsed="false">
      <c r="A5" s="0" t="s">
        <v>158</v>
      </c>
      <c r="B5" s="4" t="n">
        <f aca="false">DCF_Base!$B$38</f>
        <v>167.499607855939</v>
      </c>
      <c r="C5" s="0" t="n">
        <f aca="false">B5/Assumptions!$B$2-1</f>
        <v>0.042507050824292</v>
      </c>
      <c r="D5" s="4" t="n">
        <f aca="false">Assumptions!$B$38</f>
        <v>0.5</v>
      </c>
      <c r="E5" s="4" t="n">
        <f aca="false">DCF_Base!$B$43</f>
        <v>181.390995016433</v>
      </c>
      <c r="F5" s="4" t="n">
        <f aca="false">DCF_Base!$B$47</f>
        <v>65.7946631860837</v>
      </c>
    </row>
    <row r="6" customFormat="false" ht="15" hidden="false" customHeight="false" outlineLevel="0" collapsed="false">
      <c r="A6" s="0" t="s">
        <v>159</v>
      </c>
      <c r="B6" s="4" t="n">
        <f aca="false">DCF_Bull!$B$38</f>
        <v>233.288014456756</v>
      </c>
      <c r="C6" s="0" t="n">
        <f aca="false">B6/Assumptions!$B$2-1</f>
        <v>0.45196996612159</v>
      </c>
      <c r="D6" s="4" t="n">
        <f aca="false">Assumptions!$B$52</f>
        <v>0.3</v>
      </c>
      <c r="E6" s="4" t="n">
        <f aca="false">DCF_Bull!$B$43</f>
        <v>248.665571922464</v>
      </c>
      <c r="F6" s="4" t="n">
        <f aca="false">DCF_Bull!$B$47</f>
        <v>85.5294116115133</v>
      </c>
    </row>
    <row r="8" customFormat="false" ht="15" hidden="false" customHeight="false" outlineLevel="0" collapsed="false">
      <c r="A8" s="0" t="s">
        <v>160</v>
      </c>
      <c r="B8" s="0" t="n">
        <f aca="false">SUMPRODUCT(B4:B6,D4:D6)</f>
        <v>175.522265458208</v>
      </c>
    </row>
    <row r="9" customFormat="false" ht="15" hidden="false" customHeight="false" outlineLevel="0" collapsed="false">
      <c r="A9" s="0" t="s">
        <v>161</v>
      </c>
      <c r="B9" s="0" t="n">
        <f aca="false">SUMPRODUCT(E4:E6,D4:D6)</f>
        <v>189.313757566668</v>
      </c>
    </row>
    <row r="10" customFormat="false" ht="15" hidden="false" customHeight="false" outlineLevel="0" collapsed="false">
      <c r="A10" s="0" t="s">
        <v>162</v>
      </c>
      <c r="B10" s="0" t="n">
        <f aca="false">1-Assumptions!$B$2/B8</f>
        <v>0.0846175578889389</v>
      </c>
    </row>
    <row r="11" customFormat="false" ht="15" hidden="false" customHeight="false" outlineLevel="0" collapsed="false">
      <c r="A11" s="0" t="s">
        <v>163</v>
      </c>
      <c r="B11" s="0" t="n">
        <f aca="false">IF(ABS(B9-B8)&gt;0.01*ABS(B8),(Assumptions!$B$2-B8)/(B9-B8)*100,"n/a")</f>
        <v>-107.691505323753</v>
      </c>
    </row>
    <row r="12" customFormat="false" ht="15" hidden="false" customHeight="false" outlineLevel="0" collapsed="false">
      <c r="A12" s="0" t="s">
        <v>164</v>
      </c>
      <c r="B12" s="0" t="n">
        <f aca="false">SUMPRODUCT(F4:F6,D4:D6)</f>
        <v>67.4624720450805</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167.499607855939</v>
      </c>
      <c r="C15" s="3" t="n">
        <v>8.5</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160.155028426658</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144.508154138728</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120.770151372962</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102.366335083062</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65.7946631860837</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200.577812611877</v>
      </c>
      <c r="C24" s="0" t="n">
        <f aca="false">(SUMPRODUCT(DCF_Base!$C$19:$L$19/(1+$A$24/100)^DCF_Base!$C$4:$L$4)+MAX(0,MIN(IF($A$24&gt;$C$23,DCF_Base!$L$19*(1+$C$23/100)/(($A$24-$C$23)/100),DCF_Base!$L$19*DCF_Base!$B$29),DCF_Base!$L$19*DCF_Base!$B$29))/(1+$A$24/100)^DCF_Base!$L$4+Assumptions!$B$5-Assumptions!$B$4)/Assumptions!$B$3*Assumptions!$B$10</f>
        <v>200.577812611877</v>
      </c>
      <c r="D24" s="0" t="n">
        <f aca="false">(SUMPRODUCT(DCF_Base!$C$19:$L$19/(1+$A$24/100)^DCF_Base!$C$4:$L$4)+MAX(0,MIN(IF($A$24&gt;$D$23,DCF_Base!$L$19*(1+$D$23/100)/(($A$24-$D$23)/100),DCF_Base!$L$19*DCF_Base!$B$29),DCF_Base!$L$19*DCF_Base!$B$29))/(1+$A$24/100)^DCF_Base!$L$4+Assumptions!$B$5-Assumptions!$B$4)/Assumptions!$B$3*Assumptions!$B$10</f>
        <v>200.577812611877</v>
      </c>
      <c r="E24" s="0" t="n">
        <f aca="false">(SUMPRODUCT(DCF_Base!$C$19:$L$19/(1+$A$24/100)^DCF_Base!$C$4:$L$4)+MAX(0,MIN(IF($A$24&gt;$E$23,DCF_Base!$L$19*(1+$E$23/100)/(($A$24-$E$23)/100),DCF_Base!$L$19*DCF_Base!$B$29),DCF_Base!$L$19*DCF_Base!$B$29))/(1+$A$24/100)^DCF_Base!$L$4+Assumptions!$B$5-Assumptions!$B$4)/Assumptions!$B$3*Assumptions!$B$10</f>
        <v>200.577812611877</v>
      </c>
      <c r="F24" s="0" t="n">
        <f aca="false">(SUMPRODUCT(DCF_Base!$C$19:$L$19/(1+$A$24/100)^DCF_Base!$C$4:$L$4)+MAX(0,MIN(IF($A$24&gt;$F$23,DCF_Base!$L$19*(1+$F$23/100)/(($A$24-$F$23)/100),DCF_Base!$L$19*DCF_Base!$B$29),DCF_Base!$L$19*DCF_Base!$B$29))/(1+$A$24/100)^DCF_Base!$L$4+Assumptions!$B$5-Assumptions!$B$4)/Assumptions!$B$3*Assumptions!$B$10</f>
        <v>200.577812611877</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183.258814757198</v>
      </c>
      <c r="C25" s="0" t="n">
        <f aca="false">(SUMPRODUCT(DCF_Base!$C$19:$L$19/(1+$A$25/100)^DCF_Base!$C$4:$L$4)+MAX(0,MIN(IF($A$25&gt;$C$23,DCF_Base!$L$19*(1+$C$23/100)/(($A$25-$C$23)/100),DCF_Base!$L$19*DCF_Base!$B$29),DCF_Base!$L$19*DCF_Base!$B$29))/(1+$A$25/100)^DCF_Base!$L$4+Assumptions!$B$5-Assumptions!$B$4)/Assumptions!$B$3*Assumptions!$B$10</f>
        <v>183.258814757198</v>
      </c>
      <c r="D25" s="0" t="n">
        <f aca="false">(SUMPRODUCT(DCF_Base!$C$19:$L$19/(1+$A$25/100)^DCF_Base!$C$4:$L$4)+MAX(0,MIN(IF($A$25&gt;$D$23,DCF_Base!$L$19*(1+$D$23/100)/(($A$25-$D$23)/100),DCF_Base!$L$19*DCF_Base!$B$29),DCF_Base!$L$19*DCF_Base!$B$29))/(1+$A$25/100)^DCF_Base!$L$4+Assumptions!$B$5-Assumptions!$B$4)/Assumptions!$B$3*Assumptions!$B$10</f>
        <v>183.258814757198</v>
      </c>
      <c r="E25" s="0" t="n">
        <f aca="false">(SUMPRODUCT(DCF_Base!$C$19:$L$19/(1+$A$25/100)^DCF_Base!$C$4:$L$4)+MAX(0,MIN(IF($A$25&gt;$E$23,DCF_Base!$L$19*(1+$E$23/100)/(($A$25-$E$23)/100),DCF_Base!$L$19*DCF_Base!$B$29),DCF_Base!$L$19*DCF_Base!$B$29))/(1+$A$25/100)^DCF_Base!$L$4+Assumptions!$B$5-Assumptions!$B$4)/Assumptions!$B$3*Assumptions!$B$10</f>
        <v>183.258814757198</v>
      </c>
      <c r="F25" s="0" t="n">
        <f aca="false">(SUMPRODUCT(DCF_Base!$C$19:$L$19/(1+$A$25/100)^DCF_Base!$C$4:$L$4)+MAX(0,MIN(IF($A$25&gt;$F$23,DCF_Base!$L$19*(1+$F$23/100)/(($A$25-$F$23)/100),DCF_Base!$L$19*DCF_Base!$B$29),DCF_Base!$L$19*DCF_Base!$B$29))/(1+$A$25/100)^DCF_Base!$L$4+Assumptions!$B$5-Assumptions!$B$4)/Assumptions!$B$3*Assumptions!$B$10</f>
        <v>183.258814757198</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167.499607855939</v>
      </c>
      <c r="C26" s="0" t="n">
        <f aca="false">(SUMPRODUCT(DCF_Base!$C$19:$L$19/(1+$A$26/100)^DCF_Base!$C$4:$L$4)+MAX(0,MIN(IF($A$26&gt;$C$23,DCF_Base!$L$19*(1+$C$23/100)/(($A$26-$C$23)/100),DCF_Base!$L$19*DCF_Base!$B$29),DCF_Base!$L$19*DCF_Base!$B$29))/(1+$A$26/100)^DCF_Base!$L$4+Assumptions!$B$5-Assumptions!$B$4)/Assumptions!$B$3*Assumptions!$B$10</f>
        <v>167.499607855939</v>
      </c>
      <c r="D26" s="0" t="n">
        <f aca="false">(SUMPRODUCT(DCF_Base!$C$19:$L$19/(1+$A$26/100)^DCF_Base!$C$4:$L$4)+MAX(0,MIN(IF($A$26&gt;$D$23,DCF_Base!$L$19*(1+$D$23/100)/(($A$26-$D$23)/100),DCF_Base!$L$19*DCF_Base!$B$29),DCF_Base!$L$19*DCF_Base!$B$29))/(1+$A$26/100)^DCF_Base!$L$4+Assumptions!$B$5-Assumptions!$B$4)/Assumptions!$B$3*Assumptions!$B$10</f>
        <v>167.499607855939</v>
      </c>
      <c r="E26" s="0" t="n">
        <f aca="false">(SUMPRODUCT(DCF_Base!$C$19:$L$19/(1+$A$26/100)^DCF_Base!$C$4:$L$4)+MAX(0,MIN(IF($A$26&gt;$E$23,DCF_Base!$L$19*(1+$E$23/100)/(($A$26-$E$23)/100),DCF_Base!$L$19*DCF_Base!$B$29),DCF_Base!$L$19*DCF_Base!$B$29))/(1+$A$26/100)^DCF_Base!$L$4+Assumptions!$B$5-Assumptions!$B$4)/Assumptions!$B$3*Assumptions!$B$10</f>
        <v>167.499607855939</v>
      </c>
      <c r="F26" s="0" t="n">
        <f aca="false">(SUMPRODUCT(DCF_Base!$C$19:$L$19/(1+$A$26/100)^DCF_Base!$C$4:$L$4)+MAX(0,MIN(IF($A$26&gt;$F$23,DCF_Base!$L$19*(1+$F$23/100)/(($A$26-$F$23)/100),DCF_Base!$L$19*DCF_Base!$B$29),DCF_Base!$L$19*DCF_Base!$B$29))/(1+$A$26/100)^DCF_Base!$L$4+Assumptions!$B$5-Assumptions!$B$4)/Assumptions!$B$3*Assumptions!$B$10</f>
        <v>167.499607855939</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143.205568621846</v>
      </c>
      <c r="C27" s="0" t="n">
        <f aca="false">(SUMPRODUCT(DCF_Base!$C$19:$L$19/(1+$A$27/100)^DCF_Base!$C$4:$L$4)+MAX(0,MIN(IF($A$27&gt;$C$23,DCF_Base!$L$19*(1+$C$23/100)/(($A$27-$C$23)/100),DCF_Base!$L$19*DCF_Base!$B$29),DCF_Base!$L$19*DCF_Base!$B$29))/(1+$A$27/100)^DCF_Base!$L$4+Assumptions!$B$5-Assumptions!$B$4)/Assumptions!$B$3*Assumptions!$B$10</f>
        <v>150.607767435702</v>
      </c>
      <c r="D27" s="0" t="n">
        <f aca="false">(SUMPRODUCT(DCF_Base!$C$19:$L$19/(1+$A$27/100)^DCF_Base!$C$4:$L$4)+MAX(0,MIN(IF($A$27&gt;$D$23,DCF_Base!$L$19*(1+$D$23/100)/(($A$27-$D$23)/100),DCF_Base!$L$19*DCF_Base!$B$29),DCF_Base!$L$19*DCF_Base!$B$29))/(1+$A$27/100)^DCF_Base!$L$4+Assumptions!$B$5-Assumptions!$B$4)/Assumptions!$B$3*Assumptions!$B$10</f>
        <v>153.142767029488</v>
      </c>
      <c r="E27" s="0" t="n">
        <f aca="false">(SUMPRODUCT(DCF_Base!$C$19:$L$19/(1+$A$27/100)^DCF_Base!$C$4:$L$4)+MAX(0,MIN(IF($A$27&gt;$E$23,DCF_Base!$L$19*(1+$E$23/100)/(($A$27-$E$23)/100),DCF_Base!$L$19*DCF_Base!$B$29),DCF_Base!$L$19*DCF_Base!$B$29))/(1+$A$27/100)^DCF_Base!$L$4+Assumptions!$B$5-Assumptions!$B$4)/Assumptions!$B$3*Assumptions!$B$10</f>
        <v>153.142767029488</v>
      </c>
      <c r="F27" s="0" t="n">
        <f aca="false">(SUMPRODUCT(DCF_Base!$C$19:$L$19/(1+$A$27/100)^DCF_Base!$C$4:$L$4)+MAX(0,MIN(IF($A$27&gt;$F$23,DCF_Base!$L$19*(1+$F$23/100)/(($A$27-$F$23)/100),DCF_Base!$L$19*DCF_Base!$B$29),DCF_Base!$L$19*DCF_Base!$B$29))/(1+$A$27/100)^DCF_Base!$L$4+Assumptions!$B$5-Assumptions!$B$4)/Assumptions!$B$3*Assumptions!$B$10</f>
        <v>153.142767029488</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120.604644498928</v>
      </c>
      <c r="C28" s="0" t="n">
        <f aca="false">(SUMPRODUCT(DCF_Base!$C$19:$L$19/(1+$A$28/100)^DCF_Base!$C$4:$L$4)+MAX(0,MIN(IF($A$28&gt;$C$23,DCF_Base!$L$19*(1+$C$23/100)/(($A$28-$C$23)/100),DCF_Base!$L$19*DCF_Base!$B$29),DCF_Base!$L$19*DCF_Base!$B$29))/(1+$A$28/100)^DCF_Base!$L$4+Assumptions!$B$5-Assumptions!$B$4)/Assumptions!$B$3*Assumptions!$B$10</f>
        <v>125.87060632645</v>
      </c>
      <c r="D28" s="0" t="n">
        <f aca="false">(SUMPRODUCT(DCF_Base!$C$19:$L$19/(1+$A$28/100)^DCF_Base!$C$4:$L$4)+MAX(0,MIN(IF($A$28&gt;$D$23,DCF_Base!$L$19*(1+$D$23/100)/(($A$28-$D$23)/100),DCF_Base!$L$19*DCF_Base!$B$29),DCF_Base!$L$19*DCF_Base!$B$29))/(1+$A$28/100)^DCF_Base!$L$4+Assumptions!$B$5-Assumptions!$B$4)/Assumptions!$B$3*Assumptions!$B$10</f>
        <v>131.838696397642</v>
      </c>
      <c r="E28" s="0" t="n">
        <f aca="false">(SUMPRODUCT(DCF_Base!$C$19:$L$19/(1+$A$28/100)^DCF_Base!$C$4:$L$4)+MAX(0,MIN(IF($A$28&gt;$E$23,DCF_Base!$L$19*(1+$E$23/100)/(($A$28-$E$23)/100),DCF_Base!$L$19*DCF_Base!$B$29),DCF_Base!$L$19*DCF_Base!$B$29))/(1+$A$28/100)^DCF_Base!$L$4+Assumptions!$B$5-Assumptions!$B$4)/Assumptions!$B$3*Assumptions!$B$10</f>
        <v>138.659370764719</v>
      </c>
      <c r="F28" s="0" t="n">
        <f aca="false">(SUMPRODUCT(DCF_Base!$C$19:$L$19/(1+$A$28/100)^DCF_Base!$C$4:$L$4)+MAX(0,MIN(IF($A$28&gt;$F$23,DCF_Base!$L$19*(1+$F$23/100)/(($A$28-$F$23)/100),DCF_Base!$L$19*DCF_Base!$B$29),DCF_Base!$L$19*DCF_Base!$B$29))/(1+$A$28/100)^DCF_Base!$L$4+Assumptions!$B$5-Assumptions!$B$4)/Assumptions!$B$3*Assumptions!$B$10</f>
        <v>140.048195862087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2026-10-02T07:36:18Z</dcterms:created>
  <dc:creator>openpyxl</dc:creator>
  <dc:description/>
  <dc:language>en-NZ</dc:language>
  <cp:lastModifiedBy/>
  <dcterms:modified xsi:type="dcterms:W3CDTF">2026-10-02T07:36:18Z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