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<sst xmlns="http://schemas.openxmlformats.org/spreadsheetml/2006/main" count="349" uniqueCount="167">
  <si>
    <t xml:space="preserve">Ticker</t>
  </si>
  <si>
    <t xml:space="preserve">9690.HK</t>
  </si>
  <si>
    <t xml:space="preserve">Company</t>
  </si>
  <si>
    <t xml:space="preserve">Tuhu Car Inc.</t>
  </si>
  <si>
    <t xml:space="preserve">Valuation date</t>
  </si>
  <si>
    <t xml:space="preserve">2026-10-24</t>
  </si>
  <si>
    <t xml:space="preserve">Current price</t>
  </si>
  <si>
    <t xml:space="preserve">Price as of</t>
  </si>
  <si>
    <t xml:space="preserve">2026-10-23T08:08:08Z regular close (HKEX)</t>
  </si>
  <si>
    <t xml:space="preserve">Balance sheet date</t>
  </si>
  <si>
    <t xml:space="preserve">2026-06-30</t>
  </si>
  <si>
    <t xml:space="preserve">Model</t>
  </si>
  <si>
    <t xml:space="preserve">owner_fcf_dcf_component</t>
  </si>
  <si>
    <t xml:space="preserve">Currency (model)</t>
  </si>
  <si>
    <t xml:space="preserve">CNY</t>
  </si>
  <si>
    <t xml:space="preserve">Currency (quote)</t>
  </si>
  <si>
    <t xml:space="preserve">HKD</t>
  </si>
  <si>
    <t xml:space="preserve">Units</t>
  </si>
  <si>
    <t xml:space="preserve">millions</t>
  </si>
  <si>
    <t xml:space="preserve">Engine</t>
  </si>
  <si>
    <t xml:space="preserve">dcf_engine v1</t>
  </si>
  <si>
    <t xml:space="preserve">Built at</t>
  </si>
  <si>
    <t xml:space="preserve">2026-10-23T18:44:24Z</t>
  </si>
  <si>
    <t xml:space="preserve">Drivers file</t>
  </si>
  <si>
    <t xml:space="preserve">9690.HK_Drivers.json</t>
  </si>
  <si>
    <t xml:space="preserve">Convention</t>
  </si>
  <si>
    <t xml:space="preserve">Percents stored as percents; formulas divide by 100. Blue = input, green = link, black = formula.</t>
  </si>
  <si>
    <t xml:space="preserve">Methodology</t>
  </si>
  <si>
    <t xml:space="preserve">summary: Value the operating business on owner FCF built from components (adjusted EBITDA less SBC, lease cash, D&amp;A, a ramping cash tax, capex and a growth-linked supplier-float inflow) in RMB at a CNY-built 9.5% WACC, add the surplus cash and treasury investments that earn the stripped finance income, and translate per-share values to HKD at the dated spot rate. The FY2023 net income spike is an IPO accounting artefact and plays no role. Most of the valuation debate is about whether the margin trough is cyclical (base/bull) or structural (bear); the net-cash leg (~HK$9.7/share) is the same in every scenario, which is why the bear case lands near the current price.
key_risks_to_valuation: Margin path: every 1pp of mature adjusted EBITDA margin is worth roughly HK$3-4/share; the base assumes a recovery that has not yet started (H1 FY2026 adjusted EBITDA margin 3.7% vs 6.1% a year earlier).; Net cash is ~84% of the market capitalisation; the bridge assumes RMB6.46bn of cash and treasury investments is surplus and accessible. Dividends have never been paid, and ~RMB1.9bn is earmarked for the mycar (Australia) acquisition -- a value-destructive deal would take up to ~HK$2.9/share off the net-cash leg.; Supplier float: trade and bills payables (RMB4.9bn) fund the balance sheet; if growth stalls or suppliers tighten terms, the working-capital inflow in the model reverses and part of the cash pile is effectively owed to suppliers.; Cash tax: the model assumes 18-20% at maturity, not the 25% statutory rate, on the strength of the R&amp;D super-deduction and HNTE rates; loss of HNTE status or a smaller R&amp;D deduction would cost ~HK$1/share.; Currency: IV is computed in CNY and quoted in HKD at 1.1749; a 5% CNY depreciation against the HKD peg moves every HKD figure by 5%.; Governance: founder controls ~48% of votes via 10-vote Class B shares on a much smaller economic stake; buybacks have so far been the main form of capital return.</t>
  </si>
  <si>
    <t xml:space="preserve">Data sources</t>
  </si>
  <si>
    <t xml:space="preserve">price: Yahoo Finance chart API at inputs.price_as_of (HKEX regular close); 52-week range HK$10.00-18.89.
fx: Yahoo Finance CNYHKD=X at the date in inputs.fx_note, cross-checked against USDHKD=X and USDCNY=X.
financials: 9690.HK_Metrics.csv / core_metrics and kpis (FY2022-H1 FY2026, RMB millions); FY2025 annual report (adjusted EBITDA reconciliation line 1326, cash flow statement lines 5373-5462, income tax note lines 7620-7660); H1 FY2026 interim report (balance sheet lines 2330-2404, cash flow lines 2555-2642, diluted EPS note line 3031-3039, share capital and treasury shares note lines 3146-3215).
qualitative: 9690.HK_Analysis.json (qualitative-analyst, 2026-10-24): business model, competitive position, price-competition and consumption risks, guidance commentary, bull/bear points.</t>
  </si>
  <si>
    <t xml:space="preserve">Scenario narrative: bear</t>
  </si>
  <si>
    <t xml:space="preserve">The business is a low-margin logistics/marketplace operator with no pricing power: JD Auto Care, Tmall and Meituan keep undercutting, Chinese consumers keep trading down, oil-linked input costs stay volatile, and the H1 FY2026 margin (3.5-3.7%) is the new normal rather than a trough. Growth fades to GDP-like 2.5% as store additions slow and lower-tier stores underperform. Operating FCF covers little more than SBC and leases, so the equity is worth roughly its net cash plus a modest operating stub -- which is about where the market prices it today. Capital-allocation risk (WVR control, the A$403m mycar acquisition) sits on top of this case.</t>
  </si>
  <si>
    <t xml:space="preserve">Scenario narrative: base</t>
  </si>
  <si>
    <t xml:space="preserve">Tuhu keeps taking share in a consolidating but price-competitive independent aftermarket: workshop count grows low-double digits for two more years then slows, revenue decelerates from 10.5% to 3.5%, and the H1 FY2026 margin trough (adjusted EBITDA 3.7%) is repaired gradually -- back to the FY2023-24 level of ~5% by FY2030 and 5.5% at maturity -- through store maturation, higher-margin franchise and advertising fees and procurement scale, with management's 'gradual restoration' repeatedly diluted by price concessions. The pre-IPO tax-loss shelter rolls off and cash tax climbs to 18%. The equity is roughly half net cash and half a thin-margin but cash-generative operating business.</t>
  </si>
  <si>
    <t xml:space="preserve">Scenario narrative: bull</t>
  </si>
  <si>
    <t xml:space="preserve">Industry consolidation accelerates under explicit PRC policy support for scaled chains; NEV out-of-warranty servicing, lower-tier city expansion and Qipeilong keep growth at 10-12% through FY2029. The price war with JD Auto Care eases as JD's auto-care push matures, mix shifts to platform fees, and AI shopping guides / warehouse automation deliver the operating leverage the model has promised: adjusted EBITDA margin reaches 7.0%, about 1.4pp above the FY2023 peak. Buybacks continue to retire ~4% of shares a year at depressed prices (value-neutral in the model, but accretive in practice if the IV is right).</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</si>
  <si>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</si>
  <si>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</si>
  <si>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</si>
  <si>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</si>
  <si>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</si>
  <si>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</si>
  <si>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</si>
  <si>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</si>
  <si>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</si>
  <si>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</si>
  <si>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</si>
  <si>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</si>
  <si>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</si>
  <si>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</si>
  <si>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</si>
  <si>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</si>
  <si>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</si>
  <si>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</si>
  <si>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</si>
  <si>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</si>
  <si>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</si>
  <si>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</si>
  <si>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</si>
  <si>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</si>
  <si>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</si>
  <si>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</si>
  <si>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</si>
  <si>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ActiveCustomers</t>
  </si>
  <si>
    <t xml:space="preserve">AdjustedEBITDA</t>
  </si>
  <si>
    <t xml:space="preserve">CapexIntangibles</t>
  </si>
  <si>
    <t xml:space="preserve">CapexPPE</t>
  </si>
  <si>
    <t xml:space="preserve">CashOnly</t>
  </si>
  <si>
    <t xml:space="preserve">SelfOperatedStores</t>
  </si>
  <si>
    <t xml:space="preserve">ShortTermInvestments</t>
  </si>
  <si>
    <t xml:space="preserve">StoreCount</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</si>
  <si>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</si>
  <si>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</si>
  <si>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</si>
  <si>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</si>
  <si>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</si>
  <si>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</si>
  <si>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</si>
  <si>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</si>
  <si>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</si>
  <si>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</si>
  <si>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</si>
  <si>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</si>
  <si>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</si>
  <si>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</si>
  <si>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CNY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</si>
  <si>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</si>
  <si>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</si>
  <si>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</si>
  <si>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</si>
  <si>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</si>
  <si>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</si>
  <si>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</si>
  <si>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</si>
  <si>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</si>
  <si>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</si>
  <si>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</si>
  <si>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</si>
  <si>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</si>
  <si>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</si>
  <si>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</si>
  <si>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</si>
  <si>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</si>
  <si>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</si>
  <si>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</si>
  <si>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</si>
  <si>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</si>
  <si>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</si>
  <si>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</si>
  <si>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</si>
  <si>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</si>
  <si>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</si>
  <si>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9690.HK owner-FCF component DCF: bear case (millions, CNY)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</si>
  <si>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</si>
  <si>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</si>
  <si>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</si>
  <si>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</si>
  <si>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</si>
  <si>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</si>
  <si>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</si>
  <si>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</si>
  <si>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</si>
  <si>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</si>
  <si>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</si>
  <si>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</si>
  <si>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</si>
  <si>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</si>
  <si>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</si>
  <si>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</si>
  <si>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</si>
  <si>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</si>
  <si>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</si>
  <si>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</si>
  <si>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</si>
  <si>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</si>
  <si>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</si>
  <si>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</si>
  <si>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</si>
  <si>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</si>
  <si>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</si>
  <si>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</si>
  <si>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</si>
  <si>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</si>
  <si>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9690.HK owner-FCF component DCF: base case (millions, CNY)</t>
  </si>
  <si>
    <t xml:space="preserve">9690.HK owner-FCF component DCF: bull case (millions, CNY)</t>
  </si>
  <si>
    <t xml:space="preserve">9690.HK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</si>
  <si>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</si>
  <si>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</si>
  <si>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</si>
  <si>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</si>
  <si>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</si>
  <si>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</si>
  <si>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</si>
  <si>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</si>
  <si>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</si>
  <si>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</si>
  <si>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</si>
  <si>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</si>
  <si>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</si>
  <si>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</si>
  <si>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</si>
  <si>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10% (WACC)</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</si>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</sst>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11.52</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46.2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J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c r="AD1" s="2" t="s">
        <v>65</v>
      </c>
      <c r="AE1" s="2" t="s">
        <v>66</v>
      </c>
      <c r="AF1" s="2" t="s">
        <v>67</v>
      </c>
      <c r="AG1" s="2" t="s">
        <v>68</v>
      </c>
      <c r="AH1" s="2" t="s">
        <v>69</v>
      </c>
      <c r="AI1" s="2" t="s">
        <v>70</v>
      </c>
      <c r="AJ1" s="2" t="s">
        <v>71</v>
      </c>
    </row>
    <row r="2" customFormat="false" ht="15" hidden="false" customHeight="false" outlineLevel="0" collapsed="false">
      <c r="A2" s="0" t="s">
        <v>72</v>
      </c>
      <c r="B2" s="0" t="n">
        <v>11546.851</v>
      </c>
      <c r="C2" s="0" t="n">
        <v>9276.669</v>
      </c>
      <c r="D2" s="0" t="n">
        <v>2270.182</v>
      </c>
      <c r="E2" s="0" t="n">
        <v>19.7</v>
      </c>
      <c r="F2" s="0" t="n">
        <v>-763.92</v>
      </c>
      <c r="G2" s="0" t="n">
        <v>-6.6</v>
      </c>
      <c r="H2" s="0" t="n">
        <v>-400.144</v>
      </c>
      <c r="I2" s="0" t="n">
        <v>-2138.315</v>
      </c>
      <c r="J2" s="0" t="n">
        <v>-18.5</v>
      </c>
      <c r="K2" s="0" t="n">
        <v>-14.8</v>
      </c>
      <c r="L2" s="0" t="n">
        <v>-312.711</v>
      </c>
      <c r="M2" s="0" t="n">
        <v>345.423</v>
      </c>
      <c r="N2" s="0" t="n">
        <v>-658.134</v>
      </c>
      <c r="O2" s="0" t="n">
        <v>-18956.564</v>
      </c>
      <c r="P2" s="0" t="n">
        <v>9014.116</v>
      </c>
      <c r="Q2" s="0" t="n">
        <v>27970.68</v>
      </c>
      <c r="R2" s="0" t="n">
        <v>0</v>
      </c>
      <c r="S2" s="0" t="n">
        <v>3226.389</v>
      </c>
      <c r="U2" s="0" t="n">
        <v>219.339</v>
      </c>
      <c r="AA2" s="0" t="s">
        <v>18</v>
      </c>
      <c r="AB2" s="0" t="s">
        <v>14</v>
      </c>
      <c r="AC2" s="0" t="n">
        <v>16.5</v>
      </c>
      <c r="AE2" s="0" t="n">
        <v>11.284</v>
      </c>
      <c r="AF2" s="0" t="n">
        <v>334.139</v>
      </c>
      <c r="AG2" s="0" t="n">
        <v>2686.353</v>
      </c>
      <c r="AH2" s="0" t="n">
        <v>162</v>
      </c>
      <c r="AI2" s="0" t="n">
        <v>540.036</v>
      </c>
      <c r="AJ2" s="0" t="n">
        <v>4653</v>
      </c>
    </row>
    <row r="3" customFormat="false" ht="15" hidden="false" customHeight="false" outlineLevel="0" collapsed="false">
      <c r="A3" s="0" t="s">
        <v>73</v>
      </c>
      <c r="B3" s="0" t="n">
        <v>13601.085</v>
      </c>
      <c r="C3" s="0" t="n">
        <v>10241.732</v>
      </c>
      <c r="D3" s="0" t="n">
        <v>3359.353</v>
      </c>
      <c r="E3" s="0" t="n">
        <v>24.7</v>
      </c>
      <c r="F3" s="0" t="n">
        <v>161.524</v>
      </c>
      <c r="G3" s="0" t="n">
        <v>1.2</v>
      </c>
      <c r="H3" s="0" t="n">
        <v>523.029</v>
      </c>
      <c r="I3" s="0" t="n">
        <v>6700.697</v>
      </c>
      <c r="J3" s="0" t="n">
        <v>49.3</v>
      </c>
      <c r="K3" s="0" t="n">
        <v>0.29</v>
      </c>
      <c r="L3" s="0" t="n">
        <v>1021.291</v>
      </c>
      <c r="M3" s="0" t="n">
        <v>361.99</v>
      </c>
      <c r="N3" s="0" t="n">
        <v>659.301</v>
      </c>
      <c r="O3" s="0" t="n">
        <v>4458.319</v>
      </c>
      <c r="P3" s="0" t="n">
        <v>11764.685</v>
      </c>
      <c r="Q3" s="0" t="n">
        <v>7306.366</v>
      </c>
      <c r="R3" s="0" t="n">
        <v>8.509</v>
      </c>
      <c r="S3" s="0" t="n">
        <v>4302.411</v>
      </c>
      <c r="T3" s="0" t="n">
        <v>806.535</v>
      </c>
      <c r="U3" s="0" t="n">
        <v>201.629</v>
      </c>
      <c r="AA3" s="0" t="s">
        <v>18</v>
      </c>
      <c r="AB3" s="0" t="s">
        <v>14</v>
      </c>
      <c r="AC3" s="0" t="n">
        <v>19.3</v>
      </c>
      <c r="AD3" s="0" t="n">
        <v>757.783</v>
      </c>
      <c r="AE3" s="0" t="n">
        <v>2.009</v>
      </c>
      <c r="AF3" s="0" t="n">
        <v>359.981</v>
      </c>
      <c r="AG3" s="0" t="n">
        <v>2715.285</v>
      </c>
      <c r="AH3" s="0" t="n">
        <v>152</v>
      </c>
      <c r="AI3" s="0" t="n">
        <v>1587.126</v>
      </c>
      <c r="AJ3" s="0" t="n">
        <v>5909</v>
      </c>
    </row>
    <row r="4" customFormat="false" ht="15" hidden="false" customHeight="false" outlineLevel="0" collapsed="false">
      <c r="A4" s="0" t="s">
        <v>74</v>
      </c>
      <c r="B4" s="0" t="n">
        <v>14758.694</v>
      </c>
      <c r="C4" s="0" t="n">
        <v>11012.716</v>
      </c>
      <c r="D4" s="0" t="n">
        <v>3745.978</v>
      </c>
      <c r="E4" s="0" t="n">
        <v>25.4</v>
      </c>
      <c r="F4" s="0" t="n">
        <v>331.031</v>
      </c>
      <c r="G4" s="0" t="n">
        <v>2.2</v>
      </c>
      <c r="H4" s="0" t="n">
        <v>646.719</v>
      </c>
      <c r="I4" s="0" t="n">
        <v>482.038</v>
      </c>
      <c r="J4" s="0" t="n">
        <v>3.3</v>
      </c>
      <c r="K4" s="0" t="n">
        <v>0.58</v>
      </c>
      <c r="L4" s="0" t="n">
        <v>1319.179</v>
      </c>
      <c r="M4" s="0" t="n">
        <v>321.659</v>
      </c>
      <c r="N4" s="0" t="n">
        <v>997.52</v>
      </c>
      <c r="O4" s="0" t="n">
        <v>4859.378</v>
      </c>
      <c r="P4" s="0" t="n">
        <v>12797.239</v>
      </c>
      <c r="Q4" s="0" t="n">
        <v>7937.861</v>
      </c>
      <c r="R4" s="0" t="n">
        <v>7.507</v>
      </c>
      <c r="S4" s="0" t="n">
        <v>4449.29</v>
      </c>
      <c r="T4" s="0" t="n">
        <v>836.695</v>
      </c>
      <c r="U4" s="0" t="n">
        <v>142.1</v>
      </c>
      <c r="AA4" s="0" t="s">
        <v>18</v>
      </c>
      <c r="AB4" s="0" t="s">
        <v>14</v>
      </c>
      <c r="AC4" s="0" t="n">
        <v>24.1</v>
      </c>
      <c r="AD4" s="0" t="n">
        <v>777.262</v>
      </c>
      <c r="AE4" s="0" t="n">
        <v>0.33</v>
      </c>
      <c r="AF4" s="0" t="n">
        <v>321.329</v>
      </c>
      <c r="AG4" s="0" t="n">
        <v>1375.448</v>
      </c>
      <c r="AH4" s="0" t="n">
        <v>158</v>
      </c>
      <c r="AI4" s="0" t="n">
        <v>3073.842</v>
      </c>
      <c r="AJ4" s="0" t="n">
        <v>6874</v>
      </c>
    </row>
    <row r="5" customFormat="false" ht="15" hidden="false" customHeight="false" outlineLevel="0" collapsed="false">
      <c r="A5" s="0" t="s">
        <v>75</v>
      </c>
      <c r="B5" s="0" t="n">
        <v>16461.611</v>
      </c>
      <c r="C5" s="0" t="n">
        <v>12494.084</v>
      </c>
      <c r="D5" s="0" t="n">
        <v>3967.527</v>
      </c>
      <c r="E5" s="0" t="n">
        <v>24.1</v>
      </c>
      <c r="F5" s="0" t="n">
        <v>252.212</v>
      </c>
      <c r="G5" s="0" t="n">
        <v>1.5</v>
      </c>
      <c r="H5" s="0" t="n">
        <v>556.364</v>
      </c>
      <c r="I5" s="0" t="n">
        <v>419.4</v>
      </c>
      <c r="J5" s="0" t="n">
        <v>2.5</v>
      </c>
      <c r="K5" s="0" t="n">
        <v>0.51</v>
      </c>
      <c r="L5" s="0" t="n">
        <v>995.887</v>
      </c>
      <c r="M5" s="0" t="n">
        <v>246.503</v>
      </c>
      <c r="N5" s="0" t="n">
        <v>749.384</v>
      </c>
      <c r="O5" s="0" t="n">
        <v>5053.575</v>
      </c>
      <c r="P5" s="0" t="n">
        <v>13501.086</v>
      </c>
      <c r="Q5" s="0" t="n">
        <v>8447.511</v>
      </c>
      <c r="R5" s="0" t="n">
        <v>1.902</v>
      </c>
      <c r="S5" s="0" t="n">
        <v>4683.217</v>
      </c>
      <c r="T5" s="0" t="n">
        <v>825.488</v>
      </c>
      <c r="U5" s="0" t="n">
        <v>280.719</v>
      </c>
      <c r="AA5" s="0" t="s">
        <v>18</v>
      </c>
      <c r="AB5" s="0" t="s">
        <v>14</v>
      </c>
      <c r="AC5" s="0" t="n">
        <v>28.4</v>
      </c>
      <c r="AD5" s="0" t="n">
        <v>843.381</v>
      </c>
      <c r="AE5" s="0" t="n">
        <v>4.363</v>
      </c>
      <c r="AF5" s="0" t="n">
        <v>242.14</v>
      </c>
      <c r="AG5" s="0" t="n">
        <v>1923.85</v>
      </c>
      <c r="AH5" s="0" t="n">
        <v>175</v>
      </c>
      <c r="AI5" s="0" t="n">
        <v>2759.367</v>
      </c>
      <c r="AJ5" s="0" t="n">
        <v>8008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76</v>
      </c>
      <c r="B1" s="2" t="s">
        <v>77</v>
      </c>
    </row>
    <row r="2" customFormat="false" ht="15" hidden="false" customHeight="false" outlineLevel="0" collapsed="false">
      <c r="A2" s="0" t="s">
        <v>78</v>
      </c>
      <c r="B2" s="3" t="n">
        <v>11.52</v>
      </c>
    </row>
    <row r="3" customFormat="false" ht="15" hidden="false" customHeight="false" outlineLevel="0" collapsed="false">
      <c r="A3" s="0" t="s">
        <v>79</v>
      </c>
      <c r="B3" s="3" t="n">
        <v>779.4</v>
      </c>
    </row>
    <row r="4" customFormat="false" ht="15" hidden="false" customHeight="false" outlineLevel="0" collapsed="false">
      <c r="A4" s="0" t="s">
        <v>80</v>
      </c>
      <c r="B4" s="3" t="n">
        <v>-6455.97</v>
      </c>
    </row>
    <row r="5" customFormat="false" ht="15" hidden="false" customHeight="false" outlineLevel="0" collapsed="false">
      <c r="A5" s="0" t="s">
        <v>81</v>
      </c>
      <c r="B5" s="3" t="n">
        <v>0</v>
      </c>
    </row>
    <row r="6" customFormat="false" ht="15" hidden="false" customHeight="false" outlineLevel="0" collapsed="false">
      <c r="A6" s="0" t="s">
        <v>82</v>
      </c>
      <c r="B6" s="3" t="n">
        <v>15</v>
      </c>
    </row>
    <row r="7" customFormat="false" ht="15" hidden="false" customHeight="false" outlineLevel="0" collapsed="false">
      <c r="A7" s="0" t="s">
        <v>83</v>
      </c>
      <c r="B7" s="3" t="n">
        <v>16461.611</v>
      </c>
    </row>
    <row r="8" customFormat="false" ht="15" hidden="false" customHeight="false" outlineLevel="0" collapsed="false">
      <c r="A8" s="0" t="s">
        <v>84</v>
      </c>
      <c r="B8" s="3" t="s">
        <v>75</v>
      </c>
    </row>
    <row r="9" customFormat="false" ht="15" hidden="false" customHeight="false" outlineLevel="0" collapsed="false">
      <c r="A9" s="0" t="s">
        <v>85</v>
      </c>
      <c r="B9" s="3" t="s">
        <v>86</v>
      </c>
    </row>
    <row r="10" customFormat="false" ht="15" hidden="false" customHeight="false" outlineLevel="0" collapsed="false">
      <c r="A10" s="0" t="s">
        <v>87</v>
      </c>
      <c r="B10" s="3" t="n">
        <v>1.1749</v>
      </c>
    </row>
    <row r="12" customFormat="false" ht="15" hidden="false" customHeight="false" outlineLevel="0" collapsed="false">
      <c r="A12" s="2" t="s">
        <v>88</v>
      </c>
      <c r="C12" s="2" t="s">
        <v>89</v>
      </c>
      <c r="D12" s="2" t="s">
        <v>90</v>
      </c>
      <c r="E12" s="2" t="s">
        <v>91</v>
      </c>
      <c r="F12" s="2" t="s">
        <v>92</v>
      </c>
      <c r="G12" s="2" t="s">
        <v>93</v>
      </c>
      <c r="H12" s="2" t="s">
        <v>94</v>
      </c>
      <c r="I12" s="2" t="s">
        <v>95</v>
      </c>
      <c r="J12" s="2" t="s">
        <v>96</v>
      </c>
      <c r="K12" s="2" t="s">
        <v>97</v>
      </c>
      <c r="L12" s="2" t="s">
        <v>98</v>
      </c>
    </row>
    <row r="13" customFormat="false" ht="15" hidden="false" customHeight="false" outlineLevel="0" collapsed="false">
      <c r="A13" s="0" t="s">
        <v>99</v>
      </c>
      <c r="C13" s="3" t="n">
        <v>8</v>
      </c>
      <c r="D13" s="3" t="n">
        <v>6</v>
      </c>
      <c r="E13" s="3" t="n">
        <v>5</v>
      </c>
      <c r="F13" s="3" t="n">
        <v>4</v>
      </c>
      <c r="G13" s="3" t="n">
        <v>3.5</v>
      </c>
      <c r="H13" s="3" t="n">
        <v>3</v>
      </c>
      <c r="I13" s="3" t="n">
        <v>3</v>
      </c>
      <c r="J13" s="3" t="n">
        <v>2.5</v>
      </c>
      <c r="K13" s="3" t="n">
        <v>2.5</v>
      </c>
      <c r="L13" s="3" t="n">
        <v>2.5</v>
      </c>
    </row>
    <row r="14" customFormat="false" ht="15" hidden="false" customHeight="false" outlineLevel="0" collapsed="false">
      <c r="A14" s="0" t="s">
        <v>100</v>
      </c>
      <c r="C14" s="3" t="n">
        <v>3.5</v>
      </c>
      <c r="D14" s="3" t="n">
        <v>3.5</v>
      </c>
      <c r="E14" s="3" t="n">
        <v>3.6</v>
      </c>
      <c r="F14" s="3" t="n">
        <v>3.7</v>
      </c>
      <c r="G14" s="3" t="n">
        <v>3.8</v>
      </c>
      <c r="H14" s="3" t="n">
        <v>3.9</v>
      </c>
      <c r="I14" s="3" t="n">
        <v>4</v>
      </c>
      <c r="J14" s="3" t="n">
        <v>4</v>
      </c>
      <c r="K14" s="3" t="n">
        <v>4</v>
      </c>
      <c r="L14" s="3" t="n">
        <v>4</v>
      </c>
    </row>
    <row r="15" customFormat="false" ht="15" hidden="false" customHeight="false" outlineLevel="0" collapsed="false">
      <c r="A15" s="0" t="s">
        <v>101</v>
      </c>
      <c r="C15" s="3" t="n">
        <v>1.2</v>
      </c>
      <c r="D15" s="3" t="n">
        <v>1.15</v>
      </c>
      <c r="E15" s="3" t="n">
        <v>1.1</v>
      </c>
      <c r="F15" s="3" t="n">
        <v>1.05</v>
      </c>
      <c r="G15" s="3" t="n">
        <v>1</v>
      </c>
      <c r="H15" s="3" t="n">
        <v>1</v>
      </c>
      <c r="I15" s="3" t="n">
        <v>0.95</v>
      </c>
      <c r="J15" s="3" t="n">
        <v>0.9</v>
      </c>
      <c r="K15" s="3" t="n">
        <v>0.9</v>
      </c>
      <c r="L15" s="3" t="n">
        <v>0.9</v>
      </c>
    </row>
    <row r="16" customFormat="false" ht="15" hidden="false" customHeight="false" outlineLevel="0" collapsed="false">
      <c r="A16" s="0" t="s">
        <v>102</v>
      </c>
      <c r="C16" s="3" t="n">
        <v>0.8</v>
      </c>
      <c r="D16" s="3" t="n">
        <v>0.8</v>
      </c>
      <c r="E16" s="3" t="n">
        <v>0.8</v>
      </c>
      <c r="F16" s="3" t="n">
        <v>0.8</v>
      </c>
      <c r="G16" s="3" t="n">
        <v>0.8</v>
      </c>
      <c r="H16" s="3" t="n">
        <v>0.8</v>
      </c>
      <c r="I16" s="3" t="n">
        <v>0.8</v>
      </c>
      <c r="J16" s="3" t="n">
        <v>0.8</v>
      </c>
      <c r="K16" s="3" t="n">
        <v>0.8</v>
      </c>
      <c r="L16" s="3" t="n">
        <v>0.8</v>
      </c>
    </row>
    <row r="17" customFormat="false" ht="15" hidden="false" customHeight="false" outlineLevel="0" collapsed="false">
      <c r="A17" s="0" t="s">
        <v>103</v>
      </c>
      <c r="C17" s="3" t="n">
        <v>1.1</v>
      </c>
      <c r="D17" s="3" t="n">
        <v>1.1</v>
      </c>
      <c r="E17" s="3" t="n">
        <v>1.1</v>
      </c>
      <c r="F17" s="3" t="n">
        <v>1.1</v>
      </c>
      <c r="G17" s="3" t="n">
        <v>1.1</v>
      </c>
      <c r="H17" s="3" t="n">
        <v>1.1</v>
      </c>
      <c r="I17" s="3" t="n">
        <v>1.1</v>
      </c>
      <c r="J17" s="3" t="n">
        <v>1.1</v>
      </c>
      <c r="K17" s="3" t="n">
        <v>1.1</v>
      </c>
      <c r="L17" s="3" t="n">
        <v>1.1</v>
      </c>
    </row>
    <row r="18" customFormat="false" ht="15" hidden="false" customHeight="false" outlineLevel="0" collapsed="false">
      <c r="A18" s="0" t="s">
        <v>104</v>
      </c>
      <c r="C18" s="3" t="n">
        <v>1.4</v>
      </c>
      <c r="D18" s="3" t="n">
        <v>1.4</v>
      </c>
      <c r="E18" s="3" t="n">
        <v>1.4</v>
      </c>
      <c r="F18" s="3" t="n">
        <v>1.4</v>
      </c>
      <c r="G18" s="3" t="n">
        <v>1.4</v>
      </c>
      <c r="H18" s="3" t="n">
        <v>1.4</v>
      </c>
      <c r="I18" s="3" t="n">
        <v>1.4</v>
      </c>
      <c r="J18" s="3" t="n">
        <v>1.4</v>
      </c>
      <c r="K18" s="3" t="n">
        <v>1.4</v>
      </c>
      <c r="L18" s="3" t="n">
        <v>1.4</v>
      </c>
    </row>
    <row r="19" customFormat="false" ht="15" hidden="false" customHeight="false" outlineLevel="0" collapsed="false">
      <c r="A19" s="0" t="s">
        <v>105</v>
      </c>
      <c r="C19" s="3" t="n">
        <v>6</v>
      </c>
      <c r="D19" s="3" t="n">
        <v>9</v>
      </c>
      <c r="E19" s="3" t="n">
        <v>12</v>
      </c>
      <c r="F19" s="3" t="n">
        <v>15</v>
      </c>
      <c r="G19" s="3" t="n">
        <v>18</v>
      </c>
      <c r="H19" s="3" t="n">
        <v>20</v>
      </c>
      <c r="I19" s="3" t="n">
        <v>20</v>
      </c>
      <c r="J19" s="3" t="n">
        <v>20</v>
      </c>
      <c r="K19" s="3" t="n">
        <v>20</v>
      </c>
      <c r="L19" s="3" t="n">
        <v>20</v>
      </c>
    </row>
    <row r="20" customFormat="false" ht="15" hidden="false" customHeight="false" outlineLevel="0" collapsed="false">
      <c r="A20" s="0" t="s">
        <v>106</v>
      </c>
      <c r="B20" s="3" t="n">
        <v>10</v>
      </c>
    </row>
    <row r="21" customFormat="false" ht="15" hidden="false" customHeight="false" outlineLevel="0" collapsed="false">
      <c r="A21" s="0" t="s">
        <v>107</v>
      </c>
      <c r="B21" s="3" t="n">
        <v>2.5</v>
      </c>
    </row>
    <row r="22" customFormat="false" ht="15" hidden="false" customHeight="false" outlineLevel="0" collapsed="false">
      <c r="A22" s="0" t="s">
        <v>108</v>
      </c>
      <c r="B22" s="3" t="n">
        <v>18</v>
      </c>
    </row>
    <row r="23" customFormat="false" ht="15" hidden="false" customHeight="false" outlineLevel="0" collapsed="false">
      <c r="A23" s="0" t="s">
        <v>109</v>
      </c>
      <c r="B23" s="3" t="n">
        <v>5</v>
      </c>
    </row>
    <row r="24" customFormat="false" ht="15" hidden="false" customHeight="false" outlineLevel="0" collapsed="false">
      <c r="A24" s="0" t="s">
        <v>110</v>
      </c>
      <c r="B24" s="3" t="n">
        <v>0.3</v>
      </c>
    </row>
    <row r="26" customFormat="false" ht="15" hidden="false" customHeight="false" outlineLevel="0" collapsed="false">
      <c r="A26" s="2" t="s">
        <v>111</v>
      </c>
      <c r="C26" s="2" t="s">
        <v>89</v>
      </c>
      <c r="D26" s="2" t="s">
        <v>90</v>
      </c>
      <c r="E26" s="2" t="s">
        <v>91</v>
      </c>
      <c r="F26" s="2" t="s">
        <v>92</v>
      </c>
      <c r="G26" s="2" t="s">
        <v>93</v>
      </c>
      <c r="H26" s="2" t="s">
        <v>94</v>
      </c>
      <c r="I26" s="2" t="s">
        <v>95</v>
      </c>
      <c r="J26" s="2" t="s">
        <v>96</v>
      </c>
      <c r="K26" s="2" t="s">
        <v>97</v>
      </c>
      <c r="L26" s="2" t="s">
        <v>98</v>
      </c>
    </row>
    <row r="27" customFormat="false" ht="15" hidden="false" customHeight="false" outlineLevel="0" collapsed="false">
      <c r="A27" s="0" t="s">
        <v>99</v>
      </c>
      <c r="C27" s="3" t="n">
        <v>10.5</v>
      </c>
      <c r="D27" s="3" t="n">
        <v>9.5</v>
      </c>
      <c r="E27" s="3" t="n">
        <v>9</v>
      </c>
      <c r="F27" s="3" t="n">
        <v>8</v>
      </c>
      <c r="G27" s="3" t="n">
        <v>7</v>
      </c>
      <c r="H27" s="3" t="n">
        <v>6</v>
      </c>
      <c r="I27" s="3" t="n">
        <v>5</v>
      </c>
      <c r="J27" s="3" t="n">
        <v>4.5</v>
      </c>
      <c r="K27" s="3" t="n">
        <v>4</v>
      </c>
      <c r="L27" s="3" t="n">
        <v>3.5</v>
      </c>
    </row>
    <row r="28" customFormat="false" ht="15" hidden="false" customHeight="false" outlineLevel="0" collapsed="false">
      <c r="A28" s="0" t="s">
        <v>100</v>
      </c>
      <c r="C28" s="3" t="n">
        <v>3.9</v>
      </c>
      <c r="D28" s="3" t="n">
        <v>4.2</v>
      </c>
      <c r="E28" s="3" t="n">
        <v>4.5</v>
      </c>
      <c r="F28" s="3" t="n">
        <v>4.8</v>
      </c>
      <c r="G28" s="3" t="n">
        <v>5</v>
      </c>
      <c r="H28" s="3" t="n">
        <v>5.2</v>
      </c>
      <c r="I28" s="3" t="n">
        <v>5.3</v>
      </c>
      <c r="J28" s="3" t="n">
        <v>5.4</v>
      </c>
      <c r="K28" s="3" t="n">
        <v>5.5</v>
      </c>
      <c r="L28" s="3" t="n">
        <v>5.5</v>
      </c>
    </row>
    <row r="29" customFormat="false" ht="15" hidden="false" customHeight="false" outlineLevel="0" collapsed="false">
      <c r="A29" s="0" t="s">
        <v>101</v>
      </c>
      <c r="C29" s="3" t="n">
        <v>1.2</v>
      </c>
      <c r="D29" s="3" t="n">
        <v>1.15</v>
      </c>
      <c r="E29" s="3" t="n">
        <v>1.1</v>
      </c>
      <c r="F29" s="3" t="n">
        <v>1.05</v>
      </c>
      <c r="G29" s="3" t="n">
        <v>1</v>
      </c>
      <c r="H29" s="3" t="n">
        <v>0.95</v>
      </c>
      <c r="I29" s="3" t="n">
        <v>0.9</v>
      </c>
      <c r="J29" s="3" t="n">
        <v>0.85</v>
      </c>
      <c r="K29" s="3" t="n">
        <v>0.8</v>
      </c>
      <c r="L29" s="3" t="n">
        <v>0.8</v>
      </c>
    </row>
    <row r="30" customFormat="false" ht="15" hidden="false" customHeight="false" outlineLevel="0" collapsed="false">
      <c r="A30" s="0" t="s">
        <v>102</v>
      </c>
      <c r="C30" s="3" t="n">
        <v>0.8</v>
      </c>
      <c r="D30" s="3" t="n">
        <v>0.8</v>
      </c>
      <c r="E30" s="3" t="n">
        <v>0.8</v>
      </c>
      <c r="F30" s="3" t="n">
        <v>0.8</v>
      </c>
      <c r="G30" s="3" t="n">
        <v>0.8</v>
      </c>
      <c r="H30" s="3" t="n">
        <v>0.8</v>
      </c>
      <c r="I30" s="3" t="n">
        <v>0.8</v>
      </c>
      <c r="J30" s="3" t="n">
        <v>0.8</v>
      </c>
      <c r="K30" s="3" t="n">
        <v>0.8</v>
      </c>
      <c r="L30" s="3" t="n">
        <v>0.8</v>
      </c>
    </row>
    <row r="31" customFormat="false" ht="15" hidden="false" customHeight="false" outlineLevel="0" collapsed="false">
      <c r="A31" s="0" t="s">
        <v>103</v>
      </c>
      <c r="C31" s="3" t="n">
        <v>1.1</v>
      </c>
      <c r="D31" s="3" t="n">
        <v>1.1</v>
      </c>
      <c r="E31" s="3" t="n">
        <v>1.1</v>
      </c>
      <c r="F31" s="3" t="n">
        <v>1.1</v>
      </c>
      <c r="G31" s="3" t="n">
        <v>1.1</v>
      </c>
      <c r="H31" s="3" t="n">
        <v>1.1</v>
      </c>
      <c r="I31" s="3" t="n">
        <v>1.1</v>
      </c>
      <c r="J31" s="3" t="n">
        <v>1.1</v>
      </c>
      <c r="K31" s="3" t="n">
        <v>1.1</v>
      </c>
      <c r="L31" s="3" t="n">
        <v>1.1</v>
      </c>
    </row>
    <row r="32" customFormat="false" ht="15" hidden="false" customHeight="false" outlineLevel="0" collapsed="false">
      <c r="A32" s="0" t="s">
        <v>104</v>
      </c>
      <c r="C32" s="3" t="n">
        <v>1.4</v>
      </c>
      <c r="D32" s="3" t="n">
        <v>1.4</v>
      </c>
      <c r="E32" s="3" t="n">
        <v>1.35</v>
      </c>
      <c r="F32" s="3" t="n">
        <v>1.35</v>
      </c>
      <c r="G32" s="3" t="n">
        <v>1.3</v>
      </c>
      <c r="H32" s="3" t="n">
        <v>1.3</v>
      </c>
      <c r="I32" s="3" t="n">
        <v>1.3</v>
      </c>
      <c r="J32" s="3" t="n">
        <v>1.3</v>
      </c>
      <c r="K32" s="3" t="n">
        <v>1.3</v>
      </c>
      <c r="L32" s="3" t="n">
        <v>1.3</v>
      </c>
    </row>
    <row r="33" customFormat="false" ht="15" hidden="false" customHeight="false" outlineLevel="0" collapsed="false">
      <c r="A33" s="0" t="s">
        <v>105</v>
      </c>
      <c r="C33" s="3" t="n">
        <v>6</v>
      </c>
      <c r="D33" s="3" t="n">
        <v>9</v>
      </c>
      <c r="E33" s="3" t="n">
        <v>12</v>
      </c>
      <c r="F33" s="3" t="n">
        <v>14</v>
      </c>
      <c r="G33" s="3" t="n">
        <v>16</v>
      </c>
      <c r="H33" s="3" t="n">
        <v>17</v>
      </c>
      <c r="I33" s="3" t="n">
        <v>18</v>
      </c>
      <c r="J33" s="3" t="n">
        <v>18</v>
      </c>
      <c r="K33" s="3" t="n">
        <v>18</v>
      </c>
      <c r="L33" s="3" t="n">
        <v>18</v>
      </c>
    </row>
    <row r="34" customFormat="false" ht="15" hidden="false" customHeight="false" outlineLevel="0" collapsed="false">
      <c r="A34" s="0" t="s">
        <v>106</v>
      </c>
      <c r="B34" s="3" t="n">
        <v>10</v>
      </c>
    </row>
    <row r="35" customFormat="false" ht="15" hidden="false" customHeight="false" outlineLevel="0" collapsed="false">
      <c r="A35" s="0" t="s">
        <v>107</v>
      </c>
      <c r="B35" s="3" t="n">
        <v>2.5</v>
      </c>
    </row>
    <row r="36" customFormat="false" ht="15" hidden="false" customHeight="false" outlineLevel="0" collapsed="false">
      <c r="A36" s="0" t="s">
        <v>108</v>
      </c>
      <c r="B36" s="3" t="n">
        <v>18</v>
      </c>
    </row>
    <row r="37" customFormat="false" ht="15" hidden="false" customHeight="false" outlineLevel="0" collapsed="false">
      <c r="A37" s="0" t="s">
        <v>109</v>
      </c>
      <c r="B37" s="3" t="n">
        <v>10</v>
      </c>
    </row>
    <row r="38" customFormat="false" ht="15" hidden="false" customHeight="false" outlineLevel="0" collapsed="false">
      <c r="A38" s="0" t="s">
        <v>110</v>
      </c>
      <c r="B38" s="3" t="n">
        <v>0.5</v>
      </c>
    </row>
    <row r="40" customFormat="false" ht="15" hidden="false" customHeight="false" outlineLevel="0" collapsed="false">
      <c r="A40" s="2" t="s">
        <v>112</v>
      </c>
      <c r="C40" s="2" t="s">
        <v>89</v>
      </c>
      <c r="D40" s="2" t="s">
        <v>90</v>
      </c>
      <c r="E40" s="2" t="s">
        <v>91</v>
      </c>
      <c r="F40" s="2" t="s">
        <v>92</v>
      </c>
      <c r="G40" s="2" t="s">
        <v>93</v>
      </c>
      <c r="H40" s="2" t="s">
        <v>94</v>
      </c>
      <c r="I40" s="2" t="s">
        <v>95</v>
      </c>
      <c r="J40" s="2" t="s">
        <v>96</v>
      </c>
      <c r="K40" s="2" t="s">
        <v>97</v>
      </c>
      <c r="L40" s="2" t="s">
        <v>98</v>
      </c>
    </row>
    <row r="41" customFormat="false" ht="15" hidden="false" customHeight="false" outlineLevel="0" collapsed="false">
      <c r="A41" s="0" t="s">
        <v>99</v>
      </c>
      <c r="C41" s="3" t="n">
        <v>12</v>
      </c>
      <c r="D41" s="3" t="n">
        <v>12</v>
      </c>
      <c r="E41" s="3" t="n">
        <v>11</v>
      </c>
      <c r="F41" s="3" t="n">
        <v>10</v>
      </c>
      <c r="G41" s="3" t="n">
        <v>9</v>
      </c>
      <c r="H41" s="3" t="n">
        <v>8</v>
      </c>
      <c r="I41" s="3" t="n">
        <v>7</v>
      </c>
      <c r="J41" s="3" t="n">
        <v>6</v>
      </c>
      <c r="K41" s="3" t="n">
        <v>5</v>
      </c>
      <c r="L41" s="3" t="n">
        <v>4</v>
      </c>
    </row>
    <row r="42" customFormat="false" ht="15" hidden="false" customHeight="false" outlineLevel="0" collapsed="false">
      <c r="A42" s="0" t="s">
        <v>100</v>
      </c>
      <c r="C42" s="3" t="n">
        <v>4.1</v>
      </c>
      <c r="D42" s="3" t="n">
        <v>4.7</v>
      </c>
      <c r="E42" s="3" t="n">
        <v>5.3</v>
      </c>
      <c r="F42" s="3" t="n">
        <v>5.8</v>
      </c>
      <c r="G42" s="3" t="n">
        <v>6.2</v>
      </c>
      <c r="H42" s="3" t="n">
        <v>6.5</v>
      </c>
      <c r="I42" s="3" t="n">
        <v>6.7</v>
      </c>
      <c r="J42" s="3" t="n">
        <v>6.9</v>
      </c>
      <c r="K42" s="3" t="n">
        <v>7</v>
      </c>
      <c r="L42" s="3" t="n">
        <v>7</v>
      </c>
    </row>
    <row r="43" customFormat="false" ht="15" hidden="false" customHeight="false" outlineLevel="0" collapsed="false">
      <c r="A43" s="0" t="s">
        <v>101</v>
      </c>
      <c r="C43" s="3" t="n">
        <v>1.2</v>
      </c>
      <c r="D43" s="3" t="n">
        <v>1.15</v>
      </c>
      <c r="E43" s="3" t="n">
        <v>1.1</v>
      </c>
      <c r="F43" s="3" t="n">
        <v>1.05</v>
      </c>
      <c r="G43" s="3" t="n">
        <v>1</v>
      </c>
      <c r="H43" s="3" t="n">
        <v>0.95</v>
      </c>
      <c r="I43" s="3" t="n">
        <v>0.9</v>
      </c>
      <c r="J43" s="3" t="n">
        <v>0.85</v>
      </c>
      <c r="K43" s="3" t="n">
        <v>0.8</v>
      </c>
      <c r="L43" s="3" t="n">
        <v>0.8</v>
      </c>
    </row>
    <row r="44" customFormat="false" ht="15" hidden="false" customHeight="false" outlineLevel="0" collapsed="false">
      <c r="A44" s="0" t="s">
        <v>102</v>
      </c>
      <c r="C44" s="3" t="n">
        <v>0.8</v>
      </c>
      <c r="D44" s="3" t="n">
        <v>0.8</v>
      </c>
      <c r="E44" s="3" t="n">
        <v>0.8</v>
      </c>
      <c r="F44" s="3" t="n">
        <v>0.8</v>
      </c>
      <c r="G44" s="3" t="n">
        <v>0.8</v>
      </c>
      <c r="H44" s="3" t="n">
        <v>0.8</v>
      </c>
      <c r="I44" s="3" t="n">
        <v>0.8</v>
      </c>
      <c r="J44" s="3" t="n">
        <v>0.8</v>
      </c>
      <c r="K44" s="3" t="n">
        <v>0.8</v>
      </c>
      <c r="L44" s="3" t="n">
        <v>0.8</v>
      </c>
    </row>
    <row r="45" customFormat="false" ht="15" hidden="false" customHeight="false" outlineLevel="0" collapsed="false">
      <c r="A45" s="0" t="s">
        <v>103</v>
      </c>
      <c r="C45" s="3" t="n">
        <v>1.1</v>
      </c>
      <c r="D45" s="3" t="n">
        <v>1.1</v>
      </c>
      <c r="E45" s="3" t="n">
        <v>1.1</v>
      </c>
      <c r="F45" s="3" t="n">
        <v>1.1</v>
      </c>
      <c r="G45" s="3" t="n">
        <v>1.1</v>
      </c>
      <c r="H45" s="3" t="n">
        <v>1.1</v>
      </c>
      <c r="I45" s="3" t="n">
        <v>1.1</v>
      </c>
      <c r="J45" s="3" t="n">
        <v>1.1</v>
      </c>
      <c r="K45" s="3" t="n">
        <v>1.1</v>
      </c>
      <c r="L45" s="3" t="n">
        <v>1.1</v>
      </c>
    </row>
    <row r="46" customFormat="false" ht="15" hidden="false" customHeight="false" outlineLevel="0" collapsed="false">
      <c r="A46" s="0" t="s">
        <v>104</v>
      </c>
      <c r="C46" s="3" t="n">
        <v>1.4</v>
      </c>
      <c r="D46" s="3" t="n">
        <v>1.4</v>
      </c>
      <c r="E46" s="3" t="n">
        <v>1.35</v>
      </c>
      <c r="F46" s="3" t="n">
        <v>1.35</v>
      </c>
      <c r="G46" s="3" t="n">
        <v>1.3</v>
      </c>
      <c r="H46" s="3" t="n">
        <v>1.3</v>
      </c>
      <c r="I46" s="3" t="n">
        <v>1.3</v>
      </c>
      <c r="J46" s="3" t="n">
        <v>1.3</v>
      </c>
      <c r="K46" s="3" t="n">
        <v>1.3</v>
      </c>
      <c r="L46" s="3" t="n">
        <v>1.3</v>
      </c>
    </row>
    <row r="47" customFormat="false" ht="15" hidden="false" customHeight="false" outlineLevel="0" collapsed="false">
      <c r="A47" s="0" t="s">
        <v>105</v>
      </c>
      <c r="C47" s="3" t="n">
        <v>6</v>
      </c>
      <c r="D47" s="3" t="n">
        <v>9</v>
      </c>
      <c r="E47" s="3" t="n">
        <v>12</v>
      </c>
      <c r="F47" s="3" t="n">
        <v>14</v>
      </c>
      <c r="G47" s="3" t="n">
        <v>16</v>
      </c>
      <c r="H47" s="3" t="n">
        <v>17</v>
      </c>
      <c r="I47" s="3" t="n">
        <v>18</v>
      </c>
      <c r="J47" s="3" t="n">
        <v>18</v>
      </c>
      <c r="K47" s="3" t="n">
        <v>18</v>
      </c>
      <c r="L47" s="3" t="n">
        <v>18</v>
      </c>
    </row>
    <row r="48" customFormat="false" ht="15" hidden="false" customHeight="false" outlineLevel="0" collapsed="false">
      <c r="A48" s="0" t="s">
        <v>106</v>
      </c>
      <c r="B48" s="3" t="n">
        <v>10</v>
      </c>
    </row>
    <row r="49" customFormat="false" ht="15" hidden="false" customHeight="false" outlineLevel="0" collapsed="false">
      <c r="A49" s="0" t="s">
        <v>107</v>
      </c>
      <c r="B49" s="3" t="n">
        <v>2.5</v>
      </c>
    </row>
    <row r="50" customFormat="false" ht="15" hidden="false" customHeight="false" outlineLevel="0" collapsed="false">
      <c r="A50" s="0" t="s">
        <v>108</v>
      </c>
      <c r="B50" s="3" t="n">
        <v>18</v>
      </c>
    </row>
    <row r="51" customFormat="false" ht="15" hidden="false" customHeight="false" outlineLevel="0" collapsed="false">
      <c r="A51" s="0" t="s">
        <v>109</v>
      </c>
      <c r="B51" s="3" t="n">
        <v>12</v>
      </c>
    </row>
    <row r="52" customFormat="false" ht="15" hidden="false" customHeight="false" outlineLevel="0" collapsed="false">
      <c r="A52" s="0" t="s">
        <v>110</v>
      </c>
      <c r="B52" s="3" t="n">
        <v>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113</v>
      </c>
    </row>
    <row r="3" customFormat="false" ht="15" hidden="false" customHeight="false" outlineLevel="0" collapsed="false">
      <c r="A3" s="0" t="s">
        <v>114</v>
      </c>
      <c r="B3" s="0" t="s">
        <v>75</v>
      </c>
      <c r="C3" s="2" t="s">
        <v>89</v>
      </c>
      <c r="D3" s="2" t="s">
        <v>90</v>
      </c>
      <c r="E3" s="2" t="s">
        <v>91</v>
      </c>
      <c r="F3" s="2" t="s">
        <v>92</v>
      </c>
      <c r="G3" s="2" t="s">
        <v>93</v>
      </c>
      <c r="H3" s="2" t="s">
        <v>94</v>
      </c>
      <c r="I3" s="2" t="s">
        <v>95</v>
      </c>
      <c r="J3" s="2" t="s">
        <v>96</v>
      </c>
      <c r="K3" s="2" t="s">
        <v>97</v>
      </c>
      <c r="L3" s="2" t="s">
        <v>98</v>
      </c>
    </row>
    <row r="4" customFormat="false" ht="15" hidden="false" customHeight="false" outlineLevel="0" collapsed="false">
      <c r="A4" s="0" t="s">
        <v>115</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99</v>
      </c>
      <c r="C5" s="4" t="n">
        <f aca="false">Assumptions!C13</f>
        <v>8</v>
      </c>
      <c r="D5" s="4" t="n">
        <f aca="false">Assumptions!D13</f>
        <v>6</v>
      </c>
      <c r="E5" s="4" t="n">
        <f aca="false">Assumptions!E13</f>
        <v>5</v>
      </c>
      <c r="F5" s="4" t="n">
        <f aca="false">Assumptions!F13</f>
        <v>4</v>
      </c>
      <c r="G5" s="4" t="n">
        <f aca="false">Assumptions!G13</f>
        <v>3.5</v>
      </c>
      <c r="H5" s="4" t="n">
        <f aca="false">Assumptions!H13</f>
        <v>3</v>
      </c>
      <c r="I5" s="4" t="n">
        <f aca="false">Assumptions!I13</f>
        <v>3</v>
      </c>
      <c r="J5" s="4" t="n">
        <f aca="false">Assumptions!J13</f>
        <v>2.5</v>
      </c>
      <c r="K5" s="4" t="n">
        <f aca="false">Assumptions!K13</f>
        <v>2.5</v>
      </c>
      <c r="L5" s="4" t="n">
        <f aca="false">Assumptions!L13</f>
        <v>2.5</v>
      </c>
    </row>
    <row r="6" customFormat="false" ht="15" hidden="false" customHeight="false" outlineLevel="0" collapsed="false">
      <c r="A6" s="0" t="s">
        <v>38</v>
      </c>
      <c r="B6" s="3" t="n">
        <v>16461.611</v>
      </c>
      <c r="C6" s="0" t="n">
        <f aca="false">B6*(1+C5/100)</f>
        <v>17778.53988</v>
      </c>
      <c r="D6" s="0" t="n">
        <f aca="false">C6*(1+D5/100)</f>
        <v>18845.2522728</v>
      </c>
      <c r="E6" s="0" t="n">
        <f aca="false">D6*(1+E5/100)</f>
        <v>19787.51488644</v>
      </c>
      <c r="F6" s="0" t="n">
        <f aca="false">E6*(1+F5/100)</f>
        <v>20579.0154818976</v>
      </c>
      <c r="G6" s="0" t="n">
        <f aca="false">F6*(1+G5/100)</f>
        <v>21299.281023764</v>
      </c>
      <c r="H6" s="0" t="n">
        <f aca="false">G6*(1+H5/100)</f>
        <v>21938.2594544769</v>
      </c>
      <c r="I6" s="0" t="n">
        <f aca="false">H6*(1+I5/100)</f>
        <v>22596.4072381112</v>
      </c>
      <c r="J6" s="0" t="n">
        <f aca="false">I6*(1+J5/100)</f>
        <v>23161.317419064</v>
      </c>
      <c r="K6" s="0" t="n">
        <f aca="false">J6*(1+K5/100)</f>
        <v>23740.3503545406</v>
      </c>
      <c r="L6" s="0" t="n">
        <f aca="false">K6*(1+L5/100)</f>
        <v>24333.8591134041</v>
      </c>
    </row>
    <row r="7" customFormat="false" ht="15" hidden="false" customHeight="false" outlineLevel="0" collapsed="false">
      <c r="A7" s="0" t="s">
        <v>100</v>
      </c>
      <c r="C7" s="4" t="n">
        <f aca="false">Assumptions!C14</f>
        <v>3.5</v>
      </c>
      <c r="D7" s="4" t="n">
        <f aca="false">Assumptions!D14</f>
        <v>3.5</v>
      </c>
      <c r="E7" s="4" t="n">
        <f aca="false">Assumptions!E14</f>
        <v>3.6</v>
      </c>
      <c r="F7" s="4" t="n">
        <f aca="false">Assumptions!F14</f>
        <v>3.7</v>
      </c>
      <c r="G7" s="4" t="n">
        <f aca="false">Assumptions!G14</f>
        <v>3.8</v>
      </c>
      <c r="H7" s="4" t="n">
        <f aca="false">Assumptions!H14</f>
        <v>3.9</v>
      </c>
      <c r="I7" s="4" t="n">
        <f aca="false">Assumptions!I14</f>
        <v>4</v>
      </c>
      <c r="J7" s="4" t="n">
        <f aca="false">Assumptions!J14</f>
        <v>4</v>
      </c>
      <c r="K7" s="4" t="n">
        <f aca="false">Assumptions!K14</f>
        <v>4</v>
      </c>
      <c r="L7" s="4" t="n">
        <f aca="false">Assumptions!L14</f>
        <v>4</v>
      </c>
    </row>
    <row r="8" customFormat="false" ht="15" hidden="false" customHeight="false" outlineLevel="0" collapsed="false">
      <c r="A8" s="0" t="s">
        <v>44</v>
      </c>
      <c r="C8" s="0" t="n">
        <f aca="false">C6*C7/100</f>
        <v>622.2488958</v>
      </c>
      <c r="D8" s="0" t="n">
        <f aca="false">D6*D7/100</f>
        <v>659.583829548</v>
      </c>
      <c r="E8" s="0" t="n">
        <f aca="false">E6*E7/100</f>
        <v>712.35053591184</v>
      </c>
      <c r="F8" s="0" t="n">
        <f aca="false">F6*F7/100</f>
        <v>761.423572830211</v>
      </c>
      <c r="G8" s="0" t="n">
        <f aca="false">G6*G7/100</f>
        <v>809.372678903033</v>
      </c>
      <c r="H8" s="0" t="n">
        <f aca="false">H6*H7/100</f>
        <v>855.592118724601</v>
      </c>
      <c r="I8" s="0" t="n">
        <f aca="false">I6*I7/100</f>
        <v>903.85628952445</v>
      </c>
      <c r="J8" s="0" t="n">
        <f aca="false">J6*J7/100</f>
        <v>926.452696762561</v>
      </c>
      <c r="K8" s="0" t="n">
        <f aca="false">K6*K7/100</f>
        <v>949.614014181625</v>
      </c>
      <c r="L8" s="0" t="n">
        <f aca="false">L6*L7/100</f>
        <v>973.354364536165</v>
      </c>
    </row>
    <row r="9" customFormat="false" ht="15" hidden="false" customHeight="false" outlineLevel="0" collapsed="false">
      <c r="A9" s="0" t="s">
        <v>101</v>
      </c>
      <c r="C9" s="4" t="n">
        <f aca="false">Assumptions!C15</f>
        <v>1.2</v>
      </c>
      <c r="D9" s="4" t="n">
        <f aca="false">Assumptions!D15</f>
        <v>1.15</v>
      </c>
      <c r="E9" s="4" t="n">
        <f aca="false">Assumptions!E15</f>
        <v>1.1</v>
      </c>
      <c r="F9" s="4" t="n">
        <f aca="false">Assumptions!F15</f>
        <v>1.05</v>
      </c>
      <c r="G9" s="4" t="n">
        <f aca="false">Assumptions!G15</f>
        <v>1</v>
      </c>
      <c r="H9" s="4" t="n">
        <f aca="false">Assumptions!H15</f>
        <v>1</v>
      </c>
      <c r="I9" s="4" t="n">
        <f aca="false">Assumptions!I15</f>
        <v>0.95</v>
      </c>
      <c r="J9" s="4" t="n">
        <f aca="false">Assumptions!J15</f>
        <v>0.9</v>
      </c>
      <c r="K9" s="4" t="n">
        <f aca="false">Assumptions!K15</f>
        <v>0.9</v>
      </c>
      <c r="L9" s="4" t="n">
        <f aca="false">Assumptions!L15</f>
        <v>0.9</v>
      </c>
    </row>
    <row r="10" customFormat="false" ht="15" hidden="false" customHeight="false" outlineLevel="0" collapsed="false">
      <c r="A10" s="0" t="s">
        <v>116</v>
      </c>
      <c r="C10" s="0" t="n">
        <f aca="false">-C6*C9/100</f>
        <v>-213.34247856</v>
      </c>
      <c r="D10" s="0" t="n">
        <f aca="false">-D6*D9/100</f>
        <v>-216.7204011372</v>
      </c>
      <c r="E10" s="0" t="n">
        <f aca="false">-E6*E9/100</f>
        <v>-217.66266375084</v>
      </c>
      <c r="F10" s="0" t="n">
        <f aca="false">-F6*F9/100</f>
        <v>-216.079662559925</v>
      </c>
      <c r="G10" s="0" t="n">
        <f aca="false">-G6*G9/100</f>
        <v>-212.99281023764</v>
      </c>
      <c r="H10" s="0" t="n">
        <f aca="false">-H6*H9/100</f>
        <v>-219.382594544769</v>
      </c>
      <c r="I10" s="0" t="n">
        <f aca="false">-I6*I9/100</f>
        <v>-214.665868762057</v>
      </c>
      <c r="J10" s="0" t="n">
        <f aca="false">-J6*J9/100</f>
        <v>-208.451856771576</v>
      </c>
      <c r="K10" s="0" t="n">
        <f aca="false">-K6*K9/100</f>
        <v>-213.663153190866</v>
      </c>
      <c r="L10" s="0" t="n">
        <f aca="false">-L6*L9/100</f>
        <v>-219.004732020637</v>
      </c>
    </row>
    <row r="11" customFormat="false" ht="15" hidden="false" customHeight="false" outlineLevel="0" collapsed="false">
      <c r="A11" s="0" t="s">
        <v>117</v>
      </c>
      <c r="C11" s="0" t="n">
        <f aca="false">C8+C10+C24</f>
        <v>266.6780982</v>
      </c>
      <c r="D11" s="0" t="n">
        <f aca="false">D8+D10+D24</f>
        <v>292.1014102284</v>
      </c>
      <c r="E11" s="0" t="n">
        <f aca="false">E8+E10+E24</f>
        <v>336.38775306948</v>
      </c>
      <c r="F11" s="0" t="n">
        <f aca="false">F8+F10+F24</f>
        <v>380.711786415106</v>
      </c>
      <c r="G11" s="0" t="n">
        <f aca="false">G8+G10+G24</f>
        <v>425.98562047528</v>
      </c>
      <c r="H11" s="0" t="n">
        <f aca="false">H8+H10+H24</f>
        <v>460.703448544016</v>
      </c>
      <c r="I11" s="0" t="n">
        <f aca="false">I8+I10+I24</f>
        <v>508.419162857503</v>
      </c>
      <c r="J11" s="0" t="n">
        <f aca="false">J8+J10+J24</f>
        <v>532.710300638472</v>
      </c>
      <c r="K11" s="0" t="n">
        <f aca="false">K8+K10+K24</f>
        <v>546.028058154434</v>
      </c>
      <c r="L11" s="0" t="n">
        <f aca="false">L8+L10+L24</f>
        <v>559.678759608295</v>
      </c>
    </row>
    <row r="12" customFormat="false" ht="15" hidden="false" customHeight="false" outlineLevel="0" collapsed="false">
      <c r="A12" s="0" t="s">
        <v>118</v>
      </c>
      <c r="C12" s="4" t="n">
        <f aca="false">-C6*Assumptions!C17/100</f>
        <v>-195.56393868</v>
      </c>
      <c r="D12" s="4" t="n">
        <f aca="false">-D6*Assumptions!D17/100</f>
        <v>-207.2977750008</v>
      </c>
      <c r="E12" s="4" t="n">
        <f aca="false">-E6*Assumptions!E17/100</f>
        <v>-217.66266375084</v>
      </c>
      <c r="F12" s="4" t="n">
        <f aca="false">-F6*Assumptions!F17/100</f>
        <v>-226.369170300874</v>
      </c>
      <c r="G12" s="4" t="n">
        <f aca="false">-G6*Assumptions!G17/100</f>
        <v>-234.292091261404</v>
      </c>
      <c r="H12" s="4" t="n">
        <f aca="false">-H6*Assumptions!H17/100</f>
        <v>-241.320853999246</v>
      </c>
      <c r="I12" s="4" t="n">
        <f aca="false">-I6*Assumptions!I17/100</f>
        <v>-248.560479619224</v>
      </c>
      <c r="J12" s="4" t="n">
        <f aca="false">-J6*Assumptions!J17/100</f>
        <v>-254.774491609704</v>
      </c>
      <c r="K12" s="4" t="n">
        <f aca="false">-K6*Assumptions!K17/100</f>
        <v>-261.143853899947</v>
      </c>
      <c r="L12" s="4" t="n">
        <f aca="false">-L6*Assumptions!L17/100</f>
        <v>-267.672450247446</v>
      </c>
    </row>
    <row r="13" customFormat="false" ht="15" hidden="false" customHeight="false" outlineLevel="0" collapsed="false">
      <c r="A13" s="0" t="s">
        <v>119</v>
      </c>
      <c r="C13" s="0" t="n">
        <f aca="false">C11+C12</f>
        <v>71.11415952</v>
      </c>
      <c r="D13" s="0" t="n">
        <f aca="false">D11+D12</f>
        <v>84.8036352276</v>
      </c>
      <c r="E13" s="0" t="n">
        <f aca="false">E11+E12</f>
        <v>118.72508931864</v>
      </c>
      <c r="F13" s="0" t="n">
        <f aca="false">F11+F12</f>
        <v>154.342616114232</v>
      </c>
      <c r="G13" s="0" t="n">
        <f aca="false">G11+G12</f>
        <v>191.693529213876</v>
      </c>
      <c r="H13" s="0" t="n">
        <f aca="false">H11+H12</f>
        <v>219.382594544769</v>
      </c>
      <c r="I13" s="0" t="n">
        <f aca="false">I11+I12</f>
        <v>259.858683238279</v>
      </c>
      <c r="J13" s="0" t="n">
        <f aca="false">J11+J12</f>
        <v>277.935809028768</v>
      </c>
      <c r="K13" s="0" t="n">
        <f aca="false">K11+K12</f>
        <v>284.884204254487</v>
      </c>
      <c r="L13" s="0" t="n">
        <f aca="false">L11+L12</f>
        <v>292.006309360849</v>
      </c>
    </row>
    <row r="14" customFormat="false" ht="15" hidden="false" customHeight="false" outlineLevel="0" collapsed="false">
      <c r="A14" s="0" t="s">
        <v>105</v>
      </c>
      <c r="C14" s="4" t="n">
        <f aca="false">Assumptions!C19</f>
        <v>6</v>
      </c>
      <c r="D14" s="4" t="n">
        <f aca="false">Assumptions!D19</f>
        <v>9</v>
      </c>
      <c r="E14" s="4" t="n">
        <f aca="false">Assumptions!E19</f>
        <v>12</v>
      </c>
      <c r="F14" s="4" t="n">
        <f aca="false">Assumptions!F19</f>
        <v>15</v>
      </c>
      <c r="G14" s="4" t="n">
        <f aca="false">Assumptions!G19</f>
        <v>18</v>
      </c>
      <c r="H14" s="4" t="n">
        <f aca="false">Assumptions!H19</f>
        <v>20</v>
      </c>
      <c r="I14" s="4" t="n">
        <f aca="false">Assumptions!I19</f>
        <v>20</v>
      </c>
      <c r="J14" s="4" t="n">
        <f aca="false">Assumptions!J19</f>
        <v>20</v>
      </c>
      <c r="K14" s="4" t="n">
        <f aca="false">Assumptions!K19</f>
        <v>20</v>
      </c>
      <c r="L14" s="4" t="n">
        <f aca="false">Assumptions!L19</f>
        <v>20</v>
      </c>
    </row>
    <row r="15" customFormat="false" ht="15" hidden="false" customHeight="false" outlineLevel="0" collapsed="false">
      <c r="A15" s="0" t="s">
        <v>120</v>
      </c>
      <c r="C15" s="0" t="n">
        <f aca="false">C13-MAX(0,C13)*C14/100</f>
        <v>66.8473099488</v>
      </c>
      <c r="D15" s="0" t="n">
        <f aca="false">D13-MAX(0,D13)*D14/100</f>
        <v>77.171308057116</v>
      </c>
      <c r="E15" s="0" t="n">
        <f aca="false">E13-MAX(0,E13)*E14/100</f>
        <v>104.478078600403</v>
      </c>
      <c r="F15" s="0" t="n">
        <f aca="false">F13-MAX(0,F13)*F14/100</f>
        <v>131.191223697097</v>
      </c>
      <c r="G15" s="0" t="n">
        <f aca="false">G13-MAX(0,G13)*G14/100</f>
        <v>157.188693955378</v>
      </c>
      <c r="H15" s="0" t="n">
        <f aca="false">H13-MAX(0,H13)*H14/100</f>
        <v>175.506075635815</v>
      </c>
      <c r="I15" s="0" t="n">
        <f aca="false">I13-MAX(0,I13)*I14/100</f>
        <v>207.886946590624</v>
      </c>
      <c r="J15" s="0" t="n">
        <f aca="false">J13-MAX(0,J13)*J14/100</f>
        <v>222.348647223015</v>
      </c>
      <c r="K15" s="0" t="n">
        <f aca="false">K13-MAX(0,K13)*K14/100</f>
        <v>227.90736340359</v>
      </c>
      <c r="L15" s="0" t="n">
        <f aca="false">L13-MAX(0,L13)*L14/100</f>
        <v>233.60504748868</v>
      </c>
    </row>
    <row r="16" customFormat="false" ht="15" hidden="false" customHeight="false" outlineLevel="0" collapsed="false">
      <c r="A16" s="0" t="s">
        <v>121</v>
      </c>
      <c r="C16" s="0" t="n">
        <f aca="false">-C12</f>
        <v>195.56393868</v>
      </c>
      <c r="D16" s="0" t="n">
        <f aca="false">-D12</f>
        <v>207.2977750008</v>
      </c>
      <c r="E16" s="0" t="n">
        <f aca="false">-E12</f>
        <v>217.66266375084</v>
      </c>
      <c r="F16" s="0" t="n">
        <f aca="false">-F12</f>
        <v>226.369170300874</v>
      </c>
      <c r="G16" s="0" t="n">
        <f aca="false">-G12</f>
        <v>234.292091261404</v>
      </c>
      <c r="H16" s="0" t="n">
        <f aca="false">-H12</f>
        <v>241.320853999246</v>
      </c>
      <c r="I16" s="0" t="n">
        <f aca="false">-I12</f>
        <v>248.560479619224</v>
      </c>
      <c r="J16" s="0" t="n">
        <f aca="false">-J12</f>
        <v>254.774491609704</v>
      </c>
      <c r="K16" s="0" t="n">
        <f aca="false">-K12</f>
        <v>261.143853899947</v>
      </c>
      <c r="L16" s="0" t="n">
        <f aca="false">-L12</f>
        <v>267.672450247446</v>
      </c>
    </row>
    <row r="17" customFormat="false" ht="15" hidden="false" customHeight="false" outlineLevel="0" collapsed="false">
      <c r="A17" s="0" t="s">
        <v>122</v>
      </c>
      <c r="C17" s="4" t="n">
        <f aca="false">-C6*Assumptions!C18/100</f>
        <v>-248.89955832</v>
      </c>
      <c r="D17" s="4" t="n">
        <f aca="false">-D6*Assumptions!D18/100</f>
        <v>-263.8335318192</v>
      </c>
      <c r="E17" s="4" t="n">
        <f aca="false">-E6*Assumptions!E18/100</f>
        <v>-277.02520841016</v>
      </c>
      <c r="F17" s="4" t="n">
        <f aca="false">-F6*Assumptions!F18/100</f>
        <v>-288.106216746566</v>
      </c>
      <c r="G17" s="4" t="n">
        <f aca="false">-G6*Assumptions!G18/100</f>
        <v>-298.189934332696</v>
      </c>
      <c r="H17" s="4" t="n">
        <f aca="false">-H6*Assumptions!H18/100</f>
        <v>-307.135632362677</v>
      </c>
      <c r="I17" s="4" t="n">
        <f aca="false">-I6*Assumptions!I18/100</f>
        <v>-316.349701333557</v>
      </c>
      <c r="J17" s="4" t="n">
        <f aca="false">-J6*Assumptions!J18/100</f>
        <v>-324.258443866896</v>
      </c>
      <c r="K17" s="4" t="n">
        <f aca="false">-K6*Assumptions!K18/100</f>
        <v>-332.364904963569</v>
      </c>
      <c r="L17" s="4" t="n">
        <f aca="false">-L6*Assumptions!L18/100</f>
        <v>-340.674027587658</v>
      </c>
    </row>
    <row r="18" customFormat="false" ht="15" hidden="false" customHeight="false" outlineLevel="0" collapsed="false">
      <c r="A18" s="0" t="s">
        <v>123</v>
      </c>
      <c r="C18" s="4" t="n">
        <f aca="false">(C6-B6)*Assumptions!$B$23/100</f>
        <v>65.846444</v>
      </c>
      <c r="D18" s="4" t="n">
        <f aca="false">(D6-C6)*Assumptions!$B$23/100</f>
        <v>53.33561964</v>
      </c>
      <c r="E18" s="4" t="n">
        <f aca="false">(E6-D6)*Assumptions!$B$23/100</f>
        <v>47.113130682</v>
      </c>
      <c r="F18" s="4" t="n">
        <f aca="false">(F6-E6)*Assumptions!$B$23/100</f>
        <v>39.57502977288</v>
      </c>
      <c r="G18" s="4" t="n">
        <f aca="false">(G6-F6)*Assumptions!$B$23/100</f>
        <v>36.0132770933207</v>
      </c>
      <c r="H18" s="4" t="n">
        <f aca="false">(H6-G6)*Assumptions!$B$23/100</f>
        <v>31.948921535646</v>
      </c>
      <c r="I18" s="4" t="n">
        <f aca="false">(I6-H6)*Assumptions!$B$23/100</f>
        <v>32.9073891817154</v>
      </c>
      <c r="J18" s="4" t="n">
        <f aca="false">(J6-I6)*Assumptions!$B$23/100</f>
        <v>28.2455090476389</v>
      </c>
      <c r="K18" s="4" t="n">
        <f aca="false">(K6-J6)*Assumptions!$B$23/100</f>
        <v>28.95164677383</v>
      </c>
      <c r="L18" s="4" t="n">
        <f aca="false">(L6-K6)*Assumptions!$B$23/100</f>
        <v>29.6754379431757</v>
      </c>
    </row>
    <row r="19" customFormat="false" ht="15" hidden="false" customHeight="false" outlineLevel="0" collapsed="false">
      <c r="A19" s="0" t="s">
        <v>124</v>
      </c>
      <c r="C19" s="0" t="n">
        <f aca="false">C15+C16+C17+C18</f>
        <v>79.3581343088</v>
      </c>
      <c r="D19" s="0" t="n">
        <f aca="false">D15+D16+D17+D18</f>
        <v>73.971170878716</v>
      </c>
      <c r="E19" s="0" t="n">
        <f aca="false">E15+E16+E17+E18</f>
        <v>92.2286646230832</v>
      </c>
      <c r="F19" s="0" t="n">
        <f aca="false">F15+F16+F17+F18</f>
        <v>109.029207024285</v>
      </c>
      <c r="G19" s="0" t="n">
        <f aca="false">G15+G16+G17+G18</f>
        <v>129.304127977407</v>
      </c>
      <c r="H19" s="0" t="n">
        <f aca="false">H15+H16+H17+H18</f>
        <v>141.640218808031</v>
      </c>
      <c r="I19" s="0" t="n">
        <f aca="false">I15+I16+I17+I18</f>
        <v>173.005114058005</v>
      </c>
      <c r="J19" s="0" t="n">
        <f aca="false">J15+J16+J17+J18</f>
        <v>181.110204013461</v>
      </c>
      <c r="K19" s="0" t="n">
        <f aca="false">K15+K16+K17+K18</f>
        <v>185.637959113798</v>
      </c>
      <c r="L19" s="0" t="n">
        <f aca="false">L15+L16+L17+L18</f>
        <v>190.278908091643</v>
      </c>
    </row>
    <row r="20" customFormat="false" ht="15" hidden="false" customHeight="false" outlineLevel="0" collapsed="false">
      <c r="A20" s="0" t="s">
        <v>125</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126</v>
      </c>
      <c r="C21" s="0" t="n">
        <f aca="false">C19*C20</f>
        <v>72.1437584625455</v>
      </c>
      <c r="D21" s="0" t="n">
        <f aca="false">D19*D20</f>
        <v>61.133199073319</v>
      </c>
      <c r="E21" s="0" t="n">
        <f aca="false">E19*E20</f>
        <v>69.2927607987101</v>
      </c>
      <c r="F21" s="0" t="n">
        <f aca="false">F19*F20</f>
        <v>74.4684154253702</v>
      </c>
      <c r="G21" s="0" t="n">
        <f aca="false">G19*G20</f>
        <v>80.2876902207419</v>
      </c>
      <c r="H21" s="0" t="n">
        <f aca="false">H19*H20</f>
        <v>79.952210964246</v>
      </c>
      <c r="I21" s="0" t="n">
        <f aca="false">I19*I20</f>
        <v>88.7789787742947</v>
      </c>
      <c r="J21" s="0" t="n">
        <f aca="false">J19*J20</f>
        <v>84.4892468035702</v>
      </c>
      <c r="K21" s="0" t="n">
        <f aca="false">K19*K20</f>
        <v>78.7286163396904</v>
      </c>
      <c r="L21" s="0" t="n">
        <f aca="false">L19*L20</f>
        <v>73.3607561347115</v>
      </c>
    </row>
    <row r="23" customFormat="false" ht="15" hidden="false" customHeight="false" outlineLevel="0" collapsed="false">
      <c r="A23" s="0" t="s">
        <v>102</v>
      </c>
      <c r="C23" s="4" t="n">
        <f aca="false">Assumptions!C16</f>
        <v>0.8</v>
      </c>
      <c r="D23" s="4" t="n">
        <f aca="false">Assumptions!D16</f>
        <v>0.8</v>
      </c>
      <c r="E23" s="4" t="n">
        <f aca="false">Assumptions!E16</f>
        <v>0.8</v>
      </c>
      <c r="F23" s="4" t="n">
        <f aca="false">Assumptions!F16</f>
        <v>0.8</v>
      </c>
      <c r="G23" s="4" t="n">
        <f aca="false">Assumptions!G16</f>
        <v>0.8</v>
      </c>
      <c r="H23" s="4" t="n">
        <f aca="false">Assumptions!H16</f>
        <v>0.8</v>
      </c>
      <c r="I23" s="4" t="n">
        <f aca="false">Assumptions!I16</f>
        <v>0.8</v>
      </c>
      <c r="J23" s="4" t="n">
        <f aca="false">Assumptions!J16</f>
        <v>0.8</v>
      </c>
      <c r="K23" s="4" t="n">
        <f aca="false">Assumptions!K16</f>
        <v>0.8</v>
      </c>
      <c r="L23" s="4" t="n">
        <f aca="false">Assumptions!L16</f>
        <v>0.8</v>
      </c>
    </row>
    <row r="24" customFormat="false" ht="15" hidden="false" customHeight="false" outlineLevel="0" collapsed="false">
      <c r="A24" s="0" t="s">
        <v>127</v>
      </c>
      <c r="C24" s="0" t="n">
        <f aca="false">-C6*C23/100</f>
        <v>-142.22831904</v>
      </c>
      <c r="D24" s="0" t="n">
        <f aca="false">-D6*D23/100</f>
        <v>-150.7620181824</v>
      </c>
      <c r="E24" s="0" t="n">
        <f aca="false">-E6*E23/100</f>
        <v>-158.30011909152</v>
      </c>
      <c r="F24" s="0" t="n">
        <f aca="false">-F6*F23/100</f>
        <v>-164.632123855181</v>
      </c>
      <c r="G24" s="0" t="n">
        <f aca="false">-G6*G23/100</f>
        <v>-170.394248190112</v>
      </c>
      <c r="H24" s="0" t="n">
        <f aca="false">-H6*H23/100</f>
        <v>-175.506075635815</v>
      </c>
      <c r="I24" s="0" t="n">
        <f aca="false">-I6*I23/100</f>
        <v>-180.77125790489</v>
      </c>
      <c r="J24" s="0" t="n">
        <f aca="false">-J6*J23/100</f>
        <v>-185.290539352512</v>
      </c>
      <c r="K24" s="0" t="n">
        <f aca="false">-K6*K23/100</f>
        <v>-189.922802836325</v>
      </c>
      <c r="L24" s="0" t="n">
        <f aca="false">-L6*L23/100</f>
        <v>-194.670872907233</v>
      </c>
    </row>
    <row r="26" customFormat="false" ht="15" hidden="false" customHeight="false" outlineLevel="0" collapsed="false">
      <c r="A26" s="2" t="s">
        <v>128</v>
      </c>
    </row>
    <row r="27" customFormat="false" ht="15" hidden="false" customHeight="false" outlineLevel="0" collapsed="false">
      <c r="A27" s="0" t="s">
        <v>106</v>
      </c>
      <c r="B27" s="4" t="n">
        <f aca="false">Assumptions!$B$20</f>
        <v>10</v>
      </c>
    </row>
    <row r="28" customFormat="false" ht="15" hidden="false" customHeight="false" outlineLevel="0" collapsed="false">
      <c r="A28" s="0" t="s">
        <v>107</v>
      </c>
      <c r="B28" s="4" t="n">
        <f aca="false">Assumptions!$B$21</f>
        <v>2.5</v>
      </c>
    </row>
    <row r="29" customFormat="false" ht="15" hidden="false" customHeight="false" outlineLevel="0" collapsed="false">
      <c r="A29" s="0" t="s">
        <v>108</v>
      </c>
      <c r="B29" s="4" t="n">
        <f aca="false">Assumptions!$B$22</f>
        <v>18</v>
      </c>
    </row>
    <row r="30" customFormat="false" ht="15" hidden="false" customHeight="false" outlineLevel="0" collapsed="false">
      <c r="A30" s="0" t="s">
        <v>129</v>
      </c>
      <c r="B30" s="0" t="n">
        <f aca="false">SUM(C21:L21)</f>
        <v>762.635632997199</v>
      </c>
    </row>
    <row r="31" customFormat="false" ht="15" hidden="false" customHeight="false" outlineLevel="0" collapsed="false">
      <c r="A31" s="0" t="s">
        <v>130</v>
      </c>
      <c r="B31" s="0" t="n">
        <f aca="false">L19</f>
        <v>190.278908091643</v>
      </c>
    </row>
    <row r="32" customFormat="false" ht="15" hidden="false" customHeight="false" outlineLevel="0" collapsed="false">
      <c r="A32" s="0" t="s">
        <v>131</v>
      </c>
      <c r="B32" s="0" t="n">
        <f aca="false">IF(B27&gt;B28,B31*(1+B28/100)/((B27-B28)/100),B31*B29)</f>
        <v>2600.47841058579</v>
      </c>
    </row>
    <row r="33" customFormat="false" ht="15" hidden="false" customHeight="false" outlineLevel="0" collapsed="false">
      <c r="A33" s="0" t="s">
        <v>132</v>
      </c>
      <c r="B33" s="0" t="n">
        <f aca="false">B31*B29</f>
        <v>3425.02034564957</v>
      </c>
    </row>
    <row r="34" customFormat="false" ht="15" hidden="false" customHeight="false" outlineLevel="0" collapsed="false">
      <c r="A34" s="0" t="s">
        <v>133</v>
      </c>
      <c r="B34" s="0" t="n">
        <f aca="false">MAX(0,MIN(B32,B33))</f>
        <v>2600.47841058579</v>
      </c>
    </row>
    <row r="35" customFormat="false" ht="15" hidden="false" customHeight="false" outlineLevel="0" collapsed="false">
      <c r="A35" s="0" t="s">
        <v>134</v>
      </c>
      <c r="B35" s="0" t="n">
        <f aca="false">B34/(1+B27/100)^L4</f>
        <v>1002.59700050772</v>
      </c>
    </row>
    <row r="36" customFormat="false" ht="15" hidden="false" customHeight="false" outlineLevel="0" collapsed="false">
      <c r="A36" s="0" t="s">
        <v>135</v>
      </c>
      <c r="B36" s="0" t="n">
        <f aca="false">B30+B35</f>
        <v>1765.23263350492</v>
      </c>
    </row>
    <row r="37" customFormat="false" ht="15" hidden="false" customHeight="false" outlineLevel="0" collapsed="false">
      <c r="A37" s="0" t="s">
        <v>136</v>
      </c>
      <c r="B37" s="0" t="n">
        <f aca="false">B36+Assumptions!$B$5-Assumptions!$B$4</f>
        <v>8221.20263350492</v>
      </c>
    </row>
    <row r="38" customFormat="false" ht="15" hidden="false" customHeight="false" outlineLevel="0" collapsed="false">
      <c r="A38" s="0" t="s">
        <v>137</v>
      </c>
      <c r="B38" s="0" t="n">
        <f aca="false">B37/Assumptions!$B$3*Assumptions!$B$10</f>
        <v>12.3929830306709</v>
      </c>
    </row>
    <row r="39" customFormat="false" ht="15" hidden="false" customHeight="false" outlineLevel="0" collapsed="false">
      <c r="A39" s="0" t="s">
        <v>138</v>
      </c>
      <c r="B39" s="4" t="n">
        <f aca="false">B38/Assumptions!$B$2-1</f>
        <v>0.075779776967964</v>
      </c>
    </row>
    <row r="41" customFormat="false" ht="15" hidden="false" customHeight="false" outlineLevel="0" collapsed="false">
      <c r="A41" s="0" t="s">
        <v>139</v>
      </c>
      <c r="B41" s="0" t="n">
        <f aca="false">SUMPRODUCT(-C10:L10/(1+$B$27/100)^C4:L4)</f>
        <v>1322.71321006919</v>
      </c>
    </row>
    <row r="42" customFormat="false" ht="15" hidden="false" customHeight="false" outlineLevel="0" collapsed="false">
      <c r="A42" s="0" t="s">
        <v>140</v>
      </c>
      <c r="B42" s="0" t="n">
        <f aca="false">IF(B27&gt;B28,-L10*(1+B28/100)/((B27-B28)/100),-L10*20)/(1+B27/100)^L4</f>
        <v>1153.95599871288</v>
      </c>
    </row>
    <row r="43" customFormat="false" ht="15" hidden="false" customHeight="false" outlineLevel="0" collapsed="false">
      <c r="A43" s="0" t="s">
        <v>141</v>
      </c>
      <c r="B43" s="0" t="n">
        <f aca="false">(B37+B41+B42)/Assumptions!$B$3*Assumptions!$B$10</f>
        <v>16.1264172793213</v>
      </c>
    </row>
    <row r="45" customFormat="false" ht="15" hidden="false" customHeight="false" outlineLevel="0" collapsed="false">
      <c r="A45" s="0" t="s">
        <v>82</v>
      </c>
      <c r="B45" s="4" t="n">
        <f aca="false">Assumptions!$B$6</f>
        <v>15</v>
      </c>
    </row>
    <row r="46" customFormat="false" ht="15" hidden="false" customHeight="false" outlineLevel="0" collapsed="false">
      <c r="A46" s="0" t="s">
        <v>142</v>
      </c>
      <c r="B46" s="0" t="n">
        <f aca="false">MAX(0,MIN(IF(B45&gt;B28,B31*(1+B28/100)/((B45-B28)/100),B31*B29),B31*B29))</f>
        <v>1560.28704635147</v>
      </c>
    </row>
    <row r="47" customFormat="false" ht="15" hidden="false" customHeight="false" outlineLevel="0" collapsed="false">
      <c r="A47" s="0" t="s">
        <v>143</v>
      </c>
      <c r="B47" s="0" t="n">
        <f aca="false">(SUMPRODUCT(C19:L19/(1+B45/100)^C4:L4)+B46/(1+B45/100)^L4+Assumptions!$B$5-Assumptions!$B$4)/Assumptions!$B$3*Assumptions!$B$10</f>
        <v>11.2140675095322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144</v>
      </c>
    </row>
    <row r="3" customFormat="false" ht="15" hidden="false" customHeight="false" outlineLevel="0" collapsed="false">
      <c r="A3" s="0" t="s">
        <v>114</v>
      </c>
      <c r="B3" s="0" t="s">
        <v>75</v>
      </c>
      <c r="C3" s="2" t="s">
        <v>89</v>
      </c>
      <c r="D3" s="2" t="s">
        <v>90</v>
      </c>
      <c r="E3" s="2" t="s">
        <v>91</v>
      </c>
      <c r="F3" s="2" t="s">
        <v>92</v>
      </c>
      <c r="G3" s="2" t="s">
        <v>93</v>
      </c>
      <c r="H3" s="2" t="s">
        <v>94</v>
      </c>
      <c r="I3" s="2" t="s">
        <v>95</v>
      </c>
      <c r="J3" s="2" t="s">
        <v>96</v>
      </c>
      <c r="K3" s="2" t="s">
        <v>97</v>
      </c>
      <c r="L3" s="2" t="s">
        <v>98</v>
      </c>
    </row>
    <row r="4" customFormat="false" ht="15" hidden="false" customHeight="false" outlineLevel="0" collapsed="false">
      <c r="A4" s="0" t="s">
        <v>115</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99</v>
      </c>
      <c r="C5" s="4" t="n">
        <f aca="false">Assumptions!C27</f>
        <v>10.5</v>
      </c>
      <c r="D5" s="4" t="n">
        <f aca="false">Assumptions!D27</f>
        <v>9.5</v>
      </c>
      <c r="E5" s="4" t="n">
        <f aca="false">Assumptions!E27</f>
        <v>9</v>
      </c>
      <c r="F5" s="4" t="n">
        <f aca="false">Assumptions!F27</f>
        <v>8</v>
      </c>
      <c r="G5" s="4" t="n">
        <f aca="false">Assumptions!G27</f>
        <v>7</v>
      </c>
      <c r="H5" s="4" t="n">
        <f aca="false">Assumptions!H27</f>
        <v>6</v>
      </c>
      <c r="I5" s="4" t="n">
        <f aca="false">Assumptions!I27</f>
        <v>5</v>
      </c>
      <c r="J5" s="4" t="n">
        <f aca="false">Assumptions!J27</f>
        <v>4.5</v>
      </c>
      <c r="K5" s="4" t="n">
        <f aca="false">Assumptions!K27</f>
        <v>4</v>
      </c>
      <c r="L5" s="4" t="n">
        <f aca="false">Assumptions!L27</f>
        <v>3.5</v>
      </c>
    </row>
    <row r="6" customFormat="false" ht="15" hidden="false" customHeight="false" outlineLevel="0" collapsed="false">
      <c r="A6" s="0" t="s">
        <v>38</v>
      </c>
      <c r="B6" s="3" t="n">
        <v>16461.611</v>
      </c>
      <c r="C6" s="0" t="n">
        <f aca="false">B6*(1+C5/100)</f>
        <v>18190.080155</v>
      </c>
      <c r="D6" s="0" t="n">
        <f aca="false">C6*(1+D5/100)</f>
        <v>19918.137769725</v>
      </c>
      <c r="E6" s="0" t="n">
        <f aca="false">D6*(1+E5/100)</f>
        <v>21710.7701690003</v>
      </c>
      <c r="F6" s="0" t="n">
        <f aca="false">E6*(1+F5/100)</f>
        <v>23447.6317825203</v>
      </c>
      <c r="G6" s="0" t="n">
        <f aca="false">F6*(1+G5/100)</f>
        <v>25088.9660072967</v>
      </c>
      <c r="H6" s="0" t="n">
        <f aca="false">G6*(1+H5/100)</f>
        <v>26594.3039677345</v>
      </c>
      <c r="I6" s="0" t="n">
        <f aca="false">H6*(1+I5/100)</f>
        <v>27924.0191661212</v>
      </c>
      <c r="J6" s="0" t="n">
        <f aca="false">I6*(1+J5/100)</f>
        <v>29180.6000285967</v>
      </c>
      <c r="K6" s="0" t="n">
        <f aca="false">J6*(1+K5/100)</f>
        <v>30347.8240297405</v>
      </c>
      <c r="L6" s="0" t="n">
        <f aca="false">K6*(1+L5/100)</f>
        <v>31409.9978707815</v>
      </c>
    </row>
    <row r="7" customFormat="false" ht="15" hidden="false" customHeight="false" outlineLevel="0" collapsed="false">
      <c r="A7" s="0" t="s">
        <v>100</v>
      </c>
      <c r="C7" s="4" t="n">
        <f aca="false">Assumptions!C28</f>
        <v>3.9</v>
      </c>
      <c r="D7" s="4" t="n">
        <f aca="false">Assumptions!D28</f>
        <v>4.2</v>
      </c>
      <c r="E7" s="4" t="n">
        <f aca="false">Assumptions!E28</f>
        <v>4.5</v>
      </c>
      <c r="F7" s="4" t="n">
        <f aca="false">Assumptions!F28</f>
        <v>4.8</v>
      </c>
      <c r="G7" s="4" t="n">
        <f aca="false">Assumptions!G28</f>
        <v>5</v>
      </c>
      <c r="H7" s="4" t="n">
        <f aca="false">Assumptions!H28</f>
        <v>5.2</v>
      </c>
      <c r="I7" s="4" t="n">
        <f aca="false">Assumptions!I28</f>
        <v>5.3</v>
      </c>
      <c r="J7" s="4" t="n">
        <f aca="false">Assumptions!J28</f>
        <v>5.4</v>
      </c>
      <c r="K7" s="4" t="n">
        <f aca="false">Assumptions!K28</f>
        <v>5.5</v>
      </c>
      <c r="L7" s="4" t="n">
        <f aca="false">Assumptions!L28</f>
        <v>5.5</v>
      </c>
    </row>
    <row r="8" customFormat="false" ht="15" hidden="false" customHeight="false" outlineLevel="0" collapsed="false">
      <c r="A8" s="0" t="s">
        <v>44</v>
      </c>
      <c r="C8" s="0" t="n">
        <f aca="false">C6*C7/100</f>
        <v>709.413126045</v>
      </c>
      <c r="D8" s="0" t="n">
        <f aca="false">D6*D7/100</f>
        <v>836.56178632845</v>
      </c>
      <c r="E8" s="0" t="n">
        <f aca="false">E6*E7/100</f>
        <v>976.984657605011</v>
      </c>
      <c r="F8" s="0" t="n">
        <f aca="false">F6*F7/100</f>
        <v>1125.48632556097</v>
      </c>
      <c r="G8" s="0" t="n">
        <f aca="false">G6*G7/100</f>
        <v>1254.44830036483</v>
      </c>
      <c r="H8" s="0" t="n">
        <f aca="false">H6*H7/100</f>
        <v>1382.90380632219</v>
      </c>
      <c r="I8" s="0" t="n">
        <f aca="false">I6*I7/100</f>
        <v>1479.97301580442</v>
      </c>
      <c r="J8" s="0" t="n">
        <f aca="false">J6*J7/100</f>
        <v>1575.75240154422</v>
      </c>
      <c r="K8" s="0" t="n">
        <f aca="false">K6*K7/100</f>
        <v>1669.13032163573</v>
      </c>
      <c r="L8" s="0" t="n">
        <f aca="false">L6*L7/100</f>
        <v>1727.54988289298</v>
      </c>
    </row>
    <row r="9" customFormat="false" ht="15" hidden="false" customHeight="false" outlineLevel="0" collapsed="false">
      <c r="A9" s="0" t="s">
        <v>101</v>
      </c>
      <c r="C9" s="4" t="n">
        <f aca="false">Assumptions!C29</f>
        <v>1.2</v>
      </c>
      <c r="D9" s="4" t="n">
        <f aca="false">Assumptions!D29</f>
        <v>1.15</v>
      </c>
      <c r="E9" s="4" t="n">
        <f aca="false">Assumptions!E29</f>
        <v>1.1</v>
      </c>
      <c r="F9" s="4" t="n">
        <f aca="false">Assumptions!F29</f>
        <v>1.05</v>
      </c>
      <c r="G9" s="4" t="n">
        <f aca="false">Assumptions!G29</f>
        <v>1</v>
      </c>
      <c r="H9" s="4" t="n">
        <f aca="false">Assumptions!H29</f>
        <v>0.95</v>
      </c>
      <c r="I9" s="4" t="n">
        <f aca="false">Assumptions!I29</f>
        <v>0.9</v>
      </c>
      <c r="J9" s="4" t="n">
        <f aca="false">Assumptions!J29</f>
        <v>0.85</v>
      </c>
      <c r="K9" s="4" t="n">
        <f aca="false">Assumptions!K29</f>
        <v>0.8</v>
      </c>
      <c r="L9" s="4" t="n">
        <f aca="false">Assumptions!L29</f>
        <v>0.8</v>
      </c>
    </row>
    <row r="10" customFormat="false" ht="15" hidden="false" customHeight="false" outlineLevel="0" collapsed="false">
      <c r="A10" s="0" t="s">
        <v>116</v>
      </c>
      <c r="C10" s="0" t="n">
        <f aca="false">-C6*C9/100</f>
        <v>-218.28096186</v>
      </c>
      <c r="D10" s="0" t="n">
        <f aca="false">-D6*D9/100</f>
        <v>-229.058584351837</v>
      </c>
      <c r="E10" s="0" t="n">
        <f aca="false">-E6*E9/100</f>
        <v>-238.818471859003</v>
      </c>
      <c r="F10" s="0" t="n">
        <f aca="false">-F6*F9/100</f>
        <v>-246.200133716463</v>
      </c>
      <c r="G10" s="0" t="n">
        <f aca="false">-G6*G9/100</f>
        <v>-250.889660072967</v>
      </c>
      <c r="H10" s="0" t="n">
        <f aca="false">-H6*H9/100</f>
        <v>-252.645887693478</v>
      </c>
      <c r="I10" s="0" t="n">
        <f aca="false">-I6*I9/100</f>
        <v>-251.316172495091</v>
      </c>
      <c r="J10" s="0" t="n">
        <f aca="false">-J6*J9/100</f>
        <v>-248.035100243072</v>
      </c>
      <c r="K10" s="0" t="n">
        <f aca="false">-K6*K9/100</f>
        <v>-242.782592237924</v>
      </c>
      <c r="L10" s="0" t="n">
        <f aca="false">-L6*L9/100</f>
        <v>-251.279982966252</v>
      </c>
    </row>
    <row r="11" customFormat="false" ht="15" hidden="false" customHeight="false" outlineLevel="0" collapsed="false">
      <c r="A11" s="0" t="s">
        <v>117</v>
      </c>
      <c r="C11" s="0" t="n">
        <f aca="false">C8+C10+C24</f>
        <v>345.611522945</v>
      </c>
      <c r="D11" s="0" t="n">
        <f aca="false">D8+D10+D24</f>
        <v>448.158099818813</v>
      </c>
      <c r="E11" s="0" t="n">
        <f aca="false">E8+E10+E24</f>
        <v>564.480024394007</v>
      </c>
      <c r="F11" s="0" t="n">
        <f aca="false">F8+F10+F24</f>
        <v>691.705137584348</v>
      </c>
      <c r="G11" s="0" t="n">
        <f aca="false">G8+G10+G24</f>
        <v>802.846912233494</v>
      </c>
      <c r="H11" s="0" t="n">
        <f aca="false">H8+H10+H24</f>
        <v>917.50348688684</v>
      </c>
      <c r="I11" s="0" t="n">
        <f aca="false">I8+I10+I24</f>
        <v>1005.26468998036</v>
      </c>
      <c r="J11" s="0" t="n">
        <f aca="false">J8+J10+J24</f>
        <v>1094.27250107238</v>
      </c>
      <c r="K11" s="0" t="n">
        <f aca="false">K8+K10+K24</f>
        <v>1183.56513715988</v>
      </c>
      <c r="L11" s="0" t="n">
        <f aca="false">L8+L10+L24</f>
        <v>1224.98991696048</v>
      </c>
    </row>
    <row r="12" customFormat="false" ht="15" hidden="false" customHeight="false" outlineLevel="0" collapsed="false">
      <c r="A12" s="0" t="s">
        <v>118</v>
      </c>
      <c r="C12" s="4" t="n">
        <f aca="false">-C6*Assumptions!C31/100</f>
        <v>-200.090881705</v>
      </c>
      <c r="D12" s="4" t="n">
        <f aca="false">-D6*Assumptions!D31/100</f>
        <v>-219.099515466975</v>
      </c>
      <c r="E12" s="4" t="n">
        <f aca="false">-E6*Assumptions!E31/100</f>
        <v>-238.818471859003</v>
      </c>
      <c r="F12" s="4" t="n">
        <f aca="false">-F6*Assumptions!F31/100</f>
        <v>-257.923949607723</v>
      </c>
      <c r="G12" s="4" t="n">
        <f aca="false">-G6*Assumptions!G31/100</f>
        <v>-275.978626080264</v>
      </c>
      <c r="H12" s="4" t="n">
        <f aca="false">-H6*Assumptions!H31/100</f>
        <v>-292.537343645079</v>
      </c>
      <c r="I12" s="4" t="n">
        <f aca="false">-I6*Assumptions!I31/100</f>
        <v>-307.164210827333</v>
      </c>
      <c r="J12" s="4" t="n">
        <f aca="false">-J6*Assumptions!J31/100</f>
        <v>-320.986600314563</v>
      </c>
      <c r="K12" s="4" t="n">
        <f aca="false">-K6*Assumptions!K31/100</f>
        <v>-333.826064327146</v>
      </c>
      <c r="L12" s="4" t="n">
        <f aca="false">-L6*Assumptions!L31/100</f>
        <v>-345.509976578596</v>
      </c>
    </row>
    <row r="13" customFormat="false" ht="15" hidden="false" customHeight="false" outlineLevel="0" collapsed="false">
      <c r="A13" s="0" t="s">
        <v>119</v>
      </c>
      <c r="C13" s="0" t="n">
        <f aca="false">C11+C12</f>
        <v>145.52064124</v>
      </c>
      <c r="D13" s="0" t="n">
        <f aca="false">D11+D12</f>
        <v>229.058584351838</v>
      </c>
      <c r="E13" s="0" t="n">
        <f aca="false">E11+E12</f>
        <v>325.661552535004</v>
      </c>
      <c r="F13" s="0" t="n">
        <f aca="false">F11+F12</f>
        <v>433.781187976625</v>
      </c>
      <c r="G13" s="0" t="n">
        <f aca="false">G11+G12</f>
        <v>526.86828615323</v>
      </c>
      <c r="H13" s="0" t="n">
        <f aca="false">H11+H12</f>
        <v>624.966143241761</v>
      </c>
      <c r="I13" s="0" t="n">
        <f aca="false">I11+I12</f>
        <v>698.100479153031</v>
      </c>
      <c r="J13" s="0" t="n">
        <f aca="false">J11+J12</f>
        <v>773.285900757812</v>
      </c>
      <c r="K13" s="0" t="n">
        <f aca="false">K11+K12</f>
        <v>849.739072832735</v>
      </c>
      <c r="L13" s="0" t="n">
        <f aca="false">L11+L12</f>
        <v>879.47994038188</v>
      </c>
    </row>
    <row r="14" customFormat="false" ht="15" hidden="false" customHeight="false" outlineLevel="0" collapsed="false">
      <c r="A14" s="0" t="s">
        <v>105</v>
      </c>
      <c r="C14" s="4" t="n">
        <f aca="false">Assumptions!C33</f>
        <v>6</v>
      </c>
      <c r="D14" s="4" t="n">
        <f aca="false">Assumptions!D33</f>
        <v>9</v>
      </c>
      <c r="E14" s="4" t="n">
        <f aca="false">Assumptions!E33</f>
        <v>12</v>
      </c>
      <c r="F14" s="4" t="n">
        <f aca="false">Assumptions!F33</f>
        <v>14</v>
      </c>
      <c r="G14" s="4" t="n">
        <f aca="false">Assumptions!G33</f>
        <v>16</v>
      </c>
      <c r="H14" s="4" t="n">
        <f aca="false">Assumptions!H33</f>
        <v>17</v>
      </c>
      <c r="I14" s="4" t="n">
        <f aca="false">Assumptions!I33</f>
        <v>18</v>
      </c>
      <c r="J14" s="4" t="n">
        <f aca="false">Assumptions!J33</f>
        <v>18</v>
      </c>
      <c r="K14" s="4" t="n">
        <f aca="false">Assumptions!K33</f>
        <v>18</v>
      </c>
      <c r="L14" s="4" t="n">
        <f aca="false">Assumptions!L33</f>
        <v>18</v>
      </c>
    </row>
    <row r="15" customFormat="false" ht="15" hidden="false" customHeight="false" outlineLevel="0" collapsed="false">
      <c r="A15" s="0" t="s">
        <v>120</v>
      </c>
      <c r="C15" s="0" t="n">
        <f aca="false">C13-MAX(0,C13)*C14/100</f>
        <v>136.7894027656</v>
      </c>
      <c r="D15" s="0" t="n">
        <f aca="false">D13-MAX(0,D13)*D14/100</f>
        <v>208.443311760172</v>
      </c>
      <c r="E15" s="0" t="n">
        <f aca="false">E13-MAX(0,E13)*E14/100</f>
        <v>286.582166230803</v>
      </c>
      <c r="F15" s="0" t="n">
        <f aca="false">F13-MAX(0,F13)*F14/100</f>
        <v>373.051821659898</v>
      </c>
      <c r="G15" s="0" t="n">
        <f aca="false">G13-MAX(0,G13)*G14/100</f>
        <v>442.569360368714</v>
      </c>
      <c r="H15" s="0" t="n">
        <f aca="false">H13-MAX(0,H13)*H14/100</f>
        <v>518.721898890662</v>
      </c>
      <c r="I15" s="0" t="n">
        <f aca="false">I13-MAX(0,I13)*I14/100</f>
        <v>572.442392905485</v>
      </c>
      <c r="J15" s="0" t="n">
        <f aca="false">J13-MAX(0,J13)*J14/100</f>
        <v>634.094438621406</v>
      </c>
      <c r="K15" s="0" t="n">
        <f aca="false">K13-MAX(0,K13)*K14/100</f>
        <v>696.786039722843</v>
      </c>
      <c r="L15" s="0" t="n">
        <f aca="false">L13-MAX(0,L13)*L14/100</f>
        <v>721.173551113142</v>
      </c>
    </row>
    <row r="16" customFormat="false" ht="15" hidden="false" customHeight="false" outlineLevel="0" collapsed="false">
      <c r="A16" s="0" t="s">
        <v>121</v>
      </c>
      <c r="C16" s="0" t="n">
        <f aca="false">-C12</f>
        <v>200.090881705</v>
      </c>
      <c r="D16" s="0" t="n">
        <f aca="false">-D12</f>
        <v>219.099515466975</v>
      </c>
      <c r="E16" s="0" t="n">
        <f aca="false">-E12</f>
        <v>238.818471859003</v>
      </c>
      <c r="F16" s="0" t="n">
        <f aca="false">-F12</f>
        <v>257.923949607723</v>
      </c>
      <c r="G16" s="0" t="n">
        <f aca="false">-G12</f>
        <v>275.978626080264</v>
      </c>
      <c r="H16" s="0" t="n">
        <f aca="false">-H12</f>
        <v>292.537343645079</v>
      </c>
      <c r="I16" s="0" t="n">
        <f aca="false">-I12</f>
        <v>307.164210827333</v>
      </c>
      <c r="J16" s="0" t="n">
        <f aca="false">-J12</f>
        <v>320.986600314563</v>
      </c>
      <c r="K16" s="0" t="n">
        <f aca="false">-K12</f>
        <v>333.826064327146</v>
      </c>
      <c r="L16" s="0" t="n">
        <f aca="false">-L12</f>
        <v>345.509976578596</v>
      </c>
    </row>
    <row r="17" customFormat="false" ht="15" hidden="false" customHeight="false" outlineLevel="0" collapsed="false">
      <c r="A17" s="0" t="s">
        <v>122</v>
      </c>
      <c r="C17" s="4" t="n">
        <f aca="false">-C6*Assumptions!C32/100</f>
        <v>-254.66112217</v>
      </c>
      <c r="D17" s="4" t="n">
        <f aca="false">-D6*Assumptions!D32/100</f>
        <v>-278.85392877615</v>
      </c>
      <c r="E17" s="4" t="n">
        <f aca="false">-E6*Assumptions!E32/100</f>
        <v>-293.095397281503</v>
      </c>
      <c r="F17" s="4" t="n">
        <f aca="false">-F6*Assumptions!F32/100</f>
        <v>-316.543029064024</v>
      </c>
      <c r="G17" s="4" t="n">
        <f aca="false">-G6*Assumptions!G32/100</f>
        <v>-326.156558094857</v>
      </c>
      <c r="H17" s="4" t="n">
        <f aca="false">-H6*Assumptions!H32/100</f>
        <v>-345.725951580548</v>
      </c>
      <c r="I17" s="4" t="n">
        <f aca="false">-I6*Assumptions!I32/100</f>
        <v>-363.012249159576</v>
      </c>
      <c r="J17" s="4" t="n">
        <f aca="false">-J6*Assumptions!J32/100</f>
        <v>-379.347800371757</v>
      </c>
      <c r="K17" s="4" t="n">
        <f aca="false">-K6*Assumptions!K32/100</f>
        <v>-394.521712386627</v>
      </c>
      <c r="L17" s="4" t="n">
        <f aca="false">-L6*Assumptions!L32/100</f>
        <v>-408.329972320159</v>
      </c>
    </row>
    <row r="18" customFormat="false" ht="15" hidden="false" customHeight="false" outlineLevel="0" collapsed="false">
      <c r="A18" s="0" t="s">
        <v>123</v>
      </c>
      <c r="C18" s="4" t="n">
        <f aca="false">(C6-B6)*Assumptions!$B$37/100</f>
        <v>172.8469155</v>
      </c>
      <c r="D18" s="4" t="n">
        <f aca="false">(D6-C6)*Assumptions!$B$37/100</f>
        <v>172.8057614725</v>
      </c>
      <c r="E18" s="4" t="n">
        <f aca="false">(E6-D6)*Assumptions!$B$37/100</f>
        <v>179.263239927525</v>
      </c>
      <c r="F18" s="4" t="n">
        <f aca="false">(F6-E6)*Assumptions!$B$37/100</f>
        <v>173.686161352002</v>
      </c>
      <c r="G18" s="4" t="n">
        <f aca="false">(G6-F6)*Assumptions!$B$37/100</f>
        <v>164.133422477642</v>
      </c>
      <c r="H18" s="4" t="n">
        <f aca="false">(H6-G6)*Assumptions!$B$37/100</f>
        <v>150.53379604378</v>
      </c>
      <c r="I18" s="4" t="n">
        <f aca="false">(I6-H6)*Assumptions!$B$37/100</f>
        <v>132.971519838673</v>
      </c>
      <c r="J18" s="4" t="n">
        <f aca="false">(J6-I6)*Assumptions!$B$37/100</f>
        <v>125.658086247545</v>
      </c>
      <c r="K18" s="4" t="n">
        <f aca="false">(K6-J6)*Assumptions!$B$37/100</f>
        <v>116.722400114387</v>
      </c>
      <c r="L18" s="4" t="n">
        <f aca="false">(L6-K6)*Assumptions!$B$37/100</f>
        <v>106.217384104092</v>
      </c>
    </row>
    <row r="19" customFormat="false" ht="15" hidden="false" customHeight="false" outlineLevel="0" collapsed="false">
      <c r="A19" s="0" t="s">
        <v>124</v>
      </c>
      <c r="C19" s="0" t="n">
        <f aca="false">C15+C16+C17+C18</f>
        <v>255.0660778006</v>
      </c>
      <c r="D19" s="0" t="n">
        <f aca="false">D15+D16+D17+D18</f>
        <v>321.494659923497</v>
      </c>
      <c r="E19" s="0" t="n">
        <f aca="false">E15+E16+E17+E18</f>
        <v>411.568480735828</v>
      </c>
      <c r="F19" s="0" t="n">
        <f aca="false">F15+F16+F17+F18</f>
        <v>488.118903555599</v>
      </c>
      <c r="G19" s="0" t="n">
        <f aca="false">G15+G16+G17+G18</f>
        <v>556.524850831762</v>
      </c>
      <c r="H19" s="0" t="n">
        <f aca="false">H15+H16+H17+H18</f>
        <v>616.067086998973</v>
      </c>
      <c r="I19" s="0" t="n">
        <f aca="false">I15+I16+I17+I18</f>
        <v>649.565874411915</v>
      </c>
      <c r="J19" s="0" t="n">
        <f aca="false">J15+J16+J17+J18</f>
        <v>701.391324811758</v>
      </c>
      <c r="K19" s="0" t="n">
        <f aca="false">K15+K16+K17+K18</f>
        <v>752.812791777748</v>
      </c>
      <c r="L19" s="0" t="n">
        <f aca="false">L15+L16+L17+L18</f>
        <v>764.570939475671</v>
      </c>
    </row>
    <row r="20" customFormat="false" ht="15" hidden="false" customHeight="false" outlineLevel="0" collapsed="false">
      <c r="A20" s="0" t="s">
        <v>125</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126</v>
      </c>
      <c r="C21" s="0" t="n">
        <f aca="false">C19*C20</f>
        <v>231.878252546</v>
      </c>
      <c r="D21" s="0" t="n">
        <f aca="false">D19*D20</f>
        <v>265.698066052477</v>
      </c>
      <c r="E21" s="0" t="n">
        <f aca="false">E19*E20</f>
        <v>309.217491161403</v>
      </c>
      <c r="F21" s="0" t="n">
        <f aca="false">F19*F20</f>
        <v>333.391778946519</v>
      </c>
      <c r="G21" s="0" t="n">
        <f aca="false">G19*G20</f>
        <v>345.558146693757</v>
      </c>
      <c r="H21" s="0" t="n">
        <f aca="false">H19*H20</f>
        <v>347.753809775092</v>
      </c>
      <c r="I21" s="0" t="n">
        <f aca="false">I19*I20</f>
        <v>333.330001780102</v>
      </c>
      <c r="J21" s="0" t="n">
        <f aca="false">J19*J20</f>
        <v>327.204229439767</v>
      </c>
      <c r="K21" s="0" t="n">
        <f aca="false">K19*K20</f>
        <v>319.266112073284</v>
      </c>
      <c r="L21" s="0" t="n">
        <f aca="false">L19*L20</f>
        <v>294.775195007677</v>
      </c>
    </row>
    <row r="23" customFormat="false" ht="15" hidden="false" customHeight="false" outlineLevel="0" collapsed="false">
      <c r="A23" s="0" t="s">
        <v>102</v>
      </c>
      <c r="C23" s="4" t="n">
        <f aca="false">Assumptions!C30</f>
        <v>0.8</v>
      </c>
      <c r="D23" s="4" t="n">
        <f aca="false">Assumptions!D30</f>
        <v>0.8</v>
      </c>
      <c r="E23" s="4" t="n">
        <f aca="false">Assumptions!E30</f>
        <v>0.8</v>
      </c>
      <c r="F23" s="4" t="n">
        <f aca="false">Assumptions!F30</f>
        <v>0.8</v>
      </c>
      <c r="G23" s="4" t="n">
        <f aca="false">Assumptions!G30</f>
        <v>0.8</v>
      </c>
      <c r="H23" s="4" t="n">
        <f aca="false">Assumptions!H30</f>
        <v>0.8</v>
      </c>
      <c r="I23" s="4" t="n">
        <f aca="false">Assumptions!I30</f>
        <v>0.8</v>
      </c>
      <c r="J23" s="4" t="n">
        <f aca="false">Assumptions!J30</f>
        <v>0.8</v>
      </c>
      <c r="K23" s="4" t="n">
        <f aca="false">Assumptions!K30</f>
        <v>0.8</v>
      </c>
      <c r="L23" s="4" t="n">
        <f aca="false">Assumptions!L30</f>
        <v>0.8</v>
      </c>
    </row>
    <row r="24" customFormat="false" ht="15" hidden="false" customHeight="false" outlineLevel="0" collapsed="false">
      <c r="A24" s="0" t="s">
        <v>127</v>
      </c>
      <c r="C24" s="0" t="n">
        <f aca="false">-C6*C23/100</f>
        <v>-145.52064124</v>
      </c>
      <c r="D24" s="0" t="n">
        <f aca="false">-D6*D23/100</f>
        <v>-159.3451021578</v>
      </c>
      <c r="E24" s="0" t="n">
        <f aca="false">-E6*E23/100</f>
        <v>-173.686161352002</v>
      </c>
      <c r="F24" s="0" t="n">
        <f aca="false">-F6*F23/100</f>
        <v>-187.581054260162</v>
      </c>
      <c r="G24" s="0" t="n">
        <f aca="false">-G6*G23/100</f>
        <v>-200.711728058374</v>
      </c>
      <c r="H24" s="0" t="n">
        <f aca="false">-H6*H23/100</f>
        <v>-212.754431741876</v>
      </c>
      <c r="I24" s="0" t="n">
        <f aca="false">-I6*I23/100</f>
        <v>-223.39215332897</v>
      </c>
      <c r="J24" s="0" t="n">
        <f aca="false">-J6*J23/100</f>
        <v>-233.444800228773</v>
      </c>
      <c r="K24" s="0" t="n">
        <f aca="false">-K6*K23/100</f>
        <v>-242.782592237924</v>
      </c>
      <c r="L24" s="0" t="n">
        <f aca="false">-L6*L23/100</f>
        <v>-251.279982966252</v>
      </c>
    </row>
    <row r="26" customFormat="false" ht="15" hidden="false" customHeight="false" outlineLevel="0" collapsed="false">
      <c r="A26" s="2" t="s">
        <v>128</v>
      </c>
    </row>
    <row r="27" customFormat="false" ht="15" hidden="false" customHeight="false" outlineLevel="0" collapsed="false">
      <c r="A27" s="0" t="s">
        <v>106</v>
      </c>
      <c r="B27" s="4" t="n">
        <f aca="false">Assumptions!$B$34</f>
        <v>10</v>
      </c>
    </row>
    <row r="28" customFormat="false" ht="15" hidden="false" customHeight="false" outlineLevel="0" collapsed="false">
      <c r="A28" s="0" t="s">
        <v>107</v>
      </c>
      <c r="B28" s="4" t="n">
        <f aca="false">Assumptions!$B$35</f>
        <v>2.5</v>
      </c>
    </row>
    <row r="29" customFormat="false" ht="15" hidden="false" customHeight="false" outlineLevel="0" collapsed="false">
      <c r="A29" s="0" t="s">
        <v>108</v>
      </c>
      <c r="B29" s="4" t="n">
        <f aca="false">Assumptions!$B$36</f>
        <v>18</v>
      </c>
    </row>
    <row r="30" customFormat="false" ht="15" hidden="false" customHeight="false" outlineLevel="0" collapsed="false">
      <c r="A30" s="0" t="s">
        <v>129</v>
      </c>
      <c r="B30" s="0" t="n">
        <f aca="false">SUM(C21:L21)</f>
        <v>3108.07308347608</v>
      </c>
    </row>
    <row r="31" customFormat="false" ht="15" hidden="false" customHeight="false" outlineLevel="0" collapsed="false">
      <c r="A31" s="0" t="s">
        <v>130</v>
      </c>
      <c r="B31" s="0" t="n">
        <f aca="false">L19</f>
        <v>764.570939475671</v>
      </c>
    </row>
    <row r="32" customFormat="false" ht="15" hidden="false" customHeight="false" outlineLevel="0" collapsed="false">
      <c r="A32" s="0" t="s">
        <v>131</v>
      </c>
      <c r="B32" s="0" t="n">
        <f aca="false">IF(B27&gt;B28,B31*(1+B28/100)/((B27-B28)/100),B31*B29)</f>
        <v>10449.1361728342</v>
      </c>
    </row>
    <row r="33" customFormat="false" ht="15" hidden="false" customHeight="false" outlineLevel="0" collapsed="false">
      <c r="A33" s="0" t="s">
        <v>132</v>
      </c>
      <c r="B33" s="0" t="n">
        <f aca="false">B31*B29</f>
        <v>13762.2769105621</v>
      </c>
    </row>
    <row r="34" customFormat="false" ht="15" hidden="false" customHeight="false" outlineLevel="0" collapsed="false">
      <c r="A34" s="0" t="s">
        <v>133</v>
      </c>
      <c r="B34" s="0" t="n">
        <f aca="false">MAX(0,MIN(B32,B33))</f>
        <v>10449.1361728342</v>
      </c>
    </row>
    <row r="35" customFormat="false" ht="15" hidden="false" customHeight="false" outlineLevel="0" collapsed="false">
      <c r="A35" s="0" t="s">
        <v>134</v>
      </c>
      <c r="B35" s="0" t="n">
        <f aca="false">B34/(1+B27/100)^L4</f>
        <v>4028.59433177159</v>
      </c>
    </row>
    <row r="36" customFormat="false" ht="15" hidden="false" customHeight="false" outlineLevel="0" collapsed="false">
      <c r="A36" s="0" t="s">
        <v>135</v>
      </c>
      <c r="B36" s="0" t="n">
        <f aca="false">B30+B35</f>
        <v>7136.66741524767</v>
      </c>
    </row>
    <row r="37" customFormat="false" ht="15" hidden="false" customHeight="false" outlineLevel="0" collapsed="false">
      <c r="A37" s="0" t="s">
        <v>136</v>
      </c>
      <c r="B37" s="0" t="n">
        <f aca="false">B36+Assumptions!$B$5-Assumptions!$B$4</f>
        <v>13592.6374152477</v>
      </c>
    </row>
    <row r="38" customFormat="false" ht="15" hidden="false" customHeight="false" outlineLevel="0" collapsed="false">
      <c r="A38" s="0" t="s">
        <v>137</v>
      </c>
      <c r="B38" s="0" t="n">
        <f aca="false">B37/Assumptions!$B$3*Assumptions!$B$10</f>
        <v>20.4901073892411</v>
      </c>
    </row>
    <row r="39" customFormat="false" ht="15" hidden="false" customHeight="false" outlineLevel="0" collapsed="false">
      <c r="A39" s="0" t="s">
        <v>138</v>
      </c>
      <c r="B39" s="4" t="n">
        <f aca="false">B38/Assumptions!$B$2-1</f>
        <v>0.778655155316065</v>
      </c>
    </row>
    <row r="41" customFormat="false" ht="15" hidden="false" customHeight="false" outlineLevel="0" collapsed="false">
      <c r="A41" s="0" t="s">
        <v>139</v>
      </c>
      <c r="B41" s="0" t="n">
        <f aca="false">SUMPRODUCT(-C10:L10/(1+$B$27/100)^C4:L4)</f>
        <v>1478.24043603536</v>
      </c>
    </row>
    <row r="42" customFormat="false" ht="15" hidden="false" customHeight="false" outlineLevel="0" collapsed="false">
      <c r="A42" s="0" t="s">
        <v>140</v>
      </c>
      <c r="B42" s="0" t="n">
        <f aca="false">IF(B27&gt;B28,-L10*(1+B28/100)/((B27-B28)/100),-L10*20)/(1+B27/100)^L4</f>
        <v>1324.01725307494</v>
      </c>
    </row>
    <row r="43" customFormat="false" ht="15" hidden="false" customHeight="false" outlineLevel="0" collapsed="false">
      <c r="A43" s="0" t="s">
        <v>141</v>
      </c>
      <c r="B43" s="0" t="n">
        <f aca="false">(B37+B41+B42)/Assumptions!$B$3*Assumptions!$B$10</f>
        <v>24.7143472647038</v>
      </c>
    </row>
    <row r="45" customFormat="false" ht="15" hidden="false" customHeight="false" outlineLevel="0" collapsed="false">
      <c r="A45" s="0" t="s">
        <v>82</v>
      </c>
      <c r="B45" s="4" t="n">
        <f aca="false">Assumptions!$B$6</f>
        <v>15</v>
      </c>
    </row>
    <row r="46" customFormat="false" ht="15" hidden="false" customHeight="false" outlineLevel="0" collapsed="false">
      <c r="A46" s="0" t="s">
        <v>142</v>
      </c>
      <c r="B46" s="0" t="n">
        <f aca="false">MAX(0,MIN(IF(B45&gt;B28,B31*(1+B28/100)/((B45-B28)/100),B31*B29),B31*B29))</f>
        <v>6269.4817037005</v>
      </c>
    </row>
    <row r="47" customFormat="false" ht="15" hidden="false" customHeight="false" outlineLevel="0" collapsed="false">
      <c r="A47" s="0" t="s">
        <v>143</v>
      </c>
      <c r="B47" s="0" t="n">
        <f aca="false">(SUMPRODUCT(C19:L19/(1+B45/100)^C4:L4)+B46/(1+B45/100)^L4+Assumptions!$B$5-Assumptions!$B$4)/Assumptions!$B$3*Assumptions!$B$10</f>
        <v>15.737361655045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145</v>
      </c>
    </row>
    <row r="3" customFormat="false" ht="15" hidden="false" customHeight="false" outlineLevel="0" collapsed="false">
      <c r="A3" s="0" t="s">
        <v>114</v>
      </c>
      <c r="B3" s="0" t="s">
        <v>75</v>
      </c>
      <c r="C3" s="2" t="s">
        <v>89</v>
      </c>
      <c r="D3" s="2" t="s">
        <v>90</v>
      </c>
      <c r="E3" s="2" t="s">
        <v>91</v>
      </c>
      <c r="F3" s="2" t="s">
        <v>92</v>
      </c>
      <c r="G3" s="2" t="s">
        <v>93</v>
      </c>
      <c r="H3" s="2" t="s">
        <v>94</v>
      </c>
      <c r="I3" s="2" t="s">
        <v>95</v>
      </c>
      <c r="J3" s="2" t="s">
        <v>96</v>
      </c>
      <c r="K3" s="2" t="s">
        <v>97</v>
      </c>
      <c r="L3" s="2" t="s">
        <v>98</v>
      </c>
    </row>
    <row r="4" customFormat="false" ht="15" hidden="false" customHeight="false" outlineLevel="0" collapsed="false">
      <c r="A4" s="0" t="s">
        <v>115</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99</v>
      </c>
      <c r="C5" s="4" t="n">
        <f aca="false">Assumptions!C41</f>
        <v>12</v>
      </c>
      <c r="D5" s="4" t="n">
        <f aca="false">Assumptions!D41</f>
        <v>12</v>
      </c>
      <c r="E5" s="4" t="n">
        <f aca="false">Assumptions!E41</f>
        <v>11</v>
      </c>
      <c r="F5" s="4" t="n">
        <f aca="false">Assumptions!F41</f>
        <v>10</v>
      </c>
      <c r="G5" s="4" t="n">
        <f aca="false">Assumptions!G41</f>
        <v>9</v>
      </c>
      <c r="H5" s="4" t="n">
        <f aca="false">Assumptions!H41</f>
        <v>8</v>
      </c>
      <c r="I5" s="4" t="n">
        <f aca="false">Assumptions!I41</f>
        <v>7</v>
      </c>
      <c r="J5" s="4" t="n">
        <f aca="false">Assumptions!J41</f>
        <v>6</v>
      </c>
      <c r="K5" s="4" t="n">
        <f aca="false">Assumptions!K41</f>
        <v>5</v>
      </c>
      <c r="L5" s="4" t="n">
        <f aca="false">Assumptions!L41</f>
        <v>4</v>
      </c>
    </row>
    <row r="6" customFormat="false" ht="15" hidden="false" customHeight="false" outlineLevel="0" collapsed="false">
      <c r="A6" s="0" t="s">
        <v>38</v>
      </c>
      <c r="B6" s="3" t="n">
        <v>16461.611</v>
      </c>
      <c r="C6" s="0" t="n">
        <f aca="false">B6*(1+C5/100)</f>
        <v>18437.00432</v>
      </c>
      <c r="D6" s="0" t="n">
        <f aca="false">C6*(1+D5/100)</f>
        <v>20649.4448384</v>
      </c>
      <c r="E6" s="0" t="n">
        <f aca="false">D6*(1+E5/100)</f>
        <v>22920.883770624</v>
      </c>
      <c r="F6" s="0" t="n">
        <f aca="false">E6*(1+F5/100)</f>
        <v>25212.9721476864</v>
      </c>
      <c r="G6" s="0" t="n">
        <f aca="false">F6*(1+G5/100)</f>
        <v>27482.1396409782</v>
      </c>
      <c r="H6" s="0" t="n">
        <f aca="false">G6*(1+H5/100)</f>
        <v>29680.7108122564</v>
      </c>
      <c r="I6" s="0" t="n">
        <f aca="false">H6*(1+I5/100)</f>
        <v>31758.3605691144</v>
      </c>
      <c r="J6" s="0" t="n">
        <f aca="false">I6*(1+J5/100)</f>
        <v>33663.8622032613</v>
      </c>
      <c r="K6" s="0" t="n">
        <f aca="false">J6*(1+K5/100)</f>
        <v>35347.0553134243</v>
      </c>
      <c r="L6" s="0" t="n">
        <f aca="false">K6*(1+L5/100)</f>
        <v>36760.9375259613</v>
      </c>
    </row>
    <row r="7" customFormat="false" ht="15" hidden="false" customHeight="false" outlineLevel="0" collapsed="false">
      <c r="A7" s="0" t="s">
        <v>100</v>
      </c>
      <c r="C7" s="4" t="n">
        <f aca="false">Assumptions!C42</f>
        <v>4.1</v>
      </c>
      <c r="D7" s="4" t="n">
        <f aca="false">Assumptions!D42</f>
        <v>4.7</v>
      </c>
      <c r="E7" s="4" t="n">
        <f aca="false">Assumptions!E42</f>
        <v>5.3</v>
      </c>
      <c r="F7" s="4" t="n">
        <f aca="false">Assumptions!F42</f>
        <v>5.8</v>
      </c>
      <c r="G7" s="4" t="n">
        <f aca="false">Assumptions!G42</f>
        <v>6.2</v>
      </c>
      <c r="H7" s="4" t="n">
        <f aca="false">Assumptions!H42</f>
        <v>6.5</v>
      </c>
      <c r="I7" s="4" t="n">
        <f aca="false">Assumptions!I42</f>
        <v>6.7</v>
      </c>
      <c r="J7" s="4" t="n">
        <f aca="false">Assumptions!J42</f>
        <v>6.9</v>
      </c>
      <c r="K7" s="4" t="n">
        <f aca="false">Assumptions!K42</f>
        <v>7</v>
      </c>
      <c r="L7" s="4" t="n">
        <f aca="false">Assumptions!L42</f>
        <v>7</v>
      </c>
    </row>
    <row r="8" customFormat="false" ht="15" hidden="false" customHeight="false" outlineLevel="0" collapsed="false">
      <c r="A8" s="0" t="s">
        <v>44</v>
      </c>
      <c r="C8" s="0" t="n">
        <f aca="false">C6*C7/100</f>
        <v>755.91717712</v>
      </c>
      <c r="D8" s="0" t="n">
        <f aca="false">D6*D7/100</f>
        <v>970.5239074048</v>
      </c>
      <c r="E8" s="0" t="n">
        <f aca="false">E6*E7/100</f>
        <v>1214.80683984307</v>
      </c>
      <c r="F8" s="0" t="n">
        <f aca="false">F6*F7/100</f>
        <v>1462.35238456581</v>
      </c>
      <c r="G8" s="0" t="n">
        <f aca="false">G6*G7/100</f>
        <v>1703.89265774065</v>
      </c>
      <c r="H8" s="0" t="n">
        <f aca="false">H6*H7/100</f>
        <v>1929.24620279667</v>
      </c>
      <c r="I8" s="0" t="n">
        <f aca="false">I6*I7/100</f>
        <v>2127.81015813066</v>
      </c>
      <c r="J8" s="0" t="n">
        <f aca="false">J6*J7/100</f>
        <v>2322.80649202503</v>
      </c>
      <c r="K8" s="0" t="n">
        <f aca="false">K6*K7/100</f>
        <v>2474.2938719397</v>
      </c>
      <c r="L8" s="0" t="n">
        <f aca="false">L6*L7/100</f>
        <v>2573.26562681729</v>
      </c>
    </row>
    <row r="9" customFormat="false" ht="15" hidden="false" customHeight="false" outlineLevel="0" collapsed="false">
      <c r="A9" s="0" t="s">
        <v>101</v>
      </c>
      <c r="C9" s="4" t="n">
        <f aca="false">Assumptions!C43</f>
        <v>1.2</v>
      </c>
      <c r="D9" s="4" t="n">
        <f aca="false">Assumptions!D43</f>
        <v>1.15</v>
      </c>
      <c r="E9" s="4" t="n">
        <f aca="false">Assumptions!E43</f>
        <v>1.1</v>
      </c>
      <c r="F9" s="4" t="n">
        <f aca="false">Assumptions!F43</f>
        <v>1.05</v>
      </c>
      <c r="G9" s="4" t="n">
        <f aca="false">Assumptions!G43</f>
        <v>1</v>
      </c>
      <c r="H9" s="4" t="n">
        <f aca="false">Assumptions!H43</f>
        <v>0.95</v>
      </c>
      <c r="I9" s="4" t="n">
        <f aca="false">Assumptions!I43</f>
        <v>0.9</v>
      </c>
      <c r="J9" s="4" t="n">
        <f aca="false">Assumptions!J43</f>
        <v>0.85</v>
      </c>
      <c r="K9" s="4" t="n">
        <f aca="false">Assumptions!K43</f>
        <v>0.8</v>
      </c>
      <c r="L9" s="4" t="n">
        <f aca="false">Assumptions!L43</f>
        <v>0.8</v>
      </c>
    </row>
    <row r="10" customFormat="false" ht="15" hidden="false" customHeight="false" outlineLevel="0" collapsed="false">
      <c r="A10" s="0" t="s">
        <v>116</v>
      </c>
      <c r="C10" s="0" t="n">
        <f aca="false">-C6*C9/100</f>
        <v>-221.24405184</v>
      </c>
      <c r="D10" s="0" t="n">
        <f aca="false">-D6*D9/100</f>
        <v>-237.4686156416</v>
      </c>
      <c r="E10" s="0" t="n">
        <f aca="false">-E6*E9/100</f>
        <v>-252.129721476864</v>
      </c>
      <c r="F10" s="0" t="n">
        <f aca="false">-F6*F9/100</f>
        <v>-264.736207550707</v>
      </c>
      <c r="G10" s="0" t="n">
        <f aca="false">-G6*G9/100</f>
        <v>-274.821396409782</v>
      </c>
      <c r="H10" s="0" t="n">
        <f aca="false">-H6*H9/100</f>
        <v>-281.966752716436</v>
      </c>
      <c r="I10" s="0" t="n">
        <f aca="false">-I6*I9/100</f>
        <v>-285.82524512203</v>
      </c>
      <c r="J10" s="0" t="n">
        <f aca="false">-J6*J9/100</f>
        <v>-286.142828727721</v>
      </c>
      <c r="K10" s="0" t="n">
        <f aca="false">-K6*K9/100</f>
        <v>-282.776442507395</v>
      </c>
      <c r="L10" s="0" t="n">
        <f aca="false">-L6*L9/100</f>
        <v>-294.087500207691</v>
      </c>
    </row>
    <row r="11" customFormat="false" ht="15" hidden="false" customHeight="false" outlineLevel="0" collapsed="false">
      <c r="A11" s="0" t="s">
        <v>117</v>
      </c>
      <c r="C11" s="0" t="n">
        <f aca="false">C8+C10+C24</f>
        <v>387.17709072</v>
      </c>
      <c r="D11" s="0" t="n">
        <f aca="false">D8+D10+D24</f>
        <v>567.859733056</v>
      </c>
      <c r="E11" s="0" t="n">
        <f aca="false">E8+E10+E24</f>
        <v>779.310048201216</v>
      </c>
      <c r="F11" s="0" t="n">
        <f aca="false">F8+F10+F24</f>
        <v>995.912399833613</v>
      </c>
      <c r="G11" s="0" t="n">
        <f aca="false">G8+G10+G24</f>
        <v>1209.21414420304</v>
      </c>
      <c r="H11" s="0" t="n">
        <f aca="false">H8+H10+H24</f>
        <v>1409.83376358218</v>
      </c>
      <c r="I11" s="0" t="n">
        <f aca="false">I8+I10+I24</f>
        <v>1587.91802845572</v>
      </c>
      <c r="J11" s="0" t="n">
        <f aca="false">J8+J10+J24</f>
        <v>1767.35276567122</v>
      </c>
      <c r="K11" s="0" t="n">
        <f aca="false">K8+K10+K24</f>
        <v>1908.74098692491</v>
      </c>
      <c r="L11" s="0" t="n">
        <f aca="false">L8+L10+L24</f>
        <v>1985.09062640191</v>
      </c>
    </row>
    <row r="12" customFormat="false" ht="15" hidden="false" customHeight="false" outlineLevel="0" collapsed="false">
      <c r="A12" s="0" t="s">
        <v>118</v>
      </c>
      <c r="C12" s="4" t="n">
        <f aca="false">-C6*Assumptions!C45/100</f>
        <v>-202.80704752</v>
      </c>
      <c r="D12" s="4" t="n">
        <f aca="false">-D6*Assumptions!D45/100</f>
        <v>-227.1438932224</v>
      </c>
      <c r="E12" s="4" t="n">
        <f aca="false">-E6*Assumptions!E45/100</f>
        <v>-252.129721476864</v>
      </c>
      <c r="F12" s="4" t="n">
        <f aca="false">-F6*Assumptions!F45/100</f>
        <v>-277.342693624551</v>
      </c>
      <c r="G12" s="4" t="n">
        <f aca="false">-G6*Assumptions!G45/100</f>
        <v>-302.30353605076</v>
      </c>
      <c r="H12" s="4" t="n">
        <f aca="false">-H6*Assumptions!H45/100</f>
        <v>-326.487818934821</v>
      </c>
      <c r="I12" s="4" t="n">
        <f aca="false">-I6*Assumptions!I45/100</f>
        <v>-349.341966260258</v>
      </c>
      <c r="J12" s="4" t="n">
        <f aca="false">-J6*Assumptions!J45/100</f>
        <v>-370.302484235874</v>
      </c>
      <c r="K12" s="4" t="n">
        <f aca="false">-K6*Assumptions!K45/100</f>
        <v>-388.817608447668</v>
      </c>
      <c r="L12" s="4" t="n">
        <f aca="false">-L6*Assumptions!L45/100</f>
        <v>-404.370312785574</v>
      </c>
    </row>
    <row r="13" customFormat="false" ht="15" hidden="false" customHeight="false" outlineLevel="0" collapsed="false">
      <c r="A13" s="0" t="s">
        <v>119</v>
      </c>
      <c r="C13" s="0" t="n">
        <f aca="false">C11+C12</f>
        <v>184.3700432</v>
      </c>
      <c r="D13" s="0" t="n">
        <f aca="false">D11+D12</f>
        <v>340.7158398336</v>
      </c>
      <c r="E13" s="0" t="n">
        <f aca="false">E11+E12</f>
        <v>527.180326724352</v>
      </c>
      <c r="F13" s="0" t="n">
        <f aca="false">F11+F12</f>
        <v>718.569706209062</v>
      </c>
      <c r="G13" s="0" t="n">
        <f aca="false">G11+G12</f>
        <v>906.910608152281</v>
      </c>
      <c r="H13" s="0" t="n">
        <f aca="false">H11+H12</f>
        <v>1083.34594464736</v>
      </c>
      <c r="I13" s="0" t="n">
        <f aca="false">I11+I12</f>
        <v>1238.57606219546</v>
      </c>
      <c r="J13" s="0" t="n">
        <f aca="false">J11+J12</f>
        <v>1397.05028143534</v>
      </c>
      <c r="K13" s="0" t="n">
        <f aca="false">K11+K12</f>
        <v>1519.92337847725</v>
      </c>
      <c r="L13" s="0" t="n">
        <f aca="false">L11+L12</f>
        <v>1580.72031361634</v>
      </c>
    </row>
    <row r="14" customFormat="false" ht="15" hidden="false" customHeight="false" outlineLevel="0" collapsed="false">
      <c r="A14" s="0" t="s">
        <v>105</v>
      </c>
      <c r="C14" s="4" t="n">
        <f aca="false">Assumptions!C47</f>
        <v>6</v>
      </c>
      <c r="D14" s="4" t="n">
        <f aca="false">Assumptions!D47</f>
        <v>9</v>
      </c>
      <c r="E14" s="4" t="n">
        <f aca="false">Assumptions!E47</f>
        <v>12</v>
      </c>
      <c r="F14" s="4" t="n">
        <f aca="false">Assumptions!F47</f>
        <v>14</v>
      </c>
      <c r="G14" s="4" t="n">
        <f aca="false">Assumptions!G47</f>
        <v>16</v>
      </c>
      <c r="H14" s="4" t="n">
        <f aca="false">Assumptions!H47</f>
        <v>17</v>
      </c>
      <c r="I14" s="4" t="n">
        <f aca="false">Assumptions!I47</f>
        <v>18</v>
      </c>
      <c r="J14" s="4" t="n">
        <f aca="false">Assumptions!J47</f>
        <v>18</v>
      </c>
      <c r="K14" s="4" t="n">
        <f aca="false">Assumptions!K47</f>
        <v>18</v>
      </c>
      <c r="L14" s="4" t="n">
        <f aca="false">Assumptions!L47</f>
        <v>18</v>
      </c>
    </row>
    <row r="15" customFormat="false" ht="15" hidden="false" customHeight="false" outlineLevel="0" collapsed="false">
      <c r="A15" s="0" t="s">
        <v>120</v>
      </c>
      <c r="C15" s="0" t="n">
        <f aca="false">C13-MAX(0,C13)*C14/100</f>
        <v>173.307840608</v>
      </c>
      <c r="D15" s="0" t="n">
        <f aca="false">D13-MAX(0,D13)*D14/100</f>
        <v>310.051414248576</v>
      </c>
      <c r="E15" s="0" t="n">
        <f aca="false">E13-MAX(0,E13)*E14/100</f>
        <v>463.91868751743</v>
      </c>
      <c r="F15" s="0" t="n">
        <f aca="false">F13-MAX(0,F13)*F14/100</f>
        <v>617.969947339794</v>
      </c>
      <c r="G15" s="0" t="n">
        <f aca="false">G13-MAX(0,G13)*G14/100</f>
        <v>761.804910847916</v>
      </c>
      <c r="H15" s="0" t="n">
        <f aca="false">H13-MAX(0,H13)*H14/100</f>
        <v>899.177134057309</v>
      </c>
      <c r="I15" s="0" t="n">
        <f aca="false">I13-MAX(0,I13)*I14/100</f>
        <v>1015.63237100028</v>
      </c>
      <c r="J15" s="0" t="n">
        <f aca="false">J13-MAX(0,J13)*J14/100</f>
        <v>1145.58123077698</v>
      </c>
      <c r="K15" s="0" t="n">
        <f aca="false">K13-MAX(0,K13)*K14/100</f>
        <v>1246.33717035134</v>
      </c>
      <c r="L15" s="0" t="n">
        <f aca="false">L13-MAX(0,L13)*L14/100</f>
        <v>1296.1906571654</v>
      </c>
    </row>
    <row r="16" customFormat="false" ht="15" hidden="false" customHeight="false" outlineLevel="0" collapsed="false">
      <c r="A16" s="0" t="s">
        <v>121</v>
      </c>
      <c r="C16" s="0" t="n">
        <f aca="false">-C12</f>
        <v>202.80704752</v>
      </c>
      <c r="D16" s="0" t="n">
        <f aca="false">-D12</f>
        <v>227.1438932224</v>
      </c>
      <c r="E16" s="0" t="n">
        <f aca="false">-E12</f>
        <v>252.129721476864</v>
      </c>
      <c r="F16" s="0" t="n">
        <f aca="false">-F12</f>
        <v>277.342693624551</v>
      </c>
      <c r="G16" s="0" t="n">
        <f aca="false">-G12</f>
        <v>302.30353605076</v>
      </c>
      <c r="H16" s="0" t="n">
        <f aca="false">-H12</f>
        <v>326.487818934821</v>
      </c>
      <c r="I16" s="0" t="n">
        <f aca="false">-I12</f>
        <v>349.341966260258</v>
      </c>
      <c r="J16" s="0" t="n">
        <f aca="false">-J12</f>
        <v>370.302484235874</v>
      </c>
      <c r="K16" s="0" t="n">
        <f aca="false">-K12</f>
        <v>388.817608447668</v>
      </c>
      <c r="L16" s="0" t="n">
        <f aca="false">-L12</f>
        <v>404.370312785574</v>
      </c>
    </row>
    <row r="17" customFormat="false" ht="15" hidden="false" customHeight="false" outlineLevel="0" collapsed="false">
      <c r="A17" s="0" t="s">
        <v>122</v>
      </c>
      <c r="C17" s="4" t="n">
        <f aca="false">-C6*Assumptions!C46/100</f>
        <v>-258.11806048</v>
      </c>
      <c r="D17" s="4" t="n">
        <f aca="false">-D6*Assumptions!D46/100</f>
        <v>-289.0922277376</v>
      </c>
      <c r="E17" s="4" t="n">
        <f aca="false">-E6*Assumptions!E46/100</f>
        <v>-309.431930903424</v>
      </c>
      <c r="F17" s="4" t="n">
        <f aca="false">-F6*Assumptions!F46/100</f>
        <v>-340.375123993767</v>
      </c>
      <c r="G17" s="4" t="n">
        <f aca="false">-G6*Assumptions!G46/100</f>
        <v>-357.267815332717</v>
      </c>
      <c r="H17" s="4" t="n">
        <f aca="false">-H6*Assumptions!H46/100</f>
        <v>-385.849240559334</v>
      </c>
      <c r="I17" s="4" t="n">
        <f aca="false">-I6*Assumptions!I46/100</f>
        <v>-412.858687398487</v>
      </c>
      <c r="J17" s="4" t="n">
        <f aca="false">-J6*Assumptions!J46/100</f>
        <v>-437.630208642397</v>
      </c>
      <c r="K17" s="4" t="n">
        <f aca="false">-K6*Assumptions!K46/100</f>
        <v>-459.511719074516</v>
      </c>
      <c r="L17" s="4" t="n">
        <f aca="false">-L6*Assumptions!L46/100</f>
        <v>-477.892187837497</v>
      </c>
    </row>
    <row r="18" customFormat="false" ht="15" hidden="false" customHeight="false" outlineLevel="0" collapsed="false">
      <c r="A18" s="0" t="s">
        <v>123</v>
      </c>
      <c r="C18" s="4" t="n">
        <f aca="false">(C6-B6)*Assumptions!$B$51/100</f>
        <v>237.0471984</v>
      </c>
      <c r="D18" s="4" t="n">
        <f aca="false">(D6-C6)*Assumptions!$B$51/100</f>
        <v>265.492862208</v>
      </c>
      <c r="E18" s="4" t="n">
        <f aca="false">(E6-D6)*Assumptions!$B$51/100</f>
        <v>272.57267186688</v>
      </c>
      <c r="F18" s="4" t="n">
        <f aca="false">(F6-E6)*Assumptions!$B$51/100</f>
        <v>275.050605247488</v>
      </c>
      <c r="G18" s="4" t="n">
        <f aca="false">(G6-F6)*Assumptions!$B$51/100</f>
        <v>272.300099195013</v>
      </c>
      <c r="H18" s="4" t="n">
        <f aca="false">(H6-G6)*Assumptions!$B$51/100</f>
        <v>263.828540553391</v>
      </c>
      <c r="I18" s="4" t="n">
        <f aca="false">(I6-H6)*Assumptions!$B$51/100</f>
        <v>249.317970822955</v>
      </c>
      <c r="J18" s="4" t="n">
        <f aca="false">(J6-I6)*Assumptions!$B$51/100</f>
        <v>228.660196097624</v>
      </c>
      <c r="K18" s="4" t="n">
        <f aca="false">(K6-J6)*Assumptions!$B$51/100</f>
        <v>201.983173219567</v>
      </c>
      <c r="L18" s="4" t="n">
        <f aca="false">(L6-K6)*Assumptions!$B$51/100</f>
        <v>169.665865504437</v>
      </c>
    </row>
    <row r="19" customFormat="false" ht="15" hidden="false" customHeight="false" outlineLevel="0" collapsed="false">
      <c r="A19" s="0" t="s">
        <v>124</v>
      </c>
      <c r="C19" s="0" t="n">
        <f aca="false">C15+C16+C17+C18</f>
        <v>355.044026048</v>
      </c>
      <c r="D19" s="0" t="n">
        <f aca="false">D15+D16+D17+D18</f>
        <v>513.595941941376</v>
      </c>
      <c r="E19" s="0" t="n">
        <f aca="false">E15+E16+E17+E18</f>
        <v>679.18914995775</v>
      </c>
      <c r="F19" s="0" t="n">
        <f aca="false">F15+F16+F17+F18</f>
        <v>829.988122218066</v>
      </c>
      <c r="G19" s="0" t="n">
        <f aca="false">G15+G16+G17+G18</f>
        <v>979.140730760973</v>
      </c>
      <c r="H19" s="0" t="n">
        <f aca="false">H15+H16+H17+H18</f>
        <v>1103.64425298619</v>
      </c>
      <c r="I19" s="0" t="n">
        <f aca="false">I15+I16+I17+I18</f>
        <v>1201.433620685</v>
      </c>
      <c r="J19" s="0" t="n">
        <f aca="false">J15+J16+J17+J18</f>
        <v>1306.91370246808</v>
      </c>
      <c r="K19" s="0" t="n">
        <f aca="false">K15+K16+K17+K18</f>
        <v>1377.62623294406</v>
      </c>
      <c r="L19" s="0" t="n">
        <f aca="false">L15+L16+L17+L18</f>
        <v>1392.33464761791</v>
      </c>
    </row>
    <row r="20" customFormat="false" ht="15" hidden="false" customHeight="false" outlineLevel="0" collapsed="false">
      <c r="A20" s="0" t="s">
        <v>125</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126</v>
      </c>
      <c r="C21" s="0" t="n">
        <f aca="false">C19*C20</f>
        <v>322.767296407273</v>
      </c>
      <c r="D21" s="0" t="n">
        <f aca="false">D19*D20</f>
        <v>424.459456149898</v>
      </c>
      <c r="E21" s="0" t="n">
        <f aca="false">E19*E20</f>
        <v>510.284860975019</v>
      </c>
      <c r="F21" s="0" t="n">
        <f aca="false">F19*F20</f>
        <v>566.893055268128</v>
      </c>
      <c r="G21" s="0" t="n">
        <f aca="false">G19*G20</f>
        <v>607.969358005211</v>
      </c>
      <c r="H21" s="0" t="n">
        <f aca="false">H19*H20</f>
        <v>622.978408864378</v>
      </c>
      <c r="I21" s="0" t="n">
        <f aca="false">I19*I20</f>
        <v>616.525415969821</v>
      </c>
      <c r="J21" s="0" t="n">
        <f aca="false">J19*J20</f>
        <v>609.684887498588</v>
      </c>
      <c r="K21" s="0" t="n">
        <f aca="false">K19*K20</f>
        <v>584.248004399034</v>
      </c>
      <c r="L21" s="0" t="n">
        <f aca="false">L19*L20</f>
        <v>536.805280029317</v>
      </c>
    </row>
    <row r="23" customFormat="false" ht="15" hidden="false" customHeight="false" outlineLevel="0" collapsed="false">
      <c r="A23" s="0" t="s">
        <v>102</v>
      </c>
      <c r="C23" s="4" t="n">
        <f aca="false">Assumptions!C44</f>
        <v>0.8</v>
      </c>
      <c r="D23" s="4" t="n">
        <f aca="false">Assumptions!D44</f>
        <v>0.8</v>
      </c>
      <c r="E23" s="4" t="n">
        <f aca="false">Assumptions!E44</f>
        <v>0.8</v>
      </c>
      <c r="F23" s="4" t="n">
        <f aca="false">Assumptions!F44</f>
        <v>0.8</v>
      </c>
      <c r="G23" s="4" t="n">
        <f aca="false">Assumptions!G44</f>
        <v>0.8</v>
      </c>
      <c r="H23" s="4" t="n">
        <f aca="false">Assumptions!H44</f>
        <v>0.8</v>
      </c>
      <c r="I23" s="4" t="n">
        <f aca="false">Assumptions!I44</f>
        <v>0.8</v>
      </c>
      <c r="J23" s="4" t="n">
        <f aca="false">Assumptions!J44</f>
        <v>0.8</v>
      </c>
      <c r="K23" s="4" t="n">
        <f aca="false">Assumptions!K44</f>
        <v>0.8</v>
      </c>
      <c r="L23" s="4" t="n">
        <f aca="false">Assumptions!L44</f>
        <v>0.8</v>
      </c>
    </row>
    <row r="24" customFormat="false" ht="15" hidden="false" customHeight="false" outlineLevel="0" collapsed="false">
      <c r="A24" s="0" t="s">
        <v>127</v>
      </c>
      <c r="C24" s="0" t="n">
        <f aca="false">-C6*C23/100</f>
        <v>-147.49603456</v>
      </c>
      <c r="D24" s="0" t="n">
        <f aca="false">-D6*D23/100</f>
        <v>-165.1955587072</v>
      </c>
      <c r="E24" s="0" t="n">
        <f aca="false">-E6*E23/100</f>
        <v>-183.367070164992</v>
      </c>
      <c r="F24" s="0" t="n">
        <f aca="false">-F6*F23/100</f>
        <v>-201.703777181491</v>
      </c>
      <c r="G24" s="0" t="n">
        <f aca="false">-G6*G23/100</f>
        <v>-219.857117127826</v>
      </c>
      <c r="H24" s="0" t="n">
        <f aca="false">-H6*H23/100</f>
        <v>-237.445686498052</v>
      </c>
      <c r="I24" s="0" t="n">
        <f aca="false">-I6*I23/100</f>
        <v>-254.066884552915</v>
      </c>
      <c r="J24" s="0" t="n">
        <f aca="false">-J6*J23/100</f>
        <v>-269.31089762609</v>
      </c>
      <c r="K24" s="0" t="n">
        <f aca="false">-K6*K23/100</f>
        <v>-282.776442507395</v>
      </c>
      <c r="L24" s="0" t="n">
        <f aca="false">-L6*L23/100</f>
        <v>-294.087500207691</v>
      </c>
    </row>
    <row r="26" customFormat="false" ht="15" hidden="false" customHeight="false" outlineLevel="0" collapsed="false">
      <c r="A26" s="2" t="s">
        <v>128</v>
      </c>
    </row>
    <row r="27" customFormat="false" ht="15" hidden="false" customHeight="false" outlineLevel="0" collapsed="false">
      <c r="A27" s="0" t="s">
        <v>106</v>
      </c>
      <c r="B27" s="4" t="n">
        <f aca="false">Assumptions!$B$48</f>
        <v>10</v>
      </c>
    </row>
    <row r="28" customFormat="false" ht="15" hidden="false" customHeight="false" outlineLevel="0" collapsed="false">
      <c r="A28" s="0" t="s">
        <v>107</v>
      </c>
      <c r="B28" s="4" t="n">
        <f aca="false">Assumptions!$B$49</f>
        <v>2.5</v>
      </c>
    </row>
    <row r="29" customFormat="false" ht="15" hidden="false" customHeight="false" outlineLevel="0" collapsed="false">
      <c r="A29" s="0" t="s">
        <v>108</v>
      </c>
      <c r="B29" s="4" t="n">
        <f aca="false">Assumptions!$B$50</f>
        <v>18</v>
      </c>
    </row>
    <row r="30" customFormat="false" ht="15" hidden="false" customHeight="false" outlineLevel="0" collapsed="false">
      <c r="A30" s="0" t="s">
        <v>129</v>
      </c>
      <c r="B30" s="0" t="n">
        <f aca="false">SUM(C21:L21)</f>
        <v>5402.61602356667</v>
      </c>
    </row>
    <row r="31" customFormat="false" ht="15" hidden="false" customHeight="false" outlineLevel="0" collapsed="false">
      <c r="A31" s="0" t="s">
        <v>130</v>
      </c>
      <c r="B31" s="0" t="n">
        <f aca="false">L19</f>
        <v>1392.33464761791</v>
      </c>
    </row>
    <row r="32" customFormat="false" ht="15" hidden="false" customHeight="false" outlineLevel="0" collapsed="false">
      <c r="A32" s="0" t="s">
        <v>131</v>
      </c>
      <c r="B32" s="0" t="n">
        <f aca="false">IF(B27&gt;B28,B31*(1+B28/100)/((B27-B28)/100),B31*B29)</f>
        <v>19028.5735174448</v>
      </c>
    </row>
    <row r="33" customFormat="false" ht="15" hidden="false" customHeight="false" outlineLevel="0" collapsed="false">
      <c r="A33" s="0" t="s">
        <v>132</v>
      </c>
      <c r="B33" s="0" t="n">
        <f aca="false">B31*B29</f>
        <v>25062.0236571224</v>
      </c>
    </row>
    <row r="34" customFormat="false" ht="15" hidden="false" customHeight="false" outlineLevel="0" collapsed="false">
      <c r="A34" s="0" t="s">
        <v>133</v>
      </c>
      <c r="B34" s="0" t="n">
        <f aca="false">MAX(0,MIN(B32,B33))</f>
        <v>19028.5735174448</v>
      </c>
    </row>
    <row r="35" customFormat="false" ht="15" hidden="false" customHeight="false" outlineLevel="0" collapsed="false">
      <c r="A35" s="0" t="s">
        <v>134</v>
      </c>
      <c r="B35" s="0" t="n">
        <f aca="false">B34/(1+B27/100)^L4</f>
        <v>7336.33882706733</v>
      </c>
    </row>
    <row r="36" customFormat="false" ht="15" hidden="false" customHeight="false" outlineLevel="0" collapsed="false">
      <c r="A36" s="0" t="s">
        <v>135</v>
      </c>
      <c r="B36" s="0" t="n">
        <f aca="false">B30+B35</f>
        <v>12738.954850634</v>
      </c>
    </row>
    <row r="37" customFormat="false" ht="15" hidden="false" customHeight="false" outlineLevel="0" collapsed="false">
      <c r="A37" s="0" t="s">
        <v>136</v>
      </c>
      <c r="B37" s="0" t="n">
        <f aca="false">B36+Assumptions!$B$5-Assumptions!$B$4</f>
        <v>19194.924850634</v>
      </c>
    </row>
    <row r="38" customFormat="false" ht="15" hidden="false" customHeight="false" outlineLevel="0" collapsed="false">
      <c r="A38" s="0" t="s">
        <v>137</v>
      </c>
      <c r="B38" s="0" t="n">
        <f aca="false">B37/Assumptions!$B$3*Assumptions!$B$10</f>
        <v>28.9352286464073</v>
      </c>
    </row>
    <row r="39" customFormat="false" ht="15" hidden="false" customHeight="false" outlineLevel="0" collapsed="false">
      <c r="A39" s="0" t="s">
        <v>138</v>
      </c>
      <c r="B39" s="4" t="n">
        <f aca="false">B38/Assumptions!$B$2-1</f>
        <v>1.51173859777842</v>
      </c>
    </row>
    <row r="41" customFormat="false" ht="15" hidden="false" customHeight="false" outlineLevel="0" collapsed="false">
      <c r="A41" s="0" t="s">
        <v>139</v>
      </c>
      <c r="B41" s="0" t="n">
        <f aca="false">SUMPRODUCT(-C10:L10/(1+$B$27/100)^C4:L4)</f>
        <v>1610.90810428836</v>
      </c>
    </row>
    <row r="42" customFormat="false" ht="15" hidden="false" customHeight="false" outlineLevel="0" collapsed="false">
      <c r="A42" s="0" t="s">
        <v>140</v>
      </c>
      <c r="B42" s="0" t="n">
        <f aca="false">IF(B27&gt;B28,-L10*(1+B28/100)/((B27-B28)/100),-L10*20)/(1+B27/100)^L4</f>
        <v>1549.57398353914</v>
      </c>
    </row>
    <row r="43" customFormat="false" ht="15" hidden="false" customHeight="false" outlineLevel="0" collapsed="false">
      <c r="A43" s="0" t="s">
        <v>141</v>
      </c>
      <c r="B43" s="0" t="n">
        <f aca="false">(B37+B41+B42)/Assumptions!$B$3*Assumptions!$B$10</f>
        <v>33.6994708904265</v>
      </c>
    </row>
    <row r="45" customFormat="false" ht="15" hidden="false" customHeight="false" outlineLevel="0" collapsed="false">
      <c r="A45" s="0" t="s">
        <v>82</v>
      </c>
      <c r="B45" s="4" t="n">
        <f aca="false">Assumptions!$B$6</f>
        <v>15</v>
      </c>
    </row>
    <row r="46" customFormat="false" ht="15" hidden="false" customHeight="false" outlineLevel="0" collapsed="false">
      <c r="A46" s="0" t="s">
        <v>142</v>
      </c>
      <c r="B46" s="0" t="n">
        <f aca="false">MAX(0,MIN(IF(B45&gt;B28,B31*(1+B28/100)/((B45-B28)/100),B31*B29),B31*B29))</f>
        <v>11417.1441104669</v>
      </c>
    </row>
    <row r="47" customFormat="false" ht="15" hidden="false" customHeight="false" outlineLevel="0" collapsed="false">
      <c r="A47" s="0" t="s">
        <v>143</v>
      </c>
      <c r="B47" s="0" t="n">
        <f aca="false">(SUMPRODUCT(C19:L19/(1+B45/100)^C4:L4)+B46/(1+B45/100)^L4+Assumptions!$B$5-Assumptions!$B$4)/Assumptions!$B$3*Assumptions!$B$10</f>
        <v>20.3126775858875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146</v>
      </c>
    </row>
    <row r="3" customFormat="false" ht="15" hidden="false" customHeight="false" outlineLevel="0" collapsed="false">
      <c r="A3" s="2" t="s">
        <v>147</v>
      </c>
      <c r="B3" s="2" t="s">
        <v>148</v>
      </c>
      <c r="C3" s="2" t="s">
        <v>138</v>
      </c>
      <c r="D3" s="2" t="s">
        <v>149</v>
      </c>
      <c r="E3" s="2" t="s">
        <v>141</v>
      </c>
      <c r="F3" s="2" t="s">
        <v>150</v>
      </c>
    </row>
    <row r="4" customFormat="false" ht="15" hidden="false" customHeight="false" outlineLevel="0" collapsed="false">
      <c r="A4" s="0" t="s">
        <v>151</v>
      </c>
      <c r="B4" s="4" t="n">
        <f aca="false">DCF_Bear!$B$38</f>
        <v>12.3929830306709</v>
      </c>
      <c r="C4" s="0" t="n">
        <f aca="false">B4/Assumptions!$B$2-1</f>
        <v>0.075779776967964</v>
      </c>
      <c r="D4" s="4" t="n">
        <f aca="false">Assumptions!$B$24</f>
        <v>0.3</v>
      </c>
      <c r="E4" s="4" t="n">
        <f aca="false">DCF_Bear!$B$43</f>
        <v>16.1264172793213</v>
      </c>
      <c r="F4" s="4" t="n">
        <f aca="false">DCF_Bear!$B$47</f>
        <v>11.2140675095322</v>
      </c>
    </row>
    <row r="5" customFormat="false" ht="15" hidden="false" customHeight="false" outlineLevel="0" collapsed="false">
      <c r="A5" s="0" t="s">
        <v>152</v>
      </c>
      <c r="B5" s="4" t="n">
        <f aca="false">DCF_Base!$B$38</f>
        <v>20.4901073892411</v>
      </c>
      <c r="C5" s="0" t="n">
        <f aca="false">B5/Assumptions!$B$2-1</f>
        <v>0.778655155316065</v>
      </c>
      <c r="D5" s="4" t="n">
        <f aca="false">Assumptions!$B$38</f>
        <v>0.5</v>
      </c>
      <c r="E5" s="4" t="n">
        <f aca="false">DCF_Base!$B$43</f>
        <v>24.7143472647038</v>
      </c>
      <c r="F5" s="4" t="n">
        <f aca="false">DCF_Base!$B$47</f>
        <v>15.737361655045</v>
      </c>
    </row>
    <row r="6" customFormat="false" ht="15" hidden="false" customHeight="false" outlineLevel="0" collapsed="false">
      <c r="A6" s="0" t="s">
        <v>153</v>
      </c>
      <c r="B6" s="4" t="n">
        <f aca="false">DCF_Bull!$B$38</f>
        <v>28.9352286464073</v>
      </c>
      <c r="C6" s="0" t="n">
        <f aca="false">B6/Assumptions!$B$2-1</f>
        <v>1.51173859777842</v>
      </c>
      <c r="D6" s="4" t="n">
        <f aca="false">Assumptions!$B$52</f>
        <v>0.2</v>
      </c>
      <c r="E6" s="4" t="n">
        <f aca="false">DCF_Bull!$B$43</f>
        <v>33.6994708904265</v>
      </c>
      <c r="F6" s="4" t="n">
        <f aca="false">DCF_Bull!$B$47</f>
        <v>20.3126775858875</v>
      </c>
    </row>
    <row r="8" customFormat="false" ht="15" hidden="false" customHeight="false" outlineLevel="0" collapsed="false">
      <c r="A8" s="0" t="s">
        <v>154</v>
      </c>
      <c r="B8" s="0" t="n">
        <f aca="false">SUMPRODUCT(B4:B6,D4:D6)</f>
        <v>19.7499943331033</v>
      </c>
    </row>
    <row r="9" customFormat="false" ht="15" hidden="false" customHeight="false" outlineLevel="0" collapsed="false">
      <c r="A9" s="0" t="s">
        <v>155</v>
      </c>
      <c r="B9" s="0" t="n">
        <f aca="false">SUMPRODUCT(E4:E6,D4:D6)</f>
        <v>23.9349929942336</v>
      </c>
    </row>
    <row r="10" customFormat="false" ht="15" hidden="false" customHeight="false" outlineLevel="0" collapsed="false">
      <c r="A10" s="0" t="s">
        <v>156</v>
      </c>
      <c r="B10" s="0" t="n">
        <f aca="false">1-Assumptions!$B$2/B8</f>
        <v>0.416708693394856</v>
      </c>
    </row>
    <row r="11" customFormat="false" ht="15" hidden="false" customHeight="false" outlineLevel="0" collapsed="false">
      <c r="A11" s="0" t="s">
        <v>157</v>
      </c>
      <c r="B11" s="0" t="n">
        <f aca="false">IF(ABS(B9-B8)&gt;0.01*ABS(B8),(Assumptions!$B$2-B8)/(B9-B8)*100,"n/a")</f>
        <v>-196.654646739611</v>
      </c>
    </row>
    <row r="12" customFormat="false" ht="15" hidden="false" customHeight="false" outlineLevel="0" collapsed="false">
      <c r="A12" s="0" t="s">
        <v>158</v>
      </c>
      <c r="B12" s="0" t="n">
        <f aca="false">SUMPRODUCT(F4:F6,D4:D6)</f>
        <v>15.2954365975596</v>
      </c>
    </row>
    <row r="14" customFormat="false" ht="15" hidden="false" customHeight="false" outlineLevel="0" collapsed="false">
      <c r="A14" s="2" t="s">
        <v>159</v>
      </c>
      <c r="C14" s="0" t="s">
        <v>160</v>
      </c>
    </row>
    <row r="15" customFormat="false" ht="15" hidden="false" customHeight="false" outlineLevel="0" collapsed="false">
      <c r="A15" s="0" t="s">
        <v>161</v>
      </c>
      <c r="B15" s="0" t="n">
        <f aca="false">(SUMPRODUCT(DCF_Base!$C$19:$L$19/(1+$C$15/100)^DCF_Base!$C$4:$L$4)+MAX(0,MIN(IF($C$15&gt;DCF_Base!$B$28,DCF_Base!$L$19*(1+DCF_Base!$B$28/100)/(($C$15-DCF_Base!$B$28)/100),DCF_Base!$L$19*DCF_Base!$B$29),DCF_Base!$L$19*DCF_Base!$B$29))/(1+$C$15/100)^DCF_Base!$L$4+Assumptions!$B$5-Assumptions!$B$4)/Assumptions!$B$3*Assumptions!$B$10</f>
        <v>22.3448280422841</v>
      </c>
      <c r="C15" s="3" t="n">
        <v>9</v>
      </c>
    </row>
    <row r="16" customFormat="false" ht="15" hidden="false" customHeight="false" outlineLevel="0" collapsed="false">
      <c r="A16" s="0" t="s">
        <v>162</v>
      </c>
      <c r="B16" s="0" t="n">
        <f aca="false">(SUMPRODUCT(DCF_Base!$C$19:$L$19/(1+$C$16/100)^DCF_Base!$C$4:$L$4)+MAX(0,MIN(IF($C$16&gt;DCF_Base!$B$28,DCF_Base!$L$19*(1+DCF_Base!$B$28/100)/(($C$16-DCF_Base!$B$28)/100),DCF_Base!$L$19*DCF_Base!$B$29),DCF_Base!$L$19*DCF_Base!$B$29))/(1+$C$16/100)^DCF_Base!$L$4+Assumptions!$B$5-Assumptions!$B$4)/Assumptions!$B$3*Assumptions!$B$10</f>
        <v>20.4901073892411</v>
      </c>
      <c r="C16" s="3" t="n">
        <v>10</v>
      </c>
    </row>
    <row r="17" customFormat="false" ht="15" hidden="false" customHeight="false" outlineLevel="0" collapsed="false">
      <c r="A17" s="0" t="s">
        <v>163</v>
      </c>
      <c r="B17" s="0" t="n">
        <f aca="false">(SUMPRODUCT(DCF_Base!$C$19:$L$19/(1+$C$17/100)^DCF_Base!$C$4:$L$4)+MAX(0,MIN(IF($C$17&gt;DCF_Base!$B$28,DCF_Base!$L$19*(1+DCF_Base!$B$28/100)/(($C$17-DCF_Base!$B$28)/100),DCF_Base!$L$19*DCF_Base!$B$29),DCF_Base!$L$19*DCF_Base!$B$29))/(1+$C$17/100)^DCF_Base!$L$4+Assumptions!$B$5-Assumptions!$B$4)/Assumptions!$B$3*Assumptions!$B$10</f>
        <v>19.0791985347928</v>
      </c>
      <c r="C17" s="3" t="n">
        <v>11</v>
      </c>
    </row>
    <row r="18" customFormat="false" ht="15" hidden="false" customHeight="false" outlineLevel="0" collapsed="false">
      <c r="A18" s="0" t="s">
        <v>164</v>
      </c>
      <c r="B18" s="0" t="n">
        <f aca="false">(SUMPRODUCT(DCF_Base!$C$19:$L$19/(1+$C$18/100)^DCF_Base!$C$4:$L$4)+MAX(0,MIN(IF($C$18&gt;DCF_Base!$B$28,DCF_Base!$L$19*(1+DCF_Base!$B$28/100)/(($C$18-DCF_Base!$B$28)/100),DCF_Base!$L$19*DCF_Base!$B$29),DCF_Base!$L$19*DCF_Base!$B$29))/(1+$C$18/100)^DCF_Base!$L$4+Assumptions!$B$5-Assumptions!$B$4)/Assumptions!$B$3*Assumptions!$B$10</f>
        <v>17.9715311931883</v>
      </c>
      <c r="C18" s="3" t="n">
        <v>12</v>
      </c>
    </row>
    <row r="19" customFormat="false" ht="15" hidden="false" customHeight="false" outlineLevel="0" collapsed="false">
      <c r="A19" s="0" t="s">
        <v>165</v>
      </c>
      <c r="B19" s="0" t="n">
        <f aca="false">(SUMPRODUCT(DCF_Base!$C$19:$L$19/(1+$C$19/100)^DCF_Base!$C$4:$L$4)+MAX(0,MIN(IF($C$19&gt;DCF_Base!$B$28,DCF_Base!$L$19*(1+DCF_Base!$B$28/100)/(($C$19-DCF_Base!$B$28)/100),DCF_Base!$L$19*DCF_Base!$B$29),DCF_Base!$L$19*DCF_Base!$B$29))/(1+$C$19/100)^DCF_Base!$L$4+Assumptions!$B$5-Assumptions!$B$4)/Assumptions!$B$3*Assumptions!$B$10</f>
        <v>15.737361655045</v>
      </c>
      <c r="C19" s="3" t="n">
        <v>15</v>
      </c>
    </row>
    <row r="21" customFormat="false" ht="15" hidden="false" customHeight="false" outlineLevel="0" collapsed="false">
      <c r="A21" s="2" t="s">
        <v>166</v>
      </c>
    </row>
    <row r="22" customFormat="false" ht="15" hidden="false" customHeight="false" outlineLevel="0" collapsed="false">
      <c r="B22" s="3" t="n">
        <v>1.5</v>
      </c>
      <c r="C22" s="3" t="n">
        <v>2</v>
      </c>
      <c r="D22" s="3" t="n">
        <v>2.5</v>
      </c>
      <c r="E22" s="3" t="n">
        <v>3</v>
      </c>
      <c r="F22" s="3" t="n">
        <v>3.5</v>
      </c>
    </row>
    <row r="23" customFormat="false" ht="15" hidden="false" customHeight="false" outlineLevel="0" collapsed="false">
      <c r="A23" s="3" t="n">
        <v>8</v>
      </c>
      <c r="B23" s="0" t="n">
        <f aca="false">(SUMPRODUCT(DCF_Base!$C$19:$L$19/(1+$A$23/100)^DCF_Base!$C$4:$L$4)+MAX(0,MIN(IF($A$23&gt;$B$22,DCF_Base!$L$19*(1+$B$22/100)/(($A$23-$B$22)/100),DCF_Base!$L$19*DCF_Base!$B$29),DCF_Base!$L$19*DCF_Base!$B$29))/(1+$A$23/100)^DCF_Base!$L$4+Assumptions!$B$5-Assumptions!$B$4)/Assumptions!$B$3*Assumptions!$B$10</f>
        <v>23.2734684950801</v>
      </c>
      <c r="C23" s="0" t="n">
        <f aca="false">(SUMPRODUCT(DCF_Base!$C$19:$L$19/(1+$A$23/100)^DCF_Base!$C$4:$L$4)+MAX(0,MIN(IF($A$23&gt;$C$22,DCF_Base!$L$19*(1+$C$22/100)/(($A$23-$C$22)/100),DCF_Base!$L$19*DCF_Base!$B$29),DCF_Base!$L$19*DCF_Base!$B$29))/(1+$A$23/100)^DCF_Base!$L$4+Assumptions!$B$5-Assumptions!$B$4)/Assumptions!$B$3*Assumptions!$B$10</f>
        <v>24.0126479496477</v>
      </c>
      <c r="D23" s="0" t="n">
        <f aca="false">(SUMPRODUCT(DCF_Base!$C$19:$L$19/(1+$A$23/100)^DCF_Base!$C$4:$L$4)+MAX(0,MIN(IF($A$23&gt;$D$22,DCF_Base!$L$19*(1+$D$22/100)/(($A$23-$D$22)/100),DCF_Base!$L$19*DCF_Base!$B$29),DCF_Base!$L$19*DCF_Base!$B$29))/(1+$A$23/100)^DCF_Base!$L$4+Assumptions!$B$5-Assumptions!$B$4)/Assumptions!$B$3*Assumptions!$B$10</f>
        <v>24.5464997779464</v>
      </c>
      <c r="E23" s="0" t="n">
        <f aca="false">(SUMPRODUCT(DCF_Base!$C$19:$L$19/(1+$A$23/100)^DCF_Base!$C$4:$L$4)+MAX(0,MIN(IF($A$23&gt;$E$22,DCF_Base!$L$19*(1+$E$22/100)/(($A$23-$E$22)/100),DCF_Base!$L$19*DCF_Base!$B$29),DCF_Base!$L$19*DCF_Base!$B$29))/(1+$A$23/100)^DCF_Base!$L$4+Assumptions!$B$5-Assumptions!$B$4)/Assumptions!$B$3*Assumptions!$B$10</f>
        <v>24.5464997779464</v>
      </c>
      <c r="F23" s="0" t="n">
        <f aca="false">(SUMPRODUCT(DCF_Base!$C$19:$L$19/(1+$A$23/100)^DCF_Base!$C$4:$L$4)+MAX(0,MIN(IF($A$23&gt;$F$22,DCF_Base!$L$19*(1+$F$22/100)/(($A$23-$F$22)/100),DCF_Base!$L$19*DCF_Base!$B$29),DCF_Base!$L$19*DCF_Base!$B$29))/(1+$A$23/100)^DCF_Base!$L$4+Assumptions!$B$5-Assumptions!$B$4)/Assumptions!$B$3*Assumptions!$B$10</f>
        <v>24.5464997779464</v>
      </c>
    </row>
    <row r="24" customFormat="false" ht="15" hidden="false" customHeight="false" outlineLevel="0" collapsed="false">
      <c r="A24" s="3" t="n">
        <v>9</v>
      </c>
      <c r="B24" s="0" t="n">
        <f aca="false">(SUMPRODUCT(DCF_Base!$C$19:$L$19/(1+$A$24/100)^DCF_Base!$C$4:$L$4)+MAX(0,MIN(IF($A$24&gt;$B$22,DCF_Base!$L$19*(1+$B$22/100)/(($A$24-$B$22)/100),DCF_Base!$L$19*DCF_Base!$B$29),DCF_Base!$L$19*DCF_Base!$B$29))/(1+$A$24/100)^DCF_Base!$L$4+Assumptions!$B$5-Assumptions!$B$4)/Assumptions!$B$3*Assumptions!$B$10</f>
        <v>21.2562860488613</v>
      </c>
      <c r="C24" s="0" t="n">
        <f aca="false">(SUMPRODUCT(DCF_Base!$C$19:$L$19/(1+$A$24/100)^DCF_Base!$C$4:$L$4)+MAX(0,MIN(IF($A$24&gt;$C$22,DCF_Base!$L$19*(1+$C$22/100)/(($A$24-$C$22)/100),DCF_Base!$L$19*DCF_Base!$B$29),DCF_Base!$L$19*DCF_Base!$B$29))/(1+$A$24/100)^DCF_Base!$L$4+Assumptions!$B$5-Assumptions!$B$4)/Assumptions!$B$3*Assumptions!$B$10</f>
        <v>21.7616805458076</v>
      </c>
      <c r="D24" s="0" t="n">
        <f aca="false">(SUMPRODUCT(DCF_Base!$C$19:$L$19/(1+$A$24/100)^DCF_Base!$C$4:$L$4)+MAX(0,MIN(IF($A$24&gt;$D$22,DCF_Base!$L$19*(1+$D$22/100)/(($A$24-$D$22)/100),DCF_Base!$L$19*DCF_Base!$B$29),DCF_Base!$L$19*DCF_Base!$B$29))/(1+$A$24/100)^DCF_Base!$L$4+Assumptions!$B$5-Assumptions!$B$4)/Assumptions!$B$3*Assumptions!$B$10</f>
        <v>22.3448280422841</v>
      </c>
      <c r="E24" s="0" t="n">
        <f aca="false">(SUMPRODUCT(DCF_Base!$C$19:$L$19/(1+$A$24/100)^DCF_Base!$C$4:$L$4)+MAX(0,MIN(IF($A$24&gt;$E$22,DCF_Base!$L$19*(1+$E$22/100)/(($A$24-$E$22)/100),DCF_Base!$L$19*DCF_Base!$B$29),DCF_Base!$L$19*DCF_Base!$B$29))/(1+$A$24/100)^DCF_Base!$L$4+Assumptions!$B$5-Assumptions!$B$4)/Assumptions!$B$3*Assumptions!$B$10</f>
        <v>23.0251667881734</v>
      </c>
      <c r="F24" s="0" t="n">
        <f aca="false">(SUMPRODUCT(DCF_Base!$C$19:$L$19/(1+$A$24/100)^DCF_Base!$C$4:$L$4)+MAX(0,MIN(IF($A$24&gt;$F$22,DCF_Base!$L$19*(1+$F$22/100)/(($A$24-$F$22)/100),DCF_Base!$L$19*DCF_Base!$B$29),DCF_Base!$L$19*DCF_Base!$B$29))/(1+$A$24/100)^DCF_Base!$L$4+Assumptions!$B$5-Assumptions!$B$4)/Assumptions!$B$3*Assumptions!$B$10</f>
        <v>23.4308733797587</v>
      </c>
    </row>
    <row r="25" customFormat="false" ht="15" hidden="false" customHeight="false" outlineLevel="0" collapsed="false">
      <c r="A25" s="3" t="n">
        <v>10</v>
      </c>
      <c r="B25" s="0" t="n">
        <f aca="false">(SUMPRODUCT(DCF_Base!$C$19:$L$19/(1+$A$25/100)^DCF_Base!$C$4:$L$4)+MAX(0,MIN(IF($A$25&gt;$B$22,DCF_Base!$L$19*(1+$B$22/100)/(($A$25-$B$22)/100),DCF_Base!$L$19*DCF_Base!$B$29),DCF_Base!$L$19*DCF_Base!$B$29))/(1+$A$25/100)^DCF_Base!$L$4+Assumptions!$B$5-Assumptions!$B$4)/Assumptions!$B$3*Assumptions!$B$10</f>
        <v>19.7233747808979</v>
      </c>
      <c r="C25" s="0" t="n">
        <f aca="false">(SUMPRODUCT(DCF_Base!$C$19:$L$19/(1+$A$25/100)^DCF_Base!$C$4:$L$4)+MAX(0,MIN(IF($A$25&gt;$C$22,DCF_Base!$L$19*(1+$C$22/100)/(($A$25-$C$22)/100),DCF_Base!$L$19*DCF_Base!$B$29),DCF_Base!$L$19*DCF_Base!$B$29))/(1+$A$25/100)^DCF_Base!$L$4+Assumptions!$B$5-Assumptions!$B$4)/Assumptions!$B$3*Assumptions!$B$10</f>
        <v>20.0827806910587</v>
      </c>
      <c r="D25" s="0" t="n">
        <f aca="false">(SUMPRODUCT(DCF_Base!$C$19:$L$19/(1+$A$25/100)^DCF_Base!$C$4:$L$4)+MAX(0,MIN(IF($A$25&gt;$D$22,DCF_Base!$L$19*(1+$D$22/100)/(($A$25-$D$22)/100),DCF_Base!$L$19*DCF_Base!$B$29),DCF_Base!$L$19*DCF_Base!$B$29))/(1+$A$25/100)^DCF_Base!$L$4+Assumptions!$B$5-Assumptions!$B$4)/Assumptions!$B$3*Assumptions!$B$10</f>
        <v>20.4901073892411</v>
      </c>
      <c r="E25" s="0" t="n">
        <f aca="false">(SUMPRODUCT(DCF_Base!$C$19:$L$19/(1+$A$25/100)^DCF_Base!$C$4:$L$4)+MAX(0,MIN(IF($A$25&gt;$E$22,DCF_Base!$L$19*(1+$E$22/100)/(($A$25-$E$22)/100),DCF_Base!$L$19*DCF_Base!$B$29),DCF_Base!$L$19*DCF_Base!$B$29))/(1+$A$25/100)^DCF_Base!$L$4+Assumptions!$B$5-Assumptions!$B$4)/Assumptions!$B$3*Assumptions!$B$10</f>
        <v>20.9556236157352</v>
      </c>
      <c r="F25" s="0" t="n">
        <f aca="false">(SUMPRODUCT(DCF_Base!$C$19:$L$19/(1+$A$25/100)^DCF_Base!$C$4:$L$4)+MAX(0,MIN(IF($A$25&gt;$F$22,DCF_Base!$L$19*(1+$F$22/100)/(($A$25-$F$22)/100),DCF_Base!$L$19*DCF_Base!$B$29),DCF_Base!$L$19*DCF_Base!$B$29))/(1+$A$25/100)^DCF_Base!$L$4+Assumptions!$B$5-Assumptions!$B$4)/Assumptions!$B$3*Assumptions!$B$10</f>
        <v>21.4927577232283</v>
      </c>
    </row>
    <row r="26" customFormat="false" ht="15" hidden="false" customHeight="false" outlineLevel="0" collapsed="false">
      <c r="A26" s="3" t="n">
        <v>11</v>
      </c>
      <c r="B26" s="0" t="n">
        <f aca="false">(SUMPRODUCT(DCF_Base!$C$19:$L$19/(1+$A$26/100)^DCF_Base!$C$4:$L$4)+MAX(0,MIN(IF($A$26&gt;$B$22,DCF_Base!$L$19*(1+$B$22/100)/(($A$26-$B$22)/100),DCF_Base!$L$19*DCF_Base!$B$29),DCF_Base!$L$19*DCF_Base!$B$29))/(1+$A$26/100)^DCF_Base!$L$4+Assumptions!$B$5-Assumptions!$B$4)/Assumptions!$B$3*Assumptions!$B$10</f>
        <v>18.5212309757978</v>
      </c>
      <c r="C26" s="0" t="n">
        <f aca="false">(SUMPRODUCT(DCF_Base!$C$19:$L$19/(1+$A$26/100)^DCF_Base!$C$4:$L$4)+MAX(0,MIN(IF($A$26&gt;$C$22,DCF_Base!$L$19*(1+$C$22/100)/(($A$26-$C$22)/100),DCF_Base!$L$19*DCF_Base!$B$29),DCF_Base!$L$19*DCF_Base!$B$29))/(1+$A$26/100)^DCF_Base!$L$4+Assumptions!$B$5-Assumptions!$B$4)/Assumptions!$B$3*Assumptions!$B$10</f>
        <v>18.7847156564343</v>
      </c>
      <c r="D26" s="0" t="n">
        <f aca="false">(SUMPRODUCT(DCF_Base!$C$19:$L$19/(1+$A$26/100)^DCF_Base!$C$4:$L$4)+MAX(0,MIN(IF($A$26&gt;$D$22,DCF_Base!$L$19*(1+$D$22/100)/(($A$26-$D$22)/100),DCF_Base!$L$19*DCF_Base!$B$29),DCF_Base!$L$19*DCF_Base!$B$29))/(1+$A$26/100)^DCF_Base!$L$4+Assumptions!$B$5-Assumptions!$B$4)/Assumptions!$B$3*Assumptions!$B$10</f>
        <v>19.0791985347928</v>
      </c>
      <c r="E26" s="0" t="n">
        <f aca="false">(SUMPRODUCT(DCF_Base!$C$19:$L$19/(1+$A$26/100)^DCF_Base!$C$4:$L$4)+MAX(0,MIN(IF($A$26&gt;$E$22,DCF_Base!$L$19*(1+$E$22/100)/(($A$26-$E$22)/100),DCF_Base!$L$19*DCF_Base!$B$29),DCF_Base!$L$19*DCF_Base!$B$29))/(1+$A$26/100)^DCF_Base!$L$4+Assumptions!$B$5-Assumptions!$B$4)/Assumptions!$B$3*Assumptions!$B$10</f>
        <v>19.410491772946</v>
      </c>
      <c r="F26" s="0" t="n">
        <f aca="false">(SUMPRODUCT(DCF_Base!$C$19:$L$19/(1+$A$26/100)^DCF_Base!$C$4:$L$4)+MAX(0,MIN(IF($A$26&gt;$F$22,DCF_Base!$L$19*(1+$F$22/100)/(($A$26-$F$22)/100),DCF_Base!$L$19*DCF_Base!$B$29),DCF_Base!$L$19*DCF_Base!$B$29))/(1+$A$26/100)^DCF_Base!$L$4+Assumptions!$B$5-Assumptions!$B$4)/Assumptions!$B$3*Assumptions!$B$10</f>
        <v>19.785957442853</v>
      </c>
    </row>
    <row r="27" customFormat="false" ht="15" hidden="false" customHeight="false" outlineLevel="0" collapsed="false">
      <c r="A27" s="3" t="n">
        <v>12</v>
      </c>
      <c r="B27" s="0" t="n">
        <f aca="false">(SUMPRODUCT(DCF_Base!$C$19:$L$19/(1+$A$27/100)^DCF_Base!$C$4:$L$4)+MAX(0,MIN(IF($A$27&gt;$B$22,DCF_Base!$L$19*(1+$B$22/100)/(($A$27-$B$22)/100),DCF_Base!$L$19*DCF_Base!$B$29),DCF_Base!$L$19*DCF_Base!$B$29))/(1+$A$27/100)^DCF_Base!$L$4+Assumptions!$B$5-Assumptions!$B$4)/Assumptions!$B$3*Assumptions!$B$10</f>
        <v>17.5548698775085</v>
      </c>
      <c r="C27" s="0" t="n">
        <f aca="false">(SUMPRODUCT(DCF_Base!$C$19:$L$19/(1+$A$27/100)^DCF_Base!$C$4:$L$4)+MAX(0,MIN(IF($A$27&gt;$C$22,DCF_Base!$L$19*(1+$C$22/100)/(($A$27-$C$22)/100),DCF_Base!$L$19*DCF_Base!$B$29),DCF_Base!$L$19*DCF_Base!$B$29))/(1+$A$27/100)^DCF_Base!$L$4+Assumptions!$B$5-Assumptions!$B$4)/Assumptions!$B$3*Assumptions!$B$10</f>
        <v>17.7527840024564</v>
      </c>
      <c r="D27" s="0" t="n">
        <f aca="false">(SUMPRODUCT(DCF_Base!$C$19:$L$19/(1+$A$27/100)^DCF_Base!$C$4:$L$4)+MAX(0,MIN(IF($A$27&gt;$D$22,DCF_Base!$L$19*(1+$D$22/100)/(($A$27-$D$22)/100),DCF_Base!$L$19*DCF_Base!$B$29),DCF_Base!$L$19*DCF_Base!$B$29))/(1+$A$27/100)^DCF_Base!$L$4+Assumptions!$B$5-Assumptions!$B$4)/Assumptions!$B$3*Assumptions!$B$10</f>
        <v>17.9715311931883</v>
      </c>
      <c r="E27" s="0" t="n">
        <f aca="false">(SUMPRODUCT(DCF_Base!$C$19:$L$19/(1+$A$27/100)^DCF_Base!$C$4:$L$4)+MAX(0,MIN(IF($A$27&gt;$E$22,DCF_Base!$L$19*(1+$E$22/100)/(($A$27-$E$22)/100),DCF_Base!$L$19*DCF_Base!$B$29),DCF_Base!$L$19*DCF_Base!$B$29))/(1+$A$27/100)^DCF_Base!$L$4+Assumptions!$B$5-Assumptions!$B$4)/Assumptions!$B$3*Assumptions!$B$10</f>
        <v>18.2145836273349</v>
      </c>
      <c r="F27" s="0" t="n">
        <f aca="false">(SUMPRODUCT(DCF_Base!$C$19:$L$19/(1+$A$27/100)^DCF_Base!$C$4:$L$4)+MAX(0,MIN(IF($A$27&gt;$F$22,DCF_Base!$L$19*(1+$F$22/100)/(($A$27-$F$22)/100),DCF_Base!$L$19*DCF_Base!$B$29),DCF_Base!$L$19*DCF_Base!$B$29))/(1+$A$27/100)^DCF_Base!$L$4+Assumptions!$B$5-Assumptions!$B$4)/Assumptions!$B$3*Assumptions!$B$10</f>
        <v>18.4862304654986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2026-10-23T18:44:24Z</dcterms:created>
  <dc:creator>openpyxl</dc:creator>
  <dc:description/>
  <dc:language>en-NZ</dc:language>
  <cp:lastModifiedBy/>
  <dcterms:modified xsi:type="dcterms:W3CDTF">2026-10-23T18:44:24Z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