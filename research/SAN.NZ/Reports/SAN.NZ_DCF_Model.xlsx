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1F4E79"/>
    </font>
    <font>
      <b val="1"/>
      <color rgb="001F4E79"/>
    </font>
    <font>
      <color rgb="00000000"/>
    </font>
    <font>
      <color rgb="002E7D32"/>
    </font>
  </fonts>
  <fills count="5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5" fillId="4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SAN.NZ -- Sanford Limited DCF model</t>
        </is>
      </c>
      <c r="B1" s="2" t="inlineStr"/>
    </row>
    <row r="2">
      <c r="A2" s="1" t="inlineStr">
        <is>
          <t>Version</t>
        </is>
      </c>
      <c r="B2" s="2" t="inlineStr">
        <is>
          <t>v1.0, fresh build 2026-08-27. Supersedes nothing (first SAN.NZ valuation).</t>
        </is>
      </c>
    </row>
    <row r="3">
      <c r="A3" s="1" t="inlineStr">
        <is>
          <t>Built by</t>
        </is>
      </c>
      <c r="B3" s="2" t="inlineStr">
        <is>
          <t>dcf-analyst agent (Claude, Fable 5), 27-Aug-2026, at the user's request via /research-stock SAN.NZ.</t>
        </is>
      </c>
    </row>
    <row r="4">
      <c r="A4" s="1" t="inlineStr">
        <is>
          <t>Model</t>
        </is>
      </c>
      <c r="B4" s="2" t="inlineStr">
        <is>
          <t>Owner-FCF DCF, 10-year component build (FY2026E-FY2035E), three probability-weighted scenarios. Routed via dcf-methods SKILL: operating company, non-US cyclical (owner-fcf.md incl. section 7).</t>
        </is>
      </c>
    </row>
    <row r="5">
      <c r="A5" s="1" t="inlineStr">
        <is>
          <t>Data vintage</t>
        </is>
      </c>
      <c r="B5" s="2" t="inlineStr">
        <is>
          <t>Price NZ$6.90 at 2026-08-27 04:59:43Z NZX regular close (Yahoo). Balance sheet 31-Mar-2026 H1 FY2026 interim (bank debt $120.0m, cash $17.856m). Shares 93.506m (FY2025 AR note 16; basic=diluted). FY2026 guidance from FY2025 AR + HY26 commentary (David Mair).</t>
        </is>
      </c>
    </row>
    <row r="6">
      <c r="A6" s="1" t="inlineStr">
        <is>
          <t>Lease treatment</t>
        </is>
      </c>
      <c r="B6" s="2" t="inlineStr">
        <is>
          <t>Treatment B: full lease cash cost (2.8% of revenue; FY2025 principal 14.324 + lease interest 2.088 = 16.412) charged in the flows; lease liabilities ($41.4m) EXCLUDED from net debt. Never charge both.</t>
        </is>
      </c>
    </row>
    <row r="7">
      <c r="A7" s="1" t="inlineStr">
        <is>
          <t>Mid-cycle basis</t>
        </is>
      </c>
      <c r="B7" s="2" t="inlineStr">
        <is>
          <t>FY2025 owner FCF $96m is a PEAK (WC release + $22m cash-tax underpayment). The model capitalizes a component-built mid-cycle: 20% EBITDA margin (base), 28% cash tax, capex ramping to 6% of revenue. Do not 'fix' year-1 FCF up to the FY2025 print.</t>
        </is>
      </c>
    </row>
    <row r="8">
      <c r="A8" s="1" t="inlineStr">
        <is>
          <t>SBC</t>
        </is>
      </c>
      <c r="B8" s="2" t="inlineStr">
        <is>
          <t>Effectively zero ($219k FY2025, &lt;0.05% of revenue). Rows kept explicit at 0% per house rule; street basis = house basis (band collapsed, n/a).</t>
        </is>
      </c>
    </row>
    <row r="9">
      <c r="A9" s="1" t="inlineStr">
        <is>
          <t>NCI</t>
        </is>
      </c>
      <c r="B9" s="2" t="inlineStr">
        <is>
          <t>Negligible (-$2k FY2025 profit share); no adjustment.</t>
        </is>
      </c>
    </row>
    <row r="10">
      <c r="A10" s="1" t="inlineStr">
        <is>
          <t>WACC</t>
        </is>
      </c>
      <c r="B10" s="2" t="inlineStr">
        <is>
          <t>10.5% NZD, same all scenarios. rf 4.5% + 5.0% ERP x beta 0.9 + 1.25% NZX illiquidity + 1.0% structural biological/regulatory tail; cyclicality is charged in scenario flows/weights, not WACC.</t>
        </is>
      </c>
    </row>
    <row r="11">
      <c r="A11" s="1" t="inlineStr">
        <is>
          <t>Whose judgment</t>
        </is>
      </c>
      <c r="B11" s="2" t="inlineStr">
        <is>
          <t>Scenario driver paths set by the dcf-analyst agent, 27-Aug-2026, from FY2025 AR / HY26 filings and the qualitative Analysis JSON. Not yet user-reviewed.</t>
        </is>
      </c>
    </row>
    <row r="12">
      <c r="A12" s="1" t="inlineStr">
        <is>
          <t>Refresh after next print</t>
        </is>
      </c>
      <c r="B12" s="2" t="inlineStr">
        <is>
          <t>FY2026 annual result (~Nov-2026): net debt &amp; cash tax catch-up, mussel inventory unwind, FY2027 guidance; re-judge year-1 growth/margin only unless evidence moves later years.</t>
        </is>
      </c>
    </row>
    <row r="13">
      <c r="A13" s="1" t="inlineStr">
        <is>
          <t>Staleness</t>
        </is>
      </c>
      <c r="B13" s="2" t="inlineStr">
        <is>
          <t>Figures go stale: price within days; balance sheet at the FY2026 result; TACC decisions (ORH 3B closure from Jun-2026) can move the wildcatch outlook at any review.</t>
        </is>
      </c>
    </row>
    <row r="14">
      <c r="A14" s="1" t="inlineStr">
        <is>
          <t>Cell colours</t>
        </is>
      </c>
      <c r="B14" s="2" t="inlineStr">
        <is>
          <t>BLUE = hardcoded input; YELLOW fill = key driver row (flex these); BLACK = formula; GREEN = cross-sheet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3" t="inlineStr">
        <is>
          <t>Period</t>
        </is>
      </c>
      <c r="B1" s="3" t="inlineStr">
        <is>
          <t>Revenue</t>
        </is>
      </c>
      <c r="C1" s="3" t="inlineStr">
        <is>
          <t>Adj EBITDA</t>
        </is>
      </c>
      <c r="D1" s="3" t="inlineStr">
        <is>
          <t>NPAT</t>
        </is>
      </c>
      <c r="E1" s="3" t="inlineStr">
        <is>
          <t>OCF</t>
        </is>
      </c>
      <c r="F1" s="3" t="inlineStr">
        <is>
          <t>Capex</t>
        </is>
      </c>
      <c r="G1" s="3" t="inlineStr">
        <is>
          <t>Reported FCF</t>
        </is>
      </c>
      <c r="H1" s="3" t="inlineStr">
        <is>
          <t>Equity</t>
        </is>
      </c>
      <c r="I1" s="3" t="inlineStr">
        <is>
          <t>Bank debt</t>
        </is>
      </c>
      <c r="J1" s="3" t="inlineStr">
        <is>
          <t>Cash</t>
        </is>
      </c>
    </row>
    <row r="2">
      <c r="A2" s="4" t="inlineStr">
        <is>
          <t>FY2016</t>
        </is>
      </c>
      <c r="B2" s="4" t="n">
        <v>463.469</v>
      </c>
      <c r="C2" s="4" t="n">
        <v>78.873</v>
      </c>
      <c r="D2" s="4" t="n">
        <v>37.813</v>
      </c>
      <c r="E2" s="4" t="n">
        <v>34.372</v>
      </c>
      <c r="F2" s="4" t="n">
        <v>42.148</v>
      </c>
      <c r="G2" s="4" t="n">
        <v>-7.776</v>
      </c>
      <c r="H2" s="4" t="n">
        <v>557.737</v>
      </c>
      <c r="I2" s="4" t="n">
        <v>176.634</v>
      </c>
      <c r="J2" s="4" t="n">
        <v>3.589</v>
      </c>
    </row>
    <row r="3">
      <c r="A3" s="4" t="inlineStr">
        <is>
          <t>FY2017</t>
        </is>
      </c>
      <c r="B3" s="4" t="n">
        <v>477.94</v>
      </c>
      <c r="C3" s="4" t="n">
        <v>82.547</v>
      </c>
      <c r="D3" s="4" t="n">
        <v>37.478</v>
      </c>
      <c r="E3" s="4" t="n">
        <v>50.28</v>
      </c>
      <c r="F3" s="4" t="n">
        <v>36.803</v>
      </c>
      <c r="G3" s="4" t="n">
        <v>13.477</v>
      </c>
      <c r="H3" s="4" t="n">
        <v>575.309</v>
      </c>
      <c r="I3" s="4" t="n">
        <v>186.121</v>
      </c>
      <c r="J3" s="4" t="n">
        <v>5.15</v>
      </c>
    </row>
    <row r="4">
      <c r="A4" s="4" t="inlineStr">
        <is>
          <t>FY2018</t>
        </is>
      </c>
      <c r="B4" s="4" t="n">
        <v>514.976</v>
      </c>
      <c r="C4" s="4" t="n">
        <v>84.402</v>
      </c>
      <c r="D4" s="4" t="n">
        <v>42.3</v>
      </c>
      <c r="E4" s="4" t="n">
        <v>72.64700000000001</v>
      </c>
      <c r="F4" s="4" t="n">
        <v>24.739</v>
      </c>
      <c r="G4" s="4" t="n">
        <v>47.908</v>
      </c>
      <c r="H4" s="4" t="n">
        <v>581.349</v>
      </c>
      <c r="I4" s="4" t="n">
        <v>155</v>
      </c>
      <c r="J4" s="4" t="n">
        <v>2.63</v>
      </c>
    </row>
    <row r="5">
      <c r="A5" s="4" t="inlineStr">
        <is>
          <t>FY2019</t>
        </is>
      </c>
      <c r="B5" s="4" t="n">
        <v>545.121</v>
      </c>
      <c r="C5" s="4" t="n">
        <v>85.729</v>
      </c>
      <c r="D5" s="4" t="n">
        <v>41.692</v>
      </c>
      <c r="E5" s="4" t="n">
        <v>48.652</v>
      </c>
      <c r="F5" s="4" t="n">
        <v>38.348</v>
      </c>
      <c r="G5" s="4" t="n">
        <v>10.304</v>
      </c>
      <c r="H5" s="4" t="n">
        <v>587.5069999999999</v>
      </c>
      <c r="I5" s="4" t="n">
        <v>139</v>
      </c>
      <c r="J5" s="4" t="n">
        <v>8.321999999999999</v>
      </c>
    </row>
    <row r="6">
      <c r="A6" s="4" t="inlineStr">
        <is>
          <t>FY2020</t>
        </is>
      </c>
      <c r="B6" s="4" t="n">
        <v>468.849</v>
      </c>
      <c r="C6" s="4" t="n">
        <v>66.294</v>
      </c>
      <c r="D6" s="4" t="n">
        <v>22.433</v>
      </c>
      <c r="E6" s="4" t="n">
        <v>18.787</v>
      </c>
      <c r="F6" s="4" t="n">
        <v>43.2</v>
      </c>
      <c r="G6" s="4" t="n">
        <v>-24.413</v>
      </c>
      <c r="H6" s="4" t="n">
        <v>610.962</v>
      </c>
      <c r="I6" s="4" t="n">
        <v>187.21</v>
      </c>
      <c r="J6" s="4" t="n">
        <v>2.957</v>
      </c>
    </row>
    <row r="7">
      <c r="A7" s="4" t="inlineStr">
        <is>
          <t>FY2021</t>
        </is>
      </c>
      <c r="B7" s="4" t="n">
        <v>489.625</v>
      </c>
      <c r="C7" s="4" t="n">
        <v>52.603</v>
      </c>
      <c r="D7" s="4" t="n">
        <v>16.235</v>
      </c>
      <c r="E7" s="4" t="n">
        <v>32.233</v>
      </c>
      <c r="F7" s="4" t="n">
        <v>43.2</v>
      </c>
      <c r="G7" s="4" t="n">
        <v>-10.967</v>
      </c>
      <c r="H7" s="4" t="n">
        <v>633.3920000000001</v>
      </c>
      <c r="I7" s="4" t="n">
        <v>182.5</v>
      </c>
      <c r="J7" s="4" t="n">
        <v>3.926</v>
      </c>
    </row>
    <row r="8">
      <c r="A8" s="4" t="inlineStr">
        <is>
          <t>FY2022</t>
        </is>
      </c>
      <c r="B8" s="4" t="n">
        <v>531.8869999999999</v>
      </c>
      <c r="C8" s="4" t="n">
        <v>68.262</v>
      </c>
      <c r="D8" s="4" t="n">
        <v>55.772</v>
      </c>
      <c r="E8" s="4" t="n">
        <v>44.904</v>
      </c>
      <c r="F8" s="4" t="n">
        <v>53.442</v>
      </c>
      <c r="G8" s="4" t="n">
        <v>-8.538</v>
      </c>
      <c r="H8" s="4" t="n">
        <v>664.485</v>
      </c>
      <c r="I8" s="4" t="n">
        <v>155</v>
      </c>
      <c r="J8" s="4" t="n">
        <v>9.534000000000001</v>
      </c>
    </row>
    <row r="9">
      <c r="A9" s="4" t="inlineStr">
        <is>
          <t>FY2023</t>
        </is>
      </c>
      <c r="B9" s="4" t="n">
        <v>553.397</v>
      </c>
      <c r="C9" s="4" t="n">
        <v>81.53400000000001</v>
      </c>
      <c r="D9" s="4" t="n">
        <v>10.011</v>
      </c>
      <c r="E9" s="4" t="n">
        <v>41.053</v>
      </c>
      <c r="F9" s="4" t="n">
        <v>64.41200000000001</v>
      </c>
      <c r="G9" s="4" t="n">
        <v>-23.359</v>
      </c>
      <c r="H9" s="4" t="n">
        <v>684.571</v>
      </c>
      <c r="I9" s="4" t="n">
        <v>203</v>
      </c>
      <c r="J9" s="4" t="n">
        <v>6.805</v>
      </c>
    </row>
    <row r="10">
      <c r="A10" s="4" t="inlineStr">
        <is>
          <t>FY2024</t>
        </is>
      </c>
      <c r="B10" s="4" t="n">
        <v>582.913</v>
      </c>
      <c r="C10" s="4" t="n">
        <v>108.65</v>
      </c>
      <c r="D10" s="4" t="n">
        <v>19.67</v>
      </c>
      <c r="E10" s="4" t="n">
        <v>72.996</v>
      </c>
      <c r="F10" s="4" t="n">
        <v>45.916</v>
      </c>
      <c r="G10" s="4" t="n">
        <v>27.08</v>
      </c>
      <c r="H10" s="4" t="n">
        <v>703.9930000000001</v>
      </c>
      <c r="I10" s="4" t="n">
        <v>200</v>
      </c>
      <c r="J10" s="4" t="n">
        <v>14.475</v>
      </c>
    </row>
    <row r="11">
      <c r="A11" s="4" t="inlineStr">
        <is>
          <t>FY2025</t>
        </is>
      </c>
      <c r="B11" s="4" t="n">
        <v>584.109</v>
      </c>
      <c r="C11" s="4" t="n">
        <v>140.992</v>
      </c>
      <c r="D11" s="4" t="n">
        <v>63.692</v>
      </c>
      <c r="E11" s="4" t="n">
        <v>135.342</v>
      </c>
      <c r="F11" s="4" t="n">
        <v>22.488</v>
      </c>
      <c r="G11" s="4" t="n">
        <v>112.854</v>
      </c>
      <c r="H11" s="4" t="n">
        <v>740.405</v>
      </c>
      <c r="I11" s="4" t="n">
        <v>105</v>
      </c>
      <c r="J11" s="4" t="n">
        <v>11.589</v>
      </c>
    </row>
    <row r="12">
      <c r="A12" s="4" t="inlineStr">
        <is>
          <t>H1 FY2026</t>
        </is>
      </c>
      <c r="B12" s="4" t="n">
        <v>270.154</v>
      </c>
      <c r="C12" s="4" t="n">
        <v>81.768</v>
      </c>
      <c r="D12" s="4" t="n">
        <v>42.417</v>
      </c>
      <c r="E12" s="4" t="n">
        <v>13.693</v>
      </c>
      <c r="F12" s="4" t="n">
        <v>6.715</v>
      </c>
      <c r="G12" s="4" t="n">
        <v>6.978</v>
      </c>
      <c r="H12" s="4" t="n">
        <v>779.828</v>
      </c>
      <c r="I12" s="4" t="n">
        <v>120</v>
      </c>
      <c r="J12" s="4" t="n">
        <v>17.856</v>
      </c>
    </row>
    <row r="14">
      <c r="A14" s="4" t="inlineStr">
        <is>
          <t>Source: SAN.NZ core_metrics (metrics_normalized), NZD millions; adjudicated from annual reports (FY end 30-Sep). Adj EBITDA = company measure (adjusted EBIT + D&amp;A). Bank debt excludes lease liabilities.</t>
        </is>
      </c>
    </row>
    <row r="15">
      <c r="A15" s="4" t="inlineStr">
        <is>
          <t>Balance sheet snapshot 31-Mar-2026: bank loans 120.0, cash 17.856, net debt 102.144; lease liabilities 41.405 (FY2025). Shares 93.506m, basic = diluted, no buybacks -- count flat since FY2018.</t>
        </is>
      </c>
    </row>
    <row r="16">
      <c r="A16" s="4" t="inlineStr">
        <is>
          <t>HY26 flags: NPAT includes $17.5m non-cash biological-asset FV gain; OCF collapsed to $13.7m on frozen mussel inventory build; cash tax paid $17.5m (FY2025 underpayment catch-up).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5" max="5"/>
  </cols>
  <sheetData>
    <row r="1">
      <c r="A1" s="1" t="inlineStr">
        <is>
          <t>Globals</t>
        </is>
      </c>
    </row>
    <row r="2">
      <c r="A2" s="1" t="inlineStr">
        <is>
          <t>Current price (NZD)</t>
        </is>
      </c>
      <c r="B2" s="5" t="n">
        <v>6.9</v>
      </c>
      <c r="E2" s="4" t="inlineStr">
        <is>
          <t>Yahoo NZX close 2026-08-27 04:59:43Z</t>
        </is>
      </c>
    </row>
    <row r="3">
      <c r="A3" s="1" t="inlineStr">
        <is>
          <t>Shares outstanding (m)</t>
        </is>
      </c>
      <c r="B3" s="5" t="n">
        <v>93.506</v>
      </c>
      <c r="E3" s="4" t="inlineStr">
        <is>
          <t>FY2025 note 16; basic = diluted; held flat</t>
        </is>
      </c>
    </row>
    <row r="4">
      <c r="A4" s="1" t="inlineStr">
        <is>
          <t>Net debt (NZD m)</t>
        </is>
      </c>
      <c r="B4" s="5" t="n">
        <v>102.144</v>
      </c>
      <c r="E4" s="4" t="inlineStr">
        <is>
          <t>31-Mar-2026: bank loans 120.0 - cash 17.856; leases excluded (treatment B)</t>
        </is>
      </c>
    </row>
    <row r="5">
      <c r="A5" s="1" t="inlineStr">
        <is>
          <t>WACC %</t>
        </is>
      </c>
      <c r="B5" s="5" t="n">
        <v>10.5</v>
      </c>
      <c r="E5" s="4" t="inlineStr">
        <is>
          <t>NZD-built, itemized in Model_Info; same in all scenarios</t>
        </is>
      </c>
    </row>
    <row r="6">
      <c r="A6" s="1" t="inlineStr">
        <is>
          <t>D&amp;A % of revenue</t>
        </is>
      </c>
      <c r="B6" s="5" t="n">
        <v>3.7</v>
      </c>
      <c r="E6" s="4" t="inlineStr">
        <is>
          <t>Owned-asset D&amp;A only (total 6.1% less ~2.4pp ROU depreciation, note 19)</t>
        </is>
      </c>
    </row>
    <row r="7">
      <c r="A7" s="1" t="inlineStr">
        <is>
          <t>Lease cost % of revenue</t>
        </is>
      </c>
      <c r="B7" s="5" t="n">
        <v>2.8</v>
      </c>
      <c r="E7" s="4" t="inlineStr">
        <is>
          <t>Full lease cash: principal + lease interest (FY2025 16.412/584.1)</t>
        </is>
      </c>
    </row>
    <row r="8">
      <c r="A8" s="1" t="inlineStr">
        <is>
          <t>WC capture % of revenue change</t>
        </is>
      </c>
      <c r="B8" s="5" t="n">
        <v>-20</v>
      </c>
      <c r="E8" s="4" t="inlineStr">
        <is>
          <t>Each incremental revenue dollar absorbs ~20c of inventory/receivables (physical export business; sign negative)</t>
        </is>
      </c>
    </row>
    <row r="9">
      <c r="A9" s="1" t="inlineStr">
        <is>
          <t>Terminal cap multiple (x FCF)</t>
        </is>
      </c>
      <c r="B9" s="5" t="n">
        <v>13</v>
      </c>
      <c r="E9" s="4" t="inlineStr">
        <is>
          <t>Cyclical: cap 12-15x per owner-fcf.md s4; binds nowhere (Gordon lower in all scenarios)</t>
        </is>
      </c>
    </row>
    <row r="10">
      <c r="A10" s="1" t="inlineStr">
        <is>
          <t>Hurdle rate %</t>
        </is>
      </c>
      <c r="B10" s="5" t="n">
        <v>15</v>
      </c>
      <c r="E10" s="4" t="inlineStr">
        <is>
          <t>Entry-price IRR</t>
        </is>
      </c>
    </row>
    <row r="11">
      <c r="A11" s="1" t="inlineStr">
        <is>
          <t>FY2025 revenue (NZD m)</t>
        </is>
      </c>
      <c r="B11" s="5" t="n">
        <v>584.109</v>
      </c>
      <c r="E11" s="4" t="inlineStr">
        <is>
          <t>Base for year-1 growth</t>
        </is>
      </c>
    </row>
    <row r="13">
      <c r="A13" s="1" t="inlineStr">
        <is>
          <t>Per scenario</t>
        </is>
      </c>
    </row>
    <row r="14">
      <c r="A14" t="inlineStr">
        <is>
          <t>Scenario</t>
        </is>
      </c>
      <c r="B14" t="inlineStr">
        <is>
          <t>Bear</t>
        </is>
      </c>
      <c r="C14" t="inlineStr">
        <is>
          <t>Base</t>
        </is>
      </c>
      <c r="D14" t="inlineStr">
        <is>
          <t>Bull</t>
        </is>
      </c>
    </row>
    <row r="15">
      <c r="A15" s="1" t="inlineStr">
        <is>
          <t>Terminal growth %</t>
        </is>
      </c>
      <c r="B15" s="5" t="n">
        <v>1.5</v>
      </c>
      <c r="C15" s="5" t="n">
        <v>2</v>
      </c>
      <c r="D15" s="5" t="n">
        <v>2.5</v>
      </c>
    </row>
    <row r="16">
      <c r="A16" s="1" t="inlineStr">
        <is>
          <t>Probability weight</t>
        </is>
      </c>
      <c r="B16" s="5" t="n">
        <v>0.25</v>
      </c>
      <c r="C16" s="5" t="n">
        <v>0.5</v>
      </c>
      <c r="D16" s="5" t="n">
        <v>0.25</v>
      </c>
      <c r="E16" s="6">
        <f>IF(SUM(B16:D16)=1,"weights sum to 1.0 -- OK","ERROR: weights do not sum to 1")</f>
        <v/>
      </c>
    </row>
    <row r="18">
      <c r="A18" s="1" t="inlineStr">
        <is>
          <t>Scenario narratives</t>
        </is>
      </c>
    </row>
    <row r="19">
      <c r="A19" s="1" t="inlineStr">
        <is>
          <t>Bear</t>
        </is>
      </c>
      <c r="B19" s="7" t="inlineStr">
        <is>
          <t>Record was weather and price: mussel yields mean-revert, scampi/China weak, a Big Glory Bay biological event and further TACC cuts; margins back to the 16% decade average, 6.5% capex, ~1% growth. Flows-only floor $1.96; quota/NTA backing cushions real-world downside but is deliberately not credited.</t>
        </is>
      </c>
    </row>
    <row r="20">
      <c r="A20" s="1" t="inlineStr">
        <is>
          <t>Base</t>
        </is>
      </c>
      <c r="B20" s="7" t="inlineStr">
        <is>
          <t>FY2026 revenue -3.5%, then 2-3.5% (Western Firth mussels from FY2027 vs capped wildcatch/salmon). Half the Back-to-Basics gain structural: ex-bio-gain EBITDA margin fades 23.5% -&gt; 20% mid-cycle (decade avg 15.7%). Capex normalizes 3.5% -&gt; 6.0%; 28% cash tax; tg 2.0%.</t>
        </is>
      </c>
    </row>
    <row r="21">
      <c r="A21" s="1" t="inlineStr">
        <is>
          <t>Bull</t>
        </is>
      </c>
      <c r="B21" s="7" t="inlineStr">
        <is>
          <t>Turnaround durable: margins hold ~23%, hoki/roughy pricing strong, scampi recovers, mussel pipeline compounds revenue 4-5% mid-decade, capex discipline 5%, wildcatch review monetises sub-scale assets; tg 2.5%.</t>
        </is>
      </c>
    </row>
  </sheetData>
  <mergeCells count="3">
    <mergeCell ref="B21:J21"/>
    <mergeCell ref="B19:J19"/>
    <mergeCell ref="B20:J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L4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3">
      <c r="A3" s="1" t="inlineStr">
        <is>
          <t>Year</t>
        </is>
      </c>
      <c r="B3" s="1" t="inlineStr">
        <is>
          <t>FY2025A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s="1" t="inlineStr">
        <is>
          <t>Year index</t>
        </is>
      </c>
      <c r="B4" s="6" t="n">
        <v>0</v>
      </c>
      <c r="C4" s="6" t="n">
        <v>1</v>
      </c>
      <c r="D4" s="6" t="n">
        <v>2</v>
      </c>
      <c r="E4" s="6" t="n">
        <v>3</v>
      </c>
      <c r="F4" s="6" t="n">
        <v>4</v>
      </c>
      <c r="G4" s="6" t="n">
        <v>5</v>
      </c>
      <c r="H4" s="6" t="n">
        <v>6</v>
      </c>
      <c r="I4" s="6" t="n">
        <v>7</v>
      </c>
      <c r="J4" s="6" t="n">
        <v>8</v>
      </c>
      <c r="K4" s="6" t="n">
        <v>9</v>
      </c>
      <c r="L4" s="6" t="n">
        <v>10</v>
      </c>
    </row>
    <row r="5">
      <c r="A5" s="1" t="inlineStr">
        <is>
          <t>Revenue growth % (driver)</t>
        </is>
      </c>
      <c r="C5" s="5" t="n">
        <v>-6</v>
      </c>
      <c r="D5" s="5" t="n">
        <v>-2</v>
      </c>
      <c r="E5" s="5" t="n">
        <v>0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</row>
    <row r="6">
      <c r="A6" s="1" t="inlineStr">
        <is>
          <t>Revenue</t>
        </is>
      </c>
      <c r="B6" s="4" t="n">
        <v>584.109</v>
      </c>
      <c r="C6" s="6">
        <f>B6*(1+C5/100)</f>
        <v/>
      </c>
      <c r="D6" s="6">
        <f>C6*(1+D5/100)</f>
        <v/>
      </c>
      <c r="E6" s="6">
        <f>D6*(1+E5/100)</f>
        <v/>
      </c>
      <c r="F6" s="6">
        <f>E6*(1+F5/100)</f>
        <v/>
      </c>
      <c r="G6" s="6">
        <f>F6*(1+G5/100)</f>
        <v/>
      </c>
      <c r="H6" s="6">
        <f>G6*(1+H5/100)</f>
        <v/>
      </c>
      <c r="I6" s="6">
        <f>H6*(1+I5/100)</f>
        <v/>
      </c>
      <c r="J6" s="6">
        <f>I6*(1+J5/100)</f>
        <v/>
      </c>
      <c r="K6" s="6">
        <f>J6*(1+K5/100)</f>
        <v/>
      </c>
      <c r="L6" s="6">
        <f>K6*(1+L5/100)</f>
        <v/>
      </c>
    </row>
    <row r="7">
      <c r="A7" s="1" t="inlineStr">
        <is>
          <t>Adj EBITDA margin % ex bio gains (driver)</t>
        </is>
      </c>
      <c r="B7" s="4" t="n">
        <v>24.1</v>
      </c>
      <c r="C7" s="5" t="n">
        <v>21</v>
      </c>
      <c r="D7" s="5" t="n">
        <v>18.5</v>
      </c>
      <c r="E7" s="5" t="n">
        <v>17</v>
      </c>
      <c r="F7" s="5" t="n">
        <v>16.5</v>
      </c>
      <c r="G7" s="5" t="n">
        <v>16</v>
      </c>
      <c r="H7" s="5" t="n">
        <v>16</v>
      </c>
      <c r="I7" s="5" t="n">
        <v>16</v>
      </c>
      <c r="J7" s="5" t="n">
        <v>16</v>
      </c>
      <c r="K7" s="5" t="n">
        <v>16</v>
      </c>
      <c r="L7" s="5" t="n">
        <v>16</v>
      </c>
    </row>
    <row r="8">
      <c r="A8" s="1" t="inlineStr">
        <is>
          <t>Adjusted EBITDA</t>
        </is>
      </c>
      <c r="B8" s="4" t="n">
        <v>140.992</v>
      </c>
      <c r="C8" s="6">
        <f>C6*C7/100</f>
        <v/>
      </c>
      <c r="D8" s="6">
        <f>D6*D7/100</f>
        <v/>
      </c>
      <c r="E8" s="6">
        <f>E6*E7/100</f>
        <v/>
      </c>
      <c r="F8" s="6">
        <f>F6*F7/100</f>
        <v/>
      </c>
      <c r="G8" s="6">
        <f>G6*G7/100</f>
        <v/>
      </c>
      <c r="H8" s="6">
        <f>H6*H7/100</f>
        <v/>
      </c>
      <c r="I8" s="6">
        <f>I6*I7/100</f>
        <v/>
      </c>
      <c r="J8" s="6">
        <f>J6*J7/100</f>
        <v/>
      </c>
      <c r="K8" s="6">
        <f>K6*K7/100</f>
        <v/>
      </c>
      <c r="L8" s="6">
        <f>L6*L7/100</f>
        <v/>
      </c>
    </row>
    <row r="9">
      <c r="A9" s="1" t="inlineStr">
        <is>
          <t>SBC % of revenue (driver; SBC-zero filer)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</row>
    <row r="10">
      <c r="A10" s="1" t="inlineStr">
        <is>
          <t>SBC $</t>
        </is>
      </c>
      <c r="B10" s="4" t="n">
        <v>-0.219</v>
      </c>
      <c r="C10" s="6">
        <f>-C6*C9/100</f>
        <v/>
      </c>
      <c r="D10" s="6">
        <f>-D6*D9/100</f>
        <v/>
      </c>
      <c r="E10" s="6">
        <f>-E6*E9/100</f>
        <v/>
      </c>
      <c r="F10" s="6">
        <f>-F6*F9/100</f>
        <v/>
      </c>
      <c r="G10" s="6">
        <f>-G6*G9/100</f>
        <v/>
      </c>
      <c r="H10" s="6">
        <f>-H6*H9/100</f>
        <v/>
      </c>
      <c r="I10" s="6">
        <f>-I6*I9/100</f>
        <v/>
      </c>
      <c r="J10" s="6">
        <f>-J6*J9/100</f>
        <v/>
      </c>
      <c r="K10" s="6">
        <f>-K6*K9/100</f>
        <v/>
      </c>
      <c r="L10" s="6">
        <f>-L6*L9/100</f>
        <v/>
      </c>
    </row>
    <row r="11">
      <c r="A11" s="1" t="inlineStr">
        <is>
          <t>Lease cost % of revenue</t>
        </is>
      </c>
      <c r="C11" s="8">
        <f>Assumptions!$B$7</f>
        <v/>
      </c>
      <c r="D11" s="8">
        <f>Assumptions!$B$7</f>
        <v/>
      </c>
      <c r="E11" s="8">
        <f>Assumptions!$B$7</f>
        <v/>
      </c>
      <c r="F11" s="8">
        <f>Assumptions!$B$7</f>
        <v/>
      </c>
      <c r="G11" s="8">
        <f>Assumptions!$B$7</f>
        <v/>
      </c>
      <c r="H11" s="8">
        <f>Assumptions!$B$7</f>
        <v/>
      </c>
      <c r="I11" s="8">
        <f>Assumptions!$B$7</f>
        <v/>
      </c>
      <c r="J11" s="8">
        <f>Assumptions!$B$7</f>
        <v/>
      </c>
      <c r="K11" s="8">
        <f>Assumptions!$B$7</f>
        <v/>
      </c>
      <c r="L11" s="8">
        <f>Assumptions!$B$7</f>
        <v/>
      </c>
    </row>
    <row r="12">
      <c r="A12" s="1" t="inlineStr">
        <is>
          <t>Lease $ (principal + lease interest)</t>
        </is>
      </c>
      <c r="B12" s="4" t="n">
        <v>-16.412</v>
      </c>
      <c r="C12" s="6">
        <f>-C6*C11/100</f>
        <v/>
      </c>
      <c r="D12" s="6">
        <f>-D6*D11/100</f>
        <v/>
      </c>
      <c r="E12" s="6">
        <f>-E6*E11/100</f>
        <v/>
      </c>
      <c r="F12" s="6">
        <f>-F6*F11/100</f>
        <v/>
      </c>
      <c r="G12" s="6">
        <f>-G6*G11/100</f>
        <v/>
      </c>
      <c r="H12" s="6">
        <f>-H6*H11/100</f>
        <v/>
      </c>
      <c r="I12" s="6">
        <f>-I6*I11/100</f>
        <v/>
      </c>
      <c r="J12" s="6">
        <f>-J6*J11/100</f>
        <v/>
      </c>
      <c r="K12" s="6">
        <f>-K6*K11/100</f>
        <v/>
      </c>
      <c r="L12" s="6">
        <f>-L6*L11/100</f>
        <v/>
      </c>
    </row>
    <row r="13">
      <c r="A13" s="1" t="inlineStr">
        <is>
          <t>D&amp;A % of revenue (owned assets)</t>
        </is>
      </c>
      <c r="C13" s="8">
        <f>Assumptions!$B$6</f>
        <v/>
      </c>
      <c r="D13" s="8">
        <f>Assumptions!$B$6</f>
        <v/>
      </c>
      <c r="E13" s="8">
        <f>Assumptions!$B$6</f>
        <v/>
      </c>
      <c r="F13" s="8">
        <f>Assumptions!$B$6</f>
        <v/>
      </c>
      <c r="G13" s="8">
        <f>Assumptions!$B$6</f>
        <v/>
      </c>
      <c r="H13" s="8">
        <f>Assumptions!$B$6</f>
        <v/>
      </c>
      <c r="I13" s="8">
        <f>Assumptions!$B$6</f>
        <v/>
      </c>
      <c r="J13" s="8">
        <f>Assumptions!$B$6</f>
        <v/>
      </c>
      <c r="K13" s="8">
        <f>Assumptions!$B$6</f>
        <v/>
      </c>
      <c r="L13" s="8">
        <f>Assumptions!$B$6</f>
        <v/>
      </c>
    </row>
    <row r="14">
      <c r="A14" s="1" t="inlineStr">
        <is>
          <t>D&amp;A $</t>
        </is>
      </c>
      <c r="C14" s="6">
        <f>-C6*C13/100</f>
        <v/>
      </c>
      <c r="D14" s="6">
        <f>-D6*D13/100</f>
        <v/>
      </c>
      <c r="E14" s="6">
        <f>-E6*E13/100</f>
        <v/>
      </c>
      <c r="F14" s="6">
        <f>-F6*F13/100</f>
        <v/>
      </c>
      <c r="G14" s="6">
        <f>-G6*G13/100</f>
        <v/>
      </c>
      <c r="H14" s="6">
        <f>-H6*H13/100</f>
        <v/>
      </c>
      <c r="I14" s="6">
        <f>-I6*I13/100</f>
        <v/>
      </c>
      <c r="J14" s="6">
        <f>-J6*J13/100</f>
        <v/>
      </c>
      <c r="K14" s="6">
        <f>-K6*K13/100</f>
        <v/>
      </c>
      <c r="L14" s="6">
        <f>-L6*L13/100</f>
        <v/>
      </c>
    </row>
    <row r="15">
      <c r="A15" s="1" t="inlineStr">
        <is>
          <t>EBIT (SBC + lease expensed)</t>
        </is>
      </c>
      <c r="C15" s="6">
        <f>C8+C10+C12+C14</f>
        <v/>
      </c>
      <c r="D15" s="6">
        <f>D8+D10+D12+D14</f>
        <v/>
      </c>
      <c r="E15" s="6">
        <f>E8+E10+E12+E14</f>
        <v/>
      </c>
      <c r="F15" s="6">
        <f>F8+F10+F12+F14</f>
        <v/>
      </c>
      <c r="G15" s="6">
        <f>G8+G10+G12+G14</f>
        <v/>
      </c>
      <c r="H15" s="6">
        <f>H8+H10+H12+H14</f>
        <v/>
      </c>
      <c r="I15" s="6">
        <f>I8+I10+I12+I14</f>
        <v/>
      </c>
      <c r="J15" s="6">
        <f>J8+J10+J12+J14</f>
        <v/>
      </c>
      <c r="K15" s="6">
        <f>K8+K10+K12+K14</f>
        <v/>
      </c>
      <c r="L15" s="6">
        <f>L8+L10+L12+L14</f>
        <v/>
      </c>
    </row>
    <row r="16">
      <c r="A16" s="1" t="inlineStr">
        <is>
          <t>Cash tax rate % (driver)</t>
        </is>
      </c>
      <c r="C16" s="5" t="n">
        <v>28</v>
      </c>
      <c r="D16" s="5" t="n">
        <v>28</v>
      </c>
      <c r="E16" s="5" t="n">
        <v>28</v>
      </c>
      <c r="F16" s="5" t="n">
        <v>28</v>
      </c>
      <c r="G16" s="5" t="n">
        <v>28</v>
      </c>
      <c r="H16" s="5" t="n">
        <v>28</v>
      </c>
      <c r="I16" s="5" t="n">
        <v>28</v>
      </c>
      <c r="J16" s="5" t="n">
        <v>28</v>
      </c>
      <c r="K16" s="5" t="n">
        <v>28</v>
      </c>
      <c r="L16" s="5" t="n">
        <v>28</v>
      </c>
    </row>
    <row r="17">
      <c r="A17" s="1" t="inlineStr">
        <is>
          <t>NOPAT</t>
        </is>
      </c>
      <c r="C17" s="6">
        <f>C15-MAX(0,C15)*C16/100</f>
        <v/>
      </c>
      <c r="D17" s="6">
        <f>D15-MAX(0,D15)*D16/100</f>
        <v/>
      </c>
      <c r="E17" s="6">
        <f>E15-MAX(0,E15)*E16/100</f>
        <v/>
      </c>
      <c r="F17" s="6">
        <f>F15-MAX(0,F15)*F16/100</f>
        <v/>
      </c>
      <c r="G17" s="6">
        <f>G15-MAX(0,G15)*G16/100</f>
        <v/>
      </c>
      <c r="H17" s="6">
        <f>H15-MAX(0,H15)*H16/100</f>
        <v/>
      </c>
      <c r="I17" s="6">
        <f>I15-MAX(0,I15)*I16/100</f>
        <v/>
      </c>
      <c r="J17" s="6">
        <f>J15-MAX(0,J15)*J16/100</f>
        <v/>
      </c>
      <c r="K17" s="6">
        <f>K15-MAX(0,K15)*K16/100</f>
        <v/>
      </c>
      <c r="L17" s="6">
        <f>L15-MAX(0,L15)*L16/100</f>
        <v/>
      </c>
    </row>
    <row r="18">
      <c r="A18" s="1" t="inlineStr">
        <is>
          <t>add back D&amp;A</t>
        </is>
      </c>
      <c r="C18" s="6">
        <f>-C14</f>
        <v/>
      </c>
      <c r="D18" s="6">
        <f>-D14</f>
        <v/>
      </c>
      <c r="E18" s="6">
        <f>-E14</f>
        <v/>
      </c>
      <c r="F18" s="6">
        <f>-F14</f>
        <v/>
      </c>
      <c r="G18" s="6">
        <f>-G14</f>
        <v/>
      </c>
      <c r="H18" s="6">
        <f>-H14</f>
        <v/>
      </c>
      <c r="I18" s="6">
        <f>-I14</f>
        <v/>
      </c>
      <c r="J18" s="6">
        <f>-J14</f>
        <v/>
      </c>
      <c r="K18" s="6">
        <f>-K14</f>
        <v/>
      </c>
      <c r="L18" s="6">
        <f>-L14</f>
        <v/>
      </c>
    </row>
    <row r="19">
      <c r="A19" s="1" t="inlineStr">
        <is>
          <t>Capex % of revenue (driver)</t>
        </is>
      </c>
      <c r="C19" s="5" t="n">
        <v>4</v>
      </c>
      <c r="D19" s="5" t="n">
        <v>5</v>
      </c>
      <c r="E19" s="5" t="n">
        <v>5.5</v>
      </c>
      <c r="F19" s="5" t="n">
        <v>6</v>
      </c>
      <c r="G19" s="5" t="n">
        <v>6.5</v>
      </c>
      <c r="H19" s="5" t="n">
        <v>6.5</v>
      </c>
      <c r="I19" s="5" t="n">
        <v>6.5</v>
      </c>
      <c r="J19" s="5" t="n">
        <v>6.5</v>
      </c>
      <c r="K19" s="5" t="n">
        <v>6.5</v>
      </c>
      <c r="L19" s="5" t="n">
        <v>6.5</v>
      </c>
    </row>
    <row r="20">
      <c r="A20" s="1" t="inlineStr">
        <is>
          <t>Capex $</t>
        </is>
      </c>
      <c r="B20" s="4" t="n">
        <v>-22.488</v>
      </c>
      <c r="C20" s="6">
        <f>-C6*C19/100</f>
        <v/>
      </c>
      <c r="D20" s="6">
        <f>-D6*D19/100</f>
        <v/>
      </c>
      <c r="E20" s="6">
        <f>-E6*E19/100</f>
        <v/>
      </c>
      <c r="F20" s="6">
        <f>-F6*F19/100</f>
        <v/>
      </c>
      <c r="G20" s="6">
        <f>-G6*G19/100</f>
        <v/>
      </c>
      <c r="H20" s="6">
        <f>-H6*H19/100</f>
        <v/>
      </c>
      <c r="I20" s="6">
        <f>-I6*I19/100</f>
        <v/>
      </c>
      <c r="J20" s="6">
        <f>-J6*J19/100</f>
        <v/>
      </c>
      <c r="K20" s="6">
        <f>-K6*K19/100</f>
        <v/>
      </c>
      <c r="L20" s="6">
        <f>-L6*L19/100</f>
        <v/>
      </c>
    </row>
    <row r="21">
      <c r="A21" s="1" t="inlineStr">
        <is>
          <t>Working capital (on revenue CHANGE)</t>
        </is>
      </c>
      <c r="C21" s="8">
        <f>Assumptions!$B$8/100*(C6-B6)</f>
        <v/>
      </c>
      <c r="D21" s="8">
        <f>Assumptions!$B$8/100*(D6-C6)</f>
        <v/>
      </c>
      <c r="E21" s="8">
        <f>Assumptions!$B$8/100*(E6-D6)</f>
        <v/>
      </c>
      <c r="F21" s="8">
        <f>Assumptions!$B$8/100*(F6-E6)</f>
        <v/>
      </c>
      <c r="G21" s="8">
        <f>Assumptions!$B$8/100*(G6-F6)</f>
        <v/>
      </c>
      <c r="H21" s="8">
        <f>Assumptions!$B$8/100*(H6-G6)</f>
        <v/>
      </c>
      <c r="I21" s="8">
        <f>Assumptions!$B$8/100*(I6-H6)</f>
        <v/>
      </c>
      <c r="J21" s="8">
        <f>Assumptions!$B$8/100*(J6-I6)</f>
        <v/>
      </c>
      <c r="K21" s="8">
        <f>Assumptions!$B$8/100*(K6-J6)</f>
        <v/>
      </c>
      <c r="L21" s="8">
        <f>Assumptions!$B$8/100*(L6-K6)</f>
        <v/>
      </c>
    </row>
    <row r="22">
      <c r="A22" s="1" t="inlineStr">
        <is>
          <t>Unlevered owner FCF</t>
        </is>
      </c>
      <c r="C22" s="9">
        <f>C17+C18+C20+C21</f>
        <v/>
      </c>
      <c r="D22" s="9">
        <f>D17+D18+D20+D21</f>
        <v/>
      </c>
      <c r="E22" s="9">
        <f>E17+E18+E20+E21</f>
        <v/>
      </c>
      <c r="F22" s="9">
        <f>F17+F18+F20+F21</f>
        <v/>
      </c>
      <c r="G22" s="9">
        <f>G17+G18+G20+G21</f>
        <v/>
      </c>
      <c r="H22" s="9">
        <f>H17+H18+H20+H21</f>
        <v/>
      </c>
      <c r="I22" s="9">
        <f>I17+I18+I20+I21</f>
        <v/>
      </c>
      <c r="J22" s="9">
        <f>J17+J18+J20+J21</f>
        <v/>
      </c>
      <c r="K22" s="9">
        <f>K17+K18+K20+K21</f>
        <v/>
      </c>
      <c r="L22" s="9">
        <f>L17+L18+L20+L21</f>
        <v/>
      </c>
    </row>
    <row r="23">
      <c r="A23" s="1" t="inlineStr">
        <is>
          <t>Discount factor</t>
        </is>
      </c>
      <c r="C23" s="8">
        <f>1/(1+Assumptions!$B$5/100)^C4</f>
        <v/>
      </c>
      <c r="D23" s="8">
        <f>1/(1+Assumptions!$B$5/100)^D4</f>
        <v/>
      </c>
      <c r="E23" s="8">
        <f>1/(1+Assumptions!$B$5/100)^E4</f>
        <v/>
      </c>
      <c r="F23" s="8">
        <f>1/(1+Assumptions!$B$5/100)^F4</f>
        <v/>
      </c>
      <c r="G23" s="8">
        <f>1/(1+Assumptions!$B$5/100)^G4</f>
        <v/>
      </c>
      <c r="H23" s="8">
        <f>1/(1+Assumptions!$B$5/100)^H4</f>
        <v/>
      </c>
      <c r="I23" s="8">
        <f>1/(1+Assumptions!$B$5/100)^I4</f>
        <v/>
      </c>
      <c r="J23" s="8">
        <f>1/(1+Assumptions!$B$5/100)^J4</f>
        <v/>
      </c>
      <c r="K23" s="8">
        <f>1/(1+Assumptions!$B$5/100)^K4</f>
        <v/>
      </c>
      <c r="L23" s="8">
        <f>1/(1+Assumptions!$B$5/100)^L4</f>
        <v/>
      </c>
    </row>
    <row r="24">
      <c r="A24" s="1" t="inlineStr">
        <is>
          <t>PV of FCF</t>
        </is>
      </c>
      <c r="C24" s="6">
        <f>C22*C23</f>
        <v/>
      </c>
      <c r="D24" s="6">
        <f>D22*D23</f>
        <v/>
      </c>
      <c r="E24" s="6">
        <f>E22*E23</f>
        <v/>
      </c>
      <c r="F24" s="6">
        <f>F22*F23</f>
        <v/>
      </c>
      <c r="G24" s="6">
        <f>G22*G23</f>
        <v/>
      </c>
      <c r="H24" s="6">
        <f>H22*H23</f>
        <v/>
      </c>
      <c r="I24" s="6">
        <f>I22*I23</f>
        <v/>
      </c>
      <c r="J24" s="6">
        <f>J22*J23</f>
        <v/>
      </c>
      <c r="K24" s="6">
        <f>K22*K23</f>
        <v/>
      </c>
      <c r="L24" s="6">
        <f>L22*L23</f>
        <v/>
      </c>
    </row>
    <row r="26">
      <c r="A26" s="1" t="inlineStr">
        <is>
          <t>Memo: owner FCF margin %</t>
        </is>
      </c>
      <c r="C26" s="6">
        <f>C22/C6*100</f>
        <v/>
      </c>
      <c r="D26" s="6">
        <f>D22/D6*100</f>
        <v/>
      </c>
      <c r="E26" s="6">
        <f>E22/E6*100</f>
        <v/>
      </c>
      <c r="F26" s="6">
        <f>F22/F6*100</f>
        <v/>
      </c>
      <c r="G26" s="6">
        <f>G22/G6*100</f>
        <v/>
      </c>
      <c r="H26" s="6">
        <f>H22/H6*100</f>
        <v/>
      </c>
      <c r="I26" s="6">
        <f>I22/I6*100</f>
        <v/>
      </c>
      <c r="J26" s="6">
        <f>J22/J6*100</f>
        <v/>
      </c>
      <c r="K26" s="6">
        <f>K22/K6*100</f>
        <v/>
      </c>
      <c r="L26" s="6">
        <f>L22/L6*100</f>
        <v/>
      </c>
    </row>
    <row r="28">
      <c r="A28" s="1" t="inlineStr">
        <is>
          <t>Sum PV of FCF (FY26-35)</t>
        </is>
      </c>
      <c r="B28" s="6">
        <f>SUM(C24:L24)</f>
        <v/>
      </c>
    </row>
    <row r="29">
      <c r="A29" s="1" t="inlineStr">
        <is>
          <t>Terminal growth %</t>
        </is>
      </c>
      <c r="B29" s="8">
        <f>Assumptions!$B$15</f>
        <v/>
      </c>
    </row>
    <row r="30">
      <c r="A30" s="1" t="inlineStr">
        <is>
          <t>Terminal FCF (y10 x (1+g))</t>
        </is>
      </c>
      <c r="B30" s="6">
        <f>L22*(1+B29/100)</f>
        <v/>
      </c>
    </row>
    <row r="31">
      <c r="A31" s="1" t="inlineStr">
        <is>
          <t>Gordon TV</t>
        </is>
      </c>
      <c r="B31" s="6">
        <f>IF(Assumptions!$B$5&gt;B29,B30/((Assumptions!$B$5-B29)/100),B32)</f>
        <v/>
      </c>
    </row>
    <row r="32">
      <c r="A32" s="1" t="inlineStr">
        <is>
          <t>Cap TV (13x y10 FCF)</t>
        </is>
      </c>
      <c r="B32" s="6">
        <f>Assumptions!$B$9*L22</f>
        <v/>
      </c>
    </row>
    <row r="33">
      <c r="A33" s="1" t="inlineStr">
        <is>
          <t>TV used = MAX(0,MIN(Gordon,Cap))</t>
        </is>
      </c>
      <c r="B33" s="6">
        <f>MAX(0,MIN(B31,B32))</f>
        <v/>
      </c>
    </row>
    <row r="34">
      <c r="A34" s="1" t="inlineStr">
        <is>
          <t>Implied exit multiple (x FCF)</t>
        </is>
      </c>
      <c r="B34" s="6">
        <f>IF(L22=0,"n/a",B33/L22)</f>
        <v/>
      </c>
    </row>
    <row r="35">
      <c r="A35" s="1" t="inlineStr">
        <is>
          <t>PV of terminal value</t>
        </is>
      </c>
      <c r="B35" s="6">
        <f>B33/(1+Assumptions!$B$5/100)^10</f>
        <v/>
      </c>
    </row>
    <row r="36">
      <c r="A36" s="1" t="inlineStr">
        <is>
          <t>Enterprise value</t>
        </is>
      </c>
      <c r="B36" s="6">
        <f>B28+B35</f>
        <v/>
      </c>
    </row>
    <row r="37">
      <c r="A37" s="1" t="inlineStr">
        <is>
          <t>less net debt</t>
        </is>
      </c>
      <c r="B37" s="8">
        <f>Assumptions!$B$4</f>
        <v/>
      </c>
    </row>
    <row r="38">
      <c r="A38" s="1" t="inlineStr">
        <is>
          <t>Equity value</t>
        </is>
      </c>
      <c r="B38" s="6">
        <f>B36-B37</f>
        <v/>
      </c>
    </row>
    <row r="39">
      <c r="A39" s="1" t="inlineStr">
        <is>
          <t>Diluted shares (m)</t>
        </is>
      </c>
      <c r="B39" s="8">
        <f>Assumptions!$B$3</f>
        <v/>
      </c>
    </row>
    <row r="40">
      <c r="A40" s="1" t="inlineStr">
        <is>
          <t>VALUE PER SHARE (NZD)</t>
        </is>
      </c>
      <c r="B40" s="10">
        <f>B38/B39</f>
        <v/>
      </c>
    </row>
    <row r="41">
      <c r="A41" s="1" t="inlineStr">
        <is>
          <t>Upside vs price %</t>
        </is>
      </c>
      <c r="B41" s="6">
        <f>(B40/Assumptions!$B$2-1)*100</f>
        <v/>
      </c>
    </row>
    <row r="42">
      <c r="A42" s="1" t="inlineStr">
        <is>
          <t>Entry price (15% IRR hurdle)</t>
        </is>
      </c>
      <c r="B42" s="6">
        <f>(SUMPRODUCT(C22:L22/(1+Assumptions!$B$10/100)^C4:L4)+B33/(1+Assumptions!$B$10/100)^10-B37)/B39</f>
        <v/>
      </c>
    </row>
    <row r="44">
      <c r="A44" s="4" t="inlineStr">
        <is>
          <t>Street-basis memo: SBC is ~zero, so street value = house value (band collapsed; see Model_Info).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L4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3">
      <c r="A3" s="1" t="inlineStr">
        <is>
          <t>Year</t>
        </is>
      </c>
      <c r="B3" s="1" t="inlineStr">
        <is>
          <t>FY2025A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s="1" t="inlineStr">
        <is>
          <t>Year index</t>
        </is>
      </c>
      <c r="B4" s="6" t="n">
        <v>0</v>
      </c>
      <c r="C4" s="6" t="n">
        <v>1</v>
      </c>
      <c r="D4" s="6" t="n">
        <v>2</v>
      </c>
      <c r="E4" s="6" t="n">
        <v>3</v>
      </c>
      <c r="F4" s="6" t="n">
        <v>4</v>
      </c>
      <c r="G4" s="6" t="n">
        <v>5</v>
      </c>
      <c r="H4" s="6" t="n">
        <v>6</v>
      </c>
      <c r="I4" s="6" t="n">
        <v>7</v>
      </c>
      <c r="J4" s="6" t="n">
        <v>8</v>
      </c>
      <c r="K4" s="6" t="n">
        <v>9</v>
      </c>
      <c r="L4" s="6" t="n">
        <v>10</v>
      </c>
    </row>
    <row r="5">
      <c r="A5" s="1" t="inlineStr">
        <is>
          <t>Revenue growth % (driver)</t>
        </is>
      </c>
      <c r="C5" s="5" t="n">
        <v>-3.5</v>
      </c>
      <c r="D5" s="5" t="n">
        <v>2</v>
      </c>
      <c r="E5" s="5" t="n">
        <v>3</v>
      </c>
      <c r="F5" s="5" t="n">
        <v>3.5</v>
      </c>
      <c r="G5" s="5" t="n">
        <v>3</v>
      </c>
      <c r="H5" s="5" t="n">
        <v>2.5</v>
      </c>
      <c r="I5" s="5" t="n">
        <v>2.5</v>
      </c>
      <c r="J5" s="5" t="n">
        <v>2</v>
      </c>
      <c r="K5" s="5" t="n">
        <v>2</v>
      </c>
      <c r="L5" s="5" t="n">
        <v>2</v>
      </c>
    </row>
    <row r="6">
      <c r="A6" s="1" t="inlineStr">
        <is>
          <t>Revenue</t>
        </is>
      </c>
      <c r="B6" s="4" t="n">
        <v>584.109</v>
      </c>
      <c r="C6" s="6">
        <f>B6*(1+C5/100)</f>
        <v/>
      </c>
      <c r="D6" s="6">
        <f>C6*(1+D5/100)</f>
        <v/>
      </c>
      <c r="E6" s="6">
        <f>D6*(1+E5/100)</f>
        <v/>
      </c>
      <c r="F6" s="6">
        <f>E6*(1+F5/100)</f>
        <v/>
      </c>
      <c r="G6" s="6">
        <f>F6*(1+G5/100)</f>
        <v/>
      </c>
      <c r="H6" s="6">
        <f>G6*(1+H5/100)</f>
        <v/>
      </c>
      <c r="I6" s="6">
        <f>H6*(1+I5/100)</f>
        <v/>
      </c>
      <c r="J6" s="6">
        <f>I6*(1+J5/100)</f>
        <v/>
      </c>
      <c r="K6" s="6">
        <f>J6*(1+K5/100)</f>
        <v/>
      </c>
      <c r="L6" s="6">
        <f>K6*(1+L5/100)</f>
        <v/>
      </c>
    </row>
    <row r="7">
      <c r="A7" s="1" t="inlineStr">
        <is>
          <t>Adj EBITDA margin % ex bio gains (driver)</t>
        </is>
      </c>
      <c r="B7" s="4" t="n">
        <v>24.1</v>
      </c>
      <c r="C7" s="5" t="n">
        <v>23.5</v>
      </c>
      <c r="D7" s="5" t="n">
        <v>22</v>
      </c>
      <c r="E7" s="5" t="n">
        <v>21</v>
      </c>
      <c r="F7" s="5" t="n">
        <v>20.5</v>
      </c>
      <c r="G7" s="5" t="n">
        <v>20</v>
      </c>
      <c r="H7" s="5" t="n">
        <v>20</v>
      </c>
      <c r="I7" s="5" t="n">
        <v>20</v>
      </c>
      <c r="J7" s="5" t="n">
        <v>20</v>
      </c>
      <c r="K7" s="5" t="n">
        <v>20</v>
      </c>
      <c r="L7" s="5" t="n">
        <v>20</v>
      </c>
    </row>
    <row r="8">
      <c r="A8" s="1" t="inlineStr">
        <is>
          <t>Adjusted EBITDA</t>
        </is>
      </c>
      <c r="B8" s="4" t="n">
        <v>140.992</v>
      </c>
      <c r="C8" s="6">
        <f>C6*C7/100</f>
        <v/>
      </c>
      <c r="D8" s="6">
        <f>D6*D7/100</f>
        <v/>
      </c>
      <c r="E8" s="6">
        <f>E6*E7/100</f>
        <v/>
      </c>
      <c r="F8" s="6">
        <f>F6*F7/100</f>
        <v/>
      </c>
      <c r="G8" s="6">
        <f>G6*G7/100</f>
        <v/>
      </c>
      <c r="H8" s="6">
        <f>H6*H7/100</f>
        <v/>
      </c>
      <c r="I8" s="6">
        <f>I6*I7/100</f>
        <v/>
      </c>
      <c r="J8" s="6">
        <f>J6*J7/100</f>
        <v/>
      </c>
      <c r="K8" s="6">
        <f>K6*K7/100</f>
        <v/>
      </c>
      <c r="L8" s="6">
        <f>L6*L7/100</f>
        <v/>
      </c>
    </row>
    <row r="9">
      <c r="A9" s="1" t="inlineStr">
        <is>
          <t>SBC % of revenue (driver; SBC-zero filer)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</row>
    <row r="10">
      <c r="A10" s="1" t="inlineStr">
        <is>
          <t>SBC $</t>
        </is>
      </c>
      <c r="B10" s="4" t="n">
        <v>-0.219</v>
      </c>
      <c r="C10" s="6">
        <f>-C6*C9/100</f>
        <v/>
      </c>
      <c r="D10" s="6">
        <f>-D6*D9/100</f>
        <v/>
      </c>
      <c r="E10" s="6">
        <f>-E6*E9/100</f>
        <v/>
      </c>
      <c r="F10" s="6">
        <f>-F6*F9/100</f>
        <v/>
      </c>
      <c r="G10" s="6">
        <f>-G6*G9/100</f>
        <v/>
      </c>
      <c r="H10" s="6">
        <f>-H6*H9/100</f>
        <v/>
      </c>
      <c r="I10" s="6">
        <f>-I6*I9/100</f>
        <v/>
      </c>
      <c r="J10" s="6">
        <f>-J6*J9/100</f>
        <v/>
      </c>
      <c r="K10" s="6">
        <f>-K6*K9/100</f>
        <v/>
      </c>
      <c r="L10" s="6">
        <f>-L6*L9/100</f>
        <v/>
      </c>
    </row>
    <row r="11">
      <c r="A11" s="1" t="inlineStr">
        <is>
          <t>Lease cost % of revenue</t>
        </is>
      </c>
      <c r="C11" s="8">
        <f>Assumptions!$B$7</f>
        <v/>
      </c>
      <c r="D11" s="8">
        <f>Assumptions!$B$7</f>
        <v/>
      </c>
      <c r="E11" s="8">
        <f>Assumptions!$B$7</f>
        <v/>
      </c>
      <c r="F11" s="8">
        <f>Assumptions!$B$7</f>
        <v/>
      </c>
      <c r="G11" s="8">
        <f>Assumptions!$B$7</f>
        <v/>
      </c>
      <c r="H11" s="8">
        <f>Assumptions!$B$7</f>
        <v/>
      </c>
      <c r="I11" s="8">
        <f>Assumptions!$B$7</f>
        <v/>
      </c>
      <c r="J11" s="8">
        <f>Assumptions!$B$7</f>
        <v/>
      </c>
      <c r="K11" s="8">
        <f>Assumptions!$B$7</f>
        <v/>
      </c>
      <c r="L11" s="8">
        <f>Assumptions!$B$7</f>
        <v/>
      </c>
    </row>
    <row r="12">
      <c r="A12" s="1" t="inlineStr">
        <is>
          <t>Lease $ (principal + lease interest)</t>
        </is>
      </c>
      <c r="B12" s="4" t="n">
        <v>-16.412</v>
      </c>
      <c r="C12" s="6">
        <f>-C6*C11/100</f>
        <v/>
      </c>
      <c r="D12" s="6">
        <f>-D6*D11/100</f>
        <v/>
      </c>
      <c r="E12" s="6">
        <f>-E6*E11/100</f>
        <v/>
      </c>
      <c r="F12" s="6">
        <f>-F6*F11/100</f>
        <v/>
      </c>
      <c r="G12" s="6">
        <f>-G6*G11/100</f>
        <v/>
      </c>
      <c r="H12" s="6">
        <f>-H6*H11/100</f>
        <v/>
      </c>
      <c r="I12" s="6">
        <f>-I6*I11/100</f>
        <v/>
      </c>
      <c r="J12" s="6">
        <f>-J6*J11/100</f>
        <v/>
      </c>
      <c r="K12" s="6">
        <f>-K6*K11/100</f>
        <v/>
      </c>
      <c r="L12" s="6">
        <f>-L6*L11/100</f>
        <v/>
      </c>
    </row>
    <row r="13">
      <c r="A13" s="1" t="inlineStr">
        <is>
          <t>D&amp;A % of revenue (owned assets)</t>
        </is>
      </c>
      <c r="C13" s="8">
        <f>Assumptions!$B$6</f>
        <v/>
      </c>
      <c r="D13" s="8">
        <f>Assumptions!$B$6</f>
        <v/>
      </c>
      <c r="E13" s="8">
        <f>Assumptions!$B$6</f>
        <v/>
      </c>
      <c r="F13" s="8">
        <f>Assumptions!$B$6</f>
        <v/>
      </c>
      <c r="G13" s="8">
        <f>Assumptions!$B$6</f>
        <v/>
      </c>
      <c r="H13" s="8">
        <f>Assumptions!$B$6</f>
        <v/>
      </c>
      <c r="I13" s="8">
        <f>Assumptions!$B$6</f>
        <v/>
      </c>
      <c r="J13" s="8">
        <f>Assumptions!$B$6</f>
        <v/>
      </c>
      <c r="K13" s="8">
        <f>Assumptions!$B$6</f>
        <v/>
      </c>
      <c r="L13" s="8">
        <f>Assumptions!$B$6</f>
        <v/>
      </c>
    </row>
    <row r="14">
      <c r="A14" s="1" t="inlineStr">
        <is>
          <t>D&amp;A $</t>
        </is>
      </c>
      <c r="C14" s="6">
        <f>-C6*C13/100</f>
        <v/>
      </c>
      <c r="D14" s="6">
        <f>-D6*D13/100</f>
        <v/>
      </c>
      <c r="E14" s="6">
        <f>-E6*E13/100</f>
        <v/>
      </c>
      <c r="F14" s="6">
        <f>-F6*F13/100</f>
        <v/>
      </c>
      <c r="G14" s="6">
        <f>-G6*G13/100</f>
        <v/>
      </c>
      <c r="H14" s="6">
        <f>-H6*H13/100</f>
        <v/>
      </c>
      <c r="I14" s="6">
        <f>-I6*I13/100</f>
        <v/>
      </c>
      <c r="J14" s="6">
        <f>-J6*J13/100</f>
        <v/>
      </c>
      <c r="K14" s="6">
        <f>-K6*K13/100</f>
        <v/>
      </c>
      <c r="L14" s="6">
        <f>-L6*L13/100</f>
        <v/>
      </c>
    </row>
    <row r="15">
      <c r="A15" s="1" t="inlineStr">
        <is>
          <t>EBIT (SBC + lease expensed)</t>
        </is>
      </c>
      <c r="C15" s="6">
        <f>C8+C10+C12+C14</f>
        <v/>
      </c>
      <c r="D15" s="6">
        <f>D8+D10+D12+D14</f>
        <v/>
      </c>
      <c r="E15" s="6">
        <f>E8+E10+E12+E14</f>
        <v/>
      </c>
      <c r="F15" s="6">
        <f>F8+F10+F12+F14</f>
        <v/>
      </c>
      <c r="G15" s="6">
        <f>G8+G10+G12+G14</f>
        <v/>
      </c>
      <c r="H15" s="6">
        <f>H8+H10+H12+H14</f>
        <v/>
      </c>
      <c r="I15" s="6">
        <f>I8+I10+I12+I14</f>
        <v/>
      </c>
      <c r="J15" s="6">
        <f>J8+J10+J12+J14</f>
        <v/>
      </c>
      <c r="K15" s="6">
        <f>K8+K10+K12+K14</f>
        <v/>
      </c>
      <c r="L15" s="6">
        <f>L8+L10+L12+L14</f>
        <v/>
      </c>
    </row>
    <row r="16">
      <c r="A16" s="1" t="inlineStr">
        <is>
          <t>Cash tax rate % (driver)</t>
        </is>
      </c>
      <c r="C16" s="5" t="n">
        <v>28</v>
      </c>
      <c r="D16" s="5" t="n">
        <v>28</v>
      </c>
      <c r="E16" s="5" t="n">
        <v>28</v>
      </c>
      <c r="F16" s="5" t="n">
        <v>28</v>
      </c>
      <c r="G16" s="5" t="n">
        <v>28</v>
      </c>
      <c r="H16" s="5" t="n">
        <v>28</v>
      </c>
      <c r="I16" s="5" t="n">
        <v>28</v>
      </c>
      <c r="J16" s="5" t="n">
        <v>28</v>
      </c>
      <c r="K16" s="5" t="n">
        <v>28</v>
      </c>
      <c r="L16" s="5" t="n">
        <v>28</v>
      </c>
    </row>
    <row r="17">
      <c r="A17" s="1" t="inlineStr">
        <is>
          <t>NOPAT</t>
        </is>
      </c>
      <c r="C17" s="6">
        <f>C15-MAX(0,C15)*C16/100</f>
        <v/>
      </c>
      <c r="D17" s="6">
        <f>D15-MAX(0,D15)*D16/100</f>
        <v/>
      </c>
      <c r="E17" s="6">
        <f>E15-MAX(0,E15)*E16/100</f>
        <v/>
      </c>
      <c r="F17" s="6">
        <f>F15-MAX(0,F15)*F16/100</f>
        <v/>
      </c>
      <c r="G17" s="6">
        <f>G15-MAX(0,G15)*G16/100</f>
        <v/>
      </c>
      <c r="H17" s="6">
        <f>H15-MAX(0,H15)*H16/100</f>
        <v/>
      </c>
      <c r="I17" s="6">
        <f>I15-MAX(0,I15)*I16/100</f>
        <v/>
      </c>
      <c r="J17" s="6">
        <f>J15-MAX(0,J15)*J16/100</f>
        <v/>
      </c>
      <c r="K17" s="6">
        <f>K15-MAX(0,K15)*K16/100</f>
        <v/>
      </c>
      <c r="L17" s="6">
        <f>L15-MAX(0,L15)*L16/100</f>
        <v/>
      </c>
    </row>
    <row r="18">
      <c r="A18" s="1" t="inlineStr">
        <is>
          <t>add back D&amp;A</t>
        </is>
      </c>
      <c r="C18" s="6">
        <f>-C14</f>
        <v/>
      </c>
      <c r="D18" s="6">
        <f>-D14</f>
        <v/>
      </c>
      <c r="E18" s="6">
        <f>-E14</f>
        <v/>
      </c>
      <c r="F18" s="6">
        <f>-F14</f>
        <v/>
      </c>
      <c r="G18" s="6">
        <f>-G14</f>
        <v/>
      </c>
      <c r="H18" s="6">
        <f>-H14</f>
        <v/>
      </c>
      <c r="I18" s="6">
        <f>-I14</f>
        <v/>
      </c>
      <c r="J18" s="6">
        <f>-J14</f>
        <v/>
      </c>
      <c r="K18" s="6">
        <f>-K14</f>
        <v/>
      </c>
      <c r="L18" s="6">
        <f>-L14</f>
        <v/>
      </c>
    </row>
    <row r="19">
      <c r="A19" s="1" t="inlineStr">
        <is>
          <t>Capex % of revenue (driver)</t>
        </is>
      </c>
      <c r="C19" s="5" t="n">
        <v>3.5</v>
      </c>
      <c r="D19" s="5" t="n">
        <v>4.5</v>
      </c>
      <c r="E19" s="5" t="n">
        <v>5</v>
      </c>
      <c r="F19" s="5" t="n">
        <v>5.5</v>
      </c>
      <c r="G19" s="5" t="n">
        <v>6</v>
      </c>
      <c r="H19" s="5" t="n">
        <v>6</v>
      </c>
      <c r="I19" s="5" t="n">
        <v>6</v>
      </c>
      <c r="J19" s="5" t="n">
        <v>6</v>
      </c>
      <c r="K19" s="5" t="n">
        <v>6</v>
      </c>
      <c r="L19" s="5" t="n">
        <v>6</v>
      </c>
    </row>
    <row r="20">
      <c r="A20" s="1" t="inlineStr">
        <is>
          <t>Capex $</t>
        </is>
      </c>
      <c r="B20" s="4" t="n">
        <v>-22.488</v>
      </c>
      <c r="C20" s="6">
        <f>-C6*C19/100</f>
        <v/>
      </c>
      <c r="D20" s="6">
        <f>-D6*D19/100</f>
        <v/>
      </c>
      <c r="E20" s="6">
        <f>-E6*E19/100</f>
        <v/>
      </c>
      <c r="F20" s="6">
        <f>-F6*F19/100</f>
        <v/>
      </c>
      <c r="G20" s="6">
        <f>-G6*G19/100</f>
        <v/>
      </c>
      <c r="H20" s="6">
        <f>-H6*H19/100</f>
        <v/>
      </c>
      <c r="I20" s="6">
        <f>-I6*I19/100</f>
        <v/>
      </c>
      <c r="J20" s="6">
        <f>-J6*J19/100</f>
        <v/>
      </c>
      <c r="K20" s="6">
        <f>-K6*K19/100</f>
        <v/>
      </c>
      <c r="L20" s="6">
        <f>-L6*L19/100</f>
        <v/>
      </c>
    </row>
    <row r="21">
      <c r="A21" s="1" t="inlineStr">
        <is>
          <t>Working capital (on revenue CHANGE)</t>
        </is>
      </c>
      <c r="C21" s="8">
        <f>Assumptions!$B$8/100*(C6-B6)</f>
        <v/>
      </c>
      <c r="D21" s="8">
        <f>Assumptions!$B$8/100*(D6-C6)</f>
        <v/>
      </c>
      <c r="E21" s="8">
        <f>Assumptions!$B$8/100*(E6-D6)</f>
        <v/>
      </c>
      <c r="F21" s="8">
        <f>Assumptions!$B$8/100*(F6-E6)</f>
        <v/>
      </c>
      <c r="G21" s="8">
        <f>Assumptions!$B$8/100*(G6-F6)</f>
        <v/>
      </c>
      <c r="H21" s="8">
        <f>Assumptions!$B$8/100*(H6-G6)</f>
        <v/>
      </c>
      <c r="I21" s="8">
        <f>Assumptions!$B$8/100*(I6-H6)</f>
        <v/>
      </c>
      <c r="J21" s="8">
        <f>Assumptions!$B$8/100*(J6-I6)</f>
        <v/>
      </c>
      <c r="K21" s="8">
        <f>Assumptions!$B$8/100*(K6-J6)</f>
        <v/>
      </c>
      <c r="L21" s="8">
        <f>Assumptions!$B$8/100*(L6-K6)</f>
        <v/>
      </c>
    </row>
    <row r="22">
      <c r="A22" s="1" t="inlineStr">
        <is>
          <t>Unlevered owner FCF</t>
        </is>
      </c>
      <c r="C22" s="9">
        <f>C17+C18+C20+C21</f>
        <v/>
      </c>
      <c r="D22" s="9">
        <f>D17+D18+D20+D21</f>
        <v/>
      </c>
      <c r="E22" s="9">
        <f>E17+E18+E20+E21</f>
        <v/>
      </c>
      <c r="F22" s="9">
        <f>F17+F18+F20+F21</f>
        <v/>
      </c>
      <c r="G22" s="9">
        <f>G17+G18+G20+G21</f>
        <v/>
      </c>
      <c r="H22" s="9">
        <f>H17+H18+H20+H21</f>
        <v/>
      </c>
      <c r="I22" s="9">
        <f>I17+I18+I20+I21</f>
        <v/>
      </c>
      <c r="J22" s="9">
        <f>J17+J18+J20+J21</f>
        <v/>
      </c>
      <c r="K22" s="9">
        <f>K17+K18+K20+K21</f>
        <v/>
      </c>
      <c r="L22" s="9">
        <f>L17+L18+L20+L21</f>
        <v/>
      </c>
    </row>
    <row r="23">
      <c r="A23" s="1" t="inlineStr">
        <is>
          <t>Discount factor</t>
        </is>
      </c>
      <c r="C23" s="8">
        <f>1/(1+Assumptions!$B$5/100)^C4</f>
        <v/>
      </c>
      <c r="D23" s="8">
        <f>1/(1+Assumptions!$B$5/100)^D4</f>
        <v/>
      </c>
      <c r="E23" s="8">
        <f>1/(1+Assumptions!$B$5/100)^E4</f>
        <v/>
      </c>
      <c r="F23" s="8">
        <f>1/(1+Assumptions!$B$5/100)^F4</f>
        <v/>
      </c>
      <c r="G23" s="8">
        <f>1/(1+Assumptions!$B$5/100)^G4</f>
        <v/>
      </c>
      <c r="H23" s="8">
        <f>1/(1+Assumptions!$B$5/100)^H4</f>
        <v/>
      </c>
      <c r="I23" s="8">
        <f>1/(1+Assumptions!$B$5/100)^I4</f>
        <v/>
      </c>
      <c r="J23" s="8">
        <f>1/(1+Assumptions!$B$5/100)^J4</f>
        <v/>
      </c>
      <c r="K23" s="8">
        <f>1/(1+Assumptions!$B$5/100)^K4</f>
        <v/>
      </c>
      <c r="L23" s="8">
        <f>1/(1+Assumptions!$B$5/100)^L4</f>
        <v/>
      </c>
    </row>
    <row r="24">
      <c r="A24" s="1" t="inlineStr">
        <is>
          <t>PV of FCF</t>
        </is>
      </c>
      <c r="C24" s="6">
        <f>C22*C23</f>
        <v/>
      </c>
      <c r="D24" s="6">
        <f>D22*D23</f>
        <v/>
      </c>
      <c r="E24" s="6">
        <f>E22*E23</f>
        <v/>
      </c>
      <c r="F24" s="6">
        <f>F22*F23</f>
        <v/>
      </c>
      <c r="G24" s="6">
        <f>G22*G23</f>
        <v/>
      </c>
      <c r="H24" s="6">
        <f>H22*H23</f>
        <v/>
      </c>
      <c r="I24" s="6">
        <f>I22*I23</f>
        <v/>
      </c>
      <c r="J24" s="6">
        <f>J22*J23</f>
        <v/>
      </c>
      <c r="K24" s="6">
        <f>K22*K23</f>
        <v/>
      </c>
      <c r="L24" s="6">
        <f>L22*L23</f>
        <v/>
      </c>
    </row>
    <row r="26">
      <c r="A26" s="1" t="inlineStr">
        <is>
          <t>Memo: owner FCF margin %</t>
        </is>
      </c>
      <c r="C26" s="6">
        <f>C22/C6*100</f>
        <v/>
      </c>
      <c r="D26" s="6">
        <f>D22/D6*100</f>
        <v/>
      </c>
      <c r="E26" s="6">
        <f>E22/E6*100</f>
        <v/>
      </c>
      <c r="F26" s="6">
        <f>F22/F6*100</f>
        <v/>
      </c>
      <c r="G26" s="6">
        <f>G22/G6*100</f>
        <v/>
      </c>
      <c r="H26" s="6">
        <f>H22/H6*100</f>
        <v/>
      </c>
      <c r="I26" s="6">
        <f>I22/I6*100</f>
        <v/>
      </c>
      <c r="J26" s="6">
        <f>J22/J6*100</f>
        <v/>
      </c>
      <c r="K26" s="6">
        <f>K22/K6*100</f>
        <v/>
      </c>
      <c r="L26" s="6">
        <f>L22/L6*100</f>
        <v/>
      </c>
    </row>
    <row r="28">
      <c r="A28" s="1" t="inlineStr">
        <is>
          <t>Sum PV of FCF (FY26-35)</t>
        </is>
      </c>
      <c r="B28" s="6">
        <f>SUM(C24:L24)</f>
        <v/>
      </c>
    </row>
    <row r="29">
      <c r="A29" s="1" t="inlineStr">
        <is>
          <t>Terminal growth %</t>
        </is>
      </c>
      <c r="B29" s="8">
        <f>Assumptions!$C$15</f>
        <v/>
      </c>
    </row>
    <row r="30">
      <c r="A30" s="1" t="inlineStr">
        <is>
          <t>Terminal FCF (y10 x (1+g))</t>
        </is>
      </c>
      <c r="B30" s="6">
        <f>L22*(1+B29/100)</f>
        <v/>
      </c>
    </row>
    <row r="31">
      <c r="A31" s="1" t="inlineStr">
        <is>
          <t>Gordon TV</t>
        </is>
      </c>
      <c r="B31" s="6">
        <f>IF(Assumptions!$B$5&gt;B29,B30/((Assumptions!$B$5-B29)/100),B32)</f>
        <v/>
      </c>
    </row>
    <row r="32">
      <c r="A32" s="1" t="inlineStr">
        <is>
          <t>Cap TV (13x y10 FCF)</t>
        </is>
      </c>
      <c r="B32" s="6">
        <f>Assumptions!$B$9*L22</f>
        <v/>
      </c>
    </row>
    <row r="33">
      <c r="A33" s="1" t="inlineStr">
        <is>
          <t>TV used = MAX(0,MIN(Gordon,Cap))</t>
        </is>
      </c>
      <c r="B33" s="6">
        <f>MAX(0,MIN(B31,B32))</f>
        <v/>
      </c>
    </row>
    <row r="34">
      <c r="A34" s="1" t="inlineStr">
        <is>
          <t>Implied exit multiple (x FCF)</t>
        </is>
      </c>
      <c r="B34" s="6">
        <f>IF(L22=0,"n/a",B33/L22)</f>
        <v/>
      </c>
    </row>
    <row r="35">
      <c r="A35" s="1" t="inlineStr">
        <is>
          <t>PV of terminal value</t>
        </is>
      </c>
      <c r="B35" s="6">
        <f>B33/(1+Assumptions!$B$5/100)^10</f>
        <v/>
      </c>
    </row>
    <row r="36">
      <c r="A36" s="1" t="inlineStr">
        <is>
          <t>Enterprise value</t>
        </is>
      </c>
      <c r="B36" s="6">
        <f>B28+B35</f>
        <v/>
      </c>
    </row>
    <row r="37">
      <c r="A37" s="1" t="inlineStr">
        <is>
          <t>less net debt</t>
        </is>
      </c>
      <c r="B37" s="8">
        <f>Assumptions!$B$4</f>
        <v/>
      </c>
    </row>
    <row r="38">
      <c r="A38" s="1" t="inlineStr">
        <is>
          <t>Equity value</t>
        </is>
      </c>
      <c r="B38" s="6">
        <f>B36-B37</f>
        <v/>
      </c>
    </row>
    <row r="39">
      <c r="A39" s="1" t="inlineStr">
        <is>
          <t>Diluted shares (m)</t>
        </is>
      </c>
      <c r="B39" s="8">
        <f>Assumptions!$B$3</f>
        <v/>
      </c>
    </row>
    <row r="40">
      <c r="A40" s="1" t="inlineStr">
        <is>
          <t>VALUE PER SHARE (NZD)</t>
        </is>
      </c>
      <c r="B40" s="10">
        <f>B38/B39</f>
        <v/>
      </c>
    </row>
    <row r="41">
      <c r="A41" s="1" t="inlineStr">
        <is>
          <t>Upside vs price %</t>
        </is>
      </c>
      <c r="B41" s="6">
        <f>(B40/Assumptions!$B$2-1)*100</f>
        <v/>
      </c>
    </row>
    <row r="42">
      <c r="A42" s="1" t="inlineStr">
        <is>
          <t>Entry price (15% IRR hurdle)</t>
        </is>
      </c>
      <c r="B42" s="6">
        <f>(SUMPRODUCT(C22:L22/(1+Assumptions!$B$10/100)^C4:L4)+B33/(1+Assumptions!$B$10/100)^10-B37)/B39</f>
        <v/>
      </c>
    </row>
    <row r="44">
      <c r="A44" s="4" t="inlineStr">
        <is>
          <t>Street-basis memo: SBC is ~zero, so street value = house value (band collapsed; see Model_Info).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L4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3">
      <c r="A3" s="1" t="inlineStr">
        <is>
          <t>Year</t>
        </is>
      </c>
      <c r="B3" s="1" t="inlineStr">
        <is>
          <t>FY2025A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s="1" t="inlineStr">
        <is>
          <t>Year index</t>
        </is>
      </c>
      <c r="B4" s="6" t="n">
        <v>0</v>
      </c>
      <c r="C4" s="6" t="n">
        <v>1</v>
      </c>
      <c r="D4" s="6" t="n">
        <v>2</v>
      </c>
      <c r="E4" s="6" t="n">
        <v>3</v>
      </c>
      <c r="F4" s="6" t="n">
        <v>4</v>
      </c>
      <c r="G4" s="6" t="n">
        <v>5</v>
      </c>
      <c r="H4" s="6" t="n">
        <v>6</v>
      </c>
      <c r="I4" s="6" t="n">
        <v>7</v>
      </c>
      <c r="J4" s="6" t="n">
        <v>8</v>
      </c>
      <c r="K4" s="6" t="n">
        <v>9</v>
      </c>
      <c r="L4" s="6" t="n">
        <v>10</v>
      </c>
    </row>
    <row r="5">
      <c r="A5" s="1" t="inlineStr">
        <is>
          <t>Revenue growth % (driver)</t>
        </is>
      </c>
      <c r="C5" s="5" t="n">
        <v>-2</v>
      </c>
      <c r="D5" s="5" t="n">
        <v>3.5</v>
      </c>
      <c r="E5" s="5" t="n">
        <v>5</v>
      </c>
      <c r="F5" s="5" t="n">
        <v>5</v>
      </c>
      <c r="G5" s="5" t="n">
        <v>4.5</v>
      </c>
      <c r="H5" s="5" t="n">
        <v>4</v>
      </c>
      <c r="I5" s="5" t="n">
        <v>3.5</v>
      </c>
      <c r="J5" s="5" t="n">
        <v>3</v>
      </c>
      <c r="K5" s="5" t="n">
        <v>2.5</v>
      </c>
      <c r="L5" s="5" t="n">
        <v>2.5</v>
      </c>
    </row>
    <row r="6">
      <c r="A6" s="1" t="inlineStr">
        <is>
          <t>Revenue</t>
        </is>
      </c>
      <c r="B6" s="4" t="n">
        <v>584.109</v>
      </c>
      <c r="C6" s="6">
        <f>B6*(1+C5/100)</f>
        <v/>
      </c>
      <c r="D6" s="6">
        <f>C6*(1+D5/100)</f>
        <v/>
      </c>
      <c r="E6" s="6">
        <f>D6*(1+E5/100)</f>
        <v/>
      </c>
      <c r="F6" s="6">
        <f>E6*(1+F5/100)</f>
        <v/>
      </c>
      <c r="G6" s="6">
        <f>F6*(1+G5/100)</f>
        <v/>
      </c>
      <c r="H6" s="6">
        <f>G6*(1+H5/100)</f>
        <v/>
      </c>
      <c r="I6" s="6">
        <f>H6*(1+I5/100)</f>
        <v/>
      </c>
      <c r="J6" s="6">
        <f>I6*(1+J5/100)</f>
        <v/>
      </c>
      <c r="K6" s="6">
        <f>J6*(1+K5/100)</f>
        <v/>
      </c>
      <c r="L6" s="6">
        <f>K6*(1+L5/100)</f>
        <v/>
      </c>
    </row>
    <row r="7">
      <c r="A7" s="1" t="inlineStr">
        <is>
          <t>Adj EBITDA margin % ex bio gains (driver)</t>
        </is>
      </c>
      <c r="B7" s="4" t="n">
        <v>24.1</v>
      </c>
      <c r="C7" s="5" t="n">
        <v>25</v>
      </c>
      <c r="D7" s="5" t="n">
        <v>24</v>
      </c>
      <c r="E7" s="5" t="n">
        <v>23.5</v>
      </c>
      <c r="F7" s="5" t="n">
        <v>23</v>
      </c>
      <c r="G7" s="5" t="n">
        <v>23</v>
      </c>
      <c r="H7" s="5" t="n">
        <v>23</v>
      </c>
      <c r="I7" s="5" t="n">
        <v>23</v>
      </c>
      <c r="J7" s="5" t="n">
        <v>23</v>
      </c>
      <c r="K7" s="5" t="n">
        <v>23</v>
      </c>
      <c r="L7" s="5" t="n">
        <v>23</v>
      </c>
    </row>
    <row r="8">
      <c r="A8" s="1" t="inlineStr">
        <is>
          <t>Adjusted EBITDA</t>
        </is>
      </c>
      <c r="B8" s="4" t="n">
        <v>140.992</v>
      </c>
      <c r="C8" s="6">
        <f>C6*C7/100</f>
        <v/>
      </c>
      <c r="D8" s="6">
        <f>D6*D7/100</f>
        <v/>
      </c>
      <c r="E8" s="6">
        <f>E6*E7/100</f>
        <v/>
      </c>
      <c r="F8" s="6">
        <f>F6*F7/100</f>
        <v/>
      </c>
      <c r="G8" s="6">
        <f>G6*G7/100</f>
        <v/>
      </c>
      <c r="H8" s="6">
        <f>H6*H7/100</f>
        <v/>
      </c>
      <c r="I8" s="6">
        <f>I6*I7/100</f>
        <v/>
      </c>
      <c r="J8" s="6">
        <f>J6*J7/100</f>
        <v/>
      </c>
      <c r="K8" s="6">
        <f>K6*K7/100</f>
        <v/>
      </c>
      <c r="L8" s="6">
        <f>L6*L7/100</f>
        <v/>
      </c>
    </row>
    <row r="9">
      <c r="A9" s="1" t="inlineStr">
        <is>
          <t>SBC % of revenue (driver; SBC-zero filer)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</row>
    <row r="10">
      <c r="A10" s="1" t="inlineStr">
        <is>
          <t>SBC $</t>
        </is>
      </c>
      <c r="B10" s="4" t="n">
        <v>-0.219</v>
      </c>
      <c r="C10" s="6">
        <f>-C6*C9/100</f>
        <v/>
      </c>
      <c r="D10" s="6">
        <f>-D6*D9/100</f>
        <v/>
      </c>
      <c r="E10" s="6">
        <f>-E6*E9/100</f>
        <v/>
      </c>
      <c r="F10" s="6">
        <f>-F6*F9/100</f>
        <v/>
      </c>
      <c r="G10" s="6">
        <f>-G6*G9/100</f>
        <v/>
      </c>
      <c r="H10" s="6">
        <f>-H6*H9/100</f>
        <v/>
      </c>
      <c r="I10" s="6">
        <f>-I6*I9/100</f>
        <v/>
      </c>
      <c r="J10" s="6">
        <f>-J6*J9/100</f>
        <v/>
      </c>
      <c r="K10" s="6">
        <f>-K6*K9/100</f>
        <v/>
      </c>
      <c r="L10" s="6">
        <f>-L6*L9/100</f>
        <v/>
      </c>
    </row>
    <row r="11">
      <c r="A11" s="1" t="inlineStr">
        <is>
          <t>Lease cost % of revenue</t>
        </is>
      </c>
      <c r="C11" s="8">
        <f>Assumptions!$B$7</f>
        <v/>
      </c>
      <c r="D11" s="8">
        <f>Assumptions!$B$7</f>
        <v/>
      </c>
      <c r="E11" s="8">
        <f>Assumptions!$B$7</f>
        <v/>
      </c>
      <c r="F11" s="8">
        <f>Assumptions!$B$7</f>
        <v/>
      </c>
      <c r="G11" s="8">
        <f>Assumptions!$B$7</f>
        <v/>
      </c>
      <c r="H11" s="8">
        <f>Assumptions!$B$7</f>
        <v/>
      </c>
      <c r="I11" s="8">
        <f>Assumptions!$B$7</f>
        <v/>
      </c>
      <c r="J11" s="8">
        <f>Assumptions!$B$7</f>
        <v/>
      </c>
      <c r="K11" s="8">
        <f>Assumptions!$B$7</f>
        <v/>
      </c>
      <c r="L11" s="8">
        <f>Assumptions!$B$7</f>
        <v/>
      </c>
    </row>
    <row r="12">
      <c r="A12" s="1" t="inlineStr">
        <is>
          <t>Lease $ (principal + lease interest)</t>
        </is>
      </c>
      <c r="B12" s="4" t="n">
        <v>-16.412</v>
      </c>
      <c r="C12" s="6">
        <f>-C6*C11/100</f>
        <v/>
      </c>
      <c r="D12" s="6">
        <f>-D6*D11/100</f>
        <v/>
      </c>
      <c r="E12" s="6">
        <f>-E6*E11/100</f>
        <v/>
      </c>
      <c r="F12" s="6">
        <f>-F6*F11/100</f>
        <v/>
      </c>
      <c r="G12" s="6">
        <f>-G6*G11/100</f>
        <v/>
      </c>
      <c r="H12" s="6">
        <f>-H6*H11/100</f>
        <v/>
      </c>
      <c r="I12" s="6">
        <f>-I6*I11/100</f>
        <v/>
      </c>
      <c r="J12" s="6">
        <f>-J6*J11/100</f>
        <v/>
      </c>
      <c r="K12" s="6">
        <f>-K6*K11/100</f>
        <v/>
      </c>
      <c r="L12" s="6">
        <f>-L6*L11/100</f>
        <v/>
      </c>
    </row>
    <row r="13">
      <c r="A13" s="1" t="inlineStr">
        <is>
          <t>D&amp;A % of revenue (owned assets)</t>
        </is>
      </c>
      <c r="C13" s="8">
        <f>Assumptions!$B$6</f>
        <v/>
      </c>
      <c r="D13" s="8">
        <f>Assumptions!$B$6</f>
        <v/>
      </c>
      <c r="E13" s="8">
        <f>Assumptions!$B$6</f>
        <v/>
      </c>
      <c r="F13" s="8">
        <f>Assumptions!$B$6</f>
        <v/>
      </c>
      <c r="G13" s="8">
        <f>Assumptions!$B$6</f>
        <v/>
      </c>
      <c r="H13" s="8">
        <f>Assumptions!$B$6</f>
        <v/>
      </c>
      <c r="I13" s="8">
        <f>Assumptions!$B$6</f>
        <v/>
      </c>
      <c r="J13" s="8">
        <f>Assumptions!$B$6</f>
        <v/>
      </c>
      <c r="K13" s="8">
        <f>Assumptions!$B$6</f>
        <v/>
      </c>
      <c r="L13" s="8">
        <f>Assumptions!$B$6</f>
        <v/>
      </c>
    </row>
    <row r="14">
      <c r="A14" s="1" t="inlineStr">
        <is>
          <t>D&amp;A $</t>
        </is>
      </c>
      <c r="C14" s="6">
        <f>-C6*C13/100</f>
        <v/>
      </c>
      <c r="D14" s="6">
        <f>-D6*D13/100</f>
        <v/>
      </c>
      <c r="E14" s="6">
        <f>-E6*E13/100</f>
        <v/>
      </c>
      <c r="F14" s="6">
        <f>-F6*F13/100</f>
        <v/>
      </c>
      <c r="G14" s="6">
        <f>-G6*G13/100</f>
        <v/>
      </c>
      <c r="H14" s="6">
        <f>-H6*H13/100</f>
        <v/>
      </c>
      <c r="I14" s="6">
        <f>-I6*I13/100</f>
        <v/>
      </c>
      <c r="J14" s="6">
        <f>-J6*J13/100</f>
        <v/>
      </c>
      <c r="K14" s="6">
        <f>-K6*K13/100</f>
        <v/>
      </c>
      <c r="L14" s="6">
        <f>-L6*L13/100</f>
        <v/>
      </c>
    </row>
    <row r="15">
      <c r="A15" s="1" t="inlineStr">
        <is>
          <t>EBIT (SBC + lease expensed)</t>
        </is>
      </c>
      <c r="C15" s="6">
        <f>C8+C10+C12+C14</f>
        <v/>
      </c>
      <c r="D15" s="6">
        <f>D8+D10+D12+D14</f>
        <v/>
      </c>
      <c r="E15" s="6">
        <f>E8+E10+E12+E14</f>
        <v/>
      </c>
      <c r="F15" s="6">
        <f>F8+F10+F12+F14</f>
        <v/>
      </c>
      <c r="G15" s="6">
        <f>G8+G10+G12+G14</f>
        <v/>
      </c>
      <c r="H15" s="6">
        <f>H8+H10+H12+H14</f>
        <v/>
      </c>
      <c r="I15" s="6">
        <f>I8+I10+I12+I14</f>
        <v/>
      </c>
      <c r="J15" s="6">
        <f>J8+J10+J12+J14</f>
        <v/>
      </c>
      <c r="K15" s="6">
        <f>K8+K10+K12+K14</f>
        <v/>
      </c>
      <c r="L15" s="6">
        <f>L8+L10+L12+L14</f>
        <v/>
      </c>
    </row>
    <row r="16">
      <c r="A16" s="1" t="inlineStr">
        <is>
          <t>Cash tax rate % (driver)</t>
        </is>
      </c>
      <c r="C16" s="5" t="n">
        <v>28</v>
      </c>
      <c r="D16" s="5" t="n">
        <v>28</v>
      </c>
      <c r="E16" s="5" t="n">
        <v>28</v>
      </c>
      <c r="F16" s="5" t="n">
        <v>28</v>
      </c>
      <c r="G16" s="5" t="n">
        <v>28</v>
      </c>
      <c r="H16" s="5" t="n">
        <v>28</v>
      </c>
      <c r="I16" s="5" t="n">
        <v>28</v>
      </c>
      <c r="J16" s="5" t="n">
        <v>28</v>
      </c>
      <c r="K16" s="5" t="n">
        <v>28</v>
      </c>
      <c r="L16" s="5" t="n">
        <v>28</v>
      </c>
    </row>
    <row r="17">
      <c r="A17" s="1" t="inlineStr">
        <is>
          <t>NOPAT</t>
        </is>
      </c>
      <c r="C17" s="6">
        <f>C15-MAX(0,C15)*C16/100</f>
        <v/>
      </c>
      <c r="D17" s="6">
        <f>D15-MAX(0,D15)*D16/100</f>
        <v/>
      </c>
      <c r="E17" s="6">
        <f>E15-MAX(0,E15)*E16/100</f>
        <v/>
      </c>
      <c r="F17" s="6">
        <f>F15-MAX(0,F15)*F16/100</f>
        <v/>
      </c>
      <c r="G17" s="6">
        <f>G15-MAX(0,G15)*G16/100</f>
        <v/>
      </c>
      <c r="H17" s="6">
        <f>H15-MAX(0,H15)*H16/100</f>
        <v/>
      </c>
      <c r="I17" s="6">
        <f>I15-MAX(0,I15)*I16/100</f>
        <v/>
      </c>
      <c r="J17" s="6">
        <f>J15-MAX(0,J15)*J16/100</f>
        <v/>
      </c>
      <c r="K17" s="6">
        <f>K15-MAX(0,K15)*K16/100</f>
        <v/>
      </c>
      <c r="L17" s="6">
        <f>L15-MAX(0,L15)*L16/100</f>
        <v/>
      </c>
    </row>
    <row r="18">
      <c r="A18" s="1" t="inlineStr">
        <is>
          <t>add back D&amp;A</t>
        </is>
      </c>
      <c r="C18" s="6">
        <f>-C14</f>
        <v/>
      </c>
      <c r="D18" s="6">
        <f>-D14</f>
        <v/>
      </c>
      <c r="E18" s="6">
        <f>-E14</f>
        <v/>
      </c>
      <c r="F18" s="6">
        <f>-F14</f>
        <v/>
      </c>
      <c r="G18" s="6">
        <f>-G14</f>
        <v/>
      </c>
      <c r="H18" s="6">
        <f>-H14</f>
        <v/>
      </c>
      <c r="I18" s="6">
        <f>-I14</f>
        <v/>
      </c>
      <c r="J18" s="6">
        <f>-J14</f>
        <v/>
      </c>
      <c r="K18" s="6">
        <f>-K14</f>
        <v/>
      </c>
      <c r="L18" s="6">
        <f>-L14</f>
        <v/>
      </c>
    </row>
    <row r="19">
      <c r="A19" s="1" t="inlineStr">
        <is>
          <t>Capex % of revenue (driver)</t>
        </is>
      </c>
      <c r="C19" s="5" t="n">
        <v>3.5</v>
      </c>
      <c r="D19" s="5" t="n">
        <v>4</v>
      </c>
      <c r="E19" s="5" t="n">
        <v>4.5</v>
      </c>
      <c r="F19" s="5" t="n">
        <v>5</v>
      </c>
      <c r="G19" s="5" t="n">
        <v>5</v>
      </c>
      <c r="H19" s="5" t="n">
        <v>5</v>
      </c>
      <c r="I19" s="5" t="n">
        <v>5</v>
      </c>
      <c r="J19" s="5" t="n">
        <v>5</v>
      </c>
      <c r="K19" s="5" t="n">
        <v>5</v>
      </c>
      <c r="L19" s="5" t="n">
        <v>5</v>
      </c>
    </row>
    <row r="20">
      <c r="A20" s="1" t="inlineStr">
        <is>
          <t>Capex $</t>
        </is>
      </c>
      <c r="B20" s="4" t="n">
        <v>-22.488</v>
      </c>
      <c r="C20" s="6">
        <f>-C6*C19/100</f>
        <v/>
      </c>
      <c r="D20" s="6">
        <f>-D6*D19/100</f>
        <v/>
      </c>
      <c r="E20" s="6">
        <f>-E6*E19/100</f>
        <v/>
      </c>
      <c r="F20" s="6">
        <f>-F6*F19/100</f>
        <v/>
      </c>
      <c r="G20" s="6">
        <f>-G6*G19/100</f>
        <v/>
      </c>
      <c r="H20" s="6">
        <f>-H6*H19/100</f>
        <v/>
      </c>
      <c r="I20" s="6">
        <f>-I6*I19/100</f>
        <v/>
      </c>
      <c r="J20" s="6">
        <f>-J6*J19/100</f>
        <v/>
      </c>
      <c r="K20" s="6">
        <f>-K6*K19/100</f>
        <v/>
      </c>
      <c r="L20" s="6">
        <f>-L6*L19/100</f>
        <v/>
      </c>
    </row>
    <row r="21">
      <c r="A21" s="1" t="inlineStr">
        <is>
          <t>Working capital (on revenue CHANGE)</t>
        </is>
      </c>
      <c r="C21" s="8">
        <f>Assumptions!$B$8/100*(C6-B6)</f>
        <v/>
      </c>
      <c r="D21" s="8">
        <f>Assumptions!$B$8/100*(D6-C6)</f>
        <v/>
      </c>
      <c r="E21" s="8">
        <f>Assumptions!$B$8/100*(E6-D6)</f>
        <v/>
      </c>
      <c r="F21" s="8">
        <f>Assumptions!$B$8/100*(F6-E6)</f>
        <v/>
      </c>
      <c r="G21" s="8">
        <f>Assumptions!$B$8/100*(G6-F6)</f>
        <v/>
      </c>
      <c r="H21" s="8">
        <f>Assumptions!$B$8/100*(H6-G6)</f>
        <v/>
      </c>
      <c r="I21" s="8">
        <f>Assumptions!$B$8/100*(I6-H6)</f>
        <v/>
      </c>
      <c r="J21" s="8">
        <f>Assumptions!$B$8/100*(J6-I6)</f>
        <v/>
      </c>
      <c r="K21" s="8">
        <f>Assumptions!$B$8/100*(K6-J6)</f>
        <v/>
      </c>
      <c r="L21" s="8">
        <f>Assumptions!$B$8/100*(L6-K6)</f>
        <v/>
      </c>
    </row>
    <row r="22">
      <c r="A22" s="1" t="inlineStr">
        <is>
          <t>Unlevered owner FCF</t>
        </is>
      </c>
      <c r="C22" s="9">
        <f>C17+C18+C20+C21</f>
        <v/>
      </c>
      <c r="D22" s="9">
        <f>D17+D18+D20+D21</f>
        <v/>
      </c>
      <c r="E22" s="9">
        <f>E17+E18+E20+E21</f>
        <v/>
      </c>
      <c r="F22" s="9">
        <f>F17+F18+F20+F21</f>
        <v/>
      </c>
      <c r="G22" s="9">
        <f>G17+G18+G20+G21</f>
        <v/>
      </c>
      <c r="H22" s="9">
        <f>H17+H18+H20+H21</f>
        <v/>
      </c>
      <c r="I22" s="9">
        <f>I17+I18+I20+I21</f>
        <v/>
      </c>
      <c r="J22" s="9">
        <f>J17+J18+J20+J21</f>
        <v/>
      </c>
      <c r="K22" s="9">
        <f>K17+K18+K20+K21</f>
        <v/>
      </c>
      <c r="L22" s="9">
        <f>L17+L18+L20+L21</f>
        <v/>
      </c>
    </row>
    <row r="23">
      <c r="A23" s="1" t="inlineStr">
        <is>
          <t>Discount factor</t>
        </is>
      </c>
      <c r="C23" s="8">
        <f>1/(1+Assumptions!$B$5/100)^C4</f>
        <v/>
      </c>
      <c r="D23" s="8">
        <f>1/(1+Assumptions!$B$5/100)^D4</f>
        <v/>
      </c>
      <c r="E23" s="8">
        <f>1/(1+Assumptions!$B$5/100)^E4</f>
        <v/>
      </c>
      <c r="F23" s="8">
        <f>1/(1+Assumptions!$B$5/100)^F4</f>
        <v/>
      </c>
      <c r="G23" s="8">
        <f>1/(1+Assumptions!$B$5/100)^G4</f>
        <v/>
      </c>
      <c r="H23" s="8">
        <f>1/(1+Assumptions!$B$5/100)^H4</f>
        <v/>
      </c>
      <c r="I23" s="8">
        <f>1/(1+Assumptions!$B$5/100)^I4</f>
        <v/>
      </c>
      <c r="J23" s="8">
        <f>1/(1+Assumptions!$B$5/100)^J4</f>
        <v/>
      </c>
      <c r="K23" s="8">
        <f>1/(1+Assumptions!$B$5/100)^K4</f>
        <v/>
      </c>
      <c r="L23" s="8">
        <f>1/(1+Assumptions!$B$5/100)^L4</f>
        <v/>
      </c>
    </row>
    <row r="24">
      <c r="A24" s="1" t="inlineStr">
        <is>
          <t>PV of FCF</t>
        </is>
      </c>
      <c r="C24" s="6">
        <f>C22*C23</f>
        <v/>
      </c>
      <c r="D24" s="6">
        <f>D22*D23</f>
        <v/>
      </c>
      <c r="E24" s="6">
        <f>E22*E23</f>
        <v/>
      </c>
      <c r="F24" s="6">
        <f>F22*F23</f>
        <v/>
      </c>
      <c r="G24" s="6">
        <f>G22*G23</f>
        <v/>
      </c>
      <c r="H24" s="6">
        <f>H22*H23</f>
        <v/>
      </c>
      <c r="I24" s="6">
        <f>I22*I23</f>
        <v/>
      </c>
      <c r="J24" s="6">
        <f>J22*J23</f>
        <v/>
      </c>
      <c r="K24" s="6">
        <f>K22*K23</f>
        <v/>
      </c>
      <c r="L24" s="6">
        <f>L22*L23</f>
        <v/>
      </c>
    </row>
    <row r="26">
      <c r="A26" s="1" t="inlineStr">
        <is>
          <t>Memo: owner FCF margin %</t>
        </is>
      </c>
      <c r="C26" s="6">
        <f>C22/C6*100</f>
        <v/>
      </c>
      <c r="D26" s="6">
        <f>D22/D6*100</f>
        <v/>
      </c>
      <c r="E26" s="6">
        <f>E22/E6*100</f>
        <v/>
      </c>
      <c r="F26" s="6">
        <f>F22/F6*100</f>
        <v/>
      </c>
      <c r="G26" s="6">
        <f>G22/G6*100</f>
        <v/>
      </c>
      <c r="H26" s="6">
        <f>H22/H6*100</f>
        <v/>
      </c>
      <c r="I26" s="6">
        <f>I22/I6*100</f>
        <v/>
      </c>
      <c r="J26" s="6">
        <f>J22/J6*100</f>
        <v/>
      </c>
      <c r="K26" s="6">
        <f>K22/K6*100</f>
        <v/>
      </c>
      <c r="L26" s="6">
        <f>L22/L6*100</f>
        <v/>
      </c>
    </row>
    <row r="28">
      <c r="A28" s="1" t="inlineStr">
        <is>
          <t>Sum PV of FCF (FY26-35)</t>
        </is>
      </c>
      <c r="B28" s="6">
        <f>SUM(C24:L24)</f>
        <v/>
      </c>
    </row>
    <row r="29">
      <c r="A29" s="1" t="inlineStr">
        <is>
          <t>Terminal growth %</t>
        </is>
      </c>
      <c r="B29" s="8">
        <f>Assumptions!$D$15</f>
        <v/>
      </c>
    </row>
    <row r="30">
      <c r="A30" s="1" t="inlineStr">
        <is>
          <t>Terminal FCF (y10 x (1+g))</t>
        </is>
      </c>
      <c r="B30" s="6">
        <f>L22*(1+B29/100)</f>
        <v/>
      </c>
    </row>
    <row r="31">
      <c r="A31" s="1" t="inlineStr">
        <is>
          <t>Gordon TV</t>
        </is>
      </c>
      <c r="B31" s="6">
        <f>IF(Assumptions!$B$5&gt;B29,B30/((Assumptions!$B$5-B29)/100),B32)</f>
        <v/>
      </c>
    </row>
    <row r="32">
      <c r="A32" s="1" t="inlineStr">
        <is>
          <t>Cap TV (13x y10 FCF)</t>
        </is>
      </c>
      <c r="B32" s="6">
        <f>Assumptions!$B$9*L22</f>
        <v/>
      </c>
    </row>
    <row r="33">
      <c r="A33" s="1" t="inlineStr">
        <is>
          <t>TV used = MAX(0,MIN(Gordon,Cap))</t>
        </is>
      </c>
      <c r="B33" s="6">
        <f>MAX(0,MIN(B31,B32))</f>
        <v/>
      </c>
    </row>
    <row r="34">
      <c r="A34" s="1" t="inlineStr">
        <is>
          <t>Implied exit multiple (x FCF)</t>
        </is>
      </c>
      <c r="B34" s="6">
        <f>IF(L22=0,"n/a",B33/L22)</f>
        <v/>
      </c>
    </row>
    <row r="35">
      <c r="A35" s="1" t="inlineStr">
        <is>
          <t>PV of terminal value</t>
        </is>
      </c>
      <c r="B35" s="6">
        <f>B33/(1+Assumptions!$B$5/100)^10</f>
        <v/>
      </c>
    </row>
    <row r="36">
      <c r="A36" s="1" t="inlineStr">
        <is>
          <t>Enterprise value</t>
        </is>
      </c>
      <c r="B36" s="6">
        <f>B28+B35</f>
        <v/>
      </c>
    </row>
    <row r="37">
      <c r="A37" s="1" t="inlineStr">
        <is>
          <t>less net debt</t>
        </is>
      </c>
      <c r="B37" s="8">
        <f>Assumptions!$B$4</f>
        <v/>
      </c>
    </row>
    <row r="38">
      <c r="A38" s="1" t="inlineStr">
        <is>
          <t>Equity value</t>
        </is>
      </c>
      <c r="B38" s="6">
        <f>B36-B37</f>
        <v/>
      </c>
    </row>
    <row r="39">
      <c r="A39" s="1" t="inlineStr">
        <is>
          <t>Diluted shares (m)</t>
        </is>
      </c>
      <c r="B39" s="8">
        <f>Assumptions!$B$3</f>
        <v/>
      </c>
    </row>
    <row r="40">
      <c r="A40" s="1" t="inlineStr">
        <is>
          <t>VALUE PER SHARE (NZD)</t>
        </is>
      </c>
      <c r="B40" s="10">
        <f>B38/B39</f>
        <v/>
      </c>
    </row>
    <row r="41">
      <c r="A41" s="1" t="inlineStr">
        <is>
          <t>Upside vs price %</t>
        </is>
      </c>
      <c r="B41" s="6">
        <f>(B40/Assumptions!$B$2-1)*100</f>
        <v/>
      </c>
    </row>
    <row r="42">
      <c r="A42" s="1" t="inlineStr">
        <is>
          <t>Entry price (15% IRR hurdle)</t>
        </is>
      </c>
      <c r="B42" s="6">
        <f>(SUMPRODUCT(C22:L22/(1+Assumptions!$B$10/100)^C4:L4)+B33/(1+Assumptions!$B$10/100)^10-B37)/B39</f>
        <v/>
      </c>
    </row>
    <row r="44">
      <c r="A44" s="4" t="inlineStr">
        <is>
          <t>Street-basis memo: SBC is ~zero, so street value = house value (band collapsed; see Model_Info).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Period</t>
        </is>
      </c>
      <c r="B1" s="3" t="inlineStr">
        <is>
          <t>Reported FCF (OCF - capex)</t>
        </is>
      </c>
      <c r="C1" s="3" t="inlineStr">
        <is>
          <t>less SBC</t>
        </is>
      </c>
      <c r="D1" s="3" t="inlineStr">
        <is>
          <t>less lease cash</t>
        </is>
      </c>
      <c r="E1" s="3" t="inlineStr">
        <is>
          <t>Owner FCF</t>
        </is>
      </c>
      <c r="F1" s="3" t="inlineStr">
        <is>
          <t>Reported FCF margin %</t>
        </is>
      </c>
      <c r="G1" s="3" t="inlineStr">
        <is>
          <t>Owner FCF margin %</t>
        </is>
      </c>
      <c r="H1" s="3" t="inlineStr">
        <is>
          <t>Cash tax paid</t>
        </is>
      </c>
      <c r="I1" s="3" t="inlineStr">
        <is>
          <t>Cash tax / PBT %</t>
        </is>
      </c>
    </row>
    <row r="2">
      <c r="A2" s="4" t="inlineStr">
        <is>
          <t>FY2016</t>
        </is>
      </c>
      <c r="B2" s="4" t="n">
        <v>-7.776</v>
      </c>
      <c r="C2" s="4" t="n">
        <v>0.171</v>
      </c>
      <c r="D2" s="4" t="n">
        <v>0</v>
      </c>
      <c r="E2" s="6">
        <f>B2-C2-D2</f>
        <v/>
      </c>
      <c r="F2" s="6">
        <f>B2/463.469*100</f>
        <v/>
      </c>
      <c r="G2" s="6">
        <f>E2/463.469*100</f>
        <v/>
      </c>
      <c r="H2" s="4" t="n">
        <v>12.501</v>
      </c>
      <c r="I2" s="6">
        <f>H2/48.0*100</f>
        <v/>
      </c>
    </row>
    <row r="3">
      <c r="A3" s="4" t="inlineStr">
        <is>
          <t>FY2017</t>
        </is>
      </c>
      <c r="B3" s="4" t="n">
        <v>13.477</v>
      </c>
      <c r="C3" s="4" t="n">
        <v>0.171</v>
      </c>
      <c r="D3" s="4" t="n">
        <v>0</v>
      </c>
      <c r="E3" s="6">
        <f>B3-C3-D3</f>
        <v/>
      </c>
      <c r="F3" s="6">
        <f>B3/477.94*100</f>
        <v/>
      </c>
      <c r="G3" s="6">
        <f>E3/477.94*100</f>
        <v/>
      </c>
      <c r="H3" s="4" t="n">
        <v>13.505</v>
      </c>
      <c r="I3" s="6">
        <f>H3/51.65*100</f>
        <v/>
      </c>
    </row>
    <row r="4">
      <c r="A4" s="4" t="inlineStr">
        <is>
          <t>FY2018</t>
        </is>
      </c>
      <c r="B4" s="4" t="n">
        <v>47.908</v>
      </c>
      <c r="C4" s="4" t="n">
        <v>0.062</v>
      </c>
      <c r="D4" s="4" t="n">
        <v>0</v>
      </c>
      <c r="E4" s="6">
        <f>B4-C4-D4</f>
        <v/>
      </c>
      <c r="F4" s="6">
        <f>B4/514.976*100</f>
        <v/>
      </c>
      <c r="G4" s="6">
        <f>E4/514.976*100</f>
        <v/>
      </c>
      <c r="H4" s="4" t="n">
        <v>8.949999999999999</v>
      </c>
      <c r="I4" s="6">
        <f>H4/59.964*100</f>
        <v/>
      </c>
    </row>
    <row r="5">
      <c r="A5" s="4" t="inlineStr">
        <is>
          <t>FY2019</t>
        </is>
      </c>
      <c r="B5" s="4" t="n">
        <v>10.304</v>
      </c>
      <c r="C5" s="4" t="n">
        <v>-0.001</v>
      </c>
      <c r="D5" s="4" t="n">
        <v>0</v>
      </c>
      <c r="E5" s="6">
        <f>B5-C5-D5</f>
        <v/>
      </c>
      <c r="F5" s="6">
        <f>B5/545.121*100</f>
        <v/>
      </c>
      <c r="G5" s="6">
        <f>E5/545.121*100</f>
        <v/>
      </c>
      <c r="H5" s="4" t="n">
        <v>15.026</v>
      </c>
      <c r="I5" s="6">
        <f>H5/59.323*100</f>
        <v/>
      </c>
    </row>
    <row r="6">
      <c r="A6" s="4" t="inlineStr">
        <is>
          <t>FY2020</t>
        </is>
      </c>
      <c r="B6" s="4" t="n">
        <v>-24.413</v>
      </c>
      <c r="C6" s="4" t="n">
        <v>-0.401</v>
      </c>
      <c r="D6" s="4" t="n">
        <v>10.94</v>
      </c>
      <c r="E6" s="6">
        <f>B6-C6-D6</f>
        <v/>
      </c>
      <c r="F6" s="6">
        <f>B6/468.849*100</f>
        <v/>
      </c>
      <c r="G6" s="6">
        <f>E6/468.849*100</f>
        <v/>
      </c>
      <c r="H6" s="4" t="n">
        <v>10.131</v>
      </c>
      <c r="I6" s="6">
        <f>H6/30.757*100</f>
        <v/>
      </c>
    </row>
    <row r="7">
      <c r="A7" s="4" t="inlineStr">
        <is>
          <t>FY2021</t>
        </is>
      </c>
      <c r="B7" s="4" t="n">
        <v>-10.967</v>
      </c>
      <c r="C7" s="4" t="n">
        <v>-0.401</v>
      </c>
      <c r="D7" s="4" t="n">
        <v>11.017</v>
      </c>
      <c r="E7" s="6">
        <f>B7-C7-D7</f>
        <v/>
      </c>
      <c r="F7" s="6">
        <f>B7/489.625*100</f>
        <v/>
      </c>
      <c r="G7" s="6">
        <f>E7/489.625*100</f>
        <v/>
      </c>
      <c r="H7" s="4" t="n">
        <v>1.191</v>
      </c>
      <c r="I7" s="6">
        <f>H7/20.035*100</f>
        <v/>
      </c>
    </row>
    <row r="8">
      <c r="A8" s="4" t="inlineStr">
        <is>
          <t>FY2022</t>
        </is>
      </c>
      <c r="B8" s="4" t="n">
        <v>-8.538</v>
      </c>
      <c r="C8" s="4" t="n">
        <v>0.121</v>
      </c>
      <c r="D8" s="4" t="n">
        <v>11.359</v>
      </c>
      <c r="E8" s="6">
        <f>B8-C8-D8</f>
        <v/>
      </c>
      <c r="F8" s="6">
        <f>B8/531.887*100</f>
        <v/>
      </c>
      <c r="G8" s="6">
        <f>E8/531.887*100</f>
        <v/>
      </c>
      <c r="H8" s="4" t="n">
        <v>1.619</v>
      </c>
      <c r="I8" s="6">
        <f>H8/62.464*100</f>
        <v/>
      </c>
    </row>
    <row r="9">
      <c r="A9" s="4" t="inlineStr">
        <is>
          <t>FY2023</t>
        </is>
      </c>
      <c r="B9" s="4" t="n">
        <v>-23.359</v>
      </c>
      <c r="C9" s="4" t="n">
        <v>-0.143</v>
      </c>
      <c r="D9" s="4" t="n">
        <v>12.36</v>
      </c>
      <c r="E9" s="6">
        <f>B9-C9-D9</f>
        <v/>
      </c>
      <c r="F9" s="6">
        <f>B9/553.397*100</f>
        <v/>
      </c>
      <c r="G9" s="6">
        <f>E9/553.397*100</f>
        <v/>
      </c>
      <c r="H9" s="4" t="n">
        <v>9.156000000000001</v>
      </c>
      <c r="I9" s="6">
        <f>H9/17.482*100</f>
        <v/>
      </c>
    </row>
    <row r="10">
      <c r="A10" s="4" t="inlineStr">
        <is>
          <t>FY2024</t>
        </is>
      </c>
      <c r="B10" s="4" t="n">
        <v>27.08</v>
      </c>
      <c r="C10" s="4" t="n">
        <v>0</v>
      </c>
      <c r="D10" s="4" t="n">
        <v>15.171</v>
      </c>
      <c r="E10" s="6">
        <f>B10-C10-D10</f>
        <v/>
      </c>
      <c r="F10" s="6">
        <f>B10/582.913*100</f>
        <v/>
      </c>
      <c r="G10" s="6">
        <f>E10/582.913*100</f>
        <v/>
      </c>
      <c r="H10" s="4" t="n">
        <v>7.77</v>
      </c>
      <c r="I10" s="6">
        <f>H10/37.395*100</f>
        <v/>
      </c>
    </row>
    <row r="11">
      <c r="A11" s="4" t="inlineStr">
        <is>
          <t>FY2025</t>
        </is>
      </c>
      <c r="B11" s="4" t="n">
        <v>112.854</v>
      </c>
      <c r="C11" s="4" t="n">
        <v>0.219</v>
      </c>
      <c r="D11" s="4" t="n">
        <v>16.412</v>
      </c>
      <c r="E11" s="6">
        <f>B11-C11-D11</f>
        <v/>
      </c>
      <c r="F11" s="6">
        <f>B11/584.109*100</f>
        <v/>
      </c>
      <c r="G11" s="6">
        <f>E11/584.109*100</f>
        <v/>
      </c>
      <c r="H11" s="4" t="n">
        <v>3.322</v>
      </c>
      <c r="I11" s="6">
        <f>H11/89.961*100</f>
        <v/>
      </c>
    </row>
    <row r="12">
      <c r="A12" s="4" t="inlineStr">
        <is>
          <t>H1 FY2026</t>
        </is>
      </c>
      <c r="B12" s="4" t="n">
        <v>6.978</v>
      </c>
      <c r="C12" s="4" t="n">
        <v>0.125</v>
      </c>
      <c r="D12" s="4" t="n">
        <v>12.347</v>
      </c>
      <c r="E12" s="6">
        <f>B12-C12-D12</f>
        <v/>
      </c>
      <c r="F12" s="6">
        <f>B12/270.154*100</f>
        <v/>
      </c>
      <c r="G12" s="6">
        <f>E12/270.154*100</f>
        <v/>
      </c>
      <c r="H12" s="4" t="n">
        <v>17.493</v>
      </c>
      <c r="I12" s="6">
        <f>H12/59.781*100</f>
        <v/>
      </c>
    </row>
    <row r="14">
      <c r="A14" s="4" t="inlineStr">
        <is>
          <t>Lease cash: CF-statement lease payments (principal); FY2024/FY2025 use note-19 principal+interest (15.171/16.412); H1 FY2026 = 11.347 principal + ~1.0 est. interest. Pre-IFRS16 years (to FY2019) leases were already expensed in EBITDA -- 0 adjustment.</t>
        </is>
      </c>
    </row>
    <row r="15">
      <c r="A15" s="4" t="inlineStr">
        <is>
          <t>Interest income NOT deducted: net-debt company, no separately-added cash pile (owner-fcf.md s1b).</t>
        </is>
      </c>
    </row>
    <row r="16">
      <c r="A16" s="4" t="inlineStr">
        <is>
          <t>The FY2025 line is the peak-FCF exhibit: owner FCF $96.2m vs a $15m FY2016-25 median; cash tax paid 3.7% of PBT vs 28% statutory (H1 FY2026 paid $17.5m as the catch-up); H1 FY2026 owner FCF is NEGATIVE (~-$5.5m) on the mussel inventory build.</t>
        </is>
      </c>
    </row>
    <row r="17">
      <c r="A17" s="4" t="inlineStr">
        <is>
          <t>Memo: no deferred-revenue tailwind exists in this business; the WC swing factor is inventory (frozen mussels) and receivables timing.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Scenario summary</t>
        </is>
      </c>
    </row>
    <row r="2">
      <c r="A2" s="3" t="inlineStr"/>
      <c r="B2" s="3" t="inlineStr">
        <is>
          <t>Value/share</t>
        </is>
      </c>
      <c r="C2" s="3" t="inlineStr">
        <is>
          <t>Upside %</t>
        </is>
      </c>
      <c r="D2" s="3" t="inlineStr">
        <is>
          <t>Weight</t>
        </is>
      </c>
      <c r="E2" s="3" t="inlineStr">
        <is>
          <t>Entry price (15%)</t>
        </is>
      </c>
    </row>
    <row r="3">
      <c r="A3" s="1" t="inlineStr">
        <is>
          <t>Bear</t>
        </is>
      </c>
      <c r="B3" s="8">
        <f>DCF_Bear!$B$40</f>
        <v/>
      </c>
      <c r="C3" s="6">
        <f>(B3/Assumptions!$B$2-1)*100</f>
        <v/>
      </c>
      <c r="D3" s="8">
        <f>Assumptions!$B$16</f>
        <v/>
      </c>
      <c r="E3" s="8">
        <f>DCF_Bear!$B$42</f>
        <v/>
      </c>
    </row>
    <row r="4">
      <c r="A4" s="1" t="inlineStr">
        <is>
          <t>Base</t>
        </is>
      </c>
      <c r="B4" s="8">
        <f>DCF_Base!$B$40</f>
        <v/>
      </c>
      <c r="C4" s="6">
        <f>(B4/Assumptions!$B$2-1)*100</f>
        <v/>
      </c>
      <c r="D4" s="8">
        <f>Assumptions!$C$16</f>
        <v/>
      </c>
      <c r="E4" s="8">
        <f>DCF_Base!$B$42</f>
        <v/>
      </c>
    </row>
    <row r="5">
      <c r="A5" s="1" t="inlineStr">
        <is>
          <t>Bull</t>
        </is>
      </c>
      <c r="B5" s="8">
        <f>DCF_Bull!$B$40</f>
        <v/>
      </c>
      <c r="C5" s="6">
        <f>(B5/Assumptions!$B$2-1)*100</f>
        <v/>
      </c>
      <c r="D5" s="8">
        <f>Assumptions!$D$16</f>
        <v/>
      </c>
      <c r="E5" s="8">
        <f>DCF_Bull!$B$42</f>
        <v/>
      </c>
    </row>
    <row r="7">
      <c r="A7" s="1" t="inlineStr">
        <is>
          <t>Probability-weighted intrinsic value</t>
        </is>
      </c>
      <c r="B7" s="10">
        <f>SUMPRODUCT(B3:B5,D3:D5)</f>
        <v/>
      </c>
    </row>
    <row r="8">
      <c r="A8" s="1" t="inlineStr">
        <is>
          <t>Margin of safety at current price</t>
        </is>
      </c>
      <c r="B8" s="6">
        <f>1-Assumptions!$B$2/B7</f>
        <v/>
      </c>
    </row>
    <row r="9">
      <c r="A9" s="1" t="inlineStr">
        <is>
          <t>Probability-weighted entry price (15% hurdle)</t>
        </is>
      </c>
      <c r="B9" s="6">
        <f>SUMPRODUCT(E3:E5,D3:D5)</f>
        <v/>
      </c>
    </row>
    <row r="10">
      <c r="A10" s="1" t="inlineStr">
        <is>
          <t>Street weighted value (= house; SBC ~ 0)</t>
        </is>
      </c>
      <c r="B10" s="6">
        <f>B7</f>
        <v/>
      </c>
    </row>
    <row r="11">
      <c r="A11" s="1" t="inlineStr">
        <is>
          <t>Band position</t>
        </is>
      </c>
      <c r="B11" s="4" t="inlineStr">
        <is>
          <t>n/a -- SBC-zero filer, house = street</t>
        </is>
      </c>
    </row>
    <row r="13">
      <c r="A13" s="1" t="inlineStr">
        <is>
          <t>Required-return table (base case; TV fixed at WACC-Gordon)</t>
        </is>
      </c>
    </row>
    <row r="14">
      <c r="A14" s="1" t="inlineStr">
        <is>
          <t>Required return %</t>
        </is>
      </c>
      <c r="B14" s="4" t="n">
        <v>9</v>
      </c>
      <c r="C14" s="4" t="n">
        <v>10</v>
      </c>
      <c r="D14" s="4" t="n">
        <v>10.5</v>
      </c>
      <c r="E14" s="4" t="n">
        <v>11</v>
      </c>
      <c r="F14" s="4" t="n">
        <v>12</v>
      </c>
      <c r="G14" s="4" t="n">
        <v>15</v>
      </c>
    </row>
    <row r="15">
      <c r="A15" s="1" t="inlineStr">
        <is>
          <t>Value per share</t>
        </is>
      </c>
      <c r="B15" s="6">
        <f>(SUMPRODUCT(DCF_Base!$C$22:$L$22/(1+B14/100)^DCF_Base!$C$4:$L$4)+DCF_Base!$B$33/(1+B14/100)^10-Assumptions!$B$4)/Assumptions!$B$3</f>
        <v/>
      </c>
      <c r="C15" s="6">
        <f>(SUMPRODUCT(DCF_Base!$C$22:$L$22/(1+C14/100)^DCF_Base!$C$4:$L$4)+DCF_Base!$B$33/(1+C14/100)^10-Assumptions!$B$4)/Assumptions!$B$3</f>
        <v/>
      </c>
      <c r="D15" s="6">
        <f>(SUMPRODUCT(DCF_Base!$C$22:$L$22/(1+D14/100)^DCF_Base!$C$4:$L$4)+DCF_Base!$B$33/(1+D14/100)^10-Assumptions!$B$4)/Assumptions!$B$3</f>
        <v/>
      </c>
      <c r="E15" s="6">
        <f>(SUMPRODUCT(DCF_Base!$C$22:$L$22/(1+E14/100)^DCF_Base!$C$4:$L$4)+DCF_Base!$B$33/(1+E14/100)^10-Assumptions!$B$4)/Assumptions!$B$3</f>
        <v/>
      </c>
      <c r="F15" s="6">
        <f>(SUMPRODUCT(DCF_Base!$C$22:$L$22/(1+F14/100)^DCF_Base!$C$4:$L$4)+DCF_Base!$B$33/(1+F14/100)^10-Assumptions!$B$4)/Assumptions!$B$3</f>
        <v/>
      </c>
      <c r="G15" s="6">
        <f>(SUMPRODUCT(DCF_Base!$C$22:$L$22/(1+G14/100)^DCF_Base!$C$4:$L$4)+DCF_Base!$B$33/(1+G14/100)^10-Assumptions!$B$4)/Assumptions!$B$3</f>
        <v/>
      </c>
    </row>
    <row r="17">
      <c r="A17" s="1" t="inlineStr">
        <is>
          <t>Sensitivity: WACC (rows) x terminal growth (cols), base case, full TV recompute</t>
        </is>
      </c>
    </row>
    <row r="18">
      <c r="B18" s="4" t="n">
        <v>1</v>
      </c>
      <c r="C18" s="4" t="n">
        <v>1.5</v>
      </c>
      <c r="D18" s="4" t="n">
        <v>2</v>
      </c>
      <c r="E18" s="4" t="n">
        <v>2.5</v>
      </c>
      <c r="F18" s="4" t="n">
        <v>3</v>
      </c>
    </row>
    <row r="19">
      <c r="A19" s="4" t="n">
        <v>8.5</v>
      </c>
      <c r="B19" s="6">
        <f>IF($A$19&gt;B$18,(SUMPRODUCT(DCF_Base!$C$22:$L$22/(1+$A$19/100)^DCF_Base!$C$4:$L$4)+MAX(0,MIN(DCF_Base!$L$22*(1+B$18/100)/(($A$19-B$18)/100),Assumptions!$B$9*DCF_Base!$L$22))/(1+$A$19/100)^10-Assumptions!$B$4)/Assumptions!$B$3,"n/a")</f>
        <v/>
      </c>
      <c r="C19" s="6">
        <f>IF($A$19&gt;C$18,(SUMPRODUCT(DCF_Base!$C$22:$L$22/(1+$A$19/100)^DCF_Base!$C$4:$L$4)+MAX(0,MIN(DCF_Base!$L$22*(1+C$18/100)/(($A$19-C$18)/100),Assumptions!$B$9*DCF_Base!$L$22))/(1+$A$19/100)^10-Assumptions!$B$4)/Assumptions!$B$3,"n/a")</f>
        <v/>
      </c>
      <c r="D19" s="6">
        <f>IF($A$19&gt;D$18,(SUMPRODUCT(DCF_Base!$C$22:$L$22/(1+$A$19/100)^DCF_Base!$C$4:$L$4)+MAX(0,MIN(DCF_Base!$L$22*(1+D$18/100)/(($A$19-D$18)/100),Assumptions!$B$9*DCF_Base!$L$22))/(1+$A$19/100)^10-Assumptions!$B$4)/Assumptions!$B$3,"n/a")</f>
        <v/>
      </c>
      <c r="E19" s="6">
        <f>IF($A$19&gt;E$18,(SUMPRODUCT(DCF_Base!$C$22:$L$22/(1+$A$19/100)^DCF_Base!$C$4:$L$4)+MAX(0,MIN(DCF_Base!$L$22*(1+E$18/100)/(($A$19-E$18)/100),Assumptions!$B$9*DCF_Base!$L$22))/(1+$A$19/100)^10-Assumptions!$B$4)/Assumptions!$B$3,"n/a")</f>
        <v/>
      </c>
      <c r="F19" s="6">
        <f>IF($A$19&gt;F$18,(SUMPRODUCT(DCF_Base!$C$22:$L$22/(1+$A$19/100)^DCF_Base!$C$4:$L$4)+MAX(0,MIN(DCF_Base!$L$22*(1+F$18/100)/(($A$19-F$18)/100),Assumptions!$B$9*DCF_Base!$L$22))/(1+$A$19/100)^10-Assumptions!$B$4)/Assumptions!$B$3,"n/a")</f>
        <v/>
      </c>
    </row>
    <row r="20">
      <c r="A20" s="4" t="n">
        <v>9.5</v>
      </c>
      <c r="B20" s="6">
        <f>IF($A$20&gt;B$18,(SUMPRODUCT(DCF_Base!$C$22:$L$22/(1+$A$20/100)^DCF_Base!$C$4:$L$4)+MAX(0,MIN(DCF_Base!$L$22*(1+B$18/100)/(($A$20-B$18)/100),Assumptions!$B$9*DCF_Base!$L$22))/(1+$A$20/100)^10-Assumptions!$B$4)/Assumptions!$B$3,"n/a")</f>
        <v/>
      </c>
      <c r="C20" s="6">
        <f>IF($A$20&gt;C$18,(SUMPRODUCT(DCF_Base!$C$22:$L$22/(1+$A$20/100)^DCF_Base!$C$4:$L$4)+MAX(0,MIN(DCF_Base!$L$22*(1+C$18/100)/(($A$20-C$18)/100),Assumptions!$B$9*DCF_Base!$L$22))/(1+$A$20/100)^10-Assumptions!$B$4)/Assumptions!$B$3,"n/a")</f>
        <v/>
      </c>
      <c r="D20" s="6">
        <f>IF($A$20&gt;D$18,(SUMPRODUCT(DCF_Base!$C$22:$L$22/(1+$A$20/100)^DCF_Base!$C$4:$L$4)+MAX(0,MIN(DCF_Base!$L$22*(1+D$18/100)/(($A$20-D$18)/100),Assumptions!$B$9*DCF_Base!$L$22))/(1+$A$20/100)^10-Assumptions!$B$4)/Assumptions!$B$3,"n/a")</f>
        <v/>
      </c>
      <c r="E20" s="6">
        <f>IF($A$20&gt;E$18,(SUMPRODUCT(DCF_Base!$C$22:$L$22/(1+$A$20/100)^DCF_Base!$C$4:$L$4)+MAX(0,MIN(DCF_Base!$L$22*(1+E$18/100)/(($A$20-E$18)/100),Assumptions!$B$9*DCF_Base!$L$22))/(1+$A$20/100)^10-Assumptions!$B$4)/Assumptions!$B$3,"n/a")</f>
        <v/>
      </c>
      <c r="F20" s="6">
        <f>IF($A$20&gt;F$18,(SUMPRODUCT(DCF_Base!$C$22:$L$22/(1+$A$20/100)^DCF_Base!$C$4:$L$4)+MAX(0,MIN(DCF_Base!$L$22*(1+F$18/100)/(($A$20-F$18)/100),Assumptions!$B$9*DCF_Base!$L$22))/(1+$A$20/100)^10-Assumptions!$B$4)/Assumptions!$B$3,"n/a")</f>
        <v/>
      </c>
    </row>
    <row r="21">
      <c r="A21" s="4" t="n">
        <v>10.5</v>
      </c>
      <c r="B21" s="6">
        <f>IF($A$21&gt;B$18,(SUMPRODUCT(DCF_Base!$C$22:$L$22/(1+$A$21/100)^DCF_Base!$C$4:$L$4)+MAX(0,MIN(DCF_Base!$L$22*(1+B$18/100)/(($A$21-B$18)/100),Assumptions!$B$9*DCF_Base!$L$22))/(1+$A$21/100)^10-Assumptions!$B$4)/Assumptions!$B$3,"n/a")</f>
        <v/>
      </c>
      <c r="C21" s="6">
        <f>IF($A$21&gt;C$18,(SUMPRODUCT(DCF_Base!$C$22:$L$22/(1+$A$21/100)^DCF_Base!$C$4:$L$4)+MAX(0,MIN(DCF_Base!$L$22*(1+C$18/100)/(($A$21-C$18)/100),Assumptions!$B$9*DCF_Base!$L$22))/(1+$A$21/100)^10-Assumptions!$B$4)/Assumptions!$B$3,"n/a")</f>
        <v/>
      </c>
      <c r="D21" s="9">
        <f>IF($A$21&gt;D$18,(SUMPRODUCT(DCF_Base!$C$22:$L$22/(1+$A$21/100)^DCF_Base!$C$4:$L$4)+MAX(0,MIN(DCF_Base!$L$22*(1+D$18/100)/(($A$21-D$18)/100),Assumptions!$B$9*DCF_Base!$L$22))/(1+$A$21/100)^10-Assumptions!$B$4)/Assumptions!$B$3,"n/a")</f>
        <v/>
      </c>
      <c r="E21" s="6">
        <f>IF($A$21&gt;E$18,(SUMPRODUCT(DCF_Base!$C$22:$L$22/(1+$A$21/100)^DCF_Base!$C$4:$L$4)+MAX(0,MIN(DCF_Base!$L$22*(1+E$18/100)/(($A$21-E$18)/100),Assumptions!$B$9*DCF_Base!$L$22))/(1+$A$21/100)^10-Assumptions!$B$4)/Assumptions!$B$3,"n/a")</f>
        <v/>
      </c>
      <c r="F21" s="6">
        <f>IF($A$21&gt;F$18,(SUMPRODUCT(DCF_Base!$C$22:$L$22/(1+$A$21/100)^DCF_Base!$C$4:$L$4)+MAX(0,MIN(DCF_Base!$L$22*(1+F$18/100)/(($A$21-F$18)/100),Assumptions!$B$9*DCF_Base!$L$22))/(1+$A$21/100)^10-Assumptions!$B$4)/Assumptions!$B$3,"n/a")</f>
        <v/>
      </c>
    </row>
    <row r="22">
      <c r="A22" s="4" t="n">
        <v>11.5</v>
      </c>
      <c r="B22" s="6">
        <f>IF($A$22&gt;B$18,(SUMPRODUCT(DCF_Base!$C$22:$L$22/(1+$A$22/100)^DCF_Base!$C$4:$L$4)+MAX(0,MIN(DCF_Base!$L$22*(1+B$18/100)/(($A$22-B$18)/100),Assumptions!$B$9*DCF_Base!$L$22))/(1+$A$22/100)^10-Assumptions!$B$4)/Assumptions!$B$3,"n/a")</f>
        <v/>
      </c>
      <c r="C22" s="6">
        <f>IF($A$22&gt;C$18,(SUMPRODUCT(DCF_Base!$C$22:$L$22/(1+$A$22/100)^DCF_Base!$C$4:$L$4)+MAX(0,MIN(DCF_Base!$L$22*(1+C$18/100)/(($A$22-C$18)/100),Assumptions!$B$9*DCF_Base!$L$22))/(1+$A$22/100)^10-Assumptions!$B$4)/Assumptions!$B$3,"n/a")</f>
        <v/>
      </c>
      <c r="D22" s="6">
        <f>IF($A$22&gt;D$18,(SUMPRODUCT(DCF_Base!$C$22:$L$22/(1+$A$22/100)^DCF_Base!$C$4:$L$4)+MAX(0,MIN(DCF_Base!$L$22*(1+D$18/100)/(($A$22-D$18)/100),Assumptions!$B$9*DCF_Base!$L$22))/(1+$A$22/100)^10-Assumptions!$B$4)/Assumptions!$B$3,"n/a")</f>
        <v/>
      </c>
      <c r="E22" s="6">
        <f>IF($A$22&gt;E$18,(SUMPRODUCT(DCF_Base!$C$22:$L$22/(1+$A$22/100)^DCF_Base!$C$4:$L$4)+MAX(0,MIN(DCF_Base!$L$22*(1+E$18/100)/(($A$22-E$18)/100),Assumptions!$B$9*DCF_Base!$L$22))/(1+$A$22/100)^10-Assumptions!$B$4)/Assumptions!$B$3,"n/a")</f>
        <v/>
      </c>
      <c r="F22" s="6">
        <f>IF($A$22&gt;F$18,(SUMPRODUCT(DCF_Base!$C$22:$L$22/(1+$A$22/100)^DCF_Base!$C$4:$L$4)+MAX(0,MIN(DCF_Base!$L$22*(1+F$18/100)/(($A$22-F$18)/100),Assumptions!$B$9*DCF_Base!$L$22))/(1+$A$22/100)^10-Assumptions!$B$4)/Assumptions!$B$3,"n/a")</f>
        <v/>
      </c>
    </row>
    <row r="23">
      <c r="A23" s="4" t="n">
        <v>12.5</v>
      </c>
      <c r="B23" s="6">
        <f>IF($A$23&gt;B$18,(SUMPRODUCT(DCF_Base!$C$22:$L$22/(1+$A$23/100)^DCF_Base!$C$4:$L$4)+MAX(0,MIN(DCF_Base!$L$22*(1+B$18/100)/(($A$23-B$18)/100),Assumptions!$B$9*DCF_Base!$L$22))/(1+$A$23/100)^10-Assumptions!$B$4)/Assumptions!$B$3,"n/a")</f>
        <v/>
      </c>
      <c r="C23" s="6">
        <f>IF($A$23&gt;C$18,(SUMPRODUCT(DCF_Base!$C$22:$L$22/(1+$A$23/100)^DCF_Base!$C$4:$L$4)+MAX(0,MIN(DCF_Base!$L$22*(1+C$18/100)/(($A$23-C$18)/100),Assumptions!$B$9*DCF_Base!$L$22))/(1+$A$23/100)^10-Assumptions!$B$4)/Assumptions!$B$3,"n/a")</f>
        <v/>
      </c>
      <c r="D23" s="6">
        <f>IF($A$23&gt;D$18,(SUMPRODUCT(DCF_Base!$C$22:$L$22/(1+$A$23/100)^DCF_Base!$C$4:$L$4)+MAX(0,MIN(DCF_Base!$L$22*(1+D$18/100)/(($A$23-D$18)/100),Assumptions!$B$9*DCF_Base!$L$22))/(1+$A$23/100)^10-Assumptions!$B$4)/Assumptions!$B$3,"n/a")</f>
        <v/>
      </c>
      <c r="E23" s="6">
        <f>IF($A$23&gt;E$18,(SUMPRODUCT(DCF_Base!$C$22:$L$22/(1+$A$23/100)^DCF_Base!$C$4:$L$4)+MAX(0,MIN(DCF_Base!$L$22*(1+E$18/100)/(($A$23-E$18)/100),Assumptions!$B$9*DCF_Base!$L$22))/(1+$A$23/100)^10-Assumptions!$B$4)/Assumptions!$B$3,"n/a")</f>
        <v/>
      </c>
      <c r="F23" s="6">
        <f>IF($A$23&gt;F$18,(SUMPRODUCT(DCF_Base!$C$22:$L$22/(1+$A$23/100)^DCF_Base!$C$4:$L$4)+MAX(0,MIN(DCF_Base!$L$22*(1+F$18/100)/(($A$23-F$18)/100),Assumptions!$B$9*DCF_Base!$L$22))/(1+$A$23/100)^10-Assumptions!$B$4)/Assumptions!$B$3,"n/a")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2026-08-27T11:58:33Z</dcterms:created>
  <dcterms:modified xsi:type="dcterms:W3CDTF">2026-08-27T11:58:33Z</dcterms:modified>
</cp:coreProperties>
</file>