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<sst xmlns="http://schemas.openxmlformats.org/spreadsheetml/2006/main" count="387" uniqueCount="174">
  <si>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</si>
  <si>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TXT</t>
  </si>
  <si>
    <t xml:space="preserve">Company</t>
  </si>
  <si>
    <t xml:space="preserve">Textron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</si>
  <si>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</si>
  <si>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</si>
  <si>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</si>
  <si>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</si>
  <si>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chart API)</t>
  </si>
  <si>
    <t xml:space="preserve">Balance sheet date</t>
  </si>
  <si>
    <t xml:space="preserve">2026-07-04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</si>
  <si>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</si>
  <si>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</si>
  <si>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</si>
  <si>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</si>
  <si>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</si>
  <si>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</si>
  <si>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</si>
  <si>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</si>
  <si>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</si>
  <si>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</si>
  <si>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2026-10-02T09:56:06Z</t>
  </si>
  <si>
    <t xml:space="preserve">Drivers file</t>
  </si>
  <si>
    <t xml:space="preserve">TXT_Drivers.json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</si>
  <si>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</si>
  <si>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</si>
  <si>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</si>
  <si>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consolidated manufacturing business on owner FCF (SBC expensed, share count flat), with the captive Finance group and a haircut pension surplus added in the bridge and manufacturing net debt deducted. The Industrial separation is treated as value-neutral (no conglomerate-discount unwind is credited), so any re-rating of the pure-play aerospace &amp; defense remainco is upside to this model, not in it. Terminal value is capped at 14x FCF for a cyclical with a defense core.
key_risks_to_valuation: Business-jet cycle: Aviation is ~41% of revenue and most of the profit growth; MV-75/FLRAA funding and execution: the Bell growth and margin path depends on annual Army appropriations; Separation execution: structure (spin vs sale), tax leakage on a sale, stranded costs; Cash-tax normalization: FY2025 cash taxes were 9% of pretax; the ramp to 19% is an assumption; Pension surplus credit (35% of $2.6B) depends on rates and on Textron being able to use it</t>
  </si>
  <si>
    <t xml:space="preserve">Data sources</t>
  </si>
  <si>
    <t xml:space="preserve">price: Yahoo Finance chart API at inputs.price_as_of; 52-week range 75.51-101.57
financials: TXT_Metrics.csv (SEC XBRL) for history; SEC EDGAR FY2025 10-K (txt-20260103.htm, filed 2026-02-11) for segment profit reconciliation, cash taxes, pension funded status, SBC; Q2-2026 10-Q (txt-20260704.htm, filed 2026-07-28) for the balance sheet, manufacturing/finance group debt and cash, buybacks and share counts
qualitative: TXT_Analysis.json (2026-10-02): FY2026 guidance, Industrial separation, CEO transition, MV-75</t>
  </si>
  <si>
    <t xml:space="preserve">Scenario narrative: bear</t>
  </si>
  <si>
    <t xml:space="preserve">The business-jet cycle turns: corporate profits and used-aircraft values soften from FY2027, Citation deliveries fall and revenue declines 2% in year 3 with margin dropping to ~8.4% on under-absorption. In parallel MV-75 appropriations slip (management already flags $0.20-0.30 of EPS and $150-250M of cash at risk on the FY26 reprogramming alone), Bell carries the Fort Worth factory without the volume, and the Industrial separation leaves ~40bp of stranded cost. Recovery to ~9.6% margin and 2.5-3% growth only from year 5. Inventory-heavy working capital consumes 18% of incremental revenue.</t>
  </si>
  <si>
    <t xml:space="preserve">Scenario narrative: base</t>
  </si>
  <si>
    <t xml:space="preserve">Textron converts its $18.9B backlog at roughly the 5% revenue CAGR of the last five years: FY2026 +6% (H1 +7.1%, guided adjusted EPS $6.40-6.60), then 5% as Bell's MV-75 ramps from engineering-and-manufacturing development toward low-rate production and Citation deliveries hold up on Ascend/Longitude demand, decelerating to 3% by year 8. Pre-SBC EBITDA margin climbs from 9.6% to ~11.7% as Aviation captures its ~$150M productivity opportunity and Bell's mix moves from lower-margin MV-75 development work to production; FY2027 is held back ~20bp for separation and stranded corporate cost. MV-75 factory capex keeps capex at 3.4% of revenue for two years, and the FY2026 reprogramming request is assumed received, as guidance assumes. The Industrial separation is value-neutral.</t>
  </si>
  <si>
    <t xml:space="preserve">Scenario narrative: bull</t>
  </si>
  <si>
    <t xml:space="preserve">MV-75 is funded on schedule and turns Bell into a growth business for the next decade (the ~$70B lifetime program value starts to flow), the business-jet upcycle extends with Citation aftermarket compounding on a larger fleet, and the pure-play aerospace &amp; defense company runs at ~13% EBITDA margin by year 6. Growth runs 7% for three years before fading to 3%. No re-rating is credited: the upside is flows, not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</si>
  <si>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</si>
  <si>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</si>
  <si>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</si>
  <si>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</si>
  <si>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</si>
  <si>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</si>
  <si>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</si>
  <si>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</si>
  <si>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</si>
  <si>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</si>
  <si>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</si>
  <si>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</si>
  <si>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</si>
  <si>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</si>
  <si>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</si>
  <si>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</si>
  <si>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</si>
  <si>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</si>
  <si>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</si>
  <si>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</si>
  <si>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</si>
  <si>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</si>
  <si>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</si>
  <si>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</si>
  <si>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</si>
  <si>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</si>
  <si>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</si>
  <si>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</si>
  <si>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</si>
  <si>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</si>
  <si>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</si>
  <si>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</si>
  <si>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</si>
  <si>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</si>
  <si>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</si>
  <si>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</si>
  <si>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</si>
  <si>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</si>
  <si>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</si>
  <si>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</si>
  <si>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</si>
  <si>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</si>
  <si>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</si>
  <si>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</si>
  <si>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</si>
  <si>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</si>
  <si>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</si>
  <si>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</si>
  <si>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</si>
  <si>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</si>
  <si>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</si>
  <si>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</si>
  <si>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</si>
  <si>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</si>
  <si>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</si>
  <si>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</si>
  <si>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</si>
  <si>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</si>
  <si>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</si>
  <si>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</si>
  <si>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</si>
  <si>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</si>
  <si>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</si>
  <si>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</si>
  <si>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</si>
  <si>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</si>
  <si>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</si>
  <si>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</si>
  <si>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</si>
  <si>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</si>
  <si>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</si>
  <si>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</si>
  <si>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</si>
  <si>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</si>
  <si>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</si>
  <si>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</si>
  <si>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</si>
  <si>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</si>
  <si>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</si>
  <si>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</si>
  <si>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</si>
  <si>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</si>
  <si>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</si>
  <si>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TXT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</si>
  <si>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</si>
  <si>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</si>
  <si>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</si>
  <si>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</si>
  <si>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</si>
  <si>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</si>
  <si>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</si>
  <si>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</si>
  <si>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</si>
  <si>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</si>
  <si>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</si>
  <si>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</si>
  <si>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</si>
  <si>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</si>
  <si>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</si>
  <si>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</si>
  <si>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</si>
  <si>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</si>
  <si>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</si>
  <si>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</si>
  <si>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</si>
  <si>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</si>
  <si>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</si>
  <si>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</si>
  <si>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</si>
  <si>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</si>
  <si>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</si>
  <si>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</si>
  <si>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</si>
  <si>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</si>
  <si>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TXT owner-FCF component DCF: base case (millions, USD)</t>
  </si>
  <si>
    <t xml:space="preserve">TXT owner-FCF component DCF: bull case (millions, USD)</t>
  </si>
  <si>
    <t xml:space="preserve">TXT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</si>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</sst>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77.17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3507</v>
      </c>
      <c r="S2" s="0" t="n">
        <v>531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14010</v>
      </c>
      <c r="C3" s="0" t="n">
        <v>10583</v>
      </c>
      <c r="I3" s="0" t="n">
        <v>486</v>
      </c>
      <c r="J3" s="0" t="n">
        <v>3.46895074946467</v>
      </c>
      <c r="K3" s="0" t="n">
        <v>1.97</v>
      </c>
      <c r="L3" s="0" t="n">
        <v>750</v>
      </c>
      <c r="M3" s="0" t="n">
        <v>545</v>
      </c>
      <c r="N3" s="0" t="n">
        <v>205</v>
      </c>
      <c r="O3" s="0" t="n">
        <v>2366</v>
      </c>
      <c r="S3" s="0" t="n">
        <v>547</v>
      </c>
      <c r="T3" s="0" t="n">
        <v>242.041</v>
      </c>
      <c r="V3" s="0" t="n">
        <v>0.08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10500</v>
      </c>
      <c r="C4" s="0" t="n">
        <v>8468</v>
      </c>
      <c r="I4" s="0" t="n">
        <v>-31</v>
      </c>
      <c r="J4" s="0" t="n">
        <v>-0.295238095238095</v>
      </c>
      <c r="K4" s="0" t="n">
        <v>-0.12</v>
      </c>
      <c r="L4" s="0" t="n">
        <v>1015</v>
      </c>
      <c r="M4" s="0" t="n">
        <v>238</v>
      </c>
      <c r="N4" s="0" t="n">
        <v>777</v>
      </c>
      <c r="O4" s="0" t="n">
        <v>2826</v>
      </c>
      <c r="P4" s="0" t="n">
        <v>18940</v>
      </c>
      <c r="Q4" s="0" t="n">
        <v>16114</v>
      </c>
      <c r="S4" s="0" t="n">
        <v>1892</v>
      </c>
      <c r="T4" s="0" t="n">
        <v>272.272</v>
      </c>
      <c r="U4" s="0" t="n">
        <v>83</v>
      </c>
      <c r="V4" s="0" t="n">
        <v>0.08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10525</v>
      </c>
      <c r="C5" s="0" t="n">
        <v>8605</v>
      </c>
      <c r="I5" s="0" t="n">
        <v>86</v>
      </c>
      <c r="J5" s="0" t="n">
        <v>0.817102137767221</v>
      </c>
      <c r="K5" s="0" t="n">
        <v>0.31</v>
      </c>
      <c r="L5" s="0" t="n">
        <v>984</v>
      </c>
      <c r="M5" s="0" t="n">
        <v>270</v>
      </c>
      <c r="N5" s="0" t="n">
        <v>714</v>
      </c>
      <c r="O5" s="0" t="n">
        <v>2972</v>
      </c>
      <c r="P5" s="0" t="n">
        <v>15282</v>
      </c>
      <c r="Q5" s="0" t="n">
        <v>12310</v>
      </c>
      <c r="S5" s="0" t="n">
        <v>931</v>
      </c>
      <c r="T5" s="0" t="n">
        <v>275.739</v>
      </c>
      <c r="U5" s="0" t="n">
        <v>85</v>
      </c>
      <c r="V5" s="0" t="n">
        <v>0.08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11275</v>
      </c>
      <c r="C6" s="0" t="n">
        <v>9308</v>
      </c>
      <c r="I6" s="0" t="n">
        <v>242</v>
      </c>
      <c r="J6" s="0" t="n">
        <v>2.14634146341463</v>
      </c>
      <c r="K6" s="0" t="n">
        <v>0.87</v>
      </c>
      <c r="L6" s="0" t="n">
        <v>1063</v>
      </c>
      <c r="M6" s="0" t="n">
        <v>423</v>
      </c>
      <c r="N6" s="0" t="n">
        <v>640</v>
      </c>
      <c r="O6" s="0" t="n">
        <v>2745</v>
      </c>
      <c r="P6" s="0" t="n">
        <v>13615</v>
      </c>
      <c r="Q6" s="0" t="n">
        <v>10870</v>
      </c>
      <c r="S6" s="0" t="n">
        <v>885</v>
      </c>
      <c r="T6" s="0" t="n">
        <v>278.873</v>
      </c>
      <c r="U6" s="0" t="n">
        <v>50</v>
      </c>
      <c r="V6" s="0" t="n">
        <v>0.08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12237</v>
      </c>
      <c r="C7" s="0" t="n">
        <v>10019</v>
      </c>
      <c r="I7" s="0" t="n">
        <v>589</v>
      </c>
      <c r="J7" s="0" t="n">
        <v>4.81327122660783</v>
      </c>
      <c r="K7" s="0" t="n">
        <v>2.1</v>
      </c>
      <c r="L7" s="0" t="n">
        <v>927</v>
      </c>
      <c r="M7" s="0" t="n">
        <v>480</v>
      </c>
      <c r="N7" s="0" t="n">
        <v>447</v>
      </c>
      <c r="O7" s="0" t="n">
        <v>2991</v>
      </c>
      <c r="P7" s="0" t="n">
        <v>13033</v>
      </c>
      <c r="Q7" s="0" t="n">
        <v>10042</v>
      </c>
      <c r="S7" s="0" t="n">
        <v>1413</v>
      </c>
      <c r="T7" s="0" t="n">
        <v>271.263</v>
      </c>
      <c r="U7" s="0" t="n">
        <v>71</v>
      </c>
      <c r="V7" s="0" t="n">
        <v>0.08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12104</v>
      </c>
      <c r="C8" s="0" t="n">
        <v>10131</v>
      </c>
      <c r="I8" s="0" t="n">
        <v>498</v>
      </c>
      <c r="J8" s="0" t="n">
        <v>4.11434236615995</v>
      </c>
      <c r="K8" s="0" t="n">
        <v>1.78</v>
      </c>
      <c r="L8" s="0" t="n">
        <v>810</v>
      </c>
      <c r="M8" s="0" t="n">
        <v>444</v>
      </c>
      <c r="N8" s="0" t="n">
        <v>366</v>
      </c>
      <c r="O8" s="0" t="n">
        <v>4384</v>
      </c>
      <c r="P8" s="0" t="n">
        <v>12944</v>
      </c>
      <c r="Q8" s="0" t="n">
        <v>8560</v>
      </c>
      <c r="S8" s="0" t="n">
        <v>1211</v>
      </c>
      <c r="T8" s="0" t="n">
        <v>282.059</v>
      </c>
      <c r="U8" s="0" t="n">
        <v>86</v>
      </c>
      <c r="V8" s="0" t="n">
        <v>0.08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13878</v>
      </c>
      <c r="C9" s="0" t="n">
        <v>11421</v>
      </c>
      <c r="I9" s="0" t="n">
        <v>600</v>
      </c>
      <c r="J9" s="0" t="n">
        <v>4.32338953739732</v>
      </c>
      <c r="K9" s="0" t="n">
        <v>2.15</v>
      </c>
      <c r="L9" s="0" t="n">
        <v>1208</v>
      </c>
      <c r="M9" s="0" t="n">
        <v>429</v>
      </c>
      <c r="N9" s="0" t="n">
        <v>779</v>
      </c>
      <c r="O9" s="0" t="n">
        <v>4272</v>
      </c>
      <c r="P9" s="0" t="n">
        <v>14605</v>
      </c>
      <c r="Q9" s="0" t="n">
        <v>10333</v>
      </c>
      <c r="S9" s="0" t="n">
        <v>822</v>
      </c>
      <c r="T9" s="0" t="n">
        <v>274.228</v>
      </c>
      <c r="U9" s="0" t="n">
        <v>85</v>
      </c>
      <c r="V9" s="0" t="n">
        <v>0.08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13423</v>
      </c>
      <c r="C10" s="0" t="n">
        <v>10979</v>
      </c>
      <c r="I10" s="0" t="n">
        <v>697</v>
      </c>
      <c r="J10" s="0" t="n">
        <v>5.19257990017135</v>
      </c>
      <c r="K10" s="0" t="n">
        <v>2.52</v>
      </c>
      <c r="L10" s="0" t="n">
        <v>1090</v>
      </c>
      <c r="M10" s="0" t="n">
        <v>420</v>
      </c>
      <c r="N10" s="0" t="n">
        <v>670</v>
      </c>
      <c r="O10" s="0" t="n">
        <v>4964</v>
      </c>
      <c r="P10" s="0" t="n">
        <v>14708</v>
      </c>
      <c r="Q10" s="0" t="n">
        <v>9744</v>
      </c>
      <c r="S10" s="0" t="n">
        <v>1005</v>
      </c>
      <c r="T10" s="0" t="n">
        <v>278.727</v>
      </c>
      <c r="U10" s="0" t="n">
        <v>63</v>
      </c>
      <c r="V10" s="0" t="n">
        <v>0.08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13788</v>
      </c>
      <c r="C11" s="0" t="n">
        <v>11337</v>
      </c>
      <c r="I11" s="0" t="n">
        <v>962</v>
      </c>
      <c r="J11" s="0" t="n">
        <v>6.97708152016246</v>
      </c>
      <c r="K11" s="0" t="n">
        <v>3.55</v>
      </c>
      <c r="L11" s="0" t="n">
        <v>925</v>
      </c>
      <c r="M11" s="0" t="n">
        <v>446</v>
      </c>
      <c r="N11" s="0" t="n">
        <v>479</v>
      </c>
      <c r="O11" s="0" t="n">
        <v>5574</v>
      </c>
      <c r="P11" s="0" t="n">
        <v>15358</v>
      </c>
      <c r="Q11" s="0" t="n">
        <v>9784</v>
      </c>
      <c r="S11" s="0" t="n">
        <v>1298</v>
      </c>
      <c r="T11" s="0" t="n">
        <v>270.287</v>
      </c>
      <c r="U11" s="0" t="n">
        <v>71</v>
      </c>
      <c r="V11" s="0" t="n">
        <v>0.08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14198</v>
      </c>
      <c r="C12" s="0" t="n">
        <v>11827</v>
      </c>
      <c r="I12" s="0" t="n">
        <v>307</v>
      </c>
      <c r="J12" s="0" t="n">
        <v>2.1622763769545</v>
      </c>
      <c r="K12" s="0" t="n">
        <v>1.15</v>
      </c>
      <c r="L12" s="0" t="n">
        <v>936</v>
      </c>
      <c r="M12" s="0" t="n">
        <v>423</v>
      </c>
      <c r="N12" s="0" t="n">
        <v>513</v>
      </c>
      <c r="O12" s="0" t="n">
        <v>5647</v>
      </c>
      <c r="P12" s="0" t="n">
        <v>15340</v>
      </c>
      <c r="Q12" s="0" t="n">
        <v>9693</v>
      </c>
      <c r="S12" s="0" t="n">
        <v>1262</v>
      </c>
      <c r="T12" s="0" t="n">
        <v>261.471</v>
      </c>
      <c r="U12" s="0" t="n">
        <v>77</v>
      </c>
      <c r="V12" s="0" t="n">
        <v>0.08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13972</v>
      </c>
      <c r="C13" s="0" t="n">
        <v>11594</v>
      </c>
      <c r="I13" s="0" t="n">
        <v>1222</v>
      </c>
      <c r="J13" s="0" t="n">
        <v>8.74606355568279</v>
      </c>
      <c r="K13" s="0" t="n">
        <v>4.88</v>
      </c>
      <c r="L13" s="0" t="n">
        <v>1107</v>
      </c>
      <c r="M13" s="0" t="n">
        <v>369</v>
      </c>
      <c r="N13" s="0" t="n">
        <v>738</v>
      </c>
      <c r="O13" s="0" t="n">
        <v>5192</v>
      </c>
      <c r="P13" s="0" t="n">
        <v>14264</v>
      </c>
      <c r="Q13" s="0" t="n">
        <v>9072</v>
      </c>
      <c r="T13" s="0" t="n">
        <v>235.621</v>
      </c>
      <c r="U13" s="0" t="n">
        <v>35</v>
      </c>
      <c r="V13" s="0" t="n">
        <v>0.08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13630</v>
      </c>
      <c r="C14" s="0" t="n">
        <v>11406</v>
      </c>
      <c r="I14" s="0" t="n">
        <v>815</v>
      </c>
      <c r="J14" s="0" t="n">
        <v>5.97945707997065</v>
      </c>
      <c r="L14" s="0" t="n">
        <v>1014</v>
      </c>
      <c r="M14" s="0" t="n">
        <v>339</v>
      </c>
      <c r="N14" s="0" t="n">
        <v>675</v>
      </c>
      <c r="O14" s="0" t="n">
        <v>5518</v>
      </c>
      <c r="P14" s="0" t="n">
        <v>15018</v>
      </c>
      <c r="Q14" s="0" t="n">
        <v>9500</v>
      </c>
      <c r="T14" s="0" t="n">
        <v>227.956</v>
      </c>
      <c r="U14" s="0" t="n">
        <v>52</v>
      </c>
      <c r="V14" s="0" t="n">
        <v>0.08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11651</v>
      </c>
      <c r="C15" s="0" t="n">
        <v>10094</v>
      </c>
      <c r="I15" s="0" t="n">
        <v>309</v>
      </c>
      <c r="J15" s="0" t="n">
        <v>2.65213286413183</v>
      </c>
      <c r="L15" s="0" t="n">
        <v>768</v>
      </c>
      <c r="M15" s="0" t="n">
        <v>317</v>
      </c>
      <c r="N15" s="0" t="n">
        <v>451</v>
      </c>
      <c r="O15" s="0" t="n">
        <v>5845</v>
      </c>
      <c r="P15" s="0" t="n">
        <v>15443</v>
      </c>
      <c r="Q15" s="0" t="n">
        <v>9598</v>
      </c>
      <c r="T15" s="0" t="n">
        <v>226.444</v>
      </c>
      <c r="U15" s="0" t="n">
        <v>57</v>
      </c>
      <c r="V15" s="0" t="n">
        <v>0.08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12382</v>
      </c>
      <c r="I16" s="0" t="n">
        <v>746</v>
      </c>
      <c r="J16" s="0" t="n">
        <v>6.02487481828461</v>
      </c>
      <c r="K16" s="0" t="n">
        <v>3.33</v>
      </c>
      <c r="L16" s="0" t="n">
        <v>1598</v>
      </c>
      <c r="M16" s="0" t="n">
        <v>375</v>
      </c>
      <c r="N16" s="0" t="n">
        <v>1223</v>
      </c>
      <c r="O16" s="0" t="n">
        <v>6815</v>
      </c>
      <c r="P16" s="0" t="n">
        <v>15827</v>
      </c>
      <c r="Q16" s="0" t="n">
        <v>9012</v>
      </c>
      <c r="T16" s="0" t="n">
        <v>216.935</v>
      </c>
      <c r="U16" s="0" t="n">
        <v>138</v>
      </c>
      <c r="V16" s="0" t="n">
        <v>0.08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12869</v>
      </c>
      <c r="I17" s="0" t="n">
        <v>861</v>
      </c>
      <c r="J17" s="0" t="n">
        <v>6.69049654207786</v>
      </c>
      <c r="K17" s="0" t="n">
        <v>4.05</v>
      </c>
      <c r="L17" s="0" t="n">
        <v>1488</v>
      </c>
      <c r="M17" s="0" t="n">
        <v>354</v>
      </c>
      <c r="N17" s="0" t="n">
        <v>1134</v>
      </c>
      <c r="O17" s="0" t="n">
        <v>7113</v>
      </c>
      <c r="P17" s="0" t="n">
        <v>16293</v>
      </c>
      <c r="Q17" s="0" t="n">
        <v>9180</v>
      </c>
      <c r="T17" s="0" t="n">
        <v>206.161</v>
      </c>
      <c r="U17" s="0" t="n">
        <v>66</v>
      </c>
      <c r="V17" s="0" t="n">
        <v>0.08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13683</v>
      </c>
      <c r="I18" s="0" t="n">
        <v>921</v>
      </c>
      <c r="J18" s="0" t="n">
        <v>6.73098004823504</v>
      </c>
      <c r="K18" s="0" t="n">
        <v>4.61</v>
      </c>
      <c r="L18" s="0" t="n">
        <v>1266</v>
      </c>
      <c r="M18" s="0" t="n">
        <v>402</v>
      </c>
      <c r="N18" s="0" t="n">
        <v>864</v>
      </c>
      <c r="O18" s="0" t="n">
        <v>6987</v>
      </c>
      <c r="P18" s="0" t="n">
        <v>16856</v>
      </c>
      <c r="Q18" s="0" t="n">
        <v>9869</v>
      </c>
      <c r="T18" s="0" t="n">
        <v>201.774</v>
      </c>
      <c r="U18" s="0" t="n">
        <v>94</v>
      </c>
      <c r="V18" s="0" t="n">
        <v>0.08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13702</v>
      </c>
      <c r="I19" s="0" t="n">
        <v>824</v>
      </c>
      <c r="J19" s="0" t="n">
        <v>6.01372062472632</v>
      </c>
      <c r="K19" s="0" t="n">
        <v>4.38</v>
      </c>
      <c r="L19" s="0" t="n">
        <v>1014</v>
      </c>
      <c r="M19" s="0" t="n">
        <v>364</v>
      </c>
      <c r="N19" s="0" t="n">
        <v>650</v>
      </c>
      <c r="O19" s="0" t="n">
        <v>7204</v>
      </c>
      <c r="P19" s="0" t="n">
        <v>16838</v>
      </c>
      <c r="Q19" s="0" t="n">
        <v>9634</v>
      </c>
      <c r="T19" s="0" t="n">
        <v>190.307</v>
      </c>
      <c r="U19" s="0" t="n">
        <v>66</v>
      </c>
      <c r="V19" s="0" t="n">
        <v>0.08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14799</v>
      </c>
      <c r="I20" s="0" t="n">
        <v>921</v>
      </c>
      <c r="J20" s="0" t="n">
        <v>6.22339347253193</v>
      </c>
      <c r="K20" s="0" t="n">
        <v>5.15</v>
      </c>
      <c r="L20" s="0" t="n">
        <v>1312</v>
      </c>
      <c r="M20" s="0" t="n">
        <v>383</v>
      </c>
      <c r="N20" s="0" t="n">
        <v>929</v>
      </c>
      <c r="O20" s="0" t="n">
        <v>7875</v>
      </c>
      <c r="P20" s="0" t="n">
        <v>18129</v>
      </c>
      <c r="Q20" s="0" t="n">
        <v>10254</v>
      </c>
      <c r="T20" s="0" t="n">
        <v>180.258</v>
      </c>
      <c r="U20" s="0" t="n">
        <v>81</v>
      </c>
      <c r="V20" s="0" t="n">
        <v>0.08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77.17</v>
      </c>
    </row>
    <row r="3" customFormat="false" ht="15" hidden="false" customHeight="false" outlineLevel="0" collapsed="false">
      <c r="A3" s="0" t="s">
        <v>85</v>
      </c>
      <c r="B3" s="3" t="n">
        <v>173.5</v>
      </c>
    </row>
    <row r="4" customFormat="false" ht="15" hidden="false" customHeight="false" outlineLevel="0" collapsed="false">
      <c r="A4" s="0" t="s">
        <v>86</v>
      </c>
      <c r="B4" s="3" t="n">
        <v>2030</v>
      </c>
    </row>
    <row r="5" customFormat="false" ht="15" hidden="false" customHeight="false" outlineLevel="0" collapsed="false">
      <c r="A5" s="0" t="s">
        <v>87</v>
      </c>
      <c r="B5" s="3" t="n">
        <v>1147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14799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4</v>
      </c>
      <c r="D13" s="3" t="n">
        <v>1</v>
      </c>
      <c r="E13" s="3" t="n">
        <v>-2</v>
      </c>
      <c r="F13" s="3" t="n">
        <v>1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9.4</v>
      </c>
      <c r="D14" s="3" t="n">
        <v>9</v>
      </c>
      <c r="E14" s="3" t="n">
        <v>8.4</v>
      </c>
      <c r="F14" s="3" t="n">
        <v>8.6</v>
      </c>
      <c r="G14" s="3" t="n">
        <v>9</v>
      </c>
      <c r="H14" s="3" t="n">
        <v>9.3</v>
      </c>
      <c r="I14" s="3" t="n">
        <v>9.5</v>
      </c>
      <c r="J14" s="3" t="n">
        <v>9.6</v>
      </c>
      <c r="K14" s="3" t="n">
        <v>9.6</v>
      </c>
      <c r="L14" s="3" t="n">
        <v>9.6</v>
      </c>
    </row>
    <row r="15" customFormat="false" ht="15" hidden="false" customHeight="false" outlineLevel="0" collapsed="false">
      <c r="A15" s="0" t="s">
        <v>107</v>
      </c>
      <c r="C15" s="3" t="n">
        <v>0.55</v>
      </c>
      <c r="D15" s="3" t="n">
        <v>0.55</v>
      </c>
      <c r="E15" s="3" t="n">
        <v>0.55</v>
      </c>
      <c r="F15" s="3" t="n">
        <v>0.55</v>
      </c>
      <c r="G15" s="3" t="n">
        <v>0.55</v>
      </c>
      <c r="H15" s="3" t="n">
        <v>0.55</v>
      </c>
      <c r="I15" s="3" t="n">
        <v>0.55</v>
      </c>
      <c r="J15" s="3" t="n">
        <v>0.55</v>
      </c>
      <c r="K15" s="3" t="n">
        <v>0.55</v>
      </c>
      <c r="L15" s="3" t="n">
        <v>0.55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2.75</v>
      </c>
      <c r="D17" s="3" t="n">
        <v>2.8</v>
      </c>
      <c r="E17" s="3" t="n">
        <v>2.9</v>
      </c>
      <c r="F17" s="3" t="n">
        <v>3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110</v>
      </c>
      <c r="C18" s="3" t="n">
        <v>3.4</v>
      </c>
      <c r="D18" s="3" t="n">
        <v>3.4</v>
      </c>
      <c r="E18" s="3" t="n">
        <v>3.2</v>
      </c>
      <c r="F18" s="3" t="n">
        <v>3</v>
      </c>
      <c r="G18" s="3" t="n">
        <v>2.9</v>
      </c>
      <c r="H18" s="3" t="n">
        <v>2.9</v>
      </c>
      <c r="I18" s="3" t="n">
        <v>2.9</v>
      </c>
      <c r="J18" s="3" t="n">
        <v>2.9</v>
      </c>
      <c r="K18" s="3" t="n">
        <v>2.9</v>
      </c>
      <c r="L18" s="3" t="n">
        <v>2.9</v>
      </c>
    </row>
    <row r="19" customFormat="false" ht="15" hidden="false" customHeight="false" outlineLevel="0" collapsed="false">
      <c r="A19" s="0" t="s">
        <v>111</v>
      </c>
      <c r="C19" s="3" t="n">
        <v>14</v>
      </c>
      <c r="D19" s="3" t="n">
        <v>16</v>
      </c>
      <c r="E19" s="3" t="n">
        <v>17</v>
      </c>
      <c r="F19" s="3" t="n">
        <v>18</v>
      </c>
      <c r="G19" s="3" t="n">
        <v>18.5</v>
      </c>
      <c r="H19" s="3" t="n">
        <v>19</v>
      </c>
      <c r="I19" s="3" t="n">
        <v>19</v>
      </c>
      <c r="J19" s="3" t="n">
        <v>19</v>
      </c>
      <c r="K19" s="3" t="n">
        <v>19</v>
      </c>
      <c r="L19" s="3" t="n">
        <v>19</v>
      </c>
    </row>
    <row r="20" customFormat="false" ht="15" hidden="false" customHeight="false" outlineLevel="0" collapsed="false">
      <c r="A20" s="0" t="s">
        <v>112</v>
      </c>
      <c r="B20" s="3" t="n">
        <v>8.5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-18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6</v>
      </c>
      <c r="D27" s="3" t="n">
        <v>5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9.8</v>
      </c>
      <c r="D28" s="3" t="n">
        <v>10</v>
      </c>
      <c r="E28" s="3" t="n">
        <v>10.6</v>
      </c>
      <c r="F28" s="3" t="n">
        <v>11</v>
      </c>
      <c r="G28" s="3" t="n">
        <v>11.3</v>
      </c>
      <c r="H28" s="3" t="n">
        <v>11.5</v>
      </c>
      <c r="I28" s="3" t="n">
        <v>11.6</v>
      </c>
      <c r="J28" s="3" t="n">
        <v>11.7</v>
      </c>
      <c r="K28" s="3" t="n">
        <v>11.7</v>
      </c>
      <c r="L28" s="3" t="n">
        <v>11.7</v>
      </c>
    </row>
    <row r="29" customFormat="false" ht="15" hidden="false" customHeight="false" outlineLevel="0" collapsed="false">
      <c r="A29" s="0" t="s">
        <v>107</v>
      </c>
      <c r="C29" s="3" t="n">
        <v>0.55</v>
      </c>
      <c r="D29" s="3" t="n">
        <v>0.55</v>
      </c>
      <c r="E29" s="3" t="n">
        <v>0.55</v>
      </c>
      <c r="F29" s="3" t="n">
        <v>0.55</v>
      </c>
      <c r="G29" s="3" t="n">
        <v>0.55</v>
      </c>
      <c r="H29" s="3" t="n">
        <v>0.55</v>
      </c>
      <c r="I29" s="3" t="n">
        <v>0.55</v>
      </c>
      <c r="J29" s="3" t="n">
        <v>0.55</v>
      </c>
      <c r="K29" s="3" t="n">
        <v>0.55</v>
      </c>
      <c r="L29" s="3" t="n">
        <v>0.55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2.75</v>
      </c>
      <c r="D31" s="3" t="n">
        <v>2.8</v>
      </c>
      <c r="E31" s="3" t="n">
        <v>2.85</v>
      </c>
      <c r="F31" s="3" t="n">
        <v>2.9</v>
      </c>
      <c r="G31" s="3" t="n">
        <v>2.9</v>
      </c>
      <c r="H31" s="3" t="n">
        <v>2.9</v>
      </c>
      <c r="I31" s="3" t="n">
        <v>2.9</v>
      </c>
      <c r="J31" s="3" t="n">
        <v>2.9</v>
      </c>
      <c r="K31" s="3" t="n">
        <v>2.9</v>
      </c>
      <c r="L31" s="3" t="n">
        <v>2.9</v>
      </c>
    </row>
    <row r="32" customFormat="false" ht="15" hidden="false" customHeight="false" outlineLevel="0" collapsed="false">
      <c r="A32" s="0" t="s">
        <v>110</v>
      </c>
      <c r="C32" s="3" t="n">
        <v>3.4</v>
      </c>
      <c r="D32" s="3" t="n">
        <v>3.4</v>
      </c>
      <c r="E32" s="3" t="n">
        <v>3.2</v>
      </c>
      <c r="F32" s="3" t="n">
        <v>3</v>
      </c>
      <c r="G32" s="3" t="n">
        <v>2.9</v>
      </c>
      <c r="H32" s="3" t="n">
        <v>2.9</v>
      </c>
      <c r="I32" s="3" t="n">
        <v>2.9</v>
      </c>
      <c r="J32" s="3" t="n">
        <v>2.9</v>
      </c>
      <c r="K32" s="3" t="n">
        <v>2.9</v>
      </c>
      <c r="L32" s="3" t="n">
        <v>2.9</v>
      </c>
    </row>
    <row r="33" customFormat="false" ht="15" hidden="false" customHeight="false" outlineLevel="0" collapsed="false">
      <c r="A33" s="0" t="s">
        <v>111</v>
      </c>
      <c r="C33" s="3" t="n">
        <v>14</v>
      </c>
      <c r="D33" s="3" t="n">
        <v>16</v>
      </c>
      <c r="E33" s="3" t="n">
        <v>17</v>
      </c>
      <c r="F33" s="3" t="n">
        <v>18</v>
      </c>
      <c r="G33" s="3" t="n">
        <v>18.5</v>
      </c>
      <c r="H33" s="3" t="n">
        <v>19</v>
      </c>
      <c r="I33" s="3" t="n">
        <v>19</v>
      </c>
      <c r="J33" s="3" t="n">
        <v>19</v>
      </c>
      <c r="K33" s="3" t="n">
        <v>19</v>
      </c>
      <c r="L33" s="3" t="n">
        <v>19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14</v>
      </c>
    </row>
    <row r="37" customFormat="false" ht="15" hidden="false" customHeight="false" outlineLevel="0" collapsed="false">
      <c r="A37" s="0" t="s">
        <v>115</v>
      </c>
      <c r="B37" s="3" t="n">
        <v>-15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7</v>
      </c>
      <c r="D41" s="3" t="n">
        <v>7</v>
      </c>
      <c r="E41" s="3" t="n">
        <v>7</v>
      </c>
      <c r="F41" s="3" t="n">
        <v>6.5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10</v>
      </c>
      <c r="D42" s="3" t="n">
        <v>10.6</v>
      </c>
      <c r="E42" s="3" t="n">
        <v>11.3</v>
      </c>
      <c r="F42" s="3" t="n">
        <v>11.9</v>
      </c>
      <c r="G42" s="3" t="n">
        <v>12.4</v>
      </c>
      <c r="H42" s="3" t="n">
        <v>12.8</v>
      </c>
      <c r="I42" s="3" t="n">
        <v>12.9</v>
      </c>
      <c r="J42" s="3" t="n">
        <v>13</v>
      </c>
      <c r="K42" s="3" t="n">
        <v>13</v>
      </c>
      <c r="L42" s="3" t="n">
        <v>13</v>
      </c>
    </row>
    <row r="43" customFormat="false" ht="15" hidden="false" customHeight="false" outlineLevel="0" collapsed="false">
      <c r="A43" s="0" t="s">
        <v>107</v>
      </c>
      <c r="C43" s="3" t="n">
        <v>0.55</v>
      </c>
      <c r="D43" s="3" t="n">
        <v>0.55</v>
      </c>
      <c r="E43" s="3" t="n">
        <v>0.55</v>
      </c>
      <c r="F43" s="3" t="n">
        <v>0.55</v>
      </c>
      <c r="G43" s="3" t="n">
        <v>0.55</v>
      </c>
      <c r="H43" s="3" t="n">
        <v>0.55</v>
      </c>
      <c r="I43" s="3" t="n">
        <v>0.55</v>
      </c>
      <c r="J43" s="3" t="n">
        <v>0.55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2.75</v>
      </c>
      <c r="D45" s="3" t="n">
        <v>2.8</v>
      </c>
      <c r="E45" s="3" t="n">
        <v>2.85</v>
      </c>
      <c r="F45" s="3" t="n">
        <v>2.9</v>
      </c>
      <c r="G45" s="3" t="n">
        <v>2.9</v>
      </c>
      <c r="H45" s="3" t="n">
        <v>2.9</v>
      </c>
      <c r="I45" s="3" t="n">
        <v>2.9</v>
      </c>
      <c r="J45" s="3" t="n">
        <v>2.9</v>
      </c>
      <c r="K45" s="3" t="n">
        <v>2.9</v>
      </c>
      <c r="L45" s="3" t="n">
        <v>2.9</v>
      </c>
    </row>
    <row r="46" customFormat="false" ht="15" hidden="false" customHeight="false" outlineLevel="0" collapsed="false">
      <c r="A46" s="0" t="s">
        <v>110</v>
      </c>
      <c r="C46" s="3" t="n">
        <v>3.4</v>
      </c>
      <c r="D46" s="3" t="n">
        <v>3.4</v>
      </c>
      <c r="E46" s="3" t="n">
        <v>3.2</v>
      </c>
      <c r="F46" s="3" t="n">
        <v>3</v>
      </c>
      <c r="G46" s="3" t="n">
        <v>2.9</v>
      </c>
      <c r="H46" s="3" t="n">
        <v>2.9</v>
      </c>
      <c r="I46" s="3" t="n">
        <v>2.9</v>
      </c>
      <c r="J46" s="3" t="n">
        <v>2.9</v>
      </c>
      <c r="K46" s="3" t="n">
        <v>2.9</v>
      </c>
      <c r="L46" s="3" t="n">
        <v>2.9</v>
      </c>
    </row>
    <row r="47" customFormat="false" ht="15" hidden="false" customHeight="false" outlineLevel="0" collapsed="false">
      <c r="A47" s="0" t="s">
        <v>111</v>
      </c>
      <c r="C47" s="3" t="n">
        <v>14</v>
      </c>
      <c r="D47" s="3" t="n">
        <v>16</v>
      </c>
      <c r="E47" s="3" t="n">
        <v>17</v>
      </c>
      <c r="F47" s="3" t="n">
        <v>18</v>
      </c>
      <c r="G47" s="3" t="n">
        <v>18.5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112</v>
      </c>
      <c r="B48" s="3" t="n">
        <v>8.5</v>
      </c>
    </row>
    <row r="49" customFormat="false" ht="15" hidden="false" customHeight="false" outlineLevel="0" collapsed="false">
      <c r="A49" s="0" t="s">
        <v>113</v>
      </c>
      <c r="B49" s="3" t="n">
        <v>2.5</v>
      </c>
    </row>
    <row r="50" customFormat="false" ht="15" hidden="false" customHeight="false" outlineLevel="0" collapsed="false">
      <c r="A50" s="0" t="s">
        <v>114</v>
      </c>
      <c r="B50" s="3" t="n">
        <v>14</v>
      </c>
    </row>
    <row r="51" customFormat="false" ht="15" hidden="false" customHeight="false" outlineLevel="0" collapsed="false">
      <c r="A51" s="0" t="s">
        <v>115</v>
      </c>
      <c r="B51" s="3" t="n">
        <v>-12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4</v>
      </c>
      <c r="D5" s="4" t="n">
        <f aca="false">Assumptions!D13</f>
        <v>1</v>
      </c>
      <c r="E5" s="4" t="n">
        <f aca="false">Assumptions!E13</f>
        <v>-2</v>
      </c>
      <c r="F5" s="4" t="n">
        <f aca="false">Assumptions!F13</f>
        <v>1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14799</v>
      </c>
      <c r="C6" s="0" t="n">
        <f aca="false">B6*(1+C5/100)</f>
        <v>15390.96</v>
      </c>
      <c r="D6" s="0" t="n">
        <f aca="false">C6*(1+D5/100)</f>
        <v>15544.8696</v>
      </c>
      <c r="E6" s="0" t="n">
        <f aca="false">D6*(1+E5/100)</f>
        <v>15233.972208</v>
      </c>
      <c r="F6" s="0" t="n">
        <f aca="false">E6*(1+F5/100)</f>
        <v>15386.31193008</v>
      </c>
      <c r="G6" s="0" t="n">
        <f aca="false">F6*(1+G5/100)</f>
        <v>15847.9012879824</v>
      </c>
      <c r="H6" s="0" t="n">
        <f aca="false">G6*(1+H5/100)</f>
        <v>16323.3383266219</v>
      </c>
      <c r="I6" s="0" t="n">
        <f aca="false">H6*(1+I5/100)</f>
        <v>16813.0384764205</v>
      </c>
      <c r="J6" s="0" t="n">
        <f aca="false">I6*(1+J5/100)</f>
        <v>17233.364438331</v>
      </c>
      <c r="K6" s="0" t="n">
        <f aca="false">J6*(1+K5/100)</f>
        <v>17664.1985492893</v>
      </c>
      <c r="L6" s="0" t="n">
        <f aca="false">K6*(1+L5/100)</f>
        <v>18105.8035130216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9.4</v>
      </c>
      <c r="D7" s="4" t="n">
        <f aca="false">Assumptions!D14</f>
        <v>9</v>
      </c>
      <c r="E7" s="4" t="n">
        <f aca="false">Assumptions!E14</f>
        <v>8.4</v>
      </c>
      <c r="F7" s="4" t="n">
        <f aca="false">Assumptions!F14</f>
        <v>8.6</v>
      </c>
      <c r="G7" s="4" t="n">
        <f aca="false">Assumptions!G14</f>
        <v>9</v>
      </c>
      <c r="H7" s="4" t="n">
        <f aca="false">Assumptions!H14</f>
        <v>9.3</v>
      </c>
      <c r="I7" s="4" t="n">
        <f aca="false">Assumptions!I14</f>
        <v>9.5</v>
      </c>
      <c r="J7" s="4" t="n">
        <f aca="false">Assumptions!J14</f>
        <v>9.6</v>
      </c>
      <c r="K7" s="4" t="n">
        <f aca="false">Assumptions!K14</f>
        <v>9.6</v>
      </c>
      <c r="L7" s="4" t="n">
        <f aca="false">Assumptions!L14</f>
        <v>9.6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1446.75024</v>
      </c>
      <c r="D8" s="0" t="n">
        <f aca="false">D6*D7/100</f>
        <v>1399.038264</v>
      </c>
      <c r="E8" s="0" t="n">
        <f aca="false">E6*E7/100</f>
        <v>1279.653665472</v>
      </c>
      <c r="F8" s="0" t="n">
        <f aca="false">F6*F7/100</f>
        <v>1323.22282598688</v>
      </c>
      <c r="G8" s="0" t="n">
        <f aca="false">G6*G7/100</f>
        <v>1426.31111591842</v>
      </c>
      <c r="H8" s="0" t="n">
        <f aca="false">H6*H7/100</f>
        <v>1518.07046437583</v>
      </c>
      <c r="I8" s="0" t="n">
        <f aca="false">I6*I7/100</f>
        <v>1597.23865525995</v>
      </c>
      <c r="J8" s="0" t="n">
        <f aca="false">J6*J7/100</f>
        <v>1654.40298607978</v>
      </c>
      <c r="K8" s="0" t="n">
        <f aca="false">K6*K7/100</f>
        <v>1695.76306073177</v>
      </c>
      <c r="L8" s="0" t="n">
        <f aca="false">L6*L7/100</f>
        <v>1738.15713725007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0.55</v>
      </c>
      <c r="D9" s="4" t="n">
        <f aca="false">Assumptions!D15</f>
        <v>0.55</v>
      </c>
      <c r="E9" s="4" t="n">
        <f aca="false">Assumptions!E15</f>
        <v>0.55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0.55</v>
      </c>
      <c r="I9" s="4" t="n">
        <f aca="false">Assumptions!I15</f>
        <v>0.55</v>
      </c>
      <c r="J9" s="4" t="n">
        <f aca="false">Assumptions!J15</f>
        <v>0.55</v>
      </c>
      <c r="K9" s="4" t="n">
        <f aca="false">Assumptions!K15</f>
        <v>0.55</v>
      </c>
      <c r="L9" s="4" t="n">
        <f aca="false">Assumptions!L15</f>
        <v>0.55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-84.65028</v>
      </c>
      <c r="D10" s="0" t="n">
        <f aca="false">-D6*D9/100</f>
        <v>-85.4967828</v>
      </c>
      <c r="E10" s="0" t="n">
        <f aca="false">-E6*E9/100</f>
        <v>-83.786847144</v>
      </c>
      <c r="F10" s="0" t="n">
        <f aca="false">-F6*F9/100</f>
        <v>-84.62471561544</v>
      </c>
      <c r="G10" s="0" t="n">
        <f aca="false">-G6*G9/100</f>
        <v>-87.1634570839032</v>
      </c>
      <c r="H10" s="0" t="n">
        <f aca="false">-H6*H9/100</f>
        <v>-89.7783607964203</v>
      </c>
      <c r="I10" s="0" t="n">
        <f aca="false">-I6*I9/100</f>
        <v>-92.4717116203129</v>
      </c>
      <c r="J10" s="0" t="n">
        <f aca="false">-J6*J9/100</f>
        <v>-94.7835044108207</v>
      </c>
      <c r="K10" s="0" t="n">
        <f aca="false">-K6*K9/100</f>
        <v>-97.1530920210913</v>
      </c>
      <c r="L10" s="0" t="n">
        <f aca="false">-L6*L9/100</f>
        <v>-99.5819193216185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1362.09996</v>
      </c>
      <c r="D11" s="0" t="n">
        <f aca="false">D8+D10+D24</f>
        <v>1313.5414812</v>
      </c>
      <c r="E11" s="0" t="n">
        <f aca="false">E8+E10+E24</f>
        <v>1195.866818328</v>
      </c>
      <c r="F11" s="0" t="n">
        <f aca="false">F8+F10+F24</f>
        <v>1238.59811037144</v>
      </c>
      <c r="G11" s="0" t="n">
        <f aca="false">G8+G10+G24</f>
        <v>1339.14765883451</v>
      </c>
      <c r="H11" s="0" t="n">
        <f aca="false">H8+H10+H24</f>
        <v>1428.29210357941</v>
      </c>
      <c r="I11" s="0" t="n">
        <f aca="false">I8+I10+I24</f>
        <v>1504.76694363964</v>
      </c>
      <c r="J11" s="0" t="n">
        <f aca="false">J8+J10+J24</f>
        <v>1559.61948166896</v>
      </c>
      <c r="K11" s="0" t="n">
        <f aca="false">K8+K10+K24</f>
        <v>1598.60996871068</v>
      </c>
      <c r="L11" s="0" t="n">
        <f aca="false">L8+L10+L24</f>
        <v>1638.57521792845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-423.2514</v>
      </c>
      <c r="D12" s="4" t="n">
        <f aca="false">-D6*Assumptions!D17/100</f>
        <v>-435.2563488</v>
      </c>
      <c r="E12" s="4" t="n">
        <f aca="false">-E6*Assumptions!E17/100</f>
        <v>-441.785194032</v>
      </c>
      <c r="F12" s="4" t="n">
        <f aca="false">-F6*Assumptions!F17/100</f>
        <v>-461.5893579024</v>
      </c>
      <c r="G12" s="4" t="n">
        <f aca="false">-G6*Assumptions!G17/100</f>
        <v>-475.437038639472</v>
      </c>
      <c r="H12" s="4" t="n">
        <f aca="false">-H6*Assumptions!H17/100</f>
        <v>-489.700149798656</v>
      </c>
      <c r="I12" s="4" t="n">
        <f aca="false">-I6*Assumptions!I17/100</f>
        <v>-504.391154292616</v>
      </c>
      <c r="J12" s="4" t="n">
        <f aca="false">-J6*Assumptions!J17/100</f>
        <v>-517.000933149931</v>
      </c>
      <c r="K12" s="4" t="n">
        <f aca="false">-K6*Assumptions!K17/100</f>
        <v>-529.92595647868</v>
      </c>
      <c r="L12" s="4" t="n">
        <f aca="false">-L6*Assumptions!L17/100</f>
        <v>-543.174105390647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938.84856</v>
      </c>
      <c r="D13" s="0" t="n">
        <f aca="false">D11+D12</f>
        <v>878.2851324</v>
      </c>
      <c r="E13" s="0" t="n">
        <f aca="false">E11+E12</f>
        <v>754.081624296</v>
      </c>
      <c r="F13" s="0" t="n">
        <f aca="false">F11+F12</f>
        <v>777.00875246904</v>
      </c>
      <c r="G13" s="0" t="n">
        <f aca="false">G11+G12</f>
        <v>863.710620195041</v>
      </c>
      <c r="H13" s="0" t="n">
        <f aca="false">H11+H12</f>
        <v>938.591953780758</v>
      </c>
      <c r="I13" s="0" t="n">
        <f aca="false">I11+I12</f>
        <v>1000.37578934702</v>
      </c>
      <c r="J13" s="0" t="n">
        <f aca="false">J11+J12</f>
        <v>1042.61854851903</v>
      </c>
      <c r="K13" s="0" t="n">
        <f aca="false">K11+K12</f>
        <v>1068.684012232</v>
      </c>
      <c r="L13" s="0" t="n">
        <f aca="false">L11+L12</f>
        <v>1095.4011125378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14</v>
      </c>
      <c r="D14" s="4" t="n">
        <f aca="false">Assumptions!D19</f>
        <v>16</v>
      </c>
      <c r="E14" s="4" t="n">
        <f aca="false">Assumptions!E19</f>
        <v>17</v>
      </c>
      <c r="F14" s="4" t="n">
        <f aca="false">Assumptions!F19</f>
        <v>18</v>
      </c>
      <c r="G14" s="4" t="n">
        <f aca="false">Assumptions!G19</f>
        <v>18.5</v>
      </c>
      <c r="H14" s="4" t="n">
        <f aca="false">Assumptions!H19</f>
        <v>19</v>
      </c>
      <c r="I14" s="4" t="n">
        <f aca="false">Assumptions!I19</f>
        <v>19</v>
      </c>
      <c r="J14" s="4" t="n">
        <f aca="false">Assumptions!J19</f>
        <v>19</v>
      </c>
      <c r="K14" s="4" t="n">
        <f aca="false">Assumptions!K19</f>
        <v>19</v>
      </c>
      <c r="L14" s="4" t="n">
        <f aca="false">Assumptions!L19</f>
        <v>19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807.4097616</v>
      </c>
      <c r="D15" s="0" t="n">
        <f aca="false">D13-MAX(0,D13)*D14/100</f>
        <v>737.759511216</v>
      </c>
      <c r="E15" s="0" t="n">
        <f aca="false">E13-MAX(0,E13)*E14/100</f>
        <v>625.88774816568</v>
      </c>
      <c r="F15" s="0" t="n">
        <f aca="false">F13-MAX(0,F13)*F14/100</f>
        <v>637.147177024613</v>
      </c>
      <c r="G15" s="0" t="n">
        <f aca="false">G13-MAX(0,G13)*G14/100</f>
        <v>703.924155458958</v>
      </c>
      <c r="H15" s="0" t="n">
        <f aca="false">H13-MAX(0,H13)*H14/100</f>
        <v>760.259482562414</v>
      </c>
      <c r="I15" s="0" t="n">
        <f aca="false">I13-MAX(0,I13)*I14/100</f>
        <v>810.304389371087</v>
      </c>
      <c r="J15" s="0" t="n">
        <f aca="false">J13-MAX(0,J13)*J14/100</f>
        <v>844.521024300413</v>
      </c>
      <c r="K15" s="0" t="n">
        <f aca="false">K13-MAX(0,K13)*K14/100</f>
        <v>865.634049907923</v>
      </c>
      <c r="L15" s="0" t="n">
        <f aca="false">L13-MAX(0,L13)*L14/100</f>
        <v>887.274901155621</v>
      </c>
    </row>
    <row r="16" customFormat="false" ht="15" hidden="false" customHeight="false" outlineLevel="0" collapsed="false">
      <c r="A16" s="0" t="s">
        <v>127</v>
      </c>
      <c r="C16" s="0" t="n">
        <f aca="false">-C12</f>
        <v>423.2514</v>
      </c>
      <c r="D16" s="0" t="n">
        <f aca="false">-D12</f>
        <v>435.2563488</v>
      </c>
      <c r="E16" s="0" t="n">
        <f aca="false">-E12</f>
        <v>441.785194032</v>
      </c>
      <c r="F16" s="0" t="n">
        <f aca="false">-F12</f>
        <v>461.5893579024</v>
      </c>
      <c r="G16" s="0" t="n">
        <f aca="false">-G12</f>
        <v>475.437038639472</v>
      </c>
      <c r="H16" s="0" t="n">
        <f aca="false">-H12</f>
        <v>489.700149798656</v>
      </c>
      <c r="I16" s="0" t="n">
        <f aca="false">-I12</f>
        <v>504.391154292616</v>
      </c>
      <c r="J16" s="0" t="n">
        <f aca="false">-J12</f>
        <v>517.000933149931</v>
      </c>
      <c r="K16" s="0" t="n">
        <f aca="false">-K12</f>
        <v>529.92595647868</v>
      </c>
      <c r="L16" s="0" t="n">
        <f aca="false">-L12</f>
        <v>543.174105390647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-523.29264</v>
      </c>
      <c r="D17" s="4" t="n">
        <f aca="false">-D6*Assumptions!D18/100</f>
        <v>-528.5255664</v>
      </c>
      <c r="E17" s="4" t="n">
        <f aca="false">-E6*Assumptions!E18/100</f>
        <v>-487.487110656</v>
      </c>
      <c r="F17" s="4" t="n">
        <f aca="false">-F6*Assumptions!F18/100</f>
        <v>-461.5893579024</v>
      </c>
      <c r="G17" s="4" t="n">
        <f aca="false">-G6*Assumptions!G18/100</f>
        <v>-459.58913735149</v>
      </c>
      <c r="H17" s="4" t="n">
        <f aca="false">-H6*Assumptions!H18/100</f>
        <v>-473.376811472034</v>
      </c>
      <c r="I17" s="4" t="n">
        <f aca="false">-I6*Assumptions!I18/100</f>
        <v>-487.578115816195</v>
      </c>
      <c r="J17" s="4" t="n">
        <f aca="false">-J6*Assumptions!J18/100</f>
        <v>-499.7675687116</v>
      </c>
      <c r="K17" s="4" t="n">
        <f aca="false">-K6*Assumptions!K18/100</f>
        <v>-512.26175792939</v>
      </c>
      <c r="L17" s="4" t="n">
        <f aca="false">-L6*Assumptions!L18/100</f>
        <v>-525.068301877625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-106.5528</v>
      </c>
      <c r="D18" s="4" t="n">
        <f aca="false">(D6-C6)*Assumptions!$B$23/100</f>
        <v>-27.7037280000002</v>
      </c>
      <c r="E18" s="4" t="n">
        <f aca="false">(E6-D6)*Assumptions!$B$23/100</f>
        <v>55.9615305600001</v>
      </c>
      <c r="F18" s="4" t="n">
        <f aca="false">(F6-E6)*Assumptions!$B$23/100</f>
        <v>-27.4211499744</v>
      </c>
      <c r="G18" s="4" t="n">
        <f aca="false">(G6-F6)*Assumptions!$B$23/100</f>
        <v>-83.0860844224319</v>
      </c>
      <c r="H18" s="4" t="n">
        <f aca="false">(H6-G6)*Assumptions!$B$23/100</f>
        <v>-85.5786669551052</v>
      </c>
      <c r="I18" s="4" t="n">
        <f aca="false">(I6-H6)*Assumptions!$B$23/100</f>
        <v>-88.1460269637582</v>
      </c>
      <c r="J18" s="4" t="n">
        <f aca="false">(J6-I6)*Assumptions!$B$23/100</f>
        <v>-75.6586731438922</v>
      </c>
      <c r="K18" s="4" t="n">
        <f aca="false">(K6-J6)*Assumptions!$B$23/100</f>
        <v>-77.5501399724897</v>
      </c>
      <c r="L18" s="4" t="n">
        <f aca="false">(L6-K6)*Assumptions!$B$23/100</f>
        <v>-79.4888934718018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600.8157216</v>
      </c>
      <c r="D19" s="0" t="n">
        <f aca="false">D15+D16+D17+D18</f>
        <v>616.786565616</v>
      </c>
      <c r="E19" s="0" t="n">
        <f aca="false">E15+E16+E17+E18</f>
        <v>636.14736210168</v>
      </c>
      <c r="F19" s="0" t="n">
        <f aca="false">F15+F16+F17+F18</f>
        <v>609.726027050213</v>
      </c>
      <c r="G19" s="0" t="n">
        <f aca="false">G15+G16+G17+G18</f>
        <v>636.685972324509</v>
      </c>
      <c r="H19" s="0" t="n">
        <f aca="false">H15+H16+H17+H18</f>
        <v>691.00415393393</v>
      </c>
      <c r="I19" s="0" t="n">
        <f aca="false">I15+I16+I17+I18</f>
        <v>738.97140088375</v>
      </c>
      <c r="J19" s="0" t="n">
        <f aca="false">J15+J16+J17+J18</f>
        <v>786.095715594852</v>
      </c>
      <c r="K19" s="0" t="n">
        <f aca="false">K15+K16+K17+K18</f>
        <v>805.748108484723</v>
      </c>
      <c r="L19" s="0" t="n">
        <f aca="false">L15+L16+L17+L18</f>
        <v>825.891811196841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553.747208847926</v>
      </c>
      <c r="D21" s="0" t="n">
        <f aca="false">D19*D20</f>
        <v>523.932608988087</v>
      </c>
      <c r="E21" s="0" t="n">
        <f aca="false">E19*E20</f>
        <v>498.044921584751</v>
      </c>
      <c r="F21" s="0" t="n">
        <f aca="false">F19*F20</f>
        <v>439.9626215683</v>
      </c>
      <c r="G21" s="0" t="n">
        <f aca="false">G19*G20</f>
        <v>423.425091966362</v>
      </c>
      <c r="H21" s="0" t="n">
        <f aca="false">H19*H20</f>
        <v>423.547603730008</v>
      </c>
      <c r="I21" s="0" t="n">
        <f aca="false">I19*I20</f>
        <v>417.464416826675</v>
      </c>
      <c r="J21" s="0" t="n">
        <f aca="false">J19*J20</f>
        <v>409.296022091321</v>
      </c>
      <c r="K21" s="0" t="n">
        <f aca="false">K19*K20</f>
        <v>386.662140685349</v>
      </c>
      <c r="L21" s="0" t="n">
        <f aca="false">L19*L20</f>
        <v>365.279902490768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4441.36253877955</v>
      </c>
    </row>
    <row r="31" customFormat="false" ht="15" hidden="false" customHeight="false" outlineLevel="0" collapsed="false">
      <c r="A31" s="0" t="s">
        <v>136</v>
      </c>
      <c r="B31" s="0" t="n">
        <f aca="false">L19</f>
        <v>825.891811196841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14108.985107946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11562.4853567558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11562.4853567558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5113.91863487075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9555.2811736503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8672.2811736503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49.9843295311256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-0.352282888024807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582.557675135242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752.412021337767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57.6786793667049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6772.3128518141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23.8039773547896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14799</v>
      </c>
      <c r="C6" s="0" t="n">
        <f aca="false">B6*(1+C5/100)</f>
        <v>15686.94</v>
      </c>
      <c r="D6" s="0" t="n">
        <f aca="false">C6*(1+D5/100)</f>
        <v>16471.287</v>
      </c>
      <c r="E6" s="0" t="n">
        <f aca="false">D6*(1+E5/100)</f>
        <v>17294.85135</v>
      </c>
      <c r="F6" s="0" t="n">
        <f aca="false">E6*(1+F5/100)</f>
        <v>18159.5939175</v>
      </c>
      <c r="G6" s="0" t="n">
        <f aca="false">F6*(1+G5/100)</f>
        <v>18976.7756437875</v>
      </c>
      <c r="H6" s="0" t="n">
        <f aca="false">G6*(1+H5/100)</f>
        <v>19735.846669539</v>
      </c>
      <c r="I6" s="0" t="n">
        <f aca="false">H6*(1+I5/100)</f>
        <v>20426.6013029729</v>
      </c>
      <c r="J6" s="0" t="n">
        <f aca="false">I6*(1+J5/100)</f>
        <v>21039.3993420621</v>
      </c>
      <c r="K6" s="0" t="n">
        <f aca="false">J6*(1+K5/100)</f>
        <v>21670.5813223239</v>
      </c>
      <c r="L6" s="0" t="n">
        <f aca="false">K6*(1+L5/100)</f>
        <v>22320.6987619936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9.8</v>
      </c>
      <c r="D7" s="4" t="n">
        <f aca="false">Assumptions!D28</f>
        <v>10</v>
      </c>
      <c r="E7" s="4" t="n">
        <f aca="false">Assumptions!E28</f>
        <v>10.6</v>
      </c>
      <c r="F7" s="4" t="n">
        <f aca="false">Assumptions!F28</f>
        <v>11</v>
      </c>
      <c r="G7" s="4" t="n">
        <f aca="false">Assumptions!G28</f>
        <v>11.3</v>
      </c>
      <c r="H7" s="4" t="n">
        <f aca="false">Assumptions!H28</f>
        <v>11.5</v>
      </c>
      <c r="I7" s="4" t="n">
        <f aca="false">Assumptions!I28</f>
        <v>11.6</v>
      </c>
      <c r="J7" s="4" t="n">
        <f aca="false">Assumptions!J28</f>
        <v>11.7</v>
      </c>
      <c r="K7" s="4" t="n">
        <f aca="false">Assumptions!K28</f>
        <v>11.7</v>
      </c>
      <c r="L7" s="4" t="n">
        <f aca="false">Assumptions!L28</f>
        <v>11.7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1537.32012</v>
      </c>
      <c r="D8" s="0" t="n">
        <f aca="false">D6*D7/100</f>
        <v>1647.1287</v>
      </c>
      <c r="E8" s="0" t="n">
        <f aca="false">E6*E7/100</f>
        <v>1833.2542431</v>
      </c>
      <c r="F8" s="0" t="n">
        <f aca="false">F6*F7/100</f>
        <v>1997.555330925</v>
      </c>
      <c r="G8" s="0" t="n">
        <f aca="false">G6*G7/100</f>
        <v>2144.37564774799</v>
      </c>
      <c r="H8" s="0" t="n">
        <f aca="false">H6*H7/100</f>
        <v>2269.62236699699</v>
      </c>
      <c r="I8" s="0" t="n">
        <f aca="false">I6*I7/100</f>
        <v>2369.48575114485</v>
      </c>
      <c r="J8" s="0" t="n">
        <f aca="false">J6*J7/100</f>
        <v>2461.60972302126</v>
      </c>
      <c r="K8" s="0" t="n">
        <f aca="false">K6*K7/100</f>
        <v>2535.4580147119</v>
      </c>
      <c r="L8" s="0" t="n">
        <f aca="false">L6*L7/100</f>
        <v>2611.52175515325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0.55</v>
      </c>
      <c r="D9" s="4" t="n">
        <f aca="false">Assumptions!D29</f>
        <v>0.55</v>
      </c>
      <c r="E9" s="4" t="n">
        <f aca="false">Assumptions!E29</f>
        <v>0.55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0.55</v>
      </c>
      <c r="L9" s="4" t="n">
        <f aca="false">Assumptions!L29</f>
        <v>0.55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-86.27817</v>
      </c>
      <c r="D10" s="0" t="n">
        <f aca="false">-D6*D9/100</f>
        <v>-90.5920785</v>
      </c>
      <c r="E10" s="0" t="n">
        <f aca="false">-E6*E9/100</f>
        <v>-95.121682425</v>
      </c>
      <c r="F10" s="0" t="n">
        <f aca="false">-F6*F9/100</f>
        <v>-99.87776654625</v>
      </c>
      <c r="G10" s="0" t="n">
        <f aca="false">-G6*G9/100</f>
        <v>-104.372266040831</v>
      </c>
      <c r="H10" s="0" t="n">
        <f aca="false">-H6*H9/100</f>
        <v>-108.547156682465</v>
      </c>
      <c r="I10" s="0" t="n">
        <f aca="false">-I6*I9/100</f>
        <v>-112.346307166351</v>
      </c>
      <c r="J10" s="0" t="n">
        <f aca="false">-J6*J9/100</f>
        <v>-115.716696381341</v>
      </c>
      <c r="K10" s="0" t="n">
        <f aca="false">-K6*K9/100</f>
        <v>-119.188197272782</v>
      </c>
      <c r="L10" s="0" t="n">
        <f aca="false">-L6*L9/100</f>
        <v>-122.763843190965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1451.04195</v>
      </c>
      <c r="D11" s="0" t="n">
        <f aca="false">D8+D10+D24</f>
        <v>1556.5366215</v>
      </c>
      <c r="E11" s="0" t="n">
        <f aca="false">E8+E10+E24</f>
        <v>1738.132560675</v>
      </c>
      <c r="F11" s="0" t="n">
        <f aca="false">F8+F10+F24</f>
        <v>1897.67756437875</v>
      </c>
      <c r="G11" s="0" t="n">
        <f aca="false">G8+G10+G24</f>
        <v>2040.00338170716</v>
      </c>
      <c r="H11" s="0" t="n">
        <f aca="false">H8+H10+H24</f>
        <v>2161.07521031452</v>
      </c>
      <c r="I11" s="0" t="n">
        <f aca="false">I8+I10+I24</f>
        <v>2257.1394439785</v>
      </c>
      <c r="J11" s="0" t="n">
        <f aca="false">J8+J10+J24</f>
        <v>2345.89302663992</v>
      </c>
      <c r="K11" s="0" t="n">
        <f aca="false">K8+K10+K24</f>
        <v>2416.26981743912</v>
      </c>
      <c r="L11" s="0" t="n">
        <f aca="false">L8+L10+L24</f>
        <v>2488.75791196229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-431.39085</v>
      </c>
      <c r="D12" s="4" t="n">
        <f aca="false">-D6*Assumptions!D31/100</f>
        <v>-461.196036</v>
      </c>
      <c r="E12" s="4" t="n">
        <f aca="false">-E6*Assumptions!E31/100</f>
        <v>-492.903263475</v>
      </c>
      <c r="F12" s="4" t="n">
        <f aca="false">-F6*Assumptions!F31/100</f>
        <v>-526.6282236075</v>
      </c>
      <c r="G12" s="4" t="n">
        <f aca="false">-G6*Assumptions!G31/100</f>
        <v>-550.326493669837</v>
      </c>
      <c r="H12" s="4" t="n">
        <f aca="false">-H6*Assumptions!H31/100</f>
        <v>-572.339553416631</v>
      </c>
      <c r="I12" s="4" t="n">
        <f aca="false">-I6*Assumptions!I31/100</f>
        <v>-592.371437786213</v>
      </c>
      <c r="J12" s="4" t="n">
        <f aca="false">-J6*Assumptions!J31/100</f>
        <v>-610.1425809198</v>
      </c>
      <c r="K12" s="4" t="n">
        <f aca="false">-K6*Assumptions!K31/100</f>
        <v>-628.446858347394</v>
      </c>
      <c r="L12" s="4" t="n">
        <f aca="false">-L6*Assumptions!L31/100</f>
        <v>-647.300264097815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1019.6511</v>
      </c>
      <c r="D13" s="0" t="n">
        <f aca="false">D11+D12</f>
        <v>1095.3405855</v>
      </c>
      <c r="E13" s="0" t="n">
        <f aca="false">E11+E12</f>
        <v>1245.2292972</v>
      </c>
      <c r="F13" s="0" t="n">
        <f aca="false">F11+F12</f>
        <v>1371.04934077125</v>
      </c>
      <c r="G13" s="0" t="n">
        <f aca="false">G11+G12</f>
        <v>1489.67688803732</v>
      </c>
      <c r="H13" s="0" t="n">
        <f aca="false">H11+H12</f>
        <v>1588.73565689789</v>
      </c>
      <c r="I13" s="0" t="n">
        <f aca="false">I11+I12</f>
        <v>1664.76800619229</v>
      </c>
      <c r="J13" s="0" t="n">
        <f aca="false">J11+J12</f>
        <v>1735.75044572012</v>
      </c>
      <c r="K13" s="0" t="n">
        <f aca="false">K11+K12</f>
        <v>1787.82295909172</v>
      </c>
      <c r="L13" s="0" t="n">
        <f aca="false">L11+L12</f>
        <v>1841.45764786447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14</v>
      </c>
      <c r="D14" s="4" t="n">
        <f aca="false">Assumptions!D33</f>
        <v>16</v>
      </c>
      <c r="E14" s="4" t="n">
        <f aca="false">Assumptions!E33</f>
        <v>17</v>
      </c>
      <c r="F14" s="4" t="n">
        <f aca="false">Assumptions!F33</f>
        <v>18</v>
      </c>
      <c r="G14" s="4" t="n">
        <f aca="false">Assumptions!G33</f>
        <v>18.5</v>
      </c>
      <c r="H14" s="4" t="n">
        <f aca="false">Assumptions!H33</f>
        <v>19</v>
      </c>
      <c r="I14" s="4" t="n">
        <f aca="false">Assumptions!I33</f>
        <v>19</v>
      </c>
      <c r="J14" s="4" t="n">
        <f aca="false">Assumptions!J33</f>
        <v>19</v>
      </c>
      <c r="K14" s="4" t="n">
        <f aca="false">Assumptions!K33</f>
        <v>19</v>
      </c>
      <c r="L14" s="4" t="n">
        <f aca="false">Assumptions!L33</f>
        <v>19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876.899946</v>
      </c>
      <c r="D15" s="0" t="n">
        <f aca="false">D13-MAX(0,D13)*D14/100</f>
        <v>920.08609182</v>
      </c>
      <c r="E15" s="0" t="n">
        <f aca="false">E13-MAX(0,E13)*E14/100</f>
        <v>1033.540316676</v>
      </c>
      <c r="F15" s="0" t="n">
        <f aca="false">F13-MAX(0,F13)*F14/100</f>
        <v>1124.26045943243</v>
      </c>
      <c r="G15" s="0" t="n">
        <f aca="false">G13-MAX(0,G13)*G14/100</f>
        <v>1214.08666375041</v>
      </c>
      <c r="H15" s="0" t="n">
        <f aca="false">H13-MAX(0,H13)*H14/100</f>
        <v>1286.87588208729</v>
      </c>
      <c r="I15" s="0" t="n">
        <f aca="false">I13-MAX(0,I13)*I14/100</f>
        <v>1348.46208501575</v>
      </c>
      <c r="J15" s="0" t="n">
        <f aca="false">J13-MAX(0,J13)*J14/100</f>
        <v>1405.9578610333</v>
      </c>
      <c r="K15" s="0" t="n">
        <f aca="false">K13-MAX(0,K13)*K14/100</f>
        <v>1448.1365968643</v>
      </c>
      <c r="L15" s="0" t="n">
        <f aca="false">L13-MAX(0,L13)*L14/100</f>
        <v>1491.58069477022</v>
      </c>
    </row>
    <row r="16" customFormat="false" ht="15" hidden="false" customHeight="false" outlineLevel="0" collapsed="false">
      <c r="A16" s="0" t="s">
        <v>127</v>
      </c>
      <c r="C16" s="0" t="n">
        <f aca="false">-C12</f>
        <v>431.39085</v>
      </c>
      <c r="D16" s="0" t="n">
        <f aca="false">-D12</f>
        <v>461.196036</v>
      </c>
      <c r="E16" s="0" t="n">
        <f aca="false">-E12</f>
        <v>492.903263475</v>
      </c>
      <c r="F16" s="0" t="n">
        <f aca="false">-F12</f>
        <v>526.6282236075</v>
      </c>
      <c r="G16" s="0" t="n">
        <f aca="false">-G12</f>
        <v>550.326493669837</v>
      </c>
      <c r="H16" s="0" t="n">
        <f aca="false">-H12</f>
        <v>572.339553416631</v>
      </c>
      <c r="I16" s="0" t="n">
        <f aca="false">-I12</f>
        <v>592.371437786213</v>
      </c>
      <c r="J16" s="0" t="n">
        <f aca="false">-J12</f>
        <v>610.1425809198</v>
      </c>
      <c r="K16" s="0" t="n">
        <f aca="false">-K12</f>
        <v>628.446858347394</v>
      </c>
      <c r="L16" s="0" t="n">
        <f aca="false">-L12</f>
        <v>647.300264097815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-533.35596</v>
      </c>
      <c r="D17" s="4" t="n">
        <f aca="false">-D6*Assumptions!D32/100</f>
        <v>-560.023758</v>
      </c>
      <c r="E17" s="4" t="n">
        <f aca="false">-E6*Assumptions!E32/100</f>
        <v>-553.4352432</v>
      </c>
      <c r="F17" s="4" t="n">
        <f aca="false">-F6*Assumptions!F32/100</f>
        <v>-544.787817525</v>
      </c>
      <c r="G17" s="4" t="n">
        <f aca="false">-G6*Assumptions!G32/100</f>
        <v>-550.326493669837</v>
      </c>
      <c r="H17" s="4" t="n">
        <f aca="false">-H6*Assumptions!H32/100</f>
        <v>-572.339553416631</v>
      </c>
      <c r="I17" s="4" t="n">
        <f aca="false">-I6*Assumptions!I32/100</f>
        <v>-592.371437786213</v>
      </c>
      <c r="J17" s="4" t="n">
        <f aca="false">-J6*Assumptions!J32/100</f>
        <v>-610.1425809198</v>
      </c>
      <c r="K17" s="4" t="n">
        <f aca="false">-K6*Assumptions!K32/100</f>
        <v>-628.446858347394</v>
      </c>
      <c r="L17" s="4" t="n">
        <f aca="false">-L6*Assumptions!L32/100</f>
        <v>-647.300264097815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-133.191</v>
      </c>
      <c r="D18" s="4" t="n">
        <f aca="false">(D6-C6)*Assumptions!$B$37/100</f>
        <v>-117.65205</v>
      </c>
      <c r="E18" s="4" t="n">
        <f aca="false">(E6-D6)*Assumptions!$B$37/100</f>
        <v>-123.5346525</v>
      </c>
      <c r="F18" s="4" t="n">
        <f aca="false">(F6-E6)*Assumptions!$B$37/100</f>
        <v>-129.711385125</v>
      </c>
      <c r="G18" s="4" t="n">
        <f aca="false">(G6-F6)*Assumptions!$B$37/100</f>
        <v>-122.577258943125</v>
      </c>
      <c r="H18" s="4" t="n">
        <f aca="false">(H6-G6)*Assumptions!$B$37/100</f>
        <v>-113.860653862725</v>
      </c>
      <c r="I18" s="4" t="n">
        <f aca="false">(I6-H6)*Assumptions!$B$37/100</f>
        <v>-103.613195015079</v>
      </c>
      <c r="J18" s="4" t="n">
        <f aca="false">(J6-I6)*Assumptions!$B$37/100</f>
        <v>-91.9197058633779</v>
      </c>
      <c r="K18" s="4" t="n">
        <f aca="false">(K6-J6)*Assumptions!$B$37/100</f>
        <v>-94.6772970392794</v>
      </c>
      <c r="L18" s="4" t="n">
        <f aca="false">(L6-K6)*Assumptions!$B$37/100</f>
        <v>-97.5176159504576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641.743836</v>
      </c>
      <c r="D19" s="0" t="n">
        <f aca="false">D15+D16+D17+D18</f>
        <v>703.60631982</v>
      </c>
      <c r="E19" s="0" t="n">
        <f aca="false">E15+E16+E17+E18</f>
        <v>849.473684451</v>
      </c>
      <c r="F19" s="0" t="n">
        <f aca="false">F15+F16+F17+F18</f>
        <v>976.389480389925</v>
      </c>
      <c r="G19" s="0" t="n">
        <f aca="false">G15+G16+G17+G18</f>
        <v>1091.50940480729</v>
      </c>
      <c r="H19" s="0" t="n">
        <f aca="false">H15+H16+H17+H18</f>
        <v>1173.01522822457</v>
      </c>
      <c r="I19" s="0" t="n">
        <f aca="false">I15+I16+I17+I18</f>
        <v>1244.84889000067</v>
      </c>
      <c r="J19" s="0" t="n">
        <f aca="false">J15+J16+J17+J18</f>
        <v>1314.03815516992</v>
      </c>
      <c r="K19" s="0" t="n">
        <f aca="false">K15+K16+K17+K18</f>
        <v>1353.45929982502</v>
      </c>
      <c r="L19" s="0" t="n">
        <f aca="false">L15+L16+L17+L18</f>
        <v>1394.06307881977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591.468973271889</v>
      </c>
      <c r="D21" s="0" t="n">
        <f aca="false">D19*D20</f>
        <v>597.68210819512</v>
      </c>
      <c r="E21" s="0" t="n">
        <f aca="false">E19*E20</f>
        <v>665.059826960478</v>
      </c>
      <c r="F21" s="0" t="n">
        <f aca="false">F19*F20</f>
        <v>704.537540479119</v>
      </c>
      <c r="G21" s="0" t="n">
        <f aca="false">G19*G20</f>
        <v>725.903334143373</v>
      </c>
      <c r="H21" s="0" t="n">
        <f aca="false">H19*H20</f>
        <v>718.993925325703</v>
      </c>
      <c r="I21" s="0" t="n">
        <f aca="false">I19*I20</f>
        <v>703.247940691574</v>
      </c>
      <c r="J21" s="0" t="n">
        <f aca="false">J19*J20</f>
        <v>684.179520531136</v>
      </c>
      <c r="K21" s="0" t="n">
        <f aca="false">K19*K20</f>
        <v>649.497609352138</v>
      </c>
      <c r="L21" s="0" t="n">
        <f aca="false">L19*L20</f>
        <v>616.573767403413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6657.14454635394</v>
      </c>
    </row>
    <row r="31" customFormat="false" ht="15" hidden="false" customHeight="false" outlineLevel="0" collapsed="false">
      <c r="A31" s="0" t="s">
        <v>136</v>
      </c>
      <c r="B31" s="0" t="n">
        <f aca="false">L19</f>
        <v>1394.06307881977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23815.244263171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19516.8831034767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19516.8831034767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8632.03274364778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15289.1772900017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14406.1772900017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83.0327221325748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0.0759715191470101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674.169667239009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927.567896177855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92.2646389246028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11431.3172463221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39.34399879324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14799</v>
      </c>
      <c r="C6" s="0" t="n">
        <f aca="false">B6*(1+C5/100)</f>
        <v>15834.93</v>
      </c>
      <c r="D6" s="0" t="n">
        <f aca="false">C6*(1+D5/100)</f>
        <v>16943.3751</v>
      </c>
      <c r="E6" s="0" t="n">
        <f aca="false">D6*(1+E5/100)</f>
        <v>18129.411357</v>
      </c>
      <c r="F6" s="0" t="n">
        <f aca="false">E6*(1+F5/100)</f>
        <v>19307.823095205</v>
      </c>
      <c r="G6" s="0" t="n">
        <f aca="false">F6*(1+G5/100)</f>
        <v>20466.2924809173</v>
      </c>
      <c r="H6" s="0" t="n">
        <f aca="false">G6*(1+H5/100)</f>
        <v>21489.6071049632</v>
      </c>
      <c r="I6" s="0" t="n">
        <f aca="false">H6*(1+I5/100)</f>
        <v>22456.6394246865</v>
      </c>
      <c r="J6" s="0" t="n">
        <f aca="false">I6*(1+J5/100)</f>
        <v>23354.905001674</v>
      </c>
      <c r="K6" s="0" t="n">
        <f aca="false">J6*(1+K5/100)</f>
        <v>24172.3266767326</v>
      </c>
      <c r="L6" s="0" t="n">
        <f aca="false">K6*(1+L5/100)</f>
        <v>24897.4964770345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10</v>
      </c>
      <c r="D7" s="4" t="n">
        <f aca="false">Assumptions!D42</f>
        <v>10.6</v>
      </c>
      <c r="E7" s="4" t="n">
        <f aca="false">Assumptions!E42</f>
        <v>11.3</v>
      </c>
      <c r="F7" s="4" t="n">
        <f aca="false">Assumptions!F42</f>
        <v>11.9</v>
      </c>
      <c r="G7" s="4" t="n">
        <f aca="false">Assumptions!G42</f>
        <v>12.4</v>
      </c>
      <c r="H7" s="4" t="n">
        <f aca="false">Assumptions!H42</f>
        <v>12.8</v>
      </c>
      <c r="I7" s="4" t="n">
        <f aca="false">Assumptions!I42</f>
        <v>12.9</v>
      </c>
      <c r="J7" s="4" t="n">
        <f aca="false">Assumptions!J42</f>
        <v>13</v>
      </c>
      <c r="K7" s="4" t="n">
        <f aca="false">Assumptions!K42</f>
        <v>13</v>
      </c>
      <c r="L7" s="4" t="n">
        <f aca="false">Assumptions!L42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1583.493</v>
      </c>
      <c r="D8" s="0" t="n">
        <f aca="false">D6*D7/100</f>
        <v>1795.9977606</v>
      </c>
      <c r="E8" s="0" t="n">
        <f aca="false">E6*E7/100</f>
        <v>2048.623483341</v>
      </c>
      <c r="F8" s="0" t="n">
        <f aca="false">F6*F7/100</f>
        <v>2297.6309483294</v>
      </c>
      <c r="G8" s="0" t="n">
        <f aca="false">G6*G7/100</f>
        <v>2537.82026763375</v>
      </c>
      <c r="H8" s="0" t="n">
        <f aca="false">H6*H7/100</f>
        <v>2750.66970943529</v>
      </c>
      <c r="I8" s="0" t="n">
        <f aca="false">I6*I7/100</f>
        <v>2896.90648578456</v>
      </c>
      <c r="J8" s="0" t="n">
        <f aca="false">J6*J7/100</f>
        <v>3036.13765021762</v>
      </c>
      <c r="K8" s="0" t="n">
        <f aca="false">K6*K7/100</f>
        <v>3142.40246797523</v>
      </c>
      <c r="L8" s="0" t="n">
        <f aca="false">L6*L7/100</f>
        <v>3236.67454201449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0.55</v>
      </c>
      <c r="D9" s="4" t="n">
        <f aca="false">Assumptions!D43</f>
        <v>0.55</v>
      </c>
      <c r="E9" s="4" t="n">
        <f aca="false">Assumptions!E43</f>
        <v>0.55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-87.092115</v>
      </c>
      <c r="D10" s="0" t="n">
        <f aca="false">-D6*D9/100</f>
        <v>-93.18856305</v>
      </c>
      <c r="E10" s="0" t="n">
        <f aca="false">-E6*E9/100</f>
        <v>-99.7117624635</v>
      </c>
      <c r="F10" s="0" t="n">
        <f aca="false">-F6*F9/100</f>
        <v>-106.193027023628</v>
      </c>
      <c r="G10" s="0" t="n">
        <f aca="false">-G6*G9/100</f>
        <v>-112.564608645045</v>
      </c>
      <c r="H10" s="0" t="n">
        <f aca="false">-H6*H9/100</f>
        <v>-118.192839077297</v>
      </c>
      <c r="I10" s="0" t="n">
        <f aca="false">-I6*I9/100</f>
        <v>-123.511516835776</v>
      </c>
      <c r="J10" s="0" t="n">
        <f aca="false">-J6*J9/100</f>
        <v>-128.451977509207</v>
      </c>
      <c r="K10" s="0" t="n">
        <f aca="false">-K6*K9/100</f>
        <v>-132.947796722029</v>
      </c>
      <c r="L10" s="0" t="n">
        <f aca="false">-L6*L9/100</f>
        <v>-136.93623062369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1496.400885</v>
      </c>
      <c r="D11" s="0" t="n">
        <f aca="false">D8+D10+D24</f>
        <v>1702.80919755</v>
      </c>
      <c r="E11" s="0" t="n">
        <f aca="false">E8+E10+E24</f>
        <v>1948.9117208775</v>
      </c>
      <c r="F11" s="0" t="n">
        <f aca="false">F8+F10+F24</f>
        <v>2191.43792130577</v>
      </c>
      <c r="G11" s="0" t="n">
        <f aca="false">G8+G10+G24</f>
        <v>2425.2556589887</v>
      </c>
      <c r="H11" s="0" t="n">
        <f aca="false">H8+H10+H24</f>
        <v>2632.47687035799</v>
      </c>
      <c r="I11" s="0" t="n">
        <f aca="false">I8+I10+I24</f>
        <v>2773.39496894878</v>
      </c>
      <c r="J11" s="0" t="n">
        <f aca="false">J8+J10+J24</f>
        <v>2907.68567270841</v>
      </c>
      <c r="K11" s="0" t="n">
        <f aca="false">K8+K10+K24</f>
        <v>3009.4546712532</v>
      </c>
      <c r="L11" s="0" t="n">
        <f aca="false">L8+L10+L24</f>
        <v>3099.7383113908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-435.460575</v>
      </c>
      <c r="D12" s="4" t="n">
        <f aca="false">-D6*Assumptions!D45/100</f>
        <v>-474.4145028</v>
      </c>
      <c r="E12" s="4" t="n">
        <f aca="false">-E6*Assumptions!E45/100</f>
        <v>-516.6882236745</v>
      </c>
      <c r="F12" s="4" t="n">
        <f aca="false">-F6*Assumptions!F45/100</f>
        <v>-559.926869760945</v>
      </c>
      <c r="G12" s="4" t="n">
        <f aca="false">-G6*Assumptions!G45/100</f>
        <v>-593.522481946602</v>
      </c>
      <c r="H12" s="4" t="n">
        <f aca="false">-H6*Assumptions!H45/100</f>
        <v>-623.198606043932</v>
      </c>
      <c r="I12" s="4" t="n">
        <f aca="false">-I6*Assumptions!I45/100</f>
        <v>-651.242543315909</v>
      </c>
      <c r="J12" s="4" t="n">
        <f aca="false">-J6*Assumptions!J45/100</f>
        <v>-677.292245048545</v>
      </c>
      <c r="K12" s="4" t="n">
        <f aca="false">-K6*Assumptions!K45/100</f>
        <v>-700.997473625244</v>
      </c>
      <c r="L12" s="4" t="n">
        <f aca="false">-L6*Assumptions!L45/100</f>
        <v>-722.027397834002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1060.94031</v>
      </c>
      <c r="D13" s="0" t="n">
        <f aca="false">D11+D12</f>
        <v>1228.39469475</v>
      </c>
      <c r="E13" s="0" t="n">
        <f aca="false">E11+E12</f>
        <v>1432.223497203</v>
      </c>
      <c r="F13" s="0" t="n">
        <f aca="false">F11+F12</f>
        <v>1631.51105154482</v>
      </c>
      <c r="G13" s="0" t="n">
        <f aca="false">G11+G12</f>
        <v>1831.7331770421</v>
      </c>
      <c r="H13" s="0" t="n">
        <f aca="false">H11+H12</f>
        <v>2009.27826431406</v>
      </c>
      <c r="I13" s="0" t="n">
        <f aca="false">I11+I12</f>
        <v>2122.15242563288</v>
      </c>
      <c r="J13" s="0" t="n">
        <f aca="false">J11+J12</f>
        <v>2230.39342765986</v>
      </c>
      <c r="K13" s="0" t="n">
        <f aca="false">K11+K12</f>
        <v>2308.45719762796</v>
      </c>
      <c r="L13" s="0" t="n">
        <f aca="false">L11+L12</f>
        <v>2377.7109135568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14</v>
      </c>
      <c r="D14" s="4" t="n">
        <f aca="false">Assumptions!D47</f>
        <v>16</v>
      </c>
      <c r="E14" s="4" t="n">
        <f aca="false">Assumptions!E47</f>
        <v>17</v>
      </c>
      <c r="F14" s="4" t="n">
        <f aca="false">Assumptions!F47</f>
        <v>18</v>
      </c>
      <c r="G14" s="4" t="n">
        <f aca="false">Assumptions!G47</f>
        <v>18.5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912.4086666</v>
      </c>
      <c r="D15" s="0" t="n">
        <f aca="false">D13-MAX(0,D13)*D14/100</f>
        <v>1031.85154359</v>
      </c>
      <c r="E15" s="0" t="n">
        <f aca="false">E13-MAX(0,E13)*E14/100</f>
        <v>1188.74550267849</v>
      </c>
      <c r="F15" s="0" t="n">
        <f aca="false">F13-MAX(0,F13)*F14/100</f>
        <v>1337.83906226675</v>
      </c>
      <c r="G15" s="0" t="n">
        <f aca="false">G13-MAX(0,G13)*G14/100</f>
        <v>1492.86253928931</v>
      </c>
      <c r="H15" s="0" t="n">
        <f aca="false">H13-MAX(0,H13)*H14/100</f>
        <v>1627.51539409439</v>
      </c>
      <c r="I15" s="0" t="n">
        <f aca="false">I13-MAX(0,I13)*I14/100</f>
        <v>1718.94346476263</v>
      </c>
      <c r="J15" s="0" t="n">
        <f aca="false">J13-MAX(0,J13)*J14/100</f>
        <v>1806.61867640449</v>
      </c>
      <c r="K15" s="0" t="n">
        <f aca="false">K13-MAX(0,K13)*K14/100</f>
        <v>1869.85033007865</v>
      </c>
      <c r="L15" s="0" t="n">
        <f aca="false">L13-MAX(0,L13)*L14/100</f>
        <v>1925.94583998101</v>
      </c>
    </row>
    <row r="16" customFormat="false" ht="15" hidden="false" customHeight="false" outlineLevel="0" collapsed="false">
      <c r="A16" s="0" t="s">
        <v>127</v>
      </c>
      <c r="C16" s="0" t="n">
        <f aca="false">-C12</f>
        <v>435.460575</v>
      </c>
      <c r="D16" s="0" t="n">
        <f aca="false">-D12</f>
        <v>474.4145028</v>
      </c>
      <c r="E16" s="0" t="n">
        <f aca="false">-E12</f>
        <v>516.6882236745</v>
      </c>
      <c r="F16" s="0" t="n">
        <f aca="false">-F12</f>
        <v>559.926869760945</v>
      </c>
      <c r="G16" s="0" t="n">
        <f aca="false">-G12</f>
        <v>593.522481946602</v>
      </c>
      <c r="H16" s="0" t="n">
        <f aca="false">-H12</f>
        <v>623.198606043932</v>
      </c>
      <c r="I16" s="0" t="n">
        <f aca="false">-I12</f>
        <v>651.242543315909</v>
      </c>
      <c r="J16" s="0" t="n">
        <f aca="false">-J12</f>
        <v>677.292245048545</v>
      </c>
      <c r="K16" s="0" t="n">
        <f aca="false">-K12</f>
        <v>700.997473625244</v>
      </c>
      <c r="L16" s="0" t="n">
        <f aca="false">-L12</f>
        <v>722.027397834002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-538.38762</v>
      </c>
      <c r="D17" s="4" t="n">
        <f aca="false">-D6*Assumptions!D46/100</f>
        <v>-576.0747534</v>
      </c>
      <c r="E17" s="4" t="n">
        <f aca="false">-E6*Assumptions!E46/100</f>
        <v>-580.141163424</v>
      </c>
      <c r="F17" s="4" t="n">
        <f aca="false">-F6*Assumptions!F46/100</f>
        <v>-579.23469285615</v>
      </c>
      <c r="G17" s="4" t="n">
        <f aca="false">-G6*Assumptions!G46/100</f>
        <v>-593.522481946602</v>
      </c>
      <c r="H17" s="4" t="n">
        <f aca="false">-H6*Assumptions!H46/100</f>
        <v>-623.198606043932</v>
      </c>
      <c r="I17" s="4" t="n">
        <f aca="false">-I6*Assumptions!I46/100</f>
        <v>-651.242543315909</v>
      </c>
      <c r="J17" s="4" t="n">
        <f aca="false">-J6*Assumptions!J46/100</f>
        <v>-677.292245048545</v>
      </c>
      <c r="K17" s="4" t="n">
        <f aca="false">-K6*Assumptions!K46/100</f>
        <v>-700.997473625244</v>
      </c>
      <c r="L17" s="4" t="n">
        <f aca="false">-L6*Assumptions!L46/100</f>
        <v>-722.027397834002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-124.3116</v>
      </c>
      <c r="D18" s="4" t="n">
        <f aca="false">(D6-C6)*Assumptions!$B$51/100</f>
        <v>-133.013412</v>
      </c>
      <c r="E18" s="4" t="n">
        <f aca="false">(E6-D6)*Assumptions!$B$51/100</f>
        <v>-142.32435084</v>
      </c>
      <c r="F18" s="4" t="n">
        <f aca="false">(F6-E6)*Assumptions!$B$51/100</f>
        <v>-141.4094085846</v>
      </c>
      <c r="G18" s="4" t="n">
        <f aca="false">(G6-F6)*Assumptions!$B$51/100</f>
        <v>-139.016326285476</v>
      </c>
      <c r="H18" s="4" t="n">
        <f aca="false">(H6-G6)*Assumptions!$B$51/100</f>
        <v>-122.797754885504</v>
      </c>
      <c r="I18" s="4" t="n">
        <f aca="false">(I6-H6)*Assumptions!$B$51/100</f>
        <v>-116.043878366801</v>
      </c>
      <c r="J18" s="4" t="n">
        <f aca="false">(J6-I6)*Assumptions!$B$51/100</f>
        <v>-107.791869238495</v>
      </c>
      <c r="K18" s="4" t="n">
        <f aca="false">(K6-J6)*Assumptions!$B$51/100</f>
        <v>-98.0906010070305</v>
      </c>
      <c r="L18" s="4" t="n">
        <f aca="false">(L6-K6)*Assumptions!$B$51/100</f>
        <v>-87.0203760362373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685.1700216</v>
      </c>
      <c r="D19" s="0" t="n">
        <f aca="false">D15+D16+D17+D18</f>
        <v>797.17788099</v>
      </c>
      <c r="E19" s="0" t="n">
        <f aca="false">E15+E16+E17+E18</f>
        <v>982.96821208899</v>
      </c>
      <c r="F19" s="0" t="n">
        <f aca="false">F15+F16+F17+F18</f>
        <v>1177.12183058695</v>
      </c>
      <c r="G19" s="0" t="n">
        <f aca="false">G15+G16+G17+G18</f>
        <v>1353.84621300383</v>
      </c>
      <c r="H19" s="0" t="n">
        <f aca="false">H15+H16+H17+H18</f>
        <v>1504.71763920888</v>
      </c>
      <c r="I19" s="0" t="n">
        <f aca="false">I15+I16+I17+I18</f>
        <v>1602.89958639583</v>
      </c>
      <c r="J19" s="0" t="n">
        <f aca="false">J15+J16+J17+J18</f>
        <v>1698.82680716599</v>
      </c>
      <c r="K19" s="0" t="n">
        <f aca="false">K15+K16+K17+K18</f>
        <v>1771.75972907162</v>
      </c>
      <c r="L19" s="0" t="n">
        <f aca="false">L15+L16+L17+L18</f>
        <v>1838.92546394477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631.493107465438</v>
      </c>
      <c r="D21" s="0" t="n">
        <f aca="false">D19*D20</f>
        <v>677.166965524857</v>
      </c>
      <c r="E21" s="0" t="n">
        <f aca="false">E19*E20</f>
        <v>769.573773744445</v>
      </c>
      <c r="F21" s="0" t="n">
        <f aca="false">F19*F20</f>
        <v>849.380842401961</v>
      </c>
      <c r="G21" s="0" t="n">
        <f aca="false">G19*G20</f>
        <v>900.369227794581</v>
      </c>
      <c r="H21" s="0" t="n">
        <f aca="false">H19*H20</f>
        <v>922.309289674882</v>
      </c>
      <c r="I21" s="0" t="n">
        <f aca="false">I19*I20</f>
        <v>905.520213997726</v>
      </c>
      <c r="J21" s="0" t="n">
        <f aca="false">J19*J20</f>
        <v>884.527215453629</v>
      </c>
      <c r="K21" s="0" t="n">
        <f aca="false">K19*K20</f>
        <v>850.231483523135</v>
      </c>
      <c r="L21" s="0" t="n">
        <f aca="false">L19*L20</f>
        <v>813.329912042728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8203.90203162338</v>
      </c>
    </row>
    <row r="31" customFormat="false" ht="15" hidden="false" customHeight="false" outlineLevel="0" collapsed="false">
      <c r="A31" s="0" t="s">
        <v>136</v>
      </c>
      <c r="B31" s="0" t="n">
        <f aca="false">L19</f>
        <v>1838.92546394477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31414.9766757231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25744.9564952268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25744.9564952268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11386.6187685982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19590.5208002216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18707.5208002216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107.824327378799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0.397231143952296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722.446123827785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1034.65033391436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117.951684483941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15079.1888043471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50.7321972777116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49.9843295311256</v>
      </c>
      <c r="C4" s="0" t="n">
        <f aca="false">B4/Assumptions!$B$2-1</f>
        <v>-0.352282888024807</v>
      </c>
      <c r="D4" s="4" t="n">
        <f aca="false">Assumptions!$B$24</f>
        <v>0.2</v>
      </c>
      <c r="E4" s="4" t="n">
        <f aca="false">DCF_Bear!$B$43</f>
        <v>57.6786793667049</v>
      </c>
      <c r="F4" s="4" t="n">
        <f aca="false">DCF_Bear!$B$47</f>
        <v>23.8039773547896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83.0327221325748</v>
      </c>
      <c r="C5" s="0" t="n">
        <f aca="false">B5/Assumptions!$B$2-1</f>
        <v>0.0759715191470101</v>
      </c>
      <c r="D5" s="4" t="n">
        <f aca="false">Assumptions!$B$38</f>
        <v>0.5</v>
      </c>
      <c r="E5" s="4" t="n">
        <f aca="false">DCF_Base!$B$43</f>
        <v>92.2646389246028</v>
      </c>
      <c r="F5" s="4" t="n">
        <f aca="false">DCF_Base!$B$47</f>
        <v>39.34399879324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107.824327378799</v>
      </c>
      <c r="C6" s="0" t="n">
        <f aca="false">B6/Assumptions!$B$2-1</f>
        <v>0.397231143952296</v>
      </c>
      <c r="D6" s="4" t="n">
        <f aca="false">Assumptions!$B$52</f>
        <v>0.3</v>
      </c>
      <c r="E6" s="4" t="n">
        <f aca="false">DCF_Bull!$B$43</f>
        <v>117.951684483941</v>
      </c>
      <c r="F6" s="4" t="n">
        <f aca="false">DCF_Bull!$B$47</f>
        <v>50.7321972777116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83.8605251861521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93.0535606808246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0.0797815798470211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-72.7781937753791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39.6524540508914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83.0327221325748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79.8333074512646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72.8277408033567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62.9150471957907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55.1198743321418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39.34399879324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97.4377433478549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97.4377433478549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97.4377433478549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97.4377433478549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97.4377433478549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89.8964630262897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89.8964630262897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89.8964630262897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89.8964630262897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89.8964630262897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83.0327221325748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83.0327221325748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83.0327221325748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83.0327221325748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83.0327221325748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72.5228971637872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75.4814179674242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76.7783037991555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76.7783037991555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76.7783037991555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63.0134381236282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65.1515528911373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67.5569320045851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70.2830283331593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71.0724860934703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2026-10-02T09:56:06Z</dcterms:created>
  <dc:creator>openpyxl</dc:creator>
  <dc:description/>
  <dc:language>en-NZ</dc:language>
  <cp:lastModifiedBy/>
  <dcterms:modified xsi:type="dcterms:W3CDTF">2026-10-02T09:56:06Z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