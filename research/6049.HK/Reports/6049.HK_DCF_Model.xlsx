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<sst xmlns="http://schemas.openxmlformats.org/spreadsheetml/2006/main" count="359" uniqueCount="169">
  <si>
    <t xml:space="preserve">Ticker</t>
  </si>
  <si>
    <t xml:space="preserve">6049.HK</t>
  </si>
  <si>
    <t xml:space="preserve">Company</t>
  </si>
  <si>
    <t xml:space="preserve">Poly Property Services Co., Ltd.</t>
  </si>
  <si>
    <t xml:space="preserve">Valuation date</t>
  </si>
  <si>
    <t xml:space="preserve">2026-10-23</t>
  </si>
  <si>
    <t xml:space="preserve">Current price</t>
  </si>
  <si>
    <t xml:space="preserve">Price as of</t>
  </si>
  <si>
    <t xml:space="preserve">2026-10-23T08:08:08Z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</si>
  <si>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</si>
  <si>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</si>
  <si>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</si>
  <si>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</si>
  <si>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</si>
  <si>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</si>
  <si>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</si>
  <si>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</si>
  <si>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</si>
  <si>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</si>
  <si>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</si>
  <si>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</si>
  <si>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</si>
  <si>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2026-10-23T10:53:46Z</t>
  </si>
  <si>
    <t xml:space="preserve">Drivers file</t>
  </si>
  <si>
    <t xml:space="preserve">6049.HK_Drivers.json</t>
  </si>
  <si>
    <t xml:space="preserve">Convention</t>
  </si>
  <si>
    <t xml:space="preserve">Percents stored as percents; formulas divide by 100. Blue = input, green = link, black = formula.</t>
  </si>
  <si>
    <t xml:space="preserve">Methodology</t>
  </si>
  <si>
    <t xml:space="preserve">summary: On an owner-FCF basis Poly Property is a ~RMB1.6bn/yr cash generator with no debt and a net-cash pile roughly equal to its entire market capitalisation; the enterprise value the market assigns to the operating business is close to zero. The house DCF therefore lands far above the price in every scenario, and the gap is not a modelling artefact - it is the market's discount for cash that is onshore, controlled by a state-owned parent, and returned only at a ~50% payout (6% yield). Readers who do not trust the cash should haircut it explicitly: every 10% haircut on the RMB11.65bn of post-dividend net cash is RMB2.1/share (HK$2.5). A 50% haircut still leaves the weighted value above the price. The valuation is roughly one-third cash and two-thirds operating business.
key_risks_to_valuation: Related-party cash extraction: the parent has twice (FY2021, FY2024) sold ~RMB850m of three-year prepaid carpark/clubhouse leases to the company; larger or more frequent transfers convert net cash into depreciating assets.; Receivables and collection: trade receivables rose 29% in H1 FY2026 against 5% revenue growth and the impairment charge doubled; a sustained working-capital drag would cut owner FCF below the modelled level.; Parent financial stress and management turnover: Poly Developments FY2025 net profit fell ~84.5% and its early-2026 sales ~37%; the subsidiary changed general manager twice in ~7 months (Analysis.json recent developments).; Parent delivery pipeline: 36% of contracted GFA and 54% of property management revenue come from Poly Developments projects; developer-linked VAS has already fallen 17% year on year.; Fee and margin pressure: owners' committees renegotiating fees, wage inflation, and mix shift toward lower-margin public and third-party projects.; Cash never reaching minorities: with no buybacks and a ~50% payout, the DCF credits cash the market may never see; the HKD value also carries CNY/HKD exposure.; Terminal-value sensitivity: ~50% of enterprise value sits in the terminal year at a 10% WACC; the sensitivity grid shows the swing.</t>
  </si>
  <si>
    <t xml:space="preserve">Data sources</t>
  </si>
  <si>
    <t xml:space="preserve">price: Yahoo Finance chart API at inputs.price_as_of; 52-week range 25.6-37.5 HKD. FX: Yahoo CNYHKD=X on the same date.
financials: 6049.HK_Metrics.csv (core_metrics, FY2018-FY2025 annual plus H1 FY2023-FY2026); FY2025 annual report (cash flow statement, notes 7, 14, 18); H1 FY2026 interim report (statement of financial position, cash flow, notes 16, 18, 23, 24, 25).
qualitative: H1 FY2026 interim MD&amp;A (business review, future development, financial review); FY2024 annual report note 14 for the leased-asset cycle; 6049.HK_Analysis.json bull/bear cases and recent developments (landed during the build and cross-checked against the scenario axes).</t>
  </si>
  <si>
    <t xml:space="preserve">Scenario narrative: bear</t>
  </si>
  <si>
    <t xml:space="preserve">The property downturn runs longer: Poly Developments' deliveries fall, developer VAS and office leasing keep contracting, and the public/third-party portfolio proves lower-fee and slower-paying, so revenue stalls at zero growth for FY2028-29 before resuming ~2%. Fee-cut pressure from owners' committees and wage inflation compress the EBITDA margin to 11%. Trade receivables (already +29% in H1 FY2026 on +5% revenue, impairment charge doubled) keep absorbing cash at 15% of revenue change. Poly Developments itself is weakening fast (FY2025 net profit down ~84.5%, February 2026 contracted sales down ~37% year on year), and two general-manager changes in about seven months leave execution in new hands. The parent, under its own cash strain, extracts cash from the subsidiary through larger related-party prepaid-lease and asset purchases, modelled as capex at 3% of revenue indefinitely. The cash pile is never distributed beyond a ~50% payout. Terminal growth 2%.</t>
  </si>
  <si>
    <t xml:space="preserve">Scenario narrative: base</t>
  </si>
  <si>
    <t xml:space="preserve">Poly Property keeps compounding managed GFA at 4-5% a year on the back of Poly Developments' core-city pipeline (36% of contracted GFA, 54% of management revenue) and a third-party expansion engine winning ~RMB1.4bn of annualised contract value per half, while the two developer- and consumer-linked VAS lines keep shrinking at double digits until they are too small to matter (~20% of revenue today, down from 30%). Group revenue grows ~5% fading to 2.5%; the EBITDA margin ex interest income drifts from 13.9% to 13.5% as third-party and public-property mix dilutes it and robotics/AI cost-out only partly offsets wage inflation. Working capital is neutral: contract-liability and payable growth offsets the receivables build. Capex is charged at a normalized 2% of revenue so the three-year carpark/clubhouse lease renewals are not forgotten in the years they do not fall. Net cash of RMB12.4bn less the RMB775m dividend already declared is added in full.</t>
  </si>
  <si>
    <t xml:space="preserve">Scenario narrative: bull</t>
  </si>
  <si>
    <t xml:space="preserve">China's housing market stabilises in 2027, Poly Developments' deliveries recover and pre-delivery VAS stops shrinking; third-party wins in commercial/IFM and public scenic-area contracts (21.8% growth in commercial/office fees in H1 FY2026) lift group growth to 7% for three years. Fee collection rates improve under the state's property-service-quality programme, so working capital turns modestly positive again (+10% of revenue change), and the company's robotics pilots (cleaning robots in 100+ projects, AI work-order dispatch) lift the EBITDA margin to ~14.8%. Payout rises further toward the sector's 60-70%, which is what would make the market pay for the cash.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</si>
  <si>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</si>
  <si>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</si>
  <si>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</si>
  <si>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</si>
  <si>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</si>
  <si>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</si>
  <si>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</si>
  <si>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</si>
  <si>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</si>
  <si>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</si>
  <si>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</si>
  <si>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</si>
  <si>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</si>
  <si>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</si>
  <si>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</si>
  <si>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</si>
  <si>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</si>
  <si>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</si>
  <si>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</si>
  <si>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</si>
  <si>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</si>
  <si>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</si>
  <si>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</si>
  <si>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</si>
  <si>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</si>
  <si>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</si>
  <si>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</si>
  <si>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</si>
  <si>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ContractedGFA</t>
  </si>
  <si>
    <t xml:space="preserve">ManagedGFA</t>
  </si>
  <si>
    <t xml:space="preserve">NetIncomeIncludingNCI</t>
  </si>
  <si>
    <t xml:space="preserve">SegmentRevenuePropertyServices</t>
  </si>
  <si>
    <t xml:space="preserve">TimeDeposits</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</si>
  <si>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</si>
  <si>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</si>
  <si>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</si>
  <si>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</si>
  <si>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</si>
  <si>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</si>
  <si>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</si>
  <si>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</si>
  <si>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</si>
  <si>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</si>
  <si>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</si>
  <si>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</si>
  <si>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</si>
  <si>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</si>
  <si>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</si>
  <si>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</si>
  <si>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</si>
  <si>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</si>
  <si>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</si>
  <si>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</si>
  <si>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</si>
  <si>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</si>
  <si>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</si>
  <si>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</si>
  <si>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</si>
  <si>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</si>
  <si>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</si>
  <si>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</si>
  <si>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</si>
  <si>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</si>
  <si>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</si>
  <si>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</si>
  <si>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</si>
  <si>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</si>
  <si>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</si>
  <si>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</si>
  <si>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</si>
  <si>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</si>
  <si>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</si>
  <si>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</si>
  <si>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</si>
  <si>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</si>
  <si>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</si>
  <si>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</si>
  <si>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</si>
  <si>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6049.HK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</si>
  <si>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</si>
  <si>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</si>
  <si>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</si>
  <si>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</si>
  <si>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</si>
  <si>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</si>
  <si>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</si>
  <si>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</si>
  <si>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</si>
  <si>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</si>
  <si>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</si>
  <si>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</si>
  <si>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</si>
  <si>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</si>
  <si>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</si>
  <si>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</si>
  <si>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</si>
  <si>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</si>
  <si>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</si>
  <si>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</si>
  <si>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</si>
  <si>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</si>
  <si>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</si>
  <si>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</si>
  <si>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</si>
  <si>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</si>
  <si>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</si>
  <si>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</si>
  <si>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</si>
  <si>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</si>
  <si>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6049.HK owner-FCF component DCF: base case (millions, CNY)</t>
  </si>
  <si>
    <t xml:space="preserve">6049.HK owner-FCF component DCF: bull case (millions, CNY)</t>
  </si>
  <si>
    <t xml:space="preserve">6049.HK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</si>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</sst>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4229.378</v>
      </c>
      <c r="C2" s="0" t="n">
        <v>3378.1</v>
      </c>
      <c r="D2" s="0" t="n">
        <v>851.278</v>
      </c>
      <c r="E2" s="0" t="n">
        <v>20.1</v>
      </c>
      <c r="F2" s="0" t="n">
        <v>463.636</v>
      </c>
      <c r="G2" s="0" t="n">
        <v>11</v>
      </c>
      <c r="I2" s="0" t="n">
        <v>328.444</v>
      </c>
      <c r="J2" s="0" t="n">
        <v>7.8</v>
      </c>
      <c r="K2" s="0" t="n">
        <v>0.82</v>
      </c>
      <c r="L2" s="0" t="n">
        <v>432.751</v>
      </c>
      <c r="M2" s="0" t="n">
        <v>30.293</v>
      </c>
      <c r="N2" s="0" t="n">
        <v>402.458</v>
      </c>
      <c r="O2" s="0" t="n">
        <v>649.858</v>
      </c>
      <c r="P2" s="0" t="n">
        <v>2552.432</v>
      </c>
      <c r="Q2" s="0" t="n">
        <v>1859.303</v>
      </c>
      <c r="R2" s="0" t="n">
        <v>0</v>
      </c>
      <c r="S2" s="0" t="n">
        <v>1793.57</v>
      </c>
      <c r="T2" s="0" t="n">
        <v>400</v>
      </c>
      <c r="AA2" s="0" t="s">
        <v>18</v>
      </c>
      <c r="AB2" s="0" t="s">
        <v>14</v>
      </c>
      <c r="AC2" s="0" t="n">
        <v>30.293</v>
      </c>
      <c r="AF2" s="0" t="n">
        <v>336.067</v>
      </c>
    </row>
    <row r="3" customFormat="false" ht="15" hidden="false" customHeight="false" outlineLevel="0" collapsed="false">
      <c r="A3" s="0" t="s">
        <v>71</v>
      </c>
      <c r="B3" s="0" t="n">
        <v>5966.836</v>
      </c>
      <c r="C3" s="0" t="n">
        <v>4756.115</v>
      </c>
      <c r="D3" s="0" t="n">
        <v>1210.721</v>
      </c>
      <c r="E3" s="0" t="n">
        <v>20.3</v>
      </c>
      <c r="F3" s="0" t="n">
        <v>686.332</v>
      </c>
      <c r="G3" s="0" t="n">
        <v>11.5</v>
      </c>
      <c r="I3" s="0" t="n">
        <v>490.511</v>
      </c>
      <c r="J3" s="0" t="n">
        <v>8.2</v>
      </c>
      <c r="K3" s="0" t="n">
        <v>1.21</v>
      </c>
      <c r="L3" s="0" t="n">
        <v>694.425</v>
      </c>
      <c r="M3" s="0" t="n">
        <v>35.152</v>
      </c>
      <c r="N3" s="0" t="n">
        <v>659.273</v>
      </c>
      <c r="O3" s="0" t="n">
        <v>5055.487</v>
      </c>
      <c r="P3" s="0" t="n">
        <v>7571.067</v>
      </c>
      <c r="Q3" s="0" t="n">
        <v>2448.819</v>
      </c>
      <c r="R3" s="0" t="n">
        <v>0</v>
      </c>
      <c r="S3" s="0" t="n">
        <v>6508.618</v>
      </c>
      <c r="T3" s="0" t="n">
        <v>533.333</v>
      </c>
      <c r="AA3" s="0" t="s">
        <v>18</v>
      </c>
      <c r="AB3" s="0" t="s">
        <v>14</v>
      </c>
      <c r="AC3" s="0" t="n">
        <v>35.152</v>
      </c>
      <c r="AF3" s="0" t="n">
        <v>503.182</v>
      </c>
    </row>
    <row r="4" customFormat="false" ht="15" hidden="false" customHeight="false" outlineLevel="0" collapsed="false">
      <c r="A4" s="0" t="s">
        <v>72</v>
      </c>
      <c r="B4" s="0" t="n">
        <v>8037.156</v>
      </c>
      <c r="C4" s="0" t="n">
        <v>6538.095</v>
      </c>
      <c r="D4" s="0" t="n">
        <v>1499.061</v>
      </c>
      <c r="E4" s="0" t="n">
        <v>18.7</v>
      </c>
      <c r="F4" s="0" t="n">
        <v>939.997</v>
      </c>
      <c r="G4" s="0" t="n">
        <v>11.7</v>
      </c>
      <c r="H4" s="0" t="n">
        <v>1043.571</v>
      </c>
      <c r="I4" s="0" t="n">
        <v>673.525</v>
      </c>
      <c r="J4" s="0" t="n">
        <v>8.4</v>
      </c>
      <c r="K4" s="0" t="n">
        <v>1.22</v>
      </c>
      <c r="L4" s="0" t="n">
        <v>548.832</v>
      </c>
      <c r="M4" s="0" t="n">
        <v>54.398</v>
      </c>
      <c r="N4" s="0" t="n">
        <v>494.434</v>
      </c>
      <c r="O4" s="0" t="n">
        <v>6170.906</v>
      </c>
      <c r="P4" s="0" t="n">
        <v>9444.182</v>
      </c>
      <c r="Q4" s="0" t="n">
        <v>3197.403</v>
      </c>
      <c r="R4" s="0" t="n">
        <v>0</v>
      </c>
      <c r="S4" s="0" t="n">
        <v>7448.102</v>
      </c>
      <c r="T4" s="0" t="n">
        <v>553.333</v>
      </c>
      <c r="AA4" s="0" t="s">
        <v>18</v>
      </c>
      <c r="AB4" s="0" t="s">
        <v>14</v>
      </c>
      <c r="AC4" s="0" t="n">
        <v>54.398</v>
      </c>
      <c r="AF4" s="0" t="n">
        <v>696.115</v>
      </c>
    </row>
    <row r="5" customFormat="false" ht="15" hidden="false" customHeight="false" outlineLevel="0" collapsed="false">
      <c r="A5" s="0" t="s">
        <v>73</v>
      </c>
      <c r="B5" s="0" t="n">
        <v>10782.549</v>
      </c>
      <c r="C5" s="0" t="n">
        <v>8767.909</v>
      </c>
      <c r="D5" s="0" t="n">
        <v>2014.64</v>
      </c>
      <c r="E5" s="0" t="n">
        <v>18.7</v>
      </c>
      <c r="F5" s="0" t="n">
        <v>1173</v>
      </c>
      <c r="G5" s="0" t="n">
        <v>10.9</v>
      </c>
      <c r="H5" s="0" t="n">
        <v>1495.191</v>
      </c>
      <c r="I5" s="0" t="n">
        <v>845.693</v>
      </c>
      <c r="J5" s="0" t="n">
        <v>7.8</v>
      </c>
      <c r="K5" s="0" t="n">
        <v>1.53</v>
      </c>
      <c r="L5" s="0" t="n">
        <v>1449.243</v>
      </c>
      <c r="M5" s="0" t="n">
        <v>921.45</v>
      </c>
      <c r="N5" s="0" t="n">
        <v>527.793</v>
      </c>
      <c r="O5" s="0" t="n">
        <v>6785.666</v>
      </c>
      <c r="P5" s="0" t="n">
        <v>11137.923</v>
      </c>
      <c r="Q5" s="0" t="n">
        <v>4249.161</v>
      </c>
      <c r="R5" s="0" t="n">
        <v>0</v>
      </c>
      <c r="S5" s="0" t="n">
        <v>7690.572</v>
      </c>
      <c r="T5" s="0" t="n">
        <v>553.333</v>
      </c>
      <c r="U5" s="0" t="n">
        <v>0</v>
      </c>
      <c r="AA5" s="0" t="s">
        <v>18</v>
      </c>
      <c r="AB5" s="0" t="s">
        <v>14</v>
      </c>
      <c r="AC5" s="0" t="n">
        <v>66.242</v>
      </c>
      <c r="AD5" s="0" t="n">
        <v>656.3</v>
      </c>
      <c r="AE5" s="0" t="n">
        <v>465.3</v>
      </c>
      <c r="AF5" s="0" t="n">
        <v>870.884</v>
      </c>
    </row>
    <row r="6" customFormat="false" ht="15" hidden="false" customHeight="false" outlineLevel="0" collapsed="false">
      <c r="A6" s="0" t="s">
        <v>74</v>
      </c>
      <c r="B6" s="0" t="n">
        <v>13686.662</v>
      </c>
      <c r="C6" s="0" t="n">
        <v>11112.818</v>
      </c>
      <c r="D6" s="0" t="n">
        <v>2573.844</v>
      </c>
      <c r="E6" s="0" t="n">
        <v>18.8</v>
      </c>
      <c r="F6" s="0" t="n">
        <v>1517.987</v>
      </c>
      <c r="G6" s="0" t="n">
        <v>11.1</v>
      </c>
      <c r="H6" s="0" t="n">
        <v>1899.773</v>
      </c>
      <c r="I6" s="0" t="n">
        <v>1112.933</v>
      </c>
      <c r="J6" s="0" t="n">
        <v>8.1</v>
      </c>
      <c r="K6" s="0" t="n">
        <v>2.01</v>
      </c>
      <c r="L6" s="0" t="n">
        <v>1474.275</v>
      </c>
      <c r="M6" s="0" t="n">
        <v>168.789</v>
      </c>
      <c r="N6" s="0" t="n">
        <v>1305.486</v>
      </c>
      <c r="O6" s="0" t="n">
        <v>7690.624</v>
      </c>
      <c r="P6" s="0" t="n">
        <v>13109.537</v>
      </c>
      <c r="Q6" s="0" t="n">
        <v>5264.708</v>
      </c>
      <c r="R6" s="0" t="n">
        <v>0</v>
      </c>
      <c r="S6" s="0" t="n">
        <v>8956.316</v>
      </c>
      <c r="T6" s="0" t="n">
        <v>553.333</v>
      </c>
      <c r="U6" s="0" t="n">
        <v>21.316</v>
      </c>
      <c r="AA6" s="0" t="s">
        <v>18</v>
      </c>
      <c r="AB6" s="0" t="s">
        <v>14</v>
      </c>
      <c r="AC6" s="0" t="n">
        <v>74.099</v>
      </c>
      <c r="AF6" s="0" t="n">
        <v>1133.349</v>
      </c>
    </row>
    <row r="7" customFormat="false" ht="15" hidden="false" customHeight="false" outlineLevel="0" collapsed="false">
      <c r="A7" s="0" t="s">
        <v>75</v>
      </c>
      <c r="B7" s="0" t="n">
        <v>15061.858</v>
      </c>
      <c r="C7" s="0" t="n">
        <v>12108.767</v>
      </c>
      <c r="D7" s="0" t="n">
        <v>2953.091</v>
      </c>
      <c r="E7" s="0" t="n">
        <v>19.6</v>
      </c>
      <c r="F7" s="0" t="n">
        <v>1845.767</v>
      </c>
      <c r="G7" s="0" t="n">
        <v>12.3</v>
      </c>
      <c r="H7" s="0" t="n">
        <v>2233.832</v>
      </c>
      <c r="I7" s="0" t="n">
        <v>1380.14</v>
      </c>
      <c r="J7" s="0" t="n">
        <v>9.2</v>
      </c>
      <c r="K7" s="0" t="n">
        <v>2.51</v>
      </c>
      <c r="L7" s="0" t="n">
        <v>2415.943</v>
      </c>
      <c r="M7" s="0" t="n">
        <v>76.592</v>
      </c>
      <c r="N7" s="0" t="n">
        <v>2339.351</v>
      </c>
      <c r="O7" s="0" t="n">
        <v>8719.905</v>
      </c>
      <c r="P7" s="0" t="n">
        <v>14877.257</v>
      </c>
      <c r="Q7" s="0" t="n">
        <v>6000.723</v>
      </c>
      <c r="R7" s="0" t="n">
        <v>0</v>
      </c>
      <c r="S7" s="0" t="n">
        <v>11011.462</v>
      </c>
      <c r="T7" s="0" t="n">
        <v>553.333</v>
      </c>
      <c r="U7" s="0" t="n">
        <v>38.985</v>
      </c>
      <c r="AA7" s="0" t="s">
        <v>18</v>
      </c>
      <c r="AB7" s="0" t="s">
        <v>14</v>
      </c>
      <c r="AC7" s="0" t="n">
        <v>76.592</v>
      </c>
      <c r="AD7" s="0" t="n">
        <v>922.2</v>
      </c>
      <c r="AE7" s="0" t="n">
        <v>719.6</v>
      </c>
      <c r="AF7" s="0" t="n">
        <v>1397.186</v>
      </c>
    </row>
    <row r="8" customFormat="false" ht="15" hidden="false" customHeight="false" outlineLevel="0" collapsed="false">
      <c r="A8" s="0" t="s">
        <v>76</v>
      </c>
      <c r="B8" s="0" t="n">
        <v>16342.312</v>
      </c>
      <c r="C8" s="0" t="n">
        <v>13358.006</v>
      </c>
      <c r="D8" s="0" t="n">
        <v>2984.306</v>
      </c>
      <c r="E8" s="0" t="n">
        <v>18.3</v>
      </c>
      <c r="F8" s="0" t="n">
        <v>1969.151</v>
      </c>
      <c r="G8" s="0" t="n">
        <v>12</v>
      </c>
      <c r="H8" s="0" t="n">
        <v>2355.863</v>
      </c>
      <c r="I8" s="0" t="n">
        <v>1473.85</v>
      </c>
      <c r="J8" s="0" t="n">
        <v>9</v>
      </c>
      <c r="K8" s="0" t="n">
        <v>2.68</v>
      </c>
      <c r="L8" s="0" t="n">
        <v>2302.756</v>
      </c>
      <c r="M8" s="0" t="n">
        <v>906.508</v>
      </c>
      <c r="N8" s="0" t="n">
        <v>1396.248</v>
      </c>
      <c r="O8" s="0" t="n">
        <v>9701.014</v>
      </c>
      <c r="P8" s="0" t="n">
        <v>16781.237</v>
      </c>
      <c r="Q8" s="0" t="n">
        <v>6909.889</v>
      </c>
      <c r="R8" s="0" t="n">
        <v>0</v>
      </c>
      <c r="S8" s="0" t="n">
        <v>9890.671</v>
      </c>
      <c r="T8" s="0" t="n">
        <v>549.319</v>
      </c>
      <c r="U8" s="0" t="n">
        <v>26.335</v>
      </c>
      <c r="AA8" s="0" t="s">
        <v>18</v>
      </c>
      <c r="AB8" s="0" t="s">
        <v>14</v>
      </c>
      <c r="AC8" s="0" t="n">
        <v>66.515</v>
      </c>
      <c r="AF8" s="0" t="n">
        <v>1489.436</v>
      </c>
      <c r="AH8" s="0" t="n">
        <v>1993.544</v>
      </c>
    </row>
    <row r="9" customFormat="false" ht="15" hidden="false" customHeight="false" outlineLevel="0" collapsed="false">
      <c r="A9" s="0" t="s">
        <v>77</v>
      </c>
      <c r="B9" s="0" t="n">
        <v>17126.068</v>
      </c>
      <c r="C9" s="0" t="n">
        <v>14140.98</v>
      </c>
      <c r="D9" s="0" t="n">
        <v>2985.088</v>
      </c>
      <c r="E9" s="0" t="n">
        <v>17.4</v>
      </c>
      <c r="F9" s="0" t="n">
        <v>2070.382</v>
      </c>
      <c r="G9" s="0" t="n">
        <v>12.1</v>
      </c>
      <c r="H9" s="0" t="n">
        <v>2449.384</v>
      </c>
      <c r="I9" s="0" t="n">
        <v>1549.45</v>
      </c>
      <c r="J9" s="0" t="n">
        <v>9</v>
      </c>
      <c r="K9" s="0" t="n">
        <v>2.81</v>
      </c>
      <c r="L9" s="0" t="n">
        <v>1827.154</v>
      </c>
      <c r="M9" s="0" t="n">
        <v>48.694</v>
      </c>
      <c r="N9" s="0" t="n">
        <v>1778.46</v>
      </c>
      <c r="O9" s="0" t="n">
        <v>10553.375</v>
      </c>
      <c r="P9" s="0" t="n">
        <v>18255.693</v>
      </c>
      <c r="Q9" s="0" t="n">
        <v>7514.98</v>
      </c>
      <c r="R9" s="0" t="n">
        <v>0</v>
      </c>
      <c r="S9" s="0" t="n">
        <v>10709.927</v>
      </c>
      <c r="T9" s="0" t="n">
        <v>551.338</v>
      </c>
      <c r="U9" s="0" t="n">
        <v>-17.316</v>
      </c>
      <c r="AA9" s="0" t="s">
        <v>18</v>
      </c>
      <c r="AB9" s="0" t="s">
        <v>14</v>
      </c>
      <c r="AC9" s="0" t="n">
        <v>44.979</v>
      </c>
      <c r="AD9" s="0" t="n">
        <v>1012.1</v>
      </c>
      <c r="AE9" s="0" t="n">
        <v>855</v>
      </c>
      <c r="AF9" s="0" t="n">
        <v>1567.857</v>
      </c>
      <c r="AG9" s="0" t="n">
        <v>13149.8</v>
      </c>
      <c r="AH9" s="0" t="n">
        <v>2239.378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26.3</v>
      </c>
    </row>
    <row r="3" customFormat="false" ht="15" hidden="false" customHeight="false" outlineLevel="0" collapsed="false">
      <c r="A3" s="0" t="s">
        <v>81</v>
      </c>
      <c r="B3" s="3" t="n">
        <v>553.333</v>
      </c>
    </row>
    <row r="4" customFormat="false" ht="15" hidden="false" customHeight="false" outlineLevel="0" collapsed="false">
      <c r="A4" s="0" t="s">
        <v>82</v>
      </c>
      <c r="B4" s="3" t="n">
        <v>-12427.986</v>
      </c>
    </row>
    <row r="5" customFormat="false" ht="15" hidden="false" customHeight="false" outlineLevel="0" collapsed="false">
      <c r="A5" s="0" t="s">
        <v>83</v>
      </c>
      <c r="B5" s="3" t="n">
        <v>-775.22</v>
      </c>
    </row>
    <row r="6" customFormat="false" ht="15" hidden="false" customHeight="false" outlineLevel="0" collapsed="false">
      <c r="A6" s="0" t="s">
        <v>84</v>
      </c>
      <c r="B6" s="3" t="n">
        <v>15</v>
      </c>
    </row>
    <row r="7" customFormat="false" ht="15" hidden="false" customHeight="false" outlineLevel="0" collapsed="false">
      <c r="A7" s="0" t="s">
        <v>85</v>
      </c>
      <c r="B7" s="3" t="n">
        <v>17126.068</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1.1748</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3</v>
      </c>
      <c r="D13" s="3" t="n">
        <v>1</v>
      </c>
      <c r="E13" s="3" t="n">
        <v>0</v>
      </c>
      <c r="F13" s="3" t="n">
        <v>0</v>
      </c>
      <c r="G13" s="3" t="n">
        <v>0.5</v>
      </c>
      <c r="H13" s="3" t="n">
        <v>1</v>
      </c>
      <c r="I13" s="3" t="n">
        <v>1.5</v>
      </c>
      <c r="J13" s="3" t="n">
        <v>2</v>
      </c>
      <c r="K13" s="3" t="n">
        <v>2</v>
      </c>
      <c r="L13" s="3" t="n">
        <v>2</v>
      </c>
    </row>
    <row r="14" customFormat="false" ht="15" hidden="false" customHeight="false" outlineLevel="0" collapsed="false">
      <c r="A14" s="0" t="s">
        <v>102</v>
      </c>
      <c r="C14" s="3" t="n">
        <v>13.2</v>
      </c>
      <c r="D14" s="3" t="n">
        <v>12.6</v>
      </c>
      <c r="E14" s="3" t="n">
        <v>12</v>
      </c>
      <c r="F14" s="3" t="n">
        <v>11.5</v>
      </c>
      <c r="G14" s="3" t="n">
        <v>11.2</v>
      </c>
      <c r="H14" s="3" t="n">
        <v>11</v>
      </c>
      <c r="I14" s="3" t="n">
        <v>11</v>
      </c>
      <c r="J14" s="3" t="n">
        <v>11</v>
      </c>
      <c r="K14" s="3" t="n">
        <v>11</v>
      </c>
      <c r="L14" s="3" t="n">
        <v>11</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0.2</v>
      </c>
      <c r="D16" s="3" t="n">
        <v>0.2</v>
      </c>
      <c r="E16" s="3" t="n">
        <v>0.2</v>
      </c>
      <c r="F16" s="3" t="n">
        <v>0.2</v>
      </c>
      <c r="G16" s="3" t="n">
        <v>0.2</v>
      </c>
      <c r="H16" s="3" t="n">
        <v>0.2</v>
      </c>
      <c r="I16" s="3" t="n">
        <v>0.2</v>
      </c>
      <c r="J16" s="3" t="n">
        <v>0.2</v>
      </c>
      <c r="K16" s="3" t="n">
        <v>0.2</v>
      </c>
      <c r="L16" s="3" t="n">
        <v>0.2</v>
      </c>
    </row>
    <row r="17" customFormat="false" ht="15" hidden="false" customHeight="false" outlineLevel="0" collapsed="false">
      <c r="A17" s="0" t="s">
        <v>105</v>
      </c>
      <c r="C17" s="3" t="n">
        <v>2</v>
      </c>
      <c r="D17" s="3" t="n">
        <v>2.2</v>
      </c>
      <c r="E17" s="3" t="n">
        <v>2.4</v>
      </c>
      <c r="F17" s="3" t="n">
        <v>2.6</v>
      </c>
      <c r="G17" s="3" t="n">
        <v>2.8</v>
      </c>
      <c r="H17" s="3" t="n">
        <v>2.9</v>
      </c>
      <c r="I17" s="3" t="n">
        <v>3</v>
      </c>
      <c r="J17" s="3" t="n">
        <v>3</v>
      </c>
      <c r="K17" s="3" t="n">
        <v>3</v>
      </c>
      <c r="L17" s="3" t="n">
        <v>3</v>
      </c>
    </row>
    <row r="18" customFormat="false" ht="15" hidden="false" customHeight="false" outlineLevel="0" collapsed="false">
      <c r="A18" s="0" t="s">
        <v>106</v>
      </c>
      <c r="C18" s="3" t="n">
        <v>3</v>
      </c>
      <c r="D18" s="3" t="n">
        <v>3</v>
      </c>
      <c r="E18" s="3" t="n">
        <v>3</v>
      </c>
      <c r="F18" s="3" t="n">
        <v>3</v>
      </c>
      <c r="G18" s="3" t="n">
        <v>3</v>
      </c>
      <c r="H18" s="3" t="n">
        <v>3</v>
      </c>
      <c r="I18" s="3" t="n">
        <v>3</v>
      </c>
      <c r="J18" s="3" t="n">
        <v>3</v>
      </c>
      <c r="K18" s="3" t="n">
        <v>3</v>
      </c>
      <c r="L18" s="3" t="n">
        <v>3</v>
      </c>
    </row>
    <row r="19" customFormat="false" ht="15" hidden="false" customHeight="false" outlineLevel="0" collapsed="false">
      <c r="A19" s="0" t="s">
        <v>107</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108</v>
      </c>
      <c r="B20" s="3" t="n">
        <v>10</v>
      </c>
    </row>
    <row r="21" customFormat="false" ht="15" hidden="false" customHeight="false" outlineLevel="0" collapsed="false">
      <c r="A21" s="0" t="s">
        <v>109</v>
      </c>
      <c r="B21" s="3" t="n">
        <v>2</v>
      </c>
    </row>
    <row r="22" customFormat="false" ht="15" hidden="false" customHeight="false" outlineLevel="0" collapsed="false">
      <c r="A22" s="0" t="s">
        <v>110</v>
      </c>
      <c r="B22" s="3" t="n">
        <v>15</v>
      </c>
    </row>
    <row r="23" customFormat="false" ht="15" hidden="false" customHeight="false" outlineLevel="0" collapsed="false">
      <c r="A23" s="0" t="s">
        <v>111</v>
      </c>
      <c r="B23" s="3" t="n">
        <v>-15</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5</v>
      </c>
      <c r="D27" s="3" t="n">
        <v>5</v>
      </c>
      <c r="E27" s="3" t="n">
        <v>4.5</v>
      </c>
      <c r="F27" s="3" t="n">
        <v>4</v>
      </c>
      <c r="G27" s="3" t="n">
        <v>4</v>
      </c>
      <c r="H27" s="3" t="n">
        <v>3.5</v>
      </c>
      <c r="I27" s="3" t="n">
        <v>3</v>
      </c>
      <c r="J27" s="3" t="n">
        <v>3</v>
      </c>
      <c r="K27" s="3" t="n">
        <v>2.5</v>
      </c>
      <c r="L27" s="3" t="n">
        <v>2.5</v>
      </c>
    </row>
    <row r="28" customFormat="false" ht="15" hidden="false" customHeight="false" outlineLevel="0" collapsed="false">
      <c r="A28" s="0" t="s">
        <v>102</v>
      </c>
      <c r="C28" s="3" t="n">
        <v>13.8</v>
      </c>
      <c r="D28" s="3" t="n">
        <v>13.7</v>
      </c>
      <c r="E28" s="3" t="n">
        <v>13.6</v>
      </c>
      <c r="F28" s="3" t="n">
        <v>13.5</v>
      </c>
      <c r="G28" s="3" t="n">
        <v>13.5</v>
      </c>
      <c r="H28" s="3" t="n">
        <v>13.5</v>
      </c>
      <c r="I28" s="3" t="n">
        <v>13.5</v>
      </c>
      <c r="J28" s="3" t="n">
        <v>13.5</v>
      </c>
      <c r="K28" s="3" t="n">
        <v>13.5</v>
      </c>
      <c r="L28" s="3" t="n">
        <v>13.5</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0.2</v>
      </c>
      <c r="D30" s="3" t="n">
        <v>0.2</v>
      </c>
      <c r="E30" s="3" t="n">
        <v>0.2</v>
      </c>
      <c r="F30" s="3" t="n">
        <v>0.2</v>
      </c>
      <c r="G30" s="3" t="n">
        <v>0.2</v>
      </c>
      <c r="H30" s="3" t="n">
        <v>0.2</v>
      </c>
      <c r="I30" s="3" t="n">
        <v>0.2</v>
      </c>
      <c r="J30" s="3" t="n">
        <v>0.2</v>
      </c>
      <c r="K30" s="3" t="n">
        <v>0.2</v>
      </c>
      <c r="L30" s="3" t="n">
        <v>0.2</v>
      </c>
    </row>
    <row r="31" customFormat="false" ht="15" hidden="false" customHeight="false" outlineLevel="0" collapsed="false">
      <c r="A31" s="0" t="s">
        <v>105</v>
      </c>
      <c r="C31" s="3" t="n">
        <v>2</v>
      </c>
      <c r="D31" s="3" t="n">
        <v>2</v>
      </c>
      <c r="E31" s="3" t="n">
        <v>2</v>
      </c>
      <c r="F31" s="3" t="n">
        <v>2</v>
      </c>
      <c r="G31" s="3" t="n">
        <v>2</v>
      </c>
      <c r="H31" s="3" t="n">
        <v>2</v>
      </c>
      <c r="I31" s="3" t="n">
        <v>2</v>
      </c>
      <c r="J31" s="3" t="n">
        <v>2</v>
      </c>
      <c r="K31" s="3" t="n">
        <v>2</v>
      </c>
      <c r="L31" s="3" t="n">
        <v>2</v>
      </c>
    </row>
    <row r="32" customFormat="false" ht="15" hidden="false" customHeight="false" outlineLevel="0" collapsed="false">
      <c r="A32" s="0" t="s">
        <v>106</v>
      </c>
      <c r="C32" s="3" t="n">
        <v>2</v>
      </c>
      <c r="D32" s="3" t="n">
        <v>2</v>
      </c>
      <c r="E32" s="3" t="n">
        <v>2</v>
      </c>
      <c r="F32" s="3" t="n">
        <v>2</v>
      </c>
      <c r="G32" s="3" t="n">
        <v>2</v>
      </c>
      <c r="H32" s="3" t="n">
        <v>2</v>
      </c>
      <c r="I32" s="3" t="n">
        <v>2</v>
      </c>
      <c r="J32" s="3" t="n">
        <v>2</v>
      </c>
      <c r="K32" s="3" t="n">
        <v>2</v>
      </c>
      <c r="L32" s="3" t="n">
        <v>2</v>
      </c>
    </row>
    <row r="33" customFormat="false" ht="15" hidden="false" customHeight="false" outlineLevel="0" collapsed="false">
      <c r="A33" s="0" t="s">
        <v>107</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108</v>
      </c>
      <c r="B34" s="3" t="n">
        <v>10</v>
      </c>
    </row>
    <row r="35" customFormat="false" ht="15" hidden="false" customHeight="false" outlineLevel="0" collapsed="false">
      <c r="A35" s="0" t="s">
        <v>109</v>
      </c>
      <c r="B35" s="3" t="n">
        <v>2.5</v>
      </c>
    </row>
    <row r="36" customFormat="false" ht="15" hidden="false" customHeight="false" outlineLevel="0" collapsed="false">
      <c r="A36" s="0" t="s">
        <v>110</v>
      </c>
      <c r="B36" s="3" t="n">
        <v>15</v>
      </c>
    </row>
    <row r="37" customFormat="false" ht="15" hidden="false" customHeight="false" outlineLevel="0" collapsed="false">
      <c r="A37" s="0" t="s">
        <v>111</v>
      </c>
      <c r="B37" s="3" t="n">
        <v>0</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7</v>
      </c>
      <c r="D41" s="3" t="n">
        <v>7</v>
      </c>
      <c r="E41" s="3" t="n">
        <v>6.5</v>
      </c>
      <c r="F41" s="3" t="n">
        <v>6</v>
      </c>
      <c r="G41" s="3" t="n">
        <v>5</v>
      </c>
      <c r="H41" s="3" t="n">
        <v>4.5</v>
      </c>
      <c r="I41" s="3" t="n">
        <v>4</v>
      </c>
      <c r="J41" s="3" t="n">
        <v>3.5</v>
      </c>
      <c r="K41" s="3" t="n">
        <v>3</v>
      </c>
      <c r="L41" s="3" t="n">
        <v>3</v>
      </c>
    </row>
    <row r="42" customFormat="false" ht="15" hidden="false" customHeight="false" outlineLevel="0" collapsed="false">
      <c r="A42" s="0" t="s">
        <v>102</v>
      </c>
      <c r="C42" s="3" t="n">
        <v>14</v>
      </c>
      <c r="D42" s="3" t="n">
        <v>14.2</v>
      </c>
      <c r="E42" s="3" t="n">
        <v>14.4</v>
      </c>
      <c r="F42" s="3" t="n">
        <v>14.5</v>
      </c>
      <c r="G42" s="3" t="n">
        <v>14.6</v>
      </c>
      <c r="H42" s="3" t="n">
        <v>14.7</v>
      </c>
      <c r="I42" s="3" t="n">
        <v>14.8</v>
      </c>
      <c r="J42" s="3" t="n">
        <v>14.8</v>
      </c>
      <c r="K42" s="3" t="n">
        <v>14.8</v>
      </c>
      <c r="L42" s="3" t="n">
        <v>14.8</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0.2</v>
      </c>
      <c r="D44" s="3" t="n">
        <v>0.2</v>
      </c>
      <c r="E44" s="3" t="n">
        <v>0.2</v>
      </c>
      <c r="F44" s="3" t="n">
        <v>0.2</v>
      </c>
      <c r="G44" s="3" t="n">
        <v>0.2</v>
      </c>
      <c r="H44" s="3" t="n">
        <v>0.2</v>
      </c>
      <c r="I44" s="3" t="n">
        <v>0.2</v>
      </c>
      <c r="J44" s="3" t="n">
        <v>0.2</v>
      </c>
      <c r="K44" s="3" t="n">
        <v>0.2</v>
      </c>
      <c r="L44" s="3" t="n">
        <v>0.2</v>
      </c>
    </row>
    <row r="45" customFormat="false" ht="15" hidden="false" customHeight="false" outlineLevel="0" collapsed="false">
      <c r="A45" s="0" t="s">
        <v>105</v>
      </c>
      <c r="C45" s="3" t="n">
        <v>1.9</v>
      </c>
      <c r="D45" s="3" t="n">
        <v>1.9</v>
      </c>
      <c r="E45" s="3" t="n">
        <v>1.9</v>
      </c>
      <c r="F45" s="3" t="n">
        <v>1.9</v>
      </c>
      <c r="G45" s="3" t="n">
        <v>1.9</v>
      </c>
      <c r="H45" s="3" t="n">
        <v>1.9</v>
      </c>
      <c r="I45" s="3" t="n">
        <v>1.9</v>
      </c>
      <c r="J45" s="3" t="n">
        <v>1.9</v>
      </c>
      <c r="K45" s="3" t="n">
        <v>1.9</v>
      </c>
      <c r="L45" s="3" t="n">
        <v>1.9</v>
      </c>
    </row>
    <row r="46" customFormat="false" ht="15" hidden="false" customHeight="false" outlineLevel="0" collapsed="false">
      <c r="A46" s="0" t="s">
        <v>106</v>
      </c>
      <c r="C46" s="3" t="n">
        <v>1.8</v>
      </c>
      <c r="D46" s="3" t="n">
        <v>1.8</v>
      </c>
      <c r="E46" s="3" t="n">
        <v>1.8</v>
      </c>
      <c r="F46" s="3" t="n">
        <v>1.8</v>
      </c>
      <c r="G46" s="3" t="n">
        <v>1.8</v>
      </c>
      <c r="H46" s="3" t="n">
        <v>1.8</v>
      </c>
      <c r="I46" s="3" t="n">
        <v>1.8</v>
      </c>
      <c r="J46" s="3" t="n">
        <v>1.8</v>
      </c>
      <c r="K46" s="3" t="n">
        <v>1.8</v>
      </c>
      <c r="L46" s="3" t="n">
        <v>1.8</v>
      </c>
    </row>
    <row r="47" customFormat="false" ht="15" hidden="false" customHeight="false" outlineLevel="0" collapsed="false">
      <c r="A47" s="0" t="s">
        <v>107</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108</v>
      </c>
      <c r="B48" s="3" t="n">
        <v>10</v>
      </c>
    </row>
    <row r="49" customFormat="false" ht="15" hidden="false" customHeight="false" outlineLevel="0" collapsed="false">
      <c r="A49" s="0" t="s">
        <v>109</v>
      </c>
      <c r="B49" s="3" t="n">
        <v>3</v>
      </c>
    </row>
    <row r="50" customFormat="false" ht="15" hidden="false" customHeight="false" outlineLevel="0" collapsed="false">
      <c r="A50" s="0" t="s">
        <v>110</v>
      </c>
      <c r="B50" s="3" t="n">
        <v>15</v>
      </c>
    </row>
    <row r="51" customFormat="false" ht="15" hidden="false" customHeight="false" outlineLevel="0" collapsed="false">
      <c r="A51" s="0" t="s">
        <v>111</v>
      </c>
      <c r="B51" s="3" t="n">
        <v>10</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3</v>
      </c>
      <c r="D5" s="4" t="n">
        <f aca="false">Assumptions!D13</f>
        <v>1</v>
      </c>
      <c r="E5" s="4" t="n">
        <f aca="false">Assumptions!E13</f>
        <v>0</v>
      </c>
      <c r="F5" s="4" t="n">
        <f aca="false">Assumptions!F13</f>
        <v>0</v>
      </c>
      <c r="G5" s="4" t="n">
        <f aca="false">Assumptions!G13</f>
        <v>0.5</v>
      </c>
      <c r="H5" s="4" t="n">
        <f aca="false">Assumptions!H13</f>
        <v>1</v>
      </c>
      <c r="I5" s="4" t="n">
        <f aca="false">Assumptions!I13</f>
        <v>1.5</v>
      </c>
      <c r="J5" s="4" t="n">
        <f aca="false">Assumptions!J13</f>
        <v>2</v>
      </c>
      <c r="K5" s="4" t="n">
        <f aca="false">Assumptions!K13</f>
        <v>2</v>
      </c>
      <c r="L5" s="4" t="n">
        <f aca="false">Assumptions!L13</f>
        <v>2</v>
      </c>
    </row>
    <row r="6" customFormat="false" ht="15" hidden="false" customHeight="false" outlineLevel="0" collapsed="false">
      <c r="A6" s="0" t="s">
        <v>38</v>
      </c>
      <c r="B6" s="3" t="n">
        <v>17126.068</v>
      </c>
      <c r="C6" s="0" t="n">
        <f aca="false">B6*(1+C5/100)</f>
        <v>17639.85004</v>
      </c>
      <c r="D6" s="0" t="n">
        <f aca="false">C6*(1+D5/100)</f>
        <v>17816.2485404</v>
      </c>
      <c r="E6" s="0" t="n">
        <f aca="false">D6*(1+E5/100)</f>
        <v>17816.2485404</v>
      </c>
      <c r="F6" s="0" t="n">
        <f aca="false">E6*(1+F5/100)</f>
        <v>17816.2485404</v>
      </c>
      <c r="G6" s="0" t="n">
        <f aca="false">F6*(1+G5/100)</f>
        <v>17905.329783102</v>
      </c>
      <c r="H6" s="0" t="n">
        <f aca="false">G6*(1+H5/100)</f>
        <v>18084.383080933</v>
      </c>
      <c r="I6" s="0" t="n">
        <f aca="false">H6*(1+I5/100)</f>
        <v>18355.648827147</v>
      </c>
      <c r="J6" s="0" t="n">
        <f aca="false">I6*(1+J5/100)</f>
        <v>18722.76180369</v>
      </c>
      <c r="K6" s="0" t="n">
        <f aca="false">J6*(1+K5/100)</f>
        <v>19097.2170397638</v>
      </c>
      <c r="L6" s="0" t="n">
        <f aca="false">K6*(1+L5/100)</f>
        <v>19479.161380559</v>
      </c>
    </row>
    <row r="7" customFormat="false" ht="15" hidden="false" customHeight="false" outlineLevel="0" collapsed="false">
      <c r="A7" s="0" t="s">
        <v>102</v>
      </c>
      <c r="C7" s="4" t="n">
        <f aca="false">Assumptions!C14</f>
        <v>13.2</v>
      </c>
      <c r="D7" s="4" t="n">
        <f aca="false">Assumptions!D14</f>
        <v>12.6</v>
      </c>
      <c r="E7" s="4" t="n">
        <f aca="false">Assumptions!E14</f>
        <v>12</v>
      </c>
      <c r="F7" s="4" t="n">
        <f aca="false">Assumptions!F14</f>
        <v>11.5</v>
      </c>
      <c r="G7" s="4" t="n">
        <f aca="false">Assumptions!G14</f>
        <v>11.2</v>
      </c>
      <c r="H7" s="4" t="n">
        <f aca="false">Assumptions!H14</f>
        <v>11</v>
      </c>
      <c r="I7" s="4" t="n">
        <f aca="false">Assumptions!I14</f>
        <v>11</v>
      </c>
      <c r="J7" s="4" t="n">
        <f aca="false">Assumptions!J14</f>
        <v>11</v>
      </c>
      <c r="K7" s="4" t="n">
        <f aca="false">Assumptions!K14</f>
        <v>11</v>
      </c>
      <c r="L7" s="4" t="n">
        <f aca="false">Assumptions!L14</f>
        <v>11</v>
      </c>
    </row>
    <row r="8" customFormat="false" ht="15" hidden="false" customHeight="false" outlineLevel="0" collapsed="false">
      <c r="A8" s="0" t="s">
        <v>44</v>
      </c>
      <c r="C8" s="0" t="n">
        <f aca="false">C6*C7/100</f>
        <v>2328.46020528</v>
      </c>
      <c r="D8" s="0" t="n">
        <f aca="false">D6*D7/100</f>
        <v>2244.8473160904</v>
      </c>
      <c r="E8" s="0" t="n">
        <f aca="false">E6*E7/100</f>
        <v>2137.949824848</v>
      </c>
      <c r="F8" s="0" t="n">
        <f aca="false">F6*F7/100</f>
        <v>2048.868582146</v>
      </c>
      <c r="G8" s="0" t="n">
        <f aca="false">G6*G7/100</f>
        <v>2005.39693570742</v>
      </c>
      <c r="H8" s="0" t="n">
        <f aca="false">H6*H7/100</f>
        <v>1989.28213890263</v>
      </c>
      <c r="I8" s="0" t="n">
        <f aca="false">I6*I7/100</f>
        <v>2019.12137098617</v>
      </c>
      <c r="J8" s="0" t="n">
        <f aca="false">J6*J7/100</f>
        <v>2059.5037984059</v>
      </c>
      <c r="K8" s="0" t="n">
        <f aca="false">K6*K7/100</f>
        <v>2100.69387437401</v>
      </c>
      <c r="L8" s="0" t="n">
        <f aca="false">L6*L7/100</f>
        <v>2142.70775186149</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2293.1805052</v>
      </c>
      <c r="D11" s="0" t="n">
        <f aca="false">D8+D10+D24</f>
        <v>2209.2148190096</v>
      </c>
      <c r="E11" s="0" t="n">
        <f aca="false">E8+E10+E24</f>
        <v>2102.3173277672</v>
      </c>
      <c r="F11" s="0" t="n">
        <f aca="false">F8+F10+F24</f>
        <v>2013.2360850652</v>
      </c>
      <c r="G11" s="0" t="n">
        <f aca="false">G8+G10+G24</f>
        <v>1969.58627614122</v>
      </c>
      <c r="H11" s="0" t="n">
        <f aca="false">H8+H10+H24</f>
        <v>1953.11337274077</v>
      </c>
      <c r="I11" s="0" t="n">
        <f aca="false">I8+I10+I24</f>
        <v>1982.41007333188</v>
      </c>
      <c r="J11" s="0" t="n">
        <f aca="false">J8+J10+J24</f>
        <v>2022.05827479852</v>
      </c>
      <c r="K11" s="0" t="n">
        <f aca="false">K8+K10+K24</f>
        <v>2062.49944029449</v>
      </c>
      <c r="L11" s="0" t="n">
        <f aca="false">L8+L10+L24</f>
        <v>2103.74942910037</v>
      </c>
    </row>
    <row r="12" customFormat="false" ht="15" hidden="false" customHeight="false" outlineLevel="0" collapsed="false">
      <c r="A12" s="0" t="s">
        <v>120</v>
      </c>
      <c r="C12" s="4" t="n">
        <f aca="false">-C6*Assumptions!C17/100</f>
        <v>-352.7970008</v>
      </c>
      <c r="D12" s="4" t="n">
        <f aca="false">-D6*Assumptions!D17/100</f>
        <v>-391.9574678888</v>
      </c>
      <c r="E12" s="4" t="n">
        <f aca="false">-E6*Assumptions!E17/100</f>
        <v>-427.5899649696</v>
      </c>
      <c r="F12" s="4" t="n">
        <f aca="false">-F6*Assumptions!F17/100</f>
        <v>-463.2224620504</v>
      </c>
      <c r="G12" s="4" t="n">
        <f aca="false">-G6*Assumptions!G17/100</f>
        <v>-501.349233926856</v>
      </c>
      <c r="H12" s="4" t="n">
        <f aca="false">-H6*Assumptions!H17/100</f>
        <v>-524.447109347057</v>
      </c>
      <c r="I12" s="4" t="n">
        <f aca="false">-I6*Assumptions!I17/100</f>
        <v>-550.66946481441</v>
      </c>
      <c r="J12" s="4" t="n">
        <f aca="false">-J6*Assumptions!J17/100</f>
        <v>-561.682854110699</v>
      </c>
      <c r="K12" s="4" t="n">
        <f aca="false">-K6*Assumptions!K17/100</f>
        <v>-572.916511192913</v>
      </c>
      <c r="L12" s="4" t="n">
        <f aca="false">-L6*Assumptions!L17/100</f>
        <v>-584.374841416771</v>
      </c>
    </row>
    <row r="13" customFormat="false" ht="15" hidden="false" customHeight="false" outlineLevel="0" collapsed="false">
      <c r="A13" s="0" t="s">
        <v>121</v>
      </c>
      <c r="C13" s="0" t="n">
        <f aca="false">C11+C12</f>
        <v>1940.3835044</v>
      </c>
      <c r="D13" s="0" t="n">
        <f aca="false">D11+D12</f>
        <v>1817.2573511208</v>
      </c>
      <c r="E13" s="0" t="n">
        <f aca="false">E11+E12</f>
        <v>1674.7273627976</v>
      </c>
      <c r="F13" s="0" t="n">
        <f aca="false">F11+F12</f>
        <v>1550.0136230148</v>
      </c>
      <c r="G13" s="0" t="n">
        <f aca="false">G11+G12</f>
        <v>1468.23704221436</v>
      </c>
      <c r="H13" s="0" t="n">
        <f aca="false">H11+H12</f>
        <v>1428.66626339371</v>
      </c>
      <c r="I13" s="0" t="n">
        <f aca="false">I11+I12</f>
        <v>1431.74060851747</v>
      </c>
      <c r="J13" s="0" t="n">
        <f aca="false">J11+J12</f>
        <v>1460.37542068782</v>
      </c>
      <c r="K13" s="0" t="n">
        <f aca="false">K11+K12</f>
        <v>1489.58292910157</v>
      </c>
      <c r="L13" s="0" t="n">
        <f aca="false">L11+L12</f>
        <v>1519.3745876836</v>
      </c>
    </row>
    <row r="14" customFormat="false" ht="15" hidden="false" customHeight="false" outlineLevel="0" collapsed="false">
      <c r="A14" s="0" t="s">
        <v>107</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122</v>
      </c>
      <c r="C15" s="0" t="n">
        <f aca="false">C13-MAX(0,C13)*C14/100</f>
        <v>1455.2876283</v>
      </c>
      <c r="D15" s="0" t="n">
        <f aca="false">D13-MAX(0,D13)*D14/100</f>
        <v>1362.9430133406</v>
      </c>
      <c r="E15" s="0" t="n">
        <f aca="false">E13-MAX(0,E13)*E14/100</f>
        <v>1256.0455220982</v>
      </c>
      <c r="F15" s="0" t="n">
        <f aca="false">F13-MAX(0,F13)*F14/100</f>
        <v>1162.5102172611</v>
      </c>
      <c r="G15" s="0" t="n">
        <f aca="false">G13-MAX(0,G13)*G14/100</f>
        <v>1101.17778166077</v>
      </c>
      <c r="H15" s="0" t="n">
        <f aca="false">H13-MAX(0,H13)*H14/100</f>
        <v>1071.49969754528</v>
      </c>
      <c r="I15" s="0" t="n">
        <f aca="false">I13-MAX(0,I13)*I14/100</f>
        <v>1073.8054563881</v>
      </c>
      <c r="J15" s="0" t="n">
        <f aca="false">J13-MAX(0,J13)*J14/100</f>
        <v>1095.28156551586</v>
      </c>
      <c r="K15" s="0" t="n">
        <f aca="false">K13-MAX(0,K13)*K14/100</f>
        <v>1117.18719682618</v>
      </c>
      <c r="L15" s="0" t="n">
        <f aca="false">L13-MAX(0,L13)*L14/100</f>
        <v>1139.5309407627</v>
      </c>
    </row>
    <row r="16" customFormat="false" ht="15" hidden="false" customHeight="false" outlineLevel="0" collapsed="false">
      <c r="A16" s="0" t="s">
        <v>123</v>
      </c>
      <c r="C16" s="0" t="n">
        <f aca="false">-C12</f>
        <v>352.7970008</v>
      </c>
      <c r="D16" s="0" t="n">
        <f aca="false">-D12</f>
        <v>391.9574678888</v>
      </c>
      <c r="E16" s="0" t="n">
        <f aca="false">-E12</f>
        <v>427.5899649696</v>
      </c>
      <c r="F16" s="0" t="n">
        <f aca="false">-F12</f>
        <v>463.2224620504</v>
      </c>
      <c r="G16" s="0" t="n">
        <f aca="false">-G12</f>
        <v>501.349233926856</v>
      </c>
      <c r="H16" s="0" t="n">
        <f aca="false">-H12</f>
        <v>524.447109347057</v>
      </c>
      <c r="I16" s="0" t="n">
        <f aca="false">-I12</f>
        <v>550.66946481441</v>
      </c>
      <c r="J16" s="0" t="n">
        <f aca="false">-J12</f>
        <v>561.682854110699</v>
      </c>
      <c r="K16" s="0" t="n">
        <f aca="false">-K12</f>
        <v>572.916511192913</v>
      </c>
      <c r="L16" s="0" t="n">
        <f aca="false">-L12</f>
        <v>584.374841416771</v>
      </c>
    </row>
    <row r="17" customFormat="false" ht="15" hidden="false" customHeight="false" outlineLevel="0" collapsed="false">
      <c r="A17" s="0" t="s">
        <v>124</v>
      </c>
      <c r="C17" s="4" t="n">
        <f aca="false">-C6*Assumptions!C18/100</f>
        <v>-529.1955012</v>
      </c>
      <c r="D17" s="4" t="n">
        <f aca="false">-D6*Assumptions!D18/100</f>
        <v>-534.487456212</v>
      </c>
      <c r="E17" s="4" t="n">
        <f aca="false">-E6*Assumptions!E18/100</f>
        <v>-534.487456212</v>
      </c>
      <c r="F17" s="4" t="n">
        <f aca="false">-F6*Assumptions!F18/100</f>
        <v>-534.487456212</v>
      </c>
      <c r="G17" s="4" t="n">
        <f aca="false">-G6*Assumptions!G18/100</f>
        <v>-537.15989349306</v>
      </c>
      <c r="H17" s="4" t="n">
        <f aca="false">-H6*Assumptions!H18/100</f>
        <v>-542.531492427991</v>
      </c>
      <c r="I17" s="4" t="n">
        <f aca="false">-I6*Assumptions!I18/100</f>
        <v>-550.66946481441</v>
      </c>
      <c r="J17" s="4" t="n">
        <f aca="false">-J6*Assumptions!J18/100</f>
        <v>-561.682854110699</v>
      </c>
      <c r="K17" s="4" t="n">
        <f aca="false">-K6*Assumptions!K18/100</f>
        <v>-572.916511192913</v>
      </c>
      <c r="L17" s="4" t="n">
        <f aca="false">-L6*Assumptions!L18/100</f>
        <v>-584.374841416771</v>
      </c>
    </row>
    <row r="18" customFormat="false" ht="15" hidden="false" customHeight="false" outlineLevel="0" collapsed="false">
      <c r="A18" s="0" t="s">
        <v>125</v>
      </c>
      <c r="C18" s="4" t="n">
        <f aca="false">(C6-B6)*Assumptions!$B$23/100</f>
        <v>-77.0673060000003</v>
      </c>
      <c r="D18" s="4" t="n">
        <f aca="false">(D6-C6)*Assumptions!$B$23/100</f>
        <v>-26.4597750599998</v>
      </c>
      <c r="E18" s="4" t="n">
        <f aca="false">(E6-D6)*Assumptions!$B$23/100</f>
        <v>-0</v>
      </c>
      <c r="F18" s="4" t="n">
        <f aca="false">(F6-E6)*Assumptions!$B$23/100</f>
        <v>-0</v>
      </c>
      <c r="G18" s="4" t="n">
        <f aca="false">(G6-F6)*Assumptions!$B$23/100</f>
        <v>-13.3621864052999</v>
      </c>
      <c r="H18" s="4" t="n">
        <f aca="false">(H6-G6)*Assumptions!$B$23/100</f>
        <v>-26.8579946746528</v>
      </c>
      <c r="I18" s="4" t="n">
        <f aca="false">(I6-H6)*Assumptions!$B$23/100</f>
        <v>-40.6898619320991</v>
      </c>
      <c r="J18" s="4" t="n">
        <f aca="false">(J6-I6)*Assumptions!$B$23/100</f>
        <v>-55.0669464814409</v>
      </c>
      <c r="K18" s="4" t="n">
        <f aca="false">(K6-J6)*Assumptions!$B$23/100</f>
        <v>-56.1682854110697</v>
      </c>
      <c r="L18" s="4" t="n">
        <f aca="false">(L6-K6)*Assumptions!$B$23/100</f>
        <v>-57.2916511192912</v>
      </c>
    </row>
    <row r="19" customFormat="false" ht="15" hidden="false" customHeight="false" outlineLevel="0" collapsed="false">
      <c r="A19" s="0" t="s">
        <v>126</v>
      </c>
      <c r="C19" s="0" t="n">
        <f aca="false">C15+C16+C17+C18</f>
        <v>1201.8218219</v>
      </c>
      <c r="D19" s="0" t="n">
        <f aca="false">D15+D16+D17+D18</f>
        <v>1193.9532499574</v>
      </c>
      <c r="E19" s="0" t="n">
        <f aca="false">E15+E16+E17+E18</f>
        <v>1149.1480308558</v>
      </c>
      <c r="F19" s="0" t="n">
        <f aca="false">F15+F16+F17+F18</f>
        <v>1091.2452230995</v>
      </c>
      <c r="G19" s="0" t="n">
        <f aca="false">G15+G16+G17+G18</f>
        <v>1052.00493568927</v>
      </c>
      <c r="H19" s="0" t="n">
        <f aca="false">H15+H16+H17+H18</f>
        <v>1026.5573197897</v>
      </c>
      <c r="I19" s="0" t="n">
        <f aca="false">I15+I16+I17+I18</f>
        <v>1033.115594456</v>
      </c>
      <c r="J19" s="0" t="n">
        <f aca="false">J15+J16+J17+J18</f>
        <v>1040.21461903442</v>
      </c>
      <c r="K19" s="0" t="n">
        <f aca="false">K15+K16+K17+K18</f>
        <v>1061.01891141511</v>
      </c>
      <c r="L19" s="0" t="n">
        <f aca="false">L15+L16+L17+L18</f>
        <v>1082.23928964341</v>
      </c>
    </row>
    <row r="20" customFormat="false" ht="15" hidden="false" customHeight="false" outlineLevel="0" collapsed="false">
      <c r="A20" s="0" t="s">
        <v>127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128</v>
      </c>
      <c r="C21" s="0" t="n">
        <f aca="false">C19*C20</f>
        <v>1092.56529263636</v>
      </c>
      <c r="D21" s="0" t="n">
        <f aca="false">D19*D20</f>
        <v>986.738223105289</v>
      </c>
      <c r="E21" s="0" t="n">
        <f aca="false">E19*E20</f>
        <v>863.371924008865</v>
      </c>
      <c r="F21" s="0" t="n">
        <f aca="false">F19*F20</f>
        <v>745.335170479817</v>
      </c>
      <c r="G21" s="0" t="n">
        <f aca="false">G19*G20</f>
        <v>653.212296532942</v>
      </c>
      <c r="H21" s="0" t="n">
        <f aca="false">H19*H20</f>
        <v>579.464844727162</v>
      </c>
      <c r="I21" s="0" t="n">
        <f aca="false">I19*I20</f>
        <v>530.151654365839</v>
      </c>
      <c r="J21" s="0" t="n">
        <f aca="false">J19*J20</f>
        <v>485.267796781614</v>
      </c>
      <c r="K21" s="0" t="n">
        <f aca="false">K19*K20</f>
        <v>449.975593379314</v>
      </c>
      <c r="L21" s="0" t="n">
        <f aca="false">L19*L20</f>
        <v>417.250095679</v>
      </c>
    </row>
    <row r="23" customFormat="false" ht="15" hidden="false" customHeight="false" outlineLevel="0" collapsed="false">
      <c r="A23" s="0" t="s">
        <v>104</v>
      </c>
      <c r="C23" s="4" t="n">
        <f aca="false">Assumptions!C16</f>
        <v>0.2</v>
      </c>
      <c r="D23" s="4" t="n">
        <f aca="false">Assumptions!D16</f>
        <v>0.2</v>
      </c>
      <c r="E23" s="4" t="n">
        <f aca="false">Assumptions!E16</f>
        <v>0.2</v>
      </c>
      <c r="F23" s="4" t="n">
        <f aca="false">Assumptions!F16</f>
        <v>0.2</v>
      </c>
      <c r="G23" s="4" t="n">
        <f aca="false">Assumptions!G16</f>
        <v>0.2</v>
      </c>
      <c r="H23" s="4" t="n">
        <f aca="false">Assumptions!H16</f>
        <v>0.2</v>
      </c>
      <c r="I23" s="4" t="n">
        <f aca="false">Assumptions!I16</f>
        <v>0.2</v>
      </c>
      <c r="J23" s="4" t="n">
        <f aca="false">Assumptions!J16</f>
        <v>0.2</v>
      </c>
      <c r="K23" s="4" t="n">
        <f aca="false">Assumptions!K16</f>
        <v>0.2</v>
      </c>
      <c r="L23" s="4" t="n">
        <f aca="false">Assumptions!L16</f>
        <v>0.2</v>
      </c>
    </row>
    <row r="24" customFormat="false" ht="15" hidden="false" customHeight="false" outlineLevel="0" collapsed="false">
      <c r="A24" s="0" t="s">
        <v>129</v>
      </c>
      <c r="C24" s="0" t="n">
        <f aca="false">-C6*C23/100</f>
        <v>-35.27970008</v>
      </c>
      <c r="D24" s="0" t="n">
        <f aca="false">-D6*D23/100</f>
        <v>-35.6324970808</v>
      </c>
      <c r="E24" s="0" t="n">
        <f aca="false">-E6*E23/100</f>
        <v>-35.6324970808</v>
      </c>
      <c r="F24" s="0" t="n">
        <f aca="false">-F6*F23/100</f>
        <v>-35.6324970808</v>
      </c>
      <c r="G24" s="0" t="n">
        <f aca="false">-G6*G23/100</f>
        <v>-35.810659566204</v>
      </c>
      <c r="H24" s="0" t="n">
        <f aca="false">-H6*H23/100</f>
        <v>-36.168766161866</v>
      </c>
      <c r="I24" s="0" t="n">
        <f aca="false">-I6*I23/100</f>
        <v>-36.711297654294</v>
      </c>
      <c r="J24" s="0" t="n">
        <f aca="false">-J6*J23/100</f>
        <v>-37.4455236073799</v>
      </c>
      <c r="K24" s="0" t="n">
        <f aca="false">-K6*K23/100</f>
        <v>-38.1944340795275</v>
      </c>
      <c r="L24" s="0" t="n">
        <f aca="false">-L6*L23/100</f>
        <v>-38.9583227611181</v>
      </c>
    </row>
    <row r="26" customFormat="false" ht="15" hidden="false" customHeight="false" outlineLevel="0" collapsed="false">
      <c r="A26" s="2" t="s">
        <v>130</v>
      </c>
    </row>
    <row r="27" customFormat="false" ht="15" hidden="false" customHeight="false" outlineLevel="0" collapsed="false">
      <c r="A27" s="0" t="s">
        <v>108</v>
      </c>
      <c r="B27" s="4" t="n">
        <f aca="false">Assumptions!$B$20</f>
        <v>10</v>
      </c>
    </row>
    <row r="28" customFormat="false" ht="15" hidden="false" customHeight="false" outlineLevel="0" collapsed="false">
      <c r="A28" s="0" t="s">
        <v>109</v>
      </c>
      <c r="B28" s="4" t="n">
        <f aca="false">Assumptions!$B$21</f>
        <v>2</v>
      </c>
    </row>
    <row r="29" customFormat="false" ht="15" hidden="false" customHeight="false" outlineLevel="0" collapsed="false">
      <c r="A29" s="0" t="s">
        <v>110</v>
      </c>
      <c r="B29" s="4" t="n">
        <f aca="false">Assumptions!$B$22</f>
        <v>15</v>
      </c>
    </row>
    <row r="30" customFormat="false" ht="15" hidden="false" customHeight="false" outlineLevel="0" collapsed="false">
      <c r="A30" s="0" t="s">
        <v>131</v>
      </c>
      <c r="B30" s="0" t="n">
        <f aca="false">SUM(C21:L21)</f>
        <v>6803.33289169621</v>
      </c>
    </row>
    <row r="31" customFormat="false" ht="15" hidden="false" customHeight="false" outlineLevel="0" collapsed="false">
      <c r="A31" s="0" t="s">
        <v>132</v>
      </c>
      <c r="B31" s="0" t="n">
        <f aca="false">L19</f>
        <v>1082.23928964341</v>
      </c>
    </row>
    <row r="32" customFormat="false" ht="15" hidden="false" customHeight="false" outlineLevel="0" collapsed="false">
      <c r="A32" s="0" t="s">
        <v>133</v>
      </c>
      <c r="B32" s="0" t="n">
        <f aca="false">IF(B27&gt;B28,B31*(1+B28/100)/((B27-B28)/100),B31*B29)</f>
        <v>13798.5509429535</v>
      </c>
    </row>
    <row r="33" customFormat="false" ht="15" hidden="false" customHeight="false" outlineLevel="0" collapsed="false">
      <c r="A33" s="0" t="s">
        <v>134</v>
      </c>
      <c r="B33" s="0" t="n">
        <f aca="false">B31*B29</f>
        <v>16233.5893446512</v>
      </c>
    </row>
    <row r="34" customFormat="false" ht="15" hidden="false" customHeight="false" outlineLevel="0" collapsed="false">
      <c r="A34" s="0" t="s">
        <v>135</v>
      </c>
      <c r="B34" s="0" t="n">
        <f aca="false">MAX(0,MIN(B32,B33))</f>
        <v>13798.5509429535</v>
      </c>
    </row>
    <row r="35" customFormat="false" ht="15" hidden="false" customHeight="false" outlineLevel="0" collapsed="false">
      <c r="A35" s="0" t="s">
        <v>136</v>
      </c>
      <c r="B35" s="0" t="n">
        <f aca="false">B34/(1+B27/100)^L4</f>
        <v>5319.93871990725</v>
      </c>
    </row>
    <row r="36" customFormat="false" ht="15" hidden="false" customHeight="false" outlineLevel="0" collapsed="false">
      <c r="A36" s="0" t="s">
        <v>137</v>
      </c>
      <c r="B36" s="0" t="n">
        <f aca="false">B30+B35</f>
        <v>12123.2716116035</v>
      </c>
    </row>
    <row r="37" customFormat="false" ht="15" hidden="false" customHeight="false" outlineLevel="0" collapsed="false">
      <c r="A37" s="0" t="s">
        <v>138</v>
      </c>
      <c r="B37" s="0" t="n">
        <f aca="false">B36+Assumptions!$B$5-Assumptions!$B$4</f>
        <v>23776.0376116035</v>
      </c>
    </row>
    <row r="38" customFormat="false" ht="15" hidden="false" customHeight="false" outlineLevel="0" collapsed="false">
      <c r="A38" s="0" t="s">
        <v>139</v>
      </c>
      <c r="B38" s="0" t="n">
        <f aca="false">B37/Assumptions!$B$3*Assumptions!$B$10</f>
        <v>50.4797093000268</v>
      </c>
    </row>
    <row r="39" customFormat="false" ht="15" hidden="false" customHeight="false" outlineLevel="0" collapsed="false">
      <c r="A39" s="0" t="s">
        <v>140</v>
      </c>
      <c r="B39" s="4" t="n">
        <f aca="false">B38/Assumptions!$B$2-1</f>
        <v>0.91938058175007</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50.4797093000268</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8491.41596489446</v>
      </c>
    </row>
    <row r="47" customFormat="false" ht="15" hidden="false" customHeight="false" outlineLevel="0" collapsed="false">
      <c r="A47" s="0" t="s">
        <v>145</v>
      </c>
      <c r="B47" s="0" t="n">
        <f aca="false">(SUMPRODUCT(C19:L19/(1+B45/100)^C4:L4)+B46/(1+B45/100)^L4+Assumptions!$B$5-Assumptions!$B$4)/Assumptions!$B$3*Assumptions!$B$10</f>
        <v>41.0687962474537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5</v>
      </c>
      <c r="D5" s="4" t="n">
        <f aca="false">Assumptions!D27</f>
        <v>5</v>
      </c>
      <c r="E5" s="4" t="n">
        <f aca="false">Assumptions!E27</f>
        <v>4.5</v>
      </c>
      <c r="F5" s="4" t="n">
        <f aca="false">Assumptions!F27</f>
        <v>4</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17126.068</v>
      </c>
      <c r="C6" s="0" t="n">
        <f aca="false">B6*(1+C5/100)</f>
        <v>17982.3714</v>
      </c>
      <c r="D6" s="0" t="n">
        <f aca="false">C6*(1+D5/100)</f>
        <v>18881.48997</v>
      </c>
      <c r="E6" s="0" t="n">
        <f aca="false">D6*(1+E5/100)</f>
        <v>19731.15701865</v>
      </c>
      <c r="F6" s="0" t="n">
        <f aca="false">E6*(1+F5/100)</f>
        <v>20520.403299396</v>
      </c>
      <c r="G6" s="0" t="n">
        <f aca="false">F6*(1+G5/100)</f>
        <v>21341.2194313718</v>
      </c>
      <c r="H6" s="0" t="n">
        <f aca="false">G6*(1+H5/100)</f>
        <v>22088.1621114699</v>
      </c>
      <c r="I6" s="0" t="n">
        <f aca="false">H6*(1+I5/100)</f>
        <v>22750.8069748139</v>
      </c>
      <c r="J6" s="0" t="n">
        <f aca="false">I6*(1+J5/100)</f>
        <v>23433.3311840584</v>
      </c>
      <c r="K6" s="0" t="n">
        <f aca="false">J6*(1+K5/100)</f>
        <v>24019.1644636598</v>
      </c>
      <c r="L6" s="0" t="n">
        <f aca="false">K6*(1+L5/100)</f>
        <v>24619.6435752513</v>
      </c>
    </row>
    <row r="7" customFormat="false" ht="15" hidden="false" customHeight="false" outlineLevel="0" collapsed="false">
      <c r="A7" s="0" t="s">
        <v>102</v>
      </c>
      <c r="C7" s="4" t="n">
        <f aca="false">Assumptions!C28</f>
        <v>13.8</v>
      </c>
      <c r="D7" s="4" t="n">
        <f aca="false">Assumptions!D28</f>
        <v>13.7</v>
      </c>
      <c r="E7" s="4" t="n">
        <f aca="false">Assumptions!E28</f>
        <v>13.6</v>
      </c>
      <c r="F7" s="4" t="n">
        <f aca="false">Assumptions!F28</f>
        <v>13.5</v>
      </c>
      <c r="G7" s="4" t="n">
        <f aca="false">Assumptions!G28</f>
        <v>13.5</v>
      </c>
      <c r="H7" s="4" t="n">
        <f aca="false">Assumptions!H28</f>
        <v>13.5</v>
      </c>
      <c r="I7" s="4" t="n">
        <f aca="false">Assumptions!I28</f>
        <v>13.5</v>
      </c>
      <c r="J7" s="4" t="n">
        <f aca="false">Assumptions!J28</f>
        <v>13.5</v>
      </c>
      <c r="K7" s="4" t="n">
        <f aca="false">Assumptions!K28</f>
        <v>13.5</v>
      </c>
      <c r="L7" s="4" t="n">
        <f aca="false">Assumptions!L28</f>
        <v>13.5</v>
      </c>
    </row>
    <row r="8" customFormat="false" ht="15" hidden="false" customHeight="false" outlineLevel="0" collapsed="false">
      <c r="A8" s="0" t="s">
        <v>44</v>
      </c>
      <c r="C8" s="0" t="n">
        <f aca="false">C6*C7/100</f>
        <v>2481.5672532</v>
      </c>
      <c r="D8" s="0" t="n">
        <f aca="false">D6*D7/100</f>
        <v>2586.76412589</v>
      </c>
      <c r="E8" s="0" t="n">
        <f aca="false">E6*E7/100</f>
        <v>2683.4373545364</v>
      </c>
      <c r="F8" s="0" t="n">
        <f aca="false">F6*F7/100</f>
        <v>2770.25444541846</v>
      </c>
      <c r="G8" s="0" t="n">
        <f aca="false">G6*G7/100</f>
        <v>2881.0646232352</v>
      </c>
      <c r="H8" s="0" t="n">
        <f aca="false">H6*H7/100</f>
        <v>2981.90188504843</v>
      </c>
      <c r="I8" s="0" t="n">
        <f aca="false">I6*I7/100</f>
        <v>3071.35894159988</v>
      </c>
      <c r="J8" s="0" t="n">
        <f aca="false">J6*J7/100</f>
        <v>3163.49970984788</v>
      </c>
      <c r="K8" s="0" t="n">
        <f aca="false">K6*K7/100</f>
        <v>3242.58720259408</v>
      </c>
      <c r="L8" s="0" t="n">
        <f aca="false">L6*L7/100</f>
        <v>3323.65188265893</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2445.6025104</v>
      </c>
      <c r="D11" s="0" t="n">
        <f aca="false">D8+D10+D24</f>
        <v>2549.00114595</v>
      </c>
      <c r="E11" s="0" t="n">
        <f aca="false">E8+E10+E24</f>
        <v>2643.9750404991</v>
      </c>
      <c r="F11" s="0" t="n">
        <f aca="false">F8+F10+F24</f>
        <v>2729.21363881967</v>
      </c>
      <c r="G11" s="0" t="n">
        <f aca="false">G8+G10+G24</f>
        <v>2838.38218437245</v>
      </c>
      <c r="H11" s="0" t="n">
        <f aca="false">H8+H10+H24</f>
        <v>2937.72556082549</v>
      </c>
      <c r="I11" s="0" t="n">
        <f aca="false">I8+I10+I24</f>
        <v>3025.85732765026</v>
      </c>
      <c r="J11" s="0" t="n">
        <f aca="false">J8+J10+J24</f>
        <v>3116.63304747976</v>
      </c>
      <c r="K11" s="0" t="n">
        <f aca="false">K8+K10+K24</f>
        <v>3194.54887366676</v>
      </c>
      <c r="L11" s="0" t="n">
        <f aca="false">L8+L10+L24</f>
        <v>3274.41259550843</v>
      </c>
    </row>
    <row r="12" customFormat="false" ht="15" hidden="false" customHeight="false" outlineLevel="0" collapsed="false">
      <c r="A12" s="0" t="s">
        <v>120</v>
      </c>
      <c r="C12" s="4" t="n">
        <f aca="false">-C6*Assumptions!C31/100</f>
        <v>-359.647428</v>
      </c>
      <c r="D12" s="4" t="n">
        <f aca="false">-D6*Assumptions!D31/100</f>
        <v>-377.6297994</v>
      </c>
      <c r="E12" s="4" t="n">
        <f aca="false">-E6*Assumptions!E31/100</f>
        <v>-394.623140373</v>
      </c>
      <c r="F12" s="4" t="n">
        <f aca="false">-F6*Assumptions!F31/100</f>
        <v>-410.40806598792</v>
      </c>
      <c r="G12" s="4" t="n">
        <f aca="false">-G6*Assumptions!G31/100</f>
        <v>-426.824388627437</v>
      </c>
      <c r="H12" s="4" t="n">
        <f aca="false">-H6*Assumptions!H31/100</f>
        <v>-441.763242229397</v>
      </c>
      <c r="I12" s="4" t="n">
        <f aca="false">-I6*Assumptions!I31/100</f>
        <v>-455.016139496279</v>
      </c>
      <c r="J12" s="4" t="n">
        <f aca="false">-J6*Assumptions!J31/100</f>
        <v>-468.666623681167</v>
      </c>
      <c r="K12" s="4" t="n">
        <f aca="false">-K6*Assumptions!K31/100</f>
        <v>-480.383289273197</v>
      </c>
      <c r="L12" s="4" t="n">
        <f aca="false">-L6*Assumptions!L31/100</f>
        <v>-492.392871505026</v>
      </c>
    </row>
    <row r="13" customFormat="false" ht="15" hidden="false" customHeight="false" outlineLevel="0" collapsed="false">
      <c r="A13" s="0" t="s">
        <v>121</v>
      </c>
      <c r="C13" s="0" t="n">
        <f aca="false">C11+C12</f>
        <v>2085.9550824</v>
      </c>
      <c r="D13" s="0" t="n">
        <f aca="false">D11+D12</f>
        <v>2171.37134655</v>
      </c>
      <c r="E13" s="0" t="n">
        <f aca="false">E11+E12</f>
        <v>2249.3519001261</v>
      </c>
      <c r="F13" s="0" t="n">
        <f aca="false">F11+F12</f>
        <v>2318.80557283175</v>
      </c>
      <c r="G13" s="0" t="n">
        <f aca="false">G11+G12</f>
        <v>2411.55779574502</v>
      </c>
      <c r="H13" s="0" t="n">
        <f aca="false">H11+H12</f>
        <v>2495.96231859609</v>
      </c>
      <c r="I13" s="0" t="n">
        <f aca="false">I11+I12</f>
        <v>2570.84118815398</v>
      </c>
      <c r="J13" s="0" t="n">
        <f aca="false">J11+J12</f>
        <v>2647.9664237986</v>
      </c>
      <c r="K13" s="0" t="n">
        <f aca="false">K11+K12</f>
        <v>2714.16558439356</v>
      </c>
      <c r="L13" s="0" t="n">
        <f aca="false">L11+L12</f>
        <v>2782.0197240034</v>
      </c>
    </row>
    <row r="14" customFormat="false" ht="15" hidden="false" customHeight="false" outlineLevel="0" collapsed="false">
      <c r="A14" s="0" t="s">
        <v>107</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122</v>
      </c>
      <c r="C15" s="0" t="n">
        <f aca="false">C13-MAX(0,C13)*C14/100</f>
        <v>1564.4663118</v>
      </c>
      <c r="D15" s="0" t="n">
        <f aca="false">D13-MAX(0,D13)*D14/100</f>
        <v>1628.5285099125</v>
      </c>
      <c r="E15" s="0" t="n">
        <f aca="false">E13-MAX(0,E13)*E14/100</f>
        <v>1687.01392509458</v>
      </c>
      <c r="F15" s="0" t="n">
        <f aca="false">F13-MAX(0,F13)*F14/100</f>
        <v>1739.10417962381</v>
      </c>
      <c r="G15" s="0" t="n">
        <f aca="false">G13-MAX(0,G13)*G14/100</f>
        <v>1808.66834680876</v>
      </c>
      <c r="H15" s="0" t="n">
        <f aca="false">H13-MAX(0,H13)*H14/100</f>
        <v>1871.97173894707</v>
      </c>
      <c r="I15" s="0" t="n">
        <f aca="false">I13-MAX(0,I13)*I14/100</f>
        <v>1928.13089111548</v>
      </c>
      <c r="J15" s="0" t="n">
        <f aca="false">J13-MAX(0,J13)*J14/100</f>
        <v>1985.97481784895</v>
      </c>
      <c r="K15" s="0" t="n">
        <f aca="false">K13-MAX(0,K13)*K14/100</f>
        <v>2035.62418829517</v>
      </c>
      <c r="L15" s="0" t="n">
        <f aca="false">L13-MAX(0,L13)*L14/100</f>
        <v>2086.51479300255</v>
      </c>
    </row>
    <row r="16" customFormat="false" ht="15" hidden="false" customHeight="false" outlineLevel="0" collapsed="false">
      <c r="A16" s="0" t="s">
        <v>123</v>
      </c>
      <c r="C16" s="0" t="n">
        <f aca="false">-C12</f>
        <v>359.647428</v>
      </c>
      <c r="D16" s="0" t="n">
        <f aca="false">-D12</f>
        <v>377.6297994</v>
      </c>
      <c r="E16" s="0" t="n">
        <f aca="false">-E12</f>
        <v>394.623140373</v>
      </c>
      <c r="F16" s="0" t="n">
        <f aca="false">-F12</f>
        <v>410.40806598792</v>
      </c>
      <c r="G16" s="0" t="n">
        <f aca="false">-G12</f>
        <v>426.824388627437</v>
      </c>
      <c r="H16" s="0" t="n">
        <f aca="false">-H12</f>
        <v>441.763242229397</v>
      </c>
      <c r="I16" s="0" t="n">
        <f aca="false">-I12</f>
        <v>455.016139496279</v>
      </c>
      <c r="J16" s="0" t="n">
        <f aca="false">-J12</f>
        <v>468.666623681167</v>
      </c>
      <c r="K16" s="0" t="n">
        <f aca="false">-K12</f>
        <v>480.383289273197</v>
      </c>
      <c r="L16" s="0" t="n">
        <f aca="false">-L12</f>
        <v>492.392871505026</v>
      </c>
    </row>
    <row r="17" customFormat="false" ht="15" hidden="false" customHeight="false" outlineLevel="0" collapsed="false">
      <c r="A17" s="0" t="s">
        <v>124</v>
      </c>
      <c r="C17" s="4" t="n">
        <f aca="false">-C6*Assumptions!C32/100</f>
        <v>-359.647428</v>
      </c>
      <c r="D17" s="4" t="n">
        <f aca="false">-D6*Assumptions!D32/100</f>
        <v>-377.6297994</v>
      </c>
      <c r="E17" s="4" t="n">
        <f aca="false">-E6*Assumptions!E32/100</f>
        <v>-394.623140373</v>
      </c>
      <c r="F17" s="4" t="n">
        <f aca="false">-F6*Assumptions!F32/100</f>
        <v>-410.40806598792</v>
      </c>
      <c r="G17" s="4" t="n">
        <f aca="false">-G6*Assumptions!G32/100</f>
        <v>-426.824388627437</v>
      </c>
      <c r="H17" s="4" t="n">
        <f aca="false">-H6*Assumptions!H32/100</f>
        <v>-441.763242229397</v>
      </c>
      <c r="I17" s="4" t="n">
        <f aca="false">-I6*Assumptions!I32/100</f>
        <v>-455.016139496279</v>
      </c>
      <c r="J17" s="4" t="n">
        <f aca="false">-J6*Assumptions!J32/100</f>
        <v>-468.666623681167</v>
      </c>
      <c r="K17" s="4" t="n">
        <f aca="false">-K6*Assumptions!K32/100</f>
        <v>-480.383289273197</v>
      </c>
      <c r="L17" s="4" t="n">
        <f aca="false">-L6*Assumptions!L32/100</f>
        <v>-492.392871505026</v>
      </c>
    </row>
    <row r="18" customFormat="false" ht="15" hidden="false" customHeight="false" outlineLevel="0" collapsed="false">
      <c r="A18" s="0" t="s">
        <v>125</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126</v>
      </c>
      <c r="C19" s="0" t="n">
        <f aca="false">C15+C16+C17+C18</f>
        <v>1564.4663118</v>
      </c>
      <c r="D19" s="0" t="n">
        <f aca="false">D15+D16+D17+D18</f>
        <v>1628.5285099125</v>
      </c>
      <c r="E19" s="0" t="n">
        <f aca="false">E15+E16+E17+E18</f>
        <v>1687.01392509458</v>
      </c>
      <c r="F19" s="0" t="n">
        <f aca="false">F15+F16+F17+F18</f>
        <v>1739.10417962381</v>
      </c>
      <c r="G19" s="0" t="n">
        <f aca="false">G15+G16+G17+G18</f>
        <v>1808.66834680876</v>
      </c>
      <c r="H19" s="0" t="n">
        <f aca="false">H15+H16+H17+H18</f>
        <v>1871.97173894707</v>
      </c>
      <c r="I19" s="0" t="n">
        <f aca="false">I15+I16+I17+I18</f>
        <v>1928.13089111548</v>
      </c>
      <c r="J19" s="0" t="n">
        <f aca="false">J15+J16+J17+J18</f>
        <v>1985.97481784895</v>
      </c>
      <c r="K19" s="0" t="n">
        <f aca="false">K15+K16+K17+K18</f>
        <v>2035.62418829517</v>
      </c>
      <c r="L19" s="0" t="n">
        <f aca="false">L15+L16+L17+L18</f>
        <v>2086.51479300255</v>
      </c>
    </row>
    <row r="20" customFormat="false" ht="15" hidden="false" customHeight="false" outlineLevel="0" collapsed="false">
      <c r="A20" s="0" t="s">
        <v>127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128</v>
      </c>
      <c r="C21" s="0" t="n">
        <f aca="false">C19*C20</f>
        <v>1422.24210163636</v>
      </c>
      <c r="D21" s="0" t="n">
        <f aca="false">D19*D20</f>
        <v>1345.8913305062</v>
      </c>
      <c r="E21" s="0" t="n">
        <f aca="false">E19*E20</f>
        <v>1267.47853125062</v>
      </c>
      <c r="F21" s="0" t="n">
        <f aca="false">F19*F20</f>
        <v>1187.8315549647</v>
      </c>
      <c r="G21" s="0" t="n">
        <f aca="false">G19*G20</f>
        <v>1123.04074287571</v>
      </c>
      <c r="H21" s="0" t="n">
        <f aca="false">H19*H20</f>
        <v>1056.67924443306</v>
      </c>
      <c r="I21" s="0" t="n">
        <f aca="false">I19*I20</f>
        <v>989.436019787316</v>
      </c>
      <c r="J21" s="0" t="n">
        <f aca="false">J19*J20</f>
        <v>926.471909437214</v>
      </c>
      <c r="K21" s="0" t="n">
        <f aca="false">K19*K20</f>
        <v>863.303370157404</v>
      </c>
      <c r="L21" s="0" t="n">
        <f aca="false">L19*L20</f>
        <v>804.441776737581</v>
      </c>
    </row>
    <row r="23" customFormat="false" ht="15" hidden="false" customHeight="false" outlineLevel="0" collapsed="false">
      <c r="A23" s="0" t="s">
        <v>104</v>
      </c>
      <c r="C23" s="4" t="n">
        <f aca="false">Assumptions!C30</f>
        <v>0.2</v>
      </c>
      <c r="D23" s="4" t="n">
        <f aca="false">Assumptions!D30</f>
        <v>0.2</v>
      </c>
      <c r="E23" s="4" t="n">
        <f aca="false">Assumptions!E30</f>
        <v>0.2</v>
      </c>
      <c r="F23" s="4" t="n">
        <f aca="false">Assumptions!F30</f>
        <v>0.2</v>
      </c>
      <c r="G23" s="4" t="n">
        <f aca="false">Assumptions!G30</f>
        <v>0.2</v>
      </c>
      <c r="H23" s="4" t="n">
        <f aca="false">Assumptions!H30</f>
        <v>0.2</v>
      </c>
      <c r="I23" s="4" t="n">
        <f aca="false">Assumptions!I30</f>
        <v>0.2</v>
      </c>
      <c r="J23" s="4" t="n">
        <f aca="false">Assumptions!J30</f>
        <v>0.2</v>
      </c>
      <c r="K23" s="4" t="n">
        <f aca="false">Assumptions!K30</f>
        <v>0.2</v>
      </c>
      <c r="L23" s="4" t="n">
        <f aca="false">Assumptions!L30</f>
        <v>0.2</v>
      </c>
    </row>
    <row r="24" customFormat="false" ht="15" hidden="false" customHeight="false" outlineLevel="0" collapsed="false">
      <c r="A24" s="0" t="s">
        <v>129</v>
      </c>
      <c r="C24" s="0" t="n">
        <f aca="false">-C6*C23/100</f>
        <v>-35.9647428</v>
      </c>
      <c r="D24" s="0" t="n">
        <f aca="false">-D6*D23/100</f>
        <v>-37.76297994</v>
      </c>
      <c r="E24" s="0" t="n">
        <f aca="false">-E6*E23/100</f>
        <v>-39.4623140373</v>
      </c>
      <c r="F24" s="0" t="n">
        <f aca="false">-F6*F23/100</f>
        <v>-41.040806598792</v>
      </c>
      <c r="G24" s="0" t="n">
        <f aca="false">-G6*G23/100</f>
        <v>-42.6824388627437</v>
      </c>
      <c r="H24" s="0" t="n">
        <f aca="false">-H6*H23/100</f>
        <v>-44.1763242229397</v>
      </c>
      <c r="I24" s="0" t="n">
        <f aca="false">-I6*I23/100</f>
        <v>-45.5016139496279</v>
      </c>
      <c r="J24" s="0" t="n">
        <f aca="false">-J6*J23/100</f>
        <v>-46.8666623681167</v>
      </c>
      <c r="K24" s="0" t="n">
        <f aca="false">-K6*K23/100</f>
        <v>-48.0383289273197</v>
      </c>
      <c r="L24" s="0" t="n">
        <f aca="false">-L6*L23/100</f>
        <v>-49.2392871505026</v>
      </c>
    </row>
    <row r="26" customFormat="false" ht="15" hidden="false" customHeight="false" outlineLevel="0" collapsed="false">
      <c r="A26" s="2" t="s">
        <v>130</v>
      </c>
    </row>
    <row r="27" customFormat="false" ht="15" hidden="false" customHeight="false" outlineLevel="0" collapsed="false">
      <c r="A27" s="0" t="s">
        <v>108</v>
      </c>
      <c r="B27" s="4" t="n">
        <f aca="false">Assumptions!$B$34</f>
        <v>10</v>
      </c>
    </row>
    <row r="28" customFormat="false" ht="15" hidden="false" customHeight="false" outlineLevel="0" collapsed="false">
      <c r="A28" s="0" t="s">
        <v>109</v>
      </c>
      <c r="B28" s="4" t="n">
        <f aca="false">Assumptions!$B$35</f>
        <v>2.5</v>
      </c>
    </row>
    <row r="29" customFormat="false" ht="15" hidden="false" customHeight="false" outlineLevel="0" collapsed="false">
      <c r="A29" s="0" t="s">
        <v>110</v>
      </c>
      <c r="B29" s="4" t="n">
        <f aca="false">Assumptions!$B$36</f>
        <v>15</v>
      </c>
    </row>
    <row r="30" customFormat="false" ht="15" hidden="false" customHeight="false" outlineLevel="0" collapsed="false">
      <c r="A30" s="0" t="s">
        <v>131</v>
      </c>
      <c r="B30" s="0" t="n">
        <f aca="false">SUM(C21:L21)</f>
        <v>10986.8165817862</v>
      </c>
    </row>
    <row r="31" customFormat="false" ht="15" hidden="false" customHeight="false" outlineLevel="0" collapsed="false">
      <c r="A31" s="0" t="s">
        <v>132</v>
      </c>
      <c r="B31" s="0" t="n">
        <f aca="false">L19</f>
        <v>2086.51479300255</v>
      </c>
    </row>
    <row r="32" customFormat="false" ht="15" hidden="false" customHeight="false" outlineLevel="0" collapsed="false">
      <c r="A32" s="0" t="s">
        <v>133</v>
      </c>
      <c r="B32" s="0" t="n">
        <f aca="false">IF(B27&gt;B28,B31*(1+B28/100)/((B27-B28)/100),B31*B29)</f>
        <v>28515.7021710348</v>
      </c>
    </row>
    <row r="33" customFormat="false" ht="15" hidden="false" customHeight="false" outlineLevel="0" collapsed="false">
      <c r="A33" s="0" t="s">
        <v>134</v>
      </c>
      <c r="B33" s="0" t="n">
        <f aca="false">B31*B29</f>
        <v>31297.7218950382</v>
      </c>
    </row>
    <row r="34" customFormat="false" ht="15" hidden="false" customHeight="false" outlineLevel="0" collapsed="false">
      <c r="A34" s="0" t="s">
        <v>135</v>
      </c>
      <c r="B34" s="0" t="n">
        <f aca="false">MAX(0,MIN(B32,B33))</f>
        <v>28515.7021710348</v>
      </c>
    </row>
    <row r="35" customFormat="false" ht="15" hidden="false" customHeight="false" outlineLevel="0" collapsed="false">
      <c r="A35" s="0" t="s">
        <v>136</v>
      </c>
      <c r="B35" s="0" t="n">
        <f aca="false">B34/(1+B27/100)^L4</f>
        <v>10994.0376154136</v>
      </c>
    </row>
    <row r="36" customFormat="false" ht="15" hidden="false" customHeight="false" outlineLevel="0" collapsed="false">
      <c r="A36" s="0" t="s">
        <v>137</v>
      </c>
      <c r="B36" s="0" t="n">
        <f aca="false">B30+B35</f>
        <v>21980.8541971998</v>
      </c>
    </row>
    <row r="37" customFormat="false" ht="15" hidden="false" customHeight="false" outlineLevel="0" collapsed="false">
      <c r="A37" s="0" t="s">
        <v>138</v>
      </c>
      <c r="B37" s="0" t="n">
        <f aca="false">B36+Assumptions!$B$5-Assumptions!$B$4</f>
        <v>33633.6201971998</v>
      </c>
    </row>
    <row r="38" customFormat="false" ht="15" hidden="false" customHeight="false" outlineLevel="0" collapsed="false">
      <c r="A38" s="0" t="s">
        <v>139</v>
      </c>
      <c r="B38" s="0" t="n">
        <f aca="false">B37/Assumptions!$B$3*Assumptions!$B$10</f>
        <v>71.4086761636669</v>
      </c>
    </row>
    <row r="39" customFormat="false" ht="15" hidden="false" customHeight="false" outlineLevel="0" collapsed="false">
      <c r="A39" s="0" t="s">
        <v>140</v>
      </c>
      <c r="B39" s="4" t="n">
        <f aca="false">B38/Assumptions!$B$2-1</f>
        <v>1.71515878949304</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71.4086761636669</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17109.4213026209</v>
      </c>
    </row>
    <row r="47" customFormat="false" ht="15" hidden="false" customHeight="false" outlineLevel="0" collapsed="false">
      <c r="A47" s="0" t="s">
        <v>145</v>
      </c>
      <c r="B47" s="0" t="n">
        <f aca="false">(SUMPRODUCT(C19:L19/(1+B45/100)^C4:L4)+B46/(1+B45/100)^L4+Assumptions!$B$5-Assumptions!$B$4)/Assumptions!$B$3*Assumptions!$B$10</f>
        <v>52.5567998446337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7</v>
      </c>
      <c r="D5" s="4" t="n">
        <f aca="false">Assumptions!D41</f>
        <v>7</v>
      </c>
      <c r="E5" s="4" t="n">
        <f aca="false">Assumptions!E41</f>
        <v>6.5</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17126.068</v>
      </c>
      <c r="C6" s="0" t="n">
        <f aca="false">B6*(1+C5/100)</f>
        <v>18324.89276</v>
      </c>
      <c r="D6" s="0" t="n">
        <f aca="false">C6*(1+D5/100)</f>
        <v>19607.6352532</v>
      </c>
      <c r="E6" s="0" t="n">
        <f aca="false">D6*(1+E5/100)</f>
        <v>20882.131544658</v>
      </c>
      <c r="F6" s="0" t="n">
        <f aca="false">E6*(1+F5/100)</f>
        <v>22135.0594373375</v>
      </c>
      <c r="G6" s="0" t="n">
        <f aca="false">F6*(1+G5/100)</f>
        <v>23241.8124092044</v>
      </c>
      <c r="H6" s="0" t="n">
        <f aca="false">G6*(1+H5/100)</f>
        <v>24287.6939676185</v>
      </c>
      <c r="I6" s="0" t="n">
        <f aca="false">H6*(1+I5/100)</f>
        <v>25259.2017263233</v>
      </c>
      <c r="J6" s="0" t="n">
        <f aca="false">I6*(1+J5/100)</f>
        <v>26143.2737867446</v>
      </c>
      <c r="K6" s="0" t="n">
        <f aca="false">J6*(1+K5/100)</f>
        <v>26927.5720003469</v>
      </c>
      <c r="L6" s="0" t="n">
        <f aca="false">K6*(1+L5/100)</f>
        <v>27735.3991603574</v>
      </c>
    </row>
    <row r="7" customFormat="false" ht="15" hidden="false" customHeight="false" outlineLevel="0" collapsed="false">
      <c r="A7" s="0" t="s">
        <v>102</v>
      </c>
      <c r="C7" s="4" t="n">
        <f aca="false">Assumptions!C42</f>
        <v>14</v>
      </c>
      <c r="D7" s="4" t="n">
        <f aca="false">Assumptions!D42</f>
        <v>14.2</v>
      </c>
      <c r="E7" s="4" t="n">
        <f aca="false">Assumptions!E42</f>
        <v>14.4</v>
      </c>
      <c r="F7" s="4" t="n">
        <f aca="false">Assumptions!F42</f>
        <v>14.5</v>
      </c>
      <c r="G7" s="4" t="n">
        <f aca="false">Assumptions!G42</f>
        <v>14.6</v>
      </c>
      <c r="H7" s="4" t="n">
        <f aca="false">Assumptions!H42</f>
        <v>14.7</v>
      </c>
      <c r="I7" s="4" t="n">
        <f aca="false">Assumptions!I42</f>
        <v>14.8</v>
      </c>
      <c r="J7" s="4" t="n">
        <f aca="false">Assumptions!J42</f>
        <v>14.8</v>
      </c>
      <c r="K7" s="4" t="n">
        <f aca="false">Assumptions!K42</f>
        <v>14.8</v>
      </c>
      <c r="L7" s="4" t="n">
        <f aca="false">Assumptions!L42</f>
        <v>14.8</v>
      </c>
    </row>
    <row r="8" customFormat="false" ht="15" hidden="false" customHeight="false" outlineLevel="0" collapsed="false">
      <c r="A8" s="0" t="s">
        <v>44</v>
      </c>
      <c r="C8" s="0" t="n">
        <f aca="false">C6*C7/100</f>
        <v>2565.4849864</v>
      </c>
      <c r="D8" s="0" t="n">
        <f aca="false">D6*D7/100</f>
        <v>2784.2842059544</v>
      </c>
      <c r="E8" s="0" t="n">
        <f aca="false">E6*E7/100</f>
        <v>3007.02694243075</v>
      </c>
      <c r="F8" s="0" t="n">
        <f aca="false">F6*F7/100</f>
        <v>3209.58361841393</v>
      </c>
      <c r="G8" s="0" t="n">
        <f aca="false">G6*G7/100</f>
        <v>3393.30461174384</v>
      </c>
      <c r="H8" s="0" t="n">
        <f aca="false">H6*H7/100</f>
        <v>3570.29101323993</v>
      </c>
      <c r="I8" s="0" t="n">
        <f aca="false">I6*I7/100</f>
        <v>3738.36185549585</v>
      </c>
      <c r="J8" s="0" t="n">
        <f aca="false">J6*J7/100</f>
        <v>3869.2045204382</v>
      </c>
      <c r="K8" s="0" t="n">
        <f aca="false">K6*K7/100</f>
        <v>3985.28065605135</v>
      </c>
      <c r="L8" s="0" t="n">
        <f aca="false">L6*L7/100</f>
        <v>4104.83907573289</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2528.83520088</v>
      </c>
      <c r="D11" s="0" t="n">
        <f aca="false">D8+D10+D24</f>
        <v>2745.068935448</v>
      </c>
      <c r="E11" s="0" t="n">
        <f aca="false">E8+E10+E24</f>
        <v>2965.26267934144</v>
      </c>
      <c r="F11" s="0" t="n">
        <f aca="false">F8+F10+F24</f>
        <v>3165.31349953926</v>
      </c>
      <c r="G11" s="0" t="n">
        <f aca="false">G8+G10+G24</f>
        <v>3346.82098692543</v>
      </c>
      <c r="H11" s="0" t="n">
        <f aca="false">H8+H10+H24</f>
        <v>3521.71562530469</v>
      </c>
      <c r="I11" s="0" t="n">
        <f aca="false">I8+I10+I24</f>
        <v>3687.8434520432</v>
      </c>
      <c r="J11" s="0" t="n">
        <f aca="false">J8+J10+J24</f>
        <v>3816.91797286471</v>
      </c>
      <c r="K11" s="0" t="n">
        <f aca="false">K8+K10+K24</f>
        <v>3931.42551205065</v>
      </c>
      <c r="L11" s="0" t="n">
        <f aca="false">L8+L10+L24</f>
        <v>4049.36827741217</v>
      </c>
    </row>
    <row r="12" customFormat="false" ht="15" hidden="false" customHeight="false" outlineLevel="0" collapsed="false">
      <c r="A12" s="0" t="s">
        <v>120</v>
      </c>
      <c r="C12" s="4" t="n">
        <f aca="false">-C6*Assumptions!C45/100</f>
        <v>-348.17296244</v>
      </c>
      <c r="D12" s="4" t="n">
        <f aca="false">-D6*Assumptions!D45/100</f>
        <v>-372.5450698108</v>
      </c>
      <c r="E12" s="4" t="n">
        <f aca="false">-E6*Assumptions!E45/100</f>
        <v>-396.760499348502</v>
      </c>
      <c r="F12" s="4" t="n">
        <f aca="false">-F6*Assumptions!F45/100</f>
        <v>-420.566129309412</v>
      </c>
      <c r="G12" s="4" t="n">
        <f aca="false">-G6*Assumptions!G45/100</f>
        <v>-441.594435774883</v>
      </c>
      <c r="H12" s="4" t="n">
        <f aca="false">-H6*Assumptions!H45/100</f>
        <v>-461.466185384752</v>
      </c>
      <c r="I12" s="4" t="n">
        <f aca="false">-I6*Assumptions!I45/100</f>
        <v>-479.924832800142</v>
      </c>
      <c r="J12" s="4" t="n">
        <f aca="false">-J6*Assumptions!J45/100</f>
        <v>-496.722201948147</v>
      </c>
      <c r="K12" s="4" t="n">
        <f aca="false">-K6*Assumptions!K45/100</f>
        <v>-511.623868006592</v>
      </c>
      <c r="L12" s="4" t="n">
        <f aca="false">-L6*Assumptions!L45/100</f>
        <v>-526.97258404679</v>
      </c>
    </row>
    <row r="13" customFormat="false" ht="15" hidden="false" customHeight="false" outlineLevel="0" collapsed="false">
      <c r="A13" s="0" t="s">
        <v>121</v>
      </c>
      <c r="C13" s="0" t="n">
        <f aca="false">C11+C12</f>
        <v>2180.66223844</v>
      </c>
      <c r="D13" s="0" t="n">
        <f aca="false">D11+D12</f>
        <v>2372.5238656372</v>
      </c>
      <c r="E13" s="0" t="n">
        <f aca="false">E11+E12</f>
        <v>2568.50217999293</v>
      </c>
      <c r="F13" s="0" t="n">
        <f aca="false">F11+F12</f>
        <v>2744.74737022985</v>
      </c>
      <c r="G13" s="0" t="n">
        <f aca="false">G11+G12</f>
        <v>2905.22655115054</v>
      </c>
      <c r="H13" s="0" t="n">
        <f aca="false">H11+H12</f>
        <v>3060.24943991994</v>
      </c>
      <c r="I13" s="0" t="n">
        <f aca="false">I11+I12</f>
        <v>3207.91861924306</v>
      </c>
      <c r="J13" s="0" t="n">
        <f aca="false">J11+J12</f>
        <v>3320.19577091656</v>
      </c>
      <c r="K13" s="0" t="n">
        <f aca="false">K11+K12</f>
        <v>3419.80164404406</v>
      </c>
      <c r="L13" s="0" t="n">
        <f aca="false">L11+L12</f>
        <v>3522.39569336538</v>
      </c>
    </row>
    <row r="14" customFormat="false" ht="15" hidden="false" customHeight="false" outlineLevel="0" collapsed="false">
      <c r="A14" s="0" t="s">
        <v>107</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122</v>
      </c>
      <c r="C15" s="0" t="n">
        <f aca="false">C13-MAX(0,C13)*C14/100</f>
        <v>1635.49667883</v>
      </c>
      <c r="D15" s="0" t="n">
        <f aca="false">D13-MAX(0,D13)*D14/100</f>
        <v>1779.3928992279</v>
      </c>
      <c r="E15" s="0" t="n">
        <f aca="false">E13-MAX(0,E13)*E14/100</f>
        <v>1926.3766349947</v>
      </c>
      <c r="F15" s="0" t="n">
        <f aca="false">F13-MAX(0,F13)*F14/100</f>
        <v>2058.56052767239</v>
      </c>
      <c r="G15" s="0" t="n">
        <f aca="false">G13-MAX(0,G13)*G14/100</f>
        <v>2178.91991336291</v>
      </c>
      <c r="H15" s="0" t="n">
        <f aca="false">H13-MAX(0,H13)*H14/100</f>
        <v>2295.18707993995</v>
      </c>
      <c r="I15" s="0" t="n">
        <f aca="false">I13-MAX(0,I13)*I14/100</f>
        <v>2405.93896443229</v>
      </c>
      <c r="J15" s="0" t="n">
        <f aca="false">J13-MAX(0,J13)*J14/100</f>
        <v>2490.14682818742</v>
      </c>
      <c r="K15" s="0" t="n">
        <f aca="false">K13-MAX(0,K13)*K14/100</f>
        <v>2564.85123303305</v>
      </c>
      <c r="L15" s="0" t="n">
        <f aca="false">L13-MAX(0,L13)*L14/100</f>
        <v>2641.79677002404</v>
      </c>
    </row>
    <row r="16" customFormat="false" ht="15" hidden="false" customHeight="false" outlineLevel="0" collapsed="false">
      <c r="A16" s="0" t="s">
        <v>123</v>
      </c>
      <c r="C16" s="0" t="n">
        <f aca="false">-C12</f>
        <v>348.17296244</v>
      </c>
      <c r="D16" s="0" t="n">
        <f aca="false">-D12</f>
        <v>372.5450698108</v>
      </c>
      <c r="E16" s="0" t="n">
        <f aca="false">-E12</f>
        <v>396.760499348502</v>
      </c>
      <c r="F16" s="0" t="n">
        <f aca="false">-F12</f>
        <v>420.566129309412</v>
      </c>
      <c r="G16" s="0" t="n">
        <f aca="false">-G12</f>
        <v>441.594435774883</v>
      </c>
      <c r="H16" s="0" t="n">
        <f aca="false">-H12</f>
        <v>461.466185384752</v>
      </c>
      <c r="I16" s="0" t="n">
        <f aca="false">-I12</f>
        <v>479.924832800142</v>
      </c>
      <c r="J16" s="0" t="n">
        <f aca="false">-J12</f>
        <v>496.722201948147</v>
      </c>
      <c r="K16" s="0" t="n">
        <f aca="false">-K12</f>
        <v>511.623868006592</v>
      </c>
      <c r="L16" s="0" t="n">
        <f aca="false">-L12</f>
        <v>526.97258404679</v>
      </c>
    </row>
    <row r="17" customFormat="false" ht="15" hidden="false" customHeight="false" outlineLevel="0" collapsed="false">
      <c r="A17" s="0" t="s">
        <v>124</v>
      </c>
      <c r="C17" s="4" t="n">
        <f aca="false">-C6*Assumptions!C46/100</f>
        <v>-329.84806968</v>
      </c>
      <c r="D17" s="4" t="n">
        <f aca="false">-D6*Assumptions!D46/100</f>
        <v>-352.9374345576</v>
      </c>
      <c r="E17" s="4" t="n">
        <f aca="false">-E6*Assumptions!E46/100</f>
        <v>-375.878367803844</v>
      </c>
      <c r="F17" s="4" t="n">
        <f aca="false">-F6*Assumptions!F46/100</f>
        <v>-398.431069872075</v>
      </c>
      <c r="G17" s="4" t="n">
        <f aca="false">-G6*Assumptions!G46/100</f>
        <v>-418.352623365678</v>
      </c>
      <c r="H17" s="4" t="n">
        <f aca="false">-H6*Assumptions!H46/100</f>
        <v>-437.178491417134</v>
      </c>
      <c r="I17" s="4" t="n">
        <f aca="false">-I6*Assumptions!I46/100</f>
        <v>-454.665631073819</v>
      </c>
      <c r="J17" s="4" t="n">
        <f aca="false">-J6*Assumptions!J46/100</f>
        <v>-470.578928161403</v>
      </c>
      <c r="K17" s="4" t="n">
        <f aca="false">-K6*Assumptions!K46/100</f>
        <v>-484.696296006245</v>
      </c>
      <c r="L17" s="4" t="n">
        <f aca="false">-L6*Assumptions!L46/100</f>
        <v>-499.237184886432</v>
      </c>
    </row>
    <row r="18" customFormat="false" ht="15" hidden="false" customHeight="false" outlineLevel="0" collapsed="false">
      <c r="A18" s="0" t="s">
        <v>125</v>
      </c>
      <c r="C18" s="4" t="n">
        <f aca="false">(C6-B6)*Assumptions!$B$51/100</f>
        <v>119.882476</v>
      </c>
      <c r="D18" s="4" t="n">
        <f aca="false">(D6-C6)*Assumptions!$B$51/100</f>
        <v>128.27424932</v>
      </c>
      <c r="E18" s="4" t="n">
        <f aca="false">(E6-D6)*Assumptions!$B$51/100</f>
        <v>127.4496291458</v>
      </c>
      <c r="F18" s="4" t="n">
        <f aca="false">(F6-E6)*Assumptions!$B$51/100</f>
        <v>125.292789267948</v>
      </c>
      <c r="G18" s="4" t="n">
        <f aca="false">(G6-F6)*Assumptions!$B$51/100</f>
        <v>110.675297186687</v>
      </c>
      <c r="H18" s="4" t="n">
        <f aca="false">(H6-G6)*Assumptions!$B$51/100</f>
        <v>104.58815584142</v>
      </c>
      <c r="I18" s="4" t="n">
        <f aca="false">(I6-H6)*Assumptions!$B$51/100</f>
        <v>97.1507758704742</v>
      </c>
      <c r="J18" s="4" t="n">
        <f aca="false">(J6-I6)*Assumptions!$B$51/100</f>
        <v>88.4072060421313</v>
      </c>
      <c r="K18" s="4" t="n">
        <f aca="false">(K6-J6)*Assumptions!$B$51/100</f>
        <v>78.4298213602338</v>
      </c>
      <c r="L18" s="4" t="n">
        <f aca="false">(L6-K6)*Assumptions!$B$51/100</f>
        <v>80.7827160010409</v>
      </c>
    </row>
    <row r="19" customFormat="false" ht="15" hidden="false" customHeight="false" outlineLevel="0" collapsed="false">
      <c r="A19" s="0" t="s">
        <v>126</v>
      </c>
      <c r="C19" s="0" t="n">
        <f aca="false">C15+C16+C17+C18</f>
        <v>1773.70404759</v>
      </c>
      <c r="D19" s="0" t="n">
        <f aca="false">D15+D16+D17+D18</f>
        <v>1927.2747838011</v>
      </c>
      <c r="E19" s="0" t="n">
        <f aca="false">E15+E16+E17+E18</f>
        <v>2074.70839568516</v>
      </c>
      <c r="F19" s="0" t="n">
        <f aca="false">F15+F16+F17+F18</f>
        <v>2205.98837637767</v>
      </c>
      <c r="G19" s="0" t="n">
        <f aca="false">G15+G16+G17+G18</f>
        <v>2312.8370229588</v>
      </c>
      <c r="H19" s="0" t="n">
        <f aca="false">H15+H16+H17+H18</f>
        <v>2424.06292974899</v>
      </c>
      <c r="I19" s="0" t="n">
        <f aca="false">I15+I16+I17+I18</f>
        <v>2528.34894202909</v>
      </c>
      <c r="J19" s="0" t="n">
        <f aca="false">J15+J16+J17+J18</f>
        <v>2604.6973080163</v>
      </c>
      <c r="K19" s="0" t="n">
        <f aca="false">K15+K16+K17+K18</f>
        <v>2670.20862639363</v>
      </c>
      <c r="L19" s="0" t="n">
        <f aca="false">L15+L16+L17+L18</f>
        <v>2750.31488518544</v>
      </c>
    </row>
    <row r="20" customFormat="false" ht="15" hidden="false" customHeight="false" outlineLevel="0" collapsed="false">
      <c r="A20" s="0" t="s">
        <v>127</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128</v>
      </c>
      <c r="C21" s="0" t="n">
        <f aca="false">C19*C20</f>
        <v>1612.45822508182</v>
      </c>
      <c r="D21" s="0" t="n">
        <f aca="false">D19*D20</f>
        <v>1592.78907752157</v>
      </c>
      <c r="E21" s="0" t="n">
        <f aca="false">E19*E20</f>
        <v>1558.75912523303</v>
      </c>
      <c r="F21" s="0" t="n">
        <f aca="false">F19*F20</f>
        <v>1506.71974344489</v>
      </c>
      <c r="G21" s="0" t="n">
        <f aca="false">G19*G20</f>
        <v>1436.08982431577</v>
      </c>
      <c r="H21" s="0" t="n">
        <f aca="false">H19*H20</f>
        <v>1368.32032865309</v>
      </c>
      <c r="I21" s="0" t="n">
        <f aca="false">I19*I20</f>
        <v>1297.44278532225</v>
      </c>
      <c r="J21" s="0" t="n">
        <f aca="false">J19*J20</f>
        <v>1215.11051740203</v>
      </c>
      <c r="K21" s="0" t="n">
        <f aca="false">K19*K20</f>
        <v>1132.4291190112</v>
      </c>
      <c r="L21" s="0" t="n">
        <f aca="false">L19*L20</f>
        <v>1060.3654478014</v>
      </c>
    </row>
    <row r="23" customFormat="false" ht="15" hidden="false" customHeight="false" outlineLevel="0" collapsed="false">
      <c r="A23" s="0" t="s">
        <v>104</v>
      </c>
      <c r="C23" s="4" t="n">
        <f aca="false">Assumptions!C44</f>
        <v>0.2</v>
      </c>
      <c r="D23" s="4" t="n">
        <f aca="false">Assumptions!D44</f>
        <v>0.2</v>
      </c>
      <c r="E23" s="4" t="n">
        <f aca="false">Assumptions!E44</f>
        <v>0.2</v>
      </c>
      <c r="F23" s="4" t="n">
        <f aca="false">Assumptions!F44</f>
        <v>0.2</v>
      </c>
      <c r="G23" s="4" t="n">
        <f aca="false">Assumptions!G44</f>
        <v>0.2</v>
      </c>
      <c r="H23" s="4" t="n">
        <f aca="false">Assumptions!H44</f>
        <v>0.2</v>
      </c>
      <c r="I23" s="4" t="n">
        <f aca="false">Assumptions!I44</f>
        <v>0.2</v>
      </c>
      <c r="J23" s="4" t="n">
        <f aca="false">Assumptions!J44</f>
        <v>0.2</v>
      </c>
      <c r="K23" s="4" t="n">
        <f aca="false">Assumptions!K44</f>
        <v>0.2</v>
      </c>
      <c r="L23" s="4" t="n">
        <f aca="false">Assumptions!L44</f>
        <v>0.2</v>
      </c>
    </row>
    <row r="24" customFormat="false" ht="15" hidden="false" customHeight="false" outlineLevel="0" collapsed="false">
      <c r="A24" s="0" t="s">
        <v>129</v>
      </c>
      <c r="C24" s="0" t="n">
        <f aca="false">-C6*C23/100</f>
        <v>-36.64978552</v>
      </c>
      <c r="D24" s="0" t="n">
        <f aca="false">-D6*D23/100</f>
        <v>-39.2152705064</v>
      </c>
      <c r="E24" s="0" t="n">
        <f aca="false">-E6*E23/100</f>
        <v>-41.764263089316</v>
      </c>
      <c r="F24" s="0" t="n">
        <f aca="false">-F6*F23/100</f>
        <v>-44.270118874675</v>
      </c>
      <c r="G24" s="0" t="n">
        <f aca="false">-G6*G23/100</f>
        <v>-46.4836248184087</v>
      </c>
      <c r="H24" s="0" t="n">
        <f aca="false">-H6*H23/100</f>
        <v>-48.5753879352371</v>
      </c>
      <c r="I24" s="0" t="n">
        <f aca="false">-I6*I23/100</f>
        <v>-50.5184034526466</v>
      </c>
      <c r="J24" s="0" t="n">
        <f aca="false">-J6*J23/100</f>
        <v>-52.2865475734892</v>
      </c>
      <c r="K24" s="0" t="n">
        <f aca="false">-K6*K23/100</f>
        <v>-53.8551440006939</v>
      </c>
      <c r="L24" s="0" t="n">
        <f aca="false">-L6*L23/100</f>
        <v>-55.4707983207147</v>
      </c>
    </row>
    <row r="26" customFormat="false" ht="15" hidden="false" customHeight="false" outlineLevel="0" collapsed="false">
      <c r="A26" s="2" t="s">
        <v>130</v>
      </c>
    </row>
    <row r="27" customFormat="false" ht="15" hidden="false" customHeight="false" outlineLevel="0" collapsed="false">
      <c r="A27" s="0" t="s">
        <v>108</v>
      </c>
      <c r="B27" s="4" t="n">
        <f aca="false">Assumptions!$B$48</f>
        <v>10</v>
      </c>
    </row>
    <row r="28" customFormat="false" ht="15" hidden="false" customHeight="false" outlineLevel="0" collapsed="false">
      <c r="A28" s="0" t="s">
        <v>109</v>
      </c>
      <c r="B28" s="4" t="n">
        <f aca="false">Assumptions!$B$49</f>
        <v>3</v>
      </c>
    </row>
    <row r="29" customFormat="false" ht="15" hidden="false" customHeight="false" outlineLevel="0" collapsed="false">
      <c r="A29" s="0" t="s">
        <v>110</v>
      </c>
      <c r="B29" s="4" t="n">
        <f aca="false">Assumptions!$B$50</f>
        <v>15</v>
      </c>
    </row>
    <row r="30" customFormat="false" ht="15" hidden="false" customHeight="false" outlineLevel="0" collapsed="false">
      <c r="A30" s="0" t="s">
        <v>131</v>
      </c>
      <c r="B30" s="0" t="n">
        <f aca="false">SUM(C21:L21)</f>
        <v>13780.484193787</v>
      </c>
    </row>
    <row r="31" customFormat="false" ht="15" hidden="false" customHeight="false" outlineLevel="0" collapsed="false">
      <c r="A31" s="0" t="s">
        <v>132</v>
      </c>
      <c r="B31" s="0" t="n">
        <f aca="false">L19</f>
        <v>2750.31488518544</v>
      </c>
    </row>
    <row r="32" customFormat="false" ht="15" hidden="false" customHeight="false" outlineLevel="0" collapsed="false">
      <c r="A32" s="0" t="s">
        <v>133</v>
      </c>
      <c r="B32" s="0" t="n">
        <f aca="false">IF(B27&gt;B28,B31*(1+B28/100)/((B27-B28)/100),B31*B29)</f>
        <v>40468.9190248714</v>
      </c>
    </row>
    <row r="33" customFormat="false" ht="15" hidden="false" customHeight="false" outlineLevel="0" collapsed="false">
      <c r="A33" s="0" t="s">
        <v>134</v>
      </c>
      <c r="B33" s="0" t="n">
        <f aca="false">B31*B29</f>
        <v>41254.7232777815</v>
      </c>
    </row>
    <row r="34" customFormat="false" ht="15" hidden="false" customHeight="false" outlineLevel="0" collapsed="false">
      <c r="A34" s="0" t="s">
        <v>135</v>
      </c>
      <c r="B34" s="0" t="n">
        <f aca="false">MAX(0,MIN(B32,B33))</f>
        <v>40468.9190248714</v>
      </c>
    </row>
    <row r="35" customFormat="false" ht="15" hidden="false" customHeight="false" outlineLevel="0" collapsed="false">
      <c r="A35" s="0" t="s">
        <v>136</v>
      </c>
      <c r="B35" s="0" t="n">
        <f aca="false">B34/(1+B27/100)^L4</f>
        <v>15602.5201605063</v>
      </c>
    </row>
    <row r="36" customFormat="false" ht="15" hidden="false" customHeight="false" outlineLevel="0" collapsed="false">
      <c r="A36" s="0" t="s">
        <v>137</v>
      </c>
      <c r="B36" s="0" t="n">
        <f aca="false">B30+B35</f>
        <v>29383.0043542933</v>
      </c>
    </row>
    <row r="37" customFormat="false" ht="15" hidden="false" customHeight="false" outlineLevel="0" collapsed="false">
      <c r="A37" s="0" t="s">
        <v>138</v>
      </c>
      <c r="B37" s="0" t="n">
        <f aca="false">B36+Assumptions!$B$5-Assumptions!$B$4</f>
        <v>41035.7703542933</v>
      </c>
    </row>
    <row r="38" customFormat="false" ht="15" hidden="false" customHeight="false" outlineLevel="0" collapsed="false">
      <c r="A38" s="0" t="s">
        <v>139</v>
      </c>
      <c r="B38" s="0" t="n">
        <f aca="false">B37/Assumptions!$B$3*Assumptions!$B$10</f>
        <v>87.1244314223511</v>
      </c>
    </row>
    <row r="39" customFormat="false" ht="15" hidden="false" customHeight="false" outlineLevel="0" collapsed="false">
      <c r="A39" s="0" t="s">
        <v>140</v>
      </c>
      <c r="B39" s="4" t="n">
        <f aca="false">B38/Assumptions!$B$2-1</f>
        <v>2.31271602366354</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87.1244314223511</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23606.869431175</v>
      </c>
    </row>
    <row r="47" customFormat="false" ht="15" hidden="false" customHeight="false" outlineLevel="0" collapsed="false">
      <c r="A47" s="0" t="s">
        <v>145</v>
      </c>
      <c r="B47" s="0" t="n">
        <f aca="false">(SUMPRODUCT(C19:L19/(1+B45/100)^C4:L4)+B46/(1+B45/100)^L4+Assumptions!$B$5-Assumptions!$B$4)/Assumptions!$B$3*Assumptions!$B$10</f>
        <v>60.6193778379776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50.4797093000268</v>
      </c>
      <c r="C4" s="0" t="n">
        <f aca="false">B4/Assumptions!$B$2-1</f>
        <v>0.91938058175007</v>
      </c>
      <c r="D4" s="4" t="n">
        <f aca="false">Assumptions!$B$24</f>
        <v>0.25</v>
      </c>
      <c r="E4" s="4" t="n">
        <f aca="false">DCF_Bear!$B$43</f>
        <v>50.4797093000268</v>
      </c>
      <c r="F4" s="4" t="n">
        <f aca="false">DCF_Bear!$B$47</f>
        <v>41.0687962474537</v>
      </c>
    </row>
    <row r="5" customFormat="false" ht="15" hidden="false" customHeight="false" outlineLevel="0" collapsed="false">
      <c r="A5" s="0" t="s">
        <v>154</v>
      </c>
      <c r="B5" s="4" t="n">
        <f aca="false">DCF_Base!$B$38</f>
        <v>71.4086761636669</v>
      </c>
      <c r="C5" s="0" t="n">
        <f aca="false">B5/Assumptions!$B$2-1</f>
        <v>1.71515878949304</v>
      </c>
      <c r="D5" s="4" t="n">
        <f aca="false">Assumptions!$B$38</f>
        <v>0.5</v>
      </c>
      <c r="E5" s="4" t="n">
        <f aca="false">DCF_Base!$B$43</f>
        <v>71.4086761636669</v>
      </c>
      <c r="F5" s="4" t="n">
        <f aca="false">DCF_Base!$B$47</f>
        <v>52.5567998446337</v>
      </c>
    </row>
    <row r="6" customFormat="false" ht="15" hidden="false" customHeight="false" outlineLevel="0" collapsed="false">
      <c r="A6" s="0" t="s">
        <v>155</v>
      </c>
      <c r="B6" s="4" t="n">
        <f aca="false">DCF_Bull!$B$38</f>
        <v>87.1244314223511</v>
      </c>
      <c r="C6" s="0" t="n">
        <f aca="false">B6/Assumptions!$B$2-1</f>
        <v>2.31271602366354</v>
      </c>
      <c r="D6" s="4" t="n">
        <f aca="false">Assumptions!$B$52</f>
        <v>0.25</v>
      </c>
      <c r="E6" s="4" t="n">
        <f aca="false">DCF_Bull!$B$43</f>
        <v>87.1244314223511</v>
      </c>
      <c r="F6" s="4" t="n">
        <f aca="false">DCF_Bull!$B$47</f>
        <v>60.6193778379776</v>
      </c>
    </row>
    <row r="8" customFormat="false" ht="15" hidden="false" customHeight="false" outlineLevel="0" collapsed="false">
      <c r="A8" s="0" t="s">
        <v>156</v>
      </c>
      <c r="B8" s="0" t="n">
        <f aca="false">SUMPRODUCT(B4:B6,D4:D6)</f>
        <v>70.1053732624279</v>
      </c>
    </row>
    <row r="9" customFormat="false" ht="15" hidden="false" customHeight="false" outlineLevel="0" collapsed="false">
      <c r="A9" s="0" t="s">
        <v>157</v>
      </c>
      <c r="B9" s="0" t="n">
        <f aca="false">SUMPRODUCT(E4:E6,D4:D6)</f>
        <v>70.1053732624279</v>
      </c>
    </row>
    <row r="10" customFormat="false" ht="15" hidden="false" customHeight="false" outlineLevel="0" collapsed="false">
      <c r="A10" s="0" t="s">
        <v>158</v>
      </c>
      <c r="B10" s="0" t="n">
        <f aca="false">1-Assumptions!$B$2/B8</f>
        <v>0.624850439044804</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51.7004434436747</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77.2305617286666</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71.4086761636669</v>
      </c>
      <c r="C16" s="3" t="n">
        <v>10</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65.858827859568</v>
      </c>
      <c r="C17" s="3" t="n">
        <v>11</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61.4798263120923</v>
      </c>
      <c r="C18" s="3" t="n">
        <v>12</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52.5567998446337</v>
      </c>
      <c r="C19" s="3" t="n">
        <v>15</v>
      </c>
    </row>
    <row r="21" customFormat="false" ht="15" hidden="false" customHeight="false" outlineLevel="0" collapsed="false">
      <c r="A21" s="2" t="s">
        <v>168</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81.1150519587172</v>
      </c>
      <c r="C23" s="0" t="n">
        <f aca="false">(SUMPRODUCT(DCF_Base!$C$19:$L$19/(1+$A$23/100)^DCF_Base!$C$4:$L$4)+MAX(0,MIN(IF($A$23&gt;$C$22,DCF_Base!$L$19*(1+$C$22/100)/(($A$23-$C$22)/100),DCF_Base!$L$19*DCF_Base!$B$29),DCF_Base!$L$19*DCF_Base!$B$29))/(1+$A$23/100)^DCF_Base!$L$4+Assumptions!$B$5-Assumptions!$B$4)/Assumptions!$B$3*Assumptions!$B$10</f>
        <v>81.1150519587172</v>
      </c>
      <c r="D23" s="0" t="n">
        <f aca="false">(SUMPRODUCT(DCF_Base!$C$19:$L$19/(1+$A$23/100)^DCF_Base!$C$4:$L$4)+MAX(0,MIN(IF($A$23&gt;$D$22,DCF_Base!$L$19*(1+$D$22/100)/(($A$23-$D$22)/100),DCF_Base!$L$19*DCF_Base!$B$29),DCF_Base!$L$19*DCF_Base!$B$29))/(1+$A$23/100)^DCF_Base!$L$4+Assumptions!$B$5-Assumptions!$B$4)/Assumptions!$B$3*Assumptions!$B$10</f>
        <v>81.1150519587172</v>
      </c>
      <c r="E23" s="0" t="n">
        <f aca="false">(SUMPRODUCT(DCF_Base!$C$19:$L$19/(1+$A$23/100)^DCF_Base!$C$4:$L$4)+MAX(0,MIN(IF($A$23&gt;$E$22,DCF_Base!$L$19*(1+$E$22/100)/(($A$23-$E$22)/100),DCF_Base!$L$19*DCF_Base!$B$29),DCF_Base!$L$19*DCF_Base!$B$29))/(1+$A$23/100)^DCF_Base!$L$4+Assumptions!$B$5-Assumptions!$B$4)/Assumptions!$B$3*Assumptions!$B$10</f>
        <v>81.1150519587172</v>
      </c>
      <c r="F23" s="0" t="n">
        <f aca="false">(SUMPRODUCT(DCF_Base!$C$19:$L$19/(1+$A$23/100)^DCF_Base!$C$4:$L$4)+MAX(0,MIN(IF($A$23&gt;$F$22,DCF_Base!$L$19*(1+$F$22/100)/(($A$23-$F$22)/100),DCF_Base!$L$19*DCF_Base!$B$29),DCF_Base!$L$19*DCF_Base!$B$29))/(1+$A$23/100)^DCF_Base!$L$4+Assumptions!$B$5-Assumptions!$B$4)/Assumptions!$B$3*Assumptions!$B$10</f>
        <v>81.1150519587172</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74.4860488273496</v>
      </c>
      <c r="C24" s="0" t="n">
        <f aca="false">(SUMPRODUCT(DCF_Base!$C$19:$L$19/(1+$A$24/100)^DCF_Base!$C$4:$L$4)+MAX(0,MIN(IF($A$24&gt;$C$22,DCF_Base!$L$19*(1+$C$22/100)/(($A$24-$C$22)/100),DCF_Base!$L$19*DCF_Base!$B$29),DCF_Base!$L$19*DCF_Base!$B$29))/(1+$A$24/100)^DCF_Base!$L$4+Assumptions!$B$5-Assumptions!$B$4)/Assumptions!$B$3*Assumptions!$B$10</f>
        <v>76.428593673087</v>
      </c>
      <c r="D24" s="0" t="n">
        <f aca="false">(SUMPRODUCT(DCF_Base!$C$19:$L$19/(1+$A$24/100)^DCF_Base!$C$4:$L$4)+MAX(0,MIN(IF($A$24&gt;$D$22,DCF_Base!$L$19*(1+$D$22/100)/(($A$24-$D$22)/100),DCF_Base!$L$19*DCF_Base!$B$29),DCF_Base!$L$19*DCF_Base!$B$29))/(1+$A$24/100)^DCF_Base!$L$4+Assumptions!$B$5-Assumptions!$B$4)/Assumptions!$B$3*Assumptions!$B$10</f>
        <v>77.2305617286666</v>
      </c>
      <c r="E24" s="0" t="n">
        <f aca="false">(SUMPRODUCT(DCF_Base!$C$19:$L$19/(1+$A$24/100)^DCF_Base!$C$4:$L$4)+MAX(0,MIN(IF($A$24&gt;$E$22,DCF_Base!$L$19*(1+$E$22/100)/(($A$24-$E$22)/100),DCF_Base!$L$19*DCF_Base!$B$29),DCF_Base!$L$19*DCF_Base!$B$29))/(1+$A$24/100)^DCF_Base!$L$4+Assumptions!$B$5-Assumptions!$B$4)/Assumptions!$B$3*Assumptions!$B$10</f>
        <v>77.2305617286666</v>
      </c>
      <c r="F24" s="0" t="n">
        <f aca="false">(SUMPRODUCT(DCF_Base!$C$19:$L$19/(1+$A$24/100)^DCF_Base!$C$4:$L$4)+MAX(0,MIN(IF($A$24&gt;$F$22,DCF_Base!$L$19*(1+$F$22/100)/(($A$24-$F$22)/100),DCF_Base!$L$19*DCF_Base!$B$29),DCF_Base!$L$19*DCF_Base!$B$29))/(1+$A$24/100)^DCF_Base!$L$4+Assumptions!$B$5-Assumptions!$B$4)/Assumptions!$B$3*Assumptions!$B$10</f>
        <v>77.2305617286666</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68.4616466938265</v>
      </c>
      <c r="C25" s="0" t="n">
        <f aca="false">(SUMPRODUCT(DCF_Base!$C$19:$L$19/(1+$A$25/100)^DCF_Base!$C$4:$L$4)+MAX(0,MIN(IF($A$25&gt;$C$22,DCF_Base!$L$19*(1+$C$22/100)/(($A$25-$C$22)/100),DCF_Base!$L$19*DCF_Base!$B$29),DCF_Base!$L$19*DCF_Base!$B$29))/(1+$A$25/100)^DCF_Base!$L$4+Assumptions!$B$5-Assumptions!$B$4)/Assumptions!$B$3*Assumptions!$B$10</f>
        <v>69.8430667578142</v>
      </c>
      <c r="D25" s="0" t="n">
        <f aca="false">(SUMPRODUCT(DCF_Base!$C$19:$L$19/(1+$A$25/100)^DCF_Base!$C$4:$L$4)+MAX(0,MIN(IF($A$25&gt;$D$22,DCF_Base!$L$19*(1+$D$22/100)/(($A$25-$D$22)/100),DCF_Base!$L$19*DCF_Base!$B$29),DCF_Base!$L$19*DCF_Base!$B$29))/(1+$A$25/100)^DCF_Base!$L$4+Assumptions!$B$5-Assumptions!$B$4)/Assumptions!$B$3*Assumptions!$B$10</f>
        <v>71.4086761636669</v>
      </c>
      <c r="E25" s="0" t="n">
        <f aca="false">(SUMPRODUCT(DCF_Base!$C$19:$L$19/(1+$A$25/100)^DCF_Base!$C$4:$L$4)+MAX(0,MIN(IF($A$25&gt;$E$22,DCF_Base!$L$19*(1+$E$22/100)/(($A$25-$E$22)/100),DCF_Base!$L$19*DCF_Base!$B$29),DCF_Base!$L$19*DCF_Base!$B$29))/(1+$A$25/100)^DCF_Base!$L$4+Assumptions!$B$5-Assumptions!$B$4)/Assumptions!$B$3*Assumptions!$B$10</f>
        <v>73.19794405607</v>
      </c>
      <c r="F25" s="0" t="n">
        <f aca="false">(SUMPRODUCT(DCF_Base!$C$19:$L$19/(1+$A$25/100)^DCF_Base!$C$4:$L$4)+MAX(0,MIN(IF($A$25&gt;$F$22,DCF_Base!$L$19*(1+$F$22/100)/(($A$25-$F$22)/100),DCF_Base!$L$19*DCF_Base!$B$29),DCF_Base!$L$19*DCF_Base!$B$29))/(1+$A$25/100)^DCF_Base!$L$4+Assumptions!$B$5-Assumptions!$B$4)/Assumptions!$B$3*Assumptions!$B$10</f>
        <v>73.6859262085436</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63.7142120943324</v>
      </c>
      <c r="C26" s="0" t="n">
        <f aca="false">(SUMPRODUCT(DCF_Base!$C$19:$L$19/(1+$A$26/100)^DCF_Base!$C$4:$L$4)+MAX(0,MIN(IF($A$26&gt;$C$22,DCF_Base!$L$19*(1+$C$22/100)/(($A$26-$C$22)/100),DCF_Base!$L$19*DCF_Base!$B$29),DCF_Base!$L$19*DCF_Base!$B$29))/(1+$A$26/100)^DCF_Base!$L$4+Assumptions!$B$5-Assumptions!$B$4)/Assumptions!$B$3*Assumptions!$B$10</f>
        <v>64.7269473168048</v>
      </c>
      <c r="D26" s="0" t="n">
        <f aca="false">(SUMPRODUCT(DCF_Base!$C$19:$L$19/(1+$A$26/100)^DCF_Base!$C$4:$L$4)+MAX(0,MIN(IF($A$26&gt;$D$22,DCF_Base!$L$19*(1+$D$22/100)/(($A$26-$D$22)/100),DCF_Base!$L$19*DCF_Base!$B$29),DCF_Base!$L$19*DCF_Base!$B$29))/(1+$A$26/100)^DCF_Base!$L$4+Assumptions!$B$5-Assumptions!$B$4)/Assumptions!$B$3*Assumptions!$B$10</f>
        <v>65.858827859568</v>
      </c>
      <c r="E26" s="0" t="n">
        <f aca="false">(SUMPRODUCT(DCF_Base!$C$19:$L$19/(1+$A$26/100)^DCF_Base!$C$4:$L$4)+MAX(0,MIN(IF($A$26&gt;$E$22,DCF_Base!$L$19*(1+$E$22/100)/(($A$26-$E$22)/100),DCF_Base!$L$19*DCF_Base!$B$29),DCF_Base!$L$19*DCF_Base!$B$29))/(1+$A$26/100)^DCF_Base!$L$4+Assumptions!$B$5-Assumptions!$B$4)/Assumptions!$B$3*Assumptions!$B$10</f>
        <v>67.1321934701767</v>
      </c>
      <c r="F26" s="0" t="n">
        <f aca="false">(SUMPRODUCT(DCF_Base!$C$19:$L$19/(1+$A$26/100)^DCF_Base!$C$4:$L$4)+MAX(0,MIN(IF($A$26&gt;$F$22,DCF_Base!$L$19*(1+$F$22/100)/(($A$26-$F$22)/100),DCF_Base!$L$19*DCF_Base!$B$29),DCF_Base!$L$19*DCF_Base!$B$29))/(1+$A$26/100)^DCF_Base!$L$4+Assumptions!$B$5-Assumptions!$B$4)/Assumptions!$B$3*Assumptions!$B$10</f>
        <v>68.5753411621998</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59.8783381754338</v>
      </c>
      <c r="C27" s="0" t="n">
        <f aca="false">(SUMPRODUCT(DCF_Base!$C$19:$L$19/(1+$A$27/100)^DCF_Base!$C$4:$L$4)+MAX(0,MIN(IF($A$27&gt;$C$22,DCF_Base!$L$19*(1+$C$22/100)/(($A$27-$C$22)/100),DCF_Base!$L$19*DCF_Base!$B$29),DCF_Base!$L$19*DCF_Base!$B$29))/(1+$A$27/100)^DCF_Base!$L$4+Assumptions!$B$5-Assumptions!$B$4)/Assumptions!$B$3*Assumptions!$B$10</f>
        <v>60.6390450403466</v>
      </c>
      <c r="D27" s="0" t="n">
        <f aca="false">(SUMPRODUCT(DCF_Base!$C$19:$L$19/(1+$A$27/100)^DCF_Base!$C$4:$L$4)+MAX(0,MIN(IF($A$27&gt;$D$22,DCF_Base!$L$19*(1+$D$22/100)/(($A$27-$D$22)/100),DCF_Base!$L$19*DCF_Base!$B$29),DCF_Base!$L$19*DCF_Base!$B$29))/(1+$A$27/100)^DCF_Base!$L$4+Assumptions!$B$5-Assumptions!$B$4)/Assumptions!$B$3*Assumptions!$B$10</f>
        <v>61.4798263120923</v>
      </c>
      <c r="E27" s="0" t="n">
        <f aca="false">(SUMPRODUCT(DCF_Base!$C$19:$L$19/(1+$A$27/100)^DCF_Base!$C$4:$L$4)+MAX(0,MIN(IF($A$27&gt;$E$22,DCF_Base!$L$19*(1+$E$22/100)/(($A$27-$E$22)/100),DCF_Base!$L$19*DCF_Base!$B$29),DCF_Base!$L$19*DCF_Base!$B$29))/(1+$A$27/100)^DCF_Base!$L$4+Assumptions!$B$5-Assumptions!$B$4)/Assumptions!$B$3*Assumptions!$B$10</f>
        <v>62.4140277251431</v>
      </c>
      <c r="F27" s="0" t="n">
        <f aca="false">(SUMPRODUCT(DCF_Base!$C$19:$L$19/(1+$A$27/100)^DCF_Base!$C$4:$L$4)+MAX(0,MIN(IF($A$27&gt;$F$22,DCF_Base!$L$19*(1+$F$22/100)/(($A$27-$F$22)/100),DCF_Base!$L$19*DCF_Base!$B$29),DCF_Base!$L$19*DCF_Base!$B$29))/(1+$A$27/100)^DCF_Base!$L$4+Assumptions!$B$5-Assumptions!$B$4)/Assumptions!$B$3*Assumptions!$B$10</f>
        <v>63.4581351867881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2026-10-23T10:53:46Z</dcterms:created>
  <dc:creator>openpyxl</dc:creator>
  <dc:description/>
  <dc:language>en-NZ</dc:language>
  <cp:lastModifiedBy/>
  <dcterms:modified xsi:type="dcterms:W3CDTF">2026-10-23T10:53:46Z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