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<sst xmlns="http://schemas.openxmlformats.org/spreadsheetml/2006/main" count="373" uniqueCount="172">
  <si>
    <t xml:space="preserve">Ticker</t>
  </si>
  <si>
    <t xml:space="preserve">3086.T</t>
  </si>
  <si>
    <t xml:space="preserve">Company</t>
  </si>
  <si>
    <t xml:space="preserve">J. Front Retailing Co., Ltd.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</si>
  <si>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</si>
  <si>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</si>
  <si>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</si>
  <si>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</si>
  <si>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2026-10-26T05:39:53Z (intraday TSE print; replace with the regular 15:30 JST close via refresh_price)</t>
  </si>
  <si>
    <t xml:space="preserve">Balance sheet date</t>
  </si>
  <si>
    <t xml:space="preserve">2026-08-31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</si>
  <si>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</si>
  <si>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</si>
  <si>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</si>
  <si>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</si>
  <si>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</si>
  <si>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</si>
  <si>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</si>
  <si>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</si>
  <si>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</si>
  <si>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</si>
  <si>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2026-10-26T06:00:39Z</t>
  </si>
  <si>
    <t xml:space="preserve">Drivers file</t>
  </si>
  <si>
    <t xml:space="preserve">3086.T_Drivers.json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</si>
  <si>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</si>
  <si>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</si>
  <si>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</si>
  <si>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strict basis: leases charged in full (principal + interest) as an operating cost with lease liabilities excluded from net debt, cash capex restored to at least ex-ROU depreciation, cash tax at the 31% statutory rate, NCI deducted once, and a 6.5% JPY WACC built from JGB + Japan ERP. The result is deliberately a cash-flow value, not an asset value. NAV MEMO (not in the bridge): equity attributable to owners JPY416.5bn at 2026-08-31 (JPY1,703/share) plus the FY2026 investment-property appraisal surplus (fair value 314,421 - carrying 177,187 = JPY137.2bn, Yuho line 10210), net of 31% deferred tax = JPY94.7bn, gives an adjusted NAV of ~JPY511bn = ~JPY2,090/share (JPY2,265 gross of tax); the owner-occupied flagship land (Shinsaibashi, Ginza, Nagoya Sakae, Kyoto, Kobe) is in PP&amp;E at historical cost and is NOT appraised, so true NAV is higher by an undisclosed amount. The market price is ~1.35x the disclosed adjusted NAV and ~1.66x book, and ~25x FY2026 EPS: the market is paying for real estate and a value-unlock story, not for the cash flows the stores generate. The gap between this DCF and the price is the price of that thesis.
key_risks_to_valuation: Lease treatment: charging JPY30bn/yr of lease cash in the flows AND leaving JPY150bn of lease liabilities out of net debt is one consistent choice; treating leases as debt instead would add JPY150bn to net debt but remove ~JPY30bn/yr from the charge -- the two do not give the same answer because lease interest is low; WACC: every 50bp on a 6.5% JPY rate moves the base value ~10%; the bottom-up rate is 5.9% and the house keiretsu reference is 9%; Capex path: FY2027 run-rate (H1 JPY17.7bn) is nearly double FY2026; if MTP investment stays at 7% of revenue beyond FY2027 the base value falls further; Hidden real-estate value (investment property surplus JPY137bn, flagship land at cost) is excluded from the DCF by the matching-asset rule; an asset-recycling programme in the next MTP would realise it and is the main upside outside this model; Cash taxes: FY2026 paid JPY17.7bn (38% of PBT) vs the 31% modelled; if non-deductible closure costs recur the model is ~JPY3bn/yr generous; Revenue guidance JPY470bn needs +14% H2; base already haircuts to +3%, but Developer property-sale timing can swing FY2027 revenue by JPY10-20bn either way</t>
  </si>
  <si>
    <t xml:space="preserve">Data sources</t>
  </si>
  <si>
    <t xml:space="preserve">price: Yahoo Finance chart API at inputs.price_as_of (TSE intraday); 52-week range 2,082-3,617
financials: 3086.T_Metrics.csv (core_metrics, JPY millions, IFRS from FY2018); FY2026 Yuho (annual securities report) for lease interest, ROU depreciation, investment-property fair value; H1 FY2027 tanshin (2026-10-13) for the 2026-08-31 balance sheet and share count
qualitative: 3086.T_Analysis.json (2026-10-26); H1 FY2027 results and FY2027 guidance revision of 2026-10-13</t>
  </si>
  <si>
    <t xml:space="preserve">Scenario narrative: bear</t>
  </si>
  <si>
    <t xml:space="preserve">Japan-China relations stay frozen, domestic wealth-effect spending fades with equities, and the structural department-store decline (-1%/yr) resumes after a flat FY2027; the Developer pipeline slips on construction costs; EBITDA margin falls to 19% on a fixed-cost estate while lease and renovation spending cannot be cut; BOJ hikes lift finance costs further (interest cover already 20x -&gt; 11x). Owner FCF drops to ~JPY15-18bn and the business is capitalised at 12x with zero growth.</t>
  </si>
  <si>
    <t xml:space="preserve">Scenario narrative: base</t>
  </si>
  <si>
    <t xml:space="preserve">J. Front's axes are (1) inbound/duty-free -- the late-2025 China travel advisory cut tax-free sales double digits and drove the FY2026 miss and the FY2027 operating-profit cut; (2) the affluent/gaisho domestic franchise, which is growing double digits in top-tier accounts and is the real moat; (3) the shift of profit mix toward SC (PARCO) rent and Developer fees/property sales, which is where margin can rise; (4) a 36-year-old store estate that needs continuous renovation capex (Umeda, HAERA, Kobe) against a shrinking domestic population; and (5) rising JPY rates on JPY334bn of debt-plus-leases. Base: FY2027 revenue +3% (guidance haircut for the +14% implied H2), EBITDA margin 21.0% rising to 21.5% as renovations mature, lease cost 6.8% of revenue, capex 7% falling to 5% (= ex-ROU D&amp;A), growth decaying to 1% nominal, 6.5% JPY WACC, 14x terminal cap. Owner FCF settles around JPY30-33bn/yr.</t>
  </si>
  <si>
    <t xml:space="preserve">Scenario narrative: bull</t>
  </si>
  <si>
    <t xml:space="preserve">Chinese arrivals normalise and Korean/US visitors keep growing, so FY2027 hits the JPY470bn / JPY53.5bn business-profit guidance; HAERA and the Umeda relaunch prove the department-store-plus-PARCO 'fusion' model; SC and Developer carry the EBITDA margin to 23%; the next MTP (Oct-2026/Apr-2027) commits to recycling investment property (appraised JPY314bn vs JPY177bn book at FY2026) into buybacks toward the 10%+ ROE target; exit multiple 17x.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</si>
  <si>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</si>
  <si>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</si>
  <si>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</si>
  <si>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</si>
  <si>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</si>
  <si>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</si>
  <si>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</si>
  <si>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</si>
  <si>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</si>
  <si>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</si>
  <si>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</si>
  <si>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</si>
  <si>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</si>
  <si>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</si>
  <si>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</si>
  <si>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</si>
  <si>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</si>
  <si>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</si>
  <si>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</si>
  <si>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</si>
  <si>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</si>
  <si>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</si>
  <si>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</si>
  <si>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</si>
  <si>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</si>
  <si>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</si>
  <si>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</si>
  <si>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BusinessProfit</t>
  </si>
  <si>
    <t xml:space="preserve">EPSDiluted</t>
  </si>
  <si>
    <t xml:space="preserve">LeasePrincipalRepaid</t>
  </si>
  <si>
    <t xml:space="preserve">NonControllingInterests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</si>
  <si>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</si>
  <si>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</si>
  <si>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</si>
  <si>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</si>
  <si>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</si>
  <si>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</si>
  <si>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</si>
  <si>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</si>
  <si>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</si>
  <si>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</si>
  <si>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</si>
  <si>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</si>
  <si>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</si>
  <si>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</si>
  <si>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</si>
  <si>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</si>
  <si>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</si>
  <si>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</si>
  <si>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</si>
  <si>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</si>
  <si>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</si>
  <si>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</si>
  <si>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</si>
  <si>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</si>
  <si>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</si>
  <si>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</si>
  <si>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</si>
  <si>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</si>
  <si>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</si>
  <si>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</si>
  <si>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</si>
  <si>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</si>
  <si>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</si>
  <si>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</si>
  <si>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</si>
  <si>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</si>
  <si>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</si>
  <si>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</si>
  <si>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</si>
  <si>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</si>
  <si>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</si>
  <si>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</si>
  <si>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</si>
  <si>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</si>
  <si>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</si>
  <si>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</si>
  <si>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</si>
  <si>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</si>
  <si>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</si>
  <si>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</si>
  <si>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3086.T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</si>
  <si>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</si>
  <si>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</si>
  <si>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</si>
  <si>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</si>
  <si>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</si>
  <si>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</si>
  <si>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</si>
  <si>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</si>
  <si>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</si>
  <si>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</si>
  <si>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</si>
  <si>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</si>
  <si>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</si>
  <si>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</si>
  <si>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</si>
  <si>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</si>
  <si>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</si>
  <si>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</si>
  <si>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</si>
  <si>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</si>
  <si>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</si>
  <si>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</si>
  <si>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</si>
  <si>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</si>
  <si>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</si>
  <si>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</si>
  <si>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</si>
  <si>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</si>
  <si>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</si>
  <si>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</si>
  <si>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3086.T owner-FCF component DCF: base case (millions, JPY)</t>
  </si>
  <si>
    <t xml:space="preserve">3086.T owner-FCF component DCF: bull case (millions, JPY)</t>
  </si>
  <si>
    <t xml:space="preserve">3086.T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</si>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</sst>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2824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1146319</v>
      </c>
      <c r="C2" s="0" t="n">
        <v>902189</v>
      </c>
      <c r="D2" s="0" t="n">
        <v>244130</v>
      </c>
      <c r="E2" s="0" t="n">
        <v>21.3</v>
      </c>
      <c r="F2" s="0" t="n">
        <v>41816</v>
      </c>
      <c r="G2" s="0" t="n">
        <v>3.6</v>
      </c>
      <c r="H2" s="0" t="n">
        <v>59514</v>
      </c>
      <c r="I2" s="0" t="n">
        <v>31568</v>
      </c>
      <c r="J2" s="0" t="n">
        <v>2.8</v>
      </c>
      <c r="K2" s="0" t="n">
        <v>119.55</v>
      </c>
      <c r="L2" s="0" t="n">
        <v>37532</v>
      </c>
      <c r="M2" s="0" t="n">
        <v>49514</v>
      </c>
      <c r="N2" s="0" t="n">
        <v>-11982</v>
      </c>
      <c r="O2" s="0" t="n">
        <v>370173</v>
      </c>
      <c r="P2" s="0" t="n">
        <v>998730</v>
      </c>
      <c r="Q2" s="0" t="n">
        <v>576515</v>
      </c>
      <c r="R2" s="0" t="n">
        <v>187949</v>
      </c>
      <c r="S2" s="0" t="n">
        <v>31276</v>
      </c>
      <c r="T2" s="0" t="n">
        <v>263.933</v>
      </c>
      <c r="AA2" s="0" t="s">
        <v>17</v>
      </c>
      <c r="AB2" s="0" t="s">
        <v>14</v>
      </c>
      <c r="AD2" s="0" t="n">
        <v>119.53</v>
      </c>
      <c r="AF2" s="0" t="n">
        <v>52025</v>
      </c>
    </row>
    <row r="3" customFormat="false" ht="15" hidden="false" customHeight="false" outlineLevel="0" collapsed="false">
      <c r="A3" s="0" t="s">
        <v>68</v>
      </c>
      <c r="B3" s="0" t="n">
        <v>1149529</v>
      </c>
      <c r="C3" s="0" t="n">
        <v>905865</v>
      </c>
      <c r="D3" s="0" t="n">
        <v>243663</v>
      </c>
      <c r="E3" s="0" t="n">
        <v>21.2</v>
      </c>
      <c r="F3" s="0" t="n">
        <v>42091</v>
      </c>
      <c r="G3" s="0" t="n">
        <v>3.7</v>
      </c>
      <c r="H3" s="0" t="n">
        <v>60054</v>
      </c>
      <c r="I3" s="0" t="n">
        <v>19918</v>
      </c>
      <c r="J3" s="0" t="n">
        <v>1.7</v>
      </c>
      <c r="K3" s="0" t="n">
        <v>75.47</v>
      </c>
      <c r="L3" s="0" t="n">
        <v>44650</v>
      </c>
      <c r="M3" s="0" t="n">
        <v>23606</v>
      </c>
      <c r="N3" s="0" t="n">
        <v>21044</v>
      </c>
      <c r="O3" s="0" t="n">
        <v>376091</v>
      </c>
      <c r="P3" s="0" t="n">
        <v>1018700</v>
      </c>
      <c r="Q3" s="0" t="n">
        <v>588235</v>
      </c>
      <c r="R3" s="0" t="n">
        <v>168457</v>
      </c>
      <c r="S3" s="0" t="n">
        <v>32132</v>
      </c>
      <c r="T3" s="0" t="n">
        <v>263.914</v>
      </c>
      <c r="AA3" s="0" t="s">
        <v>17</v>
      </c>
      <c r="AB3" s="0" t="s">
        <v>14</v>
      </c>
      <c r="AD3" s="0" t="n">
        <v>75.47</v>
      </c>
      <c r="AF3" s="0" t="n">
        <v>54357</v>
      </c>
    </row>
    <row r="4" customFormat="false" ht="15" hidden="false" customHeight="false" outlineLevel="0" collapsed="false">
      <c r="A4" s="0" t="s">
        <v>69</v>
      </c>
      <c r="B4" s="0" t="n">
        <v>1163564</v>
      </c>
      <c r="C4" s="0" t="n">
        <v>918031</v>
      </c>
      <c r="D4" s="0" t="n">
        <v>245532</v>
      </c>
      <c r="E4" s="0" t="n">
        <v>21.1</v>
      </c>
      <c r="F4" s="0" t="n">
        <v>48038</v>
      </c>
      <c r="G4" s="0" t="n">
        <v>4.1</v>
      </c>
      <c r="H4" s="0" t="n">
        <v>66383</v>
      </c>
      <c r="I4" s="0" t="n">
        <v>26313</v>
      </c>
      <c r="J4" s="0" t="n">
        <v>2.3</v>
      </c>
      <c r="K4" s="0" t="n">
        <v>100.42</v>
      </c>
      <c r="L4" s="0" t="n">
        <v>36799</v>
      </c>
      <c r="M4" s="0" t="n">
        <v>37254</v>
      </c>
      <c r="N4" s="0" t="n">
        <v>-455</v>
      </c>
      <c r="O4" s="0" t="n">
        <v>383699</v>
      </c>
      <c r="P4" s="0" t="n">
        <v>1019146</v>
      </c>
      <c r="Q4" s="0" t="n">
        <v>578552</v>
      </c>
      <c r="R4" s="0" t="n">
        <v>180922</v>
      </c>
      <c r="S4" s="0" t="n">
        <v>28147</v>
      </c>
      <c r="T4" s="0" t="n">
        <v>261.544</v>
      </c>
      <c r="AA4" s="0" t="s">
        <v>17</v>
      </c>
      <c r="AB4" s="0" t="s">
        <v>14</v>
      </c>
      <c r="AD4" s="0" t="n">
        <v>100.41</v>
      </c>
      <c r="AF4" s="0" t="n">
        <v>56880</v>
      </c>
    </row>
    <row r="5" customFormat="false" ht="15" hidden="false" customHeight="false" outlineLevel="0" collapsed="false">
      <c r="A5" s="0" t="s">
        <v>70</v>
      </c>
      <c r="B5" s="0" t="n">
        <v>452505</v>
      </c>
      <c r="C5" s="0" t="n">
        <v>239938</v>
      </c>
      <c r="D5" s="0" t="n">
        <v>212567</v>
      </c>
      <c r="E5" s="0" t="n">
        <v>47</v>
      </c>
      <c r="F5" s="0" t="n">
        <v>41727</v>
      </c>
      <c r="G5" s="0" t="n">
        <v>9.2</v>
      </c>
      <c r="H5" s="0" t="n">
        <v>59011</v>
      </c>
      <c r="I5" s="0" t="n">
        <v>27052</v>
      </c>
      <c r="J5" s="0" t="n">
        <v>6</v>
      </c>
      <c r="K5" s="0" t="n">
        <v>103.43</v>
      </c>
      <c r="L5" s="0" t="n">
        <v>33764</v>
      </c>
      <c r="M5" s="0" t="n">
        <v>39321</v>
      </c>
      <c r="N5" s="0" t="n">
        <v>-5557</v>
      </c>
      <c r="O5" s="0" t="n">
        <v>368571</v>
      </c>
      <c r="P5" s="0" t="n">
        <v>1005069</v>
      </c>
      <c r="Q5" s="0" t="n">
        <v>583625</v>
      </c>
      <c r="R5" s="0" t="n">
        <v>205951</v>
      </c>
      <c r="S5" s="0" t="n">
        <v>31867</v>
      </c>
      <c r="T5" s="0" t="n">
        <v>261.546</v>
      </c>
      <c r="AA5" s="0" t="s">
        <v>17</v>
      </c>
      <c r="AB5" s="0" t="s">
        <v>14</v>
      </c>
      <c r="AC5" s="0" t="n">
        <v>42608</v>
      </c>
      <c r="AD5" s="0" t="n">
        <v>103.43</v>
      </c>
      <c r="AF5" s="0" t="n">
        <v>52873</v>
      </c>
    </row>
    <row r="6" customFormat="false" ht="15" hidden="false" customHeight="false" outlineLevel="0" collapsed="false">
      <c r="A6" s="0" t="s">
        <v>71</v>
      </c>
      <c r="B6" s="0" t="n">
        <v>469915</v>
      </c>
      <c r="C6" s="0" t="n">
        <v>256979</v>
      </c>
      <c r="D6" s="0" t="n">
        <v>212935</v>
      </c>
      <c r="E6" s="0" t="n">
        <v>45.3</v>
      </c>
      <c r="F6" s="0" t="n">
        <v>49546</v>
      </c>
      <c r="G6" s="0" t="n">
        <v>10.5</v>
      </c>
      <c r="H6" s="0" t="n">
        <v>68229</v>
      </c>
      <c r="I6" s="0" t="n">
        <v>28486</v>
      </c>
      <c r="J6" s="0" t="n">
        <v>6.1</v>
      </c>
      <c r="K6" s="0" t="n">
        <v>108.92</v>
      </c>
      <c r="L6" s="0" t="n">
        <v>57079</v>
      </c>
      <c r="M6" s="0" t="n">
        <v>26701</v>
      </c>
      <c r="N6" s="0" t="n">
        <v>30378</v>
      </c>
      <c r="O6" s="0" t="n">
        <v>395519</v>
      </c>
      <c r="P6" s="0" t="n">
        <v>1022348</v>
      </c>
      <c r="Q6" s="0" t="n">
        <v>571460</v>
      </c>
      <c r="R6" s="0" t="n">
        <v>184202</v>
      </c>
      <c r="S6" s="0" t="n">
        <v>38883</v>
      </c>
      <c r="T6" s="0" t="n">
        <v>261.602</v>
      </c>
      <c r="AA6" s="0" t="s">
        <v>17</v>
      </c>
      <c r="AB6" s="0" t="s">
        <v>14</v>
      </c>
      <c r="AC6" s="0" t="n">
        <v>48271</v>
      </c>
      <c r="AD6" s="0" t="n">
        <v>108.86</v>
      </c>
      <c r="AF6" s="0" t="n">
        <v>55368</v>
      </c>
    </row>
    <row r="7" customFormat="false" ht="15" hidden="false" customHeight="false" outlineLevel="0" collapsed="false">
      <c r="A7" s="0" t="s">
        <v>72</v>
      </c>
      <c r="B7" s="0" t="n">
        <v>459840</v>
      </c>
      <c r="C7" s="0" t="n">
        <v>247443</v>
      </c>
      <c r="D7" s="0" t="n">
        <v>212396</v>
      </c>
      <c r="E7" s="0" t="n">
        <v>46.2</v>
      </c>
      <c r="F7" s="0" t="n">
        <v>40891</v>
      </c>
      <c r="G7" s="0" t="n">
        <v>8.9</v>
      </c>
      <c r="H7" s="0" t="n">
        <v>60798</v>
      </c>
      <c r="I7" s="0" t="n">
        <v>27358</v>
      </c>
      <c r="J7" s="0" t="n">
        <v>5.9</v>
      </c>
      <c r="K7" s="0" t="n">
        <v>104.55</v>
      </c>
      <c r="L7" s="0" t="n">
        <v>34870</v>
      </c>
      <c r="M7" s="0" t="n">
        <v>33204</v>
      </c>
      <c r="N7" s="0" t="n">
        <v>1666</v>
      </c>
      <c r="O7" s="0" t="n">
        <v>412700</v>
      </c>
      <c r="P7" s="0" t="n">
        <v>1029573</v>
      </c>
      <c r="Q7" s="0" t="n">
        <v>561087</v>
      </c>
      <c r="R7" s="0" t="n">
        <v>174378</v>
      </c>
      <c r="S7" s="0" t="n">
        <v>25659</v>
      </c>
      <c r="T7" s="0" t="n">
        <v>261.753</v>
      </c>
      <c r="AA7" s="0" t="s">
        <v>17</v>
      </c>
      <c r="AB7" s="0" t="s">
        <v>14</v>
      </c>
      <c r="AC7" s="0" t="n">
        <v>45514</v>
      </c>
      <c r="AD7" s="0" t="n">
        <v>104.52</v>
      </c>
      <c r="AF7" s="0" t="n">
        <v>55784</v>
      </c>
    </row>
    <row r="8" customFormat="false" ht="15" hidden="false" customHeight="false" outlineLevel="0" collapsed="false">
      <c r="A8" s="0" t="s">
        <v>73</v>
      </c>
      <c r="B8" s="0" t="n">
        <v>480621</v>
      </c>
      <c r="C8" s="0" t="n">
        <v>273667</v>
      </c>
      <c r="D8" s="0" t="n">
        <v>206953</v>
      </c>
      <c r="E8" s="0" t="n">
        <v>43.1</v>
      </c>
      <c r="F8" s="0" t="n">
        <v>40286</v>
      </c>
      <c r="G8" s="0" t="n">
        <v>8.4</v>
      </c>
      <c r="H8" s="0" t="n">
        <v>91239</v>
      </c>
      <c r="I8" s="0" t="n">
        <v>21251</v>
      </c>
      <c r="J8" s="0" t="n">
        <v>4.4</v>
      </c>
      <c r="K8" s="0" t="n">
        <v>81.19</v>
      </c>
      <c r="L8" s="0" t="n">
        <v>73358</v>
      </c>
      <c r="M8" s="0" t="n">
        <v>35832</v>
      </c>
      <c r="N8" s="0" t="n">
        <v>37526</v>
      </c>
      <c r="O8" s="0" t="n">
        <v>387188</v>
      </c>
      <c r="P8" s="0" t="n">
        <v>1240308</v>
      </c>
      <c r="Q8" s="0" t="n">
        <v>840627</v>
      </c>
      <c r="R8" s="0" t="n">
        <v>258276</v>
      </c>
      <c r="S8" s="0" t="n">
        <v>34633</v>
      </c>
      <c r="T8" s="0" t="n">
        <v>261.777</v>
      </c>
      <c r="U8" s="0" t="n">
        <v>553</v>
      </c>
      <c r="AA8" s="0" t="s">
        <v>17</v>
      </c>
      <c r="AB8" s="0" t="s">
        <v>14</v>
      </c>
      <c r="AC8" s="0" t="n">
        <v>45363</v>
      </c>
      <c r="AD8" s="0" t="n">
        <v>81.17</v>
      </c>
      <c r="AE8" s="0" t="n">
        <v>29241</v>
      </c>
      <c r="AF8" s="0" t="n">
        <v>12493</v>
      </c>
    </row>
    <row r="9" customFormat="false" ht="15" hidden="false" customHeight="false" outlineLevel="0" collapsed="false">
      <c r="A9" s="0" t="s">
        <v>74</v>
      </c>
      <c r="B9" s="0" t="n">
        <v>319079</v>
      </c>
      <c r="C9" s="0" t="n">
        <v>184711</v>
      </c>
      <c r="D9" s="0" t="n">
        <v>134368</v>
      </c>
      <c r="E9" s="0" t="n">
        <v>42.1</v>
      </c>
      <c r="F9" s="0" t="n">
        <v>-24265</v>
      </c>
      <c r="G9" s="0" t="n">
        <v>-7.6</v>
      </c>
      <c r="H9" s="0" t="n">
        <v>26096</v>
      </c>
      <c r="I9" s="0" t="n">
        <v>-26193</v>
      </c>
      <c r="J9" s="0" t="n">
        <v>-8.2</v>
      </c>
      <c r="K9" s="0" t="n">
        <v>-100.03</v>
      </c>
      <c r="L9" s="0" t="n">
        <v>56471</v>
      </c>
      <c r="M9" s="0" t="n">
        <v>18542</v>
      </c>
      <c r="N9" s="0" t="n">
        <v>37929</v>
      </c>
      <c r="O9" s="0" t="n">
        <v>352171</v>
      </c>
      <c r="P9" s="0" t="n">
        <v>1263722</v>
      </c>
      <c r="Q9" s="0" t="n">
        <v>899378</v>
      </c>
      <c r="R9" s="0" t="n">
        <v>359930</v>
      </c>
      <c r="S9" s="0" t="n">
        <v>128925</v>
      </c>
      <c r="T9" s="0" t="n">
        <v>261.856</v>
      </c>
      <c r="U9" s="0" t="n">
        <v>-537</v>
      </c>
      <c r="AA9" s="0" t="s">
        <v>17</v>
      </c>
      <c r="AB9" s="0" t="s">
        <v>14</v>
      </c>
      <c r="AC9" s="0" t="n">
        <v>2366</v>
      </c>
      <c r="AE9" s="0" t="n">
        <v>29254</v>
      </c>
      <c r="AF9" s="0" t="n">
        <v>12171</v>
      </c>
    </row>
    <row r="10" customFormat="false" ht="15" hidden="false" customHeight="false" outlineLevel="0" collapsed="false">
      <c r="A10" s="0" t="s">
        <v>75</v>
      </c>
      <c r="B10" s="0" t="n">
        <v>331484</v>
      </c>
      <c r="C10" s="0" t="n">
        <v>183642</v>
      </c>
      <c r="D10" s="0" t="n">
        <v>147842</v>
      </c>
      <c r="E10" s="0" t="n">
        <v>44.6</v>
      </c>
      <c r="F10" s="0" t="n">
        <v>9380</v>
      </c>
      <c r="G10" s="0" t="n">
        <v>2.8</v>
      </c>
      <c r="H10" s="0" t="n">
        <v>59009</v>
      </c>
      <c r="I10" s="0" t="n">
        <v>4321</v>
      </c>
      <c r="J10" s="0" t="n">
        <v>1.3</v>
      </c>
      <c r="K10" s="0" t="n">
        <v>16.5</v>
      </c>
      <c r="L10" s="0" t="n">
        <v>49866</v>
      </c>
      <c r="M10" s="0" t="n">
        <v>8421</v>
      </c>
      <c r="N10" s="0" t="n">
        <v>41445</v>
      </c>
      <c r="O10" s="0" t="n">
        <v>350368</v>
      </c>
      <c r="P10" s="0" t="n">
        <v>1192907</v>
      </c>
      <c r="Q10" s="0" t="n">
        <v>830787</v>
      </c>
      <c r="R10" s="0" t="n">
        <v>317714</v>
      </c>
      <c r="S10" s="0" t="n">
        <v>93278</v>
      </c>
      <c r="T10" s="0" t="n">
        <v>262</v>
      </c>
      <c r="U10" s="0" t="n">
        <v>455</v>
      </c>
      <c r="AA10" s="0" t="s">
        <v>17</v>
      </c>
      <c r="AB10" s="0" t="s">
        <v>14</v>
      </c>
      <c r="AC10" s="0" t="n">
        <v>11718</v>
      </c>
      <c r="AD10" s="0" t="n">
        <v>16.5</v>
      </c>
      <c r="AE10" s="0" t="n">
        <v>29674</v>
      </c>
      <c r="AF10" s="0" t="n">
        <v>11751</v>
      </c>
    </row>
    <row r="11" customFormat="false" ht="15" hidden="false" customHeight="false" outlineLevel="0" collapsed="false">
      <c r="A11" s="0" t="s">
        <v>76</v>
      </c>
      <c r="B11" s="0" t="n">
        <v>359679</v>
      </c>
      <c r="C11" s="0" t="n">
        <v>190142</v>
      </c>
      <c r="D11" s="0" t="n">
        <v>169536</v>
      </c>
      <c r="E11" s="0" t="n">
        <v>47.1</v>
      </c>
      <c r="F11" s="0" t="n">
        <v>19059</v>
      </c>
      <c r="G11" s="0" t="n">
        <v>5.3</v>
      </c>
      <c r="H11" s="0" t="n">
        <v>68166</v>
      </c>
      <c r="I11" s="0" t="n">
        <v>14237</v>
      </c>
      <c r="J11" s="0" t="n">
        <v>4</v>
      </c>
      <c r="K11" s="0" t="n">
        <v>54.32</v>
      </c>
      <c r="L11" s="0" t="n">
        <v>65480</v>
      </c>
      <c r="M11" s="0" t="n">
        <v>14783</v>
      </c>
      <c r="N11" s="0" t="n">
        <v>50697</v>
      </c>
      <c r="O11" s="0" t="n">
        <v>359385</v>
      </c>
      <c r="P11" s="0" t="n">
        <v>1120953</v>
      </c>
      <c r="Q11" s="0" t="n">
        <v>749542</v>
      </c>
      <c r="R11" s="0" t="n">
        <v>249123</v>
      </c>
      <c r="S11" s="0" t="n">
        <v>39874</v>
      </c>
      <c r="T11" s="0" t="n">
        <v>262.242</v>
      </c>
      <c r="U11" s="0" t="n">
        <v>480</v>
      </c>
      <c r="AA11" s="0" t="s">
        <v>17</v>
      </c>
      <c r="AB11" s="0" t="s">
        <v>14</v>
      </c>
      <c r="AC11" s="0" t="n">
        <v>24854</v>
      </c>
      <c r="AD11" s="0" t="n">
        <v>54.3</v>
      </c>
      <c r="AE11" s="0" t="n">
        <v>29138</v>
      </c>
      <c r="AF11" s="0" t="n">
        <v>12025</v>
      </c>
    </row>
    <row r="12" customFormat="false" ht="15" hidden="false" customHeight="false" outlineLevel="0" collapsed="false">
      <c r="A12" s="0" t="s">
        <v>77</v>
      </c>
      <c r="B12" s="0" t="n">
        <v>407006</v>
      </c>
      <c r="C12" s="0" t="n">
        <v>211490</v>
      </c>
      <c r="D12" s="0" t="n">
        <v>195516</v>
      </c>
      <c r="E12" s="0" t="n">
        <v>48</v>
      </c>
      <c r="F12" s="0" t="n">
        <v>43048</v>
      </c>
      <c r="G12" s="0" t="n">
        <v>10.6</v>
      </c>
      <c r="H12" s="0" t="n">
        <v>89540</v>
      </c>
      <c r="I12" s="0" t="n">
        <v>29913</v>
      </c>
      <c r="J12" s="0" t="n">
        <v>7.3</v>
      </c>
      <c r="K12" s="0" t="n">
        <v>114.06</v>
      </c>
      <c r="L12" s="0" t="n">
        <v>90692</v>
      </c>
      <c r="M12" s="0" t="n">
        <v>11487</v>
      </c>
      <c r="N12" s="0" t="n">
        <v>79205</v>
      </c>
      <c r="O12" s="0" t="n">
        <v>381898</v>
      </c>
      <c r="P12" s="0" t="n">
        <v>1114726</v>
      </c>
      <c r="Q12" s="0" t="n">
        <v>720494</v>
      </c>
      <c r="R12" s="0" t="n">
        <v>213948</v>
      </c>
      <c r="S12" s="0" t="n">
        <v>71342</v>
      </c>
      <c r="T12" s="0" t="n">
        <v>262.707</v>
      </c>
      <c r="U12" s="0" t="n">
        <v>359</v>
      </c>
      <c r="AA12" s="0" t="s">
        <v>17</v>
      </c>
      <c r="AB12" s="0" t="s">
        <v>14</v>
      </c>
      <c r="AC12" s="0" t="n">
        <v>44330</v>
      </c>
      <c r="AD12" s="0" t="n">
        <v>114.06</v>
      </c>
      <c r="AE12" s="0" t="n">
        <v>29088</v>
      </c>
      <c r="AF12" s="0" t="n">
        <v>12333</v>
      </c>
    </row>
    <row r="13" customFormat="false" ht="15" hidden="false" customHeight="false" outlineLevel="0" collapsed="false">
      <c r="A13" s="0" t="s">
        <v>78</v>
      </c>
      <c r="B13" s="0" t="n">
        <v>441877</v>
      </c>
      <c r="C13" s="0" t="n">
        <v>229281</v>
      </c>
      <c r="D13" s="0" t="n">
        <v>212596</v>
      </c>
      <c r="E13" s="0" t="n">
        <v>48.1</v>
      </c>
      <c r="F13" s="0" t="n">
        <v>58199</v>
      </c>
      <c r="G13" s="0" t="n">
        <v>13.2</v>
      </c>
      <c r="H13" s="0" t="n">
        <v>103792</v>
      </c>
      <c r="I13" s="0" t="n">
        <v>41424</v>
      </c>
      <c r="J13" s="0" t="n">
        <v>9.4</v>
      </c>
      <c r="K13" s="0" t="n">
        <v>160.35</v>
      </c>
      <c r="L13" s="0" t="n">
        <v>85812</v>
      </c>
      <c r="M13" s="0" t="n">
        <v>18202</v>
      </c>
      <c r="N13" s="0" t="n">
        <v>67610</v>
      </c>
      <c r="O13" s="0" t="n">
        <v>409646</v>
      </c>
      <c r="P13" s="0" t="n">
        <v>1164147</v>
      </c>
      <c r="Q13" s="0" t="n">
        <v>740911</v>
      </c>
      <c r="R13" s="0" t="n">
        <v>190058</v>
      </c>
      <c r="S13" s="0" t="n">
        <v>54975</v>
      </c>
      <c r="T13" s="0" t="n">
        <v>256.472</v>
      </c>
      <c r="U13" s="0" t="n">
        <v>776</v>
      </c>
      <c r="AA13" s="0" t="s">
        <v>17</v>
      </c>
      <c r="AB13" s="0" t="s">
        <v>14</v>
      </c>
      <c r="AC13" s="0" t="n">
        <v>53490</v>
      </c>
      <c r="AD13" s="0" t="n">
        <v>160.15</v>
      </c>
      <c r="AE13" s="0" t="n">
        <v>27590</v>
      </c>
      <c r="AF13" s="0" t="n">
        <v>13588</v>
      </c>
    </row>
    <row r="14" customFormat="false" ht="15" hidden="false" customHeight="false" outlineLevel="0" collapsed="false">
      <c r="A14" s="0" t="s">
        <v>79</v>
      </c>
      <c r="B14" s="0" t="n">
        <v>445094</v>
      </c>
      <c r="C14" s="0" t="n">
        <v>229682</v>
      </c>
      <c r="D14" s="0" t="n">
        <v>215412</v>
      </c>
      <c r="E14" s="0" t="n">
        <v>48.4</v>
      </c>
      <c r="F14" s="0" t="n">
        <v>49015</v>
      </c>
      <c r="G14" s="0" t="n">
        <v>11</v>
      </c>
      <c r="H14" s="0" t="n">
        <v>93305</v>
      </c>
      <c r="I14" s="0" t="n">
        <v>28282</v>
      </c>
      <c r="J14" s="0" t="n">
        <v>6.4</v>
      </c>
      <c r="K14" s="0" t="n">
        <v>112.93</v>
      </c>
      <c r="L14" s="0" t="n">
        <v>66992</v>
      </c>
      <c r="M14" s="0" t="n">
        <v>21162</v>
      </c>
      <c r="N14" s="0" t="n">
        <v>45830</v>
      </c>
      <c r="O14" s="0" t="n">
        <v>415586</v>
      </c>
      <c r="P14" s="0" t="n">
        <v>1141567</v>
      </c>
      <c r="Q14" s="0" t="n">
        <v>713544</v>
      </c>
      <c r="R14" s="0" t="n">
        <v>176536</v>
      </c>
      <c r="S14" s="0" t="n">
        <v>36099</v>
      </c>
      <c r="T14" s="0" t="n">
        <v>248.653</v>
      </c>
      <c r="U14" s="0" t="n">
        <v>616</v>
      </c>
      <c r="AA14" s="0" t="s">
        <v>17</v>
      </c>
      <c r="AB14" s="0" t="s">
        <v>14</v>
      </c>
      <c r="AC14" s="0" t="n">
        <v>50597</v>
      </c>
      <c r="AD14" s="0" t="n">
        <v>112.8</v>
      </c>
      <c r="AE14" s="0" t="n">
        <v>26041</v>
      </c>
      <c r="AF14" s="0" t="n">
        <v>12436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2824</v>
      </c>
    </row>
    <row r="3" customFormat="false" ht="15" hidden="false" customHeight="false" outlineLevel="0" collapsed="false">
      <c r="A3" s="0" t="s">
        <v>83</v>
      </c>
      <c r="B3" s="3" t="n">
        <v>244.6</v>
      </c>
    </row>
    <row r="4" customFormat="false" ht="15" hidden="false" customHeight="false" outlineLevel="0" collapsed="false">
      <c r="A4" s="0" t="s">
        <v>84</v>
      </c>
      <c r="B4" s="3" t="n">
        <v>158126</v>
      </c>
    </row>
    <row r="5" customFormat="false" ht="15" hidden="false" customHeight="false" outlineLevel="0" collapsed="false">
      <c r="A5" s="0" t="s">
        <v>85</v>
      </c>
      <c r="B5" s="3" t="n">
        <v>-12282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445094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0</v>
      </c>
      <c r="D13" s="3" t="n">
        <v>-1</v>
      </c>
      <c r="E13" s="3" t="n">
        <v>-1</v>
      </c>
      <c r="F13" s="3" t="n">
        <v>-0.5</v>
      </c>
      <c r="G13" s="3" t="n">
        <v>-0.5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104</v>
      </c>
      <c r="C14" s="3" t="n">
        <v>20</v>
      </c>
      <c r="D14" s="3" t="n">
        <v>19.5</v>
      </c>
      <c r="E14" s="3" t="n">
        <v>19</v>
      </c>
      <c r="F14" s="3" t="n">
        <v>19</v>
      </c>
      <c r="G14" s="3" t="n">
        <v>19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105</v>
      </c>
      <c r="C15" s="3" t="n">
        <v>0.14</v>
      </c>
      <c r="D15" s="3" t="n">
        <v>0.14</v>
      </c>
      <c r="E15" s="3" t="n">
        <v>0.14</v>
      </c>
      <c r="F15" s="3" t="n">
        <v>0.14</v>
      </c>
      <c r="G15" s="3" t="n">
        <v>0.14</v>
      </c>
      <c r="H15" s="3" t="n">
        <v>0.14</v>
      </c>
      <c r="I15" s="3" t="n">
        <v>0.14</v>
      </c>
      <c r="J15" s="3" t="n">
        <v>0.14</v>
      </c>
      <c r="K15" s="3" t="n">
        <v>0.14</v>
      </c>
      <c r="L15" s="3" t="n">
        <v>0.14</v>
      </c>
    </row>
    <row r="16" customFormat="false" ht="15" hidden="false" customHeight="false" outlineLevel="0" collapsed="false">
      <c r="A16" s="0" t="s">
        <v>106</v>
      </c>
      <c r="C16" s="3" t="n">
        <v>7</v>
      </c>
      <c r="D16" s="3" t="n">
        <v>7</v>
      </c>
      <c r="E16" s="3" t="n">
        <v>7</v>
      </c>
      <c r="F16" s="3" t="n">
        <v>7</v>
      </c>
      <c r="G16" s="3" t="n">
        <v>7</v>
      </c>
      <c r="H16" s="3" t="n">
        <v>7</v>
      </c>
      <c r="I16" s="3" t="n">
        <v>7</v>
      </c>
      <c r="J16" s="3" t="n">
        <v>7</v>
      </c>
      <c r="K16" s="3" t="n">
        <v>7</v>
      </c>
      <c r="L16" s="3" t="n">
        <v>7</v>
      </c>
    </row>
    <row r="17" customFormat="false" ht="15" hidden="false" customHeight="false" outlineLevel="0" collapsed="false">
      <c r="A17" s="0" t="s">
        <v>107</v>
      </c>
      <c r="C17" s="3" t="n">
        <v>5.3</v>
      </c>
      <c r="D17" s="3" t="n">
        <v>5.3</v>
      </c>
      <c r="E17" s="3" t="n">
        <v>5.3</v>
      </c>
      <c r="F17" s="3" t="n">
        <v>5.3</v>
      </c>
      <c r="G17" s="3" t="n">
        <v>5.3</v>
      </c>
      <c r="H17" s="3" t="n">
        <v>5.3</v>
      </c>
      <c r="I17" s="3" t="n">
        <v>5.3</v>
      </c>
      <c r="J17" s="3" t="n">
        <v>5.3</v>
      </c>
      <c r="K17" s="3" t="n">
        <v>5.3</v>
      </c>
      <c r="L17" s="3" t="n">
        <v>5.3</v>
      </c>
    </row>
    <row r="18" customFormat="false" ht="15" hidden="false" customHeight="false" outlineLevel="0" collapsed="false">
      <c r="A18" s="0" t="s">
        <v>108</v>
      </c>
      <c r="C18" s="3" t="n">
        <v>7</v>
      </c>
      <c r="D18" s="3" t="n">
        <v>6.5</v>
      </c>
      <c r="E18" s="3" t="n">
        <v>6</v>
      </c>
      <c r="F18" s="3" t="n">
        <v>5.5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109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110</v>
      </c>
      <c r="B20" s="3" t="n">
        <v>6.5</v>
      </c>
    </row>
    <row r="21" customFormat="false" ht="15" hidden="false" customHeight="false" outlineLevel="0" collapsed="false">
      <c r="A21" s="0" t="s">
        <v>111</v>
      </c>
      <c r="B21" s="3" t="n">
        <v>0</v>
      </c>
    </row>
    <row r="22" customFormat="false" ht="15" hidden="false" customHeight="false" outlineLevel="0" collapsed="false">
      <c r="A22" s="0" t="s">
        <v>112</v>
      </c>
      <c r="B22" s="3" t="n">
        <v>12</v>
      </c>
    </row>
    <row r="23" customFormat="false" ht="15" hidden="false" customHeight="false" outlineLevel="0" collapsed="false">
      <c r="A23" s="0" t="s">
        <v>113</v>
      </c>
      <c r="B23" s="3" t="n">
        <v>0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3</v>
      </c>
      <c r="D27" s="3" t="n">
        <v>2.5</v>
      </c>
      <c r="E27" s="3" t="n">
        <v>2</v>
      </c>
      <c r="F27" s="3" t="n">
        <v>2</v>
      </c>
      <c r="G27" s="3" t="n">
        <v>1.5</v>
      </c>
      <c r="H27" s="3" t="n">
        <v>1.5</v>
      </c>
      <c r="I27" s="3" t="n">
        <v>1.5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104</v>
      </c>
      <c r="C28" s="3" t="n">
        <v>21</v>
      </c>
      <c r="D28" s="3" t="n">
        <v>21.2</v>
      </c>
      <c r="E28" s="3" t="n">
        <v>21.4</v>
      </c>
      <c r="F28" s="3" t="n">
        <v>21.5</v>
      </c>
      <c r="G28" s="3" t="n">
        <v>21.5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105</v>
      </c>
      <c r="C29" s="3" t="n">
        <v>0.14</v>
      </c>
      <c r="D29" s="3" t="n">
        <v>0.14</v>
      </c>
      <c r="E29" s="3" t="n">
        <v>0.14</v>
      </c>
      <c r="F29" s="3" t="n">
        <v>0.14</v>
      </c>
      <c r="G29" s="3" t="n">
        <v>0.14</v>
      </c>
      <c r="H29" s="3" t="n">
        <v>0.14</v>
      </c>
      <c r="I29" s="3" t="n">
        <v>0.14</v>
      </c>
      <c r="J29" s="3" t="n">
        <v>0.14</v>
      </c>
      <c r="K29" s="3" t="n">
        <v>0.14</v>
      </c>
      <c r="L29" s="3" t="n">
        <v>0.14</v>
      </c>
    </row>
    <row r="30" customFormat="false" ht="15" hidden="false" customHeight="false" outlineLevel="0" collapsed="false">
      <c r="A30" s="0" t="s">
        <v>106</v>
      </c>
      <c r="C30" s="3" t="n">
        <v>6.8</v>
      </c>
      <c r="D30" s="3" t="n">
        <v>6.8</v>
      </c>
      <c r="E30" s="3" t="n">
        <v>6.8</v>
      </c>
      <c r="F30" s="3" t="n">
        <v>6.8</v>
      </c>
      <c r="G30" s="3" t="n">
        <v>6.8</v>
      </c>
      <c r="H30" s="3" t="n">
        <v>6.8</v>
      </c>
      <c r="I30" s="3" t="n">
        <v>6.8</v>
      </c>
      <c r="J30" s="3" t="n">
        <v>6.8</v>
      </c>
      <c r="K30" s="3" t="n">
        <v>6.8</v>
      </c>
      <c r="L30" s="3" t="n">
        <v>6.8</v>
      </c>
    </row>
    <row r="31" customFormat="false" ht="15" hidden="false" customHeight="false" outlineLevel="0" collapsed="false">
      <c r="A31" s="0" t="s">
        <v>107</v>
      </c>
      <c r="C31" s="3" t="n">
        <v>5.2</v>
      </c>
      <c r="D31" s="3" t="n">
        <v>5.2</v>
      </c>
      <c r="E31" s="3" t="n">
        <v>5.1</v>
      </c>
      <c r="F31" s="3" t="n">
        <v>5.1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108</v>
      </c>
      <c r="C32" s="3" t="n">
        <v>7</v>
      </c>
      <c r="D32" s="3" t="n">
        <v>6</v>
      </c>
      <c r="E32" s="3" t="n">
        <v>5.5</v>
      </c>
      <c r="F32" s="3" t="n">
        <v>5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109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110</v>
      </c>
      <c r="B34" s="3" t="n">
        <v>6.5</v>
      </c>
    </row>
    <row r="35" customFormat="false" ht="15" hidden="false" customHeight="false" outlineLevel="0" collapsed="false">
      <c r="A35" s="0" t="s">
        <v>111</v>
      </c>
      <c r="B35" s="3" t="n">
        <v>1</v>
      </c>
    </row>
    <row r="36" customFormat="false" ht="15" hidden="false" customHeight="false" outlineLevel="0" collapsed="false">
      <c r="A36" s="0" t="s">
        <v>112</v>
      </c>
      <c r="B36" s="3" t="n">
        <v>14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5.6</v>
      </c>
      <c r="D41" s="3" t="n">
        <v>4</v>
      </c>
      <c r="E41" s="3" t="n">
        <v>3</v>
      </c>
      <c r="F41" s="3" t="n">
        <v>3</v>
      </c>
      <c r="G41" s="3" t="n">
        <v>2.5</v>
      </c>
      <c r="H41" s="3" t="n">
        <v>2</v>
      </c>
      <c r="I41" s="3" t="n">
        <v>2</v>
      </c>
      <c r="J41" s="3" t="n">
        <v>1.5</v>
      </c>
      <c r="K41" s="3" t="n">
        <v>1.5</v>
      </c>
      <c r="L41" s="3" t="n">
        <v>1.5</v>
      </c>
    </row>
    <row r="42" customFormat="false" ht="15" hidden="false" customHeight="false" outlineLevel="0" collapsed="false">
      <c r="A42" s="0" t="s">
        <v>104</v>
      </c>
      <c r="C42" s="3" t="n">
        <v>21.3</v>
      </c>
      <c r="D42" s="3" t="n">
        <v>21.8</v>
      </c>
      <c r="E42" s="3" t="n">
        <v>22.3</v>
      </c>
      <c r="F42" s="3" t="n">
        <v>22.8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105</v>
      </c>
      <c r="C43" s="3" t="n">
        <v>0.14</v>
      </c>
      <c r="D43" s="3" t="n">
        <v>0.14</v>
      </c>
      <c r="E43" s="3" t="n">
        <v>0.14</v>
      </c>
      <c r="F43" s="3" t="n">
        <v>0.14</v>
      </c>
      <c r="G43" s="3" t="n">
        <v>0.14</v>
      </c>
      <c r="H43" s="3" t="n">
        <v>0.14</v>
      </c>
      <c r="I43" s="3" t="n">
        <v>0.14</v>
      </c>
      <c r="J43" s="3" t="n">
        <v>0.14</v>
      </c>
      <c r="K43" s="3" t="n">
        <v>0.14</v>
      </c>
      <c r="L43" s="3" t="n">
        <v>0.14</v>
      </c>
    </row>
    <row r="44" customFormat="false" ht="15" hidden="false" customHeight="false" outlineLevel="0" collapsed="false">
      <c r="A44" s="0" t="s">
        <v>106</v>
      </c>
      <c r="C44" s="3" t="n">
        <v>6.8</v>
      </c>
      <c r="D44" s="3" t="n">
        <v>6.7</v>
      </c>
      <c r="E44" s="3" t="n">
        <v>6.6</v>
      </c>
      <c r="F44" s="3" t="n">
        <v>6.5</v>
      </c>
      <c r="G44" s="3" t="n">
        <v>6.5</v>
      </c>
      <c r="H44" s="3" t="n">
        <v>6.5</v>
      </c>
      <c r="I44" s="3" t="n">
        <v>6.5</v>
      </c>
      <c r="J44" s="3" t="n">
        <v>6.5</v>
      </c>
      <c r="K44" s="3" t="n">
        <v>6.5</v>
      </c>
      <c r="L44" s="3" t="n">
        <v>6.5</v>
      </c>
    </row>
    <row r="45" customFormat="false" ht="15" hidden="false" customHeight="false" outlineLevel="0" collapsed="false">
      <c r="A45" s="0" t="s">
        <v>107</v>
      </c>
      <c r="C45" s="3" t="n">
        <v>5.2</v>
      </c>
      <c r="D45" s="3" t="n">
        <v>5.1</v>
      </c>
      <c r="E45" s="3" t="n">
        <v>5</v>
      </c>
      <c r="F45" s="3" t="n">
        <v>4.9</v>
      </c>
      <c r="G45" s="3" t="n">
        <v>4.8</v>
      </c>
      <c r="H45" s="3" t="n">
        <v>4.8</v>
      </c>
      <c r="I45" s="3" t="n">
        <v>4.8</v>
      </c>
      <c r="J45" s="3" t="n">
        <v>4.8</v>
      </c>
      <c r="K45" s="3" t="n">
        <v>4.8</v>
      </c>
      <c r="L45" s="3" t="n">
        <v>4.8</v>
      </c>
    </row>
    <row r="46" customFormat="false" ht="15" hidden="false" customHeight="false" outlineLevel="0" collapsed="false">
      <c r="A46" s="0" t="s">
        <v>108</v>
      </c>
      <c r="C46" s="3" t="n">
        <v>6.5</v>
      </c>
      <c r="D46" s="3" t="n">
        <v>5.5</v>
      </c>
      <c r="E46" s="3" t="n">
        <v>5</v>
      </c>
      <c r="F46" s="3" t="n">
        <v>4.5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109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110</v>
      </c>
      <c r="B48" s="3" t="n">
        <v>6.5</v>
      </c>
    </row>
    <row r="49" customFormat="false" ht="15" hidden="false" customHeight="false" outlineLevel="0" collapsed="false">
      <c r="A49" s="0" t="s">
        <v>111</v>
      </c>
      <c r="B49" s="3" t="n">
        <v>1.5</v>
      </c>
    </row>
    <row r="50" customFormat="false" ht="15" hidden="false" customHeight="false" outlineLevel="0" collapsed="false">
      <c r="A50" s="0" t="s">
        <v>112</v>
      </c>
      <c r="B50" s="3" t="n">
        <v>17</v>
      </c>
    </row>
    <row r="51" customFormat="false" ht="15" hidden="false" customHeight="false" outlineLevel="0" collapsed="false">
      <c r="A51" s="0" t="s">
        <v>113</v>
      </c>
      <c r="B51" s="3" t="n">
        <v>0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0</v>
      </c>
      <c r="D5" s="4" t="n">
        <f aca="false">Assumptions!D13</f>
        <v>-1</v>
      </c>
      <c r="E5" s="4" t="n">
        <f aca="false">Assumptions!E13</f>
        <v>-1</v>
      </c>
      <c r="F5" s="4" t="n">
        <f aca="false">Assumptions!F13</f>
        <v>-0.5</v>
      </c>
      <c r="G5" s="4" t="n">
        <f aca="false">Assumptions!G13</f>
        <v>-0.5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37</v>
      </c>
      <c r="B6" s="3" t="n">
        <v>445094</v>
      </c>
      <c r="C6" s="0" t="n">
        <f aca="false">B6*(1+C5/100)</f>
        <v>445094</v>
      </c>
      <c r="D6" s="0" t="n">
        <f aca="false">C6*(1+D5/100)</f>
        <v>440643.06</v>
      </c>
      <c r="E6" s="0" t="n">
        <f aca="false">D6*(1+E5/100)</f>
        <v>436236.6294</v>
      </c>
      <c r="F6" s="0" t="n">
        <f aca="false">E6*(1+F5/100)</f>
        <v>434055.446253</v>
      </c>
      <c r="G6" s="0" t="n">
        <f aca="false">F6*(1+G5/100)</f>
        <v>431885.169021735</v>
      </c>
      <c r="H6" s="0" t="n">
        <f aca="false">G6*(1+H5/100)</f>
        <v>431885.169021735</v>
      </c>
      <c r="I6" s="0" t="n">
        <f aca="false">H6*(1+I5/100)</f>
        <v>431885.169021735</v>
      </c>
      <c r="J6" s="0" t="n">
        <f aca="false">I6*(1+J5/100)</f>
        <v>431885.169021735</v>
      </c>
      <c r="K6" s="0" t="n">
        <f aca="false">J6*(1+K5/100)</f>
        <v>431885.169021735</v>
      </c>
      <c r="L6" s="0" t="n">
        <f aca="false">K6*(1+L5/100)</f>
        <v>431885.169021735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20</v>
      </c>
      <c r="D7" s="4" t="n">
        <f aca="false">Assumptions!D14</f>
        <v>19.5</v>
      </c>
      <c r="E7" s="4" t="n">
        <f aca="false">Assumptions!E14</f>
        <v>19</v>
      </c>
      <c r="F7" s="4" t="n">
        <f aca="false">Assumptions!F14</f>
        <v>19</v>
      </c>
      <c r="G7" s="4" t="n">
        <f aca="false">Assumptions!G14</f>
        <v>19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89018.8</v>
      </c>
      <c r="D8" s="0" t="n">
        <f aca="false">D6*D7/100</f>
        <v>85925.3967</v>
      </c>
      <c r="E8" s="0" t="n">
        <f aca="false">E6*E7/100</f>
        <v>82884.959586</v>
      </c>
      <c r="F8" s="0" t="n">
        <f aca="false">F6*F7/100</f>
        <v>82470.53478807</v>
      </c>
      <c r="G8" s="0" t="n">
        <f aca="false">G6*G7/100</f>
        <v>82058.1821141297</v>
      </c>
      <c r="H8" s="0" t="n">
        <f aca="false">H6*H7/100</f>
        <v>82058.1821141297</v>
      </c>
      <c r="I8" s="0" t="n">
        <f aca="false">I6*I7/100</f>
        <v>82058.1821141297</v>
      </c>
      <c r="J8" s="0" t="n">
        <f aca="false">J6*J7/100</f>
        <v>82058.1821141297</v>
      </c>
      <c r="K8" s="0" t="n">
        <f aca="false">K6*K7/100</f>
        <v>82058.1821141297</v>
      </c>
      <c r="L8" s="0" t="n">
        <f aca="false">L6*L7/100</f>
        <v>82058.1821141297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0.14</v>
      </c>
      <c r="D9" s="4" t="n">
        <f aca="false">Assumptions!D15</f>
        <v>0.14</v>
      </c>
      <c r="E9" s="4" t="n">
        <f aca="false">Assumptions!E15</f>
        <v>0.14</v>
      </c>
      <c r="F9" s="4" t="n">
        <f aca="false">Assumptions!F15</f>
        <v>0.14</v>
      </c>
      <c r="G9" s="4" t="n">
        <f aca="false">Assumptions!G15</f>
        <v>0.14</v>
      </c>
      <c r="H9" s="4" t="n">
        <f aca="false">Assumptions!H15</f>
        <v>0.14</v>
      </c>
      <c r="I9" s="4" t="n">
        <f aca="false">Assumptions!I15</f>
        <v>0.14</v>
      </c>
      <c r="J9" s="4" t="n">
        <f aca="false">Assumptions!J15</f>
        <v>0.14</v>
      </c>
      <c r="K9" s="4" t="n">
        <f aca="false">Assumptions!K15</f>
        <v>0.14</v>
      </c>
      <c r="L9" s="4" t="n">
        <f aca="false">Assumptions!L15</f>
        <v>0.14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-623.1316</v>
      </c>
      <c r="D10" s="0" t="n">
        <f aca="false">-D6*D9/100</f>
        <v>-616.900284</v>
      </c>
      <c r="E10" s="0" t="n">
        <f aca="false">-E6*E9/100</f>
        <v>-610.73128116</v>
      </c>
      <c r="F10" s="0" t="n">
        <f aca="false">-F6*F9/100</f>
        <v>-607.6776247542</v>
      </c>
      <c r="G10" s="0" t="n">
        <f aca="false">-G6*G9/100</f>
        <v>-604.639236630429</v>
      </c>
      <c r="H10" s="0" t="n">
        <f aca="false">-H6*H9/100</f>
        <v>-604.639236630429</v>
      </c>
      <c r="I10" s="0" t="n">
        <f aca="false">-I6*I9/100</f>
        <v>-604.639236630429</v>
      </c>
      <c r="J10" s="0" t="n">
        <f aca="false">-J6*J9/100</f>
        <v>-604.639236630429</v>
      </c>
      <c r="K10" s="0" t="n">
        <f aca="false">-K6*K9/100</f>
        <v>-604.639236630429</v>
      </c>
      <c r="L10" s="0" t="n">
        <f aca="false">-L6*L9/100</f>
        <v>-604.639236630429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57239.0884</v>
      </c>
      <c r="D11" s="0" t="n">
        <f aca="false">D8+D10+D24</f>
        <v>54463.482216</v>
      </c>
      <c r="E11" s="0" t="n">
        <f aca="false">E8+E10+E24</f>
        <v>51737.66424684</v>
      </c>
      <c r="F11" s="0" t="n">
        <f aca="false">F8+F10+F24</f>
        <v>51478.9759256058</v>
      </c>
      <c r="G11" s="0" t="n">
        <f aca="false">G8+G10+G24</f>
        <v>51221.5810459778</v>
      </c>
      <c r="H11" s="0" t="n">
        <f aca="false">H8+H10+H24</f>
        <v>51221.5810459778</v>
      </c>
      <c r="I11" s="0" t="n">
        <f aca="false">I8+I10+I24</f>
        <v>51221.5810459778</v>
      </c>
      <c r="J11" s="0" t="n">
        <f aca="false">J8+J10+J24</f>
        <v>51221.5810459778</v>
      </c>
      <c r="K11" s="0" t="n">
        <f aca="false">K8+K10+K24</f>
        <v>51221.5810459778</v>
      </c>
      <c r="L11" s="0" t="n">
        <f aca="false">L8+L10+L24</f>
        <v>51221.5810459778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-23589.982</v>
      </c>
      <c r="D12" s="4" t="n">
        <f aca="false">-D6*Assumptions!D17/100</f>
        <v>-23354.08218</v>
      </c>
      <c r="E12" s="4" t="n">
        <f aca="false">-E6*Assumptions!E17/100</f>
        <v>-23120.5413582</v>
      </c>
      <c r="F12" s="4" t="n">
        <f aca="false">-F6*Assumptions!F17/100</f>
        <v>-23004.938651409</v>
      </c>
      <c r="G12" s="4" t="n">
        <f aca="false">-G6*Assumptions!G17/100</f>
        <v>-22889.913958152</v>
      </c>
      <c r="H12" s="4" t="n">
        <f aca="false">-H6*Assumptions!H17/100</f>
        <v>-22889.913958152</v>
      </c>
      <c r="I12" s="4" t="n">
        <f aca="false">-I6*Assumptions!I17/100</f>
        <v>-22889.913958152</v>
      </c>
      <c r="J12" s="4" t="n">
        <f aca="false">-J6*Assumptions!J17/100</f>
        <v>-22889.913958152</v>
      </c>
      <c r="K12" s="4" t="n">
        <f aca="false">-K6*Assumptions!K17/100</f>
        <v>-22889.913958152</v>
      </c>
      <c r="L12" s="4" t="n">
        <f aca="false">-L6*Assumptions!L17/100</f>
        <v>-22889.913958152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33649.1064</v>
      </c>
      <c r="D13" s="0" t="n">
        <f aca="false">D11+D12</f>
        <v>31109.400036</v>
      </c>
      <c r="E13" s="0" t="n">
        <f aca="false">E11+E12</f>
        <v>28617.12288864</v>
      </c>
      <c r="F13" s="0" t="n">
        <f aca="false">F11+F12</f>
        <v>28474.0372741968</v>
      </c>
      <c r="G13" s="0" t="n">
        <f aca="false">G11+G12</f>
        <v>28331.6670878258</v>
      </c>
      <c r="H13" s="0" t="n">
        <f aca="false">H11+H12</f>
        <v>28331.6670878258</v>
      </c>
      <c r="I13" s="0" t="n">
        <f aca="false">I11+I12</f>
        <v>28331.6670878258</v>
      </c>
      <c r="J13" s="0" t="n">
        <f aca="false">J11+J12</f>
        <v>28331.6670878258</v>
      </c>
      <c r="K13" s="0" t="n">
        <f aca="false">K11+K12</f>
        <v>28331.6670878258</v>
      </c>
      <c r="L13" s="0" t="n">
        <f aca="false">L11+L12</f>
        <v>28331.6670878258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23217.883416</v>
      </c>
      <c r="D15" s="0" t="n">
        <f aca="false">D13-MAX(0,D13)*D14/100</f>
        <v>21465.48602484</v>
      </c>
      <c r="E15" s="0" t="n">
        <f aca="false">E13-MAX(0,E13)*E14/100</f>
        <v>19745.8147931616</v>
      </c>
      <c r="F15" s="0" t="n">
        <f aca="false">F13-MAX(0,F13)*F14/100</f>
        <v>19647.0857191958</v>
      </c>
      <c r="G15" s="0" t="n">
        <f aca="false">G13-MAX(0,G13)*G14/100</f>
        <v>19548.8502905998</v>
      </c>
      <c r="H15" s="0" t="n">
        <f aca="false">H13-MAX(0,H13)*H14/100</f>
        <v>19548.8502905998</v>
      </c>
      <c r="I15" s="0" t="n">
        <f aca="false">I13-MAX(0,I13)*I14/100</f>
        <v>19548.8502905998</v>
      </c>
      <c r="J15" s="0" t="n">
        <f aca="false">J13-MAX(0,J13)*J14/100</f>
        <v>19548.8502905998</v>
      </c>
      <c r="K15" s="0" t="n">
        <f aca="false">K13-MAX(0,K13)*K14/100</f>
        <v>19548.8502905998</v>
      </c>
      <c r="L15" s="0" t="n">
        <f aca="false">L13-MAX(0,L13)*L14/100</f>
        <v>19548.8502905998</v>
      </c>
    </row>
    <row r="16" customFormat="false" ht="15" hidden="false" customHeight="false" outlineLevel="0" collapsed="false">
      <c r="A16" s="0" t="s">
        <v>125</v>
      </c>
      <c r="C16" s="0" t="n">
        <f aca="false">-C12</f>
        <v>23589.982</v>
      </c>
      <c r="D16" s="0" t="n">
        <f aca="false">-D12</f>
        <v>23354.08218</v>
      </c>
      <c r="E16" s="0" t="n">
        <f aca="false">-E12</f>
        <v>23120.5413582</v>
      </c>
      <c r="F16" s="0" t="n">
        <f aca="false">-F12</f>
        <v>23004.938651409</v>
      </c>
      <c r="G16" s="0" t="n">
        <f aca="false">-G12</f>
        <v>22889.913958152</v>
      </c>
      <c r="H16" s="0" t="n">
        <f aca="false">-H12</f>
        <v>22889.913958152</v>
      </c>
      <c r="I16" s="0" t="n">
        <f aca="false">-I12</f>
        <v>22889.913958152</v>
      </c>
      <c r="J16" s="0" t="n">
        <f aca="false">-J12</f>
        <v>22889.913958152</v>
      </c>
      <c r="K16" s="0" t="n">
        <f aca="false">-K12</f>
        <v>22889.913958152</v>
      </c>
      <c r="L16" s="0" t="n">
        <f aca="false">-L12</f>
        <v>22889.913958152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-31156.58</v>
      </c>
      <c r="D17" s="4" t="n">
        <f aca="false">-D6*Assumptions!D18/100</f>
        <v>-28641.7989</v>
      </c>
      <c r="E17" s="4" t="n">
        <f aca="false">-E6*Assumptions!E18/100</f>
        <v>-26174.197764</v>
      </c>
      <c r="F17" s="4" t="n">
        <f aca="false">-F6*Assumptions!F18/100</f>
        <v>-23873.049543915</v>
      </c>
      <c r="G17" s="4" t="n">
        <f aca="false">-G6*Assumptions!G18/100</f>
        <v>-23753.6842961954</v>
      </c>
      <c r="H17" s="4" t="n">
        <f aca="false">-H6*Assumptions!H18/100</f>
        <v>-23753.6842961954</v>
      </c>
      <c r="I17" s="4" t="n">
        <f aca="false">-I6*Assumptions!I18/100</f>
        <v>-23753.6842961954</v>
      </c>
      <c r="J17" s="4" t="n">
        <f aca="false">-J6*Assumptions!J18/100</f>
        <v>-23753.6842961954</v>
      </c>
      <c r="K17" s="4" t="n">
        <f aca="false">-K6*Assumptions!K18/100</f>
        <v>-23753.6842961954</v>
      </c>
      <c r="L17" s="4" t="n">
        <f aca="false">-L6*Assumptions!L18/100</f>
        <v>-23753.6842961954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15651.285416</v>
      </c>
      <c r="D19" s="0" t="n">
        <f aca="false">D15+D16+D17+D18</f>
        <v>16177.76930484</v>
      </c>
      <c r="E19" s="0" t="n">
        <f aca="false">E15+E16+E17+E18</f>
        <v>16692.1583873616</v>
      </c>
      <c r="F19" s="0" t="n">
        <f aca="false">F15+F16+F17+F18</f>
        <v>18778.9748266898</v>
      </c>
      <c r="G19" s="0" t="n">
        <f aca="false">G15+G16+G17+G18</f>
        <v>18685.0799525563</v>
      </c>
      <c r="H19" s="0" t="n">
        <f aca="false">H15+H16+H17+H18</f>
        <v>18685.0799525563</v>
      </c>
      <c r="I19" s="0" t="n">
        <f aca="false">I15+I16+I17+I18</f>
        <v>18685.0799525563</v>
      </c>
      <c r="J19" s="0" t="n">
        <f aca="false">J15+J16+J17+J18</f>
        <v>18685.0799525563</v>
      </c>
      <c r="K19" s="0" t="n">
        <f aca="false">K15+K16+K17+K18</f>
        <v>18685.0799525563</v>
      </c>
      <c r="L19" s="0" t="n">
        <f aca="false">L15+L16+L17+L18</f>
        <v>18685.0799525563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14696.0426441315</v>
      </c>
      <c r="D21" s="0" t="n">
        <f aca="false">D19*D20</f>
        <v>14263.2804821266</v>
      </c>
      <c r="E21" s="0" t="n">
        <f aca="false">E19*E20</f>
        <v>13818.5881612088</v>
      </c>
      <c r="F21" s="0" t="n">
        <f aca="false">F19*F20</f>
        <v>14597.3307561185</v>
      </c>
      <c r="G21" s="0" t="n">
        <f aca="false">G19*G20</f>
        <v>13637.8817862327</v>
      </c>
      <c r="H21" s="0" t="n">
        <f aca="false">H19*H20</f>
        <v>12805.5228039744</v>
      </c>
      <c r="I21" s="0" t="n">
        <f aca="false">I19*I20</f>
        <v>12023.9650741544</v>
      </c>
      <c r="J21" s="0" t="n">
        <f aca="false">J19*J20</f>
        <v>11290.1080508492</v>
      </c>
      <c r="K21" s="0" t="n">
        <f aca="false">K19*K20</f>
        <v>10601.0404233326</v>
      </c>
      <c r="L21" s="0" t="n">
        <f aca="false">L19*L20</f>
        <v>9954.02856650945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7</v>
      </c>
      <c r="D23" s="4" t="n">
        <f aca="false">Assumptions!D16</f>
        <v>7</v>
      </c>
      <c r="E23" s="4" t="n">
        <f aca="false">Assumptions!E16</f>
        <v>7</v>
      </c>
      <c r="F23" s="4" t="n">
        <f aca="false">Assumptions!F16</f>
        <v>7</v>
      </c>
      <c r="G23" s="4" t="n">
        <f aca="false">Assumptions!G16</f>
        <v>7</v>
      </c>
      <c r="H23" s="4" t="n">
        <f aca="false">Assumptions!H16</f>
        <v>7</v>
      </c>
      <c r="I23" s="4" t="n">
        <f aca="false">Assumptions!I16</f>
        <v>7</v>
      </c>
      <c r="J23" s="4" t="n">
        <f aca="false">Assumptions!J16</f>
        <v>7</v>
      </c>
      <c r="K23" s="4" t="n">
        <f aca="false">Assumptions!K16</f>
        <v>7</v>
      </c>
      <c r="L23" s="4" t="n">
        <f aca="false">Assumptions!L16</f>
        <v>7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-31156.58</v>
      </c>
      <c r="D24" s="0" t="n">
        <f aca="false">-D6*D23/100</f>
        <v>-30845.0142</v>
      </c>
      <c r="E24" s="0" t="n">
        <f aca="false">-E6*E23/100</f>
        <v>-30536.564058</v>
      </c>
      <c r="F24" s="0" t="n">
        <f aca="false">-F6*F23/100</f>
        <v>-30383.88123771</v>
      </c>
      <c r="G24" s="0" t="n">
        <f aca="false">-G6*G23/100</f>
        <v>-30231.9618315215</v>
      </c>
      <c r="H24" s="0" t="n">
        <f aca="false">-H6*H23/100</f>
        <v>-30231.9618315215</v>
      </c>
      <c r="I24" s="0" t="n">
        <f aca="false">-I6*I23/100</f>
        <v>-30231.9618315215</v>
      </c>
      <c r="J24" s="0" t="n">
        <f aca="false">-J6*J23/100</f>
        <v>-30231.9618315215</v>
      </c>
      <c r="K24" s="0" t="n">
        <f aca="false">-K6*K23/100</f>
        <v>-30231.9618315215</v>
      </c>
      <c r="L24" s="0" t="n">
        <f aca="false">-L6*L23/100</f>
        <v>-30231.9618315215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127687.788748638</v>
      </c>
    </row>
    <row r="31" customFormat="false" ht="15" hidden="false" customHeight="false" outlineLevel="0" collapsed="false">
      <c r="A31" s="0" t="s">
        <v>134</v>
      </c>
      <c r="B31" s="0" t="n">
        <f aca="false">L19</f>
        <v>18685.0799525563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287462.768500867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224220.959430676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224220.959430676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119448.342798113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247136.131546751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76728.1315467514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313.688191115091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-0.88892061221137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4382.22770863841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4955.49328385058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351.863665328047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124567.199683709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-211.085295054201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3</v>
      </c>
      <c r="D5" s="4" t="n">
        <f aca="false">Assumptions!D27</f>
        <v>2.5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1.5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37</v>
      </c>
      <c r="B6" s="3" t="n">
        <v>445094</v>
      </c>
      <c r="C6" s="0" t="n">
        <f aca="false">B6*(1+C5/100)</f>
        <v>458446.82</v>
      </c>
      <c r="D6" s="0" t="n">
        <f aca="false">C6*(1+D5/100)</f>
        <v>469907.9905</v>
      </c>
      <c r="E6" s="0" t="n">
        <f aca="false">D6*(1+E5/100)</f>
        <v>479306.15031</v>
      </c>
      <c r="F6" s="0" t="n">
        <f aca="false">E6*(1+F5/100)</f>
        <v>488892.2733162</v>
      </c>
      <c r="G6" s="0" t="n">
        <f aca="false">F6*(1+G5/100)</f>
        <v>496225.657415943</v>
      </c>
      <c r="H6" s="0" t="n">
        <f aca="false">G6*(1+H5/100)</f>
        <v>503669.042277182</v>
      </c>
      <c r="I6" s="0" t="n">
        <f aca="false">H6*(1+I5/100)</f>
        <v>511224.07791134</v>
      </c>
      <c r="J6" s="0" t="n">
        <f aca="false">I6*(1+J5/100)</f>
        <v>516336.318690453</v>
      </c>
      <c r="K6" s="0" t="n">
        <f aca="false">J6*(1+K5/100)</f>
        <v>521499.681877358</v>
      </c>
      <c r="L6" s="0" t="n">
        <f aca="false">K6*(1+L5/100)</f>
        <v>526714.678696131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21</v>
      </c>
      <c r="D7" s="4" t="n">
        <f aca="false">Assumptions!D28</f>
        <v>21.2</v>
      </c>
      <c r="E7" s="4" t="n">
        <f aca="false">Assumptions!E28</f>
        <v>21.4</v>
      </c>
      <c r="F7" s="4" t="n">
        <f aca="false">Assumptions!F28</f>
        <v>21.5</v>
      </c>
      <c r="G7" s="4" t="n">
        <f aca="false">Assumptions!G28</f>
        <v>21.5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96273.8322</v>
      </c>
      <c r="D8" s="0" t="n">
        <f aca="false">D6*D7/100</f>
        <v>99620.493986</v>
      </c>
      <c r="E8" s="0" t="n">
        <f aca="false">E6*E7/100</f>
        <v>102571.51616634</v>
      </c>
      <c r="F8" s="0" t="n">
        <f aca="false">F6*F7/100</f>
        <v>105111.838762983</v>
      </c>
      <c r="G8" s="0" t="n">
        <f aca="false">G6*G7/100</f>
        <v>106688.516344428</v>
      </c>
      <c r="H8" s="0" t="n">
        <f aca="false">H6*H7/100</f>
        <v>108288.844089594</v>
      </c>
      <c r="I8" s="0" t="n">
        <f aca="false">I6*I7/100</f>
        <v>109913.176750938</v>
      </c>
      <c r="J8" s="0" t="n">
        <f aca="false">J6*J7/100</f>
        <v>111012.308518447</v>
      </c>
      <c r="K8" s="0" t="n">
        <f aca="false">K6*K7/100</f>
        <v>112122.431603632</v>
      </c>
      <c r="L8" s="0" t="n">
        <f aca="false">L6*L7/100</f>
        <v>113243.655919668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0.14</v>
      </c>
      <c r="D9" s="4" t="n">
        <f aca="false">Assumptions!D29</f>
        <v>0.14</v>
      </c>
      <c r="E9" s="4" t="n">
        <f aca="false">Assumptions!E29</f>
        <v>0.14</v>
      </c>
      <c r="F9" s="4" t="n">
        <f aca="false">Assumptions!F29</f>
        <v>0.14</v>
      </c>
      <c r="G9" s="4" t="n">
        <f aca="false">Assumptions!G29</f>
        <v>0.14</v>
      </c>
      <c r="H9" s="4" t="n">
        <f aca="false">Assumptions!H29</f>
        <v>0.14</v>
      </c>
      <c r="I9" s="4" t="n">
        <f aca="false">Assumptions!I29</f>
        <v>0.14</v>
      </c>
      <c r="J9" s="4" t="n">
        <f aca="false">Assumptions!J29</f>
        <v>0.14</v>
      </c>
      <c r="K9" s="4" t="n">
        <f aca="false">Assumptions!K29</f>
        <v>0.14</v>
      </c>
      <c r="L9" s="4" t="n">
        <f aca="false">Assumptions!L29</f>
        <v>0.14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-641.825548</v>
      </c>
      <c r="D10" s="0" t="n">
        <f aca="false">-D6*D9/100</f>
        <v>-657.8711867</v>
      </c>
      <c r="E10" s="0" t="n">
        <f aca="false">-E6*E9/100</f>
        <v>-671.028610434</v>
      </c>
      <c r="F10" s="0" t="n">
        <f aca="false">-F6*F9/100</f>
        <v>-684.44918264268</v>
      </c>
      <c r="G10" s="0" t="n">
        <f aca="false">-G6*G9/100</f>
        <v>-694.71592038232</v>
      </c>
      <c r="H10" s="0" t="n">
        <f aca="false">-H6*H9/100</f>
        <v>-705.136659188055</v>
      </c>
      <c r="I10" s="0" t="n">
        <f aca="false">-I6*I9/100</f>
        <v>-715.713709075876</v>
      </c>
      <c r="J10" s="0" t="n">
        <f aca="false">-J6*J9/100</f>
        <v>-722.870846166635</v>
      </c>
      <c r="K10" s="0" t="n">
        <f aca="false">-K6*K9/100</f>
        <v>-730.099554628301</v>
      </c>
      <c r="L10" s="0" t="n">
        <f aca="false">-L6*L9/100</f>
        <v>-737.400550174584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64457.622892</v>
      </c>
      <c r="D11" s="0" t="n">
        <f aca="false">D8+D10+D24</f>
        <v>67008.8794453</v>
      </c>
      <c r="E11" s="0" t="n">
        <f aca="false">E8+E10+E24</f>
        <v>69307.669334826</v>
      </c>
      <c r="F11" s="0" t="n">
        <f aca="false">F8+F10+F24</f>
        <v>71182.7149948387</v>
      </c>
      <c r="G11" s="0" t="n">
        <f aca="false">G8+G10+G24</f>
        <v>72250.4557197613</v>
      </c>
      <c r="H11" s="0" t="n">
        <f aca="false">H8+H10+H24</f>
        <v>73334.2125555577</v>
      </c>
      <c r="I11" s="0" t="n">
        <f aca="false">I8+I10+I24</f>
        <v>74434.2257438911</v>
      </c>
      <c r="J11" s="0" t="n">
        <f aca="false">J8+J10+J24</f>
        <v>75178.56800133</v>
      </c>
      <c r="K11" s="0" t="n">
        <f aca="false">K8+K10+K24</f>
        <v>75930.3536813433</v>
      </c>
      <c r="L11" s="0" t="n">
        <f aca="false">L8+L10+L24</f>
        <v>76689.6572181567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-23839.23464</v>
      </c>
      <c r="D12" s="4" t="n">
        <f aca="false">-D6*Assumptions!D31/100</f>
        <v>-24435.215506</v>
      </c>
      <c r="E12" s="4" t="n">
        <f aca="false">-E6*Assumptions!E31/100</f>
        <v>-24444.61366581</v>
      </c>
      <c r="F12" s="4" t="n">
        <f aca="false">-F6*Assumptions!F31/100</f>
        <v>-24933.5059391262</v>
      </c>
      <c r="G12" s="4" t="n">
        <f aca="false">-G6*Assumptions!G31/100</f>
        <v>-24811.2828707971</v>
      </c>
      <c r="H12" s="4" t="n">
        <f aca="false">-H6*Assumptions!H31/100</f>
        <v>-25183.4521138591</v>
      </c>
      <c r="I12" s="4" t="n">
        <f aca="false">-I6*Assumptions!I31/100</f>
        <v>-25561.203895567</v>
      </c>
      <c r="J12" s="4" t="n">
        <f aca="false">-J6*Assumptions!J31/100</f>
        <v>-25816.8159345227</v>
      </c>
      <c r="K12" s="4" t="n">
        <f aca="false">-K6*Assumptions!K31/100</f>
        <v>-26074.9840938679</v>
      </c>
      <c r="L12" s="4" t="n">
        <f aca="false">-L6*Assumptions!L31/100</f>
        <v>-26335.7339348066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40618.388252</v>
      </c>
      <c r="D13" s="0" t="n">
        <f aca="false">D11+D12</f>
        <v>42573.6639393</v>
      </c>
      <c r="E13" s="0" t="n">
        <f aca="false">E11+E12</f>
        <v>44863.055669016</v>
      </c>
      <c r="F13" s="0" t="n">
        <f aca="false">F11+F12</f>
        <v>46249.2090557125</v>
      </c>
      <c r="G13" s="0" t="n">
        <f aca="false">G11+G12</f>
        <v>47439.1728489641</v>
      </c>
      <c r="H13" s="0" t="n">
        <f aca="false">H11+H12</f>
        <v>48150.7604416986</v>
      </c>
      <c r="I13" s="0" t="n">
        <f aca="false">I11+I12</f>
        <v>48873.0218483241</v>
      </c>
      <c r="J13" s="0" t="n">
        <f aca="false">J11+J12</f>
        <v>49361.7520668073</v>
      </c>
      <c r="K13" s="0" t="n">
        <f aca="false">K11+K12</f>
        <v>49855.3695874754</v>
      </c>
      <c r="L13" s="0" t="n">
        <f aca="false">L11+L12</f>
        <v>50353.9232833501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28026.68789388</v>
      </c>
      <c r="D15" s="0" t="n">
        <f aca="false">D13-MAX(0,D13)*D14/100</f>
        <v>29375.828118117</v>
      </c>
      <c r="E15" s="0" t="n">
        <f aca="false">E13-MAX(0,E13)*E14/100</f>
        <v>30955.508411621</v>
      </c>
      <c r="F15" s="0" t="n">
        <f aca="false">F13-MAX(0,F13)*F14/100</f>
        <v>31911.9542484416</v>
      </c>
      <c r="G15" s="0" t="n">
        <f aca="false">G13-MAX(0,G13)*G14/100</f>
        <v>32733.0292657853</v>
      </c>
      <c r="H15" s="0" t="n">
        <f aca="false">H13-MAX(0,H13)*H14/100</f>
        <v>33224.0247047721</v>
      </c>
      <c r="I15" s="0" t="n">
        <f aca="false">I13-MAX(0,I13)*I14/100</f>
        <v>33722.3850753436</v>
      </c>
      <c r="J15" s="0" t="n">
        <f aca="false">J13-MAX(0,J13)*J14/100</f>
        <v>34059.608926097</v>
      </c>
      <c r="K15" s="0" t="n">
        <f aca="false">K13-MAX(0,K13)*K14/100</f>
        <v>34400.205015358</v>
      </c>
      <c r="L15" s="0" t="n">
        <f aca="false">L13-MAX(0,L13)*L14/100</f>
        <v>34744.2070655116</v>
      </c>
    </row>
    <row r="16" customFormat="false" ht="15" hidden="false" customHeight="false" outlineLevel="0" collapsed="false">
      <c r="A16" s="0" t="s">
        <v>125</v>
      </c>
      <c r="C16" s="0" t="n">
        <f aca="false">-C12</f>
        <v>23839.23464</v>
      </c>
      <c r="D16" s="0" t="n">
        <f aca="false">-D12</f>
        <v>24435.215506</v>
      </c>
      <c r="E16" s="0" t="n">
        <f aca="false">-E12</f>
        <v>24444.61366581</v>
      </c>
      <c r="F16" s="0" t="n">
        <f aca="false">-F12</f>
        <v>24933.5059391262</v>
      </c>
      <c r="G16" s="0" t="n">
        <f aca="false">-G12</f>
        <v>24811.2828707971</v>
      </c>
      <c r="H16" s="0" t="n">
        <f aca="false">-H12</f>
        <v>25183.4521138591</v>
      </c>
      <c r="I16" s="0" t="n">
        <f aca="false">-I12</f>
        <v>25561.203895567</v>
      </c>
      <c r="J16" s="0" t="n">
        <f aca="false">-J12</f>
        <v>25816.8159345227</v>
      </c>
      <c r="K16" s="0" t="n">
        <f aca="false">-K12</f>
        <v>26074.9840938679</v>
      </c>
      <c r="L16" s="0" t="n">
        <f aca="false">-L12</f>
        <v>26335.7339348066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-32091.2774</v>
      </c>
      <c r="D17" s="4" t="n">
        <f aca="false">-D6*Assumptions!D32/100</f>
        <v>-28194.47943</v>
      </c>
      <c r="E17" s="4" t="n">
        <f aca="false">-E6*Assumptions!E32/100</f>
        <v>-26361.83826705</v>
      </c>
      <c r="F17" s="4" t="n">
        <f aca="false">-F6*Assumptions!F32/100</f>
        <v>-24444.61366581</v>
      </c>
      <c r="G17" s="4" t="n">
        <f aca="false">-G6*Assumptions!G32/100</f>
        <v>-24811.2828707971</v>
      </c>
      <c r="H17" s="4" t="n">
        <f aca="false">-H6*Assumptions!H32/100</f>
        <v>-25183.4521138591</v>
      </c>
      <c r="I17" s="4" t="n">
        <f aca="false">-I6*Assumptions!I32/100</f>
        <v>-25561.203895567</v>
      </c>
      <c r="J17" s="4" t="n">
        <f aca="false">-J6*Assumptions!J32/100</f>
        <v>-25816.8159345227</v>
      </c>
      <c r="K17" s="4" t="n">
        <f aca="false">-K6*Assumptions!K32/100</f>
        <v>-26074.9840938679</v>
      </c>
      <c r="L17" s="4" t="n">
        <f aca="false">-L6*Assumptions!L32/100</f>
        <v>-26335.7339348066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19774.64513388</v>
      </c>
      <c r="D19" s="0" t="n">
        <f aca="false">D15+D16+D17+D18</f>
        <v>25616.564194117</v>
      </c>
      <c r="E19" s="0" t="n">
        <f aca="false">E15+E16+E17+E18</f>
        <v>29038.283810381</v>
      </c>
      <c r="F19" s="0" t="n">
        <f aca="false">F15+F16+F17+F18</f>
        <v>32400.8465217578</v>
      </c>
      <c r="G19" s="0" t="n">
        <f aca="false">G15+G16+G17+G18</f>
        <v>32733.0292657853</v>
      </c>
      <c r="H19" s="0" t="n">
        <f aca="false">H15+H16+H17+H18</f>
        <v>33224.0247047721</v>
      </c>
      <c r="I19" s="0" t="n">
        <f aca="false">I15+I16+I17+I18</f>
        <v>33722.3850753436</v>
      </c>
      <c r="J19" s="0" t="n">
        <f aca="false">J15+J16+J17+J18</f>
        <v>34059.608926097</v>
      </c>
      <c r="K19" s="0" t="n">
        <f aca="false">K15+K16+K17+K18</f>
        <v>34400.205015358</v>
      </c>
      <c r="L19" s="0" t="n">
        <f aca="false">L15+L16+L17+L18</f>
        <v>34744.2070655116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18567.7419097465</v>
      </c>
      <c r="D21" s="0" t="n">
        <f aca="false">D19*D20</f>
        <v>22585.0816144213</v>
      </c>
      <c r="E21" s="0" t="n">
        <f aca="false">E19*E20</f>
        <v>24039.3168799411</v>
      </c>
      <c r="F21" s="0" t="n">
        <f aca="false">F19*F20</f>
        <v>25185.9261659014</v>
      </c>
      <c r="G21" s="0" t="n">
        <f aca="false">G19*G20</f>
        <v>23891.2107823762</v>
      </c>
      <c r="H21" s="0" t="n">
        <f aca="false">H19*H20</f>
        <v>22769.5576940018</v>
      </c>
      <c r="I21" s="0" t="n">
        <f aca="false">I19*I20</f>
        <v>21700.5643750345</v>
      </c>
      <c r="J21" s="0" t="n">
        <f aca="false">J19*J20</f>
        <v>20579.8779519107</v>
      </c>
      <c r="K21" s="0" t="n">
        <f aca="false">K19*K20</f>
        <v>19517.0673534552</v>
      </c>
      <c r="L21" s="0" t="n">
        <f aca="false">L19*L20</f>
        <v>18509.1436873143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6.8</v>
      </c>
      <c r="D23" s="4" t="n">
        <f aca="false">Assumptions!D30</f>
        <v>6.8</v>
      </c>
      <c r="E23" s="4" t="n">
        <f aca="false">Assumptions!E30</f>
        <v>6.8</v>
      </c>
      <c r="F23" s="4" t="n">
        <f aca="false">Assumptions!F30</f>
        <v>6.8</v>
      </c>
      <c r="G23" s="4" t="n">
        <f aca="false">Assumptions!G30</f>
        <v>6.8</v>
      </c>
      <c r="H23" s="4" t="n">
        <f aca="false">Assumptions!H30</f>
        <v>6.8</v>
      </c>
      <c r="I23" s="4" t="n">
        <f aca="false">Assumptions!I30</f>
        <v>6.8</v>
      </c>
      <c r="J23" s="4" t="n">
        <f aca="false">Assumptions!J30</f>
        <v>6.8</v>
      </c>
      <c r="K23" s="4" t="n">
        <f aca="false">Assumptions!K30</f>
        <v>6.8</v>
      </c>
      <c r="L23" s="4" t="n">
        <f aca="false">Assumptions!L30</f>
        <v>6.8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-31174.38376</v>
      </c>
      <c r="D24" s="0" t="n">
        <f aca="false">-D6*D23/100</f>
        <v>-31953.743354</v>
      </c>
      <c r="E24" s="0" t="n">
        <f aca="false">-E6*E23/100</f>
        <v>-32592.81822108</v>
      </c>
      <c r="F24" s="0" t="n">
        <f aca="false">-F6*F23/100</f>
        <v>-33244.6745855016</v>
      </c>
      <c r="G24" s="0" t="n">
        <f aca="false">-G6*G23/100</f>
        <v>-33743.3447042841</v>
      </c>
      <c r="H24" s="0" t="n">
        <f aca="false">-H6*H23/100</f>
        <v>-34249.4948748484</v>
      </c>
      <c r="I24" s="0" t="n">
        <f aca="false">-I6*I23/100</f>
        <v>-34763.2372979711</v>
      </c>
      <c r="J24" s="0" t="n">
        <f aca="false">-J6*J23/100</f>
        <v>-35110.8696709508</v>
      </c>
      <c r="K24" s="0" t="n">
        <f aca="false">-K6*K23/100</f>
        <v>-35461.9783676603</v>
      </c>
      <c r="L24" s="0" t="n">
        <f aca="false">-L6*L23/100</f>
        <v>-35816.5981513369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217345.488414103</v>
      </c>
    </row>
    <row r="31" customFormat="false" ht="15" hidden="false" customHeight="false" outlineLevel="0" collapsed="false">
      <c r="A31" s="0" t="s">
        <v>134</v>
      </c>
      <c r="B31" s="0" t="n">
        <f aca="false">L19</f>
        <v>34744.2070655116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638029.98429394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486418.898917162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486418.898917162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259128.011622401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476473.500036504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306065.500036504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1251.28986114679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-0.556908689395614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4964.93810370056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7213.83266185481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1301.08042028642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250654.636686905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157.60382927048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5.6</v>
      </c>
      <c r="D5" s="4" t="n">
        <f aca="false">Assumptions!D41</f>
        <v>4</v>
      </c>
      <c r="E5" s="4" t="n">
        <f aca="false">Assumptions!E41</f>
        <v>3</v>
      </c>
      <c r="F5" s="4" t="n">
        <f aca="false">Assumptions!F41</f>
        <v>3</v>
      </c>
      <c r="G5" s="4" t="n">
        <f aca="false">Assumptions!G41</f>
        <v>2.5</v>
      </c>
      <c r="H5" s="4" t="n">
        <f aca="false">Assumptions!H41</f>
        <v>2</v>
      </c>
      <c r="I5" s="4" t="n">
        <f aca="false">Assumptions!I41</f>
        <v>2</v>
      </c>
      <c r="J5" s="4" t="n">
        <f aca="false">Assumptions!J41</f>
        <v>1.5</v>
      </c>
      <c r="K5" s="4" t="n">
        <f aca="false">Assumptions!K41</f>
        <v>1.5</v>
      </c>
      <c r="L5" s="4" t="n">
        <f aca="false">Assumptions!L41</f>
        <v>1.5</v>
      </c>
    </row>
    <row r="6" customFormat="false" ht="15" hidden="false" customHeight="false" outlineLevel="0" collapsed="false">
      <c r="A6" s="0" t="s">
        <v>37</v>
      </c>
      <c r="B6" s="3" t="n">
        <v>445094</v>
      </c>
      <c r="C6" s="0" t="n">
        <f aca="false">B6*(1+C5/100)</f>
        <v>470019.264</v>
      </c>
      <c r="D6" s="0" t="n">
        <f aca="false">C6*(1+D5/100)</f>
        <v>488820.03456</v>
      </c>
      <c r="E6" s="0" t="n">
        <f aca="false">D6*(1+E5/100)</f>
        <v>503484.6355968</v>
      </c>
      <c r="F6" s="0" t="n">
        <f aca="false">E6*(1+F5/100)</f>
        <v>518589.174664704</v>
      </c>
      <c r="G6" s="0" t="n">
        <f aca="false">F6*(1+G5/100)</f>
        <v>531553.904031322</v>
      </c>
      <c r="H6" s="0" t="n">
        <f aca="false">G6*(1+H5/100)</f>
        <v>542184.982111948</v>
      </c>
      <c r="I6" s="0" t="n">
        <f aca="false">H6*(1+I5/100)</f>
        <v>553028.681754187</v>
      </c>
      <c r="J6" s="0" t="n">
        <f aca="false">I6*(1+J5/100)</f>
        <v>561324.1119805</v>
      </c>
      <c r="K6" s="0" t="n">
        <f aca="false">J6*(1+K5/100)</f>
        <v>569743.973660207</v>
      </c>
      <c r="L6" s="0" t="n">
        <f aca="false">K6*(1+L5/100)</f>
        <v>578290.13326511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21.3</v>
      </c>
      <c r="D7" s="4" t="n">
        <f aca="false">Assumptions!D42</f>
        <v>21.8</v>
      </c>
      <c r="E7" s="4" t="n">
        <f aca="false">Assumptions!E42</f>
        <v>22.3</v>
      </c>
      <c r="F7" s="4" t="n">
        <f aca="false">Assumptions!F42</f>
        <v>22.8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100114.103232</v>
      </c>
      <c r="D8" s="0" t="n">
        <f aca="false">D6*D7/100</f>
        <v>106562.76753408</v>
      </c>
      <c r="E8" s="0" t="n">
        <f aca="false">E6*E7/100</f>
        <v>112277.073738086</v>
      </c>
      <c r="F8" s="0" t="n">
        <f aca="false">F6*F7/100</f>
        <v>118238.331823553</v>
      </c>
      <c r="G8" s="0" t="n">
        <f aca="false">G6*G7/100</f>
        <v>122257.397927204</v>
      </c>
      <c r="H8" s="0" t="n">
        <f aca="false">H6*H7/100</f>
        <v>124702.545885748</v>
      </c>
      <c r="I8" s="0" t="n">
        <f aca="false">I6*I7/100</f>
        <v>127196.596803463</v>
      </c>
      <c r="J8" s="0" t="n">
        <f aca="false">J6*J7/100</f>
        <v>129104.545755515</v>
      </c>
      <c r="K8" s="0" t="n">
        <f aca="false">K6*K7/100</f>
        <v>131041.113941848</v>
      </c>
      <c r="L8" s="0" t="n">
        <f aca="false">L6*L7/100</f>
        <v>133006.730650975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0.14</v>
      </c>
      <c r="D9" s="4" t="n">
        <f aca="false">Assumptions!D43</f>
        <v>0.14</v>
      </c>
      <c r="E9" s="4" t="n">
        <f aca="false">Assumptions!E43</f>
        <v>0.14</v>
      </c>
      <c r="F9" s="4" t="n">
        <f aca="false">Assumptions!F43</f>
        <v>0.14</v>
      </c>
      <c r="G9" s="4" t="n">
        <f aca="false">Assumptions!G43</f>
        <v>0.14</v>
      </c>
      <c r="H9" s="4" t="n">
        <f aca="false">Assumptions!H43</f>
        <v>0.14</v>
      </c>
      <c r="I9" s="4" t="n">
        <f aca="false">Assumptions!I43</f>
        <v>0.14</v>
      </c>
      <c r="J9" s="4" t="n">
        <f aca="false">Assumptions!J43</f>
        <v>0.14</v>
      </c>
      <c r="K9" s="4" t="n">
        <f aca="false">Assumptions!K43</f>
        <v>0.14</v>
      </c>
      <c r="L9" s="4" t="n">
        <f aca="false">Assumptions!L43</f>
        <v>0.14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-658.0269696</v>
      </c>
      <c r="D10" s="0" t="n">
        <f aca="false">-D6*D9/100</f>
        <v>-684.348048384</v>
      </c>
      <c r="E10" s="0" t="n">
        <f aca="false">-E6*E9/100</f>
        <v>-704.87848983552</v>
      </c>
      <c r="F10" s="0" t="n">
        <f aca="false">-F6*F9/100</f>
        <v>-726.024844530586</v>
      </c>
      <c r="G10" s="0" t="n">
        <f aca="false">-G6*G9/100</f>
        <v>-744.17546564385</v>
      </c>
      <c r="H10" s="0" t="n">
        <f aca="false">-H6*H9/100</f>
        <v>-759.058974956727</v>
      </c>
      <c r="I10" s="0" t="n">
        <f aca="false">-I6*I9/100</f>
        <v>-774.240154455862</v>
      </c>
      <c r="J10" s="0" t="n">
        <f aca="false">-J6*J9/100</f>
        <v>-785.8537567727</v>
      </c>
      <c r="K10" s="0" t="n">
        <f aca="false">-K6*K9/100</f>
        <v>-797.64156312429</v>
      </c>
      <c r="L10" s="0" t="n">
        <f aca="false">-L6*L9/100</f>
        <v>-809.606186571155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67494.7663104</v>
      </c>
      <c r="D11" s="0" t="n">
        <f aca="false">D8+D10+D24</f>
        <v>73127.477170176</v>
      </c>
      <c r="E11" s="0" t="n">
        <f aca="false">E8+E10+E24</f>
        <v>78342.2092988621</v>
      </c>
      <c r="F11" s="0" t="n">
        <f aca="false">F8+F10+F24</f>
        <v>83804.0106258162</v>
      </c>
      <c r="G11" s="0" t="n">
        <f aca="false">G8+G10+G24</f>
        <v>86962.2186995242</v>
      </c>
      <c r="H11" s="0" t="n">
        <f aca="false">H8+H10+H24</f>
        <v>88701.4630735147</v>
      </c>
      <c r="I11" s="0" t="n">
        <f aca="false">I8+I10+I24</f>
        <v>90475.492334985</v>
      </c>
      <c r="J11" s="0" t="n">
        <f aca="false">J8+J10+J24</f>
        <v>91832.6247200098</v>
      </c>
      <c r="K11" s="0" t="n">
        <f aca="false">K8+K10+K24</f>
        <v>93210.1140908099</v>
      </c>
      <c r="L11" s="0" t="n">
        <f aca="false">L8+L10+L24</f>
        <v>94608.265802172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-24441.001728</v>
      </c>
      <c r="D12" s="4" t="n">
        <f aca="false">-D6*Assumptions!D45/100</f>
        <v>-24929.82176256</v>
      </c>
      <c r="E12" s="4" t="n">
        <f aca="false">-E6*Assumptions!E45/100</f>
        <v>-25174.23177984</v>
      </c>
      <c r="F12" s="4" t="n">
        <f aca="false">-F6*Assumptions!F45/100</f>
        <v>-25410.8695585705</v>
      </c>
      <c r="G12" s="4" t="n">
        <f aca="false">-G6*Assumptions!G45/100</f>
        <v>-25514.5873935034</v>
      </c>
      <c r="H12" s="4" t="n">
        <f aca="false">-H6*Assumptions!H45/100</f>
        <v>-26024.8791413735</v>
      </c>
      <c r="I12" s="4" t="n">
        <f aca="false">-I6*Assumptions!I45/100</f>
        <v>-26545.376724201</v>
      </c>
      <c r="J12" s="4" t="n">
        <f aca="false">-J6*Assumptions!J45/100</f>
        <v>-26943.557375064</v>
      </c>
      <c r="K12" s="4" t="n">
        <f aca="false">-K6*Assumptions!K45/100</f>
        <v>-27347.7107356899</v>
      </c>
      <c r="L12" s="4" t="n">
        <f aca="false">-L6*Assumptions!L45/100</f>
        <v>-27757.9263967253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43053.7645824</v>
      </c>
      <c r="D13" s="0" t="n">
        <f aca="false">D11+D12</f>
        <v>48197.655407616</v>
      </c>
      <c r="E13" s="0" t="n">
        <f aca="false">E11+E12</f>
        <v>53167.9775190221</v>
      </c>
      <c r="F13" s="0" t="n">
        <f aca="false">F11+F12</f>
        <v>58393.1410672457</v>
      </c>
      <c r="G13" s="0" t="n">
        <f aca="false">G11+G12</f>
        <v>61447.6313060208</v>
      </c>
      <c r="H13" s="0" t="n">
        <f aca="false">H11+H12</f>
        <v>62676.5839321412</v>
      </c>
      <c r="I13" s="0" t="n">
        <f aca="false">I11+I12</f>
        <v>63930.115610784</v>
      </c>
      <c r="J13" s="0" t="n">
        <f aca="false">J11+J12</f>
        <v>64889.0673449458</v>
      </c>
      <c r="K13" s="0" t="n">
        <f aca="false">K11+K12</f>
        <v>65862.40335512</v>
      </c>
      <c r="L13" s="0" t="n">
        <f aca="false">L11+L12</f>
        <v>66850.3394054468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29707.097561856</v>
      </c>
      <c r="D15" s="0" t="n">
        <f aca="false">D13-MAX(0,D13)*D14/100</f>
        <v>33256.3822312551</v>
      </c>
      <c r="E15" s="0" t="n">
        <f aca="false">E13-MAX(0,E13)*E14/100</f>
        <v>36685.9044881253</v>
      </c>
      <c r="F15" s="0" t="n">
        <f aca="false">F13-MAX(0,F13)*F14/100</f>
        <v>40291.2673363995</v>
      </c>
      <c r="G15" s="0" t="n">
        <f aca="false">G13-MAX(0,G13)*G14/100</f>
        <v>42398.8656011543</v>
      </c>
      <c r="H15" s="0" t="n">
        <f aca="false">H13-MAX(0,H13)*H14/100</f>
        <v>43246.8429131774</v>
      </c>
      <c r="I15" s="0" t="n">
        <f aca="false">I13-MAX(0,I13)*I14/100</f>
        <v>44111.779771441</v>
      </c>
      <c r="J15" s="0" t="n">
        <f aca="false">J13-MAX(0,J13)*J14/100</f>
        <v>44773.4564680126</v>
      </c>
      <c r="K15" s="0" t="n">
        <f aca="false">K13-MAX(0,K13)*K14/100</f>
        <v>45445.0583150328</v>
      </c>
      <c r="L15" s="0" t="n">
        <f aca="false">L13-MAX(0,L13)*L14/100</f>
        <v>46126.7341897583</v>
      </c>
    </row>
    <row r="16" customFormat="false" ht="15" hidden="false" customHeight="false" outlineLevel="0" collapsed="false">
      <c r="A16" s="0" t="s">
        <v>125</v>
      </c>
      <c r="C16" s="0" t="n">
        <f aca="false">-C12</f>
        <v>24441.001728</v>
      </c>
      <c r="D16" s="0" t="n">
        <f aca="false">-D12</f>
        <v>24929.82176256</v>
      </c>
      <c r="E16" s="0" t="n">
        <f aca="false">-E12</f>
        <v>25174.23177984</v>
      </c>
      <c r="F16" s="0" t="n">
        <f aca="false">-F12</f>
        <v>25410.8695585705</v>
      </c>
      <c r="G16" s="0" t="n">
        <f aca="false">-G12</f>
        <v>25514.5873935034</v>
      </c>
      <c r="H16" s="0" t="n">
        <f aca="false">-H12</f>
        <v>26024.8791413735</v>
      </c>
      <c r="I16" s="0" t="n">
        <f aca="false">-I12</f>
        <v>26545.376724201</v>
      </c>
      <c r="J16" s="0" t="n">
        <f aca="false">-J12</f>
        <v>26943.557375064</v>
      </c>
      <c r="K16" s="0" t="n">
        <f aca="false">-K12</f>
        <v>27347.7107356899</v>
      </c>
      <c r="L16" s="0" t="n">
        <f aca="false">-L12</f>
        <v>27757.9263967253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-30551.25216</v>
      </c>
      <c r="D17" s="4" t="n">
        <f aca="false">-D6*Assumptions!D46/100</f>
        <v>-26885.1019008</v>
      </c>
      <c r="E17" s="4" t="n">
        <f aca="false">-E6*Assumptions!E46/100</f>
        <v>-25174.23177984</v>
      </c>
      <c r="F17" s="4" t="n">
        <f aca="false">-F6*Assumptions!F46/100</f>
        <v>-23336.5128599117</v>
      </c>
      <c r="G17" s="4" t="n">
        <f aca="false">-G6*Assumptions!G46/100</f>
        <v>-23919.9256814095</v>
      </c>
      <c r="H17" s="4" t="n">
        <f aca="false">-H6*Assumptions!H46/100</f>
        <v>-24398.3241950377</v>
      </c>
      <c r="I17" s="4" t="n">
        <f aca="false">-I6*Assumptions!I46/100</f>
        <v>-24886.2906789384</v>
      </c>
      <c r="J17" s="4" t="n">
        <f aca="false">-J6*Assumptions!J46/100</f>
        <v>-25259.5850391225</v>
      </c>
      <c r="K17" s="4" t="n">
        <f aca="false">-K6*Assumptions!K46/100</f>
        <v>-25638.4788147093</v>
      </c>
      <c r="L17" s="4" t="n">
        <f aca="false">-L6*Assumptions!L46/100</f>
        <v>-26023.05599693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23596.847129856</v>
      </c>
      <c r="D19" s="0" t="n">
        <f aca="false">D15+D16+D17+D18</f>
        <v>31301.102093015</v>
      </c>
      <c r="E19" s="0" t="n">
        <f aca="false">E15+E16+E17+E18</f>
        <v>36685.9044881253</v>
      </c>
      <c r="F19" s="0" t="n">
        <f aca="false">F15+F16+F17+F18</f>
        <v>42365.6240350584</v>
      </c>
      <c r="G19" s="0" t="n">
        <f aca="false">G15+G16+G17+G18</f>
        <v>43993.5273132483</v>
      </c>
      <c r="H19" s="0" t="n">
        <f aca="false">H15+H16+H17+H18</f>
        <v>44873.3978595133</v>
      </c>
      <c r="I19" s="0" t="n">
        <f aca="false">I15+I16+I17+I18</f>
        <v>45770.8658167035</v>
      </c>
      <c r="J19" s="0" t="n">
        <f aca="false">J15+J16+J17+J18</f>
        <v>46457.4288039541</v>
      </c>
      <c r="K19" s="0" t="n">
        <f aca="false">K15+K16+K17+K18</f>
        <v>47154.2902360134</v>
      </c>
      <c r="L19" s="0" t="n">
        <f aca="false">L15+L16+L17+L18</f>
        <v>47861.6045895536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22156.6639716958</v>
      </c>
      <c r="D21" s="0" t="n">
        <f aca="false">D19*D20</f>
        <v>27596.9072212436</v>
      </c>
      <c r="E21" s="0" t="n">
        <f aca="false">E19*E20</f>
        <v>30370.3927124654</v>
      </c>
      <c r="F21" s="0" t="n">
        <f aca="false">F19*F20</f>
        <v>32931.7778226193</v>
      </c>
      <c r="G21" s="0" t="n">
        <f aca="false">G19*G20</f>
        <v>32110.0325169011</v>
      </c>
      <c r="H21" s="0" t="n">
        <f aca="false">H19*H20</f>
        <v>30753.2705795673</v>
      </c>
      <c r="I21" s="0" t="n">
        <f aca="false">I19*I20</f>
        <v>29453.8366114166</v>
      </c>
      <c r="J21" s="0" t="n">
        <f aca="false">J19*J20</f>
        <v>28071.0273808336</v>
      </c>
      <c r="K21" s="0" t="n">
        <f aca="false">K19*K20</f>
        <v>26753.1387714048</v>
      </c>
      <c r="L21" s="0" t="n">
        <f aca="false">L19*L20</f>
        <v>25497.122866644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6.8</v>
      </c>
      <c r="D23" s="4" t="n">
        <f aca="false">Assumptions!D44</f>
        <v>6.7</v>
      </c>
      <c r="E23" s="4" t="n">
        <f aca="false">Assumptions!E44</f>
        <v>6.6</v>
      </c>
      <c r="F23" s="4" t="n">
        <f aca="false">Assumptions!F44</f>
        <v>6.5</v>
      </c>
      <c r="G23" s="4" t="n">
        <f aca="false">Assumptions!G44</f>
        <v>6.5</v>
      </c>
      <c r="H23" s="4" t="n">
        <f aca="false">Assumptions!H44</f>
        <v>6.5</v>
      </c>
      <c r="I23" s="4" t="n">
        <f aca="false">Assumptions!I44</f>
        <v>6.5</v>
      </c>
      <c r="J23" s="4" t="n">
        <f aca="false">Assumptions!J44</f>
        <v>6.5</v>
      </c>
      <c r="K23" s="4" t="n">
        <f aca="false">Assumptions!K44</f>
        <v>6.5</v>
      </c>
      <c r="L23" s="4" t="n">
        <f aca="false">Assumptions!L44</f>
        <v>6.5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-31961.309952</v>
      </c>
      <c r="D24" s="0" t="n">
        <f aca="false">-D6*D23/100</f>
        <v>-32750.94231552</v>
      </c>
      <c r="E24" s="0" t="n">
        <f aca="false">-E6*E23/100</f>
        <v>-33229.9859493888</v>
      </c>
      <c r="F24" s="0" t="n">
        <f aca="false">-F6*F23/100</f>
        <v>-33708.2963532058</v>
      </c>
      <c r="G24" s="0" t="n">
        <f aca="false">-G6*G23/100</f>
        <v>-34551.0037620359</v>
      </c>
      <c r="H24" s="0" t="n">
        <f aca="false">-H6*H23/100</f>
        <v>-35242.0238372766</v>
      </c>
      <c r="I24" s="0" t="n">
        <f aca="false">-I6*I23/100</f>
        <v>-35946.8643140222</v>
      </c>
      <c r="J24" s="0" t="n">
        <f aca="false">-J6*J23/100</f>
        <v>-36486.0672787325</v>
      </c>
      <c r="K24" s="0" t="n">
        <f aca="false">-K6*K23/100</f>
        <v>-37033.3582879135</v>
      </c>
      <c r="L24" s="0" t="n">
        <f aca="false">-L6*L23/100</f>
        <v>-37588.8586622322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285694.170454792</v>
      </c>
    </row>
    <row r="31" customFormat="false" ht="15" hidden="false" customHeight="false" outlineLevel="0" collapsed="false">
      <c r="A31" s="0" t="s">
        <v>134</v>
      </c>
      <c r="B31" s="0" t="n">
        <f aca="false">L19</f>
        <v>47861.6045895536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971590.573167938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813647.278022411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813647.278022411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433451.088732949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719145.25918774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548737.25918774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2243.40661973729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-0.205592556750253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5289.39333714414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8755.35537033038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2300.82587038109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359848.36043257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449.60668331886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313.688191115091</v>
      </c>
      <c r="C4" s="0" t="n">
        <f aca="false">B4/Assumptions!$B$2-1</f>
        <v>-0.88892061221137</v>
      </c>
      <c r="D4" s="4" t="n">
        <f aca="false">Assumptions!$B$24</f>
        <v>0.25</v>
      </c>
      <c r="E4" s="4" t="n">
        <f aca="false">DCF_Bear!$B$43</f>
        <v>351.863665328047</v>
      </c>
      <c r="F4" s="4" t="n">
        <f aca="false">DCF_Bear!$B$47</f>
        <v>-211.085295054201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1251.28986114679</v>
      </c>
      <c r="C5" s="0" t="n">
        <f aca="false">B5/Assumptions!$B$2-1</f>
        <v>-0.556908689395614</v>
      </c>
      <c r="D5" s="4" t="n">
        <f aca="false">Assumptions!$B$38</f>
        <v>0.5</v>
      </c>
      <c r="E5" s="4" t="n">
        <f aca="false">DCF_Base!$B$43</f>
        <v>1301.08042028642</v>
      </c>
      <c r="F5" s="4" t="n">
        <f aca="false">DCF_Base!$B$47</f>
        <v>157.60382927048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2243.40661973729</v>
      </c>
      <c r="C6" s="0" t="n">
        <f aca="false">B6/Assumptions!$B$2-1</f>
        <v>-0.205592556750253</v>
      </c>
      <c r="D6" s="4" t="n">
        <f aca="false">Assumptions!$B$52</f>
        <v>0.25</v>
      </c>
      <c r="E6" s="4" t="n">
        <f aca="false">DCF_Bull!$B$43</f>
        <v>2300.82587038109</v>
      </c>
      <c r="F6" s="4" t="n">
        <f aca="false">DCF_Bull!$B$47</f>
        <v>449.60668331886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1264.91863328649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1313.7125940705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-1.23255466848705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3195.23429060193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138.432261701405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1251.28986114679</v>
      </c>
      <c r="C15" s="3" t="n">
        <v>6.5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846.689959034231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667.49806767274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524.349874785218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407.407518320494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157.60382927048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1569.24868205089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1569.24868205089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1569.24868205089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1569.24868205089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1569.24868205089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1402.70753479643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1402.70753479643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1402.70753479643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1402.70753479643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1402.70753479643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1251.28986114679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1251.28986114679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1251.28986114679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1251.28986114679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1251.28986114679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1067.50452897533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1113.45077675902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1113.45077675902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1113.45077675902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1113.45077675902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847.38676713381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897.507729346052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954.311486519928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987.817850198528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987.817850198528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2026-10-26T06:00:39Z</dcterms:created>
  <dc:creator>openpyxl</dc:creator>
  <dc:description/>
  <dc:language>en-NZ</dc:language>
  <cp:lastModifiedBy/>
  <dcterms:modified xsi:type="dcterms:W3CDTF">2026-10-26T06:00:39Z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