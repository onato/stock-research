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<sst xmlns="http://schemas.openxmlformats.org/spreadsheetml/2006/main" count="363" uniqueCount="169">
  <si>
    <t xml:space="preserve">Ticker</t>
  </si>
  <si>
    <t xml:space="preserve">3969.HK</t>
  </si>
  <si>
    <t xml:space="preserve">Company</t>
  </si>
  <si>
    <t xml:space="preserve">China Railway Signal &amp; Communication Corporation Limited (CRSC)</t>
  </si>
  <si>
    <t xml:space="preserve">Valuation date</t>
  </si>
  <si>
    <t xml:space="preserve">2026-10-23</t>
  </si>
  <si>
    <t xml:space="preserve">Current price</t>
  </si>
  <si>
    <t xml:space="preserve">Price as of</t>
  </si>
  <si>
    <t xml:space="preserve">2026-10-23T08:08:08Z regular close (HKEX closing auction)</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</si>
  <si>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</si>
  <si>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</si>
  <si>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</si>
  <si>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</si>
  <si>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</si>
  <si>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</si>
  <si>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</si>
  <si>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</si>
  <si>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</si>
  <si>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</si>
  <si>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</si>
  <si>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</si>
  <si>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</si>
  <si>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2026-10-23T09:09:50Z</t>
  </si>
  <si>
    <t xml:space="preserve">Drivers file</t>
  </si>
  <si>
    <t xml:space="preserve">3969.HK_Drivers.json</t>
  </si>
  <si>
    <t xml:space="preserve">Convention</t>
  </si>
  <si>
    <t xml:space="preserve">Percents stored as percents; formulas divide by 100. Blue = input, green = link, black = formula.</t>
  </si>
  <si>
    <t xml:space="preserve">Methodology</t>
  </si>
  <si>
    <t xml:space="preserve">summary: Value CRSC on the cash that actually reaches shareholders, not on the ~7x P/E. The business is a dominant, state-protected, net-cash signalling incumbent, but it is ex-growth and converts only a quarter of its accounting profit into owner free cash flow because receivables and contract assets grow every year on flat revenue. The DCF therefore (1) keeps the reported EBITDA margin, (2) charges that structural working-capital absorption explicitly after tax, declining but never vanishing in the base case, (3) charges tax and minorities once as a combined leakage rate, (4) strips interest income and adds back net cash once -- after netting the parent's entrusted loan and the captive finance company's customer deposits -- and (5) deducts the perpetual bonds. Flows are in CNY, discounted at a CNY cost of equity of 9%, and converted to HKD at the dated spot rate; the 48% H-to-A discount is reported as a market observation, not arbitraged.
key_risks_to_valuation: Working-capital absorption assumption: each 1pp of revenue (RMB ~0.35bn/yr) of perpetual absorption is worth roughly RMB 0.35-0.45/share; if collections never improve (bear) the equity is little more than net cash, if they normalise (bull) owner FCF converges on profit.; Single-customer / single-regulator demand: CNRG 37% of revenue, top-5 54%; state rail and metro capex plans under the 15th Five-Year Plan set the revenue path.; Backlog quality: 115.9bn reported backlog vs 51.6bn 'orders in hand ex municipal housing' at H1-2026 are different definitions; a 3.4x revenue cover may overstate near-term visibility.; Related-party funding and SOE governance: a RMB 4.0bn entrusted loan from CRSC Group in FY2025 while consolidated cash is RMB 21bn suggests the cash pile is less fungible than the balance sheet implies; a further draw or a capital call on the finance subsidiary would reduce the net-cash bridge.; Preferential 15% HNTE tax rate is renewable, not permanent; loss would add ~10pp to the leakage rate.; FX: HKD per-share values move one-for-one with CNY/HKD; the rate is dated and not refreshed by refresh_price.py.; Receivable impairment: RMB 65.8bn of receivables, contract assets and long-term receivables against local governments and CNRG; a formal impairment would not change the DCF (cash never arrived) but would hit book value and the dividend capacity.</t>
  </si>
  <si>
    <t xml:space="preserve">Data sources</t>
  </si>
  <si>
    <t xml:space="preserve">price: Yahoo Finance chart API, regular HKEX close at inputs.price_as_of; 52-week range HKD 2.91-3.95. FX from Yahoo CNYHKD=X at the time in inputs.fx_note; A-share parity from 688009.SS same session.
financials: 3969.HK_Metrics.csv (FY2016-FY2025 annual, H1/9M/Q1 interims, RMB m, derived from core_metrics); 30 June 2026 interim report consolidated balance sheet (cash, borrowings, leases, finance-company deposits, perpetual bonds, NCI, share capital) and non-GAAP OCF reconciliation; FY2025 annual report segment table (revenue and gross margin by segment/terminal market/region), income tax note, five-year summary (minority profit), bookings and backlog discussion.
qualitative: 3969.HK_Analysis.json (2026-10-23): business model, customer concentration, bookings/backlog trend, guidance commentary, bull/bear cases; FY2025 annual report MD&amp;A and H1-2026 interim MD&amp;A for the segment bookings split.</t>
  </si>
  <si>
    <t xml:space="preserve">Scenario narrative: bear</t>
  </si>
  <si>
    <t xml:space="preserve">China's new rail/metro construction falls harder than guided and urban-rail capex is rationed by local-government deleveraging; the renovation cycle is slower and lower-margin than hoped; overseas bookings keep collapsing (-69% in H1-2026). Revenue bottoms near RMB 30bn, EBITDA margin returns to the 13.5% of FY2022-23, and settlement periods never improve: absorption stays at 8% of revenue and part of the RMB 65.8bn receivable/contract-asset stock is never collected. Owner FCF rounds to zero for a decade, dividends (~RMB 1.8bn) are funded from the cash pile, and the parent keeps lending to a subsidiary that reports RMB 21bn of cash -- the related-party loan drawn in FY2025 is the tell that cash at the operating level is tighter than the consolidated line implies. Equity value is essentially net cash less perpetuals; the terminal value is close to the zero floor.</t>
  </si>
  <si>
    <t xml:space="preserve">Scenario narrative: base</t>
  </si>
  <si>
    <t xml:space="preserve">CRSC stays the state-protected incumbent in Chinese rail and metro signalling (leading HSR share, ~40% of urban rail) while its end-market goes ex-growth: new-build declines through the 15th Five-Year Plan and the renovation/overhaul cycle of 11th/12th-FYP-era lines replaces it roughly one-for-one, giving revenue a shallow dip in FY2026-27 and ~2% nominal growth after. Reported EBITDA margin holds near 15.5%. The decisive axis is cash conversion: receivables and contract assets keep absorbing cash on flat revenue, moderating from ~7.5% to ~4% of revenue as the mix shifts to shorter-cycle renovation work and collections improve at the margin but never normalise. Owner FCF therefore climbs from ~RMB 0.8bn toward ~2.3bn by year 10, which is why the equity is worth materially less than the P/E of ~7x suggests and materially more than the current cash burn suggests. Net cash of RMB 12.3bn (after netting the parent entrusted loan and finance-company deposits) and the perpetual bonds are bridged once.</t>
  </si>
  <si>
    <t xml:space="preserve">Scenario narrative: bull</t>
  </si>
  <si>
    <t xml:space="preserve">The renovation supercycle lands sooner and bigger than the new-build decline (renovation contracts doubled in FY2025, urban-rail bookings +28.5% in H1-2026), overseas Belt &amp; Road projects convert, and the low-altitude-economy business becomes a genuine second leg under central-SOE AI/airspace mandates. Mix shifts to the 37-39% gross-margin design/integration and equipment lines, lifting EBITDA margin to 17%. Critically, local-government debt swaps and CNRG settlement reform normalise collections, so working-capital absorption fades to ~1% of revenue by year 6 and owner FCF converges on accounting profit (~RMB 4.8bn by year 10). The H-share discount to the A-share (48% at today's rate) narrows toward the historical SOE range. This case needs three independent things to go right (demand, margin, collections), which is why its weight is below the house default.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</si>
  <si>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</si>
  <si>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</si>
  <si>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</si>
  <si>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</si>
  <si>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</si>
  <si>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</si>
  <si>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</si>
  <si>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</si>
  <si>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</si>
  <si>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</si>
  <si>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</si>
  <si>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</si>
  <si>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</si>
  <si>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</si>
  <si>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</si>
  <si>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</si>
  <si>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</si>
  <si>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</si>
  <si>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</si>
  <si>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</si>
  <si>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</si>
  <si>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</si>
  <si>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</si>
  <si>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</si>
  <si>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</si>
  <si>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</si>
  <si>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</si>
  <si>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Backlog</t>
  </si>
  <si>
    <t xml:space="preserve">Bookings</t>
  </si>
  <si>
    <t xml:space="preserve">MinorityDividendsPaid</t>
  </si>
  <si>
    <t xml:space="preserve">ResearchAndDevelopment</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</si>
  <si>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</si>
  <si>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</si>
  <si>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</si>
  <si>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</si>
  <si>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</si>
  <si>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</si>
  <si>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</si>
  <si>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</si>
  <si>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</si>
  <si>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</si>
  <si>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</si>
  <si>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</si>
  <si>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</si>
  <si>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</si>
  <si>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</si>
  <si>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</si>
  <si>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</si>
  <si>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</si>
  <si>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</si>
  <si>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</si>
  <si>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</si>
  <si>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</si>
  <si>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</si>
  <si>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</si>
  <si>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</si>
  <si>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</si>
  <si>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</si>
  <si>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</si>
  <si>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</si>
  <si>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</si>
  <si>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</si>
  <si>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</si>
  <si>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</si>
  <si>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</si>
  <si>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</si>
  <si>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</si>
  <si>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</si>
  <si>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</si>
  <si>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</si>
  <si>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</si>
  <si>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</si>
  <si>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</si>
  <si>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</si>
  <si>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</si>
  <si>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</si>
  <si>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</si>
  <si>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</si>
  <si>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3969.HK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</si>
  <si>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</si>
  <si>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</si>
  <si>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</si>
  <si>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</si>
  <si>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</si>
  <si>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</si>
  <si>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</si>
  <si>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</si>
  <si>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</si>
  <si>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</si>
  <si>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</si>
  <si>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</si>
  <si>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</si>
  <si>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</si>
  <si>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</si>
  <si>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</si>
  <si>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</si>
  <si>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</si>
  <si>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</si>
  <si>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</si>
  <si>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</si>
  <si>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</si>
  <si>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</si>
  <si>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</si>
  <si>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</si>
  <si>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</si>
  <si>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</si>
  <si>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</si>
  <si>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</si>
  <si>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</si>
  <si>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3969.HK owner-FCF component DCF: base case (millions, CNY)</t>
  </si>
  <si>
    <t xml:space="preserve">3969.HK owner-FCF component DCF: bull case (millions, CNY)</t>
  </si>
  <si>
    <t xml:space="preserve">3969.HK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</si>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</sst>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29770.197</v>
      </c>
      <c r="C2" s="0" t="n">
        <v>21969.499</v>
      </c>
      <c r="D2" s="0" t="n">
        <v>7800.698</v>
      </c>
      <c r="E2" s="0" t="n">
        <v>26.203</v>
      </c>
      <c r="F2" s="0" t="n">
        <v>3799.104</v>
      </c>
      <c r="G2" s="0" t="n">
        <v>12.761</v>
      </c>
      <c r="I2" s="0" t="n">
        <v>3045</v>
      </c>
      <c r="J2" s="0" t="n">
        <v>10.228</v>
      </c>
      <c r="K2" s="0" t="n">
        <v>0.35</v>
      </c>
      <c r="P2" s="0" t="n">
        <v>50295.007</v>
      </c>
      <c r="Q2" s="0" t="n">
        <v>27604.534</v>
      </c>
      <c r="AA2" s="0" t="s">
        <v>18</v>
      </c>
      <c r="AB2" s="0" t="s">
        <v>14</v>
      </c>
      <c r="AF2" s="0" t="n">
        <v>1050.429</v>
      </c>
    </row>
    <row r="3" customFormat="false" ht="15" hidden="false" customHeight="false" outlineLevel="0" collapsed="false">
      <c r="A3" s="0" t="s">
        <v>69</v>
      </c>
      <c r="B3" s="0" t="n">
        <v>34585.934</v>
      </c>
      <c r="C3" s="0" t="n">
        <v>26057.557</v>
      </c>
      <c r="D3" s="0" t="n">
        <v>8528.377</v>
      </c>
      <c r="E3" s="0" t="n">
        <v>24.659</v>
      </c>
      <c r="F3" s="0" t="n">
        <v>4186.143</v>
      </c>
      <c r="G3" s="0" t="n">
        <v>12.104</v>
      </c>
      <c r="I3" s="0" t="n">
        <v>3222.484</v>
      </c>
      <c r="J3" s="0" t="n">
        <v>9.317</v>
      </c>
      <c r="K3" s="0" t="n">
        <v>0.37</v>
      </c>
      <c r="P3" s="0" t="n">
        <v>61244.645</v>
      </c>
      <c r="Q3" s="0" t="n">
        <v>36020.047</v>
      </c>
      <c r="AA3" s="0" t="s">
        <v>18</v>
      </c>
      <c r="AB3" s="0" t="s">
        <v>14</v>
      </c>
      <c r="AF3" s="0" t="n">
        <v>1180.165</v>
      </c>
    </row>
    <row r="4" customFormat="false" ht="15" hidden="false" customHeight="false" outlineLevel="0" collapsed="false">
      <c r="A4" s="0" t="s">
        <v>70</v>
      </c>
      <c r="B4" s="0" t="n">
        <v>40012.601</v>
      </c>
      <c r="C4" s="0" t="n">
        <v>30931.74</v>
      </c>
      <c r="D4" s="0" t="n">
        <v>9080.861</v>
      </c>
      <c r="E4" s="0" t="n">
        <v>22.695</v>
      </c>
      <c r="F4" s="0" t="n">
        <v>4532.833</v>
      </c>
      <c r="G4" s="0" t="n">
        <v>11.329</v>
      </c>
      <c r="H4" s="0" t="n">
        <v>4978.195</v>
      </c>
      <c r="I4" s="0" t="n">
        <v>3408.546</v>
      </c>
      <c r="J4" s="0" t="n">
        <v>8.519</v>
      </c>
      <c r="K4" s="0" t="n">
        <v>0.38</v>
      </c>
      <c r="L4" s="0" t="n">
        <v>-1586.79</v>
      </c>
      <c r="M4" s="0" t="n">
        <v>1042.645</v>
      </c>
      <c r="N4" s="0" t="n">
        <v>-2629.435</v>
      </c>
      <c r="O4" s="0" t="n">
        <v>28908.397</v>
      </c>
      <c r="P4" s="0" t="n">
        <v>79678.538</v>
      </c>
      <c r="Q4" s="0" t="n">
        <v>49406.456</v>
      </c>
      <c r="R4" s="0" t="n">
        <v>2344.118</v>
      </c>
      <c r="S4" s="0" t="n">
        <v>11712.483</v>
      </c>
      <c r="T4" s="0" t="n">
        <v>8789.819</v>
      </c>
      <c r="U4" s="0" t="n">
        <v>0</v>
      </c>
      <c r="AA4" s="0" t="s">
        <v>18</v>
      </c>
      <c r="AB4" s="0" t="s">
        <v>14</v>
      </c>
      <c r="AD4" s="0" t="n">
        <v>68290</v>
      </c>
      <c r="AF4" s="0" t="n">
        <v>1323.503</v>
      </c>
    </row>
    <row r="5" customFormat="false" ht="15" hidden="false" customHeight="false" outlineLevel="0" collapsed="false">
      <c r="A5" s="0" t="s">
        <v>71</v>
      </c>
      <c r="B5" s="0" t="n">
        <v>41646.287</v>
      </c>
      <c r="C5" s="0" t="n">
        <v>32112.103</v>
      </c>
      <c r="D5" s="0" t="n">
        <v>9534.184</v>
      </c>
      <c r="E5" s="0" t="n">
        <v>22.893</v>
      </c>
      <c r="F5" s="0" t="n">
        <v>4979.41</v>
      </c>
      <c r="G5" s="0" t="n">
        <v>11.956</v>
      </c>
      <c r="H5" s="0" t="n">
        <v>5461.774</v>
      </c>
      <c r="I5" s="0" t="n">
        <v>3815.875</v>
      </c>
      <c r="J5" s="0" t="n">
        <v>9.163</v>
      </c>
      <c r="K5" s="0" t="n">
        <v>0.38</v>
      </c>
      <c r="L5" s="0" t="n">
        <v>3371.361</v>
      </c>
      <c r="M5" s="0" t="n">
        <v>819.999</v>
      </c>
      <c r="N5" s="0" t="n">
        <v>2551.362</v>
      </c>
      <c r="O5" s="0" t="n">
        <v>41119.607</v>
      </c>
      <c r="P5" s="0" t="n">
        <v>97512.591</v>
      </c>
      <c r="Q5" s="0" t="n">
        <v>54787.914</v>
      </c>
      <c r="R5" s="0" t="n">
        <v>2512.126</v>
      </c>
      <c r="S5" s="0" t="n">
        <v>24000.334</v>
      </c>
      <c r="T5" s="0" t="n">
        <v>10589.819</v>
      </c>
      <c r="U5" s="0" t="n">
        <v>0</v>
      </c>
      <c r="AA5" s="0" t="s">
        <v>18</v>
      </c>
      <c r="AB5" s="0" t="s">
        <v>14</v>
      </c>
      <c r="AD5" s="0" t="n">
        <v>70610</v>
      </c>
      <c r="AF5" s="0" t="n">
        <v>1583.456</v>
      </c>
    </row>
    <row r="6" customFormat="false" ht="15" hidden="false" customHeight="false" outlineLevel="0" collapsed="false">
      <c r="A6" s="0" t="s">
        <v>72</v>
      </c>
      <c r="B6" s="0" t="n">
        <v>40124.477</v>
      </c>
      <c r="C6" s="0" t="n">
        <v>31269.101</v>
      </c>
      <c r="D6" s="0" t="n">
        <v>8855.376</v>
      </c>
      <c r="E6" s="0" t="n">
        <v>22.07</v>
      </c>
      <c r="F6" s="0" t="n">
        <v>5014.702</v>
      </c>
      <c r="G6" s="0" t="n">
        <v>12.498</v>
      </c>
      <c r="H6" s="0" t="n">
        <v>5408.082</v>
      </c>
      <c r="I6" s="0" t="n">
        <v>3819.046</v>
      </c>
      <c r="J6" s="0" t="n">
        <v>9.518</v>
      </c>
      <c r="K6" s="0" t="n">
        <v>0.34</v>
      </c>
      <c r="L6" s="0" t="n">
        <v>3007.376</v>
      </c>
      <c r="M6" s="0" t="n">
        <v>1748.945</v>
      </c>
      <c r="N6" s="0" t="n">
        <v>1258.431</v>
      </c>
      <c r="O6" s="0" t="n">
        <v>42563.468</v>
      </c>
      <c r="P6" s="0" t="n">
        <v>105328.082</v>
      </c>
      <c r="Q6" s="0" t="n">
        <v>61030.745</v>
      </c>
      <c r="R6" s="0" t="n">
        <v>2783.998</v>
      </c>
      <c r="S6" s="0" t="n">
        <v>22740.632</v>
      </c>
      <c r="T6" s="0" t="n">
        <v>10589.819</v>
      </c>
      <c r="U6" s="0" t="n">
        <v>0</v>
      </c>
      <c r="AA6" s="0" t="s">
        <v>18</v>
      </c>
      <c r="AB6" s="0" t="s">
        <v>14</v>
      </c>
      <c r="AF6" s="0" t="n">
        <v>1434.273</v>
      </c>
    </row>
    <row r="7" customFormat="false" ht="15" hidden="false" customHeight="false" outlineLevel="0" collapsed="false">
      <c r="A7" s="0" t="s">
        <v>73</v>
      </c>
      <c r="B7" s="0" t="n">
        <v>38358.297</v>
      </c>
      <c r="C7" s="0" t="n">
        <v>29846.876</v>
      </c>
      <c r="D7" s="0" t="n">
        <v>8511.421</v>
      </c>
      <c r="E7" s="0" t="n">
        <v>22.189</v>
      </c>
      <c r="F7" s="0" t="n">
        <v>4244.397</v>
      </c>
      <c r="G7" s="0" t="n">
        <v>11.065</v>
      </c>
      <c r="H7" s="0" t="n">
        <v>4640.297</v>
      </c>
      <c r="I7" s="0" t="n">
        <v>3274.673</v>
      </c>
      <c r="J7" s="0" t="n">
        <v>8.537</v>
      </c>
      <c r="K7" s="0" t="n">
        <v>0.3</v>
      </c>
      <c r="L7" s="0" t="n">
        <v>2768.701</v>
      </c>
      <c r="M7" s="0" t="n">
        <v>869.518</v>
      </c>
      <c r="N7" s="0" t="n">
        <v>1899.183</v>
      </c>
      <c r="O7" s="0" t="n">
        <v>43554.653</v>
      </c>
      <c r="P7" s="0" t="n">
        <v>108942.589</v>
      </c>
      <c r="Q7" s="0" t="n">
        <v>63571.213</v>
      </c>
      <c r="R7" s="0" t="n">
        <v>3629.661</v>
      </c>
      <c r="S7" s="0" t="n">
        <v>22982.585</v>
      </c>
      <c r="T7" s="0" t="n">
        <v>10589.819</v>
      </c>
      <c r="U7" s="0" t="n">
        <v>0</v>
      </c>
      <c r="AA7" s="0" t="s">
        <v>18</v>
      </c>
      <c r="AB7" s="0" t="s">
        <v>14</v>
      </c>
      <c r="AE7" s="0" t="n">
        <v>302.577</v>
      </c>
      <c r="AF7" s="0" t="n">
        <v>1638.495</v>
      </c>
    </row>
    <row r="8" customFormat="false" ht="15" hidden="false" customHeight="false" outlineLevel="0" collapsed="false">
      <c r="A8" s="0" t="s">
        <v>74</v>
      </c>
      <c r="B8" s="0" t="n">
        <v>40203.208</v>
      </c>
      <c r="C8" s="0" t="n">
        <v>30680.742</v>
      </c>
      <c r="D8" s="0" t="n">
        <v>9522.466</v>
      </c>
      <c r="E8" s="0" t="n">
        <v>23.686</v>
      </c>
      <c r="F8" s="0" t="n">
        <v>4704.29</v>
      </c>
      <c r="G8" s="0" t="n">
        <v>11.701</v>
      </c>
      <c r="H8" s="0" t="n">
        <v>5152.154</v>
      </c>
      <c r="I8" s="0" t="n">
        <v>3633.64</v>
      </c>
      <c r="J8" s="0" t="n">
        <v>9.038</v>
      </c>
      <c r="K8" s="0" t="n">
        <v>0.33</v>
      </c>
      <c r="L8" s="0" t="n">
        <v>2082.162</v>
      </c>
      <c r="M8" s="0" t="n">
        <v>707.989</v>
      </c>
      <c r="N8" s="0" t="n">
        <v>1374.173</v>
      </c>
      <c r="O8" s="0" t="n">
        <v>45323.917</v>
      </c>
      <c r="P8" s="0" t="n">
        <v>116806.544</v>
      </c>
      <c r="Q8" s="0" t="n">
        <v>69528.809</v>
      </c>
      <c r="R8" s="0" t="n">
        <v>4907.125</v>
      </c>
      <c r="S8" s="0" t="n">
        <v>22215.371</v>
      </c>
      <c r="T8" s="0" t="n">
        <v>10589.819</v>
      </c>
      <c r="U8" s="0" t="n">
        <v>0</v>
      </c>
      <c r="AA8" s="0" t="s">
        <v>18</v>
      </c>
      <c r="AB8" s="0" t="s">
        <v>14</v>
      </c>
      <c r="AE8" s="0" t="n">
        <v>307.509</v>
      </c>
      <c r="AF8" s="0" t="n">
        <v>1689.811</v>
      </c>
    </row>
    <row r="9" customFormat="false" ht="15" hidden="false" customHeight="false" outlineLevel="0" collapsed="false">
      <c r="A9" s="0" t="s">
        <v>75</v>
      </c>
      <c r="B9" s="0" t="n">
        <v>37002.229</v>
      </c>
      <c r="C9" s="0" t="n">
        <v>27472.316</v>
      </c>
      <c r="D9" s="0" t="n">
        <v>9529.913</v>
      </c>
      <c r="E9" s="0" t="n">
        <v>25.755</v>
      </c>
      <c r="F9" s="0" t="n">
        <v>4660.842</v>
      </c>
      <c r="G9" s="0" t="n">
        <v>12.596</v>
      </c>
      <c r="H9" s="0" t="n">
        <v>5119.193</v>
      </c>
      <c r="I9" s="0" t="n">
        <v>3477.327</v>
      </c>
      <c r="J9" s="0" t="n">
        <v>9.398</v>
      </c>
      <c r="K9" s="0" t="n">
        <v>0.32</v>
      </c>
      <c r="L9" s="0" t="n">
        <v>2058.034</v>
      </c>
      <c r="M9" s="0" t="n">
        <v>680.612</v>
      </c>
      <c r="N9" s="0" t="n">
        <v>1377.422</v>
      </c>
      <c r="O9" s="0" t="n">
        <v>46812.052</v>
      </c>
      <c r="P9" s="0" t="n">
        <v>118990.488</v>
      </c>
      <c r="Q9" s="0" t="n">
        <v>70115.653</v>
      </c>
      <c r="R9" s="0" t="n">
        <v>5944.609</v>
      </c>
      <c r="S9" s="0" t="n">
        <v>22574.044</v>
      </c>
      <c r="T9" s="0" t="n">
        <v>10589.819</v>
      </c>
      <c r="U9" s="0" t="n">
        <v>0</v>
      </c>
      <c r="AA9" s="0" t="s">
        <v>18</v>
      </c>
      <c r="AB9" s="0" t="s">
        <v>14</v>
      </c>
      <c r="AE9" s="0" t="n">
        <v>447.301</v>
      </c>
      <c r="AF9" s="0" t="n">
        <v>1862.287</v>
      </c>
    </row>
    <row r="10" customFormat="false" ht="15" hidden="false" customHeight="false" outlineLevel="0" collapsed="false">
      <c r="A10" s="0" t="s">
        <v>76</v>
      </c>
      <c r="B10" s="0" t="n">
        <v>32473.034</v>
      </c>
      <c r="C10" s="0" t="n">
        <v>22985.41</v>
      </c>
      <c r="D10" s="0" t="n">
        <v>9487.624</v>
      </c>
      <c r="E10" s="0" t="n">
        <v>29.217</v>
      </c>
      <c r="F10" s="0" t="n">
        <v>4687.488</v>
      </c>
      <c r="G10" s="0" t="n">
        <v>14.435</v>
      </c>
      <c r="H10" s="0" t="n">
        <v>5206.147</v>
      </c>
      <c r="I10" s="0" t="n">
        <v>3494.726</v>
      </c>
      <c r="J10" s="0" t="n">
        <v>10.762</v>
      </c>
      <c r="K10" s="0" t="n">
        <v>0.32</v>
      </c>
      <c r="L10" s="0" t="n">
        <v>5236.129</v>
      </c>
      <c r="M10" s="0" t="n">
        <v>858.93</v>
      </c>
      <c r="N10" s="0" t="n">
        <v>4377.199</v>
      </c>
      <c r="O10" s="0" t="n">
        <v>48025.007</v>
      </c>
      <c r="P10" s="0" t="n">
        <v>117890.876</v>
      </c>
      <c r="Q10" s="0" t="n">
        <v>67455.073</v>
      </c>
      <c r="R10" s="0" t="n">
        <v>3745.377</v>
      </c>
      <c r="S10" s="0" t="n">
        <v>22577.016</v>
      </c>
      <c r="T10" s="0" t="n">
        <v>10589.819</v>
      </c>
      <c r="U10" s="0" t="n">
        <v>0</v>
      </c>
      <c r="AA10" s="0" t="s">
        <v>18</v>
      </c>
      <c r="AB10" s="0" t="s">
        <v>14</v>
      </c>
      <c r="AC10" s="0" t="n">
        <v>122890</v>
      </c>
      <c r="AD10" s="0" t="n">
        <v>50069</v>
      </c>
      <c r="AE10" s="0" t="n">
        <v>420.951</v>
      </c>
      <c r="AF10" s="0" t="n">
        <v>1912.373</v>
      </c>
    </row>
    <row r="11" customFormat="false" ht="15" hidden="false" customHeight="false" outlineLevel="0" collapsed="false">
      <c r="A11" s="0" t="s">
        <v>77</v>
      </c>
      <c r="B11" s="0" t="n">
        <v>34552.793</v>
      </c>
      <c r="C11" s="0" t="n">
        <v>24573.292</v>
      </c>
      <c r="D11" s="0" t="n">
        <v>9979.501</v>
      </c>
      <c r="E11" s="0" t="n">
        <v>28.882</v>
      </c>
      <c r="F11" s="0" t="n">
        <v>4821.291</v>
      </c>
      <c r="G11" s="0" t="n">
        <v>13.953</v>
      </c>
      <c r="H11" s="0" t="n">
        <v>5547.11</v>
      </c>
      <c r="I11" s="0" t="n">
        <v>3686.411</v>
      </c>
      <c r="J11" s="0" t="n">
        <v>10.669</v>
      </c>
      <c r="K11" s="0" t="n">
        <v>0.34</v>
      </c>
      <c r="L11" s="0" t="n">
        <v>-1294.107</v>
      </c>
      <c r="M11" s="0" t="n">
        <v>770.27</v>
      </c>
      <c r="N11" s="0" t="n">
        <v>-2064.377</v>
      </c>
      <c r="O11" s="0" t="n">
        <v>49843.067</v>
      </c>
      <c r="P11" s="0" t="n">
        <v>118321.691</v>
      </c>
      <c r="Q11" s="0" t="n">
        <v>65850.839</v>
      </c>
      <c r="R11" s="0" t="n">
        <v>8275.997</v>
      </c>
      <c r="S11" s="0" t="n">
        <v>22386.114</v>
      </c>
      <c r="T11" s="0" t="n">
        <v>10589.819</v>
      </c>
      <c r="U11" s="0" t="n">
        <v>0</v>
      </c>
      <c r="AA11" s="0" t="s">
        <v>18</v>
      </c>
      <c r="AB11" s="0" t="s">
        <v>14</v>
      </c>
      <c r="AC11" s="0" t="n">
        <v>115860</v>
      </c>
      <c r="AD11" s="0" t="n">
        <v>44140</v>
      </c>
      <c r="AE11" s="0" t="n">
        <v>407.567</v>
      </c>
      <c r="AF11" s="0" t="n">
        <v>2005.664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3.015</v>
      </c>
    </row>
    <row r="3" customFormat="false" ht="15" hidden="false" customHeight="false" outlineLevel="0" collapsed="false">
      <c r="A3" s="0" t="s">
        <v>81</v>
      </c>
      <c r="B3" s="3" t="n">
        <v>10589.819</v>
      </c>
    </row>
    <row r="4" customFormat="false" ht="15" hidden="false" customHeight="false" outlineLevel="0" collapsed="false">
      <c r="A4" s="0" t="s">
        <v>82</v>
      </c>
      <c r="B4" s="3" t="n">
        <v>-12334.8</v>
      </c>
    </row>
    <row r="5" customFormat="false" ht="15" hidden="false" customHeight="false" outlineLevel="0" collapsed="false">
      <c r="A5" s="0" t="s">
        <v>83</v>
      </c>
      <c r="B5" s="3" t="n">
        <v>-2500</v>
      </c>
    </row>
    <row r="6" customFormat="false" ht="15" hidden="false" customHeight="false" outlineLevel="0" collapsed="false">
      <c r="A6" s="0" t="s">
        <v>84</v>
      </c>
      <c r="B6" s="3" t="n">
        <v>15</v>
      </c>
    </row>
    <row r="7" customFormat="false" ht="15" hidden="false" customHeight="false" outlineLevel="0" collapsed="false">
      <c r="A7" s="0" t="s">
        <v>85</v>
      </c>
      <c r="B7" s="3" t="n">
        <v>34552.793</v>
      </c>
    </row>
    <row r="8" customFormat="false" ht="15" hidden="false" customHeight="false" outlineLevel="0" collapsed="false">
      <c r="A8" s="0" t="s">
        <v>86</v>
      </c>
      <c r="B8" s="3" t="s">
        <v>77</v>
      </c>
    </row>
    <row r="9" customFormat="false" ht="15" hidden="false" customHeight="false" outlineLevel="0" collapsed="false">
      <c r="A9" s="0" t="s">
        <v>87</v>
      </c>
      <c r="B9" s="3" t="s">
        <v>88</v>
      </c>
    </row>
    <row r="10" customFormat="false" ht="15" hidden="false" customHeight="false" outlineLevel="0" collapsed="false">
      <c r="A10" s="0" t="s">
        <v>89</v>
      </c>
      <c r="B10" s="3" t="n">
        <v>1.175</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-6</v>
      </c>
      <c r="D13" s="3" t="n">
        <v>-5</v>
      </c>
      <c r="E13" s="3" t="n">
        <v>-4</v>
      </c>
      <c r="F13" s="3" t="n">
        <v>-2</v>
      </c>
      <c r="G13" s="3" t="n">
        <v>0</v>
      </c>
      <c r="H13" s="3" t="n">
        <v>0</v>
      </c>
      <c r="I13" s="3" t="n">
        <v>1</v>
      </c>
      <c r="J13" s="3" t="n">
        <v>1</v>
      </c>
      <c r="K13" s="3" t="n">
        <v>1</v>
      </c>
      <c r="L13" s="3" t="n">
        <v>1</v>
      </c>
    </row>
    <row r="14" customFormat="false" ht="15" hidden="false" customHeight="false" outlineLevel="0" collapsed="false">
      <c r="A14" s="0" t="s">
        <v>102</v>
      </c>
      <c r="C14" s="3" t="n">
        <v>15</v>
      </c>
      <c r="D14" s="3" t="n">
        <v>14.5</v>
      </c>
      <c r="E14" s="3" t="n">
        <v>14</v>
      </c>
      <c r="F14" s="3" t="n">
        <v>13.5</v>
      </c>
      <c r="G14" s="3" t="n">
        <v>13.5</v>
      </c>
      <c r="H14" s="3" t="n">
        <v>13.5</v>
      </c>
      <c r="I14" s="3" t="n">
        <v>13.5</v>
      </c>
      <c r="J14" s="3" t="n">
        <v>13.5</v>
      </c>
      <c r="K14" s="3" t="n">
        <v>13.5</v>
      </c>
      <c r="L14" s="3" t="n">
        <v>13.5</v>
      </c>
    </row>
    <row r="15" customFormat="false" ht="15" hidden="false" customHeight="false" outlineLevel="0" collapsed="false">
      <c r="A15" s="0" t="s">
        <v>103</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104</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105</v>
      </c>
      <c r="C17" s="3" t="n">
        <v>2.3</v>
      </c>
      <c r="D17" s="3" t="n">
        <v>2.3</v>
      </c>
      <c r="E17" s="3" t="n">
        <v>2.3</v>
      </c>
      <c r="F17" s="3" t="n">
        <v>2.3</v>
      </c>
      <c r="G17" s="3" t="n">
        <v>2.3</v>
      </c>
      <c r="H17" s="3" t="n">
        <v>2.3</v>
      </c>
      <c r="I17" s="3" t="n">
        <v>2.3</v>
      </c>
      <c r="J17" s="3" t="n">
        <v>2.3</v>
      </c>
      <c r="K17" s="3" t="n">
        <v>2.3</v>
      </c>
      <c r="L17" s="3" t="n">
        <v>2.3</v>
      </c>
    </row>
    <row r="18" customFormat="false" ht="15" hidden="false" customHeight="false" outlineLevel="0" collapsed="false">
      <c r="A18" s="0" t="s">
        <v>106</v>
      </c>
      <c r="C18" s="3" t="n">
        <v>10.2</v>
      </c>
      <c r="D18" s="3" t="n">
        <v>10.2</v>
      </c>
      <c r="E18" s="3" t="n">
        <v>10.2</v>
      </c>
      <c r="F18" s="3" t="n">
        <v>10.2</v>
      </c>
      <c r="G18" s="3" t="n">
        <v>10.2</v>
      </c>
      <c r="H18" s="3" t="n">
        <v>10.2</v>
      </c>
      <c r="I18" s="3" t="n">
        <v>10.2</v>
      </c>
      <c r="J18" s="3" t="n">
        <v>10.2</v>
      </c>
      <c r="K18" s="3" t="n">
        <v>10.2</v>
      </c>
      <c r="L18" s="3" t="n">
        <v>10.2</v>
      </c>
    </row>
    <row r="19" customFormat="false" ht="15" hidden="false" customHeight="false" outlineLevel="0" collapsed="false">
      <c r="A19" s="0" t="s">
        <v>107</v>
      </c>
      <c r="C19" s="3" t="n">
        <v>26</v>
      </c>
      <c r="D19" s="3" t="n">
        <v>27</v>
      </c>
      <c r="E19" s="3" t="n">
        <v>28</v>
      </c>
      <c r="F19" s="3" t="n">
        <v>28</v>
      </c>
      <c r="G19" s="3" t="n">
        <v>28</v>
      </c>
      <c r="H19" s="3" t="n">
        <v>28</v>
      </c>
      <c r="I19" s="3" t="n">
        <v>28</v>
      </c>
      <c r="J19" s="3" t="n">
        <v>28</v>
      </c>
      <c r="K19" s="3" t="n">
        <v>28</v>
      </c>
      <c r="L19" s="3" t="n">
        <v>28</v>
      </c>
    </row>
    <row r="20" customFormat="false" ht="15" hidden="false" customHeight="false" outlineLevel="0" collapsed="false">
      <c r="A20" s="0" t="s">
        <v>108</v>
      </c>
      <c r="B20" s="3" t="n">
        <v>9</v>
      </c>
    </row>
    <row r="21" customFormat="false" ht="15" hidden="false" customHeight="false" outlineLevel="0" collapsed="false">
      <c r="A21" s="0" t="s">
        <v>109</v>
      </c>
      <c r="B21" s="3" t="n">
        <v>1</v>
      </c>
    </row>
    <row r="22" customFormat="false" ht="15" hidden="false" customHeight="false" outlineLevel="0" collapsed="false">
      <c r="A22" s="0" t="s">
        <v>110</v>
      </c>
      <c r="B22" s="3" t="n">
        <v>15</v>
      </c>
    </row>
    <row r="23" customFormat="false" ht="15" hidden="false" customHeight="false" outlineLevel="0" collapsed="false">
      <c r="A23" s="0" t="s">
        <v>111</v>
      </c>
      <c r="B23" s="3" t="n">
        <v>0</v>
      </c>
    </row>
    <row r="24" customFormat="false" ht="15" hidden="false" customHeight="false" outlineLevel="0" collapsed="false">
      <c r="A24" s="0" t="s">
        <v>112</v>
      </c>
      <c r="B24" s="3" t="n">
        <v>0.3</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-3</v>
      </c>
      <c r="D27" s="3" t="n">
        <v>-1</v>
      </c>
      <c r="E27" s="3" t="n">
        <v>1</v>
      </c>
      <c r="F27" s="3" t="n">
        <v>2</v>
      </c>
      <c r="G27" s="3" t="n">
        <v>2.5</v>
      </c>
      <c r="H27" s="3" t="n">
        <v>2.5</v>
      </c>
      <c r="I27" s="3" t="n">
        <v>2.5</v>
      </c>
      <c r="J27" s="3" t="n">
        <v>2</v>
      </c>
      <c r="K27" s="3" t="n">
        <v>2</v>
      </c>
      <c r="L27" s="3" t="n">
        <v>2</v>
      </c>
    </row>
    <row r="28" customFormat="false" ht="15" hidden="false" customHeight="false" outlineLevel="0" collapsed="false">
      <c r="A28" s="0" t="s">
        <v>102</v>
      </c>
      <c r="C28" s="3" t="n">
        <v>15.5</v>
      </c>
      <c r="D28" s="3" t="n">
        <v>15.5</v>
      </c>
      <c r="E28" s="3" t="n">
        <v>15.5</v>
      </c>
      <c r="F28" s="3" t="n">
        <v>15.5</v>
      </c>
      <c r="G28" s="3" t="n">
        <v>15.5</v>
      </c>
      <c r="H28" s="3" t="n">
        <v>15.5</v>
      </c>
      <c r="I28" s="3" t="n">
        <v>15.5</v>
      </c>
      <c r="J28" s="3" t="n">
        <v>15.5</v>
      </c>
      <c r="K28" s="3" t="n">
        <v>15.5</v>
      </c>
      <c r="L28" s="3" t="n">
        <v>15.5</v>
      </c>
    </row>
    <row r="29" customFormat="false" ht="15" hidden="false" customHeight="false" outlineLevel="0" collapsed="false">
      <c r="A29" s="0" t="s">
        <v>103</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104</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105</v>
      </c>
      <c r="C31" s="3" t="n">
        <v>2.3</v>
      </c>
      <c r="D31" s="3" t="n">
        <v>2.3</v>
      </c>
      <c r="E31" s="3" t="n">
        <v>2.3</v>
      </c>
      <c r="F31" s="3" t="n">
        <v>2.3</v>
      </c>
      <c r="G31" s="3" t="n">
        <v>2.3</v>
      </c>
      <c r="H31" s="3" t="n">
        <v>2.3</v>
      </c>
      <c r="I31" s="3" t="n">
        <v>2.3</v>
      </c>
      <c r="J31" s="3" t="n">
        <v>2.3</v>
      </c>
      <c r="K31" s="3" t="n">
        <v>2.3</v>
      </c>
      <c r="L31" s="3" t="n">
        <v>2.3</v>
      </c>
    </row>
    <row r="32" customFormat="false" ht="15" hidden="false" customHeight="false" outlineLevel="0" collapsed="false">
      <c r="A32" s="0" t="s">
        <v>106</v>
      </c>
      <c r="C32" s="3" t="n">
        <v>9.7</v>
      </c>
      <c r="D32" s="3" t="n">
        <v>9.2</v>
      </c>
      <c r="E32" s="3" t="n">
        <v>8.7</v>
      </c>
      <c r="F32" s="3" t="n">
        <v>8.2</v>
      </c>
      <c r="G32" s="3" t="n">
        <v>7.7</v>
      </c>
      <c r="H32" s="3" t="n">
        <v>7.2</v>
      </c>
      <c r="I32" s="3" t="n">
        <v>6.7</v>
      </c>
      <c r="J32" s="3" t="n">
        <v>6.2</v>
      </c>
      <c r="K32" s="3" t="n">
        <v>6.2</v>
      </c>
      <c r="L32" s="3" t="n">
        <v>6.2</v>
      </c>
    </row>
    <row r="33" customFormat="false" ht="15" hidden="false" customHeight="false" outlineLevel="0" collapsed="false">
      <c r="A33" s="0" t="s">
        <v>107</v>
      </c>
      <c r="C33" s="3" t="n">
        <v>25.5</v>
      </c>
      <c r="D33" s="3" t="n">
        <v>25.5</v>
      </c>
      <c r="E33" s="3" t="n">
        <v>25.5</v>
      </c>
      <c r="F33" s="3" t="n">
        <v>25.5</v>
      </c>
      <c r="G33" s="3" t="n">
        <v>25.5</v>
      </c>
      <c r="H33" s="3" t="n">
        <v>25.5</v>
      </c>
      <c r="I33" s="3" t="n">
        <v>25.5</v>
      </c>
      <c r="J33" s="3" t="n">
        <v>25.5</v>
      </c>
      <c r="K33" s="3" t="n">
        <v>25.5</v>
      </c>
      <c r="L33" s="3" t="n">
        <v>25.5</v>
      </c>
    </row>
    <row r="34" customFormat="false" ht="15" hidden="false" customHeight="false" outlineLevel="0" collapsed="false">
      <c r="A34" s="0" t="s">
        <v>108</v>
      </c>
      <c r="B34" s="3" t="n">
        <v>9</v>
      </c>
    </row>
    <row r="35" customFormat="false" ht="15" hidden="false" customHeight="false" outlineLevel="0" collapsed="false">
      <c r="A35" s="0" t="s">
        <v>109</v>
      </c>
      <c r="B35" s="3" t="n">
        <v>2</v>
      </c>
    </row>
    <row r="36" customFormat="false" ht="15" hidden="false" customHeight="false" outlineLevel="0" collapsed="false">
      <c r="A36" s="0" t="s">
        <v>110</v>
      </c>
      <c r="B36" s="3" t="n">
        <v>15</v>
      </c>
    </row>
    <row r="37" customFormat="false" ht="15" hidden="false" customHeight="false" outlineLevel="0" collapsed="false">
      <c r="A37" s="0" t="s">
        <v>111</v>
      </c>
      <c r="B37" s="3" t="n">
        <v>0</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-1</v>
      </c>
      <c r="D41" s="3" t="n">
        <v>3</v>
      </c>
      <c r="E41" s="3" t="n">
        <v>5</v>
      </c>
      <c r="F41" s="3" t="n">
        <v>5</v>
      </c>
      <c r="G41" s="3" t="n">
        <v>4</v>
      </c>
      <c r="H41" s="3" t="n">
        <v>4</v>
      </c>
      <c r="I41" s="3" t="n">
        <v>3</v>
      </c>
      <c r="J41" s="3" t="n">
        <v>3</v>
      </c>
      <c r="K41" s="3" t="n">
        <v>3</v>
      </c>
      <c r="L41" s="3" t="n">
        <v>3</v>
      </c>
    </row>
    <row r="42" customFormat="false" ht="15" hidden="false" customHeight="false" outlineLevel="0" collapsed="false">
      <c r="A42" s="0" t="s">
        <v>102</v>
      </c>
      <c r="C42" s="3" t="n">
        <v>16</v>
      </c>
      <c r="D42" s="3" t="n">
        <v>16.2</v>
      </c>
      <c r="E42" s="3" t="n">
        <v>16.4</v>
      </c>
      <c r="F42" s="3" t="n">
        <v>16.6</v>
      </c>
      <c r="G42" s="3" t="n">
        <v>16.8</v>
      </c>
      <c r="H42" s="3" t="n">
        <v>17</v>
      </c>
      <c r="I42" s="3" t="n">
        <v>17</v>
      </c>
      <c r="J42" s="3" t="n">
        <v>17</v>
      </c>
      <c r="K42" s="3" t="n">
        <v>17</v>
      </c>
      <c r="L42" s="3" t="n">
        <v>17</v>
      </c>
    </row>
    <row r="43" customFormat="false" ht="15" hidden="false" customHeight="false" outlineLevel="0" collapsed="false">
      <c r="A43" s="0" t="s">
        <v>103</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104</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105</v>
      </c>
      <c r="C45" s="3" t="n">
        <v>2.3</v>
      </c>
      <c r="D45" s="3" t="n">
        <v>2.3</v>
      </c>
      <c r="E45" s="3" t="n">
        <v>2.3</v>
      </c>
      <c r="F45" s="3" t="n">
        <v>2.3</v>
      </c>
      <c r="G45" s="3" t="n">
        <v>2.3</v>
      </c>
      <c r="H45" s="3" t="n">
        <v>2.3</v>
      </c>
      <c r="I45" s="3" t="n">
        <v>2.3</v>
      </c>
      <c r="J45" s="3" t="n">
        <v>2.3</v>
      </c>
      <c r="K45" s="3" t="n">
        <v>2.3</v>
      </c>
      <c r="L45" s="3" t="n">
        <v>2.3</v>
      </c>
    </row>
    <row r="46" customFormat="false" ht="15" hidden="false" customHeight="false" outlineLevel="0" collapsed="false">
      <c r="A46" s="0" t="s">
        <v>106</v>
      </c>
      <c r="C46" s="3" t="n">
        <v>8.2</v>
      </c>
      <c r="D46" s="3" t="n">
        <v>7.2</v>
      </c>
      <c r="E46" s="3" t="n">
        <v>6.2</v>
      </c>
      <c r="F46" s="3" t="n">
        <v>5.2</v>
      </c>
      <c r="G46" s="3" t="n">
        <v>4.2</v>
      </c>
      <c r="H46" s="3" t="n">
        <v>3.2</v>
      </c>
      <c r="I46" s="3" t="n">
        <v>3.2</v>
      </c>
      <c r="J46" s="3" t="n">
        <v>3.2</v>
      </c>
      <c r="K46" s="3" t="n">
        <v>3.2</v>
      </c>
      <c r="L46" s="3" t="n">
        <v>3.2</v>
      </c>
    </row>
    <row r="47" customFormat="false" ht="15" hidden="false" customHeight="false" outlineLevel="0" collapsed="false">
      <c r="A47" s="0" t="s">
        <v>107</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108</v>
      </c>
      <c r="B48" s="3" t="n">
        <v>9</v>
      </c>
    </row>
    <row r="49" customFormat="false" ht="15" hidden="false" customHeight="false" outlineLevel="0" collapsed="false">
      <c r="A49" s="0" t="s">
        <v>109</v>
      </c>
      <c r="B49" s="3" t="n">
        <v>2.5</v>
      </c>
    </row>
    <row r="50" customFormat="false" ht="15" hidden="false" customHeight="false" outlineLevel="0" collapsed="false">
      <c r="A50" s="0" t="s">
        <v>110</v>
      </c>
      <c r="B50" s="3" t="n">
        <v>15</v>
      </c>
    </row>
    <row r="51" customFormat="false" ht="15" hidden="false" customHeight="false" outlineLevel="0" collapsed="false">
      <c r="A51" s="0" t="s">
        <v>111</v>
      </c>
      <c r="B51" s="3" t="n">
        <v>0</v>
      </c>
    </row>
    <row r="52" customFormat="false" ht="15" hidden="false" customHeight="false" outlineLevel="0" collapsed="false">
      <c r="A52" s="0" t="s">
        <v>112</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-6</v>
      </c>
      <c r="D5" s="4" t="n">
        <f aca="false">Assumptions!D13</f>
        <v>-5</v>
      </c>
      <c r="E5" s="4" t="n">
        <f aca="false">Assumptions!E13</f>
        <v>-4</v>
      </c>
      <c r="F5" s="4" t="n">
        <f aca="false">Assumptions!F13</f>
        <v>-2</v>
      </c>
      <c r="G5" s="4" t="n">
        <f aca="false">Assumptions!G13</f>
        <v>0</v>
      </c>
      <c r="H5" s="4" t="n">
        <f aca="false">Assumptions!H13</f>
        <v>0</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34552.793</v>
      </c>
      <c r="C6" s="0" t="n">
        <f aca="false">B6*(1+C5/100)</f>
        <v>32479.62542</v>
      </c>
      <c r="D6" s="0" t="n">
        <f aca="false">C6*(1+D5/100)</f>
        <v>30855.644149</v>
      </c>
      <c r="E6" s="0" t="n">
        <f aca="false">D6*(1+E5/100)</f>
        <v>29621.41838304</v>
      </c>
      <c r="F6" s="0" t="n">
        <f aca="false">E6*(1+F5/100)</f>
        <v>29028.9900153792</v>
      </c>
      <c r="G6" s="0" t="n">
        <f aca="false">F6*(1+G5/100)</f>
        <v>29028.9900153792</v>
      </c>
      <c r="H6" s="0" t="n">
        <f aca="false">G6*(1+H5/100)</f>
        <v>29028.9900153792</v>
      </c>
      <c r="I6" s="0" t="n">
        <f aca="false">H6*(1+I5/100)</f>
        <v>29319.279915533</v>
      </c>
      <c r="J6" s="0" t="n">
        <f aca="false">I6*(1+J5/100)</f>
        <v>29612.4727146883</v>
      </c>
      <c r="K6" s="0" t="n">
        <f aca="false">J6*(1+K5/100)</f>
        <v>29908.5974418352</v>
      </c>
      <c r="L6" s="0" t="n">
        <f aca="false">K6*(1+L5/100)</f>
        <v>30207.6834162536</v>
      </c>
    </row>
    <row r="7" customFormat="false" ht="15" hidden="false" customHeight="false" outlineLevel="0" collapsed="false">
      <c r="A7" s="0" t="s">
        <v>102</v>
      </c>
      <c r="C7" s="4" t="n">
        <f aca="false">Assumptions!C14</f>
        <v>15</v>
      </c>
      <c r="D7" s="4" t="n">
        <f aca="false">Assumptions!D14</f>
        <v>14.5</v>
      </c>
      <c r="E7" s="4" t="n">
        <f aca="false">Assumptions!E14</f>
        <v>14</v>
      </c>
      <c r="F7" s="4" t="n">
        <f aca="false">Assumptions!F14</f>
        <v>13.5</v>
      </c>
      <c r="G7" s="4" t="n">
        <f aca="false">Assumptions!G14</f>
        <v>13.5</v>
      </c>
      <c r="H7" s="4" t="n">
        <f aca="false">Assumptions!H14</f>
        <v>13.5</v>
      </c>
      <c r="I7" s="4" t="n">
        <f aca="false">Assumptions!I14</f>
        <v>13.5</v>
      </c>
      <c r="J7" s="4" t="n">
        <f aca="false">Assumptions!J14</f>
        <v>13.5</v>
      </c>
      <c r="K7" s="4" t="n">
        <f aca="false">Assumptions!K14</f>
        <v>13.5</v>
      </c>
      <c r="L7" s="4" t="n">
        <f aca="false">Assumptions!L14</f>
        <v>13.5</v>
      </c>
    </row>
    <row r="8" customFormat="false" ht="15" hidden="false" customHeight="false" outlineLevel="0" collapsed="false">
      <c r="A8" s="0" t="s">
        <v>44</v>
      </c>
      <c r="C8" s="0" t="n">
        <f aca="false">C6*C7/100</f>
        <v>4871.943813</v>
      </c>
      <c r="D8" s="0" t="n">
        <f aca="false">D6*D7/100</f>
        <v>4474.068401605</v>
      </c>
      <c r="E8" s="0" t="n">
        <f aca="false">E6*E7/100</f>
        <v>4146.9985736256</v>
      </c>
      <c r="F8" s="0" t="n">
        <f aca="false">F6*F7/100</f>
        <v>3918.91365207619</v>
      </c>
      <c r="G8" s="0" t="n">
        <f aca="false">G6*G7/100</f>
        <v>3918.91365207619</v>
      </c>
      <c r="H8" s="0" t="n">
        <f aca="false">H6*H7/100</f>
        <v>3918.91365207619</v>
      </c>
      <c r="I8" s="0" t="n">
        <f aca="false">I6*I7/100</f>
        <v>3958.10278859695</v>
      </c>
      <c r="J8" s="0" t="n">
        <f aca="false">J6*J7/100</f>
        <v>3997.68381648292</v>
      </c>
      <c r="K8" s="0" t="n">
        <f aca="false">K6*K7/100</f>
        <v>4037.66065464775</v>
      </c>
      <c r="L8" s="0" t="n">
        <f aca="false">L6*L7/100</f>
        <v>4078.03726119423</v>
      </c>
    </row>
    <row r="9" customFormat="false" ht="15" hidden="false" customHeight="false" outlineLevel="0" collapsed="false">
      <c r="A9" s="0" t="s">
        <v>103</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4871.943813</v>
      </c>
      <c r="D11" s="0" t="n">
        <f aca="false">D8+D10+D24</f>
        <v>4474.068401605</v>
      </c>
      <c r="E11" s="0" t="n">
        <f aca="false">E8+E10+E24</f>
        <v>4146.9985736256</v>
      </c>
      <c r="F11" s="0" t="n">
        <f aca="false">F8+F10+F24</f>
        <v>3918.91365207619</v>
      </c>
      <c r="G11" s="0" t="n">
        <f aca="false">G8+G10+G24</f>
        <v>3918.91365207619</v>
      </c>
      <c r="H11" s="0" t="n">
        <f aca="false">H8+H10+H24</f>
        <v>3918.91365207619</v>
      </c>
      <c r="I11" s="0" t="n">
        <f aca="false">I8+I10+I24</f>
        <v>3958.10278859695</v>
      </c>
      <c r="J11" s="0" t="n">
        <f aca="false">J8+J10+J24</f>
        <v>3997.68381648292</v>
      </c>
      <c r="K11" s="0" t="n">
        <f aca="false">K8+K10+K24</f>
        <v>4037.66065464775</v>
      </c>
      <c r="L11" s="0" t="n">
        <f aca="false">L8+L10+L24</f>
        <v>4078.03726119423</v>
      </c>
    </row>
    <row r="12" customFormat="false" ht="15" hidden="false" customHeight="false" outlineLevel="0" collapsed="false">
      <c r="A12" s="0" t="s">
        <v>120</v>
      </c>
      <c r="C12" s="4" t="n">
        <f aca="false">-C6*Assumptions!C17/100</f>
        <v>-747.03138466</v>
      </c>
      <c r="D12" s="4" t="n">
        <f aca="false">-D6*Assumptions!D17/100</f>
        <v>-709.679815427</v>
      </c>
      <c r="E12" s="4" t="n">
        <f aca="false">-E6*Assumptions!E17/100</f>
        <v>-681.29262280992</v>
      </c>
      <c r="F12" s="4" t="n">
        <f aca="false">-F6*Assumptions!F17/100</f>
        <v>-667.666770353722</v>
      </c>
      <c r="G12" s="4" t="n">
        <f aca="false">-G6*Assumptions!G17/100</f>
        <v>-667.666770353722</v>
      </c>
      <c r="H12" s="4" t="n">
        <f aca="false">-H6*Assumptions!H17/100</f>
        <v>-667.666770353722</v>
      </c>
      <c r="I12" s="4" t="n">
        <f aca="false">-I6*Assumptions!I17/100</f>
        <v>-674.343438057259</v>
      </c>
      <c r="J12" s="4" t="n">
        <f aca="false">-J6*Assumptions!J17/100</f>
        <v>-681.086872437831</v>
      </c>
      <c r="K12" s="4" t="n">
        <f aca="false">-K6*Assumptions!K17/100</f>
        <v>-687.89774116221</v>
      </c>
      <c r="L12" s="4" t="n">
        <f aca="false">-L6*Assumptions!L17/100</f>
        <v>-694.776718573832</v>
      </c>
    </row>
    <row r="13" customFormat="false" ht="15" hidden="false" customHeight="false" outlineLevel="0" collapsed="false">
      <c r="A13" s="0" t="s">
        <v>121</v>
      </c>
      <c r="C13" s="0" t="n">
        <f aca="false">C11+C12</f>
        <v>4124.91242834</v>
      </c>
      <c r="D13" s="0" t="n">
        <f aca="false">D11+D12</f>
        <v>3764.388586178</v>
      </c>
      <c r="E13" s="0" t="n">
        <f aca="false">E11+E12</f>
        <v>3465.70595081568</v>
      </c>
      <c r="F13" s="0" t="n">
        <f aca="false">F11+F12</f>
        <v>3251.24688172247</v>
      </c>
      <c r="G13" s="0" t="n">
        <f aca="false">G11+G12</f>
        <v>3251.24688172247</v>
      </c>
      <c r="H13" s="0" t="n">
        <f aca="false">H11+H12</f>
        <v>3251.24688172247</v>
      </c>
      <c r="I13" s="0" t="n">
        <f aca="false">I11+I12</f>
        <v>3283.7593505397</v>
      </c>
      <c r="J13" s="0" t="n">
        <f aca="false">J11+J12</f>
        <v>3316.59694404509</v>
      </c>
      <c r="K13" s="0" t="n">
        <f aca="false">K11+K12</f>
        <v>3349.76291348554</v>
      </c>
      <c r="L13" s="0" t="n">
        <f aca="false">L11+L12</f>
        <v>3383.2605426204</v>
      </c>
    </row>
    <row r="14" customFormat="false" ht="15" hidden="false" customHeight="false" outlineLevel="0" collapsed="false">
      <c r="A14" s="0" t="s">
        <v>107</v>
      </c>
      <c r="C14" s="4" t="n">
        <f aca="false">Assumptions!C19</f>
        <v>26</v>
      </c>
      <c r="D14" s="4" t="n">
        <f aca="false">Assumptions!D19</f>
        <v>27</v>
      </c>
      <c r="E14" s="4" t="n">
        <f aca="false">Assumptions!E19</f>
        <v>28</v>
      </c>
      <c r="F14" s="4" t="n">
        <f aca="false">Assumptions!F19</f>
        <v>28</v>
      </c>
      <c r="G14" s="4" t="n">
        <f aca="false">Assumptions!G19</f>
        <v>28</v>
      </c>
      <c r="H14" s="4" t="n">
        <f aca="false">Assumptions!H19</f>
        <v>28</v>
      </c>
      <c r="I14" s="4" t="n">
        <f aca="false">Assumptions!I19</f>
        <v>28</v>
      </c>
      <c r="J14" s="4" t="n">
        <f aca="false">Assumptions!J19</f>
        <v>28</v>
      </c>
      <c r="K14" s="4" t="n">
        <f aca="false">Assumptions!K19</f>
        <v>28</v>
      </c>
      <c r="L14" s="4" t="n">
        <f aca="false">Assumptions!L19</f>
        <v>28</v>
      </c>
    </row>
    <row r="15" customFormat="false" ht="15" hidden="false" customHeight="false" outlineLevel="0" collapsed="false">
      <c r="A15" s="0" t="s">
        <v>122</v>
      </c>
      <c r="C15" s="0" t="n">
        <f aca="false">C13-MAX(0,C13)*C14/100</f>
        <v>3052.4351969716</v>
      </c>
      <c r="D15" s="0" t="n">
        <f aca="false">D13-MAX(0,D13)*D14/100</f>
        <v>2748.00366790994</v>
      </c>
      <c r="E15" s="0" t="n">
        <f aca="false">E13-MAX(0,E13)*E14/100</f>
        <v>2495.30828458729</v>
      </c>
      <c r="F15" s="0" t="n">
        <f aca="false">F13-MAX(0,F13)*F14/100</f>
        <v>2340.89775484018</v>
      </c>
      <c r="G15" s="0" t="n">
        <f aca="false">G13-MAX(0,G13)*G14/100</f>
        <v>2340.89775484018</v>
      </c>
      <c r="H15" s="0" t="n">
        <f aca="false">H13-MAX(0,H13)*H14/100</f>
        <v>2340.89775484018</v>
      </c>
      <c r="I15" s="0" t="n">
        <f aca="false">I13-MAX(0,I13)*I14/100</f>
        <v>2364.30673238858</v>
      </c>
      <c r="J15" s="0" t="n">
        <f aca="false">J13-MAX(0,J13)*J14/100</f>
        <v>2387.94979971247</v>
      </c>
      <c r="K15" s="0" t="n">
        <f aca="false">K13-MAX(0,K13)*K14/100</f>
        <v>2411.82929770959</v>
      </c>
      <c r="L15" s="0" t="n">
        <f aca="false">L13-MAX(0,L13)*L14/100</f>
        <v>2435.94759068669</v>
      </c>
    </row>
    <row r="16" customFormat="false" ht="15" hidden="false" customHeight="false" outlineLevel="0" collapsed="false">
      <c r="A16" s="0" t="s">
        <v>123</v>
      </c>
      <c r="C16" s="0" t="n">
        <f aca="false">-C12</f>
        <v>747.03138466</v>
      </c>
      <c r="D16" s="0" t="n">
        <f aca="false">-D12</f>
        <v>709.679815427</v>
      </c>
      <c r="E16" s="0" t="n">
        <f aca="false">-E12</f>
        <v>681.29262280992</v>
      </c>
      <c r="F16" s="0" t="n">
        <f aca="false">-F12</f>
        <v>667.666770353722</v>
      </c>
      <c r="G16" s="0" t="n">
        <f aca="false">-G12</f>
        <v>667.666770353722</v>
      </c>
      <c r="H16" s="0" t="n">
        <f aca="false">-H12</f>
        <v>667.666770353722</v>
      </c>
      <c r="I16" s="0" t="n">
        <f aca="false">-I12</f>
        <v>674.343438057259</v>
      </c>
      <c r="J16" s="0" t="n">
        <f aca="false">-J12</f>
        <v>681.086872437831</v>
      </c>
      <c r="K16" s="0" t="n">
        <f aca="false">-K12</f>
        <v>687.89774116221</v>
      </c>
      <c r="L16" s="0" t="n">
        <f aca="false">-L12</f>
        <v>694.776718573832</v>
      </c>
    </row>
    <row r="17" customFormat="false" ht="15" hidden="false" customHeight="false" outlineLevel="0" collapsed="false">
      <c r="A17" s="0" t="s">
        <v>124</v>
      </c>
      <c r="C17" s="4" t="n">
        <f aca="false">-C6*Assumptions!C18/100</f>
        <v>-3312.92179284</v>
      </c>
      <c r="D17" s="4" t="n">
        <f aca="false">-D6*Assumptions!D18/100</f>
        <v>-3147.275703198</v>
      </c>
      <c r="E17" s="4" t="n">
        <f aca="false">-E6*Assumptions!E18/100</f>
        <v>-3021.38467507008</v>
      </c>
      <c r="F17" s="4" t="n">
        <f aca="false">-F6*Assumptions!F18/100</f>
        <v>-2960.95698156868</v>
      </c>
      <c r="G17" s="4" t="n">
        <f aca="false">-G6*Assumptions!G18/100</f>
        <v>-2960.95698156868</v>
      </c>
      <c r="H17" s="4" t="n">
        <f aca="false">-H6*Assumptions!H18/100</f>
        <v>-2960.95698156868</v>
      </c>
      <c r="I17" s="4" t="n">
        <f aca="false">-I6*Assumptions!I18/100</f>
        <v>-2990.56655138436</v>
      </c>
      <c r="J17" s="4" t="n">
        <f aca="false">-J6*Assumptions!J18/100</f>
        <v>-3020.47221689821</v>
      </c>
      <c r="K17" s="4" t="n">
        <f aca="false">-K6*Assumptions!K18/100</f>
        <v>-3050.67693906719</v>
      </c>
      <c r="L17" s="4" t="n">
        <f aca="false">-L6*Assumptions!L18/100</f>
        <v>-3081.18370845786</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486.5447887916</v>
      </c>
      <c r="D19" s="0" t="n">
        <f aca="false">D15+D16+D17+D18</f>
        <v>310.40778013894</v>
      </c>
      <c r="E19" s="0" t="n">
        <f aca="false">E15+E16+E17+E18</f>
        <v>155.21623232713</v>
      </c>
      <c r="F19" s="0" t="n">
        <f aca="false">F15+F16+F17+F18</f>
        <v>47.6075436252218</v>
      </c>
      <c r="G19" s="0" t="n">
        <f aca="false">G15+G16+G17+G18</f>
        <v>47.6075436252218</v>
      </c>
      <c r="H19" s="0" t="n">
        <f aca="false">H15+H16+H17+H18</f>
        <v>47.6075436252218</v>
      </c>
      <c r="I19" s="0" t="n">
        <f aca="false">I15+I16+I17+I18</f>
        <v>48.083619061475</v>
      </c>
      <c r="J19" s="0" t="n">
        <f aca="false">J15+J16+J17+J18</f>
        <v>48.5644552520898</v>
      </c>
      <c r="K19" s="0" t="n">
        <f aca="false">K15+K16+K17+K18</f>
        <v>49.05009980461</v>
      </c>
      <c r="L19" s="0" t="n">
        <f aca="false">L15+L16+L17+L18</f>
        <v>49.5406008026557</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446.371365863853</v>
      </c>
      <c r="D21" s="0" t="n">
        <f aca="false">D19*D20</f>
        <v>261.264018297231</v>
      </c>
      <c r="E21" s="0" t="n">
        <f aca="false">E19*E20</f>
        <v>119.85541044033</v>
      </c>
      <c r="F21" s="0" t="n">
        <f aca="false">F19*F20</f>
        <v>33.7263841409933</v>
      </c>
      <c r="G21" s="0" t="n">
        <f aca="false">G19*G20</f>
        <v>30.9416368265993</v>
      </c>
      <c r="H21" s="0" t="n">
        <f aca="false">H19*H20</f>
        <v>28.3868227766966</v>
      </c>
      <c r="I21" s="0" t="n">
        <f aca="false">I19*I20</f>
        <v>26.3033862426277</v>
      </c>
      <c r="J21" s="0" t="n">
        <f aca="false">J19*J20</f>
        <v>24.3728624817009</v>
      </c>
      <c r="K21" s="0" t="n">
        <f aca="false">K19*K20</f>
        <v>22.5840285380895</v>
      </c>
      <c r="L21" s="0" t="n">
        <f aca="false">L19*L20</f>
        <v>20.926485159147</v>
      </c>
    </row>
    <row r="23" customFormat="false" ht="15" hidden="false" customHeight="false" outlineLevel="0" collapsed="false">
      <c r="A23" s="0" t="s">
        <v>104</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Assumptions!$B$20</f>
        <v>9</v>
      </c>
    </row>
    <row r="28" customFormat="false" ht="15" hidden="false" customHeight="false" outlineLevel="0" collapsed="false">
      <c r="A28" s="0" t="s">
        <v>109</v>
      </c>
      <c r="B28" s="4" t="n">
        <f aca="false">Assumptions!$B$21</f>
        <v>1</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1014.73240076727</v>
      </c>
    </row>
    <row r="31" customFormat="false" ht="15" hidden="false" customHeight="false" outlineLevel="0" collapsed="false">
      <c r="A31" s="0" t="s">
        <v>132</v>
      </c>
      <c r="B31" s="0" t="n">
        <f aca="false">L19</f>
        <v>49.5406008026557</v>
      </c>
    </row>
    <row r="32" customFormat="false" ht="15" hidden="false" customHeight="false" outlineLevel="0" collapsed="false">
      <c r="A32" s="0" t="s">
        <v>133</v>
      </c>
      <c r="B32" s="0" t="n">
        <f aca="false">IF(B27&gt;B28,B31*(1+B28/100)/((B27-B28)/100),B31*B29)</f>
        <v>625.450085133528</v>
      </c>
    </row>
    <row r="33" customFormat="false" ht="15" hidden="false" customHeight="false" outlineLevel="0" collapsed="false">
      <c r="A33" s="0" t="s">
        <v>134</v>
      </c>
      <c r="B33" s="0" t="n">
        <f aca="false">B31*B29</f>
        <v>743.109012039836</v>
      </c>
    </row>
    <row r="34" customFormat="false" ht="15" hidden="false" customHeight="false" outlineLevel="0" collapsed="false">
      <c r="A34" s="0" t="s">
        <v>135</v>
      </c>
      <c r="B34" s="0" t="n">
        <f aca="false">MAX(0,MIN(B32,B33))</f>
        <v>625.450085133528</v>
      </c>
    </row>
    <row r="35" customFormat="false" ht="15" hidden="false" customHeight="false" outlineLevel="0" collapsed="false">
      <c r="A35" s="0" t="s">
        <v>136</v>
      </c>
      <c r="B35" s="0" t="n">
        <f aca="false">B34/(1+B27/100)^L4</f>
        <v>264.196875134231</v>
      </c>
    </row>
    <row r="36" customFormat="false" ht="15" hidden="false" customHeight="false" outlineLevel="0" collapsed="false">
      <c r="A36" s="0" t="s">
        <v>137</v>
      </c>
      <c r="B36" s="0" t="n">
        <f aca="false">B30+B35</f>
        <v>1278.9292759015</v>
      </c>
    </row>
    <row r="37" customFormat="false" ht="15" hidden="false" customHeight="false" outlineLevel="0" collapsed="false">
      <c r="A37" s="0" t="s">
        <v>138</v>
      </c>
      <c r="B37" s="0" t="n">
        <f aca="false">B36+Assumptions!$B$5-Assumptions!$B$4</f>
        <v>11113.7292759015</v>
      </c>
    </row>
    <row r="38" customFormat="false" ht="15" hidden="false" customHeight="false" outlineLevel="0" collapsed="false">
      <c r="A38" s="0" t="s">
        <v>139</v>
      </c>
      <c r="B38" s="0" t="n">
        <f aca="false">B37/Assumptions!$B$3*Assumptions!$B$10</f>
        <v>1.23313079280999</v>
      </c>
    </row>
    <row r="39" customFormat="false" ht="15" hidden="false" customHeight="false" outlineLevel="0" collapsed="false">
      <c r="A39" s="0" t="s">
        <v>140</v>
      </c>
      <c r="B39" s="4" t="n">
        <f aca="false">B38/Assumptions!$B$2-1</f>
        <v>-0.591001395419573</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1.23313079280999</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357.400048647731</v>
      </c>
    </row>
    <row r="47" customFormat="false" ht="15" hidden="false" customHeight="false" outlineLevel="0" collapsed="false">
      <c r="A47" s="0" t="s">
        <v>145</v>
      </c>
      <c r="B47" s="0" t="n">
        <f aca="false">(SUMPRODUCT(C19:L19/(1+B45/100)^C4:L4)+B46/(1+B45/100)^L4+Assumptions!$B$5-Assumptions!$B$4)/Assumptions!$B$3*Assumptions!$B$10</f>
        <v>1.19994166028385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-3</v>
      </c>
      <c r="D5" s="4" t="n">
        <f aca="false">Assumptions!D27</f>
        <v>-1</v>
      </c>
      <c r="E5" s="4" t="n">
        <f aca="false">Assumptions!E27</f>
        <v>1</v>
      </c>
      <c r="F5" s="4" t="n">
        <f aca="false">Assumptions!F27</f>
        <v>2</v>
      </c>
      <c r="G5" s="4" t="n">
        <f aca="false">Assumptions!G27</f>
        <v>2.5</v>
      </c>
      <c r="H5" s="4" t="n">
        <f aca="false">Assumptions!H27</f>
        <v>2.5</v>
      </c>
      <c r="I5" s="4" t="n">
        <f aca="false">Assumptions!I27</f>
        <v>2.5</v>
      </c>
      <c r="J5" s="4" t="n">
        <f aca="false">Assumptions!J27</f>
        <v>2</v>
      </c>
      <c r="K5" s="4" t="n">
        <f aca="false">Assumptions!K27</f>
        <v>2</v>
      </c>
      <c r="L5" s="4" t="n">
        <f aca="false">Assumptions!L27</f>
        <v>2</v>
      </c>
    </row>
    <row r="6" customFormat="false" ht="15" hidden="false" customHeight="false" outlineLevel="0" collapsed="false">
      <c r="A6" s="0" t="s">
        <v>38</v>
      </c>
      <c r="B6" s="3" t="n">
        <v>34552.793</v>
      </c>
      <c r="C6" s="0" t="n">
        <f aca="false">B6*(1+C5/100)</f>
        <v>33516.20921</v>
      </c>
      <c r="D6" s="0" t="n">
        <f aca="false">C6*(1+D5/100)</f>
        <v>33181.0471179</v>
      </c>
      <c r="E6" s="0" t="n">
        <f aca="false">D6*(1+E5/100)</f>
        <v>33512.857589079</v>
      </c>
      <c r="F6" s="0" t="n">
        <f aca="false">E6*(1+F5/100)</f>
        <v>34183.1147408606</v>
      </c>
      <c r="G6" s="0" t="n">
        <f aca="false">F6*(1+G5/100)</f>
        <v>35037.6926093821</v>
      </c>
      <c r="H6" s="0" t="n">
        <f aca="false">G6*(1+H5/100)</f>
        <v>35913.6349246166</v>
      </c>
      <c r="I6" s="0" t="n">
        <f aca="false">H6*(1+I5/100)</f>
        <v>36811.4757977321</v>
      </c>
      <c r="J6" s="0" t="n">
        <f aca="false">I6*(1+J5/100)</f>
        <v>37547.7053136867</v>
      </c>
      <c r="K6" s="0" t="n">
        <f aca="false">J6*(1+K5/100)</f>
        <v>38298.6594199604</v>
      </c>
      <c r="L6" s="0" t="n">
        <f aca="false">K6*(1+L5/100)</f>
        <v>39064.6326083596</v>
      </c>
    </row>
    <row r="7" customFormat="false" ht="15" hidden="false" customHeight="false" outlineLevel="0" collapsed="false">
      <c r="A7" s="0" t="s">
        <v>102</v>
      </c>
      <c r="C7" s="4" t="n">
        <f aca="false">Assumptions!C28</f>
        <v>15.5</v>
      </c>
      <c r="D7" s="4" t="n">
        <f aca="false">Assumptions!D28</f>
        <v>15.5</v>
      </c>
      <c r="E7" s="4" t="n">
        <f aca="false">Assumptions!E28</f>
        <v>15.5</v>
      </c>
      <c r="F7" s="4" t="n">
        <f aca="false">Assumptions!F28</f>
        <v>15.5</v>
      </c>
      <c r="G7" s="4" t="n">
        <f aca="false">Assumptions!G28</f>
        <v>15.5</v>
      </c>
      <c r="H7" s="4" t="n">
        <f aca="false">Assumptions!H28</f>
        <v>15.5</v>
      </c>
      <c r="I7" s="4" t="n">
        <f aca="false">Assumptions!I28</f>
        <v>15.5</v>
      </c>
      <c r="J7" s="4" t="n">
        <f aca="false">Assumptions!J28</f>
        <v>15.5</v>
      </c>
      <c r="K7" s="4" t="n">
        <f aca="false">Assumptions!K28</f>
        <v>15.5</v>
      </c>
      <c r="L7" s="4" t="n">
        <f aca="false">Assumptions!L28</f>
        <v>15.5</v>
      </c>
    </row>
    <row r="8" customFormat="false" ht="15" hidden="false" customHeight="false" outlineLevel="0" collapsed="false">
      <c r="A8" s="0" t="s">
        <v>44</v>
      </c>
      <c r="C8" s="0" t="n">
        <f aca="false">C6*C7/100</f>
        <v>5195.01242755</v>
      </c>
      <c r="D8" s="0" t="n">
        <f aca="false">D6*D7/100</f>
        <v>5143.0623032745</v>
      </c>
      <c r="E8" s="0" t="n">
        <f aca="false">E6*E7/100</f>
        <v>5194.49292630724</v>
      </c>
      <c r="F8" s="0" t="n">
        <f aca="false">F6*F7/100</f>
        <v>5298.38278483339</v>
      </c>
      <c r="G8" s="0" t="n">
        <f aca="false">G6*G7/100</f>
        <v>5430.84235445422</v>
      </c>
      <c r="H8" s="0" t="n">
        <f aca="false">H6*H7/100</f>
        <v>5566.61341331558</v>
      </c>
      <c r="I8" s="0" t="n">
        <f aca="false">I6*I7/100</f>
        <v>5705.77874864847</v>
      </c>
      <c r="J8" s="0" t="n">
        <f aca="false">J6*J7/100</f>
        <v>5819.89432362144</v>
      </c>
      <c r="K8" s="0" t="n">
        <f aca="false">K6*K7/100</f>
        <v>5936.29221009387</v>
      </c>
      <c r="L8" s="0" t="n">
        <f aca="false">L6*L7/100</f>
        <v>6055.01805429574</v>
      </c>
    </row>
    <row r="9" customFormat="false" ht="15" hidden="false" customHeight="false" outlineLevel="0" collapsed="false">
      <c r="A9" s="0" t="s">
        <v>103</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5195.01242755</v>
      </c>
      <c r="D11" s="0" t="n">
        <f aca="false">D8+D10+D24</f>
        <v>5143.0623032745</v>
      </c>
      <c r="E11" s="0" t="n">
        <f aca="false">E8+E10+E24</f>
        <v>5194.49292630724</v>
      </c>
      <c r="F11" s="0" t="n">
        <f aca="false">F8+F10+F24</f>
        <v>5298.38278483339</v>
      </c>
      <c r="G11" s="0" t="n">
        <f aca="false">G8+G10+G24</f>
        <v>5430.84235445422</v>
      </c>
      <c r="H11" s="0" t="n">
        <f aca="false">H8+H10+H24</f>
        <v>5566.61341331558</v>
      </c>
      <c r="I11" s="0" t="n">
        <f aca="false">I8+I10+I24</f>
        <v>5705.77874864847</v>
      </c>
      <c r="J11" s="0" t="n">
        <f aca="false">J8+J10+J24</f>
        <v>5819.89432362144</v>
      </c>
      <c r="K11" s="0" t="n">
        <f aca="false">K8+K10+K24</f>
        <v>5936.29221009387</v>
      </c>
      <c r="L11" s="0" t="n">
        <f aca="false">L8+L10+L24</f>
        <v>6055.01805429574</v>
      </c>
    </row>
    <row r="12" customFormat="false" ht="15" hidden="false" customHeight="false" outlineLevel="0" collapsed="false">
      <c r="A12" s="0" t="s">
        <v>120</v>
      </c>
      <c r="C12" s="4" t="n">
        <f aca="false">-C6*Assumptions!C31/100</f>
        <v>-770.87281183</v>
      </c>
      <c r="D12" s="4" t="n">
        <f aca="false">-D6*Assumptions!D31/100</f>
        <v>-763.1640837117</v>
      </c>
      <c r="E12" s="4" t="n">
        <f aca="false">-E6*Assumptions!E31/100</f>
        <v>-770.795724548817</v>
      </c>
      <c r="F12" s="4" t="n">
        <f aca="false">-F6*Assumptions!F31/100</f>
        <v>-786.211639039793</v>
      </c>
      <c r="G12" s="4" t="n">
        <f aca="false">-G6*Assumptions!G31/100</f>
        <v>-805.866930015788</v>
      </c>
      <c r="H12" s="4" t="n">
        <f aca="false">-H6*Assumptions!H31/100</f>
        <v>-826.013603266183</v>
      </c>
      <c r="I12" s="4" t="n">
        <f aca="false">-I6*Assumptions!I31/100</f>
        <v>-846.663943347837</v>
      </c>
      <c r="J12" s="4" t="n">
        <f aca="false">-J6*Assumptions!J31/100</f>
        <v>-863.597222214794</v>
      </c>
      <c r="K12" s="4" t="n">
        <f aca="false">-K6*Assumptions!K31/100</f>
        <v>-880.86916665909</v>
      </c>
      <c r="L12" s="4" t="n">
        <f aca="false">-L6*Assumptions!L31/100</f>
        <v>-898.486549992271</v>
      </c>
    </row>
    <row r="13" customFormat="false" ht="15" hidden="false" customHeight="false" outlineLevel="0" collapsed="false">
      <c r="A13" s="0" t="s">
        <v>121</v>
      </c>
      <c r="C13" s="0" t="n">
        <f aca="false">C11+C12</f>
        <v>4424.13961572</v>
      </c>
      <c r="D13" s="0" t="n">
        <f aca="false">D11+D12</f>
        <v>4379.8982195628</v>
      </c>
      <c r="E13" s="0" t="n">
        <f aca="false">E11+E12</f>
        <v>4423.69720175843</v>
      </c>
      <c r="F13" s="0" t="n">
        <f aca="false">F11+F12</f>
        <v>4512.1711457936</v>
      </c>
      <c r="G13" s="0" t="n">
        <f aca="false">G11+G12</f>
        <v>4624.97542443844</v>
      </c>
      <c r="H13" s="0" t="n">
        <f aca="false">H11+H12</f>
        <v>4740.5998100494</v>
      </c>
      <c r="I13" s="0" t="n">
        <f aca="false">I11+I12</f>
        <v>4859.11480530063</v>
      </c>
      <c r="J13" s="0" t="n">
        <f aca="false">J11+J12</f>
        <v>4956.29710140664</v>
      </c>
      <c r="K13" s="0" t="n">
        <f aca="false">K11+K12</f>
        <v>5055.42304343478</v>
      </c>
      <c r="L13" s="0" t="n">
        <f aca="false">L11+L12</f>
        <v>5156.53150430347</v>
      </c>
    </row>
    <row r="14" customFormat="false" ht="15" hidden="false" customHeight="false" outlineLevel="0" collapsed="false">
      <c r="A14" s="0" t="s">
        <v>107</v>
      </c>
      <c r="C14" s="4" t="n">
        <f aca="false">Assumptions!C33</f>
        <v>25.5</v>
      </c>
      <c r="D14" s="4" t="n">
        <f aca="false">Assumptions!D33</f>
        <v>25.5</v>
      </c>
      <c r="E14" s="4" t="n">
        <f aca="false">Assumptions!E33</f>
        <v>25.5</v>
      </c>
      <c r="F14" s="4" t="n">
        <f aca="false">Assumptions!F33</f>
        <v>25.5</v>
      </c>
      <c r="G14" s="4" t="n">
        <f aca="false">Assumptions!G33</f>
        <v>25.5</v>
      </c>
      <c r="H14" s="4" t="n">
        <f aca="false">Assumptions!H33</f>
        <v>25.5</v>
      </c>
      <c r="I14" s="4" t="n">
        <f aca="false">Assumptions!I33</f>
        <v>25.5</v>
      </c>
      <c r="J14" s="4" t="n">
        <f aca="false">Assumptions!J33</f>
        <v>25.5</v>
      </c>
      <c r="K14" s="4" t="n">
        <f aca="false">Assumptions!K33</f>
        <v>25.5</v>
      </c>
      <c r="L14" s="4" t="n">
        <f aca="false">Assumptions!L33</f>
        <v>25.5</v>
      </c>
    </row>
    <row r="15" customFormat="false" ht="15" hidden="false" customHeight="false" outlineLevel="0" collapsed="false">
      <c r="A15" s="0" t="s">
        <v>122</v>
      </c>
      <c r="C15" s="0" t="n">
        <f aca="false">C13-MAX(0,C13)*C14/100</f>
        <v>3295.9840137114</v>
      </c>
      <c r="D15" s="0" t="n">
        <f aca="false">D13-MAX(0,D13)*D14/100</f>
        <v>3263.02417357429</v>
      </c>
      <c r="E15" s="0" t="n">
        <f aca="false">E13-MAX(0,E13)*E14/100</f>
        <v>3295.65441531003</v>
      </c>
      <c r="F15" s="0" t="n">
        <f aca="false">F13-MAX(0,F13)*F14/100</f>
        <v>3361.56750361623</v>
      </c>
      <c r="G15" s="0" t="n">
        <f aca="false">G13-MAX(0,G13)*G14/100</f>
        <v>3445.60669120663</v>
      </c>
      <c r="H15" s="0" t="n">
        <f aca="false">H13-MAX(0,H13)*H14/100</f>
        <v>3531.7468584868</v>
      </c>
      <c r="I15" s="0" t="n">
        <f aca="false">I13-MAX(0,I13)*I14/100</f>
        <v>3620.04052994897</v>
      </c>
      <c r="J15" s="0" t="n">
        <f aca="false">J13-MAX(0,J13)*J14/100</f>
        <v>3692.44134054795</v>
      </c>
      <c r="K15" s="0" t="n">
        <f aca="false">K13-MAX(0,K13)*K14/100</f>
        <v>3766.29016735891</v>
      </c>
      <c r="L15" s="0" t="n">
        <f aca="false">L13-MAX(0,L13)*L14/100</f>
        <v>3841.61597070609</v>
      </c>
    </row>
    <row r="16" customFormat="false" ht="15" hidden="false" customHeight="false" outlineLevel="0" collapsed="false">
      <c r="A16" s="0" t="s">
        <v>123</v>
      </c>
      <c r="C16" s="0" t="n">
        <f aca="false">-C12</f>
        <v>770.87281183</v>
      </c>
      <c r="D16" s="0" t="n">
        <f aca="false">-D12</f>
        <v>763.1640837117</v>
      </c>
      <c r="E16" s="0" t="n">
        <f aca="false">-E12</f>
        <v>770.795724548817</v>
      </c>
      <c r="F16" s="0" t="n">
        <f aca="false">-F12</f>
        <v>786.211639039793</v>
      </c>
      <c r="G16" s="0" t="n">
        <f aca="false">-G12</f>
        <v>805.866930015788</v>
      </c>
      <c r="H16" s="0" t="n">
        <f aca="false">-H12</f>
        <v>826.013603266183</v>
      </c>
      <c r="I16" s="0" t="n">
        <f aca="false">-I12</f>
        <v>846.663943347837</v>
      </c>
      <c r="J16" s="0" t="n">
        <f aca="false">-J12</f>
        <v>863.597222214794</v>
      </c>
      <c r="K16" s="0" t="n">
        <f aca="false">-K12</f>
        <v>880.86916665909</v>
      </c>
      <c r="L16" s="0" t="n">
        <f aca="false">-L12</f>
        <v>898.486549992271</v>
      </c>
    </row>
    <row r="17" customFormat="false" ht="15" hidden="false" customHeight="false" outlineLevel="0" collapsed="false">
      <c r="A17" s="0" t="s">
        <v>124</v>
      </c>
      <c r="C17" s="4" t="n">
        <f aca="false">-C6*Assumptions!C32/100</f>
        <v>-3251.07229337</v>
      </c>
      <c r="D17" s="4" t="n">
        <f aca="false">-D6*Assumptions!D32/100</f>
        <v>-3052.6563348468</v>
      </c>
      <c r="E17" s="4" t="n">
        <f aca="false">-E6*Assumptions!E32/100</f>
        <v>-2915.61861024987</v>
      </c>
      <c r="F17" s="4" t="n">
        <f aca="false">-F6*Assumptions!F32/100</f>
        <v>-2803.01540875057</v>
      </c>
      <c r="G17" s="4" t="n">
        <f aca="false">-G6*Assumptions!G32/100</f>
        <v>-2697.90233092242</v>
      </c>
      <c r="H17" s="4" t="n">
        <f aca="false">-H6*Assumptions!H32/100</f>
        <v>-2585.7817145724</v>
      </c>
      <c r="I17" s="4" t="n">
        <f aca="false">-I6*Assumptions!I32/100</f>
        <v>-2466.36887844805</v>
      </c>
      <c r="J17" s="4" t="n">
        <f aca="false">-J6*Assumptions!J32/100</f>
        <v>-2327.95772944858</v>
      </c>
      <c r="K17" s="4" t="n">
        <f aca="false">-K6*Assumptions!K32/100</f>
        <v>-2374.51688403755</v>
      </c>
      <c r="L17" s="4" t="n">
        <f aca="false">-L6*Assumptions!L32/100</f>
        <v>-2422.0072217183</v>
      </c>
    </row>
    <row r="18" customFormat="false" ht="15" hidden="false" customHeight="false" outlineLevel="0" collapsed="false">
      <c r="A18" s="0" t="s">
        <v>125</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126</v>
      </c>
      <c r="C19" s="0" t="n">
        <f aca="false">C15+C16+C17+C18</f>
        <v>815.7845321714</v>
      </c>
      <c r="D19" s="0" t="n">
        <f aca="false">D15+D16+D17+D18</f>
        <v>973.531922439187</v>
      </c>
      <c r="E19" s="0" t="n">
        <f aca="false">E15+E16+E17+E18</f>
        <v>1150.83152960897</v>
      </c>
      <c r="F19" s="0" t="n">
        <f aca="false">F15+F16+F17+F18</f>
        <v>1344.76373390545</v>
      </c>
      <c r="G19" s="0" t="n">
        <f aca="false">G15+G16+G17+G18</f>
        <v>1553.5712903</v>
      </c>
      <c r="H19" s="0" t="n">
        <f aca="false">H15+H16+H17+H18</f>
        <v>1771.97874718059</v>
      </c>
      <c r="I19" s="0" t="n">
        <f aca="false">I15+I16+I17+I18</f>
        <v>2000.33559484876</v>
      </c>
      <c r="J19" s="0" t="n">
        <f aca="false">J15+J16+J17+J18</f>
        <v>2228.08083331417</v>
      </c>
      <c r="K19" s="0" t="n">
        <f aca="false">K15+K16+K17+K18</f>
        <v>2272.64244998045</v>
      </c>
      <c r="L19" s="0" t="n">
        <f aca="false">L15+L16+L17+L18</f>
        <v>2318.09529898006</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748.426176304037</v>
      </c>
      <c r="D21" s="0" t="n">
        <f aca="false">D19*D20</f>
        <v>819.402341923396</v>
      </c>
      <c r="E21" s="0" t="n">
        <f aca="false">E19*E20</f>
        <v>888.653095497455</v>
      </c>
      <c r="F21" s="0" t="n">
        <f aca="false">F19*F20</f>
        <v>952.664532024793</v>
      </c>
      <c r="G21" s="0" t="n">
        <f aca="false">G19*G20</f>
        <v>1009.71474241799</v>
      </c>
      <c r="H21" s="0" t="n">
        <f aca="false">H19*H20</f>
        <v>1056.57303086815</v>
      </c>
      <c r="I21" s="0" t="n">
        <f aca="false">I19*I20</f>
        <v>1094.2520715613</v>
      </c>
      <c r="J21" s="0" t="n">
        <f aca="false">J19*J20</f>
        <v>1118.19863862558</v>
      </c>
      <c r="K21" s="0" t="n">
        <f aca="false">K19*K20</f>
        <v>1046.38771687899</v>
      </c>
      <c r="L21" s="0" t="n">
        <f aca="false">L19*L20</f>
        <v>979.188505703271</v>
      </c>
    </row>
    <row r="23" customFormat="false" ht="15" hidden="false" customHeight="false" outlineLevel="0" collapsed="false">
      <c r="A23" s="0" t="s">
        <v>104</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Assumptions!$B$34</f>
        <v>9</v>
      </c>
    </row>
    <row r="28" customFormat="false" ht="15" hidden="false" customHeight="false" outlineLevel="0" collapsed="false">
      <c r="A28" s="0" t="s">
        <v>109</v>
      </c>
      <c r="B28" s="4" t="n">
        <f aca="false">Assumptions!$B$35</f>
        <v>2</v>
      </c>
    </row>
    <row r="29" customFormat="false" ht="15" hidden="false" customHeight="false" outlineLevel="0" collapsed="false">
      <c r="A29" s="0" t="s">
        <v>110</v>
      </c>
      <c r="B29" s="4" t="n">
        <f aca="false">Assumptions!$B$36</f>
        <v>15</v>
      </c>
    </row>
    <row r="30" customFormat="false" ht="15" hidden="false" customHeight="false" outlineLevel="0" collapsed="false">
      <c r="A30" s="0" t="s">
        <v>131</v>
      </c>
      <c r="B30" s="0" t="n">
        <f aca="false">SUM(C21:L21)</f>
        <v>9713.46085180495</v>
      </c>
    </row>
    <row r="31" customFormat="false" ht="15" hidden="false" customHeight="false" outlineLevel="0" collapsed="false">
      <c r="A31" s="0" t="s">
        <v>132</v>
      </c>
      <c r="B31" s="0" t="n">
        <f aca="false">L19</f>
        <v>2318.09529898006</v>
      </c>
    </row>
    <row r="32" customFormat="false" ht="15" hidden="false" customHeight="false" outlineLevel="0" collapsed="false">
      <c r="A32" s="0" t="s">
        <v>133</v>
      </c>
      <c r="B32" s="0" t="n">
        <f aca="false">IF(B27&gt;B28,B31*(1+B28/100)/((B27-B28)/100),B31*B29)</f>
        <v>33777.9600708523</v>
      </c>
    </row>
    <row r="33" customFormat="false" ht="15" hidden="false" customHeight="false" outlineLevel="0" collapsed="false">
      <c r="A33" s="0" t="s">
        <v>134</v>
      </c>
      <c r="B33" s="0" t="n">
        <f aca="false">B31*B29</f>
        <v>34771.4294847009</v>
      </c>
    </row>
    <row r="34" customFormat="false" ht="15" hidden="false" customHeight="false" outlineLevel="0" collapsed="false">
      <c r="A34" s="0" t="s">
        <v>135</v>
      </c>
      <c r="B34" s="0" t="n">
        <f aca="false">MAX(0,MIN(B32,B33))</f>
        <v>33777.9600708523</v>
      </c>
    </row>
    <row r="35" customFormat="false" ht="15" hidden="false" customHeight="false" outlineLevel="0" collapsed="false">
      <c r="A35" s="0" t="s">
        <v>136</v>
      </c>
      <c r="B35" s="0" t="n">
        <f aca="false">B34/(1+B27/100)^L4</f>
        <v>14268.1753688191</v>
      </c>
    </row>
    <row r="36" customFormat="false" ht="15" hidden="false" customHeight="false" outlineLevel="0" collapsed="false">
      <c r="A36" s="0" t="s">
        <v>137</v>
      </c>
      <c r="B36" s="0" t="n">
        <f aca="false">B30+B35</f>
        <v>23981.636220624</v>
      </c>
    </row>
    <row r="37" customFormat="false" ht="15" hidden="false" customHeight="false" outlineLevel="0" collapsed="false">
      <c r="A37" s="0" t="s">
        <v>138</v>
      </c>
      <c r="B37" s="0" t="n">
        <f aca="false">B36+Assumptions!$B$5-Assumptions!$B$4</f>
        <v>33816.436220624</v>
      </c>
    </row>
    <row r="38" customFormat="false" ht="15" hidden="false" customHeight="false" outlineLevel="0" collapsed="false">
      <c r="A38" s="0" t="s">
        <v>139</v>
      </c>
      <c r="B38" s="0" t="n">
        <f aca="false">B37/Assumptions!$B$3*Assumptions!$B$10</f>
        <v>3.75212386153467</v>
      </c>
    </row>
    <row r="39" customFormat="false" ht="15" hidden="false" customHeight="false" outlineLevel="0" collapsed="false">
      <c r="A39" s="0" t="s">
        <v>140</v>
      </c>
      <c r="B39" s="4" t="n">
        <f aca="false">B38/Assumptions!$B$2-1</f>
        <v>0.244485526213821</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3.75212386153467</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18188.1323458436</v>
      </c>
    </row>
    <row r="47" customFormat="false" ht="15" hidden="false" customHeight="false" outlineLevel="0" collapsed="false">
      <c r="A47" s="0" t="s">
        <v>145</v>
      </c>
      <c r="B47" s="0" t="n">
        <f aca="false">(SUMPRODUCT(C19:L19/(1+B45/100)^C4:L4)+B46/(1+B45/100)^L4+Assumptions!$B$5-Assumptions!$B$4)/Assumptions!$B$3*Assumptions!$B$10</f>
        <v>2.38993565994476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77</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-1</v>
      </c>
      <c r="D5" s="4" t="n">
        <f aca="false">Assumptions!D41</f>
        <v>3</v>
      </c>
      <c r="E5" s="4" t="n">
        <f aca="false">Assumptions!E41</f>
        <v>5</v>
      </c>
      <c r="F5" s="4" t="n">
        <f aca="false">Assumptions!F41</f>
        <v>5</v>
      </c>
      <c r="G5" s="4" t="n">
        <f aca="false">Assumptions!G41</f>
        <v>4</v>
      </c>
      <c r="H5" s="4" t="n">
        <f aca="false">Assumptions!H41</f>
        <v>4</v>
      </c>
      <c r="I5" s="4" t="n">
        <f aca="false">Assumptions!I41</f>
        <v>3</v>
      </c>
      <c r="J5" s="4" t="n">
        <f aca="false">Assumptions!J41</f>
        <v>3</v>
      </c>
      <c r="K5" s="4" t="n">
        <f aca="false">Assumptions!K41</f>
        <v>3</v>
      </c>
      <c r="L5" s="4" t="n">
        <f aca="false">Assumptions!L41</f>
        <v>3</v>
      </c>
    </row>
    <row r="6" customFormat="false" ht="15" hidden="false" customHeight="false" outlineLevel="0" collapsed="false">
      <c r="A6" s="0" t="s">
        <v>38</v>
      </c>
      <c r="B6" s="3" t="n">
        <v>34552.793</v>
      </c>
      <c r="C6" s="0" t="n">
        <f aca="false">B6*(1+C5/100)</f>
        <v>34207.26507</v>
      </c>
      <c r="D6" s="0" t="n">
        <f aca="false">C6*(1+D5/100)</f>
        <v>35233.4830221</v>
      </c>
      <c r="E6" s="0" t="n">
        <f aca="false">D6*(1+E5/100)</f>
        <v>36995.157173205</v>
      </c>
      <c r="F6" s="0" t="n">
        <f aca="false">E6*(1+F5/100)</f>
        <v>38844.9150318653</v>
      </c>
      <c r="G6" s="0" t="n">
        <f aca="false">F6*(1+G5/100)</f>
        <v>40398.7116331399</v>
      </c>
      <c r="H6" s="0" t="n">
        <f aca="false">G6*(1+H5/100)</f>
        <v>42014.6600984655</v>
      </c>
      <c r="I6" s="0" t="n">
        <f aca="false">H6*(1+I5/100)</f>
        <v>43275.0999014194</v>
      </c>
      <c r="J6" s="0" t="n">
        <f aca="false">I6*(1+J5/100)</f>
        <v>44573.352898462</v>
      </c>
      <c r="K6" s="0" t="n">
        <f aca="false">J6*(1+K5/100)</f>
        <v>45910.5534854159</v>
      </c>
      <c r="L6" s="0" t="n">
        <f aca="false">K6*(1+L5/100)</f>
        <v>47287.8700899783</v>
      </c>
    </row>
    <row r="7" customFormat="false" ht="15" hidden="false" customHeight="false" outlineLevel="0" collapsed="false">
      <c r="A7" s="0" t="s">
        <v>102</v>
      </c>
      <c r="C7" s="4" t="n">
        <f aca="false">Assumptions!C42</f>
        <v>16</v>
      </c>
      <c r="D7" s="4" t="n">
        <f aca="false">Assumptions!D42</f>
        <v>16.2</v>
      </c>
      <c r="E7" s="4" t="n">
        <f aca="false">Assumptions!E42</f>
        <v>16.4</v>
      </c>
      <c r="F7" s="4" t="n">
        <f aca="false">Assumptions!F42</f>
        <v>16.6</v>
      </c>
      <c r="G7" s="4" t="n">
        <f aca="false">Assumptions!G42</f>
        <v>16.8</v>
      </c>
      <c r="H7" s="4" t="n">
        <f aca="false">Assumptions!H42</f>
        <v>17</v>
      </c>
      <c r="I7" s="4" t="n">
        <f aca="false">Assumptions!I42</f>
        <v>17</v>
      </c>
      <c r="J7" s="4" t="n">
        <f aca="false">Assumptions!J42</f>
        <v>17</v>
      </c>
      <c r="K7" s="4" t="n">
        <f aca="false">Assumptions!K42</f>
        <v>17</v>
      </c>
      <c r="L7" s="4" t="n">
        <f aca="false">Assumptions!L42</f>
        <v>17</v>
      </c>
    </row>
    <row r="8" customFormat="false" ht="15" hidden="false" customHeight="false" outlineLevel="0" collapsed="false">
      <c r="A8" s="0" t="s">
        <v>44</v>
      </c>
      <c r="C8" s="0" t="n">
        <f aca="false">C6*C7/100</f>
        <v>5473.1624112</v>
      </c>
      <c r="D8" s="0" t="n">
        <f aca="false">D6*D7/100</f>
        <v>5707.8242495802</v>
      </c>
      <c r="E8" s="0" t="n">
        <f aca="false">E6*E7/100</f>
        <v>6067.20577640562</v>
      </c>
      <c r="F8" s="0" t="n">
        <f aca="false">F6*F7/100</f>
        <v>6448.25589528963</v>
      </c>
      <c r="G8" s="0" t="n">
        <f aca="false">G6*G7/100</f>
        <v>6786.9835543675</v>
      </c>
      <c r="H8" s="0" t="n">
        <f aca="false">H6*H7/100</f>
        <v>7142.49221673913</v>
      </c>
      <c r="I8" s="0" t="n">
        <f aca="false">I6*I7/100</f>
        <v>7356.7669832413</v>
      </c>
      <c r="J8" s="0" t="n">
        <f aca="false">J6*J7/100</f>
        <v>7577.46999273854</v>
      </c>
      <c r="K8" s="0" t="n">
        <f aca="false">K6*K7/100</f>
        <v>7804.7940925207</v>
      </c>
      <c r="L8" s="0" t="n">
        <f aca="false">L6*L7/100</f>
        <v>8038.93791529632</v>
      </c>
    </row>
    <row r="9" customFormat="false" ht="15" hidden="false" customHeight="false" outlineLevel="0" collapsed="false">
      <c r="A9" s="0" t="s">
        <v>103</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118</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119</v>
      </c>
      <c r="C11" s="0" t="n">
        <f aca="false">C8+C10+C24</f>
        <v>5473.1624112</v>
      </c>
      <c r="D11" s="0" t="n">
        <f aca="false">D8+D10+D24</f>
        <v>5707.8242495802</v>
      </c>
      <c r="E11" s="0" t="n">
        <f aca="false">E8+E10+E24</f>
        <v>6067.20577640562</v>
      </c>
      <c r="F11" s="0" t="n">
        <f aca="false">F8+F10+F24</f>
        <v>6448.25589528963</v>
      </c>
      <c r="G11" s="0" t="n">
        <f aca="false">G8+G10+G24</f>
        <v>6786.9835543675</v>
      </c>
      <c r="H11" s="0" t="n">
        <f aca="false">H8+H10+H24</f>
        <v>7142.49221673913</v>
      </c>
      <c r="I11" s="0" t="n">
        <f aca="false">I8+I10+I24</f>
        <v>7356.7669832413</v>
      </c>
      <c r="J11" s="0" t="n">
        <f aca="false">J8+J10+J24</f>
        <v>7577.46999273854</v>
      </c>
      <c r="K11" s="0" t="n">
        <f aca="false">K8+K10+K24</f>
        <v>7804.7940925207</v>
      </c>
      <c r="L11" s="0" t="n">
        <f aca="false">L8+L10+L24</f>
        <v>8038.93791529632</v>
      </c>
    </row>
    <row r="12" customFormat="false" ht="15" hidden="false" customHeight="false" outlineLevel="0" collapsed="false">
      <c r="A12" s="0" t="s">
        <v>120</v>
      </c>
      <c r="C12" s="4" t="n">
        <f aca="false">-C6*Assumptions!C45/100</f>
        <v>-786.76709661</v>
      </c>
      <c r="D12" s="4" t="n">
        <f aca="false">-D6*Assumptions!D45/100</f>
        <v>-810.3701095083</v>
      </c>
      <c r="E12" s="4" t="n">
        <f aca="false">-E6*Assumptions!E45/100</f>
        <v>-850.888614983715</v>
      </c>
      <c r="F12" s="4" t="n">
        <f aca="false">-F6*Assumptions!F45/100</f>
        <v>-893.433045732901</v>
      </c>
      <c r="G12" s="4" t="n">
        <f aca="false">-G6*Assumptions!G45/100</f>
        <v>-929.170367562217</v>
      </c>
      <c r="H12" s="4" t="n">
        <f aca="false">-H6*Assumptions!H45/100</f>
        <v>-966.337182264705</v>
      </c>
      <c r="I12" s="4" t="n">
        <f aca="false">-I6*Assumptions!I45/100</f>
        <v>-995.327297732647</v>
      </c>
      <c r="J12" s="4" t="n">
        <f aca="false">-J6*Assumptions!J45/100</f>
        <v>-1025.18711666463</v>
      </c>
      <c r="K12" s="4" t="n">
        <f aca="false">-K6*Assumptions!K45/100</f>
        <v>-1055.94273016456</v>
      </c>
      <c r="L12" s="4" t="n">
        <f aca="false">-L6*Assumptions!L45/100</f>
        <v>-1087.6210120695</v>
      </c>
    </row>
    <row r="13" customFormat="false" ht="15" hidden="false" customHeight="false" outlineLevel="0" collapsed="false">
      <c r="A13" s="0" t="s">
        <v>121</v>
      </c>
      <c r="C13" s="0" t="n">
        <f aca="false">C11+C12</f>
        <v>4686.39531459</v>
      </c>
      <c r="D13" s="0" t="n">
        <f aca="false">D11+D12</f>
        <v>4897.4541400719</v>
      </c>
      <c r="E13" s="0" t="n">
        <f aca="false">E11+E12</f>
        <v>5216.3171614219</v>
      </c>
      <c r="F13" s="0" t="n">
        <f aca="false">F11+F12</f>
        <v>5554.82284955673</v>
      </c>
      <c r="G13" s="0" t="n">
        <f aca="false">G11+G12</f>
        <v>5857.81318680528</v>
      </c>
      <c r="H13" s="0" t="n">
        <f aca="false">H11+H12</f>
        <v>6176.15503447442</v>
      </c>
      <c r="I13" s="0" t="n">
        <f aca="false">I11+I12</f>
        <v>6361.43968550865</v>
      </c>
      <c r="J13" s="0" t="n">
        <f aca="false">J11+J12</f>
        <v>6552.28287607391</v>
      </c>
      <c r="K13" s="0" t="n">
        <f aca="false">K11+K12</f>
        <v>6748.85136235613</v>
      </c>
      <c r="L13" s="0" t="n">
        <f aca="false">L11+L12</f>
        <v>6951.31690322682</v>
      </c>
    </row>
    <row r="14" customFormat="false" ht="15" hidden="false" customHeight="false" outlineLevel="0" collapsed="false">
      <c r="A14" s="0" t="s">
        <v>107</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122</v>
      </c>
      <c r="C15" s="0" t="n">
        <f aca="false">C13-MAX(0,C13)*C14/100</f>
        <v>3514.7964859425</v>
      </c>
      <c r="D15" s="0" t="n">
        <f aca="false">D13-MAX(0,D13)*D14/100</f>
        <v>3673.09060505392</v>
      </c>
      <c r="E15" s="0" t="n">
        <f aca="false">E13-MAX(0,E13)*E14/100</f>
        <v>3912.23787106643</v>
      </c>
      <c r="F15" s="0" t="n">
        <f aca="false">F13-MAX(0,F13)*F14/100</f>
        <v>4166.11713716755</v>
      </c>
      <c r="G15" s="0" t="n">
        <f aca="false">G13-MAX(0,G13)*G14/100</f>
        <v>4393.35989010396</v>
      </c>
      <c r="H15" s="0" t="n">
        <f aca="false">H13-MAX(0,H13)*H14/100</f>
        <v>4632.11627585582</v>
      </c>
      <c r="I15" s="0" t="n">
        <f aca="false">I13-MAX(0,I13)*I14/100</f>
        <v>4771.07976413149</v>
      </c>
      <c r="J15" s="0" t="n">
        <f aca="false">J13-MAX(0,J13)*J14/100</f>
        <v>4914.21215705544</v>
      </c>
      <c r="K15" s="0" t="n">
        <f aca="false">K13-MAX(0,K13)*K14/100</f>
        <v>5061.6385217671</v>
      </c>
      <c r="L15" s="0" t="n">
        <f aca="false">L13-MAX(0,L13)*L14/100</f>
        <v>5213.48767742011</v>
      </c>
    </row>
    <row r="16" customFormat="false" ht="15" hidden="false" customHeight="false" outlineLevel="0" collapsed="false">
      <c r="A16" s="0" t="s">
        <v>123</v>
      </c>
      <c r="C16" s="0" t="n">
        <f aca="false">-C12</f>
        <v>786.76709661</v>
      </c>
      <c r="D16" s="0" t="n">
        <f aca="false">-D12</f>
        <v>810.3701095083</v>
      </c>
      <c r="E16" s="0" t="n">
        <f aca="false">-E12</f>
        <v>850.888614983715</v>
      </c>
      <c r="F16" s="0" t="n">
        <f aca="false">-F12</f>
        <v>893.433045732901</v>
      </c>
      <c r="G16" s="0" t="n">
        <f aca="false">-G12</f>
        <v>929.170367562217</v>
      </c>
      <c r="H16" s="0" t="n">
        <f aca="false">-H12</f>
        <v>966.337182264705</v>
      </c>
      <c r="I16" s="0" t="n">
        <f aca="false">-I12</f>
        <v>995.327297732647</v>
      </c>
      <c r="J16" s="0" t="n">
        <f aca="false">-J12</f>
        <v>1025.18711666463</v>
      </c>
      <c r="K16" s="0" t="n">
        <f aca="false">-K12</f>
        <v>1055.94273016456</v>
      </c>
      <c r="L16" s="0" t="n">
        <f aca="false">-L12</f>
        <v>1087.6210120695</v>
      </c>
    </row>
    <row r="17" customFormat="false" ht="15" hidden="false" customHeight="false" outlineLevel="0" collapsed="false">
      <c r="A17" s="0" t="s">
        <v>124</v>
      </c>
      <c r="C17" s="4" t="n">
        <f aca="false">-C6*Assumptions!C46/100</f>
        <v>-2804.99573574</v>
      </c>
      <c r="D17" s="4" t="n">
        <f aca="false">-D6*Assumptions!D46/100</f>
        <v>-2536.8107775912</v>
      </c>
      <c r="E17" s="4" t="n">
        <f aca="false">-E6*Assumptions!E46/100</f>
        <v>-2293.69974473871</v>
      </c>
      <c r="F17" s="4" t="n">
        <f aca="false">-F6*Assumptions!F46/100</f>
        <v>-2019.93558165699</v>
      </c>
      <c r="G17" s="4" t="n">
        <f aca="false">-G6*Assumptions!G46/100</f>
        <v>-1696.74588859187</v>
      </c>
      <c r="H17" s="4" t="n">
        <f aca="false">-H6*Assumptions!H46/100</f>
        <v>-1344.46912315089</v>
      </c>
      <c r="I17" s="4" t="n">
        <f aca="false">-I6*Assumptions!I46/100</f>
        <v>-1384.80319684542</v>
      </c>
      <c r="J17" s="4" t="n">
        <f aca="false">-J6*Assumptions!J46/100</f>
        <v>-1426.34729275078</v>
      </c>
      <c r="K17" s="4" t="n">
        <f aca="false">-K6*Assumptions!K46/100</f>
        <v>-1469.13771153331</v>
      </c>
      <c r="L17" s="4" t="n">
        <f aca="false">-L6*Assumptions!L46/100</f>
        <v>-1513.21184287931</v>
      </c>
    </row>
    <row r="18" customFormat="false" ht="15" hidden="false" customHeight="false" outlineLevel="0" collapsed="false">
      <c r="A18" s="0" t="s">
        <v>125</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126</v>
      </c>
      <c r="C19" s="0" t="n">
        <f aca="false">C15+C16+C17+C18</f>
        <v>1496.5678468125</v>
      </c>
      <c r="D19" s="0" t="n">
        <f aca="false">D15+D16+D17+D18</f>
        <v>1946.64993697102</v>
      </c>
      <c r="E19" s="0" t="n">
        <f aca="false">E15+E16+E17+E18</f>
        <v>2469.42674131143</v>
      </c>
      <c r="F19" s="0" t="n">
        <f aca="false">F15+F16+F17+F18</f>
        <v>3039.61460124346</v>
      </c>
      <c r="G19" s="0" t="n">
        <f aca="false">G15+G16+G17+G18</f>
        <v>3625.7843690743</v>
      </c>
      <c r="H19" s="0" t="n">
        <f aca="false">H15+H16+H17+H18</f>
        <v>4253.98433496963</v>
      </c>
      <c r="I19" s="0" t="n">
        <f aca="false">I15+I16+I17+I18</f>
        <v>4381.60386501872</v>
      </c>
      <c r="J19" s="0" t="n">
        <f aca="false">J15+J16+J17+J18</f>
        <v>4513.05198096928</v>
      </c>
      <c r="K19" s="0" t="n">
        <f aca="false">K15+K16+K17+K18</f>
        <v>4648.44354039836</v>
      </c>
      <c r="L19" s="0" t="n">
        <f aca="false">L15+L16+L17+L18</f>
        <v>4787.89684661031</v>
      </c>
    </row>
    <row r="20" customFormat="false" ht="15" hidden="false" customHeight="false" outlineLevel="0" collapsed="false">
      <c r="A20" s="0" t="s">
        <v>127</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128</v>
      </c>
      <c r="C21" s="0" t="n">
        <f aca="false">C19*C20</f>
        <v>1372.99802459862</v>
      </c>
      <c r="D21" s="0" t="n">
        <f aca="false">D19*D20</f>
        <v>1638.45630584212</v>
      </c>
      <c r="E21" s="0" t="n">
        <f aca="false">E19*E20</f>
        <v>1906.85053486172</v>
      </c>
      <c r="F21" s="0" t="n">
        <f aca="false">F19*F20</f>
        <v>2153.33961544275</v>
      </c>
      <c r="G21" s="0" t="n">
        <f aca="false">G19*G20</f>
        <v>2356.51106141133</v>
      </c>
      <c r="H21" s="0" t="n">
        <f aca="false">H19*H20</f>
        <v>2536.5118679984</v>
      </c>
      <c r="I21" s="0" t="n">
        <f aca="false">I19*I20</f>
        <v>2396.88736150307</v>
      </c>
      <c r="J21" s="0" t="n">
        <f aca="false">J19*J20</f>
        <v>2264.94860765887</v>
      </c>
      <c r="K21" s="0" t="n">
        <f aca="false">K19*K20</f>
        <v>2140.27253751251</v>
      </c>
      <c r="L21" s="0" t="n">
        <f aca="false">L19*L20</f>
        <v>2022.45937030998</v>
      </c>
    </row>
    <row r="23" customFormat="false" ht="15" hidden="false" customHeight="false" outlineLevel="0" collapsed="false">
      <c r="A23" s="0" t="s">
        <v>104</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129</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130</v>
      </c>
    </row>
    <row r="27" customFormat="false" ht="15" hidden="false" customHeight="false" outlineLevel="0" collapsed="false">
      <c r="A27" s="0" t="s">
        <v>108</v>
      </c>
      <c r="B27" s="4" t="n">
        <f aca="false">Assumptions!$B$48</f>
        <v>9</v>
      </c>
    </row>
    <row r="28" customFormat="false" ht="15" hidden="false" customHeight="false" outlineLevel="0" collapsed="false">
      <c r="A28" s="0" t="s">
        <v>109</v>
      </c>
      <c r="B28" s="4" t="n">
        <f aca="false">Assumptions!$B$49</f>
        <v>2.5</v>
      </c>
    </row>
    <row r="29" customFormat="false" ht="15" hidden="false" customHeight="false" outlineLevel="0" collapsed="false">
      <c r="A29" s="0" t="s">
        <v>110</v>
      </c>
      <c r="B29" s="4" t="n">
        <f aca="false">Assumptions!$B$50</f>
        <v>15</v>
      </c>
    </row>
    <row r="30" customFormat="false" ht="15" hidden="false" customHeight="false" outlineLevel="0" collapsed="false">
      <c r="A30" s="0" t="s">
        <v>131</v>
      </c>
      <c r="B30" s="0" t="n">
        <f aca="false">SUM(C21:L21)</f>
        <v>20789.2352871394</v>
      </c>
    </row>
    <row r="31" customFormat="false" ht="15" hidden="false" customHeight="false" outlineLevel="0" collapsed="false">
      <c r="A31" s="0" t="s">
        <v>132</v>
      </c>
      <c r="B31" s="0" t="n">
        <f aca="false">L19</f>
        <v>4787.89684661031</v>
      </c>
    </row>
    <row r="32" customFormat="false" ht="15" hidden="false" customHeight="false" outlineLevel="0" collapsed="false">
      <c r="A32" s="0" t="s">
        <v>133</v>
      </c>
      <c r="B32" s="0" t="n">
        <f aca="false">IF(B27&gt;B28,B31*(1+B28/100)/((B27-B28)/100),B31*B29)</f>
        <v>75501.4502734702</v>
      </c>
    </row>
    <row r="33" customFormat="false" ht="15" hidden="false" customHeight="false" outlineLevel="0" collapsed="false">
      <c r="A33" s="0" t="s">
        <v>134</v>
      </c>
      <c r="B33" s="0" t="n">
        <f aca="false">B31*B29</f>
        <v>71818.4526991546</v>
      </c>
    </row>
    <row r="34" customFormat="false" ht="15" hidden="false" customHeight="false" outlineLevel="0" collapsed="false">
      <c r="A34" s="0" t="s">
        <v>135</v>
      </c>
      <c r="B34" s="0" t="n">
        <f aca="false">MAX(0,MIN(B32,B33))</f>
        <v>71818.4526991546</v>
      </c>
    </row>
    <row r="35" customFormat="false" ht="15" hidden="false" customHeight="false" outlineLevel="0" collapsed="false">
      <c r="A35" s="0" t="s">
        <v>136</v>
      </c>
      <c r="B35" s="0" t="n">
        <f aca="false">B34/(1+B27/100)^L4</f>
        <v>30336.8905546498</v>
      </c>
    </row>
    <row r="36" customFormat="false" ht="15" hidden="false" customHeight="false" outlineLevel="0" collapsed="false">
      <c r="A36" s="0" t="s">
        <v>137</v>
      </c>
      <c r="B36" s="0" t="n">
        <f aca="false">B30+B35</f>
        <v>51126.1258417891</v>
      </c>
    </row>
    <row r="37" customFormat="false" ht="15" hidden="false" customHeight="false" outlineLevel="0" collapsed="false">
      <c r="A37" s="0" t="s">
        <v>138</v>
      </c>
      <c r="B37" s="0" t="n">
        <f aca="false">B36+Assumptions!$B$5-Assumptions!$B$4</f>
        <v>60960.9258417891</v>
      </c>
    </row>
    <row r="38" customFormat="false" ht="15" hidden="false" customHeight="false" outlineLevel="0" collapsed="false">
      <c r="A38" s="0" t="s">
        <v>139</v>
      </c>
      <c r="B38" s="0" t="n">
        <f aca="false">B37/Assumptions!$B$3*Assumptions!$B$10</f>
        <v>6.76395770920185</v>
      </c>
    </row>
    <row r="39" customFormat="false" ht="15" hidden="false" customHeight="false" outlineLevel="0" collapsed="false">
      <c r="A39" s="0" t="s">
        <v>140</v>
      </c>
      <c r="B39" s="4" t="n">
        <f aca="false">B38/Assumptions!$B$2-1</f>
        <v>1.2434353927701</v>
      </c>
    </row>
    <row r="41" customFormat="false" ht="15" hidden="false" customHeight="false" outlineLevel="0" collapsed="false">
      <c r="A41" s="0" t="s">
        <v>141</v>
      </c>
      <c r="B41" s="0" t="n">
        <f aca="false">SUMPRODUCT(-C10:L10/(1+$B$27/100)^C4:L4)</f>
        <v>0</v>
      </c>
    </row>
    <row r="42" customFormat="false" ht="15" hidden="false" customHeight="false" outlineLevel="0" collapsed="false">
      <c r="A42" s="0" t="s">
        <v>142</v>
      </c>
      <c r="B42" s="0" t="n">
        <f aca="false">IF(B27&gt;B28,-L10*(1+B28/100)/((B27-B28)/100),-L10*20)/(1+B27/100)^L4</f>
        <v>0</v>
      </c>
    </row>
    <row r="43" customFormat="false" ht="15" hidden="false" customHeight="false" outlineLevel="0" collapsed="false">
      <c r="A43" s="0" t="s">
        <v>143</v>
      </c>
      <c r="B43" s="0" t="n">
        <f aca="false">(B37+B41+B42)/Assumptions!$B$3*Assumptions!$B$10</f>
        <v>6.76395770920185</v>
      </c>
    </row>
    <row r="45" customFormat="false" ht="15" hidden="false" customHeight="false" outlineLevel="0" collapsed="false">
      <c r="A45" s="0" t="s">
        <v>84</v>
      </c>
      <c r="B45" s="4" t="n">
        <f aca="false">Assumptions!$B$6</f>
        <v>15</v>
      </c>
    </row>
    <row r="46" customFormat="false" ht="15" hidden="false" customHeight="false" outlineLevel="0" collapsed="false">
      <c r="A46" s="0" t="s">
        <v>144</v>
      </c>
      <c r="B46" s="0" t="n">
        <f aca="false">MAX(0,MIN(IF(B45&gt;B28,B31*(1+B28/100)/((B45-B28)/100),B31*B29),B31*B29))</f>
        <v>39260.7541422045</v>
      </c>
    </row>
    <row r="47" customFormat="false" ht="15" hidden="false" customHeight="false" outlineLevel="0" collapsed="false">
      <c r="A47" s="0" t="s">
        <v>145</v>
      </c>
      <c r="B47" s="0" t="n">
        <f aca="false">(SUMPRODUCT(C19:L19/(1+B45/100)^C4:L4)+B46/(1+B45/100)^L4+Assumptions!$B$5-Assumptions!$B$4)/Assumptions!$B$3*Assumptions!$B$10</f>
        <v>3.87718247963672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1.23313079280999</v>
      </c>
      <c r="C4" s="0" t="n">
        <f aca="false">B4/Assumptions!$B$2-1</f>
        <v>-0.591001395419573</v>
      </c>
      <c r="D4" s="4" t="n">
        <f aca="false">Assumptions!$B$24</f>
        <v>0.3</v>
      </c>
      <c r="E4" s="4" t="n">
        <f aca="false">DCF_Bear!$B$43</f>
        <v>1.23313079280999</v>
      </c>
      <c r="F4" s="4" t="n">
        <f aca="false">DCF_Bear!$B$47</f>
        <v>1.19994166028385</v>
      </c>
    </row>
    <row r="5" customFormat="false" ht="15" hidden="false" customHeight="false" outlineLevel="0" collapsed="false">
      <c r="A5" s="0" t="s">
        <v>154</v>
      </c>
      <c r="B5" s="4" t="n">
        <f aca="false">DCF_Base!$B$38</f>
        <v>3.75212386153467</v>
      </c>
      <c r="C5" s="0" t="n">
        <f aca="false">B5/Assumptions!$B$2-1</f>
        <v>0.244485526213821</v>
      </c>
      <c r="D5" s="4" t="n">
        <f aca="false">Assumptions!$B$38</f>
        <v>0.5</v>
      </c>
      <c r="E5" s="4" t="n">
        <f aca="false">DCF_Base!$B$43</f>
        <v>3.75212386153467</v>
      </c>
      <c r="F5" s="4" t="n">
        <f aca="false">DCF_Base!$B$47</f>
        <v>2.38993565994476</v>
      </c>
    </row>
    <row r="6" customFormat="false" ht="15" hidden="false" customHeight="false" outlineLevel="0" collapsed="false">
      <c r="A6" s="0" t="s">
        <v>155</v>
      </c>
      <c r="B6" s="4" t="n">
        <f aca="false">DCF_Bull!$B$38</f>
        <v>6.76395770920185</v>
      </c>
      <c r="C6" s="0" t="n">
        <f aca="false">B6/Assumptions!$B$2-1</f>
        <v>1.2434353927701</v>
      </c>
      <c r="D6" s="4" t="n">
        <f aca="false">Assumptions!$B$52</f>
        <v>0.2</v>
      </c>
      <c r="E6" s="4" t="n">
        <f aca="false">DCF_Bull!$B$43</f>
        <v>6.76395770920185</v>
      </c>
      <c r="F6" s="4" t="n">
        <f aca="false">DCF_Bull!$B$47</f>
        <v>3.87718247963672</v>
      </c>
    </row>
    <row r="8" customFormat="false" ht="15" hidden="false" customHeight="false" outlineLevel="0" collapsed="false">
      <c r="A8" s="0" t="s">
        <v>156</v>
      </c>
      <c r="B8" s="0" t="n">
        <f aca="false">SUMPRODUCT(B4:B6,D4:D6)</f>
        <v>3.5987927104507</v>
      </c>
    </row>
    <row r="9" customFormat="false" ht="15" hidden="false" customHeight="false" outlineLevel="0" collapsed="false">
      <c r="A9" s="0" t="s">
        <v>157</v>
      </c>
      <c r="B9" s="0" t="n">
        <f aca="false">SUMPRODUCT(E4:E6,D4:D6)</f>
        <v>3.5987927104507</v>
      </c>
    </row>
    <row r="10" customFormat="false" ht="15" hidden="false" customHeight="false" outlineLevel="0" collapsed="false">
      <c r="A10" s="0" t="s">
        <v>158</v>
      </c>
      <c r="B10" s="0" t="n">
        <f aca="false">1-Assumptions!$B$2/B8</f>
        <v>0.162219043279542</v>
      </c>
    </row>
    <row r="11" customFormat="false" ht="15" hidden="false" customHeight="false" outlineLevel="0" collapsed="false">
      <c r="A11" s="0" t="s">
        <v>159</v>
      </c>
      <c r="B11" s="0" t="str">
        <f aca="false">IF(ABS(B9-B8)&gt;0.01*ABS(B8),(Assumptions!$B$2-B8)/(B9-B8)*100,"n/a")</f>
        <v>n/a</v>
      </c>
    </row>
    <row r="12" customFormat="false" ht="15" hidden="false" customHeight="false" outlineLevel="0" collapsed="false">
      <c r="A12" s="0" t="s">
        <v>160</v>
      </c>
      <c r="B12" s="0" t="n">
        <f aca="false">SUMPRODUCT(F4:F6,D4:D6)</f>
        <v>2.33038682398488</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3.75212386153467</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3.3783174962523</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3.08946740514437</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2.85997753466524</v>
      </c>
      <c r="C18" s="3" t="n">
        <v>12</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2.38993565994476</v>
      </c>
      <c r="C19" s="3" t="n">
        <v>15</v>
      </c>
    </row>
    <row r="21" customFormat="false" ht="15" hidden="false" customHeight="false" outlineLevel="0" collapsed="false">
      <c r="A21" s="2" t="s">
        <v>168</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4.25341321158824</v>
      </c>
      <c r="C23" s="0" t="n">
        <f aca="false">(SUMPRODUCT(DCF_Base!$C$19:$L$19/(1+$A$23/100)^DCF_Base!$C$4:$L$4)+MAX(0,MIN(IF($A$23&gt;$C$22,DCF_Base!$L$19*(1+$C$22/100)/(($A$23-$C$22)/100),DCF_Base!$L$19*DCF_Base!$B$29),DCF_Base!$L$19*DCF_Base!$B$29))/(1+$A$23/100)^DCF_Base!$L$4+Assumptions!$B$5-Assumptions!$B$4)/Assumptions!$B$3*Assumptions!$B$10</f>
        <v>4.25341321158824</v>
      </c>
      <c r="D23" s="0" t="n">
        <f aca="false">(SUMPRODUCT(DCF_Base!$C$19:$L$19/(1+$A$23/100)^DCF_Base!$C$4:$L$4)+MAX(0,MIN(IF($A$23&gt;$D$22,DCF_Base!$L$19*(1+$D$22/100)/(($A$23-$D$22)/100),DCF_Base!$L$19*DCF_Base!$B$29),DCF_Base!$L$19*DCF_Base!$B$29))/(1+$A$23/100)^DCF_Base!$L$4+Assumptions!$B$5-Assumptions!$B$4)/Assumptions!$B$3*Assumptions!$B$10</f>
        <v>4.25341321158824</v>
      </c>
      <c r="E23" s="0" t="n">
        <f aca="false">(SUMPRODUCT(DCF_Base!$C$19:$L$19/(1+$A$23/100)^DCF_Base!$C$4:$L$4)+MAX(0,MIN(IF($A$23&gt;$E$22,DCF_Base!$L$19*(1+$E$22/100)/(($A$23-$E$22)/100),DCF_Base!$L$19*DCF_Base!$B$29),DCF_Base!$L$19*DCF_Base!$B$29))/(1+$A$23/100)^DCF_Base!$L$4+Assumptions!$B$5-Assumptions!$B$4)/Assumptions!$B$3*Assumptions!$B$10</f>
        <v>4.25341321158824</v>
      </c>
      <c r="F23" s="0" t="n">
        <f aca="false">(SUMPRODUCT(DCF_Base!$C$19:$L$19/(1+$A$23/100)^DCF_Base!$C$4:$L$4)+MAX(0,MIN(IF($A$23&gt;$F$22,DCF_Base!$L$19*(1+$F$22/100)/(($A$23-$F$22)/100),DCF_Base!$L$19*DCF_Base!$B$29),DCF_Base!$L$19*DCF_Base!$B$29))/(1+$A$23/100)^DCF_Base!$L$4+Assumptions!$B$5-Assumptions!$B$4)/Assumptions!$B$3*Assumptions!$B$10</f>
        <v>4.25341321158824</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3.94721176509203</v>
      </c>
      <c r="C24" s="0" t="n">
        <f aca="false">(SUMPRODUCT(DCF_Base!$C$19:$L$19/(1+$A$24/100)^DCF_Base!$C$4:$L$4)+MAX(0,MIN(IF($A$24&gt;$C$22,DCF_Base!$L$19*(1+$C$22/100)/(($A$24-$C$22)/100),DCF_Base!$L$19*DCF_Base!$B$29),DCF_Base!$L$19*DCF_Base!$B$29))/(1+$A$24/100)^DCF_Base!$L$4+Assumptions!$B$5-Assumptions!$B$4)/Assumptions!$B$3*Assumptions!$B$10</f>
        <v>4.0152894866155</v>
      </c>
      <c r="D24" s="0" t="n">
        <f aca="false">(SUMPRODUCT(DCF_Base!$C$19:$L$19/(1+$A$24/100)^DCF_Base!$C$4:$L$4)+MAX(0,MIN(IF($A$24&gt;$D$22,DCF_Base!$L$19*(1+$D$22/100)/(($A$24-$D$22)/100),DCF_Base!$L$19*DCF_Base!$B$29),DCF_Base!$L$19*DCF_Base!$B$29))/(1+$A$24/100)^DCF_Base!$L$4+Assumptions!$B$5-Assumptions!$B$4)/Assumptions!$B$3*Assumptions!$B$10</f>
        <v>4.0152894866155</v>
      </c>
      <c r="E24" s="0" t="n">
        <f aca="false">(SUMPRODUCT(DCF_Base!$C$19:$L$19/(1+$A$24/100)^DCF_Base!$C$4:$L$4)+MAX(0,MIN(IF($A$24&gt;$E$22,DCF_Base!$L$19*(1+$E$22/100)/(($A$24-$E$22)/100),DCF_Base!$L$19*DCF_Base!$B$29),DCF_Base!$L$19*DCF_Base!$B$29))/(1+$A$24/100)^DCF_Base!$L$4+Assumptions!$B$5-Assumptions!$B$4)/Assumptions!$B$3*Assumptions!$B$10</f>
        <v>4.0152894866155</v>
      </c>
      <c r="F24" s="0" t="n">
        <f aca="false">(SUMPRODUCT(DCF_Base!$C$19:$L$19/(1+$A$24/100)^DCF_Base!$C$4:$L$4)+MAX(0,MIN(IF($A$24&gt;$F$22,DCF_Base!$L$19*(1+$F$22/100)/(($A$24-$F$22)/100),DCF_Base!$L$19*DCF_Base!$B$29),DCF_Base!$L$19*DCF_Base!$B$29))/(1+$A$24/100)^DCF_Base!$L$4+Assumptions!$B$5-Assumptions!$B$4)/Assumptions!$B$3*Assumptions!$B$10</f>
        <v>4.0152894866155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3.54065126043824</v>
      </c>
      <c r="C25" s="0" t="n">
        <f aca="false">(SUMPRODUCT(DCF_Base!$C$19:$L$19/(1+$A$25/100)^DCF_Base!$C$4:$L$4)+MAX(0,MIN(IF($A$25&gt;$C$22,DCF_Base!$L$19*(1+$C$22/100)/(($A$25-$C$22)/100),DCF_Base!$L$19*DCF_Base!$B$29),DCF_Base!$L$19*DCF_Base!$B$29))/(1+$A$25/100)^DCF_Base!$L$4+Assumptions!$B$5-Assumptions!$B$4)/Assumptions!$B$3*Assumptions!$B$10</f>
        <v>3.63933847428324</v>
      </c>
      <c r="D25" s="0" t="n">
        <f aca="false">(SUMPRODUCT(DCF_Base!$C$19:$L$19/(1+$A$25/100)^DCF_Base!$C$4:$L$4)+MAX(0,MIN(IF($A$25&gt;$D$22,DCF_Base!$L$19*(1+$D$22/100)/(($A$25-$D$22)/100),DCF_Base!$L$19*DCF_Base!$B$29),DCF_Base!$L$19*DCF_Base!$B$29))/(1+$A$25/100)^DCF_Base!$L$4+Assumptions!$B$5-Assumptions!$B$4)/Assumptions!$B$3*Assumptions!$B$10</f>
        <v>3.75212386153467</v>
      </c>
      <c r="E25" s="0" t="n">
        <f aca="false">(SUMPRODUCT(DCF_Base!$C$19:$L$19/(1+$A$25/100)^DCF_Base!$C$4:$L$4)+MAX(0,MIN(IF($A$25&gt;$E$22,DCF_Base!$L$19*(1+$E$22/100)/(($A$25-$E$22)/100),DCF_Base!$L$19*DCF_Base!$B$29),DCF_Base!$L$19*DCF_Base!$B$29))/(1+$A$25/100)^DCF_Base!$L$4+Assumptions!$B$5-Assumptions!$B$4)/Assumptions!$B$3*Assumptions!$B$10</f>
        <v>3.79868663608802</v>
      </c>
      <c r="F25" s="0" t="n">
        <f aca="false">(SUMPRODUCT(DCF_Base!$C$19:$L$19/(1+$A$25/100)^DCF_Base!$C$4:$L$4)+MAX(0,MIN(IF($A$25&gt;$F$22,DCF_Base!$L$19*(1+$F$22/100)/(($A$25-$F$22)/100),DCF_Base!$L$19*DCF_Base!$B$29),DCF_Base!$L$19*DCF_Base!$B$29))/(1+$A$25/100)^DCF_Base!$L$4+Assumptions!$B$5-Assumptions!$B$4)/Assumptions!$B$3*Assumptions!$B$10</f>
        <v>3.79868663608802</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3.22681703582015</v>
      </c>
      <c r="C26" s="0" t="n">
        <f aca="false">(SUMPRODUCT(DCF_Base!$C$19:$L$19/(1+$A$26/100)^DCF_Base!$C$4:$L$4)+MAX(0,MIN(IF($A$26&gt;$C$22,DCF_Base!$L$19*(1+$C$22/100)/(($A$26-$C$22)/100),DCF_Base!$L$19*DCF_Base!$B$29),DCF_Base!$L$19*DCF_Base!$B$29))/(1+$A$26/100)^DCF_Base!$L$4+Assumptions!$B$5-Assumptions!$B$4)/Assumptions!$B$3*Assumptions!$B$10</f>
        <v>3.29811137014116</v>
      </c>
      <c r="D26" s="0" t="n">
        <f aca="false">(SUMPRODUCT(DCF_Base!$C$19:$L$19/(1+$A$26/100)^DCF_Base!$C$4:$L$4)+MAX(0,MIN(IF($A$26&gt;$D$22,DCF_Base!$L$19*(1+$D$22/100)/(($A$26-$D$22)/100),DCF_Base!$L$19*DCF_Base!$B$29),DCF_Base!$L$19*DCF_Base!$B$29))/(1+$A$26/100)^DCF_Base!$L$4+Assumptions!$B$5-Assumptions!$B$4)/Assumptions!$B$3*Assumptions!$B$10</f>
        <v>3.3783174962523</v>
      </c>
      <c r="E26" s="0" t="n">
        <f aca="false">(SUMPRODUCT(DCF_Base!$C$19:$L$19/(1+$A$26/100)^DCF_Base!$C$4:$L$4)+MAX(0,MIN(IF($A$26&gt;$E$22,DCF_Base!$L$19*(1+$E$22/100)/(($A$26-$E$22)/100),DCF_Base!$L$19*DCF_Base!$B$29),DCF_Base!$L$19*DCF_Base!$B$29))/(1+$A$26/100)^DCF_Base!$L$4+Assumptions!$B$5-Assumptions!$B$4)/Assumptions!$B$3*Assumptions!$B$10</f>
        <v>3.46921777251159</v>
      </c>
      <c r="F26" s="0" t="n">
        <f aca="false">(SUMPRODUCT(DCF_Base!$C$19:$L$19/(1+$A$26/100)^DCF_Base!$C$4:$L$4)+MAX(0,MIN(IF($A$26&gt;$F$22,DCF_Base!$L$19*(1+$F$22/100)/(($A$26-$F$22)/100),DCF_Base!$L$19*DCF_Base!$B$29),DCF_Base!$L$19*DCF_Base!$B$29))/(1+$A$26/100)^DCF_Base!$L$4+Assumptions!$B$5-Assumptions!$B$4)/Assumptions!$B$3*Assumptions!$B$10</f>
        <v>3.5731038025222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2.97774730995549</v>
      </c>
      <c r="C27" s="0" t="n">
        <f aca="false">(SUMPRODUCT(DCF_Base!$C$19:$L$19/(1+$A$27/100)^DCF_Base!$C$4:$L$4)+MAX(0,MIN(IF($A$27&gt;$C$22,DCF_Base!$L$19*(1+$C$22/100)/(($A$27-$C$22)/100),DCF_Base!$L$19*DCF_Base!$B$29),DCF_Base!$L$19*DCF_Base!$B$29))/(1+$A$27/100)^DCF_Base!$L$4+Assumptions!$B$5-Assumptions!$B$4)/Assumptions!$B$3*Assumptions!$B$10</f>
        <v>3.03066735504496</v>
      </c>
      <c r="D27" s="0" t="n">
        <f aca="false">(SUMPRODUCT(DCF_Base!$C$19:$L$19/(1+$A$27/100)^DCF_Base!$C$4:$L$4)+MAX(0,MIN(IF($A$27&gt;$D$22,DCF_Base!$L$19*(1+$D$22/100)/(($A$27-$D$22)/100),DCF_Base!$L$19*DCF_Base!$B$29),DCF_Base!$L$19*DCF_Base!$B$29))/(1+$A$27/100)^DCF_Base!$L$4+Assumptions!$B$5-Assumptions!$B$4)/Assumptions!$B$3*Assumptions!$B$10</f>
        <v>3.08946740514437</v>
      </c>
      <c r="E27" s="0" t="n">
        <f aca="false">(SUMPRODUCT(DCF_Base!$C$19:$L$19/(1+$A$27/100)^DCF_Base!$C$4:$L$4)+MAX(0,MIN(IF($A$27&gt;$E$22,DCF_Base!$L$19*(1+$E$22/100)/(($A$27-$E$22)/100),DCF_Base!$L$19*DCF_Base!$B$29),DCF_Base!$L$19*DCF_Base!$B$29))/(1+$A$27/100)^DCF_Base!$L$4+Assumptions!$B$5-Assumptions!$B$4)/Assumptions!$B$3*Assumptions!$B$10</f>
        <v>3.15518510819665</v>
      </c>
      <c r="F27" s="0" t="n">
        <f aca="false">(SUMPRODUCT(DCF_Base!$C$19:$L$19/(1+$A$27/100)^DCF_Base!$C$4:$L$4)+MAX(0,MIN(IF($A$27&gt;$F$22,DCF_Base!$L$19*(1+$F$22/100)/(($A$27-$F$22)/100),DCF_Base!$L$19*DCF_Base!$B$29),DCF_Base!$L$19*DCF_Base!$B$29))/(1+$A$27/100)^DCF_Base!$L$4+Assumptions!$B$5-Assumptions!$B$4)/Assumptions!$B$3*Assumptions!$B$10</f>
        <v>3.22911752413047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2026-10-23T09:09:50Z</dcterms:created>
  <dc:creator>openpyxl</dc:creator>
  <dc:description/>
  <dc:language>en-NZ</dc:language>
  <cp:lastModifiedBy/>
  <dcterms:modified xsi:type="dcterms:W3CDTF">2026-10-23T09:09:50Z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