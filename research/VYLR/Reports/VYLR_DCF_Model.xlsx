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<sst xmlns="http://schemas.openxmlformats.org/spreadsheetml/2006/main" count="340" uniqueCount="160">
  <si>
    <t xml:space="preserve">Ticker</t>
  </si>
  <si>
    <t xml:space="preserve">VYLR</t>
  </si>
  <si>
    <t xml:space="preserve">Company</t>
  </si>
  <si>
    <t xml:space="preserve">Vylor Inc.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</si>
  <si>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</si>
  <si>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</si>
  <si>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</si>
  <si>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</si>
  <si>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2026-10-09T20:02:53Z regular close (Yahoo Finance chart API); listed 1-Oct-2026 so the 52-week range is seven sessions of history</t>
  </si>
  <si>
    <t xml:space="preserve">Balance sheet date</t>
  </si>
  <si>
    <t xml:space="preserve">2026-06-30 (pro forma, Form 10-12B/A 21-Sep-2026) normalised to YE2026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</si>
  <si>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</si>
  <si>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</si>
  <si>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</si>
  <si>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</si>
  <si>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</si>
  <si>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</si>
  <si>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</si>
  <si>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</si>
  <si>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</si>
  <si>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</si>
  <si>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2026-10-12T02:05:09Z</t>
  </si>
  <si>
    <t xml:space="preserve">Drivers file</t>
  </si>
  <si>
    <t xml:space="preserve">VYLR_Drivers.json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</si>
  <si>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</si>
  <si>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</si>
  <si>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</si>
  <si>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Vylor on the cash it can hand to owners after SBC, standalone interest (via net debt), separation one-offs and the seasonal working-capital cycle -- not on management's operating EBITDA, which excludes ~100-400/yr of real cash costs and whose segment variant excludes ~1bn. The earnings base is a mid-cycle component build (FY2026E owner FCF ~1,550, between the 3-year average of 1,247 and the working-capital-flattered FY2025 print of 2,067), net debt is normalised to a December basis rather than the June seasonal peak, and management's FY2029 targets anchor the bull case only. This values Vylor alone; a former Corteva holder's claim is VYLR plus New Corteva (CTVA ~US$13.24).
key_risks_to_valuation: Earnings base: only three years of Seed-only history, all inside Corteva; the clean FY2025 EBITDA (~2,300) rests on adding back a 610 Bayer charge and separation costs, and the FY2026E margin is an estimate with H2 still to report; Net debt basis: year-end normalisation assumes the ~3.2bn of June short-term borrowings unwind in H2 as in prior years; a weak collection season or a change in prepayment behaviour would leave net debt nearer 2.5-3bn than 1.6bn (~-$1.5-2/share); Margin ramp: the 23% -&gt; 25.5% base path is the net-royalty tailwind; if competitive pricing absorbs it the base collapses toward the bear margin; Farm-income cycle: FY2026-27 grower economics are the weakest in a decade; the bear's -3% is a mild version of 2015-16; D&amp;A/tax: cash tax is modelled on post-amortisation EBIT at 24-25%; if merger-intangible amortisation is not tax-deductible the cash rate could run higher (~28%), ~-$2/share; Terminal: 16x owner FCF cap binds in base and bull; the market is paying ~31x FY2026E owner FCF, so the gap to price is mostly a terminal-multiple disagreement, not a flow disagreement; Post-spin flowback and index churn: seven sessions of trading; CTVA holders' combined claim (VYLR + CTVA) is the reference, not VYLR alone</t>
  </si>
  <si>
    <t xml:space="preserve">Data sources</t>
  </si>
  <si>
    <t xml:space="preserve">price: Yahoo Finance chart API at inputs.price_as_of (regular close; listed 1-Oct-2026, 52-week range 65.00-75.49 is seven sessions). CTVA (New Corteva) ~US$13.24 on the same date for the combined-claim note.
financials: Seed Business combined financial statements (audited FY2023-FY2025; unaudited H1-2025/H1-2026) from Form 10-12B/A EX-99.1 (21-Sep-2026): research/VYLR/Extracted/VYLR_Annual_FY2025.txt and VYLR_HalfYear_H1-2026.txt via VYLR_Metrics.csv and the kpis table (BayerResolutionCharge, SeparationCosts, SignificantItemsPreTax, CashTaxesPaid, DeferredRevenue, ProForma* capital structure, SegmentOperatingEBITDA). Pro forma statements (capitalisation, interest 175, separation 201, commercial agreements +169) from the information statement pro forma section.
qualitative: research/VYLR/Reports/VYLR_Analysis.json (business model, moat, risks, Investor Day 15-Sep-2026 guidance: FY2029 sales 11.2-11.9bn, operating EBITDA 3.3-3.7bn, leverage 0.8-1.1x YE2026, dividend ~15% of CFO from Q4-2026, R&amp;D ~10% of sales, royalty neutrality 2026 / $1bn net royalty by 2035); sell-side initiations $78-85 (BofA, RBC, BMO).</t>
  </si>
  <si>
    <t xml:space="preserve">Scenario narrative: bear</t>
  </si>
  <si>
    <t xml:space="preserve">The FY2026-27 US farm-income trough (net cash receipts down ~18bn, corn/soy/wheat below 10-year averages) cuts seed demand and pricing just as Vylor absorbs standalone costs and new interest; competitive response erodes the royalty tailwind; the new growth platforms slip. Sales dip 3% then stall, clean margin settles ~21.5%. No solvency issue -- net debt is ~0.7x EBITDA even in this path -- so the bear is a multiple-and-margin case, not a survival case.</t>
  </si>
  <si>
    <t xml:space="preserve">Scenario narrative: base</t>
  </si>
  <si>
    <t xml:space="preserve">Vylor alone -- the Seed business, not the pre-spin Corteva; a former CTVA holder's combined claim is VYLR plus New Corteva (CTVA ~US$13.24). Base: a 3%-a-year grower off a FY2026E base of ~10.35bn (low end of the FY2029 11.2-11.9bn guidance), with clean EBITDA margin expanding from 23% to 25.5% as the January-2026 Bayer settlement ends Roundup Ready royalty outflows and the out-licensing business moves from a 439 net cost toward neutrality and beyond. Owner FCF ~1,550 in FY2026E (15% of sales) rising toward ~2,300 by FY2036 before capitalising at 16x. The axes are: the farm-income cycle (grower seed spend), execution on the royalty flywheel, and whether standalone dis-synergies offset the royalty gain.</t>
  </si>
  <si>
    <t xml:space="preserve">Scenario narrative: bull</t>
  </si>
  <si>
    <t xml:space="preserve">Investor Day targets delivered on a cash basis: 4.5% growth to FY2029 (~11.8bn), clean margin 28.5% by FY2031 (operating EBITDA ~30%), out-licensing becomes a net income line early, gene-edited MDR corn launches 2028 and hybrid wheat begins to scale -- the business re-rates as an IP platform rather than a seed seller. Even here value is well below the current quote, which is the finding: at ~31x FY2026E owner FCF for a 3-4% grower the market is already paying for the bull case and then some.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</si>
  <si>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</si>
  <si>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</si>
  <si>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</si>
  <si>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</si>
  <si>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</si>
  <si>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</si>
  <si>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</si>
  <si>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</si>
  <si>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</si>
  <si>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</si>
  <si>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</si>
  <si>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</si>
  <si>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</si>
  <si>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</si>
  <si>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</si>
  <si>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</si>
  <si>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</si>
  <si>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</si>
  <si>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</si>
  <si>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</si>
  <si>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</si>
  <si>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</si>
  <si>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</si>
  <si>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</si>
  <si>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</si>
  <si>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</si>
  <si>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</si>
  <si>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ResearchAndDevelopment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</si>
  <si>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</si>
  <si>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</si>
  <si>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</si>
  <si>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</si>
  <si>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</si>
  <si>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</si>
  <si>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</si>
  <si>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</si>
  <si>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</si>
  <si>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</si>
  <si>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</si>
  <si>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</si>
  <si>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</si>
  <si>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</si>
  <si>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</si>
  <si>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</si>
  <si>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</si>
  <si>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</si>
  <si>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</si>
  <si>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</si>
  <si>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</si>
  <si>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</si>
  <si>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</si>
  <si>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</si>
  <si>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</si>
  <si>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</si>
  <si>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</si>
  <si>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</si>
  <si>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</si>
  <si>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</si>
  <si>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</si>
  <si>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</si>
  <si>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</si>
  <si>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</si>
  <si>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</si>
  <si>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</si>
  <si>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</si>
  <si>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</si>
  <si>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</si>
  <si>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</si>
  <si>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</si>
  <si>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VYLR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</si>
  <si>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</si>
  <si>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</si>
  <si>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</si>
  <si>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</si>
  <si>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</si>
  <si>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</si>
  <si>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</si>
  <si>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</si>
  <si>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</si>
  <si>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</si>
  <si>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</si>
  <si>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</si>
  <si>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</si>
  <si>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</si>
  <si>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</si>
  <si>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</si>
  <si>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</si>
  <si>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</si>
  <si>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</si>
  <si>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</si>
  <si>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</si>
  <si>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</si>
  <si>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</si>
  <si>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</si>
  <si>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</si>
  <si>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</si>
  <si>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</si>
  <si>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</si>
  <si>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</si>
  <si>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</si>
  <si>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VYLR owner-FCF component DCF: base case (millions, USD)</t>
  </si>
  <si>
    <t xml:space="preserve">VYLR owner-FCF component DCF: bull case (millions, USD)</t>
  </si>
  <si>
    <t xml:space="preserve">VYLR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</si>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</sst>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73.15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9472</v>
      </c>
      <c r="C2" s="0" t="n">
        <v>5153</v>
      </c>
      <c r="D2" s="0" t="n">
        <v>4319</v>
      </c>
      <c r="E2" s="0" t="n">
        <v>45.6</v>
      </c>
      <c r="F2" s="0" t="n">
        <v>865</v>
      </c>
      <c r="G2" s="0" t="n">
        <v>9.1</v>
      </c>
      <c r="H2" s="0" t="n">
        <v>1697</v>
      </c>
      <c r="I2" s="0" t="n">
        <v>652</v>
      </c>
      <c r="J2" s="0" t="n">
        <v>6.9</v>
      </c>
      <c r="K2" s="0" t="n">
        <v>0.9196</v>
      </c>
      <c r="L2" s="0" t="n">
        <v>732</v>
      </c>
      <c r="M2" s="0" t="n">
        <v>303</v>
      </c>
      <c r="N2" s="0" t="n">
        <v>429</v>
      </c>
      <c r="S2" s="0" t="n">
        <v>630</v>
      </c>
      <c r="T2" s="0" t="n">
        <v>709</v>
      </c>
      <c r="U2" s="0" t="n">
        <v>31</v>
      </c>
      <c r="W2" s="0" t="n">
        <v>1790</v>
      </c>
      <c r="AA2" s="0" t="s">
        <v>17</v>
      </c>
      <c r="AB2" s="0" t="s">
        <v>14</v>
      </c>
      <c r="AC2" s="0" t="n">
        <v>842</v>
      </c>
    </row>
    <row r="3" customFormat="false" ht="15" hidden="false" customHeight="false" outlineLevel="0" collapsed="false">
      <c r="A3" s="0" t="s">
        <v>65</v>
      </c>
      <c r="B3" s="0" t="n">
        <v>9545</v>
      </c>
      <c r="C3" s="0" t="n">
        <v>4944</v>
      </c>
      <c r="D3" s="0" t="n">
        <v>4601</v>
      </c>
      <c r="E3" s="0" t="n">
        <v>48.2</v>
      </c>
      <c r="F3" s="0" t="n">
        <v>1076</v>
      </c>
      <c r="G3" s="0" t="n">
        <v>11.3</v>
      </c>
      <c r="H3" s="0" t="n">
        <v>1905</v>
      </c>
      <c r="I3" s="0" t="n">
        <v>772</v>
      </c>
      <c r="J3" s="0" t="n">
        <v>8.1</v>
      </c>
      <c r="K3" s="0" t="n">
        <v>1.1129</v>
      </c>
      <c r="L3" s="0" t="n">
        <v>1777</v>
      </c>
      <c r="M3" s="0" t="n">
        <v>338</v>
      </c>
      <c r="N3" s="0" t="n">
        <v>1439</v>
      </c>
      <c r="O3" s="0" t="n">
        <v>14324</v>
      </c>
      <c r="P3" s="0" t="n">
        <v>21969</v>
      </c>
      <c r="Q3" s="0" t="n">
        <v>7642</v>
      </c>
      <c r="R3" s="0" t="n">
        <v>15</v>
      </c>
      <c r="S3" s="0" t="n">
        <v>599</v>
      </c>
      <c r="T3" s="0" t="n">
        <v>685.595</v>
      </c>
      <c r="U3" s="0" t="n">
        <v>35</v>
      </c>
      <c r="W3" s="0" t="n">
        <v>1969</v>
      </c>
      <c r="AA3" s="0" t="s">
        <v>17</v>
      </c>
      <c r="AB3" s="0" t="s">
        <v>14</v>
      </c>
      <c r="AC3" s="0" t="n">
        <v>915</v>
      </c>
    </row>
    <row r="4" customFormat="false" ht="15" hidden="false" customHeight="false" outlineLevel="0" collapsed="false">
      <c r="A4" s="0" t="s">
        <v>66</v>
      </c>
      <c r="B4" s="0" t="n">
        <v>9898</v>
      </c>
      <c r="C4" s="0" t="n">
        <v>4711</v>
      </c>
      <c r="D4" s="0" t="n">
        <v>5187</v>
      </c>
      <c r="E4" s="0" t="n">
        <v>52.4</v>
      </c>
      <c r="F4" s="0" t="n">
        <v>800</v>
      </c>
      <c r="G4" s="0" t="n">
        <v>8.1</v>
      </c>
      <c r="H4" s="0" t="n">
        <v>1606</v>
      </c>
      <c r="I4" s="0" t="n">
        <v>574</v>
      </c>
      <c r="J4" s="0" t="n">
        <v>5.8</v>
      </c>
      <c r="K4" s="0" t="n">
        <v>0.8441</v>
      </c>
      <c r="L4" s="0" t="n">
        <v>2506</v>
      </c>
      <c r="M4" s="0" t="n">
        <v>346</v>
      </c>
      <c r="N4" s="0" t="n">
        <v>2160</v>
      </c>
      <c r="O4" s="0" t="n">
        <v>13234</v>
      </c>
      <c r="P4" s="0" t="n">
        <v>22019</v>
      </c>
      <c r="Q4" s="0" t="n">
        <v>8781</v>
      </c>
      <c r="R4" s="0" t="n">
        <v>112</v>
      </c>
      <c r="S4" s="0" t="n">
        <v>836</v>
      </c>
      <c r="T4" s="0" t="n">
        <v>672.163</v>
      </c>
      <c r="U4" s="0" t="n">
        <v>43</v>
      </c>
      <c r="W4" s="0" t="n">
        <v>2292</v>
      </c>
      <c r="AA4" s="0" t="s">
        <v>17</v>
      </c>
      <c r="AB4" s="0" t="s">
        <v>14</v>
      </c>
      <c r="AC4" s="0" t="n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67</v>
      </c>
      <c r="B1" s="2" t="s">
        <v>68</v>
      </c>
    </row>
    <row r="2" customFormat="false" ht="15" hidden="false" customHeight="false" outlineLevel="0" collapsed="false">
      <c r="A2" s="0" t="s">
        <v>69</v>
      </c>
      <c r="B2" s="3" t="n">
        <v>73.15</v>
      </c>
    </row>
    <row r="3" customFormat="false" ht="15" hidden="false" customHeight="false" outlineLevel="0" collapsed="false">
      <c r="A3" s="0" t="s">
        <v>70</v>
      </c>
      <c r="B3" s="3" t="n">
        <v>668.2</v>
      </c>
    </row>
    <row r="4" customFormat="false" ht="15" hidden="false" customHeight="false" outlineLevel="0" collapsed="false">
      <c r="A4" s="0" t="s">
        <v>71</v>
      </c>
      <c r="B4" s="3" t="n">
        <v>1560</v>
      </c>
    </row>
    <row r="5" customFormat="false" ht="15" hidden="false" customHeight="false" outlineLevel="0" collapsed="false">
      <c r="A5" s="0" t="s">
        <v>72</v>
      </c>
      <c r="B5" s="3" t="n">
        <v>-400</v>
      </c>
    </row>
    <row r="6" customFormat="false" ht="15" hidden="false" customHeight="false" outlineLevel="0" collapsed="false">
      <c r="A6" s="0" t="s">
        <v>73</v>
      </c>
      <c r="B6" s="3" t="n">
        <v>15</v>
      </c>
    </row>
    <row r="7" customFormat="false" ht="15" hidden="false" customHeight="false" outlineLevel="0" collapsed="false">
      <c r="A7" s="0" t="s">
        <v>74</v>
      </c>
      <c r="B7" s="3" t="n">
        <v>10350</v>
      </c>
    </row>
    <row r="8" customFormat="false" ht="15" hidden="false" customHeight="false" outlineLevel="0" collapsed="false">
      <c r="A8" s="0" t="s">
        <v>75</v>
      </c>
      <c r="B8" s="3" t="s">
        <v>76</v>
      </c>
    </row>
    <row r="9" customFormat="false" ht="15" hidden="false" customHeight="false" outlineLevel="0" collapsed="false">
      <c r="A9" s="0" t="s">
        <v>77</v>
      </c>
      <c r="B9" s="3" t="s">
        <v>78</v>
      </c>
    </row>
    <row r="10" customFormat="false" ht="15" hidden="false" customHeight="false" outlineLevel="0" collapsed="false">
      <c r="A10" s="0" t="s">
        <v>79</v>
      </c>
      <c r="B10" s="3" t="n">
        <v>1</v>
      </c>
    </row>
    <row r="12" customFormat="false" ht="15" hidden="false" customHeight="false" outlineLevel="0" collapsed="false">
      <c r="A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 t="s">
        <v>89</v>
      </c>
      <c r="L12" s="2" t="s">
        <v>90</v>
      </c>
    </row>
    <row r="13" customFormat="false" ht="15" hidden="false" customHeight="false" outlineLevel="0" collapsed="false">
      <c r="A13" s="0" t="s">
        <v>91</v>
      </c>
      <c r="C13" s="3" t="n">
        <v>-3</v>
      </c>
      <c r="D13" s="3" t="n">
        <v>0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92</v>
      </c>
      <c r="C14" s="3" t="n">
        <v>21.5</v>
      </c>
      <c r="D14" s="3" t="n">
        <v>20.5</v>
      </c>
      <c r="E14" s="3" t="n">
        <v>21</v>
      </c>
      <c r="F14" s="3" t="n">
        <v>21.5</v>
      </c>
      <c r="G14" s="3" t="n">
        <v>21.5</v>
      </c>
      <c r="H14" s="3" t="n">
        <v>21.5</v>
      </c>
      <c r="I14" s="3" t="n">
        <v>21.5</v>
      </c>
      <c r="J14" s="3" t="n">
        <v>21.5</v>
      </c>
      <c r="K14" s="3" t="n">
        <v>21.5</v>
      </c>
      <c r="L14" s="3" t="n">
        <v>21.5</v>
      </c>
    </row>
    <row r="15" customFormat="false" ht="15" hidden="false" customHeight="false" outlineLevel="0" collapsed="false">
      <c r="A15" s="0" t="s">
        <v>93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95</v>
      </c>
      <c r="C17" s="3" t="n">
        <v>7.8</v>
      </c>
      <c r="D17" s="3" t="n">
        <v>7.7</v>
      </c>
      <c r="E17" s="3" t="n">
        <v>7.6</v>
      </c>
      <c r="F17" s="3" t="n">
        <v>7.5</v>
      </c>
      <c r="G17" s="3" t="n">
        <v>7.4</v>
      </c>
      <c r="H17" s="3" t="n">
        <v>7.3</v>
      </c>
      <c r="I17" s="3" t="n">
        <v>7.2</v>
      </c>
      <c r="J17" s="3" t="n">
        <v>7.1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96</v>
      </c>
      <c r="C18" s="3" t="n">
        <v>3.6</v>
      </c>
      <c r="D18" s="3" t="n">
        <v>3.6</v>
      </c>
      <c r="E18" s="3" t="n">
        <v>3.6</v>
      </c>
      <c r="F18" s="3" t="n">
        <v>3.6</v>
      </c>
      <c r="G18" s="3" t="n">
        <v>3.6</v>
      </c>
      <c r="H18" s="3" t="n">
        <v>3.6</v>
      </c>
      <c r="I18" s="3" t="n">
        <v>3.6</v>
      </c>
      <c r="J18" s="3" t="n">
        <v>3.6</v>
      </c>
      <c r="K18" s="3" t="n">
        <v>3.6</v>
      </c>
      <c r="L18" s="3" t="n">
        <v>3.6</v>
      </c>
    </row>
    <row r="19" customFormat="false" ht="15" hidden="false" customHeight="false" outlineLevel="0" collapsed="false">
      <c r="A19" s="0" t="s">
        <v>97</v>
      </c>
      <c r="C19" s="3" t="n">
        <v>24</v>
      </c>
      <c r="D19" s="3" t="n">
        <v>24.5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98</v>
      </c>
      <c r="B20" s="3" t="n">
        <v>8.5</v>
      </c>
    </row>
    <row r="21" customFormat="false" ht="15" hidden="false" customHeight="false" outlineLevel="0" collapsed="false">
      <c r="A21" s="0" t="s">
        <v>99</v>
      </c>
      <c r="B21" s="3" t="n">
        <v>2</v>
      </c>
    </row>
    <row r="22" customFormat="false" ht="15" hidden="false" customHeight="false" outlineLevel="0" collapsed="false">
      <c r="A22" s="0" t="s">
        <v>100</v>
      </c>
      <c r="B22" s="3" t="n">
        <v>16</v>
      </c>
    </row>
    <row r="23" customFormat="false" ht="15" hidden="false" customHeight="false" outlineLevel="0" collapsed="false">
      <c r="A23" s="0" t="s">
        <v>101</v>
      </c>
      <c r="B23" s="3" t="n">
        <v>-15</v>
      </c>
    </row>
    <row r="24" customFormat="false" ht="15" hidden="false" customHeight="false" outlineLevel="0" collapsed="false">
      <c r="A24" s="0" t="s">
        <v>102</v>
      </c>
      <c r="B24" s="3" t="n">
        <v>0.25</v>
      </c>
    </row>
    <row r="26" customFormat="false" ht="15" hidden="false" customHeight="false" outlineLevel="0" collapsed="false">
      <c r="A26" s="2" t="s">
        <v>103</v>
      </c>
      <c r="C26" s="2" t="s">
        <v>81</v>
      </c>
      <c r="D26" s="2" t="s">
        <v>82</v>
      </c>
      <c r="E26" s="2" t="s">
        <v>83</v>
      </c>
      <c r="F26" s="2" t="s">
        <v>84</v>
      </c>
      <c r="G26" s="2" t="s">
        <v>85</v>
      </c>
      <c r="H26" s="2" t="s">
        <v>86</v>
      </c>
      <c r="I26" s="2" t="s">
        <v>87</v>
      </c>
      <c r="J26" s="2" t="s">
        <v>88</v>
      </c>
      <c r="K26" s="2" t="s">
        <v>89</v>
      </c>
      <c r="L26" s="2" t="s">
        <v>90</v>
      </c>
    </row>
    <row r="27" customFormat="false" ht="15" hidden="false" customHeight="false" outlineLevel="0" collapsed="false">
      <c r="A27" s="0" t="s">
        <v>91</v>
      </c>
      <c r="C27" s="3" t="n">
        <v>3</v>
      </c>
      <c r="D27" s="3" t="n">
        <v>3</v>
      </c>
      <c r="E27" s="3" t="n">
        <v>3</v>
      </c>
      <c r="F27" s="3" t="n">
        <v>3</v>
      </c>
      <c r="G27" s="3" t="n">
        <v>2.75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92</v>
      </c>
      <c r="C28" s="3" t="n">
        <v>23.3</v>
      </c>
      <c r="D28" s="3" t="n">
        <v>23.8</v>
      </c>
      <c r="E28" s="3" t="n">
        <v>24.3</v>
      </c>
      <c r="F28" s="3" t="n">
        <v>24.8</v>
      </c>
      <c r="G28" s="3" t="n">
        <v>25.2</v>
      </c>
      <c r="H28" s="3" t="n">
        <v>25.5</v>
      </c>
      <c r="I28" s="3" t="n">
        <v>25.5</v>
      </c>
      <c r="J28" s="3" t="n">
        <v>25.5</v>
      </c>
      <c r="K28" s="3" t="n">
        <v>25.5</v>
      </c>
      <c r="L28" s="3" t="n">
        <v>25.5</v>
      </c>
    </row>
    <row r="29" customFormat="false" ht="15" hidden="false" customHeight="false" outlineLevel="0" collapsed="false">
      <c r="A29" s="0" t="s">
        <v>93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95</v>
      </c>
      <c r="C31" s="3" t="n">
        <v>7.8</v>
      </c>
      <c r="D31" s="3" t="n">
        <v>7.7</v>
      </c>
      <c r="E31" s="3" t="n">
        <v>7.6</v>
      </c>
      <c r="F31" s="3" t="n">
        <v>7.5</v>
      </c>
      <c r="G31" s="3" t="n">
        <v>7.4</v>
      </c>
      <c r="H31" s="3" t="n">
        <v>7.3</v>
      </c>
      <c r="I31" s="3" t="n">
        <v>7.2</v>
      </c>
      <c r="J31" s="3" t="n">
        <v>7.1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96</v>
      </c>
      <c r="C32" s="3" t="n">
        <v>3.4</v>
      </c>
      <c r="D32" s="3" t="n">
        <v>3.4</v>
      </c>
      <c r="E32" s="3" t="n">
        <v>3.4</v>
      </c>
      <c r="F32" s="3" t="n">
        <v>3.4</v>
      </c>
      <c r="G32" s="3" t="n">
        <v>3.4</v>
      </c>
      <c r="H32" s="3" t="n">
        <v>3.4</v>
      </c>
      <c r="I32" s="3" t="n">
        <v>3.4</v>
      </c>
      <c r="J32" s="3" t="n">
        <v>3.4</v>
      </c>
      <c r="K32" s="3" t="n">
        <v>3.4</v>
      </c>
      <c r="L32" s="3" t="n">
        <v>3.4</v>
      </c>
    </row>
    <row r="33" customFormat="false" ht="15" hidden="false" customHeight="false" outlineLevel="0" collapsed="false">
      <c r="A33" s="0" t="s">
        <v>97</v>
      </c>
      <c r="C33" s="3" t="n">
        <v>24</v>
      </c>
      <c r="D33" s="3" t="n">
        <v>24.5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98</v>
      </c>
      <c r="B34" s="3" t="n">
        <v>8.5</v>
      </c>
    </row>
    <row r="35" customFormat="false" ht="15" hidden="false" customHeight="false" outlineLevel="0" collapsed="false">
      <c r="A35" s="0" t="s">
        <v>99</v>
      </c>
      <c r="B35" s="3" t="n">
        <v>2.5</v>
      </c>
    </row>
    <row r="36" customFormat="false" ht="15" hidden="false" customHeight="false" outlineLevel="0" collapsed="false">
      <c r="A36" s="0" t="s">
        <v>100</v>
      </c>
      <c r="B36" s="3" t="n">
        <v>16</v>
      </c>
    </row>
    <row r="37" customFormat="false" ht="15" hidden="false" customHeight="false" outlineLevel="0" collapsed="false">
      <c r="A37" s="0" t="s">
        <v>101</v>
      </c>
      <c r="B37" s="3" t="n">
        <v>-10</v>
      </c>
    </row>
    <row r="38" customFormat="false" ht="15" hidden="false" customHeight="false" outlineLevel="0" collapsed="false">
      <c r="A38" s="0" t="s">
        <v>102</v>
      </c>
      <c r="B38" s="3" t="n">
        <v>0.5</v>
      </c>
    </row>
    <row r="40" customFormat="false" ht="15" hidden="false" customHeight="false" outlineLevel="0" collapsed="false">
      <c r="A40" s="2" t="s">
        <v>104</v>
      </c>
      <c r="C40" s="2" t="s">
        <v>81</v>
      </c>
      <c r="D40" s="2" t="s">
        <v>82</v>
      </c>
      <c r="E40" s="2" t="s">
        <v>83</v>
      </c>
      <c r="F40" s="2" t="s">
        <v>84</v>
      </c>
      <c r="G40" s="2" t="s">
        <v>85</v>
      </c>
      <c r="H40" s="2" t="s">
        <v>86</v>
      </c>
      <c r="I40" s="2" t="s">
        <v>87</v>
      </c>
      <c r="J40" s="2" t="s">
        <v>88</v>
      </c>
      <c r="K40" s="2" t="s">
        <v>89</v>
      </c>
      <c r="L40" s="2" t="s">
        <v>90</v>
      </c>
    </row>
    <row r="41" customFormat="false" ht="15" hidden="false" customHeight="false" outlineLevel="0" collapsed="false">
      <c r="A41" s="0" t="s">
        <v>91</v>
      </c>
      <c r="C41" s="3" t="n">
        <v>4.5</v>
      </c>
      <c r="D41" s="3" t="n">
        <v>4.5</v>
      </c>
      <c r="E41" s="3" t="n">
        <v>4.5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92</v>
      </c>
      <c r="C42" s="3" t="n">
        <v>23.8</v>
      </c>
      <c r="D42" s="3" t="n">
        <v>25</v>
      </c>
      <c r="E42" s="3" t="n">
        <v>26.2</v>
      </c>
      <c r="F42" s="3" t="n">
        <v>27.3</v>
      </c>
      <c r="G42" s="3" t="n">
        <v>28</v>
      </c>
      <c r="H42" s="3" t="n">
        <v>28.5</v>
      </c>
      <c r="I42" s="3" t="n">
        <v>28.5</v>
      </c>
      <c r="J42" s="3" t="n">
        <v>28.5</v>
      </c>
      <c r="K42" s="3" t="n">
        <v>28.5</v>
      </c>
      <c r="L42" s="3" t="n">
        <v>28.5</v>
      </c>
    </row>
    <row r="43" customFormat="false" ht="15" hidden="false" customHeight="false" outlineLevel="0" collapsed="false">
      <c r="A43" s="0" t="s">
        <v>93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95</v>
      </c>
      <c r="C45" s="3" t="n">
        <v>7.8</v>
      </c>
      <c r="D45" s="3" t="n">
        <v>7.7</v>
      </c>
      <c r="E45" s="3" t="n">
        <v>7.6</v>
      </c>
      <c r="F45" s="3" t="n">
        <v>7.5</v>
      </c>
      <c r="G45" s="3" t="n">
        <v>7.4</v>
      </c>
      <c r="H45" s="3" t="n">
        <v>7.3</v>
      </c>
      <c r="I45" s="3" t="n">
        <v>7.2</v>
      </c>
      <c r="J45" s="3" t="n">
        <v>7.1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96</v>
      </c>
      <c r="C46" s="3" t="n">
        <v>3.4</v>
      </c>
      <c r="D46" s="3" t="n">
        <v>3.4</v>
      </c>
      <c r="E46" s="3" t="n">
        <v>3.4</v>
      </c>
      <c r="F46" s="3" t="n">
        <v>3.4</v>
      </c>
      <c r="G46" s="3" t="n">
        <v>3.4</v>
      </c>
      <c r="H46" s="3" t="n">
        <v>3.4</v>
      </c>
      <c r="I46" s="3" t="n">
        <v>3.4</v>
      </c>
      <c r="J46" s="3" t="n">
        <v>3.4</v>
      </c>
      <c r="K46" s="3" t="n">
        <v>3.4</v>
      </c>
      <c r="L46" s="3" t="n">
        <v>3.4</v>
      </c>
    </row>
    <row r="47" customFormat="false" ht="15" hidden="false" customHeight="false" outlineLevel="0" collapsed="false">
      <c r="A47" s="0" t="s">
        <v>97</v>
      </c>
      <c r="C47" s="3" t="n">
        <v>24</v>
      </c>
      <c r="D47" s="3" t="n">
        <v>24.5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98</v>
      </c>
      <c r="B48" s="3" t="n">
        <v>8.5</v>
      </c>
    </row>
    <row r="49" customFormat="false" ht="15" hidden="false" customHeight="false" outlineLevel="0" collapsed="false">
      <c r="A49" s="0" t="s">
        <v>99</v>
      </c>
      <c r="B49" s="3" t="n">
        <v>3</v>
      </c>
    </row>
    <row r="50" customFormat="false" ht="15" hidden="false" customHeight="false" outlineLevel="0" collapsed="false">
      <c r="A50" s="0" t="s">
        <v>100</v>
      </c>
      <c r="B50" s="3" t="n">
        <v>16</v>
      </c>
    </row>
    <row r="51" customFormat="false" ht="15" hidden="false" customHeight="false" outlineLevel="0" collapsed="false">
      <c r="A51" s="0" t="s">
        <v>101</v>
      </c>
      <c r="B51" s="3" t="n">
        <v>-5</v>
      </c>
    </row>
    <row r="52" customFormat="false" ht="15" hidden="false" customHeight="false" outlineLevel="0" collapsed="false">
      <c r="A52" s="0" t="s">
        <v>102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105</v>
      </c>
    </row>
    <row r="3" customFormat="false" ht="15" hidden="false" customHeight="false" outlineLevel="0" collapsed="false">
      <c r="A3" s="0" t="s">
        <v>106</v>
      </c>
      <c r="B3" s="0" t="s">
        <v>76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Assumptions!C13</f>
        <v>-3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10350</v>
      </c>
      <c r="C6" s="0" t="n">
        <f aca="false">B6*(1+C5/100)</f>
        <v>10039.5</v>
      </c>
      <c r="D6" s="0" t="n">
        <f aca="false">C6*(1+D5/100)</f>
        <v>10039.5</v>
      </c>
      <c r="E6" s="0" t="n">
        <f aca="false">D6*(1+E5/100)</f>
        <v>10240.29</v>
      </c>
      <c r="F6" s="0" t="n">
        <f aca="false">E6*(1+F5/100)</f>
        <v>10445.0958</v>
      </c>
      <c r="G6" s="0" t="n">
        <f aca="false">F6*(1+G5/100)</f>
        <v>10653.997716</v>
      </c>
      <c r="H6" s="0" t="n">
        <f aca="false">G6*(1+H5/100)</f>
        <v>10867.07767032</v>
      </c>
      <c r="I6" s="0" t="n">
        <f aca="false">H6*(1+I5/100)</f>
        <v>11084.4192237264</v>
      </c>
      <c r="J6" s="0" t="n">
        <f aca="false">I6*(1+J5/100)</f>
        <v>11306.1076082009</v>
      </c>
      <c r="K6" s="0" t="n">
        <f aca="false">J6*(1+K5/100)</f>
        <v>11532.229760365</v>
      </c>
      <c r="L6" s="0" t="n">
        <f aca="false">K6*(1+L5/100)</f>
        <v>11762.8743555722</v>
      </c>
    </row>
    <row r="7" customFormat="false" ht="15" hidden="false" customHeight="false" outlineLevel="0" collapsed="false">
      <c r="A7" s="0" t="s">
        <v>92</v>
      </c>
      <c r="C7" s="4" t="n">
        <f aca="false">Assumptions!C14</f>
        <v>21.5</v>
      </c>
      <c r="D7" s="4" t="n">
        <f aca="false">Assumptions!D14</f>
        <v>20.5</v>
      </c>
      <c r="E7" s="4" t="n">
        <f aca="false">Assumptions!E14</f>
        <v>21</v>
      </c>
      <c r="F7" s="4" t="n">
        <f aca="false">Assumptions!F14</f>
        <v>21.5</v>
      </c>
      <c r="G7" s="4" t="n">
        <f aca="false">Assumptions!G14</f>
        <v>21.5</v>
      </c>
      <c r="H7" s="4" t="n">
        <f aca="false">Assumptions!H14</f>
        <v>21.5</v>
      </c>
      <c r="I7" s="4" t="n">
        <f aca="false">Assumptions!I14</f>
        <v>21.5</v>
      </c>
      <c r="J7" s="4" t="n">
        <f aca="false">Assumptions!J14</f>
        <v>21.5</v>
      </c>
      <c r="K7" s="4" t="n">
        <f aca="false">Assumptions!K14</f>
        <v>21.5</v>
      </c>
      <c r="L7" s="4" t="n">
        <f aca="false">Assumptions!L14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2158.4925</v>
      </c>
      <c r="D8" s="0" t="n">
        <f aca="false">D6*D7/100</f>
        <v>2058.0975</v>
      </c>
      <c r="E8" s="0" t="n">
        <f aca="false">E6*E7/100</f>
        <v>2150.4609</v>
      </c>
      <c r="F8" s="0" t="n">
        <f aca="false">F6*F7/100</f>
        <v>2245.695597</v>
      </c>
      <c r="G8" s="0" t="n">
        <f aca="false">G6*G7/100</f>
        <v>2290.60950894</v>
      </c>
      <c r="H8" s="0" t="n">
        <f aca="false">H6*H7/100</f>
        <v>2336.4216991188</v>
      </c>
      <c r="I8" s="0" t="n">
        <f aca="false">I6*I7/100</f>
        <v>2383.15013310118</v>
      </c>
      <c r="J8" s="0" t="n">
        <f aca="false">J6*J7/100</f>
        <v>2430.8131357632</v>
      </c>
      <c r="K8" s="0" t="n">
        <f aca="false">K6*K7/100</f>
        <v>2479.42939847846</v>
      </c>
      <c r="L8" s="0" t="n">
        <f aca="false">L6*L7/100</f>
        <v>2529.01798644803</v>
      </c>
    </row>
    <row r="9" customFormat="false" ht="15" hidden="false" customHeight="false" outlineLevel="0" collapsed="false">
      <c r="A9" s="0" t="s">
        <v>93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-50.1975</v>
      </c>
      <c r="D10" s="0" t="n">
        <f aca="false">-D6*D9/100</f>
        <v>-50.1975</v>
      </c>
      <c r="E10" s="0" t="n">
        <f aca="false">-E6*E9/100</f>
        <v>-51.20145</v>
      </c>
      <c r="F10" s="0" t="n">
        <f aca="false">-F6*F9/100</f>
        <v>-52.225479</v>
      </c>
      <c r="G10" s="0" t="n">
        <f aca="false">-G6*G9/100</f>
        <v>-53.26998858</v>
      </c>
      <c r="H10" s="0" t="n">
        <f aca="false">-H6*H9/100</f>
        <v>-54.3353883516</v>
      </c>
      <c r="I10" s="0" t="n">
        <f aca="false">-I6*I9/100</f>
        <v>-55.422096118632</v>
      </c>
      <c r="J10" s="0" t="n">
        <f aca="false">-J6*J9/100</f>
        <v>-56.5305380410047</v>
      </c>
      <c r="K10" s="0" t="n">
        <f aca="false">-K6*K9/100</f>
        <v>-57.6611488018247</v>
      </c>
      <c r="L10" s="0" t="n">
        <f aca="false">-L6*L9/100</f>
        <v>-58.8143717778612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2108.295</v>
      </c>
      <c r="D11" s="0" t="n">
        <f aca="false">D8+D10+D24</f>
        <v>2007.9</v>
      </c>
      <c r="E11" s="0" t="n">
        <f aca="false">E8+E10+E24</f>
        <v>2099.25945</v>
      </c>
      <c r="F11" s="0" t="n">
        <f aca="false">F8+F10+F24</f>
        <v>2193.470118</v>
      </c>
      <c r="G11" s="0" t="n">
        <f aca="false">G8+G10+G24</f>
        <v>2237.33952036</v>
      </c>
      <c r="H11" s="0" t="n">
        <f aca="false">H8+H10+H24</f>
        <v>2282.0863107672</v>
      </c>
      <c r="I11" s="0" t="n">
        <f aca="false">I8+I10+I24</f>
        <v>2327.72803698255</v>
      </c>
      <c r="J11" s="0" t="n">
        <f aca="false">J8+J10+J24</f>
        <v>2374.2825977222</v>
      </c>
      <c r="K11" s="0" t="n">
        <f aca="false">K8+K10+K24</f>
        <v>2421.76824967664</v>
      </c>
      <c r="L11" s="0" t="n">
        <f aca="false">L8+L10+L24</f>
        <v>2470.20361467017</v>
      </c>
    </row>
    <row r="12" customFormat="false" ht="15" hidden="false" customHeight="false" outlineLevel="0" collapsed="false">
      <c r="A12" s="0" t="s">
        <v>110</v>
      </c>
      <c r="C12" s="4" t="n">
        <f aca="false">-C6*Assumptions!C17/100</f>
        <v>-783.081</v>
      </c>
      <c r="D12" s="4" t="n">
        <f aca="false">-D6*Assumptions!D17/100</f>
        <v>-773.0415</v>
      </c>
      <c r="E12" s="4" t="n">
        <f aca="false">-E6*Assumptions!E17/100</f>
        <v>-778.26204</v>
      </c>
      <c r="F12" s="4" t="n">
        <f aca="false">-F6*Assumptions!F17/100</f>
        <v>-783.382185</v>
      </c>
      <c r="G12" s="4" t="n">
        <f aca="false">-G6*Assumptions!G17/100</f>
        <v>-788.395830984</v>
      </c>
      <c r="H12" s="4" t="n">
        <f aca="false">-H6*Assumptions!H17/100</f>
        <v>-793.29666993336</v>
      </c>
      <c r="I12" s="4" t="n">
        <f aca="false">-I6*Assumptions!I17/100</f>
        <v>-798.078184108301</v>
      </c>
      <c r="J12" s="4" t="n">
        <f aca="false">-J6*Assumptions!J17/100</f>
        <v>-802.733640182266</v>
      </c>
      <c r="K12" s="4" t="n">
        <f aca="false">-K6*Assumptions!K17/100</f>
        <v>-807.256083225547</v>
      </c>
      <c r="L12" s="4" t="n">
        <f aca="false">-L6*Assumptions!L17/100</f>
        <v>-823.401204890057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1325.214</v>
      </c>
      <c r="D13" s="0" t="n">
        <f aca="false">D11+D12</f>
        <v>1234.8585</v>
      </c>
      <c r="E13" s="0" t="n">
        <f aca="false">E11+E12</f>
        <v>1320.99741</v>
      </c>
      <c r="F13" s="0" t="n">
        <f aca="false">F11+F12</f>
        <v>1410.087933</v>
      </c>
      <c r="G13" s="0" t="n">
        <f aca="false">G11+G12</f>
        <v>1448.943689376</v>
      </c>
      <c r="H13" s="0" t="n">
        <f aca="false">H11+H12</f>
        <v>1488.78964083384</v>
      </c>
      <c r="I13" s="0" t="n">
        <f aca="false">I11+I12</f>
        <v>1529.64985287424</v>
      </c>
      <c r="J13" s="0" t="n">
        <f aca="false">J11+J12</f>
        <v>1571.54895753993</v>
      </c>
      <c r="K13" s="0" t="n">
        <f aca="false">K11+K12</f>
        <v>1614.51216645109</v>
      </c>
      <c r="L13" s="0" t="n">
        <f aca="false">L11+L12</f>
        <v>1646.80240978011</v>
      </c>
    </row>
    <row r="14" customFormat="false" ht="15" hidden="false" customHeight="false" outlineLevel="0" collapsed="false">
      <c r="A14" s="0" t="s">
        <v>97</v>
      </c>
      <c r="C14" s="4" t="n">
        <f aca="false">Assumptions!C19</f>
        <v>24</v>
      </c>
      <c r="D14" s="4" t="n">
        <f aca="false">Assumptions!D19</f>
        <v>24.5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1007.16264</v>
      </c>
      <c r="D15" s="0" t="n">
        <f aca="false">D13-MAX(0,D13)*D14/100</f>
        <v>932.3181675</v>
      </c>
      <c r="E15" s="0" t="n">
        <f aca="false">E13-MAX(0,E13)*E14/100</f>
        <v>990.7480575</v>
      </c>
      <c r="F15" s="0" t="n">
        <f aca="false">F13-MAX(0,F13)*F14/100</f>
        <v>1057.56594975</v>
      </c>
      <c r="G15" s="0" t="n">
        <f aca="false">G13-MAX(0,G13)*G14/100</f>
        <v>1086.707767032</v>
      </c>
      <c r="H15" s="0" t="n">
        <f aca="false">H13-MAX(0,H13)*H14/100</f>
        <v>1116.59223062538</v>
      </c>
      <c r="I15" s="0" t="n">
        <f aca="false">I13-MAX(0,I13)*I14/100</f>
        <v>1147.23738965568</v>
      </c>
      <c r="J15" s="0" t="n">
        <f aca="false">J13-MAX(0,J13)*J14/100</f>
        <v>1178.66171815495</v>
      </c>
      <c r="K15" s="0" t="n">
        <f aca="false">K13-MAX(0,K13)*K14/100</f>
        <v>1210.88412483832</v>
      </c>
      <c r="L15" s="0" t="n">
        <f aca="false">L13-MAX(0,L13)*L14/100</f>
        <v>1235.10180733509</v>
      </c>
    </row>
    <row r="16" customFormat="false" ht="15" hidden="false" customHeight="false" outlineLevel="0" collapsed="false">
      <c r="A16" s="0" t="s">
        <v>113</v>
      </c>
      <c r="C16" s="0" t="n">
        <f aca="false">-C12</f>
        <v>783.081</v>
      </c>
      <c r="D16" s="0" t="n">
        <f aca="false">-D12</f>
        <v>773.0415</v>
      </c>
      <c r="E16" s="0" t="n">
        <f aca="false">-E12</f>
        <v>778.26204</v>
      </c>
      <c r="F16" s="0" t="n">
        <f aca="false">-F12</f>
        <v>783.382185</v>
      </c>
      <c r="G16" s="0" t="n">
        <f aca="false">-G12</f>
        <v>788.395830984</v>
      </c>
      <c r="H16" s="0" t="n">
        <f aca="false">-H12</f>
        <v>793.29666993336</v>
      </c>
      <c r="I16" s="0" t="n">
        <f aca="false">-I12</f>
        <v>798.078184108301</v>
      </c>
      <c r="J16" s="0" t="n">
        <f aca="false">-J12</f>
        <v>802.733640182266</v>
      </c>
      <c r="K16" s="0" t="n">
        <f aca="false">-K12</f>
        <v>807.256083225547</v>
      </c>
      <c r="L16" s="0" t="n">
        <f aca="false">-L12</f>
        <v>823.401204890057</v>
      </c>
    </row>
    <row r="17" customFormat="false" ht="15" hidden="false" customHeight="false" outlineLevel="0" collapsed="false">
      <c r="A17" s="0" t="s">
        <v>114</v>
      </c>
      <c r="C17" s="4" t="n">
        <f aca="false">-C6*Assumptions!C18/100</f>
        <v>-361.422</v>
      </c>
      <c r="D17" s="4" t="n">
        <f aca="false">-D6*Assumptions!D18/100</f>
        <v>-361.422</v>
      </c>
      <c r="E17" s="4" t="n">
        <f aca="false">-E6*Assumptions!E18/100</f>
        <v>-368.65044</v>
      </c>
      <c r="F17" s="4" t="n">
        <f aca="false">-F6*Assumptions!F18/100</f>
        <v>-376.0234488</v>
      </c>
      <c r="G17" s="4" t="n">
        <f aca="false">-G6*Assumptions!G18/100</f>
        <v>-383.543917776</v>
      </c>
      <c r="H17" s="4" t="n">
        <f aca="false">-H6*Assumptions!H18/100</f>
        <v>-391.21479613152</v>
      </c>
      <c r="I17" s="4" t="n">
        <f aca="false">-I6*Assumptions!I18/100</f>
        <v>-399.039092054151</v>
      </c>
      <c r="J17" s="4" t="n">
        <f aca="false">-J6*Assumptions!J18/100</f>
        <v>-407.019873895234</v>
      </c>
      <c r="K17" s="4" t="n">
        <f aca="false">-K6*Assumptions!K18/100</f>
        <v>-415.160271373138</v>
      </c>
      <c r="L17" s="4" t="n">
        <f aca="false">-L6*Assumptions!L18/100</f>
        <v>-423.463476800601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(C6-B6)*Assumptions!$B$23/100</f>
        <v>46.575</v>
      </c>
      <c r="D18" s="4" t="n">
        <f aca="false">(D6-C6)*Assumptions!$B$23/100</f>
        <v>-0</v>
      </c>
      <c r="E18" s="4" t="n">
        <f aca="false">(E6-D6)*Assumptions!$B$23/100</f>
        <v>-30.1185000000001</v>
      </c>
      <c r="F18" s="4" t="n">
        <f aca="false">(F6-E6)*Assumptions!$B$23/100</f>
        <v>-30.72087</v>
      </c>
      <c r="G18" s="4" t="n">
        <f aca="false">(G6-F6)*Assumptions!$B$23/100</f>
        <v>-31.3352874000001</v>
      </c>
      <c r="H18" s="4" t="n">
        <f aca="false">(H6-G6)*Assumptions!$B$23/100</f>
        <v>-31.9619931480001</v>
      </c>
      <c r="I18" s="4" t="n">
        <f aca="false">(I6-H6)*Assumptions!$B$23/100</f>
        <v>-32.6012330109601</v>
      </c>
      <c r="J18" s="4" t="n">
        <f aca="false">(J6-I6)*Assumptions!$B$23/100</f>
        <v>-33.2532576711792</v>
      </c>
      <c r="K18" s="4" t="n">
        <f aca="false">(K6-J6)*Assumptions!$B$23/100</f>
        <v>-33.9183228246027</v>
      </c>
      <c r="L18" s="4" t="n">
        <f aca="false">(L6-K6)*Assumptions!$B$23/100</f>
        <v>-34.5966892810949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1475.39664</v>
      </c>
      <c r="D19" s="0" t="n">
        <f aca="false">D15+D16+D17+D18</f>
        <v>1343.9376675</v>
      </c>
      <c r="E19" s="0" t="n">
        <f aca="false">E15+E16+E17+E18</f>
        <v>1370.2411575</v>
      </c>
      <c r="F19" s="0" t="n">
        <f aca="false">F15+F16+F17+F18</f>
        <v>1434.20381595</v>
      </c>
      <c r="G19" s="0" t="n">
        <f aca="false">G15+G16+G17+G18</f>
        <v>1460.22439284</v>
      </c>
      <c r="H19" s="0" t="n">
        <f aca="false">H15+H16+H17+H18</f>
        <v>1486.71211127922</v>
      </c>
      <c r="I19" s="0" t="n">
        <f aca="false">I15+I16+I17+I18</f>
        <v>1513.67524869887</v>
      </c>
      <c r="J19" s="0" t="n">
        <f aca="false">J15+J16+J17+J18</f>
        <v>1541.1222267708</v>
      </c>
      <c r="K19" s="0" t="n">
        <f aca="false">K15+K16+K17+K18</f>
        <v>1569.06161386613</v>
      </c>
      <c r="L19" s="0" t="n">
        <f aca="false">L15+L16+L17+L18</f>
        <v>1600.44284614345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1359.81257142857</v>
      </c>
      <c r="D21" s="0" t="n">
        <f aca="false">D19*D20</f>
        <v>1141.61495678396</v>
      </c>
      <c r="E21" s="0" t="n">
        <f aca="false">E19*E20</f>
        <v>1072.77289900985</v>
      </c>
      <c r="F21" s="0" t="n">
        <f aca="false">F19*F20</f>
        <v>1034.88459198849</v>
      </c>
      <c r="G21" s="0" t="n">
        <f aca="false">G19*G20</f>
        <v>971.115549432378</v>
      </c>
      <c r="H21" s="0" t="n">
        <f aca="false">H19*H20</f>
        <v>911.272889726943</v>
      </c>
      <c r="I21" s="0" t="n">
        <f aca="false">I19*I20</f>
        <v>855.115034502471</v>
      </c>
      <c r="J21" s="0" t="n">
        <f aca="false">J19*J20</f>
        <v>802.415258676852</v>
      </c>
      <c r="K21" s="0" t="n">
        <f aca="false">K19*K20</f>
        <v>752.960777811355</v>
      </c>
      <c r="L21" s="0" t="n">
        <f aca="false">L19*L20</f>
        <v>707.852528449385</v>
      </c>
    </row>
    <row r="23" customFormat="false" ht="15" hidden="false" customHeight="false" outlineLevel="0" collapsed="false">
      <c r="A23" s="0" t="s">
        <v>94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99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100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9609.81705781025</v>
      </c>
    </row>
    <row r="31" customFormat="false" ht="15" hidden="false" customHeight="false" outlineLevel="0" collapsed="false">
      <c r="A31" s="0" t="s">
        <v>122</v>
      </c>
      <c r="B31" s="0" t="n">
        <f aca="false">L19</f>
        <v>1600.44284614345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25114.6415856356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25607.0855382952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25114.6415856356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11107.8396772057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20717.656735016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18757.656735016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28.0719196872433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-0.616241699422511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349.833951573627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408.199901669904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29.2063612515108</v>
      </c>
    </row>
    <row r="45" customFormat="false" ht="15" hidden="false" customHeight="false" outlineLevel="0" collapsed="false">
      <c r="A45" s="0" t="s">
        <v>73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12557.3207928178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12.6418982061288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0" t="s">
        <v>106</v>
      </c>
      <c r="B3" s="0" t="s">
        <v>76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2.75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10350</v>
      </c>
      <c r="C6" s="0" t="n">
        <f aca="false">B6*(1+C5/100)</f>
        <v>10660.5</v>
      </c>
      <c r="D6" s="0" t="n">
        <f aca="false">C6*(1+D5/100)</f>
        <v>10980.315</v>
      </c>
      <c r="E6" s="0" t="n">
        <f aca="false">D6*(1+E5/100)</f>
        <v>11309.72445</v>
      </c>
      <c r="F6" s="0" t="n">
        <f aca="false">E6*(1+F5/100)</f>
        <v>11649.0161835</v>
      </c>
      <c r="G6" s="0" t="n">
        <f aca="false">F6*(1+G5/100)</f>
        <v>11969.3641285463</v>
      </c>
      <c r="H6" s="0" t="n">
        <f aca="false">G6*(1+H5/100)</f>
        <v>12268.5982317599</v>
      </c>
      <c r="I6" s="0" t="n">
        <f aca="false">H6*(1+I5/100)</f>
        <v>12575.3131875539</v>
      </c>
      <c r="J6" s="0" t="n">
        <f aca="false">I6*(1+J5/100)</f>
        <v>12889.6960172428</v>
      </c>
      <c r="K6" s="0" t="n">
        <f aca="false">J6*(1+K5/100)</f>
        <v>13211.9384176738</v>
      </c>
      <c r="L6" s="0" t="n">
        <f aca="false">K6*(1+L5/100)</f>
        <v>13542.2368781157</v>
      </c>
    </row>
    <row r="7" customFormat="false" ht="15" hidden="false" customHeight="false" outlineLevel="0" collapsed="false">
      <c r="A7" s="0" t="s">
        <v>92</v>
      </c>
      <c r="C7" s="4" t="n">
        <f aca="false">Assumptions!C28</f>
        <v>23.3</v>
      </c>
      <c r="D7" s="4" t="n">
        <f aca="false">Assumptions!D28</f>
        <v>23.8</v>
      </c>
      <c r="E7" s="4" t="n">
        <f aca="false">Assumptions!E28</f>
        <v>24.3</v>
      </c>
      <c r="F7" s="4" t="n">
        <f aca="false">Assumptions!F28</f>
        <v>24.8</v>
      </c>
      <c r="G7" s="4" t="n">
        <f aca="false">Assumptions!G28</f>
        <v>25.2</v>
      </c>
      <c r="H7" s="4" t="n">
        <f aca="false">Assumptions!H28</f>
        <v>25.5</v>
      </c>
      <c r="I7" s="4" t="n">
        <f aca="false">Assumptions!I28</f>
        <v>25.5</v>
      </c>
      <c r="J7" s="4" t="n">
        <f aca="false">Assumptions!J28</f>
        <v>25.5</v>
      </c>
      <c r="K7" s="4" t="n">
        <f aca="false">Assumptions!K28</f>
        <v>25.5</v>
      </c>
      <c r="L7" s="4" t="n">
        <f aca="false">Assumptions!L28</f>
        <v>25.5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2483.8965</v>
      </c>
      <c r="D8" s="0" t="n">
        <f aca="false">D6*D7/100</f>
        <v>2613.31497</v>
      </c>
      <c r="E8" s="0" t="n">
        <f aca="false">E6*E7/100</f>
        <v>2748.26304135</v>
      </c>
      <c r="F8" s="0" t="n">
        <f aca="false">F6*F7/100</f>
        <v>2888.956013508</v>
      </c>
      <c r="G8" s="0" t="n">
        <f aca="false">G6*G7/100</f>
        <v>3016.27976039366</v>
      </c>
      <c r="H8" s="0" t="n">
        <f aca="false">H6*H7/100</f>
        <v>3128.49254909878</v>
      </c>
      <c r="I8" s="0" t="n">
        <f aca="false">I6*I7/100</f>
        <v>3206.70486282625</v>
      </c>
      <c r="J8" s="0" t="n">
        <f aca="false">J6*J7/100</f>
        <v>3286.8724843969</v>
      </c>
      <c r="K8" s="0" t="n">
        <f aca="false">K6*K7/100</f>
        <v>3369.04429650682</v>
      </c>
      <c r="L8" s="0" t="n">
        <f aca="false">L6*L7/100</f>
        <v>3453.27040391949</v>
      </c>
    </row>
    <row r="9" customFormat="false" ht="15" hidden="false" customHeight="false" outlineLevel="0" collapsed="false">
      <c r="A9" s="0" t="s">
        <v>93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-53.3025</v>
      </c>
      <c r="D10" s="0" t="n">
        <f aca="false">-D6*D9/100</f>
        <v>-54.901575</v>
      </c>
      <c r="E10" s="0" t="n">
        <f aca="false">-E6*E9/100</f>
        <v>-56.54862225</v>
      </c>
      <c r="F10" s="0" t="n">
        <f aca="false">-F6*F9/100</f>
        <v>-58.2450809175</v>
      </c>
      <c r="G10" s="0" t="n">
        <f aca="false">-G6*G9/100</f>
        <v>-59.8468206427313</v>
      </c>
      <c r="H10" s="0" t="n">
        <f aca="false">-H6*H9/100</f>
        <v>-61.3429911587995</v>
      </c>
      <c r="I10" s="0" t="n">
        <f aca="false">-I6*I9/100</f>
        <v>-62.8765659377695</v>
      </c>
      <c r="J10" s="0" t="n">
        <f aca="false">-J6*J9/100</f>
        <v>-64.4484800862138</v>
      </c>
      <c r="K10" s="0" t="n">
        <f aca="false">-K6*K9/100</f>
        <v>-66.0596920883691</v>
      </c>
      <c r="L10" s="0" t="n">
        <f aca="false">-L6*L9/100</f>
        <v>-67.7111843905783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2430.594</v>
      </c>
      <c r="D11" s="0" t="n">
        <f aca="false">D8+D10+D24</f>
        <v>2558.413395</v>
      </c>
      <c r="E11" s="0" t="n">
        <f aca="false">E8+E10+E24</f>
        <v>2691.7144191</v>
      </c>
      <c r="F11" s="0" t="n">
        <f aca="false">F8+F10+F24</f>
        <v>2830.7109325905</v>
      </c>
      <c r="G11" s="0" t="n">
        <f aca="false">G8+G10+G24</f>
        <v>2956.43293975092</v>
      </c>
      <c r="H11" s="0" t="n">
        <f aca="false">H8+H10+H24</f>
        <v>3067.14955793998</v>
      </c>
      <c r="I11" s="0" t="n">
        <f aca="false">I8+I10+I24</f>
        <v>3143.82829688848</v>
      </c>
      <c r="J11" s="0" t="n">
        <f aca="false">J8+J10+J24</f>
        <v>3222.42400431069</v>
      </c>
      <c r="K11" s="0" t="n">
        <f aca="false">K8+K10+K24</f>
        <v>3302.98460441845</v>
      </c>
      <c r="L11" s="0" t="n">
        <f aca="false">L8+L10+L24</f>
        <v>3385.55921952892</v>
      </c>
    </row>
    <row r="12" customFormat="false" ht="15" hidden="false" customHeight="false" outlineLevel="0" collapsed="false">
      <c r="A12" s="0" t="s">
        <v>110</v>
      </c>
      <c r="C12" s="4" t="n">
        <f aca="false">-C6*Assumptions!C31/100</f>
        <v>-831.519</v>
      </c>
      <c r="D12" s="4" t="n">
        <f aca="false">-D6*Assumptions!D31/100</f>
        <v>-845.484255</v>
      </c>
      <c r="E12" s="4" t="n">
        <f aca="false">-E6*Assumptions!E31/100</f>
        <v>-859.5390582</v>
      </c>
      <c r="F12" s="4" t="n">
        <f aca="false">-F6*Assumptions!F31/100</f>
        <v>-873.6762137625</v>
      </c>
      <c r="G12" s="4" t="n">
        <f aca="false">-G6*Assumptions!G31/100</f>
        <v>-885.732945512423</v>
      </c>
      <c r="H12" s="4" t="n">
        <f aca="false">-H6*Assumptions!H31/100</f>
        <v>-895.607670918473</v>
      </c>
      <c r="I12" s="4" t="n">
        <f aca="false">-I6*Assumptions!I31/100</f>
        <v>-905.422549503881</v>
      </c>
      <c r="J12" s="4" t="n">
        <f aca="false">-J6*Assumptions!J31/100</f>
        <v>-915.168417224235</v>
      </c>
      <c r="K12" s="4" t="n">
        <f aca="false">-K6*Assumptions!K31/100</f>
        <v>-924.835689237167</v>
      </c>
      <c r="L12" s="4" t="n">
        <f aca="false">-L6*Assumptions!L31/100</f>
        <v>-947.956581468096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1599.075</v>
      </c>
      <c r="D13" s="0" t="n">
        <f aca="false">D11+D12</f>
        <v>1712.92914</v>
      </c>
      <c r="E13" s="0" t="n">
        <f aca="false">E11+E12</f>
        <v>1832.1753609</v>
      </c>
      <c r="F13" s="0" t="n">
        <f aca="false">F11+F12</f>
        <v>1957.034718828</v>
      </c>
      <c r="G13" s="0" t="n">
        <f aca="false">G11+G12</f>
        <v>2070.6999942385</v>
      </c>
      <c r="H13" s="0" t="n">
        <f aca="false">H11+H12</f>
        <v>2171.5418870215</v>
      </c>
      <c r="I13" s="0" t="n">
        <f aca="false">I11+I12</f>
        <v>2238.4057473846</v>
      </c>
      <c r="J13" s="0" t="n">
        <f aca="false">J11+J12</f>
        <v>2307.25558708645</v>
      </c>
      <c r="K13" s="0" t="n">
        <f aca="false">K11+K12</f>
        <v>2378.14891518129</v>
      </c>
      <c r="L13" s="0" t="n">
        <f aca="false">L11+L12</f>
        <v>2437.60263806082</v>
      </c>
    </row>
    <row r="14" customFormat="false" ht="15" hidden="false" customHeight="false" outlineLevel="0" collapsed="false">
      <c r="A14" s="0" t="s">
        <v>97</v>
      </c>
      <c r="C14" s="4" t="n">
        <f aca="false">Assumptions!C33</f>
        <v>24</v>
      </c>
      <c r="D14" s="4" t="n">
        <f aca="false">Assumptions!D33</f>
        <v>24.5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1215.297</v>
      </c>
      <c r="D15" s="0" t="n">
        <f aca="false">D13-MAX(0,D13)*D14/100</f>
        <v>1293.2615007</v>
      </c>
      <c r="E15" s="0" t="n">
        <f aca="false">E13-MAX(0,E13)*E14/100</f>
        <v>1374.131520675</v>
      </c>
      <c r="F15" s="0" t="n">
        <f aca="false">F13-MAX(0,F13)*F14/100</f>
        <v>1467.776039121</v>
      </c>
      <c r="G15" s="0" t="n">
        <f aca="false">G13-MAX(0,G13)*G14/100</f>
        <v>1553.02499567888</v>
      </c>
      <c r="H15" s="0" t="n">
        <f aca="false">H13-MAX(0,H13)*H14/100</f>
        <v>1628.65641526613</v>
      </c>
      <c r="I15" s="0" t="n">
        <f aca="false">I13-MAX(0,I13)*I14/100</f>
        <v>1678.80431053845</v>
      </c>
      <c r="J15" s="0" t="n">
        <f aca="false">J13-MAX(0,J13)*J14/100</f>
        <v>1730.44169031484</v>
      </c>
      <c r="K15" s="0" t="n">
        <f aca="false">K13-MAX(0,K13)*K14/100</f>
        <v>1783.61168638597</v>
      </c>
      <c r="L15" s="0" t="n">
        <f aca="false">L13-MAX(0,L13)*L14/100</f>
        <v>1828.20197854561</v>
      </c>
    </row>
    <row r="16" customFormat="false" ht="15" hidden="false" customHeight="false" outlineLevel="0" collapsed="false">
      <c r="A16" s="0" t="s">
        <v>113</v>
      </c>
      <c r="C16" s="0" t="n">
        <f aca="false">-C12</f>
        <v>831.519</v>
      </c>
      <c r="D16" s="0" t="n">
        <f aca="false">-D12</f>
        <v>845.484255</v>
      </c>
      <c r="E16" s="0" t="n">
        <f aca="false">-E12</f>
        <v>859.5390582</v>
      </c>
      <c r="F16" s="0" t="n">
        <f aca="false">-F12</f>
        <v>873.6762137625</v>
      </c>
      <c r="G16" s="0" t="n">
        <f aca="false">-G12</f>
        <v>885.732945512423</v>
      </c>
      <c r="H16" s="0" t="n">
        <f aca="false">-H12</f>
        <v>895.607670918473</v>
      </c>
      <c r="I16" s="0" t="n">
        <f aca="false">-I12</f>
        <v>905.422549503881</v>
      </c>
      <c r="J16" s="0" t="n">
        <f aca="false">-J12</f>
        <v>915.168417224235</v>
      </c>
      <c r="K16" s="0" t="n">
        <f aca="false">-K12</f>
        <v>924.835689237167</v>
      </c>
      <c r="L16" s="0" t="n">
        <f aca="false">-L12</f>
        <v>947.956581468096</v>
      </c>
    </row>
    <row r="17" customFormat="false" ht="15" hidden="false" customHeight="false" outlineLevel="0" collapsed="false">
      <c r="A17" s="0" t="s">
        <v>114</v>
      </c>
      <c r="C17" s="4" t="n">
        <f aca="false">-C6*Assumptions!C32/100</f>
        <v>-362.457</v>
      </c>
      <c r="D17" s="4" t="n">
        <f aca="false">-D6*Assumptions!D32/100</f>
        <v>-373.33071</v>
      </c>
      <c r="E17" s="4" t="n">
        <f aca="false">-E6*Assumptions!E32/100</f>
        <v>-384.5306313</v>
      </c>
      <c r="F17" s="4" t="n">
        <f aca="false">-F6*Assumptions!F32/100</f>
        <v>-396.066550239</v>
      </c>
      <c r="G17" s="4" t="n">
        <f aca="false">-G6*Assumptions!G32/100</f>
        <v>-406.958380370573</v>
      </c>
      <c r="H17" s="4" t="n">
        <f aca="false">-H6*Assumptions!H32/100</f>
        <v>-417.132339879837</v>
      </c>
      <c r="I17" s="4" t="n">
        <f aca="false">-I6*Assumptions!I32/100</f>
        <v>-427.560648376833</v>
      </c>
      <c r="J17" s="4" t="n">
        <f aca="false">-J6*Assumptions!J32/100</f>
        <v>-438.249664586254</v>
      </c>
      <c r="K17" s="4" t="n">
        <f aca="false">-K6*Assumptions!K32/100</f>
        <v>-449.20590620091</v>
      </c>
      <c r="L17" s="4" t="n">
        <f aca="false">-L6*Assumptions!L32/100</f>
        <v>-460.436053855932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(C6-B6)*Assumptions!$B$37/100</f>
        <v>-31.05</v>
      </c>
      <c r="D18" s="4" t="n">
        <f aca="false">(D6-C6)*Assumptions!$B$37/100</f>
        <v>-31.9815000000001</v>
      </c>
      <c r="E18" s="4" t="n">
        <f aca="false">(E6-D6)*Assumptions!$B$37/100</f>
        <v>-32.9409450000001</v>
      </c>
      <c r="F18" s="4" t="n">
        <f aca="false">(F6-E6)*Assumptions!$B$37/100</f>
        <v>-33.92917335</v>
      </c>
      <c r="G18" s="4" t="n">
        <f aca="false">(G6-F6)*Assumptions!$B$37/100</f>
        <v>-32.0347945046251</v>
      </c>
      <c r="H18" s="4" t="n">
        <f aca="false">(H6-G6)*Assumptions!$B$37/100</f>
        <v>-29.9234103213656</v>
      </c>
      <c r="I18" s="4" t="n">
        <f aca="false">(I6-H6)*Assumptions!$B$37/100</f>
        <v>-30.6714955793997</v>
      </c>
      <c r="J18" s="4" t="n">
        <f aca="false">(J6-I6)*Assumptions!$B$37/100</f>
        <v>-31.4382829688846</v>
      </c>
      <c r="K18" s="4" t="n">
        <f aca="false">(K6-J6)*Assumptions!$B$37/100</f>
        <v>-32.2242400431067</v>
      </c>
      <c r="L18" s="4" t="n">
        <f aca="false">(L6-K6)*Assumptions!$B$37/100</f>
        <v>-33.0298460441843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1653.309</v>
      </c>
      <c r="D19" s="0" t="n">
        <f aca="false">D15+D16+D17+D18</f>
        <v>1733.4335457</v>
      </c>
      <c r="E19" s="0" t="n">
        <f aca="false">E15+E16+E17+E18</f>
        <v>1816.199002575</v>
      </c>
      <c r="F19" s="0" t="n">
        <f aca="false">F15+F16+F17+F18</f>
        <v>1911.4565292945</v>
      </c>
      <c r="G19" s="0" t="n">
        <f aca="false">G15+G16+G17+G18</f>
        <v>1999.7647663161</v>
      </c>
      <c r="H19" s="0" t="n">
        <f aca="false">H15+H16+H17+H18</f>
        <v>2077.2083359834</v>
      </c>
      <c r="I19" s="0" t="n">
        <f aca="false">I15+I16+I17+I18</f>
        <v>2125.9947160861</v>
      </c>
      <c r="J19" s="0" t="n">
        <f aca="false">J15+J16+J17+J18</f>
        <v>2175.92215998394</v>
      </c>
      <c r="K19" s="0" t="n">
        <f aca="false">K15+K16+K17+K18</f>
        <v>2227.01722937912</v>
      </c>
      <c r="L19" s="0" t="n">
        <f aca="false">L15+L16+L17+L18</f>
        <v>2282.69266011359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1523.78709677419</v>
      </c>
      <c r="D21" s="0" t="n">
        <f aca="false">D19*D20</f>
        <v>1472.47428970673</v>
      </c>
      <c r="E21" s="0" t="n">
        <f aca="false">E19*E20</f>
        <v>1421.91690747778</v>
      </c>
      <c r="F21" s="0" t="n">
        <f aca="false">F19*F20</f>
        <v>1379.25787703499</v>
      </c>
      <c r="G21" s="0" t="n">
        <f aca="false">G19*G20</f>
        <v>1329.93440549199</v>
      </c>
      <c r="H21" s="0" t="n">
        <f aca="false">H19*H20</f>
        <v>1273.21465167037</v>
      </c>
      <c r="I21" s="0" t="n">
        <f aca="false">I19*I20</f>
        <v>1201.03043672064</v>
      </c>
      <c r="J21" s="0" t="n">
        <f aca="false">J19*J20</f>
        <v>1132.9361893136</v>
      </c>
      <c r="K21" s="0" t="n">
        <f aca="false">K19*K20</f>
        <v>1068.70030495543</v>
      </c>
      <c r="L21" s="0" t="n">
        <f aca="false">L19*L20</f>
        <v>1009.60167058002</v>
      </c>
    </row>
    <row r="23" customFormat="false" ht="15" hidden="false" customHeight="false" outlineLevel="0" collapsed="false">
      <c r="A23" s="0" t="s">
        <v>94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99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100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12812.8538297257</v>
      </c>
    </row>
    <row r="31" customFormat="false" ht="15" hidden="false" customHeight="false" outlineLevel="0" collapsed="false">
      <c r="A31" s="0" t="s">
        <v>122</v>
      </c>
      <c r="B31" s="0" t="n">
        <f aca="false">L19</f>
        <v>2282.69266011359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38995.9996102739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36523.0825618175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36523.0825618175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16153.6267292802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28966.480559006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27006.480559006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40.4167622852529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-0.447481035061478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390.189783935883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511.606017051623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41.76635193055</v>
      </c>
    </row>
    <row r="45" customFormat="false" ht="15" hidden="false" customHeight="false" outlineLevel="0" collapsed="false">
      <c r="A45" s="0" t="s">
        <v>73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18718.0798129315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18.4112505804656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106</v>
      </c>
      <c r="B3" s="0" t="s">
        <v>76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Assumptions!C41</f>
        <v>4.5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10350</v>
      </c>
      <c r="C6" s="0" t="n">
        <f aca="false">B6*(1+C5/100)</f>
        <v>10815.75</v>
      </c>
      <c r="D6" s="0" t="n">
        <f aca="false">C6*(1+D5/100)</f>
        <v>11302.45875</v>
      </c>
      <c r="E6" s="0" t="n">
        <f aca="false">D6*(1+E5/100)</f>
        <v>11811.06939375</v>
      </c>
      <c r="F6" s="0" t="n">
        <f aca="false">E6*(1+F5/100)</f>
        <v>12342.5675164687</v>
      </c>
      <c r="G6" s="0" t="n">
        <f aca="false">F6*(1+G5/100)</f>
        <v>12836.2702171275</v>
      </c>
      <c r="H6" s="0" t="n">
        <f aca="false">G6*(1+H5/100)</f>
        <v>13285.539674727</v>
      </c>
      <c r="I6" s="0" t="n">
        <f aca="false">H6*(1+I5/100)</f>
        <v>13684.1058649688</v>
      </c>
      <c r="J6" s="0" t="n">
        <f aca="false">I6*(1+J5/100)</f>
        <v>14094.6290409178</v>
      </c>
      <c r="K6" s="0" t="n">
        <f aca="false">J6*(1+K5/100)</f>
        <v>14517.4679121454</v>
      </c>
      <c r="L6" s="0" t="n">
        <f aca="false">K6*(1+L5/100)</f>
        <v>14952.9919495097</v>
      </c>
    </row>
    <row r="7" customFormat="false" ht="15" hidden="false" customHeight="false" outlineLevel="0" collapsed="false">
      <c r="A7" s="0" t="s">
        <v>92</v>
      </c>
      <c r="C7" s="4" t="n">
        <f aca="false">Assumptions!C42</f>
        <v>23.8</v>
      </c>
      <c r="D7" s="4" t="n">
        <f aca="false">Assumptions!D42</f>
        <v>25</v>
      </c>
      <c r="E7" s="4" t="n">
        <f aca="false">Assumptions!E42</f>
        <v>26.2</v>
      </c>
      <c r="F7" s="4" t="n">
        <f aca="false">Assumptions!F42</f>
        <v>27.3</v>
      </c>
      <c r="G7" s="4" t="n">
        <f aca="false">Assumptions!G42</f>
        <v>28</v>
      </c>
      <c r="H7" s="4" t="n">
        <f aca="false">Assumptions!H42</f>
        <v>28.5</v>
      </c>
      <c r="I7" s="4" t="n">
        <f aca="false">Assumptions!I42</f>
        <v>28.5</v>
      </c>
      <c r="J7" s="4" t="n">
        <f aca="false">Assumptions!J42</f>
        <v>28.5</v>
      </c>
      <c r="K7" s="4" t="n">
        <f aca="false">Assumptions!K42</f>
        <v>28.5</v>
      </c>
      <c r="L7" s="4" t="n">
        <f aca="false">Assumptions!L42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2574.1485</v>
      </c>
      <c r="D8" s="0" t="n">
        <f aca="false">D6*D7/100</f>
        <v>2825.6146875</v>
      </c>
      <c r="E8" s="0" t="n">
        <f aca="false">E6*E7/100</f>
        <v>3094.5001811625</v>
      </c>
      <c r="F8" s="0" t="n">
        <f aca="false">F6*F7/100</f>
        <v>3369.52093199597</v>
      </c>
      <c r="G8" s="0" t="n">
        <f aca="false">G6*G7/100</f>
        <v>3594.1556607957</v>
      </c>
      <c r="H8" s="0" t="n">
        <f aca="false">H6*H7/100</f>
        <v>3786.37880729718</v>
      </c>
      <c r="I8" s="0" t="n">
        <f aca="false">I6*I7/100</f>
        <v>3899.9701715161</v>
      </c>
      <c r="J8" s="0" t="n">
        <f aca="false">J6*J7/100</f>
        <v>4016.96927666158</v>
      </c>
      <c r="K8" s="0" t="n">
        <f aca="false">K6*K7/100</f>
        <v>4137.47835496143</v>
      </c>
      <c r="L8" s="0" t="n">
        <f aca="false">L6*L7/100</f>
        <v>4261.60270561027</v>
      </c>
    </row>
    <row r="9" customFormat="false" ht="15" hidden="false" customHeight="false" outlineLevel="0" collapsed="false">
      <c r="A9" s="0" t="s">
        <v>93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-54.07875</v>
      </c>
      <c r="D10" s="0" t="n">
        <f aca="false">-D6*D9/100</f>
        <v>-56.51229375</v>
      </c>
      <c r="E10" s="0" t="n">
        <f aca="false">-E6*E9/100</f>
        <v>-59.05534696875</v>
      </c>
      <c r="F10" s="0" t="n">
        <f aca="false">-F6*F9/100</f>
        <v>-61.7128375823437</v>
      </c>
      <c r="G10" s="0" t="n">
        <f aca="false">-G6*G9/100</f>
        <v>-64.1813510856375</v>
      </c>
      <c r="H10" s="0" t="n">
        <f aca="false">-H6*H9/100</f>
        <v>-66.4276983736348</v>
      </c>
      <c r="I10" s="0" t="n">
        <f aca="false">-I6*I9/100</f>
        <v>-68.4205293248438</v>
      </c>
      <c r="J10" s="0" t="n">
        <f aca="false">-J6*J9/100</f>
        <v>-70.4731452045892</v>
      </c>
      <c r="K10" s="0" t="n">
        <f aca="false">-K6*K9/100</f>
        <v>-72.5873395607268</v>
      </c>
      <c r="L10" s="0" t="n">
        <f aca="false">-L6*L9/100</f>
        <v>-74.7649597475486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2520.06975</v>
      </c>
      <c r="D11" s="0" t="n">
        <f aca="false">D8+D10+D24</f>
        <v>2769.10239375</v>
      </c>
      <c r="E11" s="0" t="n">
        <f aca="false">E8+E10+E24</f>
        <v>3035.44483419375</v>
      </c>
      <c r="F11" s="0" t="n">
        <f aca="false">F8+F10+F24</f>
        <v>3307.80809441362</v>
      </c>
      <c r="G11" s="0" t="n">
        <f aca="false">G8+G10+G24</f>
        <v>3529.97430971006</v>
      </c>
      <c r="H11" s="0" t="n">
        <f aca="false">H8+H10+H24</f>
        <v>3719.95110892355</v>
      </c>
      <c r="I11" s="0" t="n">
        <f aca="false">I8+I10+I24</f>
        <v>3831.54964219126</v>
      </c>
      <c r="J11" s="0" t="n">
        <f aca="false">J8+J10+J24</f>
        <v>3946.49613145699</v>
      </c>
      <c r="K11" s="0" t="n">
        <f aca="false">K8+K10+K24</f>
        <v>4064.8910154007</v>
      </c>
      <c r="L11" s="0" t="n">
        <f aca="false">L8+L10+L24</f>
        <v>4186.83774586272</v>
      </c>
    </row>
    <row r="12" customFormat="false" ht="15" hidden="false" customHeight="false" outlineLevel="0" collapsed="false">
      <c r="A12" s="0" t="s">
        <v>110</v>
      </c>
      <c r="C12" s="4" t="n">
        <f aca="false">-C6*Assumptions!C45/100</f>
        <v>-843.6285</v>
      </c>
      <c r="D12" s="4" t="n">
        <f aca="false">-D6*Assumptions!D45/100</f>
        <v>-870.28932375</v>
      </c>
      <c r="E12" s="4" t="n">
        <f aca="false">-E6*Assumptions!E45/100</f>
        <v>-897.641273925</v>
      </c>
      <c r="F12" s="4" t="n">
        <f aca="false">-F6*Assumptions!F45/100</f>
        <v>-925.692563735156</v>
      </c>
      <c r="G12" s="4" t="n">
        <f aca="false">-G6*Assumptions!G45/100</f>
        <v>-949.883996067435</v>
      </c>
      <c r="H12" s="4" t="n">
        <f aca="false">-H6*Assumptions!H45/100</f>
        <v>-969.844396255068</v>
      </c>
      <c r="I12" s="4" t="n">
        <f aca="false">-I6*Assumptions!I45/100</f>
        <v>-985.255622277751</v>
      </c>
      <c r="J12" s="4" t="n">
        <f aca="false">-J6*Assumptions!J45/100</f>
        <v>-1000.71866190517</v>
      </c>
      <c r="K12" s="4" t="n">
        <f aca="false">-K6*Assumptions!K45/100</f>
        <v>-1016.22275385018</v>
      </c>
      <c r="L12" s="4" t="n">
        <f aca="false">-L6*Assumptions!L45/100</f>
        <v>-1046.70943646568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1676.44125</v>
      </c>
      <c r="D13" s="0" t="n">
        <f aca="false">D11+D12</f>
        <v>1898.81307</v>
      </c>
      <c r="E13" s="0" t="n">
        <f aca="false">E11+E12</f>
        <v>2137.80356026875</v>
      </c>
      <c r="F13" s="0" t="n">
        <f aca="false">F11+F12</f>
        <v>2382.11553067847</v>
      </c>
      <c r="G13" s="0" t="n">
        <f aca="false">G11+G12</f>
        <v>2580.09031364263</v>
      </c>
      <c r="H13" s="0" t="n">
        <f aca="false">H11+H12</f>
        <v>2750.10671266848</v>
      </c>
      <c r="I13" s="0" t="n">
        <f aca="false">I11+I12</f>
        <v>2846.2940199135</v>
      </c>
      <c r="J13" s="0" t="n">
        <f aca="false">J11+J12</f>
        <v>2945.77746955183</v>
      </c>
      <c r="K13" s="0" t="n">
        <f aca="false">K11+K12</f>
        <v>3048.66826155053</v>
      </c>
      <c r="L13" s="0" t="n">
        <f aca="false">L11+L12</f>
        <v>3140.12830939704</v>
      </c>
    </row>
    <row r="14" customFormat="false" ht="15" hidden="false" customHeight="false" outlineLevel="0" collapsed="false">
      <c r="A14" s="0" t="s">
        <v>97</v>
      </c>
      <c r="C14" s="4" t="n">
        <f aca="false">Assumptions!C47</f>
        <v>24</v>
      </c>
      <c r="D14" s="4" t="n">
        <f aca="false">Assumptions!D47</f>
        <v>24.5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1274.09535</v>
      </c>
      <c r="D15" s="0" t="n">
        <f aca="false">D13-MAX(0,D13)*D14/100</f>
        <v>1433.60386785</v>
      </c>
      <c r="E15" s="0" t="n">
        <f aca="false">E13-MAX(0,E13)*E14/100</f>
        <v>1603.35267020156</v>
      </c>
      <c r="F15" s="0" t="n">
        <f aca="false">F13-MAX(0,F13)*F14/100</f>
        <v>1786.58664800885</v>
      </c>
      <c r="G15" s="0" t="n">
        <f aca="false">G13-MAX(0,G13)*G14/100</f>
        <v>1935.06773523197</v>
      </c>
      <c r="H15" s="0" t="n">
        <f aca="false">H13-MAX(0,H13)*H14/100</f>
        <v>2062.58003450136</v>
      </c>
      <c r="I15" s="0" t="n">
        <f aca="false">I13-MAX(0,I13)*I14/100</f>
        <v>2134.72051493513</v>
      </c>
      <c r="J15" s="0" t="n">
        <f aca="false">J13-MAX(0,J13)*J14/100</f>
        <v>2209.33310216387</v>
      </c>
      <c r="K15" s="0" t="n">
        <f aca="false">K13-MAX(0,K13)*K14/100</f>
        <v>2286.5011961629</v>
      </c>
      <c r="L15" s="0" t="n">
        <f aca="false">L13-MAX(0,L13)*L14/100</f>
        <v>2355.09623204778</v>
      </c>
    </row>
    <row r="16" customFormat="false" ht="15" hidden="false" customHeight="false" outlineLevel="0" collapsed="false">
      <c r="A16" s="0" t="s">
        <v>113</v>
      </c>
      <c r="C16" s="0" t="n">
        <f aca="false">-C12</f>
        <v>843.6285</v>
      </c>
      <c r="D16" s="0" t="n">
        <f aca="false">-D12</f>
        <v>870.28932375</v>
      </c>
      <c r="E16" s="0" t="n">
        <f aca="false">-E12</f>
        <v>897.641273925</v>
      </c>
      <c r="F16" s="0" t="n">
        <f aca="false">-F12</f>
        <v>925.692563735156</v>
      </c>
      <c r="G16" s="0" t="n">
        <f aca="false">-G12</f>
        <v>949.883996067435</v>
      </c>
      <c r="H16" s="0" t="n">
        <f aca="false">-H12</f>
        <v>969.844396255068</v>
      </c>
      <c r="I16" s="0" t="n">
        <f aca="false">-I12</f>
        <v>985.255622277751</v>
      </c>
      <c r="J16" s="0" t="n">
        <f aca="false">-J12</f>
        <v>1000.71866190517</v>
      </c>
      <c r="K16" s="0" t="n">
        <f aca="false">-K12</f>
        <v>1016.22275385018</v>
      </c>
      <c r="L16" s="0" t="n">
        <f aca="false">-L12</f>
        <v>1046.70943646568</v>
      </c>
    </row>
    <row r="17" customFormat="false" ht="15" hidden="false" customHeight="false" outlineLevel="0" collapsed="false">
      <c r="A17" s="0" t="s">
        <v>114</v>
      </c>
      <c r="C17" s="4" t="n">
        <f aca="false">-C6*Assumptions!C46/100</f>
        <v>-367.7355</v>
      </c>
      <c r="D17" s="4" t="n">
        <f aca="false">-D6*Assumptions!D46/100</f>
        <v>-384.2835975</v>
      </c>
      <c r="E17" s="4" t="n">
        <f aca="false">-E6*Assumptions!E46/100</f>
        <v>-401.5763593875</v>
      </c>
      <c r="F17" s="4" t="n">
        <f aca="false">-F6*Assumptions!F46/100</f>
        <v>-419.647295559937</v>
      </c>
      <c r="G17" s="4" t="n">
        <f aca="false">-G6*Assumptions!G46/100</f>
        <v>-436.433187382335</v>
      </c>
      <c r="H17" s="4" t="n">
        <f aca="false">-H6*Assumptions!H46/100</f>
        <v>-451.708348940717</v>
      </c>
      <c r="I17" s="4" t="n">
        <f aca="false">-I6*Assumptions!I46/100</f>
        <v>-465.259599408938</v>
      </c>
      <c r="J17" s="4" t="n">
        <f aca="false">-J6*Assumptions!J46/100</f>
        <v>-479.217387391206</v>
      </c>
      <c r="K17" s="4" t="n">
        <f aca="false">-K6*Assumptions!K46/100</f>
        <v>-493.593909012942</v>
      </c>
      <c r="L17" s="4" t="n">
        <f aca="false">-L6*Assumptions!L46/100</f>
        <v>-508.401726283331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(C6-B6)*Assumptions!$B$51/100</f>
        <v>-23.2875</v>
      </c>
      <c r="D18" s="4" t="n">
        <f aca="false">(D6-C6)*Assumptions!$B$51/100</f>
        <v>-24.3354375</v>
      </c>
      <c r="E18" s="4" t="n">
        <f aca="false">(E6-D6)*Assumptions!$B$51/100</f>
        <v>-25.4305321874999</v>
      </c>
      <c r="F18" s="4" t="n">
        <f aca="false">(F6-E6)*Assumptions!$B$51/100</f>
        <v>-26.5749061359375</v>
      </c>
      <c r="G18" s="4" t="n">
        <f aca="false">(G6-F6)*Assumptions!$B$51/100</f>
        <v>-24.6851350329375</v>
      </c>
      <c r="H18" s="4" t="n">
        <f aca="false">(H6-G6)*Assumptions!$B$51/100</f>
        <v>-22.4634728799731</v>
      </c>
      <c r="I18" s="4" t="n">
        <f aca="false">(I6-H6)*Assumptions!$B$51/100</f>
        <v>-19.9283095120904</v>
      </c>
      <c r="J18" s="4" t="n">
        <f aca="false">(J6-I6)*Assumptions!$B$51/100</f>
        <v>-20.5261587974532</v>
      </c>
      <c r="K18" s="4" t="n">
        <f aca="false">(K6-J6)*Assumptions!$B$51/100</f>
        <v>-21.1419435613768</v>
      </c>
      <c r="L18" s="4" t="n">
        <f aca="false">(L6-K6)*Assumptions!$B$51/100</f>
        <v>-21.7762018682181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1726.70085</v>
      </c>
      <c r="D19" s="0" t="n">
        <f aca="false">D15+D16+D17+D18</f>
        <v>1895.2741566</v>
      </c>
      <c r="E19" s="0" t="n">
        <f aca="false">E15+E16+E17+E18</f>
        <v>2073.98705255156</v>
      </c>
      <c r="F19" s="0" t="n">
        <f aca="false">F15+F16+F17+F18</f>
        <v>2266.05701004813</v>
      </c>
      <c r="G19" s="0" t="n">
        <f aca="false">G15+G16+G17+G18</f>
        <v>2423.83340888413</v>
      </c>
      <c r="H19" s="0" t="n">
        <f aca="false">H15+H16+H17+H18</f>
        <v>2558.25260893574</v>
      </c>
      <c r="I19" s="0" t="n">
        <f aca="false">I15+I16+I17+I18</f>
        <v>2634.78822829185</v>
      </c>
      <c r="J19" s="0" t="n">
        <f aca="false">J15+J16+J17+J18</f>
        <v>2710.30821788038</v>
      </c>
      <c r="K19" s="0" t="n">
        <f aca="false">K15+K16+K17+K18</f>
        <v>2787.98809743875</v>
      </c>
      <c r="L19" s="0" t="n">
        <f aca="false">L15+L16+L17+L18</f>
        <v>2871.62774036191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1591.42935483871</v>
      </c>
      <c r="D21" s="0" t="n">
        <f aca="false">D19*D20</f>
        <v>1609.95065225424</v>
      </c>
      <c r="E21" s="0" t="n">
        <f aca="false">E19*E20</f>
        <v>1623.7412594831</v>
      </c>
      <c r="F21" s="0" t="n">
        <f aca="false">F19*F20</f>
        <v>1635.12846513586</v>
      </c>
      <c r="G21" s="0" t="n">
        <f aca="false">G19*G20</f>
        <v>1611.959315392</v>
      </c>
      <c r="H21" s="0" t="n">
        <f aca="false">H19*H20</f>
        <v>1568.06837713218</v>
      </c>
      <c r="I21" s="0" t="n">
        <f aca="false">I19*I20</f>
        <v>1488.46129886788</v>
      </c>
      <c r="J21" s="0" t="n">
        <f aca="false">J19*J20</f>
        <v>1411.1746829461</v>
      </c>
      <c r="K21" s="0" t="n">
        <f aca="false">K19*K20</f>
        <v>1337.89882298108</v>
      </c>
      <c r="L21" s="0" t="n">
        <f aca="false">L19*L20</f>
        <v>1270.07906697743</v>
      </c>
    </row>
    <row r="23" customFormat="false" ht="15" hidden="false" customHeight="false" outlineLevel="0" collapsed="false">
      <c r="A23" s="0" t="s">
        <v>94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99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100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15147.8912960086</v>
      </c>
    </row>
    <row r="31" customFormat="false" ht="15" hidden="false" customHeight="false" outlineLevel="0" collapsed="false">
      <c r="A31" s="0" t="s">
        <v>122</v>
      </c>
      <c r="B31" s="0" t="n">
        <f aca="false">L19</f>
        <v>2871.62774036191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53777.7558649595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45946.0438457906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45946.0438457906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20321.2650716389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35469.1563676475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33509.1563676475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50.1483932470031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-0.31444438486667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415.258597731382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619.263177995021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51.6966150005596</v>
      </c>
    </row>
    <row r="45" customFormat="false" ht="15" hidden="false" customHeight="false" outlineLevel="0" collapsed="false">
      <c r="A45" s="0" t="s">
        <v>73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24648.1381047731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23.071633405341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2" t="s">
        <v>139</v>
      </c>
      <c r="B3" s="2" t="s">
        <v>140</v>
      </c>
      <c r="C3" s="2" t="s">
        <v>130</v>
      </c>
      <c r="D3" s="2" t="s">
        <v>141</v>
      </c>
      <c r="E3" s="2" t="s">
        <v>133</v>
      </c>
      <c r="F3" s="2" t="s">
        <v>142</v>
      </c>
    </row>
    <row r="4" customFormat="false" ht="15" hidden="false" customHeight="false" outlineLevel="0" collapsed="false">
      <c r="A4" s="0" t="s">
        <v>143</v>
      </c>
      <c r="B4" s="4" t="n">
        <f aca="false">DCF_Bear!$B$38</f>
        <v>28.0719196872433</v>
      </c>
      <c r="C4" s="0" t="n">
        <f aca="false">B4/Assumptions!$B$2-1</f>
        <v>-0.616241699422511</v>
      </c>
      <c r="D4" s="4" t="n">
        <f aca="false">Assumptions!$B$24</f>
        <v>0.25</v>
      </c>
      <c r="E4" s="4" t="n">
        <f aca="false">DCF_Bear!$B$43</f>
        <v>29.2063612515108</v>
      </c>
      <c r="F4" s="4" t="n">
        <f aca="false">DCF_Bear!$B$47</f>
        <v>12.6418982061288</v>
      </c>
    </row>
    <row r="5" customFormat="false" ht="15" hidden="false" customHeight="false" outlineLevel="0" collapsed="false">
      <c r="A5" s="0" t="s">
        <v>144</v>
      </c>
      <c r="B5" s="4" t="n">
        <f aca="false">DCF_Base!$B$38</f>
        <v>40.4167622852529</v>
      </c>
      <c r="C5" s="0" t="n">
        <f aca="false">B5/Assumptions!$B$2-1</f>
        <v>-0.447481035061478</v>
      </c>
      <c r="D5" s="4" t="n">
        <f aca="false">Assumptions!$B$38</f>
        <v>0.5</v>
      </c>
      <c r="E5" s="4" t="n">
        <f aca="false">DCF_Base!$B$43</f>
        <v>41.76635193055</v>
      </c>
      <c r="F5" s="4" t="n">
        <f aca="false">DCF_Base!$B$47</f>
        <v>18.4112505804656</v>
      </c>
    </row>
    <row r="6" customFormat="false" ht="15" hidden="false" customHeight="false" outlineLevel="0" collapsed="false">
      <c r="A6" s="0" t="s">
        <v>145</v>
      </c>
      <c r="B6" s="4" t="n">
        <f aca="false">DCF_Bull!$B$38</f>
        <v>50.1483932470031</v>
      </c>
      <c r="C6" s="0" t="n">
        <f aca="false">B6/Assumptions!$B$2-1</f>
        <v>-0.31444438486667</v>
      </c>
      <c r="D6" s="4" t="n">
        <f aca="false">Assumptions!$B$52</f>
        <v>0.25</v>
      </c>
      <c r="E6" s="4" t="n">
        <f aca="false">DCF_Bull!$B$43</f>
        <v>51.6966150005596</v>
      </c>
      <c r="F6" s="4" t="n">
        <f aca="false">DCF_Bull!$B$47</f>
        <v>23.071633405341</v>
      </c>
    </row>
    <row r="8" customFormat="false" ht="15" hidden="false" customHeight="false" outlineLevel="0" collapsed="false">
      <c r="A8" s="0" t="s">
        <v>146</v>
      </c>
      <c r="B8" s="0" t="n">
        <f aca="false">SUMPRODUCT(B4:B6,D4:D6)</f>
        <v>39.7634593761881</v>
      </c>
    </row>
    <row r="9" customFormat="false" ht="15" hidden="false" customHeight="false" outlineLevel="0" collapsed="false">
      <c r="A9" s="0" t="s">
        <v>147</v>
      </c>
      <c r="B9" s="0" t="n">
        <f aca="false">SUMPRODUCT(E4:E6,D4:D6)</f>
        <v>41.1089200282926</v>
      </c>
    </row>
    <row r="10" customFormat="false" ht="15" hidden="false" customHeight="false" outlineLevel="0" collapsed="false">
      <c r="A10" s="0" t="s">
        <v>148</v>
      </c>
      <c r="B10" s="0" t="n">
        <f aca="false">1-Assumptions!$B$2/B8</f>
        <v>-0.839628672846436</v>
      </c>
    </row>
    <row r="11" customFormat="false" ht="15" hidden="false" customHeight="false" outlineLevel="0" collapsed="false">
      <c r="A11" s="0" t="s">
        <v>149</v>
      </c>
      <c r="B11" s="0" t="n">
        <f aca="false">IF(ABS(B9-B8)&gt;0.01*ABS(B8),(Assumptions!$B$2-B8)/(B9-B8)*100,"n/a")</f>
        <v>2481.42081090146</v>
      </c>
    </row>
    <row r="12" customFormat="false" ht="15" hidden="false" customHeight="false" outlineLevel="0" collapsed="false">
      <c r="A12" s="0" t="s">
        <v>150</v>
      </c>
      <c r="B12" s="0" t="n">
        <f aca="false">SUMPRODUCT(F4:F6,D4:D6)</f>
        <v>18.1340081931003</v>
      </c>
    </row>
    <row r="14" customFormat="false" ht="15" hidden="false" customHeight="false" outlineLevel="0" collapsed="false">
      <c r="A14" s="2" t="s">
        <v>151</v>
      </c>
      <c r="C14" s="0" t="s">
        <v>152</v>
      </c>
    </row>
    <row r="15" customFormat="false" ht="15" hidden="false" customHeight="false" outlineLevel="0" collapsed="false">
      <c r="A15" s="0" t="s">
        <v>153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40.4167622852529</v>
      </c>
      <c r="C15" s="3" t="n">
        <v>8.5</v>
      </c>
    </row>
    <row r="16" customFormat="false" ht="15" hidden="false" customHeight="false" outlineLevel="0" collapsed="false">
      <c r="A16" s="0" t="s">
        <v>154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38.5520735382606</v>
      </c>
      <c r="C16" s="3" t="n">
        <v>9</v>
      </c>
    </row>
    <row r="17" customFormat="false" ht="15" hidden="false" customHeight="false" outlineLevel="0" collapsed="false">
      <c r="A17" s="0" t="s">
        <v>155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32.9515618872657</v>
      </c>
      <c r="C17" s="3" t="n">
        <v>10</v>
      </c>
    </row>
    <row r="18" customFormat="false" ht="15" hidden="false" customHeight="false" outlineLevel="0" collapsed="false">
      <c r="A18" s="0" t="s">
        <v>156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28.6710040879117</v>
      </c>
      <c r="C18" s="3" t="n">
        <v>11</v>
      </c>
    </row>
    <row r="19" customFormat="false" ht="15" hidden="false" customHeight="false" outlineLevel="0" collapsed="false">
      <c r="A19" s="0" t="s">
        <v>157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25.293484942892</v>
      </c>
      <c r="C19" s="3" t="n">
        <v>12</v>
      </c>
    </row>
    <row r="20" customFormat="false" ht="15" hidden="false" customHeight="false" outlineLevel="0" collapsed="false">
      <c r="A20" s="0" t="s">
        <v>158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18.4112505804656</v>
      </c>
      <c r="C20" s="3" t="n">
        <v>15</v>
      </c>
    </row>
    <row r="22" customFormat="false" ht="15" hidden="false" customHeight="false" outlineLevel="0" collapsed="false">
      <c r="A22" s="2" t="s">
        <v>159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47.3098374095186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47.3098374095186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47.3098374095186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47.3098374095186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47.3098374095186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43.7017827189261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43.7017827189261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43.7017827189261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43.7017827189261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43.7017827189261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38.1503712258844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39.951861555126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40.4167622852529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40.4167622852529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40.4167622852529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32.8560434594924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34.1139044606802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35.5514598906091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37.2101776943732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37.4222512035303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28.7454949245138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29.6545475763684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30.6772318097049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31.8362739408197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33.1608935192365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2026-10-12T02:05:09Z</dcterms:created>
  <dc:creator>openpyxl</dc:creator>
  <dc:description/>
  <dc:language>en-NZ</dc:language>
  <cp:lastModifiedBy/>
  <dcterms:modified xsi:type="dcterms:W3CDTF">2026-10-12T02:05:09Z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