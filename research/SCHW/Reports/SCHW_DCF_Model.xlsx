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<sst xmlns="http://schemas.openxmlformats.org/spreadsheetml/2006/main" count="389" uniqueCount="175">
  <si>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</si>
  <si>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SCHW</t>
  </si>
  <si>
    <t xml:space="preserve">Company</t>
  </si>
  <si>
    <t xml:space="preserve">The Charles Schwab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</si>
  <si>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</si>
  <si>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</si>
  <si>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</si>
  <si>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</si>
  <si>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API); 52-week range 83.96-114.53</t>
  </si>
  <si>
    <t xml:space="preserve">Balance sheet date</t>
  </si>
  <si>
    <t xml:space="preserve">2026-06-30</t>
  </si>
  <si>
    <t xml:space="preserve">Model</t>
  </si>
  <si>
    <t xml:space="preserve">Bank FCFE at cost of equity on adjusted earnings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</si>
  <si>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</si>
  <si>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</si>
  <si>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</si>
  <si>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</si>
  <si>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</si>
  <si>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</si>
  <si>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</si>
  <si>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</si>
  <si>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2026-10-02T08:47:26Z</t>
  </si>
  <si>
    <t xml:space="preserve">Drivers file</t>
  </si>
  <si>
    <t xml:space="preserve">SCHW_Drivers.json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</si>
  <si>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</si>
  <si>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</si>
  <si>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</si>
  <si>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Schwab is a savings-and-loan holding company whose economics are those of a deposit-funded bank wrapped around a fee-earning brokerage and custody franchise, so it is valued as free cash flow to equity - adjusted net income (before non-cash amortization of TD Ameritrade intangibles) less the capital retained to grow the balance sheet at its leverage target - capitalised at a 10% USD cost of equity. Deposits, FHLB advances and senior notes are operating funding already charged inside net interest revenue, so net debt is zero and only the $6.2B preferred is deducted ahead of common. FY0 is the FY2026 run-rate; the three cases differ on whether the post-2023 net-interest-margin recovery holds, extends or reverses through another cash-sorting episode.
key_risks_to_valuation: Cash sorting: if short-term rates stay elevated versus sweep yields, client cash migrates to money-market funds and Schwab re-levers onto costlier FHLB/brokered funding, compressing net interest revenue (~half of revenue) - the bear case's FY2027 -6% revenue and 43% margin; Rate path: Fed easing narrows the spread on new asset purchases even as funding costs fall; the base case already gives back 150bps of margin from FY2029; Equity-market levels drive asset-management fees and trading activity (~40% of revenue combined); a 20% drawdown would cut both with little cost offset; AOCI (-$10.6B) depresses tangible common equity to ~$14/share; if regulation (Basel III endgame for Category III firms) forces AOCI into regulatory capital before pull-to-par completes, buybacks slow and retention rises; The model excludes ~$540M/yr of acquired-intangible amortization from the flows as non-cash; that is correct for FCFE but means the valuation sits on adjusted, not GAAP, earnings (GAAP EPS ~$0.25/yr lower); The share count is held flat and buybacks are treated as the distribution channel; per-share value is therefore insensitive to repurchase pace but sensitive to the 10% cost of equity and the 0.8x retention ratio (see sensitivity grid)</t>
  </si>
  <si>
    <t xml:space="preserve">Data sources</t>
  </si>
  <si>
    <t xml:space="preserve">price: Yahoo Finance chart API at inputs.price_as_of; 52-week range 83.96-114.53
financials: SEC XBRL companyfacts (CIK 0000316709): FY2025 10-K filed 2026-02-25 and Q2-2026 10-Q filed 2026-08-07 for revenues, net interest revenue, noninterest expense, pretax income, tax, intangible amortization, SBC, capex, buybacks, dividends (common and preferred), preferred stock, goodwill, intangibles, AOCI, deposits, borrowings and share counts; SCHW_Metrics.csv (XBRL-derived) for the FY2007-Q2 2026 history
qualitative: SCHW_Analysis.json (2026-10-02): Q1/Q2-2026 results, core NNA and account growth, balance-sheet normalisation and BDA transfers, cash-sorting and rate-sensitivity risks, TD Ameritrade integration completion, consensus EPS and price targets</t>
  </si>
  <si>
    <t xml:space="preserve">Scenario narrative: bear</t>
  </si>
  <si>
    <t xml:space="preserve">2023 repeats in milder form: short rates stay elevated relative to sweep yields, clients sort cash into money-market funds, and Schwab re-levers onto FHLB and brokered funding while a market drawdown cuts fee and trading revenue. FY2027 revenue falls 6%, the adjusted pretax margin drops to 43% (FY2024 was ~41.5%), buybacks pause to rebuild leverage capital, and the franchise then grows only 3-4.5% with the margin recovering to 46%. Exit at 12x FCFE. No solvency element - the RIA and retail franchise is intact; this is an earnings reset and a de-rating, not a credit event.</t>
  </si>
  <si>
    <t xml:space="preserve">Scenario narrative: base</t>
  </si>
  <si>
    <t xml:space="preserve">Schwab's value turns on three things: (1) organic asset gathering - core NNA of ~5.5-6% a year on $13.1T of client assets, the #1 RIA custody franchise and 48M accounts, which compounds asset-management fees and the sweep-cash base; (2) net interest revenue (~half of revenue), where the post-2023 balance-sheet normalisation is largely done - supplemental funding is down to $0.5B of FHLB advances - so the base case holds the 52.5% adjusted pretax margin through FY2028 and then gives back 150bps to 51% as Fed easing narrows new-money spreads; (3) capital return - with integration finished and AOCI recovering, ~85-90% of adjusted earnings is distributed via buybacks and a $1.28 dividend. Revenue grows 8% in FY2027 fading to 3.5% by FY2036. Valued as FCFE at a 10% cost of equity with the $6.2B preferred deducted, this lands close to the current price: the market is already paying for the normalisation.</t>
  </si>
  <si>
    <t xml:space="preserve">Scenario narrative: bull</t>
  </si>
  <si>
    <t xml:space="preserve">The Q2-2026 run-rate proves to be a floor: record NNA (Q2 +49% YoY, June the largest month ever) sustains 6-7% organic growth, BDA balances keep migrating onto Schwab's balance sheet and legacy low-yield securities reprice into record loan originations, so the adjusted pretax margin climbs to 55% - the operating leverage a fully integrated TDA platform should deliver. AOCI pull-to-par releases capital, so retention falls to 0.6x growth and payout runs near 100%. Revenue grows 11% in FY2027, 4% by FY2036,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</si>
  <si>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</si>
  <si>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</si>
  <si>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</si>
  <si>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</si>
  <si>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</si>
  <si>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</si>
  <si>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</si>
  <si>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</si>
  <si>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</si>
  <si>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</si>
  <si>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</si>
  <si>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</si>
  <si>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</si>
  <si>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</si>
  <si>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</si>
  <si>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</si>
  <si>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</si>
  <si>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</si>
  <si>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</si>
  <si>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</si>
  <si>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</si>
  <si>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</si>
  <si>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</si>
  <si>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</si>
  <si>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</si>
  <si>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</si>
  <si>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</si>
  <si>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</si>
  <si>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</si>
  <si>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</si>
  <si>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</si>
  <si>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</si>
  <si>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</si>
  <si>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</si>
  <si>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</si>
  <si>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</si>
  <si>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</si>
  <si>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</si>
  <si>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</si>
  <si>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</si>
  <si>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</si>
  <si>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</si>
  <si>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</si>
  <si>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</si>
  <si>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</si>
  <si>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</si>
  <si>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</si>
  <si>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</si>
  <si>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</si>
  <si>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</si>
  <si>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</si>
  <si>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</si>
  <si>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</si>
  <si>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</si>
  <si>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</si>
  <si>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</si>
  <si>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</si>
  <si>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</si>
  <si>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</si>
  <si>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</si>
  <si>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</si>
  <si>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</si>
  <si>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</si>
  <si>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</si>
  <si>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</si>
  <si>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</si>
  <si>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</si>
  <si>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</si>
  <si>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</si>
  <si>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</si>
  <si>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</si>
  <si>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</si>
  <si>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</si>
  <si>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</si>
  <si>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</si>
  <si>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</si>
  <si>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</si>
  <si>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</si>
  <si>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</si>
  <si>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</si>
  <si>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</si>
  <si>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</si>
  <si>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</si>
  <si>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</si>
  <si>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</si>
  <si>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SCHW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</si>
  <si>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</si>
  <si>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</si>
  <si>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</si>
  <si>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</si>
  <si>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</si>
  <si>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</si>
  <si>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</si>
  <si>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</si>
  <si>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</si>
  <si>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</si>
  <si>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</si>
  <si>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</si>
  <si>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</si>
  <si>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</si>
  <si>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</si>
  <si>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</si>
  <si>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</si>
  <si>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</si>
  <si>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</si>
  <si>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</si>
  <si>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</si>
  <si>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</si>
  <si>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</si>
  <si>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</si>
  <si>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</si>
  <si>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</si>
  <si>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</si>
  <si>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</si>
  <si>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</si>
  <si>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</si>
  <si>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SCHW owner-FCF component DCF: base case (millions, USD)</t>
  </si>
  <si>
    <t xml:space="preserve">SCHW owner-FCF component DCF: bull case (millions, USD)</t>
  </si>
  <si>
    <t xml:space="preserve">SCHW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</si>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</sst>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98.37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5008</v>
      </c>
      <c r="S2" s="0" t="n">
        <v>4507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4994</v>
      </c>
      <c r="I3" s="0" t="n">
        <v>2407</v>
      </c>
      <c r="J3" s="0" t="n">
        <v>48.1978374048859</v>
      </c>
      <c r="K3" s="0" t="n">
        <v>1.98</v>
      </c>
      <c r="L3" s="0" t="n">
        <v>1746</v>
      </c>
      <c r="M3" s="0" t="n">
        <v>168</v>
      </c>
      <c r="N3" s="0" t="n">
        <v>1578</v>
      </c>
      <c r="O3" s="0" t="n">
        <v>3732</v>
      </c>
      <c r="S3" s="0" t="n">
        <v>6764</v>
      </c>
      <c r="T3" s="0" t="n">
        <v>1222</v>
      </c>
      <c r="U3" s="0" t="n">
        <v>58</v>
      </c>
      <c r="V3" s="0" t="n">
        <v>1.2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5150</v>
      </c>
      <c r="I4" s="0" t="n">
        <v>1212</v>
      </c>
      <c r="J4" s="0" t="n">
        <v>23.5339805825243</v>
      </c>
      <c r="K4" s="0" t="n">
        <v>1.06</v>
      </c>
      <c r="L4" s="0" t="n">
        <v>2</v>
      </c>
      <c r="M4" s="0" t="n">
        <v>196</v>
      </c>
      <c r="N4" s="0" t="n">
        <v>-194</v>
      </c>
      <c r="O4" s="0" t="n">
        <v>4061</v>
      </c>
      <c r="P4" s="0" t="n">
        <v>51675</v>
      </c>
      <c r="Q4" s="0" t="n">
        <v>47614</v>
      </c>
      <c r="R4" s="0" t="n">
        <v>883</v>
      </c>
      <c r="S4" s="0" t="n">
        <v>5442</v>
      </c>
      <c r="T4" s="0" t="n">
        <v>1157</v>
      </c>
      <c r="U4" s="0" t="n">
        <v>69</v>
      </c>
      <c r="V4" s="0" t="n">
        <v>0.22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4193</v>
      </c>
      <c r="I5" s="0" t="n">
        <v>787</v>
      </c>
      <c r="J5" s="0" t="n">
        <v>18.7693775339852</v>
      </c>
      <c r="K5" s="0" t="n">
        <v>0.68</v>
      </c>
      <c r="L5" s="0" t="n">
        <v>1437</v>
      </c>
      <c r="M5" s="0" t="n">
        <v>140</v>
      </c>
      <c r="N5" s="0" t="n">
        <v>1297</v>
      </c>
      <c r="O5" s="0" t="n">
        <v>5073</v>
      </c>
      <c r="P5" s="0" t="n">
        <v>75431</v>
      </c>
      <c r="Q5" s="0" t="n">
        <v>70358</v>
      </c>
      <c r="R5" s="0" t="n">
        <v>1512</v>
      </c>
      <c r="S5" s="0" t="n">
        <v>8241</v>
      </c>
      <c r="T5" s="0" t="n">
        <v>1160</v>
      </c>
      <c r="U5" s="0" t="n">
        <v>75</v>
      </c>
      <c r="V5" s="0" t="n">
        <v>0.24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4248</v>
      </c>
      <c r="I6" s="0" t="n">
        <v>454</v>
      </c>
      <c r="J6" s="0" t="n">
        <v>10.6873822975518</v>
      </c>
      <c r="K6" s="0" t="n">
        <v>0.38</v>
      </c>
      <c r="L6" s="0" t="n">
        <v>-9</v>
      </c>
      <c r="M6" s="0" t="n">
        <v>129</v>
      </c>
      <c r="N6" s="0" t="n">
        <v>-138</v>
      </c>
      <c r="O6" s="0" t="n">
        <v>6226</v>
      </c>
      <c r="P6" s="0" t="n">
        <v>92568</v>
      </c>
      <c r="Q6" s="0" t="n">
        <v>86342</v>
      </c>
      <c r="R6" s="0" t="n">
        <v>2006</v>
      </c>
      <c r="S6" s="0" t="n">
        <v>4931</v>
      </c>
      <c r="T6" s="0" t="n">
        <v>1194</v>
      </c>
      <c r="U6" s="0" t="n">
        <v>87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4691</v>
      </c>
      <c r="I7" s="0" t="n">
        <v>864</v>
      </c>
      <c r="J7" s="0" t="n">
        <v>18.4182477083777</v>
      </c>
      <c r="K7" s="0" t="n">
        <v>0.7</v>
      </c>
      <c r="L7" s="0" t="n">
        <v>2464</v>
      </c>
      <c r="M7" s="0" t="n">
        <v>190</v>
      </c>
      <c r="N7" s="0" t="n">
        <v>2274</v>
      </c>
      <c r="O7" s="0" t="n">
        <v>7714</v>
      </c>
      <c r="P7" s="0" t="n">
        <v>108553</v>
      </c>
      <c r="Q7" s="0" t="n">
        <v>100839</v>
      </c>
      <c r="R7" s="0" t="n">
        <v>2001</v>
      </c>
      <c r="S7" s="0" t="n">
        <v>8679</v>
      </c>
      <c r="T7" s="0" t="n">
        <v>1229</v>
      </c>
      <c r="U7" s="0" t="n">
        <v>99</v>
      </c>
      <c r="V7" s="0" t="n">
        <v>0.24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4883</v>
      </c>
      <c r="I8" s="0" t="n">
        <v>928</v>
      </c>
      <c r="J8" s="0" t="n">
        <v>19.0047102191276</v>
      </c>
      <c r="K8" s="0" t="n">
        <v>0.69</v>
      </c>
      <c r="L8" s="0" t="n">
        <v>1266</v>
      </c>
      <c r="M8" s="0" t="n">
        <v>148</v>
      </c>
      <c r="N8" s="0" t="n">
        <v>1118</v>
      </c>
      <c r="O8" s="0" t="n">
        <v>9589</v>
      </c>
      <c r="P8" s="0" t="n">
        <v>133637</v>
      </c>
      <c r="Q8" s="0" t="n">
        <v>124048</v>
      </c>
      <c r="R8" s="0" t="n">
        <v>1632</v>
      </c>
      <c r="S8" s="0" t="n">
        <v>12663</v>
      </c>
      <c r="T8" s="0" t="n">
        <v>1275</v>
      </c>
      <c r="U8" s="0" t="n">
        <v>105</v>
      </c>
      <c r="V8" s="0" t="n">
        <v>0.24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5435</v>
      </c>
      <c r="I9" s="0" t="n">
        <v>1071</v>
      </c>
      <c r="J9" s="0" t="n">
        <v>19.705611775529</v>
      </c>
      <c r="K9" s="0" t="n">
        <v>0.78</v>
      </c>
      <c r="M9" s="0" t="n">
        <v>270</v>
      </c>
      <c r="O9" s="0" t="n">
        <v>10381</v>
      </c>
      <c r="P9" s="0" t="n">
        <v>143642</v>
      </c>
      <c r="Q9" s="0" t="n">
        <v>133261</v>
      </c>
      <c r="R9" s="0" t="n">
        <v>1903</v>
      </c>
      <c r="S9" s="0" t="n">
        <v>7728</v>
      </c>
      <c r="T9" s="0" t="n">
        <v>1293</v>
      </c>
      <c r="U9" s="0" t="n">
        <v>116</v>
      </c>
      <c r="V9" s="0" t="n">
        <v>0.24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6058</v>
      </c>
      <c r="I10" s="0" t="n">
        <v>1321</v>
      </c>
      <c r="J10" s="0" t="n">
        <v>21.8058765269066</v>
      </c>
      <c r="K10" s="0" t="n">
        <v>0.96</v>
      </c>
      <c r="M10" s="0" t="n">
        <v>405</v>
      </c>
      <c r="O10" s="0" t="n">
        <v>11803</v>
      </c>
      <c r="P10" s="0" t="n">
        <v>154642</v>
      </c>
      <c r="Q10" s="0" t="n">
        <v>142839</v>
      </c>
      <c r="R10" s="0" t="n">
        <v>1899</v>
      </c>
      <c r="S10" s="0" t="n">
        <v>11363</v>
      </c>
      <c r="T10" s="0" t="n">
        <v>1315</v>
      </c>
      <c r="U10" s="0" t="n">
        <v>115</v>
      </c>
      <c r="V10" s="0" t="n">
        <v>0.24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6380</v>
      </c>
      <c r="I11" s="0" t="n">
        <v>1447</v>
      </c>
      <c r="J11" s="0" t="n">
        <v>22.6802507836991</v>
      </c>
      <c r="K11" s="0" t="n">
        <v>1.04</v>
      </c>
      <c r="M11" s="0" t="n">
        <v>285</v>
      </c>
      <c r="O11" s="0" t="n">
        <v>13402</v>
      </c>
      <c r="P11" s="0" t="n">
        <v>183705</v>
      </c>
      <c r="Q11" s="0" t="n">
        <v>170303</v>
      </c>
      <c r="R11" s="0" t="n">
        <v>2877</v>
      </c>
      <c r="S11" s="0" t="n">
        <v>11978</v>
      </c>
      <c r="T11" s="0" t="n">
        <v>1327</v>
      </c>
      <c r="U11" s="0" t="n">
        <v>135</v>
      </c>
      <c r="V11" s="0" t="n">
        <v>0.24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7478</v>
      </c>
      <c r="I12" s="0" t="n">
        <v>1889</v>
      </c>
      <c r="J12" s="0" t="n">
        <v>25.2607649104039</v>
      </c>
      <c r="K12" s="0" t="n">
        <v>1.32</v>
      </c>
      <c r="L12" s="0" t="n">
        <v>3603</v>
      </c>
      <c r="M12" s="0" t="n">
        <v>353</v>
      </c>
      <c r="N12" s="0" t="n">
        <v>3250</v>
      </c>
      <c r="O12" s="0" t="n">
        <v>16421</v>
      </c>
      <c r="P12" s="0" t="n">
        <v>223383</v>
      </c>
      <c r="Q12" s="0" t="n">
        <v>206962</v>
      </c>
      <c r="R12" s="0" t="n">
        <v>2876</v>
      </c>
      <c r="S12" s="0" t="n">
        <v>10828</v>
      </c>
      <c r="T12" s="0" t="n">
        <v>1334</v>
      </c>
      <c r="U12" s="0" t="n">
        <v>141</v>
      </c>
      <c r="V12" s="0" t="n">
        <v>0.27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8618</v>
      </c>
      <c r="I13" s="0" t="n">
        <v>2354</v>
      </c>
      <c r="J13" s="0" t="n">
        <v>27.3149222557438</v>
      </c>
      <c r="K13" s="0" t="n">
        <v>1.63</v>
      </c>
      <c r="L13" s="0" t="n">
        <v>-839</v>
      </c>
      <c r="M13" s="0" t="n">
        <v>412</v>
      </c>
      <c r="N13" s="0" t="n">
        <v>-1251</v>
      </c>
      <c r="O13" s="0" t="n">
        <v>18525</v>
      </c>
      <c r="P13" s="0" t="n">
        <v>243274</v>
      </c>
      <c r="Q13" s="0" t="n">
        <v>224749</v>
      </c>
      <c r="R13" s="0" t="n">
        <v>4753</v>
      </c>
      <c r="S13" s="0" t="n">
        <v>14217</v>
      </c>
      <c r="T13" s="0" t="n">
        <v>1353</v>
      </c>
      <c r="U13" s="0" t="n">
        <v>153</v>
      </c>
      <c r="V13" s="0" t="n">
        <v>0.32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10132</v>
      </c>
      <c r="I14" s="0" t="n">
        <v>3507</v>
      </c>
      <c r="J14" s="0" t="n">
        <v>34.6131069877616</v>
      </c>
      <c r="K14" s="0" t="n">
        <v>2.47</v>
      </c>
      <c r="L14" s="0" t="n">
        <v>12456</v>
      </c>
      <c r="M14" s="0" t="n">
        <v>576</v>
      </c>
      <c r="N14" s="0" t="n">
        <v>11880</v>
      </c>
      <c r="O14" s="0" t="n">
        <v>20670</v>
      </c>
      <c r="P14" s="0" t="n">
        <v>296482</v>
      </c>
      <c r="Q14" s="0" t="n">
        <v>275812</v>
      </c>
      <c r="R14" s="0" t="n">
        <v>6878</v>
      </c>
      <c r="S14" s="0" t="n">
        <v>27938</v>
      </c>
      <c r="T14" s="0" t="n">
        <v>1361</v>
      </c>
      <c r="U14" s="0" t="n">
        <v>197</v>
      </c>
      <c r="V14" s="0" t="n">
        <v>0.46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10721</v>
      </c>
      <c r="I15" s="0" t="n">
        <v>3704</v>
      </c>
      <c r="J15" s="0" t="n">
        <v>34.5490159500047</v>
      </c>
      <c r="K15" s="0" t="n">
        <v>2.69</v>
      </c>
      <c r="L15" s="0" t="n">
        <v>9325</v>
      </c>
      <c r="M15" s="0" t="n">
        <v>753</v>
      </c>
      <c r="N15" s="0" t="n">
        <v>8572</v>
      </c>
      <c r="O15" s="0" t="n">
        <v>21745</v>
      </c>
      <c r="P15" s="0" t="n">
        <v>294000</v>
      </c>
      <c r="Q15" s="0" t="n">
        <v>272260</v>
      </c>
      <c r="R15" s="0" t="n">
        <v>7430</v>
      </c>
      <c r="S15" s="0" t="n">
        <v>29345</v>
      </c>
      <c r="T15" s="0" t="n">
        <v>1320</v>
      </c>
      <c r="U15" s="0" t="n">
        <v>183</v>
      </c>
      <c r="V15" s="0" t="n">
        <v>0.68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11691</v>
      </c>
      <c r="I16" s="0" t="n">
        <v>3299</v>
      </c>
      <c r="J16" s="0" t="n">
        <v>28.2182875716363</v>
      </c>
      <c r="K16" s="0" t="n">
        <v>2.13</v>
      </c>
      <c r="L16" s="0" t="n">
        <v>6852</v>
      </c>
      <c r="M16" s="0" t="n">
        <v>741</v>
      </c>
      <c r="N16" s="0" t="n">
        <v>6111</v>
      </c>
      <c r="O16" s="0" t="n">
        <v>56060</v>
      </c>
      <c r="P16" s="0" t="n">
        <v>549009</v>
      </c>
      <c r="Q16" s="0" t="n">
        <v>492949</v>
      </c>
      <c r="R16" s="0" t="n">
        <v>13632</v>
      </c>
      <c r="S16" s="0" t="n">
        <v>40348</v>
      </c>
      <c r="T16" s="0" t="n">
        <v>1435</v>
      </c>
      <c r="U16" s="0" t="n">
        <v>204</v>
      </c>
      <c r="V16" s="0" t="n">
        <v>0.72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18520</v>
      </c>
      <c r="I17" s="0" t="n">
        <v>5855</v>
      </c>
      <c r="J17" s="0" t="n">
        <v>31.6144708423326</v>
      </c>
      <c r="K17" s="0" t="n">
        <v>2.84</v>
      </c>
      <c r="L17" s="0" t="n">
        <v>2118</v>
      </c>
      <c r="M17" s="0" t="n">
        <v>1041</v>
      </c>
      <c r="N17" s="0" t="n">
        <v>1077</v>
      </c>
      <c r="O17" s="0" t="n">
        <v>56261</v>
      </c>
      <c r="P17" s="0" t="n">
        <v>667270</v>
      </c>
      <c r="Q17" s="0" t="n">
        <v>611009</v>
      </c>
      <c r="R17" s="0" t="n">
        <v>18914</v>
      </c>
      <c r="S17" s="0" t="n">
        <v>62975</v>
      </c>
      <c r="T17" s="0" t="n">
        <v>1897</v>
      </c>
      <c r="U17" s="0" t="n">
        <v>254</v>
      </c>
      <c r="V17" s="0" t="n">
        <v>0.72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20762</v>
      </c>
      <c r="I18" s="0" t="n">
        <v>7183</v>
      </c>
      <c r="J18" s="0" t="n">
        <v>34.5968596474328</v>
      </c>
      <c r="K18" s="0" t="n">
        <v>3.52</v>
      </c>
      <c r="L18" s="0" t="n">
        <v>2057</v>
      </c>
      <c r="M18" s="0" t="n">
        <v>971</v>
      </c>
      <c r="N18" s="0" t="n">
        <v>1086</v>
      </c>
      <c r="O18" s="0" t="n">
        <v>36608</v>
      </c>
      <c r="P18" s="0" t="n">
        <v>551772</v>
      </c>
      <c r="Q18" s="0" t="n">
        <v>515164</v>
      </c>
      <c r="R18" s="0" t="n">
        <v>20828</v>
      </c>
      <c r="S18" s="0" t="n">
        <v>40195</v>
      </c>
      <c r="T18" s="0" t="n">
        <v>1894</v>
      </c>
      <c r="U18" s="0" t="n">
        <v>366</v>
      </c>
      <c r="V18" s="0" t="n">
        <v>0.84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18837</v>
      </c>
      <c r="I19" s="0" t="n">
        <v>5067</v>
      </c>
      <c r="J19" s="0" t="n">
        <v>26.899187768753</v>
      </c>
      <c r="K19" s="0" t="n">
        <v>2.55</v>
      </c>
      <c r="L19" s="0" t="n">
        <v>19587</v>
      </c>
      <c r="M19" s="0" t="n">
        <v>804</v>
      </c>
      <c r="N19" s="0" t="n">
        <v>18783</v>
      </c>
      <c r="O19" s="0" t="n">
        <v>40958</v>
      </c>
      <c r="P19" s="0" t="n">
        <v>493178</v>
      </c>
      <c r="Q19" s="0" t="n">
        <v>452220</v>
      </c>
      <c r="R19" s="0" t="n">
        <v>26128</v>
      </c>
      <c r="S19" s="0" t="n">
        <v>43337</v>
      </c>
      <c r="T19" s="0" t="n">
        <v>1831</v>
      </c>
      <c r="U19" s="0" t="n">
        <v>320</v>
      </c>
      <c r="V19" s="0" t="n">
        <v>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19606</v>
      </c>
      <c r="I20" s="0" t="n">
        <v>5942</v>
      </c>
      <c r="J20" s="0" t="n">
        <v>30.3070488625931</v>
      </c>
      <c r="K20" s="0" t="n">
        <v>3</v>
      </c>
      <c r="L20" s="0" t="n">
        <v>2670</v>
      </c>
      <c r="M20" s="0" t="n">
        <v>620</v>
      </c>
      <c r="N20" s="0" t="n">
        <v>2050</v>
      </c>
      <c r="O20" s="0" t="n">
        <v>48375</v>
      </c>
      <c r="P20" s="0" t="n">
        <v>479843</v>
      </c>
      <c r="Q20" s="0" t="n">
        <v>431468</v>
      </c>
      <c r="R20" s="0" t="n">
        <v>22428</v>
      </c>
      <c r="S20" s="0" t="n">
        <v>42083</v>
      </c>
      <c r="T20" s="0" t="n">
        <v>1834</v>
      </c>
      <c r="U20" s="0" t="n">
        <v>337</v>
      </c>
      <c r="V20" s="0" t="n">
        <v>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23921</v>
      </c>
      <c r="I21" s="0" t="n">
        <v>8852</v>
      </c>
      <c r="J21" s="0" t="n">
        <v>37.0051419255048</v>
      </c>
      <c r="K21" s="0" t="n">
        <v>4.67</v>
      </c>
      <c r="L21" s="0" t="n">
        <v>9311</v>
      </c>
      <c r="M21" s="0" t="n">
        <v>602</v>
      </c>
      <c r="N21" s="0" t="n">
        <v>8709</v>
      </c>
      <c r="O21" s="0" t="n">
        <v>49425</v>
      </c>
      <c r="P21" s="0" t="n">
        <v>490995</v>
      </c>
      <c r="Q21" s="0" t="n">
        <v>441570</v>
      </c>
      <c r="R21" s="0" t="n">
        <v>22199</v>
      </c>
      <c r="S21" s="0" t="n">
        <v>46030</v>
      </c>
      <c r="T21" s="0" t="n">
        <v>1809</v>
      </c>
      <c r="U21" s="0" t="n">
        <v>317</v>
      </c>
      <c r="V21" s="0" t="n">
        <v>1.08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98.37</v>
      </c>
    </row>
    <row r="3" customFormat="false" ht="15" hidden="false" customHeight="false" outlineLevel="0" collapsed="false">
      <c r="A3" s="0" t="s">
        <v>86</v>
      </c>
      <c r="B3" s="3" t="n">
        <v>1733.3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-6213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28200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-6</v>
      </c>
      <c r="D13" s="3" t="n">
        <v>2</v>
      </c>
      <c r="E13" s="3" t="n">
        <v>4</v>
      </c>
      <c r="F13" s="3" t="n">
        <v>4.5</v>
      </c>
      <c r="G13" s="3" t="n">
        <v>4.5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46.8</v>
      </c>
      <c r="D14" s="3" t="n">
        <v>47.8</v>
      </c>
      <c r="E14" s="3" t="n">
        <v>48.8</v>
      </c>
      <c r="F14" s="3" t="n">
        <v>49.3</v>
      </c>
      <c r="G14" s="3" t="n">
        <v>49.8</v>
      </c>
      <c r="H14" s="3" t="n">
        <v>49.8</v>
      </c>
      <c r="I14" s="3" t="n">
        <v>49.8</v>
      </c>
      <c r="J14" s="3" t="n">
        <v>49.8</v>
      </c>
      <c r="K14" s="3" t="n">
        <v>49.8</v>
      </c>
      <c r="L14" s="3" t="n">
        <v>49.8</v>
      </c>
    </row>
    <row r="15" customFormat="false" ht="15" hidden="false" customHeight="false" outlineLevel="0" collapsed="false">
      <c r="A15" s="0" t="s">
        <v>109</v>
      </c>
      <c r="C15" s="3" t="n">
        <v>1.6</v>
      </c>
      <c r="D15" s="3" t="n">
        <v>1.6</v>
      </c>
      <c r="E15" s="3" t="n">
        <v>1.6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2.3</v>
      </c>
      <c r="D17" s="3" t="n">
        <v>2.3</v>
      </c>
      <c r="E17" s="3" t="n">
        <v>2.3</v>
      </c>
      <c r="F17" s="3" t="n">
        <v>2.3</v>
      </c>
      <c r="G17" s="3" t="n">
        <v>2.3</v>
      </c>
      <c r="H17" s="3" t="n">
        <v>2.3</v>
      </c>
      <c r="I17" s="3" t="n">
        <v>2.3</v>
      </c>
      <c r="J17" s="3" t="n">
        <v>2.3</v>
      </c>
      <c r="K17" s="3" t="n">
        <v>2.3</v>
      </c>
      <c r="L17" s="3" t="n">
        <v>2.3</v>
      </c>
    </row>
    <row r="18" customFormat="false" ht="15" hidden="false" customHeight="false" outlineLevel="0" collapsed="false">
      <c r="A18" s="0" t="s">
        <v>112</v>
      </c>
      <c r="C18" s="3" t="n">
        <v>3.8</v>
      </c>
      <c r="D18" s="3" t="n">
        <v>5.7</v>
      </c>
      <c r="E18" s="3" t="n">
        <v>7.1</v>
      </c>
      <c r="F18" s="3" t="n">
        <v>7.7</v>
      </c>
      <c r="G18" s="3" t="n">
        <v>7.7</v>
      </c>
      <c r="H18" s="3" t="n">
        <v>7.1</v>
      </c>
      <c r="I18" s="3" t="n">
        <v>7.1</v>
      </c>
      <c r="J18" s="3" t="n">
        <v>6.5</v>
      </c>
      <c r="K18" s="3" t="n">
        <v>5.9</v>
      </c>
      <c r="L18" s="3" t="n">
        <v>5.9</v>
      </c>
    </row>
    <row r="19" customFormat="false" ht="15" hidden="false" customHeight="false" outlineLevel="0" collapsed="false">
      <c r="A19" s="0" t="s">
        <v>113</v>
      </c>
      <c r="C19" s="3" t="n">
        <v>23.5</v>
      </c>
      <c r="D19" s="3" t="n">
        <v>23.5</v>
      </c>
      <c r="E19" s="3" t="n">
        <v>23.5</v>
      </c>
      <c r="F19" s="3" t="n">
        <v>23.5</v>
      </c>
      <c r="G19" s="3" t="n">
        <v>23.5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8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56.3</v>
      </c>
      <c r="D28" s="3" t="n">
        <v>56.3</v>
      </c>
      <c r="E28" s="3" t="n">
        <v>55.8</v>
      </c>
      <c r="F28" s="3" t="n">
        <v>55.3</v>
      </c>
      <c r="G28" s="3" t="n">
        <v>54.8</v>
      </c>
      <c r="H28" s="3" t="n">
        <v>54.8</v>
      </c>
      <c r="I28" s="3" t="n">
        <v>54.8</v>
      </c>
      <c r="J28" s="3" t="n">
        <v>54.8</v>
      </c>
      <c r="K28" s="3" t="n">
        <v>54.8</v>
      </c>
      <c r="L28" s="3" t="n">
        <v>54.8</v>
      </c>
    </row>
    <row r="29" customFormat="false" ht="15" hidden="false" customHeight="false" outlineLevel="0" collapsed="false">
      <c r="A29" s="0" t="s">
        <v>109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2.3</v>
      </c>
      <c r="D31" s="3" t="n">
        <v>2.3</v>
      </c>
      <c r="E31" s="3" t="n">
        <v>2.3</v>
      </c>
      <c r="F31" s="3" t="n">
        <v>2.3</v>
      </c>
      <c r="G31" s="3" t="n">
        <v>2.3</v>
      </c>
      <c r="H31" s="3" t="n">
        <v>2.3</v>
      </c>
      <c r="I31" s="3" t="n">
        <v>2.3</v>
      </c>
      <c r="J31" s="3" t="n">
        <v>2.3</v>
      </c>
      <c r="K31" s="3" t="n">
        <v>2.3</v>
      </c>
      <c r="L31" s="3" t="n">
        <v>2.3</v>
      </c>
    </row>
    <row r="32" customFormat="false" ht="15" hidden="false" customHeight="false" outlineLevel="0" collapsed="false">
      <c r="A32" s="0" t="s">
        <v>112</v>
      </c>
      <c r="C32" s="3" t="n">
        <v>8.7</v>
      </c>
      <c r="D32" s="3" t="n">
        <v>7.9</v>
      </c>
      <c r="E32" s="3" t="n">
        <v>7.5</v>
      </c>
      <c r="F32" s="3" t="n">
        <v>7.1</v>
      </c>
      <c r="G32" s="3" t="n">
        <v>6.7</v>
      </c>
      <c r="H32" s="3" t="n">
        <v>6.3</v>
      </c>
      <c r="I32" s="3" t="n">
        <v>5.9</v>
      </c>
      <c r="J32" s="3" t="n">
        <v>5.9</v>
      </c>
      <c r="K32" s="3" t="n">
        <v>5.5</v>
      </c>
      <c r="L32" s="3" t="n">
        <v>5.1</v>
      </c>
    </row>
    <row r="33" customFormat="false" ht="15" hidden="false" customHeight="false" outlineLevel="0" collapsed="false">
      <c r="A33" s="0" t="s">
        <v>113</v>
      </c>
      <c r="C33" s="3" t="n">
        <v>23.5</v>
      </c>
      <c r="D33" s="3" t="n">
        <v>23.5</v>
      </c>
      <c r="E33" s="3" t="n">
        <v>23.5</v>
      </c>
      <c r="F33" s="3" t="n">
        <v>23.5</v>
      </c>
      <c r="G33" s="3" t="n">
        <v>23.5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11</v>
      </c>
      <c r="D41" s="3" t="n">
        <v>9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57.8</v>
      </c>
      <c r="D42" s="3" t="n">
        <v>58.3</v>
      </c>
      <c r="E42" s="3" t="n">
        <v>58.8</v>
      </c>
      <c r="F42" s="3" t="n">
        <v>58.8</v>
      </c>
      <c r="G42" s="3" t="n">
        <v>58.8</v>
      </c>
      <c r="H42" s="3" t="n">
        <v>58.8</v>
      </c>
      <c r="I42" s="3" t="n">
        <v>58.8</v>
      </c>
      <c r="J42" s="3" t="n">
        <v>58.8</v>
      </c>
      <c r="K42" s="3" t="n">
        <v>58.8</v>
      </c>
      <c r="L42" s="3" t="n">
        <v>58.8</v>
      </c>
    </row>
    <row r="43" customFormat="false" ht="15" hidden="false" customHeight="false" outlineLevel="0" collapsed="false">
      <c r="A43" s="0" t="s">
        <v>109</v>
      </c>
      <c r="C43" s="3" t="n">
        <v>1.5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2.3</v>
      </c>
      <c r="D45" s="3" t="n">
        <v>2.3</v>
      </c>
      <c r="E45" s="3" t="n">
        <v>2.3</v>
      </c>
      <c r="F45" s="3" t="n">
        <v>2.3</v>
      </c>
      <c r="G45" s="3" t="n">
        <v>2.3</v>
      </c>
      <c r="H45" s="3" t="n">
        <v>2.3</v>
      </c>
      <c r="I45" s="3" t="n">
        <v>2.3</v>
      </c>
      <c r="J45" s="3" t="n">
        <v>2.3</v>
      </c>
      <c r="K45" s="3" t="n">
        <v>2.3</v>
      </c>
      <c r="L45" s="3" t="n">
        <v>2.3</v>
      </c>
    </row>
    <row r="46" customFormat="false" ht="15" hidden="false" customHeight="false" outlineLevel="0" collapsed="false">
      <c r="A46" s="0" t="s">
        <v>112</v>
      </c>
      <c r="C46" s="3" t="n">
        <v>8.9</v>
      </c>
      <c r="D46" s="3" t="n">
        <v>7.7</v>
      </c>
      <c r="E46" s="3" t="n">
        <v>7.1</v>
      </c>
      <c r="F46" s="3" t="n">
        <v>6.5</v>
      </c>
      <c r="G46" s="3" t="n">
        <v>6.2</v>
      </c>
      <c r="H46" s="3" t="n">
        <v>5.9</v>
      </c>
      <c r="I46" s="3" t="n">
        <v>5.6</v>
      </c>
      <c r="J46" s="3" t="n">
        <v>5.3</v>
      </c>
      <c r="K46" s="3" t="n">
        <v>5</v>
      </c>
      <c r="L46" s="3" t="n">
        <v>4.7</v>
      </c>
    </row>
    <row r="47" customFormat="false" ht="15" hidden="false" customHeight="false" outlineLevel="0" collapsed="false">
      <c r="A47" s="0" t="s">
        <v>113</v>
      </c>
      <c r="C47" s="3" t="n">
        <v>23.5</v>
      </c>
      <c r="D47" s="3" t="n">
        <v>23.5</v>
      </c>
      <c r="E47" s="3" t="n">
        <v>23.5</v>
      </c>
      <c r="F47" s="3" t="n">
        <v>23.5</v>
      </c>
      <c r="G47" s="3" t="n">
        <v>23.5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-6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4.5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28200</v>
      </c>
      <c r="C6" s="0" t="n">
        <f aca="false">B6*(1+C5/100)</f>
        <v>26508</v>
      </c>
      <c r="D6" s="0" t="n">
        <f aca="false">C6*(1+D5/100)</f>
        <v>27038.16</v>
      </c>
      <c r="E6" s="0" t="n">
        <f aca="false">D6*(1+E5/100)</f>
        <v>28119.6864</v>
      </c>
      <c r="F6" s="0" t="n">
        <f aca="false">E6*(1+F5/100)</f>
        <v>29385.072288</v>
      </c>
      <c r="G6" s="0" t="n">
        <f aca="false">F6*(1+G5/100)</f>
        <v>30707.40054096</v>
      </c>
      <c r="H6" s="0" t="n">
        <f aca="false">G6*(1+H5/100)</f>
        <v>31935.6965625984</v>
      </c>
      <c r="I6" s="0" t="n">
        <f aca="false">H6*(1+I5/100)</f>
        <v>33213.1244251023</v>
      </c>
      <c r="J6" s="0" t="n">
        <f aca="false">I6*(1+J5/100)</f>
        <v>34375.5837799809</v>
      </c>
      <c r="K6" s="0" t="n">
        <f aca="false">J6*(1+K5/100)</f>
        <v>35406.8512933803</v>
      </c>
      <c r="L6" s="0" t="n">
        <f aca="false">K6*(1+L5/100)</f>
        <v>36469.0568321818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46.8</v>
      </c>
      <c r="D7" s="4" t="n">
        <f aca="false">Assumptions!D14</f>
        <v>47.8</v>
      </c>
      <c r="E7" s="4" t="n">
        <f aca="false">Assumptions!E14</f>
        <v>48.8</v>
      </c>
      <c r="F7" s="4" t="n">
        <f aca="false">Assumptions!F14</f>
        <v>49.3</v>
      </c>
      <c r="G7" s="4" t="n">
        <f aca="false">Assumptions!G14</f>
        <v>49.8</v>
      </c>
      <c r="H7" s="4" t="n">
        <f aca="false">Assumptions!H14</f>
        <v>49.8</v>
      </c>
      <c r="I7" s="4" t="n">
        <f aca="false">Assumptions!I14</f>
        <v>49.8</v>
      </c>
      <c r="J7" s="4" t="n">
        <f aca="false">Assumptions!J14</f>
        <v>49.8</v>
      </c>
      <c r="K7" s="4" t="n">
        <f aca="false">Assumptions!K14</f>
        <v>49.8</v>
      </c>
      <c r="L7" s="4" t="n">
        <f aca="false">Assumptions!L14</f>
        <v>49.8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12405.744</v>
      </c>
      <c r="D8" s="0" t="n">
        <f aca="false">D6*D7/100</f>
        <v>12924.24048</v>
      </c>
      <c r="E8" s="0" t="n">
        <f aca="false">E6*E7/100</f>
        <v>13722.4069632</v>
      </c>
      <c r="F8" s="0" t="n">
        <f aca="false">F6*F7/100</f>
        <v>14486.840637984</v>
      </c>
      <c r="G8" s="0" t="n">
        <f aca="false">G6*G7/100</f>
        <v>15292.2854693981</v>
      </c>
      <c r="H8" s="0" t="n">
        <f aca="false">H6*H7/100</f>
        <v>15903.976888174</v>
      </c>
      <c r="I8" s="0" t="n">
        <f aca="false">I6*I7/100</f>
        <v>16540.135963701</v>
      </c>
      <c r="J8" s="0" t="n">
        <f aca="false">J6*J7/100</f>
        <v>17119.0407224305</v>
      </c>
      <c r="K8" s="0" t="n">
        <f aca="false">K6*K7/100</f>
        <v>17632.6119441034</v>
      </c>
      <c r="L8" s="0" t="n">
        <f aca="false">L6*L7/100</f>
        <v>18161.5903024265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1.6</v>
      </c>
      <c r="D9" s="4" t="n">
        <f aca="false">Assumptions!D15</f>
        <v>1.6</v>
      </c>
      <c r="E9" s="4" t="n">
        <f aca="false">Assumptions!E15</f>
        <v>1.6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-424.128</v>
      </c>
      <c r="D10" s="0" t="n">
        <f aca="false">-D6*D9/100</f>
        <v>-432.61056</v>
      </c>
      <c r="E10" s="0" t="n">
        <f aca="false">-E6*E9/100</f>
        <v>-449.9149824</v>
      </c>
      <c r="F10" s="0" t="n">
        <f aca="false">-F6*F9/100</f>
        <v>-440.77608432</v>
      </c>
      <c r="G10" s="0" t="n">
        <f aca="false">-G6*G9/100</f>
        <v>-460.6110081144</v>
      </c>
      <c r="H10" s="0" t="n">
        <f aca="false">-H6*H9/100</f>
        <v>-479.035448438976</v>
      </c>
      <c r="I10" s="0" t="n">
        <f aca="false">-I6*I9/100</f>
        <v>-498.196866376535</v>
      </c>
      <c r="J10" s="0" t="n">
        <f aca="false">-J6*J9/100</f>
        <v>-515.633756699714</v>
      </c>
      <c r="K10" s="0" t="n">
        <f aca="false">-K6*K9/100</f>
        <v>-531.102769400705</v>
      </c>
      <c r="L10" s="0" t="n">
        <f aca="false">-L6*L9/100</f>
        <v>-547.035852482726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11981.616</v>
      </c>
      <c r="D11" s="0" t="n">
        <f aca="false">D8+D10+D24</f>
        <v>12491.62992</v>
      </c>
      <c r="E11" s="0" t="n">
        <f aca="false">E8+E10+E24</f>
        <v>13272.4919808</v>
      </c>
      <c r="F11" s="0" t="n">
        <f aca="false">F8+F10+F24</f>
        <v>14046.064553664</v>
      </c>
      <c r="G11" s="0" t="n">
        <f aca="false">G8+G10+G24</f>
        <v>14831.6744612837</v>
      </c>
      <c r="H11" s="0" t="n">
        <f aca="false">H8+H10+H24</f>
        <v>15424.941439735</v>
      </c>
      <c r="I11" s="0" t="n">
        <f aca="false">I8+I10+I24</f>
        <v>16041.9390973244</v>
      </c>
      <c r="J11" s="0" t="n">
        <f aca="false">J8+J10+J24</f>
        <v>16603.4069657308</v>
      </c>
      <c r="K11" s="0" t="n">
        <f aca="false">K8+K10+K24</f>
        <v>17101.5091747027</v>
      </c>
      <c r="L11" s="0" t="n">
        <f aca="false">L8+L10+L24</f>
        <v>17614.5544499438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-609.684</v>
      </c>
      <c r="D12" s="4" t="n">
        <f aca="false">-D6*Assumptions!D17/100</f>
        <v>-621.87768</v>
      </c>
      <c r="E12" s="4" t="n">
        <f aca="false">-E6*Assumptions!E17/100</f>
        <v>-646.7527872</v>
      </c>
      <c r="F12" s="4" t="n">
        <f aca="false">-F6*Assumptions!F17/100</f>
        <v>-675.856662624</v>
      </c>
      <c r="G12" s="4" t="n">
        <f aca="false">-G6*Assumptions!G17/100</f>
        <v>-706.27021244208</v>
      </c>
      <c r="H12" s="4" t="n">
        <f aca="false">-H6*Assumptions!H17/100</f>
        <v>-734.521020939763</v>
      </c>
      <c r="I12" s="4" t="n">
        <f aca="false">-I6*Assumptions!I17/100</f>
        <v>-763.901861777354</v>
      </c>
      <c r="J12" s="4" t="n">
        <f aca="false">-J6*Assumptions!J17/100</f>
        <v>-790.638426939561</v>
      </c>
      <c r="K12" s="4" t="n">
        <f aca="false">-K6*Assumptions!K17/100</f>
        <v>-814.357579747748</v>
      </c>
      <c r="L12" s="4" t="n">
        <f aca="false">-L6*Assumptions!L17/100</f>
        <v>-838.78830714018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11371.932</v>
      </c>
      <c r="D13" s="0" t="n">
        <f aca="false">D11+D12</f>
        <v>11869.75224</v>
      </c>
      <c r="E13" s="0" t="n">
        <f aca="false">E11+E12</f>
        <v>12625.7391936</v>
      </c>
      <c r="F13" s="0" t="n">
        <f aca="false">F11+F12</f>
        <v>13370.20789104</v>
      </c>
      <c r="G13" s="0" t="n">
        <f aca="false">G11+G12</f>
        <v>14125.4042488416</v>
      </c>
      <c r="H13" s="0" t="n">
        <f aca="false">H11+H12</f>
        <v>14690.4204187953</v>
      </c>
      <c r="I13" s="0" t="n">
        <f aca="false">I11+I12</f>
        <v>15278.0372355471</v>
      </c>
      <c r="J13" s="0" t="n">
        <f aca="false">J11+J12</f>
        <v>15812.7685387912</v>
      </c>
      <c r="K13" s="0" t="n">
        <f aca="false">K11+K12</f>
        <v>16287.151594955</v>
      </c>
      <c r="L13" s="0" t="n">
        <f aca="false">L11+L12</f>
        <v>16775.7661428036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23.5</v>
      </c>
      <c r="D14" s="4" t="n">
        <f aca="false">Assumptions!D19</f>
        <v>23.5</v>
      </c>
      <c r="E14" s="4" t="n">
        <f aca="false">Assumptions!E19</f>
        <v>23.5</v>
      </c>
      <c r="F14" s="4" t="n">
        <f aca="false">Assumptions!F19</f>
        <v>23.5</v>
      </c>
      <c r="G14" s="4" t="n">
        <f aca="false">Assumptions!G19</f>
        <v>23.5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8699.52798</v>
      </c>
      <c r="D15" s="0" t="n">
        <f aca="false">D13-MAX(0,D13)*D14/100</f>
        <v>9080.3604636</v>
      </c>
      <c r="E15" s="0" t="n">
        <f aca="false">E13-MAX(0,E13)*E14/100</f>
        <v>9658.690483104</v>
      </c>
      <c r="F15" s="0" t="n">
        <f aca="false">F13-MAX(0,F13)*F14/100</f>
        <v>10228.2090366456</v>
      </c>
      <c r="G15" s="0" t="n">
        <f aca="false">G13-MAX(0,G13)*G14/100</f>
        <v>10805.9342503638</v>
      </c>
      <c r="H15" s="0" t="n">
        <f aca="false">H13-MAX(0,H13)*H14/100</f>
        <v>11238.1716203784</v>
      </c>
      <c r="I15" s="0" t="n">
        <f aca="false">I13-MAX(0,I13)*I14/100</f>
        <v>11687.6984851935</v>
      </c>
      <c r="J15" s="0" t="n">
        <f aca="false">J13-MAX(0,J13)*J14/100</f>
        <v>12096.7679321753</v>
      </c>
      <c r="K15" s="0" t="n">
        <f aca="false">K13-MAX(0,K13)*K14/100</f>
        <v>12459.6709701405</v>
      </c>
      <c r="L15" s="0" t="n">
        <f aca="false">L13-MAX(0,L13)*L14/100</f>
        <v>12833.4610992448</v>
      </c>
    </row>
    <row r="16" customFormat="false" ht="15" hidden="false" customHeight="false" outlineLevel="0" collapsed="false">
      <c r="A16" s="0" t="s">
        <v>129</v>
      </c>
      <c r="C16" s="0" t="n">
        <f aca="false">-C12</f>
        <v>609.684</v>
      </c>
      <c r="D16" s="0" t="n">
        <f aca="false">-D12</f>
        <v>621.87768</v>
      </c>
      <c r="E16" s="0" t="n">
        <f aca="false">-E12</f>
        <v>646.7527872</v>
      </c>
      <c r="F16" s="0" t="n">
        <f aca="false">-F12</f>
        <v>675.856662624</v>
      </c>
      <c r="G16" s="0" t="n">
        <f aca="false">-G12</f>
        <v>706.27021244208</v>
      </c>
      <c r="H16" s="0" t="n">
        <f aca="false">-H12</f>
        <v>734.521020939763</v>
      </c>
      <c r="I16" s="0" t="n">
        <f aca="false">-I12</f>
        <v>763.901861777354</v>
      </c>
      <c r="J16" s="0" t="n">
        <f aca="false">-J12</f>
        <v>790.638426939561</v>
      </c>
      <c r="K16" s="0" t="n">
        <f aca="false">-K12</f>
        <v>814.357579747748</v>
      </c>
      <c r="L16" s="0" t="n">
        <f aca="false">-L12</f>
        <v>838.78830714018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-1007.304</v>
      </c>
      <c r="D17" s="4" t="n">
        <f aca="false">-D6*Assumptions!D18/100</f>
        <v>-1541.17512</v>
      </c>
      <c r="E17" s="4" t="n">
        <f aca="false">-E6*Assumptions!E18/100</f>
        <v>-1996.4977344</v>
      </c>
      <c r="F17" s="4" t="n">
        <f aca="false">-F6*Assumptions!F18/100</f>
        <v>-2262.650566176</v>
      </c>
      <c r="G17" s="4" t="n">
        <f aca="false">-G6*Assumptions!G18/100</f>
        <v>-2364.46984165392</v>
      </c>
      <c r="H17" s="4" t="n">
        <f aca="false">-H6*Assumptions!H18/100</f>
        <v>-2267.43445594449</v>
      </c>
      <c r="I17" s="4" t="n">
        <f aca="false">-I6*Assumptions!I18/100</f>
        <v>-2358.13183418227</v>
      </c>
      <c r="J17" s="4" t="n">
        <f aca="false">-J6*Assumptions!J18/100</f>
        <v>-2234.41294569876</v>
      </c>
      <c r="K17" s="4" t="n">
        <f aca="false">-K6*Assumptions!K18/100</f>
        <v>-2089.00422630944</v>
      </c>
      <c r="L17" s="4" t="n">
        <f aca="false">-L6*Assumptions!L18/100</f>
        <v>-2151.67435309872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8301.90798</v>
      </c>
      <c r="D19" s="0" t="n">
        <f aca="false">D15+D16+D17+D18</f>
        <v>8161.0630236</v>
      </c>
      <c r="E19" s="0" t="n">
        <f aca="false">E15+E16+E17+E18</f>
        <v>8308.945535904</v>
      </c>
      <c r="F19" s="0" t="n">
        <f aca="false">F15+F16+F17+F18</f>
        <v>8641.4151330936</v>
      </c>
      <c r="G19" s="0" t="n">
        <f aca="false">G15+G16+G17+G18</f>
        <v>9147.73462115198</v>
      </c>
      <c r="H19" s="0" t="n">
        <f aca="false">H15+H16+H17+H18</f>
        <v>9705.25818537365</v>
      </c>
      <c r="I19" s="0" t="n">
        <f aca="false">I15+I16+I17+I18</f>
        <v>10093.4685127886</v>
      </c>
      <c r="J19" s="0" t="n">
        <f aca="false">J15+J16+J17+J18</f>
        <v>10652.9934134161</v>
      </c>
      <c r="K19" s="0" t="n">
        <f aca="false">K15+K16+K17+K18</f>
        <v>11185.0243235789</v>
      </c>
      <c r="L19" s="0" t="n">
        <f aca="false">L15+L16+L17+L18</f>
        <v>11520.5750532862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7547.18907272727</v>
      </c>
      <c r="D21" s="0" t="n">
        <f aca="false">D19*D20</f>
        <v>6744.68018479339</v>
      </c>
      <c r="E21" s="0" t="n">
        <f aca="false">E19*E20</f>
        <v>6242.63376100977</v>
      </c>
      <c r="F21" s="0" t="n">
        <f aca="false">F19*F20</f>
        <v>5902.20280929827</v>
      </c>
      <c r="G21" s="0" t="n">
        <f aca="false">G19*G20</f>
        <v>5680.02348395973</v>
      </c>
      <c r="H21" s="0" t="n">
        <f aca="false">H19*H20</f>
        <v>5478.36523008446</v>
      </c>
      <c r="I21" s="0" t="n">
        <f aca="false">I19*I20</f>
        <v>5179.54530844349</v>
      </c>
      <c r="J21" s="0" t="n">
        <f aca="false">J19*J20</f>
        <v>4969.70004868428</v>
      </c>
      <c r="K21" s="0" t="n">
        <f aca="false">K19*K20</f>
        <v>4743.5421770681</v>
      </c>
      <c r="L21" s="0" t="n">
        <f aca="false">L19*L20</f>
        <v>4441.68040216377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56929.5624782325</v>
      </c>
    </row>
    <row r="31" customFormat="false" ht="15" hidden="false" customHeight="false" outlineLevel="0" collapsed="false">
      <c r="A31" s="0" t="s">
        <v>138</v>
      </c>
      <c r="B31" s="0" t="n">
        <f aca="false">L19</f>
        <v>11520.5750532862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157447.859061578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138246.900639435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138246.900639435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53300.1648259652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110229.727304198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104016.727304198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60.0108044217376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-0.389948109975221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2870.93643918812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2882.38202736174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63.3300904464014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94468.7154369469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36.3354911216905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28200</v>
      </c>
      <c r="C6" s="0" t="n">
        <f aca="false">B6*(1+C5/100)</f>
        <v>30456</v>
      </c>
      <c r="D6" s="0" t="n">
        <f aca="false">C6*(1+D5/100)</f>
        <v>32587.92</v>
      </c>
      <c r="E6" s="0" t="n">
        <f aca="false">D6*(1+E5/100)</f>
        <v>34706.1348</v>
      </c>
      <c r="F6" s="0" t="n">
        <f aca="false">E6*(1+F5/100)</f>
        <v>36788.502888</v>
      </c>
      <c r="G6" s="0" t="n">
        <f aca="false">F6*(1+G5/100)</f>
        <v>38811.87054684</v>
      </c>
      <c r="H6" s="0" t="n">
        <f aca="false">G6*(1+H5/100)</f>
        <v>40752.464074182</v>
      </c>
      <c r="I6" s="0" t="n">
        <f aca="false">H6*(1+I5/100)</f>
        <v>42586.3249575202</v>
      </c>
      <c r="J6" s="0" t="n">
        <f aca="false">I6*(1+J5/100)</f>
        <v>44502.7095806086</v>
      </c>
      <c r="K6" s="0" t="n">
        <f aca="false">J6*(1+K5/100)</f>
        <v>46282.817963833</v>
      </c>
      <c r="L6" s="0" t="n">
        <f aca="false">K6*(1+L5/100)</f>
        <v>47902.7165925671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56.3</v>
      </c>
      <c r="D7" s="4" t="n">
        <f aca="false">Assumptions!D28</f>
        <v>56.3</v>
      </c>
      <c r="E7" s="4" t="n">
        <f aca="false">Assumptions!E28</f>
        <v>55.8</v>
      </c>
      <c r="F7" s="4" t="n">
        <f aca="false">Assumptions!F28</f>
        <v>55.3</v>
      </c>
      <c r="G7" s="4" t="n">
        <f aca="false">Assumptions!G28</f>
        <v>54.8</v>
      </c>
      <c r="H7" s="4" t="n">
        <f aca="false">Assumptions!H28</f>
        <v>54.8</v>
      </c>
      <c r="I7" s="4" t="n">
        <f aca="false">Assumptions!I28</f>
        <v>54.8</v>
      </c>
      <c r="J7" s="4" t="n">
        <f aca="false">Assumptions!J28</f>
        <v>54.8</v>
      </c>
      <c r="K7" s="4" t="n">
        <f aca="false">Assumptions!K28</f>
        <v>54.8</v>
      </c>
      <c r="L7" s="4" t="n">
        <f aca="false">Assumptions!L28</f>
        <v>54.8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17146.728</v>
      </c>
      <c r="D8" s="0" t="n">
        <f aca="false">D6*D7/100</f>
        <v>18346.99896</v>
      </c>
      <c r="E8" s="0" t="n">
        <f aca="false">E6*E7/100</f>
        <v>19366.0232184</v>
      </c>
      <c r="F8" s="0" t="n">
        <f aca="false">F6*F7/100</f>
        <v>20344.042097064</v>
      </c>
      <c r="G8" s="0" t="n">
        <f aca="false">G6*G7/100</f>
        <v>21268.9050596683</v>
      </c>
      <c r="H8" s="0" t="n">
        <f aca="false">H6*H7/100</f>
        <v>22332.3503126517</v>
      </c>
      <c r="I8" s="0" t="n">
        <f aca="false">I6*I7/100</f>
        <v>23337.3060767211</v>
      </c>
      <c r="J8" s="0" t="n">
        <f aca="false">J6*J7/100</f>
        <v>24387.4848501735</v>
      </c>
      <c r="K8" s="0" t="n">
        <f aca="false">K6*K7/100</f>
        <v>25362.9842441805</v>
      </c>
      <c r="L8" s="0" t="n">
        <f aca="false">L6*L7/100</f>
        <v>26250.6886927268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-456.84</v>
      </c>
      <c r="D10" s="0" t="n">
        <f aca="false">-D6*D9/100</f>
        <v>-488.8188</v>
      </c>
      <c r="E10" s="0" t="n">
        <f aca="false">-E6*E9/100</f>
        <v>-520.592022</v>
      </c>
      <c r="F10" s="0" t="n">
        <f aca="false">-F6*F9/100</f>
        <v>-551.82754332</v>
      </c>
      <c r="G10" s="0" t="n">
        <f aca="false">-G6*G9/100</f>
        <v>-582.1780582026</v>
      </c>
      <c r="H10" s="0" t="n">
        <f aca="false">-H6*H9/100</f>
        <v>-611.28696111273</v>
      </c>
      <c r="I10" s="0" t="n">
        <f aca="false">-I6*I9/100</f>
        <v>-638.794874362803</v>
      </c>
      <c r="J10" s="0" t="n">
        <f aca="false">-J6*J9/100</f>
        <v>-667.540643709129</v>
      </c>
      <c r="K10" s="0" t="n">
        <f aca="false">-K6*K9/100</f>
        <v>-694.242269457494</v>
      </c>
      <c r="L10" s="0" t="n">
        <f aca="false">-L6*L9/100</f>
        <v>-718.540748888507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16689.888</v>
      </c>
      <c r="D11" s="0" t="n">
        <f aca="false">D8+D10+D24</f>
        <v>17858.18016</v>
      </c>
      <c r="E11" s="0" t="n">
        <f aca="false">E8+E10+E24</f>
        <v>18845.4311964</v>
      </c>
      <c r="F11" s="0" t="n">
        <f aca="false">F8+F10+F24</f>
        <v>19792.214553744</v>
      </c>
      <c r="G11" s="0" t="n">
        <f aca="false">G8+G10+G24</f>
        <v>20686.7270014657</v>
      </c>
      <c r="H11" s="0" t="n">
        <f aca="false">H8+H10+H24</f>
        <v>21721.063351539</v>
      </c>
      <c r="I11" s="0" t="n">
        <f aca="false">I8+I10+I24</f>
        <v>22698.5112023583</v>
      </c>
      <c r="J11" s="0" t="n">
        <f aca="false">J8+J10+J24</f>
        <v>23719.9442064644</v>
      </c>
      <c r="K11" s="0" t="n">
        <f aca="false">K8+K10+K24</f>
        <v>24668.741974723</v>
      </c>
      <c r="L11" s="0" t="n">
        <f aca="false">L8+L10+L24</f>
        <v>25532.1479438383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-700.488</v>
      </c>
      <c r="D12" s="4" t="n">
        <f aca="false">-D6*Assumptions!D31/100</f>
        <v>-749.52216</v>
      </c>
      <c r="E12" s="4" t="n">
        <f aca="false">-E6*Assumptions!E31/100</f>
        <v>-798.2411004</v>
      </c>
      <c r="F12" s="4" t="n">
        <f aca="false">-F6*Assumptions!F31/100</f>
        <v>-846.135566424</v>
      </c>
      <c r="G12" s="4" t="n">
        <f aca="false">-G6*Assumptions!G31/100</f>
        <v>-892.67302257732</v>
      </c>
      <c r="H12" s="4" t="n">
        <f aca="false">-H6*Assumptions!H31/100</f>
        <v>-937.306673706186</v>
      </c>
      <c r="I12" s="4" t="n">
        <f aca="false">-I6*Assumptions!I31/100</f>
        <v>-979.485474022965</v>
      </c>
      <c r="J12" s="4" t="n">
        <f aca="false">-J6*Assumptions!J31/100</f>
        <v>-1023.562320354</v>
      </c>
      <c r="K12" s="4" t="n">
        <f aca="false">-K6*Assumptions!K31/100</f>
        <v>-1064.50481316816</v>
      </c>
      <c r="L12" s="4" t="n">
        <f aca="false">-L6*Assumptions!L31/100</f>
        <v>-1101.76248162904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15989.4</v>
      </c>
      <c r="D13" s="0" t="n">
        <f aca="false">D11+D12</f>
        <v>17108.658</v>
      </c>
      <c r="E13" s="0" t="n">
        <f aca="false">E11+E12</f>
        <v>18047.190096</v>
      </c>
      <c r="F13" s="0" t="n">
        <f aca="false">F11+F12</f>
        <v>18946.07898732</v>
      </c>
      <c r="G13" s="0" t="n">
        <f aca="false">G11+G12</f>
        <v>19794.0539788884</v>
      </c>
      <c r="H13" s="0" t="n">
        <f aca="false">H11+H12</f>
        <v>20783.7566778328</v>
      </c>
      <c r="I13" s="0" t="n">
        <f aca="false">I11+I12</f>
        <v>21719.0257283353</v>
      </c>
      <c r="J13" s="0" t="n">
        <f aca="false">J11+J12</f>
        <v>22696.3818861104</v>
      </c>
      <c r="K13" s="0" t="n">
        <f aca="false">K11+K12</f>
        <v>23604.2371615548</v>
      </c>
      <c r="L13" s="0" t="n">
        <f aca="false">L11+L12</f>
        <v>24430.3854622092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23.5</v>
      </c>
      <c r="D14" s="4" t="n">
        <f aca="false">Assumptions!D33</f>
        <v>23.5</v>
      </c>
      <c r="E14" s="4" t="n">
        <f aca="false">Assumptions!E33</f>
        <v>23.5</v>
      </c>
      <c r="F14" s="4" t="n">
        <f aca="false">Assumptions!F33</f>
        <v>23.5</v>
      </c>
      <c r="G14" s="4" t="n">
        <f aca="false">Assumptions!G33</f>
        <v>23.5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12231.891</v>
      </c>
      <c r="D15" s="0" t="n">
        <f aca="false">D13-MAX(0,D13)*D14/100</f>
        <v>13088.12337</v>
      </c>
      <c r="E15" s="0" t="n">
        <f aca="false">E13-MAX(0,E13)*E14/100</f>
        <v>13806.10042344</v>
      </c>
      <c r="F15" s="0" t="n">
        <f aca="false">F13-MAX(0,F13)*F14/100</f>
        <v>14493.7504252998</v>
      </c>
      <c r="G15" s="0" t="n">
        <f aca="false">G13-MAX(0,G13)*G14/100</f>
        <v>15142.4512938496</v>
      </c>
      <c r="H15" s="0" t="n">
        <f aca="false">H13-MAX(0,H13)*H14/100</f>
        <v>15899.5738585421</v>
      </c>
      <c r="I15" s="0" t="n">
        <f aca="false">I13-MAX(0,I13)*I14/100</f>
        <v>16615.0546821765</v>
      </c>
      <c r="J15" s="0" t="n">
        <f aca="false">J13-MAX(0,J13)*J14/100</f>
        <v>17362.7321428744</v>
      </c>
      <c r="K15" s="0" t="n">
        <f aca="false">K13-MAX(0,K13)*K14/100</f>
        <v>18057.2414285894</v>
      </c>
      <c r="L15" s="0" t="n">
        <f aca="false">L13-MAX(0,L13)*L14/100</f>
        <v>18689.2448785901</v>
      </c>
    </row>
    <row r="16" customFormat="false" ht="15" hidden="false" customHeight="false" outlineLevel="0" collapsed="false">
      <c r="A16" s="0" t="s">
        <v>129</v>
      </c>
      <c r="C16" s="0" t="n">
        <f aca="false">-C12</f>
        <v>700.488</v>
      </c>
      <c r="D16" s="0" t="n">
        <f aca="false">-D12</f>
        <v>749.52216</v>
      </c>
      <c r="E16" s="0" t="n">
        <f aca="false">-E12</f>
        <v>798.2411004</v>
      </c>
      <c r="F16" s="0" t="n">
        <f aca="false">-F12</f>
        <v>846.135566424</v>
      </c>
      <c r="G16" s="0" t="n">
        <f aca="false">-G12</f>
        <v>892.67302257732</v>
      </c>
      <c r="H16" s="0" t="n">
        <f aca="false">-H12</f>
        <v>937.306673706186</v>
      </c>
      <c r="I16" s="0" t="n">
        <f aca="false">-I12</f>
        <v>979.485474022965</v>
      </c>
      <c r="J16" s="0" t="n">
        <f aca="false">-J12</f>
        <v>1023.562320354</v>
      </c>
      <c r="K16" s="0" t="n">
        <f aca="false">-K12</f>
        <v>1064.50481316816</v>
      </c>
      <c r="L16" s="0" t="n">
        <f aca="false">-L12</f>
        <v>1101.76248162904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-2649.672</v>
      </c>
      <c r="D17" s="4" t="n">
        <f aca="false">-D6*Assumptions!D32/100</f>
        <v>-2574.44568</v>
      </c>
      <c r="E17" s="4" t="n">
        <f aca="false">-E6*Assumptions!E32/100</f>
        <v>-2602.96011</v>
      </c>
      <c r="F17" s="4" t="n">
        <f aca="false">-F6*Assumptions!F32/100</f>
        <v>-2611.983705048</v>
      </c>
      <c r="G17" s="4" t="n">
        <f aca="false">-G6*Assumptions!G32/100</f>
        <v>-2600.39532663828</v>
      </c>
      <c r="H17" s="4" t="n">
        <f aca="false">-H6*Assumptions!H32/100</f>
        <v>-2567.40523667347</v>
      </c>
      <c r="I17" s="4" t="n">
        <f aca="false">-I6*Assumptions!I32/100</f>
        <v>-2512.59317249369</v>
      </c>
      <c r="J17" s="4" t="n">
        <f aca="false">-J6*Assumptions!J32/100</f>
        <v>-2625.65986525591</v>
      </c>
      <c r="K17" s="4" t="n">
        <f aca="false">-K6*Assumptions!K32/100</f>
        <v>-2545.55498801081</v>
      </c>
      <c r="L17" s="4" t="n">
        <f aca="false">-L6*Assumptions!L32/100</f>
        <v>-2443.03854622092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10282.707</v>
      </c>
      <c r="D19" s="0" t="n">
        <f aca="false">D15+D16+D17+D18</f>
        <v>11263.19985</v>
      </c>
      <c r="E19" s="0" t="n">
        <f aca="false">E15+E16+E17+E18</f>
        <v>12001.38141384</v>
      </c>
      <c r="F19" s="0" t="n">
        <f aca="false">F15+F16+F17+F18</f>
        <v>12727.9022866758</v>
      </c>
      <c r="G19" s="0" t="n">
        <f aca="false">G15+G16+G17+G18</f>
        <v>13434.7289897887</v>
      </c>
      <c r="H19" s="0" t="n">
        <f aca="false">H15+H16+H17+H18</f>
        <v>14269.4752955748</v>
      </c>
      <c r="I19" s="0" t="n">
        <f aca="false">I15+I16+I17+I18</f>
        <v>15081.9469837058</v>
      </c>
      <c r="J19" s="0" t="n">
        <f aca="false">J15+J16+J17+J18</f>
        <v>15760.6345979725</v>
      </c>
      <c r="K19" s="0" t="n">
        <f aca="false">K15+K16+K17+K18</f>
        <v>16576.1912537468</v>
      </c>
      <c r="L19" s="0" t="n">
        <f aca="false">L15+L16+L17+L18</f>
        <v>17347.9688139982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9347.91545454545</v>
      </c>
      <c r="D21" s="0" t="n">
        <f aca="false">D19*D20</f>
        <v>9308.42962809917</v>
      </c>
      <c r="E21" s="0" t="n">
        <f aca="false">E19*E20</f>
        <v>9016.8154874831</v>
      </c>
      <c r="F21" s="0" t="n">
        <f aca="false">F19*F20</f>
        <v>8693.32852037142</v>
      </c>
      <c r="G21" s="0" t="n">
        <f aca="false">G19*G20</f>
        <v>8341.90969928076</v>
      </c>
      <c r="H21" s="0" t="n">
        <f aca="false">H19*H20</f>
        <v>8054.74679989841</v>
      </c>
      <c r="I21" s="0" t="n">
        <f aca="false">I19*I20</f>
        <v>7739.42353341374</v>
      </c>
      <c r="J21" s="0" t="n">
        <f aca="false">J19*J20</f>
        <v>7352.45235674305</v>
      </c>
      <c r="K21" s="0" t="n">
        <f aca="false">K19*K20</f>
        <v>7029.92323240082</v>
      </c>
      <c r="L21" s="0" t="n">
        <f aca="false">L19*L20</f>
        <v>6688.39296146978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81573.3376737057</v>
      </c>
    </row>
    <row r="31" customFormat="false" ht="15" hidden="false" customHeight="false" outlineLevel="0" collapsed="false">
      <c r="A31" s="0" t="s">
        <v>138</v>
      </c>
      <c r="B31" s="0" t="n">
        <f aca="false">L19</f>
        <v>17347.9688139982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255262.969691687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277567.501023971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255262.969691687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98414.9250044839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179988.26267819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173775.26267819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100.25688725448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0.0191815315083832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3504.53849173129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4076.2774404729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104.630519015978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148903.398986818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55.3226517522092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11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28200</v>
      </c>
      <c r="C6" s="0" t="n">
        <f aca="false">B6*(1+C5/100)</f>
        <v>31302</v>
      </c>
      <c r="D6" s="0" t="n">
        <f aca="false">C6*(1+D5/100)</f>
        <v>34119.18</v>
      </c>
      <c r="E6" s="0" t="n">
        <f aca="false">D6*(1+E5/100)</f>
        <v>36848.7144</v>
      </c>
      <c r="F6" s="0" t="n">
        <f aca="false">E6*(1+F5/100)</f>
        <v>39428.124408</v>
      </c>
      <c r="G6" s="0" t="n">
        <f aca="false">F6*(1+G5/100)</f>
        <v>41990.95249452</v>
      </c>
      <c r="H6" s="0" t="n">
        <f aca="false">G6*(1+H5/100)</f>
        <v>44510.4096441912</v>
      </c>
      <c r="I6" s="0" t="n">
        <f aca="false">H6*(1+I5/100)</f>
        <v>46958.4821746217</v>
      </c>
      <c r="J6" s="0" t="n">
        <f aca="false">I6*(1+J5/100)</f>
        <v>49306.4062833528</v>
      </c>
      <c r="K6" s="0" t="n">
        <f aca="false">J6*(1+K5/100)</f>
        <v>51525.1945661037</v>
      </c>
      <c r="L6" s="0" t="n">
        <f aca="false">K6*(1+L5/100)</f>
        <v>53586.2023487478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57.8</v>
      </c>
      <c r="D7" s="4" t="n">
        <f aca="false">Assumptions!D42</f>
        <v>58.3</v>
      </c>
      <c r="E7" s="4" t="n">
        <f aca="false">Assumptions!E42</f>
        <v>58.8</v>
      </c>
      <c r="F7" s="4" t="n">
        <f aca="false">Assumptions!F42</f>
        <v>58.8</v>
      </c>
      <c r="G7" s="4" t="n">
        <f aca="false">Assumptions!G42</f>
        <v>58.8</v>
      </c>
      <c r="H7" s="4" t="n">
        <f aca="false">Assumptions!H42</f>
        <v>58.8</v>
      </c>
      <c r="I7" s="4" t="n">
        <f aca="false">Assumptions!I42</f>
        <v>58.8</v>
      </c>
      <c r="J7" s="4" t="n">
        <f aca="false">Assumptions!J42</f>
        <v>58.8</v>
      </c>
      <c r="K7" s="4" t="n">
        <f aca="false">Assumptions!K42</f>
        <v>58.8</v>
      </c>
      <c r="L7" s="4" t="n">
        <f aca="false">Assumptions!L42</f>
        <v>58.8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18092.556</v>
      </c>
      <c r="D8" s="0" t="n">
        <f aca="false">D6*D7/100</f>
        <v>19891.48194</v>
      </c>
      <c r="E8" s="0" t="n">
        <f aca="false">E6*E7/100</f>
        <v>21667.0440672</v>
      </c>
      <c r="F8" s="0" t="n">
        <f aca="false">F6*F7/100</f>
        <v>23183.737151904</v>
      </c>
      <c r="G8" s="0" t="n">
        <f aca="false">G6*G7/100</f>
        <v>24690.6800667778</v>
      </c>
      <c r="H8" s="0" t="n">
        <f aca="false">H6*H7/100</f>
        <v>26172.1208707844</v>
      </c>
      <c r="I8" s="0" t="n">
        <f aca="false">I6*I7/100</f>
        <v>27611.5875186776</v>
      </c>
      <c r="J8" s="0" t="n">
        <f aca="false">J6*J7/100</f>
        <v>28992.1668946115</v>
      </c>
      <c r="K8" s="0" t="n">
        <f aca="false">K6*K7/100</f>
        <v>30296.814404869</v>
      </c>
      <c r="L8" s="0" t="n">
        <f aca="false">L6*L7/100</f>
        <v>31508.6869810637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-469.53</v>
      </c>
      <c r="D10" s="0" t="n">
        <f aca="false">-D6*D9/100</f>
        <v>-511.7877</v>
      </c>
      <c r="E10" s="0" t="n">
        <f aca="false">-E6*E9/100</f>
        <v>-552.730716</v>
      </c>
      <c r="F10" s="0" t="n">
        <f aca="false">-F6*F9/100</f>
        <v>-591.42186612</v>
      </c>
      <c r="G10" s="0" t="n">
        <f aca="false">-G6*G9/100</f>
        <v>-629.8642874178</v>
      </c>
      <c r="H10" s="0" t="n">
        <f aca="false">-H6*H9/100</f>
        <v>-667.656144662868</v>
      </c>
      <c r="I10" s="0" t="n">
        <f aca="false">-I6*I9/100</f>
        <v>-704.377232619326</v>
      </c>
      <c r="J10" s="0" t="n">
        <f aca="false">-J6*J9/100</f>
        <v>-739.596094250292</v>
      </c>
      <c r="K10" s="0" t="n">
        <f aca="false">-K6*K9/100</f>
        <v>-772.877918491555</v>
      </c>
      <c r="L10" s="0" t="n">
        <f aca="false">-L6*L9/100</f>
        <v>-803.793035231218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17623.026</v>
      </c>
      <c r="D11" s="0" t="n">
        <f aca="false">D8+D10+D24</f>
        <v>19379.69424</v>
      </c>
      <c r="E11" s="0" t="n">
        <f aca="false">E8+E10+E24</f>
        <v>21114.3133512</v>
      </c>
      <c r="F11" s="0" t="n">
        <f aca="false">F8+F10+F24</f>
        <v>22592.315285784</v>
      </c>
      <c r="G11" s="0" t="n">
        <f aca="false">G8+G10+G24</f>
        <v>24060.81577936</v>
      </c>
      <c r="H11" s="0" t="n">
        <f aca="false">H8+H10+H24</f>
        <v>25504.4647261216</v>
      </c>
      <c r="I11" s="0" t="n">
        <f aca="false">I8+I10+I24</f>
        <v>26907.2102860583</v>
      </c>
      <c r="J11" s="0" t="n">
        <f aca="false">J8+J10+J24</f>
        <v>28252.5708003612</v>
      </c>
      <c r="K11" s="0" t="n">
        <f aca="false">K8+K10+K24</f>
        <v>29523.9364863774</v>
      </c>
      <c r="L11" s="0" t="n">
        <f aca="false">L8+L10+L24</f>
        <v>30704.8939458325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-719.946</v>
      </c>
      <c r="D12" s="4" t="n">
        <f aca="false">-D6*Assumptions!D45/100</f>
        <v>-784.74114</v>
      </c>
      <c r="E12" s="4" t="n">
        <f aca="false">-E6*Assumptions!E45/100</f>
        <v>-847.5204312</v>
      </c>
      <c r="F12" s="4" t="n">
        <f aca="false">-F6*Assumptions!F45/100</f>
        <v>-906.846861384</v>
      </c>
      <c r="G12" s="4" t="n">
        <f aca="false">-G6*Assumptions!G45/100</f>
        <v>-965.79190737396</v>
      </c>
      <c r="H12" s="4" t="n">
        <f aca="false">-H6*Assumptions!H45/100</f>
        <v>-1023.7394218164</v>
      </c>
      <c r="I12" s="4" t="n">
        <f aca="false">-I6*Assumptions!I45/100</f>
        <v>-1080.0450900163</v>
      </c>
      <c r="J12" s="4" t="n">
        <f aca="false">-J6*Assumptions!J45/100</f>
        <v>-1134.04734451711</v>
      </c>
      <c r="K12" s="4" t="n">
        <f aca="false">-K6*Assumptions!K45/100</f>
        <v>-1185.07947502039</v>
      </c>
      <c r="L12" s="4" t="n">
        <f aca="false">-L6*Assumptions!L45/100</f>
        <v>-1232.4826540212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16903.08</v>
      </c>
      <c r="D13" s="0" t="n">
        <f aca="false">D11+D12</f>
        <v>18594.9531</v>
      </c>
      <c r="E13" s="0" t="n">
        <f aca="false">E11+E12</f>
        <v>20266.79292</v>
      </c>
      <c r="F13" s="0" t="n">
        <f aca="false">F11+F12</f>
        <v>21685.4684244</v>
      </c>
      <c r="G13" s="0" t="n">
        <f aca="false">G11+G12</f>
        <v>23095.023871986</v>
      </c>
      <c r="H13" s="0" t="n">
        <f aca="false">H11+H12</f>
        <v>24480.7253043052</v>
      </c>
      <c r="I13" s="0" t="n">
        <f aca="false">I11+I12</f>
        <v>25827.165196042</v>
      </c>
      <c r="J13" s="0" t="n">
        <f aca="false">J11+J12</f>
        <v>27118.5234558441</v>
      </c>
      <c r="K13" s="0" t="n">
        <f aca="false">K11+K12</f>
        <v>28338.857011357</v>
      </c>
      <c r="L13" s="0" t="n">
        <f aca="false">L11+L12</f>
        <v>29472.4112918113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23.5</v>
      </c>
      <c r="D14" s="4" t="n">
        <f aca="false">Assumptions!D47</f>
        <v>23.5</v>
      </c>
      <c r="E14" s="4" t="n">
        <f aca="false">Assumptions!E47</f>
        <v>23.5</v>
      </c>
      <c r="F14" s="4" t="n">
        <f aca="false">Assumptions!F47</f>
        <v>23.5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12930.8562</v>
      </c>
      <c r="D15" s="0" t="n">
        <f aca="false">D13-MAX(0,D13)*D14/100</f>
        <v>14225.1391215</v>
      </c>
      <c r="E15" s="0" t="n">
        <f aca="false">E13-MAX(0,E13)*E14/100</f>
        <v>15504.0965838</v>
      </c>
      <c r="F15" s="0" t="n">
        <f aca="false">F13-MAX(0,F13)*F14/100</f>
        <v>16589.383344666</v>
      </c>
      <c r="G15" s="0" t="n">
        <f aca="false">G13-MAX(0,G13)*G14/100</f>
        <v>17667.6932620693</v>
      </c>
      <c r="H15" s="0" t="n">
        <f aca="false">H13-MAX(0,H13)*H14/100</f>
        <v>18727.7548577935</v>
      </c>
      <c r="I15" s="0" t="n">
        <f aca="false">I13-MAX(0,I13)*I14/100</f>
        <v>19757.7813749721</v>
      </c>
      <c r="J15" s="0" t="n">
        <f aca="false">J13-MAX(0,J13)*J14/100</f>
        <v>20745.6704437207</v>
      </c>
      <c r="K15" s="0" t="n">
        <f aca="false">K13-MAX(0,K13)*K14/100</f>
        <v>21679.2256136881</v>
      </c>
      <c r="L15" s="0" t="n">
        <f aca="false">L13-MAX(0,L13)*L14/100</f>
        <v>22546.3946382357</v>
      </c>
    </row>
    <row r="16" customFormat="false" ht="15" hidden="false" customHeight="false" outlineLevel="0" collapsed="false">
      <c r="A16" s="0" t="s">
        <v>129</v>
      </c>
      <c r="C16" s="0" t="n">
        <f aca="false">-C12</f>
        <v>719.946</v>
      </c>
      <c r="D16" s="0" t="n">
        <f aca="false">-D12</f>
        <v>784.74114</v>
      </c>
      <c r="E16" s="0" t="n">
        <f aca="false">-E12</f>
        <v>847.5204312</v>
      </c>
      <c r="F16" s="0" t="n">
        <f aca="false">-F12</f>
        <v>906.846861384</v>
      </c>
      <c r="G16" s="0" t="n">
        <f aca="false">-G12</f>
        <v>965.79190737396</v>
      </c>
      <c r="H16" s="0" t="n">
        <f aca="false">-H12</f>
        <v>1023.7394218164</v>
      </c>
      <c r="I16" s="0" t="n">
        <f aca="false">-I12</f>
        <v>1080.0450900163</v>
      </c>
      <c r="J16" s="0" t="n">
        <f aca="false">-J12</f>
        <v>1134.04734451711</v>
      </c>
      <c r="K16" s="0" t="n">
        <f aca="false">-K12</f>
        <v>1185.07947502039</v>
      </c>
      <c r="L16" s="0" t="n">
        <f aca="false">-L12</f>
        <v>1232.4826540212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-2785.878</v>
      </c>
      <c r="D17" s="4" t="n">
        <f aca="false">-D6*Assumptions!D46/100</f>
        <v>-2627.17686</v>
      </c>
      <c r="E17" s="4" t="n">
        <f aca="false">-E6*Assumptions!E46/100</f>
        <v>-2616.2587224</v>
      </c>
      <c r="F17" s="4" t="n">
        <f aca="false">-F6*Assumptions!F46/100</f>
        <v>-2562.82808652</v>
      </c>
      <c r="G17" s="4" t="n">
        <f aca="false">-G6*Assumptions!G46/100</f>
        <v>-2603.43905466024</v>
      </c>
      <c r="H17" s="4" t="n">
        <f aca="false">-H6*Assumptions!H46/100</f>
        <v>-2626.11416900728</v>
      </c>
      <c r="I17" s="4" t="n">
        <f aca="false">-I6*Assumptions!I46/100</f>
        <v>-2629.67500177882</v>
      </c>
      <c r="J17" s="4" t="n">
        <f aca="false">-J6*Assumptions!J46/100</f>
        <v>-2613.2395330177</v>
      </c>
      <c r="K17" s="4" t="n">
        <f aca="false">-K6*Assumptions!K46/100</f>
        <v>-2576.25972830518</v>
      </c>
      <c r="L17" s="4" t="n">
        <f aca="false">-L6*Assumptions!L46/100</f>
        <v>-2518.55151039115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10864.9242</v>
      </c>
      <c r="D19" s="0" t="n">
        <f aca="false">D15+D16+D17+D18</f>
        <v>12382.7034015</v>
      </c>
      <c r="E19" s="0" t="n">
        <f aca="false">E15+E16+E17+E18</f>
        <v>13735.3582926</v>
      </c>
      <c r="F19" s="0" t="n">
        <f aca="false">F15+F16+F17+F18</f>
        <v>14933.40211953</v>
      </c>
      <c r="G19" s="0" t="n">
        <f aca="false">G15+G16+G17+G18</f>
        <v>16030.046114783</v>
      </c>
      <c r="H19" s="0" t="n">
        <f aca="false">H15+H16+H17+H18</f>
        <v>17125.3801106026</v>
      </c>
      <c r="I19" s="0" t="n">
        <f aca="false">I15+I16+I17+I18</f>
        <v>18208.1514632096</v>
      </c>
      <c r="J19" s="0" t="n">
        <f aca="false">J15+J16+J17+J18</f>
        <v>19266.4782552201</v>
      </c>
      <c r="K19" s="0" t="n">
        <f aca="false">K15+K16+K17+K18</f>
        <v>20288.0453604033</v>
      </c>
      <c r="L19" s="0" t="n">
        <f aca="false">L15+L16+L17+L18</f>
        <v>21260.3257818657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9877.20381818182</v>
      </c>
      <c r="D21" s="0" t="n">
        <f aca="false">D19*D20</f>
        <v>10233.6391747934</v>
      </c>
      <c r="E21" s="0" t="n">
        <f aca="false">E19*E20</f>
        <v>10319.5779809166</v>
      </c>
      <c r="F21" s="0" t="n">
        <f aca="false">F19*F20</f>
        <v>10199.7145820163</v>
      </c>
      <c r="G21" s="0" t="n">
        <f aca="false">G19*G20</f>
        <v>9953.39744229034</v>
      </c>
      <c r="H21" s="0" t="n">
        <f aca="false">H19*H20</f>
        <v>9666.83061469662</v>
      </c>
      <c r="I21" s="0" t="n">
        <f aca="false">I19*I20</f>
        <v>9343.66074132031</v>
      </c>
      <c r="J21" s="0" t="n">
        <f aca="false">J19*J20</f>
        <v>8987.95429671052</v>
      </c>
      <c r="K21" s="0" t="n">
        <f aca="false">K19*K20</f>
        <v>8604.11171877999</v>
      </c>
      <c r="L21" s="0" t="n">
        <f aca="false">L19*L20</f>
        <v>8196.77593628398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95382.8663059898</v>
      </c>
    </row>
    <row r="31" customFormat="false" ht="15" hidden="false" customHeight="false" outlineLevel="0" collapsed="false">
      <c r="A31" s="0" t="s">
        <v>138</v>
      </c>
      <c r="B31" s="0" t="n">
        <f aca="false">L19</f>
        <v>21260.3257818657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338529.802834323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361425.538291717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338529.802834323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130517.893754676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225900.760060666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219687.760060666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126.745375907613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0.288455585113479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3781.16163756823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4934.51394157564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131.77374697964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191342.932036791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67.5033822775425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60.0108044217376</v>
      </c>
      <c r="C4" s="0" t="n">
        <f aca="false">B4/Assumptions!$B$2-1</f>
        <v>-0.389948109975221</v>
      </c>
      <c r="D4" s="4" t="n">
        <f aca="false">Assumptions!$B$24</f>
        <v>0.25</v>
      </c>
      <c r="E4" s="4" t="n">
        <f aca="false">DCF_Bear!$B$43</f>
        <v>63.3300904464014</v>
      </c>
      <c r="F4" s="4" t="n">
        <f aca="false">DCF_Bear!$B$47</f>
        <v>36.3354911216905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100.25688725448</v>
      </c>
      <c r="C5" s="0" t="n">
        <f aca="false">B5/Assumptions!$B$2-1</f>
        <v>0.0191815315083832</v>
      </c>
      <c r="D5" s="4" t="n">
        <f aca="false">Assumptions!$B$38</f>
        <v>0.5</v>
      </c>
      <c r="E5" s="4" t="n">
        <f aca="false">DCF_Base!$B$43</f>
        <v>104.630519015978</v>
      </c>
      <c r="F5" s="4" t="n">
        <f aca="false">DCF_Base!$B$47</f>
        <v>55.3226517522092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126.745375907613</v>
      </c>
      <c r="C6" s="0" t="n">
        <f aca="false">B6/Assumptions!$B$2-1</f>
        <v>0.288455585113479</v>
      </c>
      <c r="D6" s="4" t="n">
        <f aca="false">Assumptions!$B$52</f>
        <v>0.25</v>
      </c>
      <c r="E6" s="4" t="n">
        <f aca="false">DCF_Bull!$B$43</f>
        <v>131.77374697964</v>
      </c>
      <c r="F6" s="4" t="n">
        <f aca="false">DCF_Bull!$B$47</f>
        <v>67.5033822775425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96.8174887095775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101.091218864499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-0.0160354426779195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36.3268440950748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53.6210442259129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113.420924490631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100.25688725448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86.7183230814963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76.216149104046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55.3226517522092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122.421286129148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122.421286129148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122.421286129148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122.421286129148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122.421286129148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107.381273037398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112.445288486648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113.420924490631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113.420924490631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113.420924490631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92.6771752913203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96.2143742074613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100.25688725448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104.921325385655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105.218153266729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81.2841234305779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83.8413938545395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86.7183230814963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89.9788428720474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93.7051512041057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72.2059107870299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74.1054973582481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76.216149104046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78.5751128199378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81.2289470003161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2026-10-02T08:47:26Z</dcterms:created>
  <dc:creator>openpyxl</dc:creator>
  <dc:description/>
  <dc:language>en-NZ</dc:language>
  <cp:lastModifiedBy/>
  <dcterms:modified xsi:type="dcterms:W3CDTF">2026-10-02T08:47:26Z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