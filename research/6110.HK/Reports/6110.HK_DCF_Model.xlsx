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<sst xmlns="http://schemas.openxmlformats.org/spreadsheetml/2006/main" count="357" uniqueCount="167">
  <si>
    <t xml:space="preserve">Ticker</t>
  </si>
  <si>
    <t xml:space="preserve">6110.HK</t>
  </si>
  <si>
    <t xml:space="preserve">Company</t>
  </si>
  <si>
    <t xml:space="preserve">Topsports International Holdings Limited</t>
  </si>
  <si>
    <t xml:space="preserve">Valuation date</t>
  </si>
  <si>
    <t xml:space="preserve">2026-10-24</t>
  </si>
  <si>
    <t xml:space="preserve">Current price</t>
  </si>
  <si>
    <t xml:space="preserve">Price as of</t>
  </si>
  <si>
    <t xml:space="preserve">2026-10-23T08:08:08Z (HKEX regular close, epoch 1792742888); 52-week range HK$0.93-3.50</t>
  </si>
  <si>
    <t xml:space="preserve">Balance sheet date</t>
  </si>
  <si>
    <t xml:space="preserve">2026-02-28</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</si>
  <si>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</si>
  <si>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</si>
  <si>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</si>
  <si>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</si>
  <si>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</si>
  <si>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</si>
  <si>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</si>
  <si>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</si>
  <si>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</si>
  <si>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</si>
  <si>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</si>
  <si>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2026-10-23T13:13:26Z</t>
  </si>
  <si>
    <t xml:space="preserve">Drivers file</t>
  </si>
  <si>
    <t xml:space="preserve">6110.HK_Drivers.json</t>
  </si>
  <si>
    <t xml:space="preserve">Convention</t>
  </si>
  <si>
    <t xml:space="preserve">Percents stored as percents; formulas divide by 100. Blue = input, green = link, black = formula.</t>
  </si>
  <si>
    <t xml:space="preserve">Methodology</t>
  </si>
  <si>
    <t xml:space="preserve">summary: Topsports is valued as a structurally shrinking, net-cash, zero-SBC sportswear distributor whose cash flows are controlled by two brand principals. The model deliberately does not assume a re-rating: every scenario has lower revenue in FY2036 than FY2026 except the bull (which returns to roughly FY2026 revenue only by FY2036), mature net-of-lease margins are set below the FY2022-24 range in all three cases, the terminal multiple is capped at 12x owner FCF, and leases are charged as an operating cost in the flows (treatment B) so the IFRS 16 financing-line flattery of reported FCF is removed. The Nike online termination is modelled explicitly in the year-1/year-2 revenue paths and the possibility that it spreads to Nike offline and to Adidas is carried by a 35% bear weight; the WACC carries only the permanent brand-principal dependency, not the event, so risk is charged once. Because inventory and receivables are 25% of revenue, the contraction itself throws off cash, and in the bear case that release plus net cash is most of the value. The stock trades near the bear-case value and well below the probability-weighted value; the gap is the price the market puts on the unresolved Nike offline terms and on a possible dividend cut.
key_risks_to_valuation: Nike offline cooperation terms (unresolved): a reset to fewer doors or thinner margins would push the base case toward the bear path; a confirmation on current terms would push it toward the bull.; Adidas (~30-35% of revenue) adopting Nike's online-direct approach -- this is in the bear case only.; H1 FY2027 interim (six months to 31 Aug 2026) not yet in the folder: the actual decline rate and margin print for the pre-cut-off period will re-anchor the FY2027 and FY2028 driver years.; Working-capital release assumption (-12% capture): if the Nike online inventory has to be cleared at deep markdowns or returned at a loss, the FY2027-28 cash release is smaller than modelled.; Dividend: &gt;100% payout ratios (137% in FY2026) are funded partly from cash; the model values FCF not dividends, but a cut would move the market price and the hurdle entry price would then be the reference.; RMB/HKD: per-share values are converted at CNYHKD 1.1747 (2026-10-23); refresh_price.py does not update fx_rate, so the rate must be refreshed by hand on later price-only updates.; Terminal multiple: 12x cap on a business that may still be shrinking in year 10; Gordon binds in the base case at 1.5% growth, so the cap is a brake, not the driver.</t>
  </si>
  <si>
    <t xml:space="preserve">Data sources</t>
  </si>
  <si>
    <t xml:space="preserve">price: Yahoo Finance chart API (6110.HK) at inputs.price_as_of; HKEX regular close; 52-week range HK$0.93-3.50. FX: Yahoo CNYHKD=X at the same date.
financials: 6110.HK_Metrics.csv (FY2019-FY2026 annuals, H1 FY2025/H1 FY2026 interims, exported from core_metrics); FY2026 annual report (year ended 28 Feb 2026) for net cash (Liquidity section), lease payments (cash flow statement, financing), D&amp;A split (note 13 staff costs/expenses by nature: ROU depreciation 912.1, PP&amp;E depreciation 366.4, amortization 15.6), finance costs note 9, inventories/receivables/payables (balance sheet notes 21/22/24), share count (Directors' report), EPS note 11.
qualitative: 6110.HK_Analysis.json (2026-10-24): Nike 22 July 2026 online-authorization termination effective 1 Jan 2027 (online Nike ~22% of FY2026 revenue), mid-2026 voluntary disclosure of a 10-20% sales decline, store count and margin history, brand concentration (Nike + Adidas ~87% of revenue).</t>
  </si>
  <si>
    <t xml:space="preserve">Scenario narrative: bear</t>
  </si>
  <si>
    <t xml:space="preserve">Nike's notice is the first of several: offline Nike terms are reset in Nike's favour (fewer and lower-tier doors, thinner margins), Adidas adopts the same online-direct model by FY2029, and Chinese discretionary spending stays soft. Revenue roughly halves to ~RMB12bn by FY2033, the net-of-lease EBITDA margin settles at ~3.5%, and the dividend is cut to what a RMB200-250m/yr cash business can pay. The value in this path is mostly the RMB1.2bn net cash plus the working capital that unwinds on the way down.</t>
  </si>
  <si>
    <t xml:space="preserve">Scenario narrative: base</t>
  </si>
  <si>
    <t xml:space="preserve">Nike's online authorization ends 1 January 2027 and the ~22% of FY2026 revenue it represented is lost over FY2027-FY2028 with no replacement; Nike offline cooperation continues on broadly current terms and Adidas is unchanged. Combined with the pre-existing offline drift (store count 8,395 -&gt; 4,360 since FY2020, mid-2026 sales down 10-20%), revenue falls to ~RMB17bn by FY2029 and then stabilises. Store, personnel and platform costs come out behind the revenue, so the net-of-lease EBITDA margin dips to ~4.5% in FY2028 before rebuilding to 6.0% -- still below the FY2026 trough of 6.7%. Working capital (RMB6.4bn net) releases cash through the contraction. The surviving business is a ~RMB600-700m/yr cash distributor on a net-cash balance sheet, valued at 10.5% with a 12x terminal cap.</t>
  </si>
  <si>
    <t xml:space="preserve">Scenario narrative: bull</t>
  </si>
  <si>
    <t xml:space="preserve">The Nike online loss is a single step-down rather than the opening of a disintermediation sequence. Nike consolidates its offline network around Topsports (which already runs over half of Nike's physical doors in China), Adidas China keeps outperforming, and the niche/professional brand strategy (HOKA, Norrona, norda, Soar, Ciele, ektos stores) together with instant retail and private-domain channels for non-Nike brands backfills part of the online hole. With a China consumer recovery from FY2029, revenue returns to 3-4% growth off a ~RMB19.7bn base and the net-of-lease margin rebuilds to 8% (the FY2024 level was 10.5%).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</si>
  <si>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</si>
  <si>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</si>
  <si>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</si>
  <si>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</si>
  <si>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</si>
  <si>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</si>
  <si>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</si>
  <si>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</si>
  <si>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</si>
  <si>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</si>
  <si>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</si>
  <si>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</si>
  <si>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</si>
  <si>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</si>
  <si>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</si>
  <si>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</si>
  <si>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</si>
  <si>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</si>
  <si>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</si>
  <si>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</si>
  <si>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</si>
  <si>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</si>
  <si>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</si>
  <si>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</si>
  <si>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</si>
  <si>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</si>
  <si>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</si>
  <si>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EffectiveCashTaxRate</t>
  </si>
  <si>
    <t xml:space="preserve">LeasePayments</t>
  </si>
  <si>
    <t xml:space="preserve">StoreCount</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</si>
  <si>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</si>
  <si>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</si>
  <si>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</si>
  <si>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</si>
  <si>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</si>
  <si>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</si>
  <si>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</si>
  <si>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</si>
  <si>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</si>
  <si>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</si>
  <si>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</si>
  <si>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</si>
  <si>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</si>
  <si>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</si>
  <si>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</si>
  <si>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</si>
  <si>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</si>
  <si>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</si>
  <si>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</si>
  <si>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</si>
  <si>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</si>
  <si>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</si>
  <si>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</si>
  <si>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</si>
  <si>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</si>
  <si>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</si>
  <si>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</si>
  <si>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</si>
  <si>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</si>
  <si>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</si>
  <si>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</si>
  <si>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</si>
  <si>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</si>
  <si>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</si>
  <si>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</si>
  <si>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</si>
  <si>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</si>
  <si>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</si>
  <si>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</si>
  <si>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</si>
  <si>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</si>
  <si>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</si>
  <si>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</si>
  <si>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</si>
  <si>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</si>
  <si>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6110.HK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</si>
  <si>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</si>
  <si>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</si>
  <si>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</si>
  <si>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</si>
  <si>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</si>
  <si>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</si>
  <si>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</si>
  <si>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</si>
  <si>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</si>
  <si>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</si>
  <si>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</si>
  <si>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</si>
  <si>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</si>
  <si>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</si>
  <si>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</si>
  <si>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</si>
  <si>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</si>
  <si>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</si>
  <si>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</si>
  <si>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</si>
  <si>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</si>
  <si>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</si>
  <si>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</si>
  <si>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</si>
  <si>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</si>
  <si>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</si>
  <si>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</si>
  <si>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</si>
  <si>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</si>
  <si>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</si>
  <si>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6110.HK owner-FCF component DCF: base case (millions, CNY)</t>
  </si>
  <si>
    <t xml:space="preserve">6110.HK owner-FCF component DCF: bull case (millions, CNY)</t>
  </si>
  <si>
    <t xml:space="preserve">6110.HK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</si>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</sst>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1.005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32564.4</v>
      </c>
      <c r="C2" s="0" t="n">
        <v>-18957.1</v>
      </c>
      <c r="D2" s="0" t="n">
        <v>13607.3</v>
      </c>
      <c r="E2" s="0" t="n">
        <v>41.8</v>
      </c>
      <c r="F2" s="0" t="n">
        <v>3236.8</v>
      </c>
      <c r="G2" s="0" t="n">
        <v>9.9</v>
      </c>
      <c r="H2" s="0" t="n">
        <v>5307.8</v>
      </c>
      <c r="I2" s="0" t="n">
        <v>2199.8</v>
      </c>
      <c r="J2" s="0" t="n">
        <v>6.8</v>
      </c>
      <c r="K2" s="0" t="n">
        <v>0.4173</v>
      </c>
      <c r="L2" s="0" t="n">
        <v>3146.2</v>
      </c>
      <c r="M2" s="0" t="n">
        <v>917.9</v>
      </c>
      <c r="N2" s="0" t="n">
        <v>2228.3</v>
      </c>
      <c r="O2" s="0" t="n">
        <v>1948.8</v>
      </c>
      <c r="P2" s="0" t="n">
        <v>16216.4</v>
      </c>
      <c r="Q2" s="0" t="n">
        <v>14267.6</v>
      </c>
      <c r="R2" s="0" t="n">
        <v>1300</v>
      </c>
      <c r="S2" s="0" t="n">
        <v>650.5</v>
      </c>
      <c r="U2" s="0" t="n">
        <v>0</v>
      </c>
      <c r="AA2" s="0" t="s">
        <v>18</v>
      </c>
      <c r="AB2" s="0" t="s">
        <v>14</v>
      </c>
      <c r="AC2" s="0" t="n">
        <v>31</v>
      </c>
      <c r="AD2" s="0" t="n">
        <v>1535.1</v>
      </c>
      <c r="AE2" s="0" t="n">
        <v>8343</v>
      </c>
    </row>
    <row r="3" customFormat="false" ht="15" hidden="false" customHeight="false" outlineLevel="0" collapsed="false">
      <c r="A3" s="0" t="s">
        <v>68</v>
      </c>
      <c r="B3" s="0" t="n">
        <v>33690.2</v>
      </c>
      <c r="C3" s="0" t="n">
        <v>-19502.7</v>
      </c>
      <c r="D3" s="0" t="n">
        <v>14187.5</v>
      </c>
      <c r="E3" s="0" t="n">
        <v>42.1</v>
      </c>
      <c r="F3" s="0" t="n">
        <v>3302.9</v>
      </c>
      <c r="G3" s="0" t="n">
        <v>9.8</v>
      </c>
      <c r="H3" s="0" t="n">
        <v>5812.1</v>
      </c>
      <c r="I3" s="0" t="n">
        <v>2303.4</v>
      </c>
      <c r="J3" s="0" t="n">
        <v>6.8</v>
      </c>
      <c r="K3" s="0" t="n">
        <v>0.4088</v>
      </c>
      <c r="L3" s="0" t="n">
        <v>6447.8</v>
      </c>
      <c r="M3" s="0" t="n">
        <v>711.9</v>
      </c>
      <c r="N3" s="0" t="n">
        <v>5735.9</v>
      </c>
      <c r="O3" s="0" t="n">
        <v>10543</v>
      </c>
      <c r="P3" s="0" t="n">
        <v>22035.2</v>
      </c>
      <c r="Q3" s="0" t="n">
        <v>11492.2</v>
      </c>
      <c r="R3" s="0" t="n">
        <v>2400</v>
      </c>
      <c r="S3" s="0" t="n">
        <v>2823.9</v>
      </c>
      <c r="T3" s="0" t="n">
        <v>6201.22</v>
      </c>
      <c r="U3" s="0" t="n">
        <v>0</v>
      </c>
      <c r="AA3" s="0" t="s">
        <v>18</v>
      </c>
      <c r="AB3" s="0" t="s">
        <v>14</v>
      </c>
      <c r="AC3" s="0" t="n">
        <v>17.1</v>
      </c>
      <c r="AD3" s="0" t="n">
        <v>1895.4</v>
      </c>
      <c r="AE3" s="0" t="n">
        <v>8395</v>
      </c>
    </row>
    <row r="4" customFormat="false" ht="15" hidden="false" customHeight="false" outlineLevel="0" collapsed="false">
      <c r="A4" s="0" t="s">
        <v>69</v>
      </c>
      <c r="B4" s="0" t="n">
        <v>36009</v>
      </c>
      <c r="C4" s="0" t="n">
        <v>-21327.9</v>
      </c>
      <c r="D4" s="0" t="n">
        <v>14681.1</v>
      </c>
      <c r="E4" s="0" t="n">
        <v>40.8</v>
      </c>
      <c r="F4" s="0" t="n">
        <v>3989.4</v>
      </c>
      <c r="G4" s="0" t="n">
        <v>11.1</v>
      </c>
      <c r="H4" s="0" t="n">
        <v>6621.4</v>
      </c>
      <c r="I4" s="0" t="n">
        <v>2770.1</v>
      </c>
      <c r="J4" s="0" t="n">
        <v>7.7</v>
      </c>
      <c r="K4" s="0" t="n">
        <v>0.4467</v>
      </c>
      <c r="L4" s="0" t="n">
        <v>4705.5</v>
      </c>
      <c r="M4" s="0" t="n">
        <v>643.1</v>
      </c>
      <c r="N4" s="0" t="n">
        <v>4062.4</v>
      </c>
      <c r="O4" s="0" t="n">
        <v>9705.8</v>
      </c>
      <c r="P4" s="0" t="n">
        <v>17706.4</v>
      </c>
      <c r="Q4" s="0" t="n">
        <v>8000.6</v>
      </c>
      <c r="R4" s="0" t="n">
        <v>1337.2</v>
      </c>
      <c r="S4" s="0" t="n">
        <v>1228.8</v>
      </c>
      <c r="T4" s="0" t="n">
        <v>6201.22</v>
      </c>
      <c r="U4" s="0" t="n">
        <v>0</v>
      </c>
      <c r="AA4" s="0" t="s">
        <v>18</v>
      </c>
      <c r="AB4" s="0" t="s">
        <v>14</v>
      </c>
      <c r="AC4" s="0" t="n">
        <v>24.7</v>
      </c>
      <c r="AD4" s="0" t="n">
        <v>1960.1</v>
      </c>
      <c r="AE4" s="0" t="n">
        <v>8006</v>
      </c>
    </row>
    <row r="5" customFormat="false" ht="15" hidden="false" customHeight="false" outlineLevel="0" collapsed="false">
      <c r="A5" s="0" t="s">
        <v>70</v>
      </c>
      <c r="B5" s="0" t="n">
        <v>31876.5</v>
      </c>
      <c r="C5" s="0" t="n">
        <v>-18052.1</v>
      </c>
      <c r="D5" s="0" t="n">
        <v>13824.4</v>
      </c>
      <c r="E5" s="0" t="n">
        <v>43.4</v>
      </c>
      <c r="F5" s="0" t="n">
        <v>3430.1</v>
      </c>
      <c r="G5" s="0" t="n">
        <v>10.8</v>
      </c>
      <c r="H5" s="0" t="n">
        <v>5958.2</v>
      </c>
      <c r="I5" s="0" t="n">
        <v>2446.5</v>
      </c>
      <c r="J5" s="0" t="n">
        <v>7.7</v>
      </c>
      <c r="K5" s="0" t="n">
        <v>0.3945</v>
      </c>
      <c r="L5" s="0" t="n">
        <v>5689.5</v>
      </c>
      <c r="M5" s="0" t="n">
        <v>716.4</v>
      </c>
      <c r="N5" s="0" t="n">
        <v>4973.1</v>
      </c>
      <c r="O5" s="0" t="n">
        <v>10581.5</v>
      </c>
      <c r="P5" s="0" t="n">
        <v>17796.3</v>
      </c>
      <c r="Q5" s="0" t="n">
        <v>7214.8</v>
      </c>
      <c r="R5" s="0" t="n">
        <v>518.2</v>
      </c>
      <c r="S5" s="0" t="n">
        <v>1752.6</v>
      </c>
      <c r="T5" s="0" t="n">
        <v>6201.22</v>
      </c>
      <c r="U5" s="0" t="n">
        <v>0</v>
      </c>
      <c r="AA5" s="0" t="s">
        <v>18</v>
      </c>
      <c r="AB5" s="0" t="s">
        <v>14</v>
      </c>
      <c r="AC5" s="0" t="n">
        <v>27.1</v>
      </c>
      <c r="AD5" s="0" t="n">
        <v>2117.2</v>
      </c>
      <c r="AE5" s="0" t="n">
        <v>7695</v>
      </c>
    </row>
    <row r="6" customFormat="false" ht="15" hidden="false" customHeight="false" outlineLevel="0" collapsed="false">
      <c r="A6" s="0" t="s">
        <v>71</v>
      </c>
      <c r="B6" s="0" t="n">
        <v>27073.2</v>
      </c>
      <c r="C6" s="0" t="n">
        <v>-15789</v>
      </c>
      <c r="D6" s="0" t="n">
        <v>11284.2</v>
      </c>
      <c r="E6" s="0" t="n">
        <v>41.7</v>
      </c>
      <c r="F6" s="0" t="n">
        <v>2430.9</v>
      </c>
      <c r="G6" s="0" t="n">
        <v>9</v>
      </c>
      <c r="H6" s="0" t="n">
        <v>4646.6</v>
      </c>
      <c r="I6" s="0" t="n">
        <v>1836.6</v>
      </c>
      <c r="J6" s="0" t="n">
        <v>6.8</v>
      </c>
      <c r="K6" s="0" t="n">
        <v>0.2962</v>
      </c>
      <c r="L6" s="0" t="n">
        <v>4350.7</v>
      </c>
      <c r="M6" s="0" t="n">
        <v>357</v>
      </c>
      <c r="N6" s="0" t="n">
        <v>3993.7</v>
      </c>
      <c r="O6" s="0" t="n">
        <v>9833.6</v>
      </c>
      <c r="P6" s="0" t="n">
        <v>16820.7</v>
      </c>
      <c r="Q6" s="0" t="n">
        <v>6987.1</v>
      </c>
      <c r="R6" s="0" t="n">
        <v>1545</v>
      </c>
      <c r="S6" s="0" t="n">
        <v>2357.4</v>
      </c>
      <c r="T6" s="0" t="n">
        <v>6201.22</v>
      </c>
      <c r="U6" s="0" t="n">
        <v>0</v>
      </c>
      <c r="AA6" s="0" t="s">
        <v>18</v>
      </c>
      <c r="AB6" s="0" t="s">
        <v>14</v>
      </c>
      <c r="AC6" s="0" t="n">
        <v>38.4</v>
      </c>
      <c r="AD6" s="0" t="n">
        <v>1480.6</v>
      </c>
      <c r="AE6" s="0" t="n">
        <v>6565</v>
      </c>
    </row>
    <row r="7" customFormat="false" ht="15" hidden="false" customHeight="false" outlineLevel="0" collapsed="false">
      <c r="A7" s="0" t="s">
        <v>72</v>
      </c>
      <c r="B7" s="0" t="n">
        <v>28933.2</v>
      </c>
      <c r="C7" s="0" t="n">
        <v>-16852.4</v>
      </c>
      <c r="D7" s="0" t="n">
        <v>12080.8</v>
      </c>
      <c r="E7" s="0" t="n">
        <v>41.8</v>
      </c>
      <c r="F7" s="0" t="n">
        <v>2786.5</v>
      </c>
      <c r="G7" s="0" t="n">
        <v>9.6</v>
      </c>
      <c r="H7" s="0" t="n">
        <v>4458.3</v>
      </c>
      <c r="I7" s="0" t="n">
        <v>2213</v>
      </c>
      <c r="J7" s="0" t="n">
        <v>7.6</v>
      </c>
      <c r="K7" s="0" t="n">
        <v>0.3569</v>
      </c>
      <c r="L7" s="0" t="n">
        <v>3129</v>
      </c>
      <c r="M7" s="0" t="n">
        <v>396.9</v>
      </c>
      <c r="N7" s="0" t="n">
        <v>2732.1</v>
      </c>
      <c r="O7" s="0" t="n">
        <v>9848.9</v>
      </c>
      <c r="P7" s="0" t="n">
        <v>14544</v>
      </c>
      <c r="Q7" s="0" t="n">
        <v>4693.6</v>
      </c>
      <c r="R7" s="0" t="n">
        <v>720.1</v>
      </c>
      <c r="S7" s="0" t="n">
        <v>1956</v>
      </c>
      <c r="T7" s="0" t="n">
        <v>6201.22</v>
      </c>
      <c r="U7" s="0" t="n">
        <v>0</v>
      </c>
      <c r="AA7" s="0" t="s">
        <v>18</v>
      </c>
      <c r="AB7" s="0" t="s">
        <v>14</v>
      </c>
      <c r="AC7" s="0" t="n">
        <v>21.8</v>
      </c>
      <c r="AD7" s="0" t="n">
        <v>1421.6</v>
      </c>
      <c r="AE7" s="0" t="n">
        <v>6144</v>
      </c>
    </row>
    <row r="8" customFormat="false" ht="15" hidden="false" customHeight="false" outlineLevel="0" collapsed="false">
      <c r="A8" s="0" t="s">
        <v>73</v>
      </c>
      <c r="B8" s="0" t="n">
        <v>27012.9</v>
      </c>
      <c r="C8" s="0" t="n">
        <v>-16629.5</v>
      </c>
      <c r="D8" s="0" t="n">
        <v>10383.4</v>
      </c>
      <c r="E8" s="0" t="n">
        <v>38.4</v>
      </c>
      <c r="F8" s="0" t="n">
        <v>1592.7</v>
      </c>
      <c r="G8" s="0" t="n">
        <v>5.9</v>
      </c>
      <c r="H8" s="0" t="n">
        <v>3053.1</v>
      </c>
      <c r="I8" s="0" t="n">
        <v>1286</v>
      </c>
      <c r="J8" s="0" t="n">
        <v>4.8</v>
      </c>
      <c r="K8" s="0" t="n">
        <v>0.2074</v>
      </c>
      <c r="L8" s="0" t="n">
        <v>3755.3</v>
      </c>
      <c r="M8" s="0" t="n">
        <v>372.8</v>
      </c>
      <c r="N8" s="0" t="n">
        <v>3382.5</v>
      </c>
      <c r="O8" s="0" t="n">
        <v>9058.8</v>
      </c>
      <c r="P8" s="0" t="n">
        <v>14902.5</v>
      </c>
      <c r="Q8" s="0" t="n">
        <v>5843.5</v>
      </c>
      <c r="R8" s="0" t="n">
        <v>2130</v>
      </c>
      <c r="S8" s="0" t="n">
        <v>2587.4</v>
      </c>
      <c r="T8" s="0" t="n">
        <v>6201.22</v>
      </c>
      <c r="U8" s="0" t="n">
        <v>0</v>
      </c>
      <c r="AA8" s="0" t="s">
        <v>18</v>
      </c>
      <c r="AB8" s="0" t="s">
        <v>14</v>
      </c>
      <c r="AC8" s="0" t="n">
        <v>22.1</v>
      </c>
      <c r="AD8" s="0" t="n">
        <v>1241.3</v>
      </c>
      <c r="AE8" s="0" t="n">
        <v>5020</v>
      </c>
    </row>
    <row r="9" customFormat="false" ht="15" hidden="false" customHeight="false" outlineLevel="0" collapsed="false">
      <c r="A9" s="0" t="s">
        <v>74</v>
      </c>
      <c r="B9" s="0" t="n">
        <v>25739.9</v>
      </c>
      <c r="C9" s="0" t="n">
        <v>-15955.3</v>
      </c>
      <c r="D9" s="0" t="n">
        <v>9784.6</v>
      </c>
      <c r="E9" s="0" t="n">
        <v>38</v>
      </c>
      <c r="F9" s="0" t="n">
        <v>1521.8</v>
      </c>
      <c r="G9" s="0" t="n">
        <v>5.9</v>
      </c>
      <c r="H9" s="0" t="n">
        <v>2815.9</v>
      </c>
      <c r="I9" s="0" t="n">
        <v>1266.8</v>
      </c>
      <c r="J9" s="0" t="n">
        <v>4.9</v>
      </c>
      <c r="K9" s="0" t="n">
        <v>0.2043</v>
      </c>
      <c r="L9" s="0" t="n">
        <v>2728.4</v>
      </c>
      <c r="M9" s="0" t="n">
        <v>284</v>
      </c>
      <c r="N9" s="0" t="n">
        <v>2444.4</v>
      </c>
      <c r="O9" s="0" t="n">
        <v>8622</v>
      </c>
      <c r="P9" s="0" t="n">
        <v>14066.7</v>
      </c>
      <c r="Q9" s="0" t="n">
        <v>5444.7</v>
      </c>
      <c r="R9" s="0" t="n">
        <v>1966</v>
      </c>
      <c r="S9" s="0" t="n">
        <v>2073.5</v>
      </c>
      <c r="T9" s="0" t="n">
        <v>6201.22</v>
      </c>
      <c r="U9" s="0" t="n">
        <v>0</v>
      </c>
      <c r="AA9" s="0" t="s">
        <v>18</v>
      </c>
      <c r="AB9" s="0" t="s">
        <v>14</v>
      </c>
      <c r="AC9" s="0" t="n">
        <v>20.2</v>
      </c>
      <c r="AD9" s="0" t="n">
        <v>1090.2</v>
      </c>
      <c r="AE9" s="0" t="n">
        <v>4360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1.005</v>
      </c>
    </row>
    <row r="3" customFormat="false" ht="15" hidden="false" customHeight="false" outlineLevel="0" collapsed="false">
      <c r="A3" s="0" t="s">
        <v>78</v>
      </c>
      <c r="B3" s="3" t="n">
        <v>6201.222</v>
      </c>
    </row>
    <row r="4" customFormat="false" ht="15" hidden="false" customHeight="false" outlineLevel="0" collapsed="false">
      <c r="A4" s="0" t="s">
        <v>79</v>
      </c>
      <c r="B4" s="3" t="n">
        <v>-1174.5</v>
      </c>
    </row>
    <row r="5" customFormat="false" ht="15" hidden="false" customHeight="false" outlineLevel="0" collapsed="false">
      <c r="A5" s="0" t="s">
        <v>80</v>
      </c>
      <c r="B5" s="3" t="n">
        <v>0</v>
      </c>
    </row>
    <row r="6" customFormat="false" ht="15" hidden="false" customHeight="false" outlineLevel="0" collapsed="false">
      <c r="A6" s="0" t="s">
        <v>81</v>
      </c>
      <c r="B6" s="3" t="n">
        <v>15</v>
      </c>
    </row>
    <row r="7" customFormat="false" ht="15" hidden="false" customHeight="false" outlineLevel="0" collapsed="false">
      <c r="A7" s="0" t="s">
        <v>82</v>
      </c>
      <c r="B7" s="3" t="n">
        <v>25739.9</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1.1747</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-16</v>
      </c>
      <c r="D13" s="3" t="n">
        <v>-26</v>
      </c>
      <c r="E13" s="3" t="n">
        <v>-10</v>
      </c>
      <c r="F13" s="3" t="n">
        <v>-6</v>
      </c>
      <c r="G13" s="3" t="n">
        <v>-4</v>
      </c>
      <c r="H13" s="3" t="n">
        <v>-3</v>
      </c>
      <c r="I13" s="3" t="n">
        <v>-2</v>
      </c>
      <c r="J13" s="3" t="n">
        <v>-1</v>
      </c>
      <c r="K13" s="3" t="n">
        <v>0</v>
      </c>
      <c r="L13" s="3" t="n">
        <v>0</v>
      </c>
    </row>
    <row r="14" customFormat="false" ht="15" hidden="false" customHeight="false" outlineLevel="0" collapsed="false">
      <c r="A14" s="0" t="s">
        <v>99</v>
      </c>
      <c r="C14" s="3" t="n">
        <v>9.6</v>
      </c>
      <c r="D14" s="3" t="n">
        <v>7.6</v>
      </c>
      <c r="E14" s="3" t="n">
        <v>7.3</v>
      </c>
      <c r="F14" s="3" t="n">
        <v>7.3</v>
      </c>
      <c r="G14" s="3" t="n">
        <v>7.5</v>
      </c>
      <c r="H14" s="3" t="n">
        <v>7.8</v>
      </c>
      <c r="I14" s="3" t="n">
        <v>8</v>
      </c>
      <c r="J14" s="3" t="n">
        <v>8</v>
      </c>
      <c r="K14" s="3" t="n">
        <v>8</v>
      </c>
      <c r="L14" s="3" t="n">
        <v>8</v>
      </c>
    </row>
    <row r="15" customFormat="false" ht="15" hidden="false" customHeight="false" outlineLevel="0" collapsed="false">
      <c r="A15" s="0" t="s">
        <v>100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101</v>
      </c>
      <c r="C16" s="3" t="n">
        <v>4.4</v>
      </c>
      <c r="D16" s="3" t="n">
        <v>5</v>
      </c>
      <c r="E16" s="3" t="n">
        <v>5</v>
      </c>
      <c r="F16" s="3" t="n">
        <v>4.9</v>
      </c>
      <c r="G16" s="3" t="n">
        <v>4.8</v>
      </c>
      <c r="H16" s="3" t="n">
        <v>4.7</v>
      </c>
      <c r="I16" s="3" t="n">
        <v>4.6</v>
      </c>
      <c r="J16" s="3" t="n">
        <v>4.5</v>
      </c>
      <c r="K16" s="3" t="n">
        <v>4.5</v>
      </c>
      <c r="L16" s="3" t="n">
        <v>4.5</v>
      </c>
    </row>
    <row r="17" customFormat="false" ht="15" hidden="false" customHeight="false" outlineLevel="0" collapsed="false">
      <c r="A17" s="0" t="s">
        <v>102</v>
      </c>
      <c r="C17" s="3" t="n">
        <v>1.7</v>
      </c>
      <c r="D17" s="3" t="n">
        <v>1.6</v>
      </c>
      <c r="E17" s="3" t="n">
        <v>1.6</v>
      </c>
      <c r="F17" s="3" t="n">
        <v>1.5</v>
      </c>
      <c r="G17" s="3" t="n">
        <v>1.5</v>
      </c>
      <c r="H17" s="3" t="n">
        <v>1.4</v>
      </c>
      <c r="I17" s="3" t="n">
        <v>1.4</v>
      </c>
      <c r="J17" s="3" t="n">
        <v>1.4</v>
      </c>
      <c r="K17" s="3" t="n">
        <v>1.4</v>
      </c>
      <c r="L17" s="3" t="n">
        <v>1.4</v>
      </c>
    </row>
    <row r="18" customFormat="false" ht="15" hidden="false" customHeight="false" outlineLevel="0" collapsed="false">
      <c r="A18" s="0" t="s">
        <v>103</v>
      </c>
      <c r="C18" s="3" t="n">
        <v>1.15</v>
      </c>
      <c r="D18" s="3" t="n">
        <v>1.15</v>
      </c>
      <c r="E18" s="3" t="n">
        <v>1.15</v>
      </c>
      <c r="F18" s="3" t="n">
        <v>1.2</v>
      </c>
      <c r="G18" s="3" t="n">
        <v>1.2</v>
      </c>
      <c r="H18" s="3" t="n">
        <v>1.2</v>
      </c>
      <c r="I18" s="3" t="n">
        <v>1.2</v>
      </c>
      <c r="J18" s="3" t="n">
        <v>1.2</v>
      </c>
      <c r="K18" s="3" t="n">
        <v>1.2</v>
      </c>
      <c r="L18" s="3" t="n">
        <v>1.2</v>
      </c>
    </row>
    <row r="19" customFormat="false" ht="15" hidden="false" customHeight="false" outlineLevel="0" collapsed="false">
      <c r="A19" s="0" t="s">
        <v>104</v>
      </c>
      <c r="C19" s="3" t="n">
        <v>24</v>
      </c>
      <c r="D19" s="3" t="n">
        <v>24</v>
      </c>
      <c r="E19" s="3" t="n">
        <v>24</v>
      </c>
      <c r="F19" s="3" t="n">
        <v>24</v>
      </c>
      <c r="G19" s="3" t="n">
        <v>24</v>
      </c>
      <c r="H19" s="3" t="n">
        <v>24</v>
      </c>
      <c r="I19" s="3" t="n">
        <v>24</v>
      </c>
      <c r="J19" s="3" t="n">
        <v>24</v>
      </c>
      <c r="K19" s="3" t="n">
        <v>24</v>
      </c>
      <c r="L19" s="3" t="n">
        <v>24</v>
      </c>
    </row>
    <row r="20" customFormat="false" ht="15" hidden="false" customHeight="false" outlineLevel="0" collapsed="false">
      <c r="A20" s="0" t="s">
        <v>105</v>
      </c>
      <c r="B20" s="3" t="n">
        <v>10.5</v>
      </c>
    </row>
    <row r="21" customFormat="false" ht="15" hidden="false" customHeight="false" outlineLevel="0" collapsed="false">
      <c r="A21" s="0" t="s">
        <v>106</v>
      </c>
      <c r="B21" s="3" t="n">
        <v>0.5</v>
      </c>
    </row>
    <row r="22" customFormat="false" ht="15" hidden="false" customHeight="false" outlineLevel="0" collapsed="false">
      <c r="A22" s="0" t="s">
        <v>107</v>
      </c>
      <c r="B22" s="3" t="n">
        <v>12</v>
      </c>
    </row>
    <row r="23" customFormat="false" ht="15" hidden="false" customHeight="false" outlineLevel="0" collapsed="false">
      <c r="A23" s="0" t="s">
        <v>108</v>
      </c>
      <c r="B23" s="3" t="n">
        <v>-12</v>
      </c>
    </row>
    <row r="24" customFormat="false" ht="15" hidden="false" customHeight="false" outlineLevel="0" collapsed="false">
      <c r="A24" s="0" t="s">
        <v>109</v>
      </c>
      <c r="B24" s="3" t="n">
        <v>0.35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-13</v>
      </c>
      <c r="D27" s="3" t="n">
        <v>-20</v>
      </c>
      <c r="E27" s="3" t="n">
        <v>-4</v>
      </c>
      <c r="F27" s="3" t="n">
        <v>-2</v>
      </c>
      <c r="G27" s="3" t="n">
        <v>0</v>
      </c>
      <c r="H27" s="3" t="n">
        <v>1</v>
      </c>
      <c r="I27" s="3" t="n">
        <v>1.5</v>
      </c>
      <c r="J27" s="3" t="n">
        <v>1.5</v>
      </c>
      <c r="K27" s="3" t="n">
        <v>1.5</v>
      </c>
      <c r="L27" s="3" t="n">
        <v>1.5</v>
      </c>
    </row>
    <row r="28" customFormat="false" ht="15" hidden="false" customHeight="false" outlineLevel="0" collapsed="false">
      <c r="A28" s="0" t="s">
        <v>99</v>
      </c>
      <c r="C28" s="3" t="n">
        <v>10.3</v>
      </c>
      <c r="D28" s="3" t="n">
        <v>9.2</v>
      </c>
      <c r="E28" s="3" t="n">
        <v>9.4</v>
      </c>
      <c r="F28" s="3" t="n">
        <v>9.7</v>
      </c>
      <c r="G28" s="3" t="n">
        <v>10</v>
      </c>
      <c r="H28" s="3" t="n">
        <v>10.2</v>
      </c>
      <c r="I28" s="3" t="n">
        <v>10.3</v>
      </c>
      <c r="J28" s="3" t="n">
        <v>10.3</v>
      </c>
      <c r="K28" s="3" t="n">
        <v>10.3</v>
      </c>
      <c r="L28" s="3" t="n">
        <v>10.3</v>
      </c>
    </row>
    <row r="29" customFormat="false" ht="15" hidden="false" customHeight="false" outlineLevel="0" collapsed="false">
      <c r="A29" s="0" t="s">
        <v>100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101</v>
      </c>
      <c r="C30" s="3" t="n">
        <v>4.3</v>
      </c>
      <c r="D30" s="3" t="n">
        <v>4.7</v>
      </c>
      <c r="E30" s="3" t="n">
        <v>4.7</v>
      </c>
      <c r="F30" s="3" t="n">
        <v>4.6</v>
      </c>
      <c r="G30" s="3" t="n">
        <v>4.5</v>
      </c>
      <c r="H30" s="3" t="n">
        <v>4.4</v>
      </c>
      <c r="I30" s="3" t="n">
        <v>4.3</v>
      </c>
      <c r="J30" s="3" t="n">
        <v>4.3</v>
      </c>
      <c r="K30" s="3" t="n">
        <v>4.3</v>
      </c>
      <c r="L30" s="3" t="n">
        <v>4.3</v>
      </c>
    </row>
    <row r="31" customFormat="false" ht="15" hidden="false" customHeight="false" outlineLevel="0" collapsed="false">
      <c r="A31" s="0" t="s">
        <v>102</v>
      </c>
      <c r="C31" s="3" t="n">
        <v>1.7</v>
      </c>
      <c r="D31" s="3" t="n">
        <v>1.6</v>
      </c>
      <c r="E31" s="3" t="n">
        <v>1.5</v>
      </c>
      <c r="F31" s="3" t="n">
        <v>1.4</v>
      </c>
      <c r="G31" s="3" t="n">
        <v>1.4</v>
      </c>
      <c r="H31" s="3" t="n">
        <v>1.3</v>
      </c>
      <c r="I31" s="3" t="n">
        <v>1.3</v>
      </c>
      <c r="J31" s="3" t="n">
        <v>1.3</v>
      </c>
      <c r="K31" s="3" t="n">
        <v>1.3</v>
      </c>
      <c r="L31" s="3" t="n">
        <v>1.3</v>
      </c>
    </row>
    <row r="32" customFormat="false" ht="15" hidden="false" customHeight="false" outlineLevel="0" collapsed="false">
      <c r="A32" s="0" t="s">
        <v>103</v>
      </c>
      <c r="C32" s="3" t="n">
        <v>1.15</v>
      </c>
      <c r="D32" s="3" t="n">
        <v>1.15</v>
      </c>
      <c r="E32" s="3" t="n">
        <v>1.2</v>
      </c>
      <c r="F32" s="3" t="n">
        <v>1.2</v>
      </c>
      <c r="G32" s="3" t="n">
        <v>1.2</v>
      </c>
      <c r="H32" s="3" t="n">
        <v>1.25</v>
      </c>
      <c r="I32" s="3" t="n">
        <v>1.3</v>
      </c>
      <c r="J32" s="3" t="n">
        <v>1.3</v>
      </c>
      <c r="K32" s="3" t="n">
        <v>1.3</v>
      </c>
      <c r="L32" s="3" t="n">
        <v>1.3</v>
      </c>
    </row>
    <row r="33" customFormat="false" ht="15" hidden="false" customHeight="false" outlineLevel="0" collapsed="false">
      <c r="A33" s="0" t="s">
        <v>104</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105</v>
      </c>
      <c r="B34" s="3" t="n">
        <v>10.5</v>
      </c>
    </row>
    <row r="35" customFormat="false" ht="15" hidden="false" customHeight="false" outlineLevel="0" collapsed="false">
      <c r="A35" s="0" t="s">
        <v>106</v>
      </c>
      <c r="B35" s="3" t="n">
        <v>1.5</v>
      </c>
    </row>
    <row r="36" customFormat="false" ht="15" hidden="false" customHeight="false" outlineLevel="0" collapsed="false">
      <c r="A36" s="0" t="s">
        <v>107</v>
      </c>
      <c r="B36" s="3" t="n">
        <v>12</v>
      </c>
    </row>
    <row r="37" customFormat="false" ht="15" hidden="false" customHeight="false" outlineLevel="0" collapsed="false">
      <c r="A37" s="0" t="s">
        <v>108</v>
      </c>
      <c r="B37" s="3" t="n">
        <v>-12</v>
      </c>
    </row>
    <row r="38" customFormat="false" ht="15" hidden="false" customHeight="false" outlineLevel="0" collapsed="false">
      <c r="A38" s="0" t="s">
        <v>109</v>
      </c>
      <c r="B38" s="3" t="n">
        <v>0.45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-11</v>
      </c>
      <c r="D41" s="3" t="n">
        <v>-14</v>
      </c>
      <c r="E41" s="3" t="n">
        <v>2</v>
      </c>
      <c r="F41" s="3" t="n">
        <v>4</v>
      </c>
      <c r="G41" s="3" t="n">
        <v>4</v>
      </c>
      <c r="H41" s="3" t="n">
        <v>3.5</v>
      </c>
      <c r="I41" s="3" t="n">
        <v>3</v>
      </c>
      <c r="J41" s="3" t="n">
        <v>3</v>
      </c>
      <c r="K41" s="3" t="n">
        <v>2.5</v>
      </c>
      <c r="L41" s="3" t="n">
        <v>2.5</v>
      </c>
    </row>
    <row r="42" customFormat="false" ht="15" hidden="false" customHeight="false" outlineLevel="0" collapsed="false">
      <c r="A42" s="0" t="s">
        <v>99</v>
      </c>
      <c r="C42" s="3" t="n">
        <v>10.6</v>
      </c>
      <c r="D42" s="3" t="n">
        <v>10</v>
      </c>
      <c r="E42" s="3" t="n">
        <v>10.6</v>
      </c>
      <c r="F42" s="3" t="n">
        <v>11.2</v>
      </c>
      <c r="G42" s="3" t="n">
        <v>11.6</v>
      </c>
      <c r="H42" s="3" t="n">
        <v>12</v>
      </c>
      <c r="I42" s="3" t="n">
        <v>12.2</v>
      </c>
      <c r="J42" s="3" t="n">
        <v>12.2</v>
      </c>
      <c r="K42" s="3" t="n">
        <v>12.2</v>
      </c>
      <c r="L42" s="3" t="n">
        <v>12.2</v>
      </c>
    </row>
    <row r="43" customFormat="false" ht="15" hidden="false" customHeight="false" outlineLevel="0" collapsed="false">
      <c r="A43" s="0" t="s">
        <v>100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101</v>
      </c>
      <c r="C44" s="3" t="n">
        <v>4.3</v>
      </c>
      <c r="D44" s="3" t="n">
        <v>4.6</v>
      </c>
      <c r="E44" s="3" t="n">
        <v>4.5</v>
      </c>
      <c r="F44" s="3" t="n">
        <v>4.4</v>
      </c>
      <c r="G44" s="3" t="n">
        <v>4.3</v>
      </c>
      <c r="H44" s="3" t="n">
        <v>4.2</v>
      </c>
      <c r="I44" s="3" t="n">
        <v>4.2</v>
      </c>
      <c r="J44" s="3" t="n">
        <v>4.2</v>
      </c>
      <c r="K44" s="3" t="n">
        <v>4.2</v>
      </c>
      <c r="L44" s="3" t="n">
        <v>4.2</v>
      </c>
    </row>
    <row r="45" customFormat="false" ht="15" hidden="false" customHeight="false" outlineLevel="0" collapsed="false">
      <c r="A45" s="0" t="s">
        <v>102</v>
      </c>
      <c r="C45" s="3" t="n">
        <v>1.6</v>
      </c>
      <c r="D45" s="3" t="n">
        <v>1.6</v>
      </c>
      <c r="E45" s="3" t="n">
        <v>1.5</v>
      </c>
      <c r="F45" s="3" t="n">
        <v>1.4</v>
      </c>
      <c r="G45" s="3" t="n">
        <v>1.4</v>
      </c>
      <c r="H45" s="3" t="n">
        <v>1.3</v>
      </c>
      <c r="I45" s="3" t="n">
        <v>1.3</v>
      </c>
      <c r="J45" s="3" t="n">
        <v>1.3</v>
      </c>
      <c r="K45" s="3" t="n">
        <v>1.3</v>
      </c>
      <c r="L45" s="3" t="n">
        <v>1.3</v>
      </c>
    </row>
    <row r="46" customFormat="false" ht="15" hidden="false" customHeight="false" outlineLevel="0" collapsed="false">
      <c r="A46" s="0" t="s">
        <v>103</v>
      </c>
      <c r="C46" s="3" t="n">
        <v>1.15</v>
      </c>
      <c r="D46" s="3" t="n">
        <v>1.2</v>
      </c>
      <c r="E46" s="3" t="n">
        <v>1.3</v>
      </c>
      <c r="F46" s="3" t="n">
        <v>1.4</v>
      </c>
      <c r="G46" s="3" t="n">
        <v>1.4</v>
      </c>
      <c r="H46" s="3" t="n">
        <v>1.4</v>
      </c>
      <c r="I46" s="3" t="n">
        <v>1.4</v>
      </c>
      <c r="J46" s="3" t="n">
        <v>1.4</v>
      </c>
      <c r="K46" s="3" t="n">
        <v>1.4</v>
      </c>
      <c r="L46" s="3" t="n">
        <v>1.4</v>
      </c>
    </row>
    <row r="47" customFormat="false" ht="15" hidden="false" customHeight="false" outlineLevel="0" collapsed="false">
      <c r="A47" s="0" t="s">
        <v>104</v>
      </c>
      <c r="C47" s="3" t="n">
        <v>24</v>
      </c>
      <c r="D47" s="3" t="n">
        <v>24</v>
      </c>
      <c r="E47" s="3" t="n">
        <v>24</v>
      </c>
      <c r="F47" s="3" t="n">
        <v>24</v>
      </c>
      <c r="G47" s="3" t="n">
        <v>24</v>
      </c>
      <c r="H47" s="3" t="n">
        <v>24</v>
      </c>
      <c r="I47" s="3" t="n">
        <v>24</v>
      </c>
      <c r="J47" s="3" t="n">
        <v>24</v>
      </c>
      <c r="K47" s="3" t="n">
        <v>24</v>
      </c>
      <c r="L47" s="3" t="n">
        <v>24</v>
      </c>
    </row>
    <row r="48" customFormat="false" ht="15" hidden="false" customHeight="false" outlineLevel="0" collapsed="false">
      <c r="A48" s="0" t="s">
        <v>105</v>
      </c>
      <c r="B48" s="3" t="n">
        <v>10.5</v>
      </c>
    </row>
    <row r="49" customFormat="false" ht="15" hidden="false" customHeight="false" outlineLevel="0" collapsed="false">
      <c r="A49" s="0" t="s">
        <v>106</v>
      </c>
      <c r="B49" s="3" t="n">
        <v>2</v>
      </c>
    </row>
    <row r="50" customFormat="false" ht="15" hidden="false" customHeight="false" outlineLevel="0" collapsed="false">
      <c r="A50" s="0" t="s">
        <v>107</v>
      </c>
      <c r="B50" s="3" t="n">
        <v>12</v>
      </c>
    </row>
    <row r="51" customFormat="false" ht="15" hidden="false" customHeight="false" outlineLevel="0" collapsed="false">
      <c r="A51" s="0" t="s">
        <v>108</v>
      </c>
      <c r="B51" s="3" t="n">
        <v>-12</v>
      </c>
    </row>
    <row r="52" customFormat="false" ht="15" hidden="false" customHeight="false" outlineLevel="0" collapsed="false">
      <c r="A52" s="0" t="s">
        <v>109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-16</v>
      </c>
      <c r="D5" s="4" t="n">
        <f aca="false">Assumptions!D13</f>
        <v>-26</v>
      </c>
      <c r="E5" s="4" t="n">
        <f aca="false">Assumptions!E13</f>
        <v>-10</v>
      </c>
      <c r="F5" s="4" t="n">
        <f aca="false">Assumptions!F13</f>
        <v>-6</v>
      </c>
      <c r="G5" s="4" t="n">
        <f aca="false">Assumptions!G13</f>
        <v>-4</v>
      </c>
      <c r="H5" s="4" t="n">
        <f aca="false">Assumptions!H13</f>
        <v>-3</v>
      </c>
      <c r="I5" s="4" t="n">
        <f aca="false">Assumptions!I13</f>
        <v>-2</v>
      </c>
      <c r="J5" s="4" t="n">
        <f aca="false">Assumptions!J13</f>
        <v>-1</v>
      </c>
      <c r="K5" s="4" t="n">
        <f aca="false">Assumptions!K13</f>
        <v>0</v>
      </c>
      <c r="L5" s="4" t="n">
        <f aca="false">Assumptions!L13</f>
        <v>0</v>
      </c>
    </row>
    <row r="6" customFormat="false" ht="15" hidden="false" customHeight="false" outlineLevel="0" collapsed="false">
      <c r="A6" s="0" t="s">
        <v>38</v>
      </c>
      <c r="B6" s="3" t="n">
        <v>25739.9</v>
      </c>
      <c r="C6" s="0" t="n">
        <f aca="false">B6*(1+C5/100)</f>
        <v>21621.516</v>
      </c>
      <c r="D6" s="0" t="n">
        <f aca="false">C6*(1+D5/100)</f>
        <v>15999.92184</v>
      </c>
      <c r="E6" s="0" t="n">
        <f aca="false">D6*(1+E5/100)</f>
        <v>14399.929656</v>
      </c>
      <c r="F6" s="0" t="n">
        <f aca="false">E6*(1+F5/100)</f>
        <v>13535.93387664</v>
      </c>
      <c r="G6" s="0" t="n">
        <f aca="false">F6*(1+G5/100)</f>
        <v>12994.4965215744</v>
      </c>
      <c r="H6" s="0" t="n">
        <f aca="false">G6*(1+H5/100)</f>
        <v>12604.6616259272</v>
      </c>
      <c r="I6" s="0" t="n">
        <f aca="false">H6*(1+I5/100)</f>
        <v>12352.5683934086</v>
      </c>
      <c r="J6" s="0" t="n">
        <f aca="false">I6*(1+J5/100)</f>
        <v>12229.0427094745</v>
      </c>
      <c r="K6" s="0" t="n">
        <f aca="false">J6*(1+K5/100)</f>
        <v>12229.0427094745</v>
      </c>
      <c r="L6" s="0" t="n">
        <f aca="false">K6*(1+L5/100)</f>
        <v>12229.0427094745</v>
      </c>
    </row>
    <row r="7" customFormat="false" ht="15" hidden="false" customHeight="false" outlineLevel="0" collapsed="false">
      <c r="A7" s="0" t="s">
        <v>99</v>
      </c>
      <c r="C7" s="4" t="n">
        <f aca="false">Assumptions!C14</f>
        <v>9.6</v>
      </c>
      <c r="D7" s="4" t="n">
        <f aca="false">Assumptions!D14</f>
        <v>7.6</v>
      </c>
      <c r="E7" s="4" t="n">
        <f aca="false">Assumptions!E14</f>
        <v>7.3</v>
      </c>
      <c r="F7" s="4" t="n">
        <f aca="false">Assumptions!F14</f>
        <v>7.3</v>
      </c>
      <c r="G7" s="4" t="n">
        <f aca="false">Assumptions!G14</f>
        <v>7.5</v>
      </c>
      <c r="H7" s="4" t="n">
        <f aca="false">Assumptions!H14</f>
        <v>7.8</v>
      </c>
      <c r="I7" s="4" t="n">
        <f aca="false">Assumptions!I14</f>
        <v>8</v>
      </c>
      <c r="J7" s="4" t="n">
        <f aca="false">Assumptions!J14</f>
        <v>8</v>
      </c>
      <c r="K7" s="4" t="n">
        <f aca="false">Assumptions!K14</f>
        <v>8</v>
      </c>
      <c r="L7" s="4" t="n">
        <f aca="false">Assumptions!L14</f>
        <v>8</v>
      </c>
    </row>
    <row r="8" customFormat="false" ht="15" hidden="false" customHeight="false" outlineLevel="0" collapsed="false">
      <c r="A8" s="0" t="s">
        <v>44</v>
      </c>
      <c r="C8" s="0" t="n">
        <f aca="false">C6*C7/100</f>
        <v>2075.665536</v>
      </c>
      <c r="D8" s="0" t="n">
        <f aca="false">D6*D7/100</f>
        <v>1215.99405984</v>
      </c>
      <c r="E8" s="0" t="n">
        <f aca="false">E6*E7/100</f>
        <v>1051.194864888</v>
      </c>
      <c r="F8" s="0" t="n">
        <f aca="false">F6*F7/100</f>
        <v>988.12317299472</v>
      </c>
      <c r="G8" s="0" t="n">
        <f aca="false">G6*G7/100</f>
        <v>974.58723911808</v>
      </c>
      <c r="H8" s="0" t="n">
        <f aca="false">H6*H7/100</f>
        <v>983.163606822319</v>
      </c>
      <c r="I8" s="0" t="n">
        <f aca="false">I6*I7/100</f>
        <v>988.20547147269</v>
      </c>
      <c r="J8" s="0" t="n">
        <f aca="false">J6*J7/100</f>
        <v>978.323416757963</v>
      </c>
      <c r="K8" s="0" t="n">
        <f aca="false">K6*K7/100</f>
        <v>978.323416757963</v>
      </c>
      <c r="L8" s="0" t="n">
        <f aca="false">L6*L7/100</f>
        <v>978.323416757963</v>
      </c>
    </row>
    <row r="9" customFormat="false" ht="15" hidden="false" customHeight="false" outlineLevel="0" collapsed="false">
      <c r="A9" s="0" t="s">
        <v>100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1124.318832</v>
      </c>
      <c r="D11" s="0" t="n">
        <f aca="false">D8+D10+D24</f>
        <v>415.99796784</v>
      </c>
      <c r="E11" s="0" t="n">
        <f aca="false">E8+E10+E24</f>
        <v>331.198382088</v>
      </c>
      <c r="F11" s="0" t="n">
        <f aca="false">F8+F10+F24</f>
        <v>324.86241303936</v>
      </c>
      <c r="G11" s="0" t="n">
        <f aca="false">G8+G10+G24</f>
        <v>350.851406082509</v>
      </c>
      <c r="H11" s="0" t="n">
        <f aca="false">H8+H10+H24</f>
        <v>390.744510403742</v>
      </c>
      <c r="I11" s="0" t="n">
        <f aca="false">I8+I10+I24</f>
        <v>419.987325375893</v>
      </c>
      <c r="J11" s="0" t="n">
        <f aca="false">J8+J10+J24</f>
        <v>428.016494831609</v>
      </c>
      <c r="K11" s="0" t="n">
        <f aca="false">K8+K10+K24</f>
        <v>428.016494831609</v>
      </c>
      <c r="L11" s="0" t="n">
        <f aca="false">L8+L10+L24</f>
        <v>428.016494831609</v>
      </c>
    </row>
    <row r="12" customFormat="false" ht="15" hidden="false" customHeight="false" outlineLevel="0" collapsed="false">
      <c r="A12" s="0" t="s">
        <v>117</v>
      </c>
      <c r="C12" s="4" t="n">
        <f aca="false">-C6*Assumptions!C17/100</f>
        <v>-367.565772</v>
      </c>
      <c r="D12" s="4" t="n">
        <f aca="false">-D6*Assumptions!D17/100</f>
        <v>-255.99874944</v>
      </c>
      <c r="E12" s="4" t="n">
        <f aca="false">-E6*Assumptions!E17/100</f>
        <v>-230.398874496</v>
      </c>
      <c r="F12" s="4" t="n">
        <f aca="false">-F6*Assumptions!F17/100</f>
        <v>-203.0390081496</v>
      </c>
      <c r="G12" s="4" t="n">
        <f aca="false">-G6*Assumptions!G17/100</f>
        <v>-194.917447823616</v>
      </c>
      <c r="H12" s="4" t="n">
        <f aca="false">-H6*Assumptions!H17/100</f>
        <v>-176.46526276298</v>
      </c>
      <c r="I12" s="4" t="n">
        <f aca="false">-I6*Assumptions!I17/100</f>
        <v>-172.935957507721</v>
      </c>
      <c r="J12" s="4" t="n">
        <f aca="false">-J6*Assumptions!J17/100</f>
        <v>-171.206597932644</v>
      </c>
      <c r="K12" s="4" t="n">
        <f aca="false">-K6*Assumptions!K17/100</f>
        <v>-171.206597932644</v>
      </c>
      <c r="L12" s="4" t="n">
        <f aca="false">-L6*Assumptions!L17/100</f>
        <v>-171.206597932644</v>
      </c>
    </row>
    <row r="13" customFormat="false" ht="15" hidden="false" customHeight="false" outlineLevel="0" collapsed="false">
      <c r="A13" s="0" t="s">
        <v>118</v>
      </c>
      <c r="C13" s="0" t="n">
        <f aca="false">C11+C12</f>
        <v>756.75306</v>
      </c>
      <c r="D13" s="0" t="n">
        <f aca="false">D11+D12</f>
        <v>159.9992184</v>
      </c>
      <c r="E13" s="0" t="n">
        <f aca="false">E11+E12</f>
        <v>100.799507592</v>
      </c>
      <c r="F13" s="0" t="n">
        <f aca="false">F11+F12</f>
        <v>121.82340488976</v>
      </c>
      <c r="G13" s="0" t="n">
        <f aca="false">G11+G12</f>
        <v>155.933958258893</v>
      </c>
      <c r="H13" s="0" t="n">
        <f aca="false">H11+H12</f>
        <v>214.279247640762</v>
      </c>
      <c r="I13" s="0" t="n">
        <f aca="false">I11+I12</f>
        <v>247.051367868173</v>
      </c>
      <c r="J13" s="0" t="n">
        <f aca="false">J11+J12</f>
        <v>256.809896898965</v>
      </c>
      <c r="K13" s="0" t="n">
        <f aca="false">K11+K12</f>
        <v>256.809896898965</v>
      </c>
      <c r="L13" s="0" t="n">
        <f aca="false">L11+L12</f>
        <v>256.809896898965</v>
      </c>
    </row>
    <row r="14" customFormat="false" ht="15" hidden="false" customHeight="false" outlineLevel="0" collapsed="false">
      <c r="A14" s="0" t="s">
        <v>104</v>
      </c>
      <c r="C14" s="4" t="n">
        <f aca="false">Assumptions!C19</f>
        <v>24</v>
      </c>
      <c r="D14" s="4" t="n">
        <f aca="false">Assumptions!D19</f>
        <v>24</v>
      </c>
      <c r="E14" s="4" t="n">
        <f aca="false">Assumptions!E19</f>
        <v>24</v>
      </c>
      <c r="F14" s="4" t="n">
        <f aca="false">Assumptions!F19</f>
        <v>24</v>
      </c>
      <c r="G14" s="4" t="n">
        <f aca="false">Assumptions!G19</f>
        <v>24</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119</v>
      </c>
      <c r="C15" s="0" t="n">
        <f aca="false">C13-MAX(0,C13)*C14/100</f>
        <v>575.1323256</v>
      </c>
      <c r="D15" s="0" t="n">
        <f aca="false">D13-MAX(0,D13)*D14/100</f>
        <v>121.599405984</v>
      </c>
      <c r="E15" s="0" t="n">
        <f aca="false">E13-MAX(0,E13)*E14/100</f>
        <v>76.60762576992</v>
      </c>
      <c r="F15" s="0" t="n">
        <f aca="false">F13-MAX(0,F13)*F14/100</f>
        <v>92.5857877162176</v>
      </c>
      <c r="G15" s="0" t="n">
        <f aca="false">G13-MAX(0,G13)*G14/100</f>
        <v>118.509808276759</v>
      </c>
      <c r="H15" s="0" t="n">
        <f aca="false">H13-MAX(0,H13)*H14/100</f>
        <v>162.852228206979</v>
      </c>
      <c r="I15" s="0" t="n">
        <f aca="false">I13-MAX(0,I13)*I14/100</f>
        <v>187.759039579811</v>
      </c>
      <c r="J15" s="0" t="n">
        <f aca="false">J13-MAX(0,J13)*J14/100</f>
        <v>195.175521643214</v>
      </c>
      <c r="K15" s="0" t="n">
        <f aca="false">K13-MAX(0,K13)*K14/100</f>
        <v>195.175521643214</v>
      </c>
      <c r="L15" s="0" t="n">
        <f aca="false">L13-MAX(0,L13)*L14/100</f>
        <v>195.175521643214</v>
      </c>
    </row>
    <row r="16" customFormat="false" ht="15" hidden="false" customHeight="false" outlineLevel="0" collapsed="false">
      <c r="A16" s="0" t="s">
        <v>120</v>
      </c>
      <c r="C16" s="0" t="n">
        <f aca="false">-C12</f>
        <v>367.565772</v>
      </c>
      <c r="D16" s="0" t="n">
        <f aca="false">-D12</f>
        <v>255.99874944</v>
      </c>
      <c r="E16" s="0" t="n">
        <f aca="false">-E12</f>
        <v>230.398874496</v>
      </c>
      <c r="F16" s="0" t="n">
        <f aca="false">-F12</f>
        <v>203.0390081496</v>
      </c>
      <c r="G16" s="0" t="n">
        <f aca="false">-G12</f>
        <v>194.917447823616</v>
      </c>
      <c r="H16" s="0" t="n">
        <f aca="false">-H12</f>
        <v>176.46526276298</v>
      </c>
      <c r="I16" s="0" t="n">
        <f aca="false">-I12</f>
        <v>172.935957507721</v>
      </c>
      <c r="J16" s="0" t="n">
        <f aca="false">-J12</f>
        <v>171.206597932644</v>
      </c>
      <c r="K16" s="0" t="n">
        <f aca="false">-K12</f>
        <v>171.206597932644</v>
      </c>
      <c r="L16" s="0" t="n">
        <f aca="false">-L12</f>
        <v>171.206597932644</v>
      </c>
    </row>
    <row r="17" customFormat="false" ht="15" hidden="false" customHeight="false" outlineLevel="0" collapsed="false">
      <c r="A17" s="0" t="s">
        <v>121</v>
      </c>
      <c r="C17" s="4" t="n">
        <f aca="false">-C6*Assumptions!C18/100</f>
        <v>-248.647434</v>
      </c>
      <c r="D17" s="4" t="n">
        <f aca="false">-D6*Assumptions!D18/100</f>
        <v>-183.99910116</v>
      </c>
      <c r="E17" s="4" t="n">
        <f aca="false">-E6*Assumptions!E18/100</f>
        <v>-165.599191044</v>
      </c>
      <c r="F17" s="4" t="n">
        <f aca="false">-F6*Assumptions!F18/100</f>
        <v>-162.43120651968</v>
      </c>
      <c r="G17" s="4" t="n">
        <f aca="false">-G6*Assumptions!G18/100</f>
        <v>-155.933958258893</v>
      </c>
      <c r="H17" s="4" t="n">
        <f aca="false">-H6*Assumptions!H18/100</f>
        <v>-151.255939511126</v>
      </c>
      <c r="I17" s="4" t="n">
        <f aca="false">-I6*Assumptions!I18/100</f>
        <v>-148.230820720903</v>
      </c>
      <c r="J17" s="4" t="n">
        <f aca="false">-J6*Assumptions!J18/100</f>
        <v>-146.748512513694</v>
      </c>
      <c r="K17" s="4" t="n">
        <f aca="false">-K6*Assumptions!K18/100</f>
        <v>-146.748512513694</v>
      </c>
      <c r="L17" s="4" t="n">
        <f aca="false">-L6*Assumptions!L18/100</f>
        <v>-146.748512513694</v>
      </c>
    </row>
    <row r="18" customFormat="false" ht="15" hidden="false" customHeight="false" outlineLevel="0" collapsed="false">
      <c r="A18" s="0" t="s">
        <v>122</v>
      </c>
      <c r="C18" s="4" t="n">
        <f aca="false">(C6-B6)*Assumptions!$B$23/100</f>
        <v>494.20608</v>
      </c>
      <c r="D18" s="4" t="n">
        <f aca="false">(D6-C6)*Assumptions!$B$23/100</f>
        <v>674.5912992</v>
      </c>
      <c r="E18" s="4" t="n">
        <f aca="false">(E6-D6)*Assumptions!$B$23/100</f>
        <v>191.99906208</v>
      </c>
      <c r="F18" s="4" t="n">
        <f aca="false">(F6-E6)*Assumptions!$B$23/100</f>
        <v>103.6794935232</v>
      </c>
      <c r="G18" s="4" t="n">
        <f aca="false">(G6-F6)*Assumptions!$B$23/100</f>
        <v>64.972482607872</v>
      </c>
      <c r="H18" s="4" t="n">
        <f aca="false">(H6-G6)*Assumptions!$B$23/100</f>
        <v>46.7801874776679</v>
      </c>
      <c r="I18" s="4" t="n">
        <f aca="false">(I6-H6)*Assumptions!$B$23/100</f>
        <v>30.2511879022253</v>
      </c>
      <c r="J18" s="4" t="n">
        <f aca="false">(J6-I6)*Assumptions!$B$23/100</f>
        <v>14.8230820720903</v>
      </c>
      <c r="K18" s="4" t="n">
        <f aca="false">(K6-J6)*Assumptions!$B$23/100</f>
        <v>-0</v>
      </c>
      <c r="L18" s="4" t="n">
        <f aca="false">(L6-K6)*Assumptions!$B$23/100</f>
        <v>-0</v>
      </c>
    </row>
    <row r="19" customFormat="false" ht="15" hidden="false" customHeight="false" outlineLevel="0" collapsed="false">
      <c r="A19" s="0" t="s">
        <v>123</v>
      </c>
      <c r="C19" s="0" t="n">
        <f aca="false">C15+C16+C17+C18</f>
        <v>1188.2567436</v>
      </c>
      <c r="D19" s="0" t="n">
        <f aca="false">D15+D16+D17+D18</f>
        <v>868.190353464</v>
      </c>
      <c r="E19" s="0" t="n">
        <f aca="false">E15+E16+E17+E18</f>
        <v>333.40637130192</v>
      </c>
      <c r="F19" s="0" t="n">
        <f aca="false">F15+F16+F17+F18</f>
        <v>236.873082869338</v>
      </c>
      <c r="G19" s="0" t="n">
        <f aca="false">G15+G16+G17+G18</f>
        <v>222.465780449354</v>
      </c>
      <c r="H19" s="0" t="n">
        <f aca="false">H15+H16+H17+H18</f>
        <v>234.841738936501</v>
      </c>
      <c r="I19" s="0" t="n">
        <f aca="false">I15+I16+I17+I18</f>
        <v>242.715364268854</v>
      </c>
      <c r="J19" s="0" t="n">
        <f aca="false">J15+J16+J17+J18</f>
        <v>234.456689134253</v>
      </c>
      <c r="K19" s="0" t="n">
        <f aca="false">K15+K16+K17+K18</f>
        <v>219.633607062163</v>
      </c>
      <c r="L19" s="0" t="n">
        <f aca="false">L15+L16+L17+L18</f>
        <v>219.633607062163</v>
      </c>
    </row>
    <row r="20" customFormat="false" ht="15" hidden="false" customHeight="false" outlineLevel="0" collapsed="false">
      <c r="A20" s="0" t="s">
        <v>124</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125</v>
      </c>
      <c r="C21" s="0" t="n">
        <f aca="false">C19*C20</f>
        <v>1075.34546932127</v>
      </c>
      <c r="D21" s="0" t="n">
        <f aca="false">D19*D20</f>
        <v>711.034052098852</v>
      </c>
      <c r="E21" s="0" t="n">
        <f aca="false">E19*E20</f>
        <v>247.108145122061</v>
      </c>
      <c r="F21" s="0" t="n">
        <f aca="false">F19*F20</f>
        <v>158.879037539749</v>
      </c>
      <c r="G21" s="0" t="n">
        <f aca="false">G19*G20</f>
        <v>135.036703490892</v>
      </c>
      <c r="H21" s="0" t="n">
        <f aca="false">H19*H20</f>
        <v>129.003537455534</v>
      </c>
      <c r="I21" s="0" t="n">
        <f aca="false">I19*I20</f>
        <v>120.659444787559</v>
      </c>
      <c r="J21" s="0" t="n">
        <f aca="false">J19*J20</f>
        <v>105.478611371474</v>
      </c>
      <c r="K21" s="0" t="n">
        <f aca="false">K19*K20</f>
        <v>89.4207466616129</v>
      </c>
      <c r="L21" s="0" t="n">
        <f aca="false">L19*L20</f>
        <v>80.9237526349438</v>
      </c>
    </row>
    <row r="23" customFormat="false" ht="15" hidden="false" customHeight="false" outlineLevel="0" collapsed="false">
      <c r="A23" s="0" t="s">
        <v>101</v>
      </c>
      <c r="C23" s="4" t="n">
        <f aca="false">Assumptions!C16</f>
        <v>4.4</v>
      </c>
      <c r="D23" s="4" t="n">
        <f aca="false">Assumptions!D16</f>
        <v>5</v>
      </c>
      <c r="E23" s="4" t="n">
        <f aca="false">Assumptions!E16</f>
        <v>5</v>
      </c>
      <c r="F23" s="4" t="n">
        <f aca="false">Assumptions!F16</f>
        <v>4.9</v>
      </c>
      <c r="G23" s="4" t="n">
        <f aca="false">Assumptions!G16</f>
        <v>4.8</v>
      </c>
      <c r="H23" s="4" t="n">
        <f aca="false">Assumptions!H16</f>
        <v>4.7</v>
      </c>
      <c r="I23" s="4" t="n">
        <f aca="false">Assumptions!I16</f>
        <v>4.6</v>
      </c>
      <c r="J23" s="4" t="n">
        <f aca="false">Assumptions!J16</f>
        <v>4.5</v>
      </c>
      <c r="K23" s="4" t="n">
        <f aca="false">Assumptions!K16</f>
        <v>4.5</v>
      </c>
      <c r="L23" s="4" t="n">
        <f aca="false">Assumptions!L16</f>
        <v>4.5</v>
      </c>
    </row>
    <row r="24" customFormat="false" ht="15" hidden="false" customHeight="false" outlineLevel="0" collapsed="false">
      <c r="A24" s="0" t="s">
        <v>126</v>
      </c>
      <c r="C24" s="0" t="n">
        <f aca="false">-C6*C23/100</f>
        <v>-951.346704</v>
      </c>
      <c r="D24" s="0" t="n">
        <f aca="false">-D6*D23/100</f>
        <v>-799.996092</v>
      </c>
      <c r="E24" s="0" t="n">
        <f aca="false">-E6*E23/100</f>
        <v>-719.9964828</v>
      </c>
      <c r="F24" s="0" t="n">
        <f aca="false">-F6*F23/100</f>
        <v>-663.26075995536</v>
      </c>
      <c r="G24" s="0" t="n">
        <f aca="false">-G6*G23/100</f>
        <v>-623.735833035571</v>
      </c>
      <c r="H24" s="0" t="n">
        <f aca="false">-H6*H23/100</f>
        <v>-592.419096418577</v>
      </c>
      <c r="I24" s="0" t="n">
        <f aca="false">-I6*I23/100</f>
        <v>-568.218146096797</v>
      </c>
      <c r="J24" s="0" t="n">
        <f aca="false">-J6*J23/100</f>
        <v>-550.306921926354</v>
      </c>
      <c r="K24" s="0" t="n">
        <f aca="false">-K6*K23/100</f>
        <v>-550.306921926354</v>
      </c>
      <c r="L24" s="0" t="n">
        <f aca="false">-L6*L23/100</f>
        <v>-550.306921926354</v>
      </c>
    </row>
    <row r="26" customFormat="false" ht="15" hidden="false" customHeight="false" outlineLevel="0" collapsed="false">
      <c r="A26" s="2" t="s">
        <v>127</v>
      </c>
    </row>
    <row r="27" customFormat="false" ht="15" hidden="false" customHeight="false" outlineLevel="0" collapsed="false">
      <c r="A27" s="0" t="s">
        <v>105</v>
      </c>
      <c r="B27" s="4" t="n">
        <f aca="false">Assumptions!$B$20</f>
        <v>10.5</v>
      </c>
    </row>
    <row r="28" customFormat="false" ht="15" hidden="false" customHeight="false" outlineLevel="0" collapsed="false">
      <c r="A28" s="0" t="s">
        <v>106</v>
      </c>
      <c r="B28" s="4" t="n">
        <f aca="false">Assumptions!$B$21</f>
        <v>0.5</v>
      </c>
    </row>
    <row r="29" customFormat="false" ht="15" hidden="false" customHeight="false" outlineLevel="0" collapsed="false">
      <c r="A29" s="0" t="s">
        <v>107</v>
      </c>
      <c r="B29" s="4" t="n">
        <f aca="false">Assumptions!$B$22</f>
        <v>12</v>
      </c>
    </row>
    <row r="30" customFormat="false" ht="15" hidden="false" customHeight="false" outlineLevel="0" collapsed="false">
      <c r="A30" s="0" t="s">
        <v>128</v>
      </c>
      <c r="B30" s="0" t="n">
        <f aca="false">SUM(C21:L21)</f>
        <v>2852.88950048395</v>
      </c>
    </row>
    <row r="31" customFormat="false" ht="15" hidden="false" customHeight="false" outlineLevel="0" collapsed="false">
      <c r="A31" s="0" t="s">
        <v>129</v>
      </c>
      <c r="B31" s="0" t="n">
        <f aca="false">L19</f>
        <v>219.633607062163</v>
      </c>
    </row>
    <row r="32" customFormat="false" ht="15" hidden="false" customHeight="false" outlineLevel="0" collapsed="false">
      <c r="A32" s="0" t="s">
        <v>130</v>
      </c>
      <c r="B32" s="0" t="n">
        <f aca="false">IF(B27&gt;B28,B31*(1+B28/100)/((B27-B28)/100),B31*B29)</f>
        <v>2207.31775097473</v>
      </c>
    </row>
    <row r="33" customFormat="false" ht="15" hidden="false" customHeight="false" outlineLevel="0" collapsed="false">
      <c r="A33" s="0" t="s">
        <v>131</v>
      </c>
      <c r="B33" s="0" t="n">
        <f aca="false">B31*B29</f>
        <v>2635.60328474595</v>
      </c>
    </row>
    <row r="34" customFormat="false" ht="15" hidden="false" customHeight="false" outlineLevel="0" collapsed="false">
      <c r="A34" s="0" t="s">
        <v>132</v>
      </c>
      <c r="B34" s="0" t="n">
        <f aca="false">MAX(0,MIN(B32,B33))</f>
        <v>2207.31775097473</v>
      </c>
    </row>
    <row r="35" customFormat="false" ht="15" hidden="false" customHeight="false" outlineLevel="0" collapsed="false">
      <c r="A35" s="0" t="s">
        <v>133</v>
      </c>
      <c r="B35" s="0" t="n">
        <f aca="false">B34/(1+B27/100)^L4</f>
        <v>813.283713981185</v>
      </c>
    </row>
    <row r="36" customFormat="false" ht="15" hidden="false" customHeight="false" outlineLevel="0" collapsed="false">
      <c r="A36" s="0" t="s">
        <v>134</v>
      </c>
      <c r="B36" s="0" t="n">
        <f aca="false">B30+B35</f>
        <v>3666.17321446513</v>
      </c>
    </row>
    <row r="37" customFormat="false" ht="15" hidden="false" customHeight="false" outlineLevel="0" collapsed="false">
      <c r="A37" s="0" t="s">
        <v>135</v>
      </c>
      <c r="B37" s="0" t="n">
        <f aca="false">B36+Assumptions!$B$5-Assumptions!$B$4</f>
        <v>4840.67321446513</v>
      </c>
    </row>
    <row r="38" customFormat="false" ht="15" hidden="false" customHeight="false" outlineLevel="0" collapsed="false">
      <c r="A38" s="0" t="s">
        <v>136</v>
      </c>
      <c r="B38" s="0" t="n">
        <f aca="false">B37/Assumptions!$B$3*Assumptions!$B$10</f>
        <v>0.916970691426978</v>
      </c>
    </row>
    <row r="39" customFormat="false" ht="15" hidden="false" customHeight="false" outlineLevel="0" collapsed="false">
      <c r="A39" s="0" t="s">
        <v>137</v>
      </c>
      <c r="B39" s="4" t="n">
        <f aca="false">B38/Assumptions!$B$2-1</f>
        <v>-0.087591351813952</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0.916970691426978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1522.28810412051</v>
      </c>
    </row>
    <row r="47" customFormat="false" ht="15" hidden="false" customHeight="false" outlineLevel="0" collapsed="false">
      <c r="A47" s="0" t="s">
        <v>142</v>
      </c>
      <c r="B47" s="0" t="n">
        <f aca="false">(SUMPRODUCT(C19:L19/(1+B45/100)^C4:L4)+B46/(1+B45/100)^L4+Assumptions!$B$5-Assumptions!$B$4)/Assumptions!$B$3*Assumptions!$B$10</f>
        <v>0.775135920600721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-13</v>
      </c>
      <c r="D5" s="4" t="n">
        <f aca="false">Assumptions!D27</f>
        <v>-20</v>
      </c>
      <c r="E5" s="4" t="n">
        <f aca="false">Assumptions!E27</f>
        <v>-4</v>
      </c>
      <c r="F5" s="4" t="n">
        <f aca="false">Assumptions!F27</f>
        <v>-2</v>
      </c>
      <c r="G5" s="4" t="n">
        <f aca="false">Assumptions!G27</f>
        <v>0</v>
      </c>
      <c r="H5" s="4" t="n">
        <f aca="false">Assumptions!H27</f>
        <v>1</v>
      </c>
      <c r="I5" s="4" t="n">
        <f aca="false">Assumptions!I27</f>
        <v>1.5</v>
      </c>
      <c r="J5" s="4" t="n">
        <f aca="false">Assumptions!J27</f>
        <v>1.5</v>
      </c>
      <c r="K5" s="4" t="n">
        <f aca="false">Assumptions!K27</f>
        <v>1.5</v>
      </c>
      <c r="L5" s="4" t="n">
        <f aca="false">Assumptions!L27</f>
        <v>1.5</v>
      </c>
    </row>
    <row r="6" customFormat="false" ht="15" hidden="false" customHeight="false" outlineLevel="0" collapsed="false">
      <c r="A6" s="0" t="s">
        <v>38</v>
      </c>
      <c r="B6" s="3" t="n">
        <v>25739.9</v>
      </c>
      <c r="C6" s="0" t="n">
        <f aca="false">B6*(1+C5/100)</f>
        <v>22393.713</v>
      </c>
      <c r="D6" s="0" t="n">
        <f aca="false">C6*(1+D5/100)</f>
        <v>17914.9704</v>
      </c>
      <c r="E6" s="0" t="n">
        <f aca="false">D6*(1+E5/100)</f>
        <v>17198.371584</v>
      </c>
      <c r="F6" s="0" t="n">
        <f aca="false">E6*(1+F5/100)</f>
        <v>16854.40415232</v>
      </c>
      <c r="G6" s="0" t="n">
        <f aca="false">F6*(1+G5/100)</f>
        <v>16854.40415232</v>
      </c>
      <c r="H6" s="0" t="n">
        <f aca="false">G6*(1+H5/100)</f>
        <v>17022.9481938432</v>
      </c>
      <c r="I6" s="0" t="n">
        <f aca="false">H6*(1+I5/100)</f>
        <v>17278.2924167508</v>
      </c>
      <c r="J6" s="0" t="n">
        <f aca="false">I6*(1+J5/100)</f>
        <v>17537.4668030021</v>
      </c>
      <c r="K6" s="0" t="n">
        <f aca="false">J6*(1+K5/100)</f>
        <v>17800.5288050471</v>
      </c>
      <c r="L6" s="0" t="n">
        <f aca="false">K6*(1+L5/100)</f>
        <v>18067.5367371228</v>
      </c>
    </row>
    <row r="7" customFormat="false" ht="15" hidden="false" customHeight="false" outlineLevel="0" collapsed="false">
      <c r="A7" s="0" t="s">
        <v>99</v>
      </c>
      <c r="C7" s="4" t="n">
        <f aca="false">Assumptions!C28</f>
        <v>10.3</v>
      </c>
      <c r="D7" s="4" t="n">
        <f aca="false">Assumptions!D28</f>
        <v>9.2</v>
      </c>
      <c r="E7" s="4" t="n">
        <f aca="false">Assumptions!E28</f>
        <v>9.4</v>
      </c>
      <c r="F7" s="4" t="n">
        <f aca="false">Assumptions!F28</f>
        <v>9.7</v>
      </c>
      <c r="G7" s="4" t="n">
        <f aca="false">Assumptions!G28</f>
        <v>10</v>
      </c>
      <c r="H7" s="4" t="n">
        <f aca="false">Assumptions!H28</f>
        <v>10.2</v>
      </c>
      <c r="I7" s="4" t="n">
        <f aca="false">Assumptions!I28</f>
        <v>10.3</v>
      </c>
      <c r="J7" s="4" t="n">
        <f aca="false">Assumptions!J28</f>
        <v>10.3</v>
      </c>
      <c r="K7" s="4" t="n">
        <f aca="false">Assumptions!K28</f>
        <v>10.3</v>
      </c>
      <c r="L7" s="4" t="n">
        <f aca="false">Assumptions!L28</f>
        <v>10.3</v>
      </c>
    </row>
    <row r="8" customFormat="false" ht="15" hidden="false" customHeight="false" outlineLevel="0" collapsed="false">
      <c r="A8" s="0" t="s">
        <v>44</v>
      </c>
      <c r="C8" s="0" t="n">
        <f aca="false">C6*C7/100</f>
        <v>2306.552439</v>
      </c>
      <c r="D8" s="0" t="n">
        <f aca="false">D6*D7/100</f>
        <v>1648.1772768</v>
      </c>
      <c r="E8" s="0" t="n">
        <f aca="false">E6*E7/100</f>
        <v>1616.646928896</v>
      </c>
      <c r="F8" s="0" t="n">
        <f aca="false">F6*F7/100</f>
        <v>1634.87720277504</v>
      </c>
      <c r="G8" s="0" t="n">
        <f aca="false">G6*G7/100</f>
        <v>1685.440415232</v>
      </c>
      <c r="H8" s="0" t="n">
        <f aca="false">H6*H7/100</f>
        <v>1736.34071577201</v>
      </c>
      <c r="I8" s="0" t="n">
        <f aca="false">I6*I7/100</f>
        <v>1779.66411892534</v>
      </c>
      <c r="J8" s="0" t="n">
        <f aca="false">J6*J7/100</f>
        <v>1806.35908070922</v>
      </c>
      <c r="K8" s="0" t="n">
        <f aca="false">K6*K7/100</f>
        <v>1833.45446691986</v>
      </c>
      <c r="L8" s="0" t="n">
        <f aca="false">L6*L7/100</f>
        <v>1860.95628392365</v>
      </c>
    </row>
    <row r="9" customFormat="false" ht="15" hidden="false" customHeight="false" outlineLevel="0" collapsed="false">
      <c r="A9" s="0" t="s">
        <v>100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1343.62278</v>
      </c>
      <c r="D11" s="0" t="n">
        <f aca="false">D8+D10+D24</f>
        <v>806.173668</v>
      </c>
      <c r="E11" s="0" t="n">
        <f aca="false">E8+E10+E24</f>
        <v>808.323464448</v>
      </c>
      <c r="F11" s="0" t="n">
        <f aca="false">F8+F10+F24</f>
        <v>859.57461176832</v>
      </c>
      <c r="G11" s="0" t="n">
        <f aca="false">G8+G10+G24</f>
        <v>926.9922283776</v>
      </c>
      <c r="H11" s="0" t="n">
        <f aca="false">H8+H10+H24</f>
        <v>987.330995242906</v>
      </c>
      <c r="I11" s="0" t="n">
        <f aca="false">I8+I10+I24</f>
        <v>1036.69754500505</v>
      </c>
      <c r="J11" s="0" t="n">
        <f aca="false">J8+J10+J24</f>
        <v>1052.24800818013</v>
      </c>
      <c r="K11" s="0" t="n">
        <f aca="false">K8+K10+K24</f>
        <v>1068.03172830283</v>
      </c>
      <c r="L11" s="0" t="n">
        <f aca="false">L8+L10+L24</f>
        <v>1084.05220422737</v>
      </c>
    </row>
    <row r="12" customFormat="false" ht="15" hidden="false" customHeight="false" outlineLevel="0" collapsed="false">
      <c r="A12" s="0" t="s">
        <v>117</v>
      </c>
      <c r="C12" s="4" t="n">
        <f aca="false">-C6*Assumptions!C31/100</f>
        <v>-380.693121</v>
      </c>
      <c r="D12" s="4" t="n">
        <f aca="false">-D6*Assumptions!D31/100</f>
        <v>-286.6395264</v>
      </c>
      <c r="E12" s="4" t="n">
        <f aca="false">-E6*Assumptions!E31/100</f>
        <v>-257.97557376</v>
      </c>
      <c r="F12" s="4" t="n">
        <f aca="false">-F6*Assumptions!F31/100</f>
        <v>-235.96165813248</v>
      </c>
      <c r="G12" s="4" t="n">
        <f aca="false">-G6*Assumptions!G31/100</f>
        <v>-235.96165813248</v>
      </c>
      <c r="H12" s="4" t="n">
        <f aca="false">-H6*Assumptions!H31/100</f>
        <v>-221.298326519962</v>
      </c>
      <c r="I12" s="4" t="n">
        <f aca="false">-I6*Assumptions!I31/100</f>
        <v>-224.617801417761</v>
      </c>
      <c r="J12" s="4" t="n">
        <f aca="false">-J6*Assumptions!J31/100</f>
        <v>-227.987068439027</v>
      </c>
      <c r="K12" s="4" t="n">
        <f aca="false">-K6*Assumptions!K31/100</f>
        <v>-231.406874465613</v>
      </c>
      <c r="L12" s="4" t="n">
        <f aca="false">-L6*Assumptions!L31/100</f>
        <v>-234.877977582597</v>
      </c>
    </row>
    <row r="13" customFormat="false" ht="15" hidden="false" customHeight="false" outlineLevel="0" collapsed="false">
      <c r="A13" s="0" t="s">
        <v>118</v>
      </c>
      <c r="C13" s="0" t="n">
        <f aca="false">C11+C12</f>
        <v>962.929659</v>
      </c>
      <c r="D13" s="0" t="n">
        <f aca="false">D11+D12</f>
        <v>519.5341416</v>
      </c>
      <c r="E13" s="0" t="n">
        <f aca="false">E11+E12</f>
        <v>550.347890688</v>
      </c>
      <c r="F13" s="0" t="n">
        <f aca="false">F11+F12</f>
        <v>623.61295363584</v>
      </c>
      <c r="G13" s="0" t="n">
        <f aca="false">G11+G12</f>
        <v>691.03057024512</v>
      </c>
      <c r="H13" s="0" t="n">
        <f aca="false">H11+H12</f>
        <v>766.032668722944</v>
      </c>
      <c r="I13" s="0" t="n">
        <f aca="false">I11+I12</f>
        <v>812.07974358729</v>
      </c>
      <c r="J13" s="0" t="n">
        <f aca="false">J11+J12</f>
        <v>824.260939741099</v>
      </c>
      <c r="K13" s="0" t="n">
        <f aca="false">K11+K12</f>
        <v>836.624853837216</v>
      </c>
      <c r="L13" s="0" t="n">
        <f aca="false">L11+L12</f>
        <v>849.174226644774</v>
      </c>
    </row>
    <row r="14" customFormat="false" ht="15" hidden="false" customHeight="false" outlineLevel="0" collapsed="false">
      <c r="A14" s="0" t="s">
        <v>104</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119</v>
      </c>
      <c r="C15" s="0" t="n">
        <f aca="false">C13-MAX(0,C13)*C14/100</f>
        <v>731.82654084</v>
      </c>
      <c r="D15" s="0" t="n">
        <f aca="false">D13-MAX(0,D13)*D14/100</f>
        <v>394.845947616</v>
      </c>
      <c r="E15" s="0" t="n">
        <f aca="false">E13-MAX(0,E13)*E14/100</f>
        <v>418.26439692288</v>
      </c>
      <c r="F15" s="0" t="n">
        <f aca="false">F13-MAX(0,F13)*F14/100</f>
        <v>473.945844763238</v>
      </c>
      <c r="G15" s="0" t="n">
        <f aca="false">G13-MAX(0,G13)*G14/100</f>
        <v>525.183233386291</v>
      </c>
      <c r="H15" s="0" t="n">
        <f aca="false">H13-MAX(0,H13)*H14/100</f>
        <v>582.184828229438</v>
      </c>
      <c r="I15" s="0" t="n">
        <f aca="false">I13-MAX(0,I13)*I14/100</f>
        <v>617.18060512634</v>
      </c>
      <c r="J15" s="0" t="n">
        <f aca="false">J13-MAX(0,J13)*J14/100</f>
        <v>626.438314203235</v>
      </c>
      <c r="K15" s="0" t="n">
        <f aca="false">K13-MAX(0,K13)*K14/100</f>
        <v>635.834888916284</v>
      </c>
      <c r="L15" s="0" t="n">
        <f aca="false">L13-MAX(0,L13)*L14/100</f>
        <v>645.372412250028</v>
      </c>
    </row>
    <row r="16" customFormat="false" ht="15" hidden="false" customHeight="false" outlineLevel="0" collapsed="false">
      <c r="A16" s="0" t="s">
        <v>120</v>
      </c>
      <c r="C16" s="0" t="n">
        <f aca="false">-C12</f>
        <v>380.693121</v>
      </c>
      <c r="D16" s="0" t="n">
        <f aca="false">-D12</f>
        <v>286.6395264</v>
      </c>
      <c r="E16" s="0" t="n">
        <f aca="false">-E12</f>
        <v>257.97557376</v>
      </c>
      <c r="F16" s="0" t="n">
        <f aca="false">-F12</f>
        <v>235.96165813248</v>
      </c>
      <c r="G16" s="0" t="n">
        <f aca="false">-G12</f>
        <v>235.96165813248</v>
      </c>
      <c r="H16" s="0" t="n">
        <f aca="false">-H12</f>
        <v>221.298326519962</v>
      </c>
      <c r="I16" s="0" t="n">
        <f aca="false">-I12</f>
        <v>224.617801417761</v>
      </c>
      <c r="J16" s="0" t="n">
        <f aca="false">-J12</f>
        <v>227.987068439027</v>
      </c>
      <c r="K16" s="0" t="n">
        <f aca="false">-K12</f>
        <v>231.406874465613</v>
      </c>
      <c r="L16" s="0" t="n">
        <f aca="false">-L12</f>
        <v>234.877977582597</v>
      </c>
    </row>
    <row r="17" customFormat="false" ht="15" hidden="false" customHeight="false" outlineLevel="0" collapsed="false">
      <c r="A17" s="0" t="s">
        <v>121</v>
      </c>
      <c r="C17" s="4" t="n">
        <f aca="false">-C6*Assumptions!C32/100</f>
        <v>-257.5276995</v>
      </c>
      <c r="D17" s="4" t="n">
        <f aca="false">-D6*Assumptions!D32/100</f>
        <v>-206.0221596</v>
      </c>
      <c r="E17" s="4" t="n">
        <f aca="false">-E6*Assumptions!E32/100</f>
        <v>-206.380459008</v>
      </c>
      <c r="F17" s="4" t="n">
        <f aca="false">-F6*Assumptions!F32/100</f>
        <v>-202.25284982784</v>
      </c>
      <c r="G17" s="4" t="n">
        <f aca="false">-G6*Assumptions!G32/100</f>
        <v>-202.25284982784</v>
      </c>
      <c r="H17" s="4" t="n">
        <f aca="false">-H6*Assumptions!H32/100</f>
        <v>-212.78685242304</v>
      </c>
      <c r="I17" s="4" t="n">
        <f aca="false">-I6*Assumptions!I32/100</f>
        <v>-224.617801417761</v>
      </c>
      <c r="J17" s="4" t="n">
        <f aca="false">-J6*Assumptions!J32/100</f>
        <v>-227.987068439027</v>
      </c>
      <c r="K17" s="4" t="n">
        <f aca="false">-K6*Assumptions!K32/100</f>
        <v>-231.406874465613</v>
      </c>
      <c r="L17" s="4" t="n">
        <f aca="false">-L6*Assumptions!L32/100</f>
        <v>-234.877977582597</v>
      </c>
    </row>
    <row r="18" customFormat="false" ht="15" hidden="false" customHeight="false" outlineLevel="0" collapsed="false">
      <c r="A18" s="0" t="s">
        <v>122</v>
      </c>
      <c r="C18" s="4" t="n">
        <f aca="false">(C6-B6)*Assumptions!$B$37/100</f>
        <v>401.54244</v>
      </c>
      <c r="D18" s="4" t="n">
        <f aca="false">(D6-C6)*Assumptions!$B$37/100</f>
        <v>537.449112</v>
      </c>
      <c r="E18" s="4" t="n">
        <f aca="false">(E6-D6)*Assumptions!$B$37/100</f>
        <v>85.9918579200002</v>
      </c>
      <c r="F18" s="4" t="n">
        <f aca="false">(F6-E6)*Assumptions!$B$37/100</f>
        <v>41.2760918016001</v>
      </c>
      <c r="G18" s="4" t="n">
        <f aca="false">(G6-F6)*Assumptions!$B$37/100</f>
        <v>-0</v>
      </c>
      <c r="H18" s="4" t="n">
        <f aca="false">(H6-G6)*Assumptions!$B$37/100</f>
        <v>-20.2252849827841</v>
      </c>
      <c r="I18" s="4" t="n">
        <f aca="false">(I6-H6)*Assumptions!$B$37/100</f>
        <v>-30.6413067489176</v>
      </c>
      <c r="J18" s="4" t="n">
        <f aca="false">(J6-I6)*Assumptions!$B$37/100</f>
        <v>-31.1009263501511</v>
      </c>
      <c r="K18" s="4" t="n">
        <f aca="false">(K6-J6)*Assumptions!$B$37/100</f>
        <v>-31.5674402454036</v>
      </c>
      <c r="L18" s="4" t="n">
        <f aca="false">(L6-K6)*Assumptions!$B$37/100</f>
        <v>-32.0409518490848</v>
      </c>
    </row>
    <row r="19" customFormat="false" ht="15" hidden="false" customHeight="false" outlineLevel="0" collapsed="false">
      <c r="A19" s="0" t="s">
        <v>123</v>
      </c>
      <c r="C19" s="0" t="n">
        <f aca="false">C15+C16+C17+C18</f>
        <v>1256.53440234</v>
      </c>
      <c r="D19" s="0" t="n">
        <f aca="false">D15+D16+D17+D18</f>
        <v>1012.912426416</v>
      </c>
      <c r="E19" s="0" t="n">
        <f aca="false">E15+E16+E17+E18</f>
        <v>555.85136959488</v>
      </c>
      <c r="F19" s="0" t="n">
        <f aca="false">F15+F16+F17+F18</f>
        <v>548.930744869478</v>
      </c>
      <c r="G19" s="0" t="n">
        <f aca="false">G15+G16+G17+G18</f>
        <v>558.892041690931</v>
      </c>
      <c r="H19" s="0" t="n">
        <f aca="false">H15+H16+H17+H18</f>
        <v>570.471017343575</v>
      </c>
      <c r="I19" s="0" t="n">
        <f aca="false">I15+I16+I17+I18</f>
        <v>586.539298377423</v>
      </c>
      <c r="J19" s="0" t="n">
        <f aca="false">J15+J16+J17+J18</f>
        <v>595.337387853084</v>
      </c>
      <c r="K19" s="0" t="n">
        <f aca="false">K15+K16+K17+K18</f>
        <v>604.26744867088</v>
      </c>
      <c r="L19" s="0" t="n">
        <f aca="false">L15+L16+L17+L18</f>
        <v>613.331460400944</v>
      </c>
    </row>
    <row r="20" customFormat="false" ht="15" hidden="false" customHeight="false" outlineLevel="0" collapsed="false">
      <c r="A20" s="0" t="s">
        <v>124</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125</v>
      </c>
      <c r="C21" s="0" t="n">
        <f aca="false">C19*C20</f>
        <v>1137.13520573756</v>
      </c>
      <c r="D21" s="0" t="n">
        <f aca="false">D19*D20</f>
        <v>829.559121570811</v>
      </c>
      <c r="E21" s="0" t="n">
        <f aca="false">E19*E20</f>
        <v>411.975933056674</v>
      </c>
      <c r="F21" s="0" t="n">
        <f aca="false">F19*F20</f>
        <v>368.186994336322</v>
      </c>
      <c r="G21" s="0" t="n">
        <f aca="false">G19*G20</f>
        <v>339.247405892248</v>
      </c>
      <c r="H21" s="0" t="n">
        <f aca="false">H19*H20</f>
        <v>313.371803438557</v>
      </c>
      <c r="I21" s="0" t="n">
        <f aca="false">I19*I20</f>
        <v>291.582307949452</v>
      </c>
      <c r="J21" s="0" t="n">
        <f aca="false">J19*J20</f>
        <v>267.833522686601</v>
      </c>
      <c r="K21" s="0" t="n">
        <f aca="false">K19*K20</f>
        <v>246.019027626154</v>
      </c>
      <c r="L21" s="0" t="n">
        <f aca="false">L19*L20</f>
        <v>225.981278769725</v>
      </c>
    </row>
    <row r="23" customFormat="false" ht="15" hidden="false" customHeight="false" outlineLevel="0" collapsed="false">
      <c r="A23" s="0" t="s">
        <v>101</v>
      </c>
      <c r="C23" s="4" t="n">
        <f aca="false">Assumptions!C30</f>
        <v>4.3</v>
      </c>
      <c r="D23" s="4" t="n">
        <f aca="false">Assumptions!D30</f>
        <v>4.7</v>
      </c>
      <c r="E23" s="4" t="n">
        <f aca="false">Assumptions!E30</f>
        <v>4.7</v>
      </c>
      <c r="F23" s="4" t="n">
        <f aca="false">Assumptions!F30</f>
        <v>4.6</v>
      </c>
      <c r="G23" s="4" t="n">
        <f aca="false">Assumptions!G30</f>
        <v>4.5</v>
      </c>
      <c r="H23" s="4" t="n">
        <f aca="false">Assumptions!H30</f>
        <v>4.4</v>
      </c>
      <c r="I23" s="4" t="n">
        <f aca="false">Assumptions!I30</f>
        <v>4.3</v>
      </c>
      <c r="J23" s="4" t="n">
        <f aca="false">Assumptions!J30</f>
        <v>4.3</v>
      </c>
      <c r="K23" s="4" t="n">
        <f aca="false">Assumptions!K30</f>
        <v>4.3</v>
      </c>
      <c r="L23" s="4" t="n">
        <f aca="false">Assumptions!L30</f>
        <v>4.3</v>
      </c>
    </row>
    <row r="24" customFormat="false" ht="15" hidden="false" customHeight="false" outlineLevel="0" collapsed="false">
      <c r="A24" s="0" t="s">
        <v>126</v>
      </c>
      <c r="C24" s="0" t="n">
        <f aca="false">-C6*C23/100</f>
        <v>-962.929659</v>
      </c>
      <c r="D24" s="0" t="n">
        <f aca="false">-D6*D23/100</f>
        <v>-842.0036088</v>
      </c>
      <c r="E24" s="0" t="n">
        <f aca="false">-E6*E23/100</f>
        <v>-808.323464448</v>
      </c>
      <c r="F24" s="0" t="n">
        <f aca="false">-F6*F23/100</f>
        <v>-775.30259100672</v>
      </c>
      <c r="G24" s="0" t="n">
        <f aca="false">-G6*G23/100</f>
        <v>-758.4481868544</v>
      </c>
      <c r="H24" s="0" t="n">
        <f aca="false">-H6*H23/100</f>
        <v>-749.009720529101</v>
      </c>
      <c r="I24" s="0" t="n">
        <f aca="false">-I6*I23/100</f>
        <v>-742.966573920286</v>
      </c>
      <c r="J24" s="0" t="n">
        <f aca="false">-J6*J23/100</f>
        <v>-754.111072529091</v>
      </c>
      <c r="K24" s="0" t="n">
        <f aca="false">-K6*K23/100</f>
        <v>-765.422738617027</v>
      </c>
      <c r="L24" s="0" t="n">
        <f aca="false">-L6*L23/100</f>
        <v>-776.904079696282</v>
      </c>
    </row>
    <row r="26" customFormat="false" ht="15" hidden="false" customHeight="false" outlineLevel="0" collapsed="false">
      <c r="A26" s="2" t="s">
        <v>127</v>
      </c>
    </row>
    <row r="27" customFormat="false" ht="15" hidden="false" customHeight="false" outlineLevel="0" collapsed="false">
      <c r="A27" s="0" t="s">
        <v>105</v>
      </c>
      <c r="B27" s="4" t="n">
        <f aca="false">Assumptions!$B$34</f>
        <v>10.5</v>
      </c>
    </row>
    <row r="28" customFormat="false" ht="15" hidden="false" customHeight="false" outlineLevel="0" collapsed="false">
      <c r="A28" s="0" t="s">
        <v>106</v>
      </c>
      <c r="B28" s="4" t="n">
        <f aca="false">Assumptions!$B$35</f>
        <v>1.5</v>
      </c>
    </row>
    <row r="29" customFormat="false" ht="15" hidden="false" customHeight="false" outlineLevel="0" collapsed="false">
      <c r="A29" s="0" t="s">
        <v>107</v>
      </c>
      <c r="B29" s="4" t="n">
        <f aca="false">Assumptions!$B$36</f>
        <v>12</v>
      </c>
    </row>
    <row r="30" customFormat="false" ht="15" hidden="false" customHeight="false" outlineLevel="0" collapsed="false">
      <c r="A30" s="0" t="s">
        <v>128</v>
      </c>
      <c r="B30" s="0" t="n">
        <f aca="false">SUM(C21:L21)</f>
        <v>4430.8926010641</v>
      </c>
    </row>
    <row r="31" customFormat="false" ht="15" hidden="false" customHeight="false" outlineLevel="0" collapsed="false">
      <c r="A31" s="0" t="s">
        <v>129</v>
      </c>
      <c r="B31" s="0" t="n">
        <f aca="false">L19</f>
        <v>613.331460400944</v>
      </c>
    </row>
    <row r="32" customFormat="false" ht="15" hidden="false" customHeight="false" outlineLevel="0" collapsed="false">
      <c r="A32" s="0" t="s">
        <v>130</v>
      </c>
      <c r="B32" s="0" t="n">
        <f aca="false">IF(B27&gt;B28,B31*(1+B28/100)/((B27-B28)/100),B31*B29)</f>
        <v>6917.01591452175</v>
      </c>
    </row>
    <row r="33" customFormat="false" ht="15" hidden="false" customHeight="false" outlineLevel="0" collapsed="false">
      <c r="A33" s="0" t="s">
        <v>131</v>
      </c>
      <c r="B33" s="0" t="n">
        <f aca="false">B31*B29</f>
        <v>7359.97752481132</v>
      </c>
    </row>
    <row r="34" customFormat="false" ht="15" hidden="false" customHeight="false" outlineLevel="0" collapsed="false">
      <c r="A34" s="0" t="s">
        <v>132</v>
      </c>
      <c r="B34" s="0" t="n">
        <f aca="false">MAX(0,MIN(B32,B33))</f>
        <v>6917.01591452175</v>
      </c>
    </row>
    <row r="35" customFormat="false" ht="15" hidden="false" customHeight="false" outlineLevel="0" collapsed="false">
      <c r="A35" s="0" t="s">
        <v>133</v>
      </c>
      <c r="B35" s="0" t="n">
        <f aca="false">B34/(1+B27/100)^L4</f>
        <v>2548.56664390301</v>
      </c>
    </row>
    <row r="36" customFormat="false" ht="15" hidden="false" customHeight="false" outlineLevel="0" collapsed="false">
      <c r="A36" s="0" t="s">
        <v>134</v>
      </c>
      <c r="B36" s="0" t="n">
        <f aca="false">B30+B35</f>
        <v>6979.45924496711</v>
      </c>
    </row>
    <row r="37" customFormat="false" ht="15" hidden="false" customHeight="false" outlineLevel="0" collapsed="false">
      <c r="A37" s="0" t="s">
        <v>135</v>
      </c>
      <c r="B37" s="0" t="n">
        <f aca="false">B36+Assumptions!$B$5-Assumptions!$B$4</f>
        <v>8153.95924496711</v>
      </c>
    </row>
    <row r="38" customFormat="false" ht="15" hidden="false" customHeight="false" outlineLevel="0" collapsed="false">
      <c r="A38" s="0" t="s">
        <v>136</v>
      </c>
      <c r="B38" s="0" t="n">
        <f aca="false">B37/Assumptions!$B$3*Assumptions!$B$10</f>
        <v>1.54460780876138</v>
      </c>
    </row>
    <row r="39" customFormat="false" ht="15" hidden="false" customHeight="false" outlineLevel="0" collapsed="false">
      <c r="A39" s="0" t="s">
        <v>137</v>
      </c>
      <c r="B39" s="4" t="n">
        <f aca="false">B38/Assumptions!$B$2-1</f>
        <v>0.536923192797393</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1.54460780876138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4611.3439430145</v>
      </c>
    </row>
    <row r="47" customFormat="false" ht="15" hidden="false" customHeight="false" outlineLevel="0" collapsed="false">
      <c r="A47" s="0" t="s">
        <v>142</v>
      </c>
      <c r="B47" s="0" t="n">
        <f aca="false">(SUMPRODUCT(C19:L19/(1+B45/100)^C4:L4)+B46/(1+B45/100)^L4+Assumptions!$B$5-Assumptions!$B$4)/Assumptions!$B$3*Assumptions!$B$10</f>
        <v>1.15841006814002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-11</v>
      </c>
      <c r="D5" s="4" t="n">
        <f aca="false">Assumptions!D41</f>
        <v>-14</v>
      </c>
      <c r="E5" s="4" t="n">
        <f aca="false">Assumptions!E41</f>
        <v>2</v>
      </c>
      <c r="F5" s="4" t="n">
        <f aca="false">Assumptions!F41</f>
        <v>4</v>
      </c>
      <c r="G5" s="4" t="n">
        <f aca="false">Assumptions!G41</f>
        <v>4</v>
      </c>
      <c r="H5" s="4" t="n">
        <f aca="false">Assumptions!H41</f>
        <v>3.5</v>
      </c>
      <c r="I5" s="4" t="n">
        <f aca="false">Assumptions!I41</f>
        <v>3</v>
      </c>
      <c r="J5" s="4" t="n">
        <f aca="false">Assumptions!J41</f>
        <v>3</v>
      </c>
      <c r="K5" s="4" t="n">
        <f aca="false">Assumptions!K41</f>
        <v>2.5</v>
      </c>
      <c r="L5" s="4" t="n">
        <f aca="false">Assumptions!L41</f>
        <v>2.5</v>
      </c>
    </row>
    <row r="6" customFormat="false" ht="15" hidden="false" customHeight="false" outlineLevel="0" collapsed="false">
      <c r="A6" s="0" t="s">
        <v>38</v>
      </c>
      <c r="B6" s="3" t="n">
        <v>25739.9</v>
      </c>
      <c r="C6" s="0" t="n">
        <f aca="false">B6*(1+C5/100)</f>
        <v>22908.511</v>
      </c>
      <c r="D6" s="0" t="n">
        <f aca="false">C6*(1+D5/100)</f>
        <v>19701.31946</v>
      </c>
      <c r="E6" s="0" t="n">
        <f aca="false">D6*(1+E5/100)</f>
        <v>20095.3458492</v>
      </c>
      <c r="F6" s="0" t="n">
        <f aca="false">E6*(1+F5/100)</f>
        <v>20899.159683168</v>
      </c>
      <c r="G6" s="0" t="n">
        <f aca="false">F6*(1+G5/100)</f>
        <v>21735.1260704947</v>
      </c>
      <c r="H6" s="0" t="n">
        <f aca="false">G6*(1+H5/100)</f>
        <v>22495.855482962</v>
      </c>
      <c r="I6" s="0" t="n">
        <f aca="false">H6*(1+I5/100)</f>
        <v>23170.7311474509</v>
      </c>
      <c r="J6" s="0" t="n">
        <f aca="false">I6*(1+J5/100)</f>
        <v>23865.8530818744</v>
      </c>
      <c r="K6" s="0" t="n">
        <f aca="false">J6*(1+K5/100)</f>
        <v>24462.4994089213</v>
      </c>
      <c r="L6" s="0" t="n">
        <f aca="false">K6*(1+L5/100)</f>
        <v>25074.0618941443</v>
      </c>
    </row>
    <row r="7" customFormat="false" ht="15" hidden="false" customHeight="false" outlineLevel="0" collapsed="false">
      <c r="A7" s="0" t="s">
        <v>99</v>
      </c>
      <c r="C7" s="4" t="n">
        <f aca="false">Assumptions!C42</f>
        <v>10.6</v>
      </c>
      <c r="D7" s="4" t="n">
        <f aca="false">Assumptions!D42</f>
        <v>10</v>
      </c>
      <c r="E7" s="4" t="n">
        <f aca="false">Assumptions!E42</f>
        <v>10.6</v>
      </c>
      <c r="F7" s="4" t="n">
        <f aca="false">Assumptions!F42</f>
        <v>11.2</v>
      </c>
      <c r="G7" s="4" t="n">
        <f aca="false">Assumptions!G42</f>
        <v>11.6</v>
      </c>
      <c r="H7" s="4" t="n">
        <f aca="false">Assumptions!H42</f>
        <v>12</v>
      </c>
      <c r="I7" s="4" t="n">
        <f aca="false">Assumptions!I42</f>
        <v>12.2</v>
      </c>
      <c r="J7" s="4" t="n">
        <f aca="false">Assumptions!J42</f>
        <v>12.2</v>
      </c>
      <c r="K7" s="4" t="n">
        <f aca="false">Assumptions!K42</f>
        <v>12.2</v>
      </c>
      <c r="L7" s="4" t="n">
        <f aca="false">Assumptions!L42</f>
        <v>12.2</v>
      </c>
    </row>
    <row r="8" customFormat="false" ht="15" hidden="false" customHeight="false" outlineLevel="0" collapsed="false">
      <c r="A8" s="0" t="s">
        <v>44</v>
      </c>
      <c r="C8" s="0" t="n">
        <f aca="false">C6*C7/100</f>
        <v>2428.302166</v>
      </c>
      <c r="D8" s="0" t="n">
        <f aca="false">D6*D7/100</f>
        <v>1970.131946</v>
      </c>
      <c r="E8" s="0" t="n">
        <f aca="false">E6*E7/100</f>
        <v>2130.1066600152</v>
      </c>
      <c r="F8" s="0" t="n">
        <f aca="false">F6*F7/100</f>
        <v>2340.70588451482</v>
      </c>
      <c r="G8" s="0" t="n">
        <f aca="false">G6*G7/100</f>
        <v>2521.27462417739</v>
      </c>
      <c r="H8" s="0" t="n">
        <f aca="false">H6*H7/100</f>
        <v>2699.50265795544</v>
      </c>
      <c r="I8" s="0" t="n">
        <f aca="false">I6*I7/100</f>
        <v>2826.82919998901</v>
      </c>
      <c r="J8" s="0" t="n">
        <f aca="false">J6*J7/100</f>
        <v>2911.63407598868</v>
      </c>
      <c r="K8" s="0" t="n">
        <f aca="false">K6*K7/100</f>
        <v>2984.4249278884</v>
      </c>
      <c r="L8" s="0" t="n">
        <f aca="false">L6*L7/100</f>
        <v>3059.03555108561</v>
      </c>
    </row>
    <row r="9" customFormat="false" ht="15" hidden="false" customHeight="false" outlineLevel="0" collapsed="false">
      <c r="A9" s="0" t="s">
        <v>100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1443.236193</v>
      </c>
      <c r="D11" s="0" t="n">
        <f aca="false">D8+D10+D24</f>
        <v>1063.87125084</v>
      </c>
      <c r="E11" s="0" t="n">
        <f aca="false">E8+E10+E24</f>
        <v>1225.8160968012</v>
      </c>
      <c r="F11" s="0" t="n">
        <f aca="false">F8+F10+F24</f>
        <v>1421.14285845542</v>
      </c>
      <c r="G11" s="0" t="n">
        <f aca="false">G8+G10+G24</f>
        <v>1586.66420314611</v>
      </c>
      <c r="H11" s="0" t="n">
        <f aca="false">H8+H10+H24</f>
        <v>1754.67672767104</v>
      </c>
      <c r="I11" s="0" t="n">
        <f aca="false">I8+I10+I24</f>
        <v>1853.65849179607</v>
      </c>
      <c r="J11" s="0" t="n">
        <f aca="false">J8+J10+J24</f>
        <v>1909.26824654995</v>
      </c>
      <c r="K11" s="0" t="n">
        <f aca="false">K8+K10+K24</f>
        <v>1956.9999527137</v>
      </c>
      <c r="L11" s="0" t="n">
        <f aca="false">L8+L10+L24</f>
        <v>2005.92495153155</v>
      </c>
    </row>
    <row r="12" customFormat="false" ht="15" hidden="false" customHeight="false" outlineLevel="0" collapsed="false">
      <c r="A12" s="0" t="s">
        <v>117</v>
      </c>
      <c r="C12" s="4" t="n">
        <f aca="false">-C6*Assumptions!C45/100</f>
        <v>-366.536176</v>
      </c>
      <c r="D12" s="4" t="n">
        <f aca="false">-D6*Assumptions!D45/100</f>
        <v>-315.22111136</v>
      </c>
      <c r="E12" s="4" t="n">
        <f aca="false">-E6*Assumptions!E45/100</f>
        <v>-301.430187738</v>
      </c>
      <c r="F12" s="4" t="n">
        <f aca="false">-F6*Assumptions!F45/100</f>
        <v>-292.588235564352</v>
      </c>
      <c r="G12" s="4" t="n">
        <f aca="false">-G6*Assumptions!G45/100</f>
        <v>-304.291764986926</v>
      </c>
      <c r="H12" s="4" t="n">
        <f aca="false">-H6*Assumptions!H45/100</f>
        <v>-292.446121278507</v>
      </c>
      <c r="I12" s="4" t="n">
        <f aca="false">-I6*Assumptions!I45/100</f>
        <v>-301.219504916862</v>
      </c>
      <c r="J12" s="4" t="n">
        <f aca="false">-J6*Assumptions!J45/100</f>
        <v>-310.256090064368</v>
      </c>
      <c r="K12" s="4" t="n">
        <f aca="false">-K6*Assumptions!K45/100</f>
        <v>-318.012492315977</v>
      </c>
      <c r="L12" s="4" t="n">
        <f aca="false">-L6*Assumptions!L45/100</f>
        <v>-325.962804623876</v>
      </c>
    </row>
    <row r="13" customFormat="false" ht="15" hidden="false" customHeight="false" outlineLevel="0" collapsed="false">
      <c r="A13" s="0" t="s">
        <v>118</v>
      </c>
      <c r="C13" s="0" t="n">
        <f aca="false">C11+C12</f>
        <v>1076.700017</v>
      </c>
      <c r="D13" s="0" t="n">
        <f aca="false">D11+D12</f>
        <v>748.65013948</v>
      </c>
      <c r="E13" s="0" t="n">
        <f aca="false">E11+E12</f>
        <v>924.3859090632</v>
      </c>
      <c r="F13" s="0" t="n">
        <f aca="false">F11+F12</f>
        <v>1128.55462289107</v>
      </c>
      <c r="G13" s="0" t="n">
        <f aca="false">G11+G12</f>
        <v>1282.37243815919</v>
      </c>
      <c r="H13" s="0" t="n">
        <f aca="false">H11+H12</f>
        <v>1462.23060639253</v>
      </c>
      <c r="I13" s="0" t="n">
        <f aca="false">I11+I12</f>
        <v>1552.43898687921</v>
      </c>
      <c r="J13" s="0" t="n">
        <f aca="false">J11+J12</f>
        <v>1599.01215648559</v>
      </c>
      <c r="K13" s="0" t="n">
        <f aca="false">K11+K12</f>
        <v>1638.98746039773</v>
      </c>
      <c r="L13" s="0" t="n">
        <f aca="false">L11+L12</f>
        <v>1679.96214690767</v>
      </c>
    </row>
    <row r="14" customFormat="false" ht="15" hidden="false" customHeight="false" outlineLevel="0" collapsed="false">
      <c r="A14" s="0" t="s">
        <v>104</v>
      </c>
      <c r="C14" s="4" t="n">
        <f aca="false">Assumptions!C47</f>
        <v>24</v>
      </c>
      <c r="D14" s="4" t="n">
        <f aca="false">Assumptions!D47</f>
        <v>24</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119</v>
      </c>
      <c r="C15" s="0" t="n">
        <f aca="false">C13-MAX(0,C13)*C14/100</f>
        <v>818.29201292</v>
      </c>
      <c r="D15" s="0" t="n">
        <f aca="false">D13-MAX(0,D13)*D14/100</f>
        <v>568.9741060048</v>
      </c>
      <c r="E15" s="0" t="n">
        <f aca="false">E13-MAX(0,E13)*E14/100</f>
        <v>702.533290888032</v>
      </c>
      <c r="F15" s="0" t="n">
        <f aca="false">F13-MAX(0,F13)*F14/100</f>
        <v>857.701513397215</v>
      </c>
      <c r="G15" s="0" t="n">
        <f aca="false">G13-MAX(0,G13)*G14/100</f>
        <v>974.603053000983</v>
      </c>
      <c r="H15" s="0" t="n">
        <f aca="false">H13-MAX(0,H13)*H14/100</f>
        <v>1111.29526085832</v>
      </c>
      <c r="I15" s="0" t="n">
        <f aca="false">I13-MAX(0,I13)*I14/100</f>
        <v>1179.8536300282</v>
      </c>
      <c r="J15" s="0" t="n">
        <f aca="false">J13-MAX(0,J13)*J14/100</f>
        <v>1215.24923892905</v>
      </c>
      <c r="K15" s="0" t="n">
        <f aca="false">K13-MAX(0,K13)*K14/100</f>
        <v>1245.63046990227</v>
      </c>
      <c r="L15" s="0" t="n">
        <f aca="false">L13-MAX(0,L13)*L14/100</f>
        <v>1276.77123164983</v>
      </c>
    </row>
    <row r="16" customFormat="false" ht="15" hidden="false" customHeight="false" outlineLevel="0" collapsed="false">
      <c r="A16" s="0" t="s">
        <v>120</v>
      </c>
      <c r="C16" s="0" t="n">
        <f aca="false">-C12</f>
        <v>366.536176</v>
      </c>
      <c r="D16" s="0" t="n">
        <f aca="false">-D12</f>
        <v>315.22111136</v>
      </c>
      <c r="E16" s="0" t="n">
        <f aca="false">-E12</f>
        <v>301.430187738</v>
      </c>
      <c r="F16" s="0" t="n">
        <f aca="false">-F12</f>
        <v>292.588235564352</v>
      </c>
      <c r="G16" s="0" t="n">
        <f aca="false">-G12</f>
        <v>304.291764986926</v>
      </c>
      <c r="H16" s="0" t="n">
        <f aca="false">-H12</f>
        <v>292.446121278507</v>
      </c>
      <c r="I16" s="0" t="n">
        <f aca="false">-I12</f>
        <v>301.219504916862</v>
      </c>
      <c r="J16" s="0" t="n">
        <f aca="false">-J12</f>
        <v>310.256090064368</v>
      </c>
      <c r="K16" s="0" t="n">
        <f aca="false">-K12</f>
        <v>318.012492315977</v>
      </c>
      <c r="L16" s="0" t="n">
        <f aca="false">-L12</f>
        <v>325.962804623876</v>
      </c>
    </row>
    <row r="17" customFormat="false" ht="15" hidden="false" customHeight="false" outlineLevel="0" collapsed="false">
      <c r="A17" s="0" t="s">
        <v>121</v>
      </c>
      <c r="C17" s="4" t="n">
        <f aca="false">-C6*Assumptions!C46/100</f>
        <v>-263.4478765</v>
      </c>
      <c r="D17" s="4" t="n">
        <f aca="false">-D6*Assumptions!D46/100</f>
        <v>-236.41583352</v>
      </c>
      <c r="E17" s="4" t="n">
        <f aca="false">-E6*Assumptions!E46/100</f>
        <v>-261.2394960396</v>
      </c>
      <c r="F17" s="4" t="n">
        <f aca="false">-F6*Assumptions!F46/100</f>
        <v>-292.588235564352</v>
      </c>
      <c r="G17" s="4" t="n">
        <f aca="false">-G6*Assumptions!G46/100</f>
        <v>-304.291764986926</v>
      </c>
      <c r="H17" s="4" t="n">
        <f aca="false">-H6*Assumptions!H46/100</f>
        <v>-314.941976761469</v>
      </c>
      <c r="I17" s="4" t="n">
        <f aca="false">-I6*Assumptions!I46/100</f>
        <v>-324.390236064313</v>
      </c>
      <c r="J17" s="4" t="n">
        <f aca="false">-J6*Assumptions!J46/100</f>
        <v>-334.121943146242</v>
      </c>
      <c r="K17" s="4" t="n">
        <f aca="false">-K6*Assumptions!K46/100</f>
        <v>-342.474991724898</v>
      </c>
      <c r="L17" s="4" t="n">
        <f aca="false">-L6*Assumptions!L46/100</f>
        <v>-351.03686651802</v>
      </c>
    </row>
    <row r="18" customFormat="false" ht="15" hidden="false" customHeight="false" outlineLevel="0" collapsed="false">
      <c r="A18" s="0" t="s">
        <v>122</v>
      </c>
      <c r="C18" s="4" t="n">
        <f aca="false">(C6-B6)*Assumptions!$B$51/100</f>
        <v>339.76668</v>
      </c>
      <c r="D18" s="4" t="n">
        <f aca="false">(D6-C6)*Assumptions!$B$51/100</f>
        <v>384.8629848</v>
      </c>
      <c r="E18" s="4" t="n">
        <f aca="false">(E6-D6)*Assumptions!$B$51/100</f>
        <v>-47.283166704</v>
      </c>
      <c r="F18" s="4" t="n">
        <f aca="false">(F6-E6)*Assumptions!$B$51/100</f>
        <v>-96.4576600761601</v>
      </c>
      <c r="G18" s="4" t="n">
        <f aca="false">(G6-F6)*Assumptions!$B$51/100</f>
        <v>-100.315966479206</v>
      </c>
      <c r="H18" s="4" t="n">
        <f aca="false">(H6-G6)*Assumptions!$B$51/100</f>
        <v>-91.2875294960776</v>
      </c>
      <c r="I18" s="4" t="n">
        <f aca="false">(I6-H6)*Assumptions!$B$51/100</f>
        <v>-80.9850797386632</v>
      </c>
      <c r="J18" s="4" t="n">
        <f aca="false">(J6-I6)*Assumptions!$B$51/100</f>
        <v>-83.4146321308235</v>
      </c>
      <c r="K18" s="4" t="n">
        <f aca="false">(K6-J6)*Assumptions!$B$51/100</f>
        <v>-71.5975592456231</v>
      </c>
      <c r="L18" s="4" t="n">
        <f aca="false">(L6-K6)*Assumptions!$B$51/100</f>
        <v>-73.3874982267634</v>
      </c>
    </row>
    <row r="19" customFormat="false" ht="15" hidden="false" customHeight="false" outlineLevel="0" collapsed="false">
      <c r="A19" s="0" t="s">
        <v>123</v>
      </c>
      <c r="C19" s="0" t="n">
        <f aca="false">C15+C16+C17+C18</f>
        <v>1261.14699242</v>
      </c>
      <c r="D19" s="0" t="n">
        <f aca="false">D15+D16+D17+D18</f>
        <v>1032.6423686448</v>
      </c>
      <c r="E19" s="0" t="n">
        <f aca="false">E15+E16+E17+E18</f>
        <v>695.440815882432</v>
      </c>
      <c r="F19" s="0" t="n">
        <f aca="false">F15+F16+F17+F18</f>
        <v>761.243853321054</v>
      </c>
      <c r="G19" s="0" t="n">
        <f aca="false">G15+G16+G17+G18</f>
        <v>874.287086521777</v>
      </c>
      <c r="H19" s="0" t="n">
        <f aca="false">H15+H16+H17+H18</f>
        <v>997.511875879285</v>
      </c>
      <c r="I19" s="0" t="n">
        <f aca="false">I15+I16+I17+I18</f>
        <v>1075.69781914208</v>
      </c>
      <c r="J19" s="0" t="n">
        <f aca="false">J15+J16+J17+J18</f>
        <v>1107.96875371635</v>
      </c>
      <c r="K19" s="0" t="n">
        <f aca="false">K15+K16+K17+K18</f>
        <v>1149.57041124773</v>
      </c>
      <c r="L19" s="0" t="n">
        <f aca="false">L15+L16+L17+L18</f>
        <v>1178.30967152892</v>
      </c>
    </row>
    <row r="20" customFormat="false" ht="15" hidden="false" customHeight="false" outlineLevel="0" collapsed="false">
      <c r="A20" s="0" t="s">
        <v>124</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125</v>
      </c>
      <c r="C21" s="0" t="n">
        <f aca="false">C19*C20</f>
        <v>1141.30949540271</v>
      </c>
      <c r="D21" s="0" t="n">
        <f aca="false">D19*D20</f>
        <v>845.717629569256</v>
      </c>
      <c r="E21" s="0" t="n">
        <f aca="false">E19*E20</f>
        <v>515.434331335141</v>
      </c>
      <c r="F21" s="0" t="n">
        <f aca="false">F19*F20</f>
        <v>510.592800514248</v>
      </c>
      <c r="G21" s="0" t="n">
        <f aca="false">G19*G20</f>
        <v>530.692162318577</v>
      </c>
      <c r="H21" s="0" t="n">
        <f aca="false">H19*H20</f>
        <v>547.954385047061</v>
      </c>
      <c r="I21" s="0" t="n">
        <f aca="false">I19*I20</f>
        <v>534.754369620794</v>
      </c>
      <c r="J21" s="0" t="n">
        <f aca="false">J19*J20</f>
        <v>498.458824171418</v>
      </c>
      <c r="K21" s="0" t="n">
        <f aca="false">K19*K20</f>
        <v>468.031490666977</v>
      </c>
      <c r="L21" s="0" t="n">
        <f aca="false">L19*L20</f>
        <v>434.146857858508</v>
      </c>
    </row>
    <row r="23" customFormat="false" ht="15" hidden="false" customHeight="false" outlineLevel="0" collapsed="false">
      <c r="A23" s="0" t="s">
        <v>101</v>
      </c>
      <c r="C23" s="4" t="n">
        <f aca="false">Assumptions!C44</f>
        <v>4.3</v>
      </c>
      <c r="D23" s="4" t="n">
        <f aca="false">Assumptions!D44</f>
        <v>4.6</v>
      </c>
      <c r="E23" s="4" t="n">
        <f aca="false">Assumptions!E44</f>
        <v>4.5</v>
      </c>
      <c r="F23" s="4" t="n">
        <f aca="false">Assumptions!F44</f>
        <v>4.4</v>
      </c>
      <c r="G23" s="4" t="n">
        <f aca="false">Assumptions!G44</f>
        <v>4.3</v>
      </c>
      <c r="H23" s="4" t="n">
        <f aca="false">Assumptions!H44</f>
        <v>4.2</v>
      </c>
      <c r="I23" s="4" t="n">
        <f aca="false">Assumptions!I44</f>
        <v>4.2</v>
      </c>
      <c r="J23" s="4" t="n">
        <f aca="false">Assumptions!J44</f>
        <v>4.2</v>
      </c>
      <c r="K23" s="4" t="n">
        <f aca="false">Assumptions!K44</f>
        <v>4.2</v>
      </c>
      <c r="L23" s="4" t="n">
        <f aca="false">Assumptions!L44</f>
        <v>4.2</v>
      </c>
    </row>
    <row r="24" customFormat="false" ht="15" hidden="false" customHeight="false" outlineLevel="0" collapsed="false">
      <c r="A24" s="0" t="s">
        <v>126</v>
      </c>
      <c r="C24" s="0" t="n">
        <f aca="false">-C6*C23/100</f>
        <v>-985.065973</v>
      </c>
      <c r="D24" s="0" t="n">
        <f aca="false">-D6*D23/100</f>
        <v>-906.26069516</v>
      </c>
      <c r="E24" s="0" t="n">
        <f aca="false">-E6*E23/100</f>
        <v>-904.290563214</v>
      </c>
      <c r="F24" s="0" t="n">
        <f aca="false">-F6*F23/100</f>
        <v>-919.563026059392</v>
      </c>
      <c r="G24" s="0" t="n">
        <f aca="false">-G6*G23/100</f>
        <v>-934.610421031273</v>
      </c>
      <c r="H24" s="0" t="n">
        <f aca="false">-H6*H23/100</f>
        <v>-944.825930284406</v>
      </c>
      <c r="I24" s="0" t="n">
        <f aca="false">-I6*I23/100</f>
        <v>-973.170708192938</v>
      </c>
      <c r="J24" s="0" t="n">
        <f aca="false">-J6*J23/100</f>
        <v>-1002.36582943873</v>
      </c>
      <c r="K24" s="0" t="n">
        <f aca="false">-K6*K23/100</f>
        <v>-1027.42497517469</v>
      </c>
      <c r="L24" s="0" t="n">
        <f aca="false">-L6*L23/100</f>
        <v>-1053.11059955406</v>
      </c>
    </row>
    <row r="26" customFormat="false" ht="15" hidden="false" customHeight="false" outlineLevel="0" collapsed="false">
      <c r="A26" s="2" t="s">
        <v>127</v>
      </c>
    </row>
    <row r="27" customFormat="false" ht="15" hidden="false" customHeight="false" outlineLevel="0" collapsed="false">
      <c r="A27" s="0" t="s">
        <v>105</v>
      </c>
      <c r="B27" s="4" t="n">
        <f aca="false">Assumptions!$B$48</f>
        <v>10.5</v>
      </c>
    </row>
    <row r="28" customFormat="false" ht="15" hidden="false" customHeight="false" outlineLevel="0" collapsed="false">
      <c r="A28" s="0" t="s">
        <v>106</v>
      </c>
      <c r="B28" s="4" t="n">
        <f aca="false">Assumptions!$B$49</f>
        <v>2</v>
      </c>
    </row>
    <row r="29" customFormat="false" ht="15" hidden="false" customHeight="false" outlineLevel="0" collapsed="false">
      <c r="A29" s="0" t="s">
        <v>107</v>
      </c>
      <c r="B29" s="4" t="n">
        <f aca="false">Assumptions!$B$50</f>
        <v>12</v>
      </c>
    </row>
    <row r="30" customFormat="false" ht="15" hidden="false" customHeight="false" outlineLevel="0" collapsed="false">
      <c r="A30" s="0" t="s">
        <v>128</v>
      </c>
      <c r="B30" s="0" t="n">
        <f aca="false">SUM(C21:L21)</f>
        <v>6027.09234650469</v>
      </c>
    </row>
    <row r="31" customFormat="false" ht="15" hidden="false" customHeight="false" outlineLevel="0" collapsed="false">
      <c r="A31" s="0" t="s">
        <v>129</v>
      </c>
      <c r="B31" s="0" t="n">
        <f aca="false">L19</f>
        <v>1178.30967152892</v>
      </c>
    </row>
    <row r="32" customFormat="false" ht="15" hidden="false" customHeight="false" outlineLevel="0" collapsed="false">
      <c r="A32" s="0" t="s">
        <v>130</v>
      </c>
      <c r="B32" s="0" t="n">
        <f aca="false">IF(B27&gt;B28,B31*(1+B28/100)/((B27-B28)/100),B31*B29)</f>
        <v>14139.716058347</v>
      </c>
    </row>
    <row r="33" customFormat="false" ht="15" hidden="false" customHeight="false" outlineLevel="0" collapsed="false">
      <c r="A33" s="0" t="s">
        <v>131</v>
      </c>
      <c r="B33" s="0" t="n">
        <f aca="false">B31*B29</f>
        <v>14139.716058347</v>
      </c>
    </row>
    <row r="34" customFormat="false" ht="15" hidden="false" customHeight="false" outlineLevel="0" collapsed="false">
      <c r="A34" s="0" t="s">
        <v>132</v>
      </c>
      <c r="B34" s="0" t="n">
        <f aca="false">MAX(0,MIN(B32,B33))</f>
        <v>14139.716058347</v>
      </c>
    </row>
    <row r="35" customFormat="false" ht="15" hidden="false" customHeight="false" outlineLevel="0" collapsed="false">
      <c r="A35" s="0" t="s">
        <v>133</v>
      </c>
      <c r="B35" s="0" t="n">
        <f aca="false">B34/(1+B27/100)^L4</f>
        <v>5209.7622943021</v>
      </c>
    </row>
    <row r="36" customFormat="false" ht="15" hidden="false" customHeight="false" outlineLevel="0" collapsed="false">
      <c r="A36" s="0" t="s">
        <v>134</v>
      </c>
      <c r="B36" s="0" t="n">
        <f aca="false">B30+B35</f>
        <v>11236.8546408068</v>
      </c>
    </row>
    <row r="37" customFormat="false" ht="15" hidden="false" customHeight="false" outlineLevel="0" collapsed="false">
      <c r="A37" s="0" t="s">
        <v>135</v>
      </c>
      <c r="B37" s="0" t="n">
        <f aca="false">B36+Assumptions!$B$5-Assumptions!$B$4</f>
        <v>12411.3546408068</v>
      </c>
    </row>
    <row r="38" customFormat="false" ht="15" hidden="false" customHeight="false" outlineLevel="0" collapsed="false">
      <c r="A38" s="0" t="s">
        <v>136</v>
      </c>
      <c r="B38" s="0" t="n">
        <f aca="false">B37/Assumptions!$B$3*Assumptions!$B$10</f>
        <v>2.35108794630409</v>
      </c>
    </row>
    <row r="39" customFormat="false" ht="15" hidden="false" customHeight="false" outlineLevel="0" collapsed="false">
      <c r="A39" s="0" t="s">
        <v>137</v>
      </c>
      <c r="B39" s="4" t="n">
        <f aca="false">B38/Assumptions!$B$2-1</f>
        <v>1.33939099134735</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2.35108794630409</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9245.19896122692</v>
      </c>
    </row>
    <row r="47" customFormat="false" ht="15" hidden="false" customHeight="false" outlineLevel="0" collapsed="false">
      <c r="A47" s="0" t="s">
        <v>142</v>
      </c>
      <c r="B47" s="0" t="n">
        <f aca="false">(SUMPRODUCT(C19:L19/(1+B45/100)^C4:L4)+B46/(1+B45/100)^L4+Assumptions!$B$5-Assumptions!$B$4)/Assumptions!$B$3*Assumptions!$B$10</f>
        <v>1.60642915324682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0.916970691426978</v>
      </c>
      <c r="C4" s="0" t="n">
        <f aca="false">B4/Assumptions!$B$2-1</f>
        <v>-0.087591351813952</v>
      </c>
      <c r="D4" s="4" t="n">
        <f aca="false">Assumptions!$B$24</f>
        <v>0.35</v>
      </c>
      <c r="E4" s="4" t="n">
        <f aca="false">DCF_Bear!$B$43</f>
        <v>0.916970691426978</v>
      </c>
      <c r="F4" s="4" t="n">
        <f aca="false">DCF_Bear!$B$47</f>
        <v>0.775135920600721</v>
      </c>
    </row>
    <row r="5" customFormat="false" ht="15" hidden="false" customHeight="false" outlineLevel="0" collapsed="false">
      <c r="A5" s="0" t="s">
        <v>151</v>
      </c>
      <c r="B5" s="4" t="n">
        <f aca="false">DCF_Base!$B$38</f>
        <v>1.54460780876138</v>
      </c>
      <c r="C5" s="0" t="n">
        <f aca="false">B5/Assumptions!$B$2-1</f>
        <v>0.536923192797393</v>
      </c>
      <c r="D5" s="4" t="n">
        <f aca="false">Assumptions!$B$38</f>
        <v>0.45</v>
      </c>
      <c r="E5" s="4" t="n">
        <f aca="false">DCF_Base!$B$43</f>
        <v>1.54460780876138</v>
      </c>
      <c r="F5" s="4" t="n">
        <f aca="false">DCF_Base!$B$47</f>
        <v>1.15841006814002</v>
      </c>
    </row>
    <row r="6" customFormat="false" ht="15" hidden="false" customHeight="false" outlineLevel="0" collapsed="false">
      <c r="A6" s="0" t="s">
        <v>152</v>
      </c>
      <c r="B6" s="4" t="n">
        <f aca="false">DCF_Bull!$B$38</f>
        <v>2.35108794630409</v>
      </c>
      <c r="C6" s="0" t="n">
        <f aca="false">B6/Assumptions!$B$2-1</f>
        <v>1.33939099134735</v>
      </c>
      <c r="D6" s="4" t="n">
        <f aca="false">Assumptions!$B$52</f>
        <v>0.2</v>
      </c>
      <c r="E6" s="4" t="n">
        <f aca="false">DCF_Bull!$B$43</f>
        <v>2.35108794630409</v>
      </c>
      <c r="F6" s="4" t="n">
        <f aca="false">DCF_Bull!$B$47</f>
        <v>1.60642915324682</v>
      </c>
    </row>
    <row r="8" customFormat="false" ht="15" hidden="false" customHeight="false" outlineLevel="0" collapsed="false">
      <c r="A8" s="0" t="s">
        <v>153</v>
      </c>
      <c r="B8" s="0" t="n">
        <f aca="false">SUMPRODUCT(B4:B6,D4:D6)</f>
        <v>1.48623084520288</v>
      </c>
    </row>
    <row r="9" customFormat="false" ht="15" hidden="false" customHeight="false" outlineLevel="0" collapsed="false">
      <c r="A9" s="0" t="s">
        <v>154</v>
      </c>
      <c r="B9" s="0" t="n">
        <f aca="false">SUMPRODUCT(E4:E6,D4:D6)</f>
        <v>1.48623084520288</v>
      </c>
    </row>
    <row r="10" customFormat="false" ht="15" hidden="false" customHeight="false" outlineLevel="0" collapsed="false">
      <c r="A10" s="0" t="s">
        <v>155</v>
      </c>
      <c r="B10" s="0" t="n">
        <f aca="false">1-Assumptions!$B$2/B8</f>
        <v>0.323792798915561</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1.11386793352262</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1.69865892474697</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1.61217460490206</v>
      </c>
      <c r="C16" s="3" t="n">
        <v>10</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1.54460780876138</v>
      </c>
      <c r="C17" s="3" t="n">
        <v>10.5</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1.48404402315066</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1.37992999506816</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1.15841006814002</v>
      </c>
      <c r="C20" s="3" t="n">
        <v>15</v>
      </c>
    </row>
    <row r="22" customFormat="false" ht="15" hidden="false" customHeight="false" outlineLevel="0" collapsed="false">
      <c r="A22" s="2" t="s">
        <v>166</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1.74340954156328</v>
      </c>
      <c r="C24" s="0" t="n">
        <f aca="false">(SUMPRODUCT(DCF_Base!$C$19:$L$19/(1+$A$24/100)^DCF_Base!$C$4:$L$4)+MAX(0,MIN(IF($A$24&gt;$C$23,DCF_Base!$L$19*(1+$C$23/100)/(($A$24-$C$23)/100),DCF_Base!$L$19*DCF_Base!$B$29),DCF_Base!$L$19*DCF_Base!$B$29))/(1+$A$24/100)^DCF_Base!$L$4+Assumptions!$B$5-Assumptions!$B$4)/Assumptions!$B$3*Assumptions!$B$10</f>
        <v>1.74340954156328</v>
      </c>
      <c r="D24" s="0" t="n">
        <f aca="false">(SUMPRODUCT(DCF_Base!$C$19:$L$19/(1+$A$24/100)^DCF_Base!$C$4:$L$4)+MAX(0,MIN(IF($A$24&gt;$D$23,DCF_Base!$L$19*(1+$D$23/100)/(($A$24-$D$23)/100),DCF_Base!$L$19*DCF_Base!$B$29),DCF_Base!$L$19*DCF_Base!$B$29))/(1+$A$24/100)^DCF_Base!$L$4+Assumptions!$B$5-Assumptions!$B$4)/Assumptions!$B$3*Assumptions!$B$10</f>
        <v>1.74340954156328</v>
      </c>
      <c r="E24" s="0" t="n">
        <f aca="false">(SUMPRODUCT(DCF_Base!$C$19:$L$19/(1+$A$24/100)^DCF_Base!$C$4:$L$4)+MAX(0,MIN(IF($A$24&gt;$E$23,DCF_Base!$L$19*(1+$E$23/100)/(($A$24-$E$23)/100),DCF_Base!$L$19*DCF_Base!$B$29),DCF_Base!$L$19*DCF_Base!$B$29))/(1+$A$24/100)^DCF_Base!$L$4+Assumptions!$B$5-Assumptions!$B$4)/Assumptions!$B$3*Assumptions!$B$10</f>
        <v>1.74340954156328</v>
      </c>
      <c r="F24" s="0" t="n">
        <f aca="false">(SUMPRODUCT(DCF_Base!$C$19:$L$19/(1+$A$24/100)^DCF_Base!$C$4:$L$4)+MAX(0,MIN(IF($A$24&gt;$F$23,DCF_Base!$L$19*(1+$F$23/100)/(($A$24-$F$23)/100),DCF_Base!$L$19*DCF_Base!$B$29),DCF_Base!$L$19*DCF_Base!$B$29))/(1+$A$24/100)^DCF_Base!$L$4+Assumptions!$B$5-Assumptions!$B$4)/Assumptions!$B$3*Assumptions!$B$10</f>
        <v>1.74340954156328</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1.61675606656431</v>
      </c>
      <c r="C25" s="0" t="n">
        <f aca="false">(SUMPRODUCT(DCF_Base!$C$19:$L$19/(1+$A$25/100)^DCF_Base!$C$4:$L$4)+MAX(0,MIN(IF($A$25&gt;$C$23,DCF_Base!$L$19*(1+$C$23/100)/(($A$25-$C$23)/100),DCF_Base!$L$19*DCF_Base!$B$29),DCF_Base!$L$19*DCF_Base!$B$29))/(1+$A$25/100)^DCF_Base!$L$4+Assumptions!$B$5-Assumptions!$B$4)/Assumptions!$B$3*Assumptions!$B$10</f>
        <v>1.65030868579566</v>
      </c>
      <c r="D25" s="0" t="n">
        <f aca="false">(SUMPRODUCT(DCF_Base!$C$19:$L$19/(1+$A$25/100)^DCF_Base!$C$4:$L$4)+MAX(0,MIN(IF($A$25&gt;$D$23,DCF_Base!$L$19*(1+$D$23/100)/(($A$25-$D$23)/100),DCF_Base!$L$19*DCF_Base!$B$29),DCF_Base!$L$19*DCF_Base!$B$29))/(1+$A$25/100)^DCF_Base!$L$4+Assumptions!$B$5-Assumptions!$B$4)/Assumptions!$B$3*Assumptions!$B$10</f>
        <v>1.65582418484739</v>
      </c>
      <c r="E25" s="0" t="n">
        <f aca="false">(SUMPRODUCT(DCF_Base!$C$19:$L$19/(1+$A$25/100)^DCF_Base!$C$4:$L$4)+MAX(0,MIN(IF($A$25&gt;$E$23,DCF_Base!$L$19*(1+$E$23/100)/(($A$25-$E$23)/100),DCF_Base!$L$19*DCF_Base!$B$29),DCF_Base!$L$19*DCF_Base!$B$29))/(1+$A$25/100)^DCF_Base!$L$4+Assumptions!$B$5-Assumptions!$B$4)/Assumptions!$B$3*Assumptions!$B$10</f>
        <v>1.65582418484739</v>
      </c>
      <c r="F25" s="0" t="n">
        <f aca="false">(SUMPRODUCT(DCF_Base!$C$19:$L$19/(1+$A$25/100)^DCF_Base!$C$4:$L$4)+MAX(0,MIN(IF($A$25&gt;$F$23,DCF_Base!$L$19*(1+$F$23/100)/(($A$25-$F$23)/100),DCF_Base!$L$19*DCF_Base!$B$29),DCF_Base!$L$19*DCF_Base!$B$29))/(1+$A$25/100)^DCF_Base!$L$4+Assumptions!$B$5-Assumptions!$B$4)/Assumptions!$B$3*Assumptions!$B$10</f>
        <v>1.65582418484739</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1.49204943486727</v>
      </c>
      <c r="C26" s="0" t="n">
        <f aca="false">(SUMPRODUCT(DCF_Base!$C$19:$L$19/(1+$A$26/100)^DCF_Base!$C$4:$L$4)+MAX(0,MIN(IF($A$26&gt;$C$23,DCF_Base!$L$19*(1+$C$23/100)/(($A$26-$C$23)/100),DCF_Base!$L$19*DCF_Base!$B$29),DCF_Base!$L$19*DCF_Base!$B$29))/(1+$A$26/100)^DCF_Base!$L$4+Assumptions!$B$5-Assumptions!$B$4)/Assumptions!$B$3*Assumptions!$B$10</f>
        <v>1.51694550671185</v>
      </c>
      <c r="D26" s="0" t="n">
        <f aca="false">(SUMPRODUCT(DCF_Base!$C$19:$L$19/(1+$A$26/100)^DCF_Base!$C$4:$L$4)+MAX(0,MIN(IF($A$26&gt;$D$23,DCF_Base!$L$19*(1+$D$23/100)/(($A$26-$D$23)/100),DCF_Base!$L$19*DCF_Base!$B$29),DCF_Base!$L$19*DCF_Base!$B$29))/(1+$A$26/100)^DCF_Base!$L$4+Assumptions!$B$5-Assumptions!$B$4)/Assumptions!$B$3*Assumptions!$B$10</f>
        <v>1.54460780876138</v>
      </c>
      <c r="E26" s="0" t="n">
        <f aca="false">(SUMPRODUCT(DCF_Base!$C$19:$L$19/(1+$A$26/100)^DCF_Base!$C$4:$L$4)+MAX(0,MIN(IF($A$26&gt;$E$23,DCF_Base!$L$19*(1+$E$23/100)/(($A$26-$E$23)/100),DCF_Base!$L$19*DCF_Base!$B$29),DCF_Base!$L$19*DCF_Base!$B$29))/(1+$A$26/100)^DCF_Base!$L$4+Assumptions!$B$5-Assumptions!$B$4)/Assumptions!$B$3*Assumptions!$B$10</f>
        <v>1.57552449928733</v>
      </c>
      <c r="F26" s="0" t="n">
        <f aca="false">(SUMPRODUCT(DCF_Base!$C$19:$L$19/(1+$A$26/100)^DCF_Base!$C$4:$L$4)+MAX(0,MIN(IF($A$26&gt;$F$23,DCF_Base!$L$19*(1+$F$23/100)/(($A$26-$F$23)/100),DCF_Base!$L$19*DCF_Base!$B$29),DCF_Base!$L$19*DCF_Base!$B$29))/(1+$A$26/100)^DCF_Base!$L$4+Assumptions!$B$5-Assumptions!$B$4)/Assumptions!$B$3*Assumptions!$B$10</f>
        <v>1.57552449928733</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1.38978122180701</v>
      </c>
      <c r="C27" s="0" t="n">
        <f aca="false">(SUMPRODUCT(DCF_Base!$C$19:$L$19/(1+$A$27/100)^DCF_Base!$C$4:$L$4)+MAX(0,MIN(IF($A$27&gt;$C$23,DCF_Base!$L$19*(1+$C$23/100)/(($A$27-$C$23)/100),DCF_Base!$L$19*DCF_Base!$B$29),DCF_Base!$L$19*DCF_Base!$B$29))/(1+$A$27/100)^DCF_Base!$L$4+Assumptions!$B$5-Assumptions!$B$4)/Assumptions!$B$3*Assumptions!$B$10</f>
        <v>1.40866370667707</v>
      </c>
      <c r="D27" s="0" t="n">
        <f aca="false">(SUMPRODUCT(DCF_Base!$C$19:$L$19/(1+$A$27/100)^DCF_Base!$C$4:$L$4)+MAX(0,MIN(IF($A$27&gt;$D$23,DCF_Base!$L$19*(1+$D$23/100)/(($A$27-$D$23)/100),DCF_Base!$L$19*DCF_Base!$B$29),DCF_Base!$L$19*DCF_Base!$B$29))/(1+$A$27/100)^DCF_Base!$L$4+Assumptions!$B$5-Assumptions!$B$4)/Assumptions!$B$3*Assumptions!$B$10</f>
        <v>1.42943444003413</v>
      </c>
      <c r="E27" s="0" t="n">
        <f aca="false">(SUMPRODUCT(DCF_Base!$C$19:$L$19/(1+$A$27/100)^DCF_Base!$C$4:$L$4)+MAX(0,MIN(IF($A$27&gt;$E$23,DCF_Base!$L$19*(1+$E$23/100)/(($A$27-$E$23)/100),DCF_Base!$L$19*DCF_Base!$B$29),DCF_Base!$L$19*DCF_Base!$B$29))/(1+$A$27/100)^DCF_Base!$L$4+Assumptions!$B$5-Assumptions!$B$4)/Assumptions!$B$3*Assumptions!$B$10</f>
        <v>1.45239156637615</v>
      </c>
      <c r="F27" s="0" t="n">
        <f aca="false">(SUMPRODUCT(DCF_Base!$C$19:$L$19/(1+$A$27/100)^DCF_Base!$C$4:$L$4)+MAX(0,MIN(IF($A$27&gt;$F$23,DCF_Base!$L$19*(1+$F$23/100)/(($A$27-$F$23)/100),DCF_Base!$L$19*DCF_Base!$B$29),DCF_Base!$L$19*DCF_Base!$B$29))/(1+$A$27/100)^DCF_Base!$L$4+Assumptions!$B$5-Assumptions!$B$4)/Assumptions!$B$3*Assumptions!$B$10</f>
        <v>1.47789948453395</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1.30434310212371</v>
      </c>
      <c r="C28" s="0" t="n">
        <f aca="false">(SUMPRODUCT(DCF_Base!$C$19:$L$19/(1+$A$28/100)^DCF_Base!$C$4:$L$4)+MAX(0,MIN(IF($A$28&gt;$C$23,DCF_Base!$L$19*(1+$C$23/100)/(($A$28-$C$23)/100),DCF_Base!$L$19*DCF_Base!$B$29),DCF_Base!$L$19*DCF_Base!$B$29))/(1+$A$28/100)^DCF_Base!$L$4+Assumptions!$B$5-Assumptions!$B$4)/Assumptions!$B$3*Assumptions!$B$10</f>
        <v>1.31892664851975</v>
      </c>
      <c r="D28" s="0" t="n">
        <f aca="false">(SUMPRODUCT(DCF_Base!$C$19:$L$19/(1+$A$28/100)^DCF_Base!$C$4:$L$4)+MAX(0,MIN(IF($A$28&gt;$D$23,DCF_Base!$L$19*(1+$D$23/100)/(($A$28-$D$23)/100),DCF_Base!$L$19*DCF_Base!$B$29),DCF_Base!$L$19*DCF_Base!$B$29))/(1+$A$28/100)^DCF_Base!$L$4+Assumptions!$B$5-Assumptions!$B$4)/Assumptions!$B$3*Assumptions!$B$10</f>
        <v>1.33483597186089</v>
      </c>
      <c r="E28" s="0" t="n">
        <f aca="false">(SUMPRODUCT(DCF_Base!$C$19:$L$19/(1+$A$28/100)^DCF_Base!$C$4:$L$4)+MAX(0,MIN(IF($A$28&gt;$E$23,DCF_Base!$L$19*(1+$E$23/100)/(($A$28-$E$23)/100),DCF_Base!$L$19*DCF_Base!$B$29),DCF_Base!$L$19*DCF_Base!$B$29))/(1+$A$28/100)^DCF_Base!$L$4+Assumptions!$B$5-Assumptions!$B$4)/Assumptions!$B$3*Assumptions!$B$10</f>
        <v>1.35226046885356</v>
      </c>
      <c r="F28" s="0" t="n">
        <f aca="false">(SUMPRODUCT(DCF_Base!$C$19:$L$19/(1+$A$28/100)^DCF_Base!$C$4:$L$4)+MAX(0,MIN(IF($A$28&gt;$F$23,DCF_Base!$L$19*(1+$F$23/100)/(($A$28-$F$23)/100),DCF_Base!$L$19*DCF_Base!$B$29),DCF_Base!$L$19*DCF_Base!$B$29))/(1+$A$28/100)^DCF_Base!$L$4+Assumptions!$B$5-Assumptions!$B$4)/Assumptions!$B$3*Assumptions!$B$10</f>
        <v>1.3714274155455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2026-10-23T13:13:26Z</dcterms:created>
  <dc:creator>openpyxl</dc:creator>
  <dc:description/>
  <dc:language>en-NZ</dc:language>
  <cp:lastModifiedBy/>
  <dcterms:modified xsi:type="dcterms:W3CDTF">2026-10-23T13:13:26Z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