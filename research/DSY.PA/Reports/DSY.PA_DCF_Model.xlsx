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<sst xmlns="http://schemas.openxmlformats.org/spreadsheetml/2006/main" count="369" uniqueCount="176">
  <si>
    <t xml:space="preserve">Ticker</t>
  </si>
  <si>
    <t xml:space="preserve">DSY.PA</t>
  </si>
  <si>
    <t xml:space="preserve">Company</t>
  </si>
  <si>
    <t xml:space="preserve">Dassault Systèmes SE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</si>
  <si>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</si>
  <si>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</si>
  <si>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</si>
  <si>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</si>
  <si>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2026-10-23T15:35:08Z (Euronext Paris regular close, Friday; latest completed session as at the Monday valuation date)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</si>
  <si>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</si>
  <si>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</si>
  <si>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</si>
  <si>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</si>
  <si>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</si>
  <si>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</si>
  <si>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</si>
  <si>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</si>
  <si>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</si>
  <si>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</si>
  <si>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</si>
  <si>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</si>
  <si>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2026-10-25T12:23:42Z</t>
  </si>
  <si>
    <t xml:space="preserve">Drivers file</t>
  </si>
  <si>
    <t xml:space="preserve">DSY.PA_Drivers.json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</si>
  <si>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</si>
  <si>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</si>
  <si>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</si>
  <si>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with SBC fully expensed, interest income stripped against the EUR2.28bn net cash it is earned on, leases charged as operating cost, acquired-intangible amortisation treated as sunk (no cash D&amp;A, no tax shield: cash tax at the 24% current-tax run-rate rather than the 15% flattered by the DTL unwind), and the subscription-transition receivables build modelled as negative working-capital capture on revenue growth. Dassault is a high-quality, slow-compounding franchise whose reported FCF has been flat at ~EUR1.0-1.1bn on an owner basis for four years while interest income and SBC did the growing; the valuation therefore rests on whether mid-single-digit cc growth and modest margin expansion resume, not on the 2029 EPS-doubling ambition, which is given no credit in the base case. ArisGlobal is treated as value-neutral at its purchase price. The house/street band is narrow (SBC ~2.5% of revenue) so the SBC treatment is not what decides this one; the cash tax rate and the working-capital drag are.
key_risks_to_valuation: Cash tax: the model charges 24% on pre-amortisation EBIT (current-tax run-rate); if the 17-18% IFRS effective rate proves cash-sustainable (R&amp;D credits, US FDII), base value is understated by roughly EUR2/share. Conversely Pillar 2 and the run-off of amortisation shields could push the rate above 24%.; Working capital: -75% capture of revenue growth charges EUR150-210m/yr of contract-asset build; if the FY2024-25 receivables build was a one-off DSO extension rather than structural, base value is ~EUR1.5-2/share too low; if it persists at EUR300m+/yr it is too high.; ArisGlobal (~EUR1.5-1.7bn, closing H2 2026) is value-neutral in the model; at 10x+ revenue a return on cost below the 8% WACC is a direct deduction, and it uses up two-thirds of the net cash in the bridge.; AI-native disruption of CAD/PLM (Anthropic-backed tools, Prometheus) is carried only through the 25% bear weight and its 1.5% growth / 31% margin path; a faster or broader displacement of licensed engineering software is outside even the bear case.; Terminal value is ~55-60% of base EV at 8% WACC / 2.5% g (Gordon binds just inside the 20x cap); each 1pp of WACC is worth roughly EUR4-5/share.; Governance: GIMD/Dassault family controls ~54% of votes; capital allocation (serial M&amp;A, Centric buy-out, ArisGlobal) is decided without minority consent.; FX: ~39% of software revenue is USD and a material JPY share; a 5% EUR appreciation takes ~2pp off reported growth and the year-1 driver.; Price is the 23 Oct 2026 regular close; the 17 Nov 2026 Capital Markets Day (AI monetisation, 2029 ambition update) is a scheduled event likely to move both the price and the base drivers.</t>
  </si>
  <si>
    <t xml:space="preserve">Data sources</t>
  </si>
  <si>
    <t xml:space="preserve">price: Yahoo Finance chart API (DSY.PA, Euronext Paris) regularMarketPrice at inputs.price_as_of, Friday regular close; 52-week range 15.83-25.81 EUR. Quote currency EUR, same as the statements; no ADR/ADS ratio.
financials: research/DSY.PA/Reports/DSY.PA_Metrics.csv (FY2017-H1 FY2026, EUR millions, derived from core_metrics); FY2025 Universal Registration Document (cash-flow statement, Note 11 D&amp;A, Note 24 non-cash items and working capital, non-IFRS reconciliation line 'Amortization of acquired intangible assets' 337.6); H1 2026 half-year report (balance sheet 30 Jun 2026: cash 5,660.1, borrowings 1,237.5 + 2,140.2; Note 9 interest income 74.6, lease interest 11.9; Note 12 borrowings).
qualitative: research/DSY.PA/Reports/DSY.PA_Analysis.json (2026-10-26): FY2026 guidance maintained at Q2 2026 (revenue EUR6,296-6,416m, non-IFRS op margin 32.2-32.6%, EPS EUR1.30-1.34, SBC ~EUR115m, acquired-intangible amortisation ~EUR315m), Feb 2026 guidance cut and -20% share-price day, ArisGlobal agreement 23 Jul 2026, Charlès departure 21 Feb 2026, 17 Nov 2026 CMD.</t>
  </si>
  <si>
    <t xml:space="preserve">Scenario narrative: bear</t>
  </si>
  <si>
    <t xml:space="preserve">Third guidance miss, AI-native entrants and peer bundling cap renewal pricing, Medidata and automotive keep shrinking; growth settles at 1.5%, margin compresses to 31%, SBC rises to 2.8% on retention pressure; 15x terminal cap for an ex-growth franchise.</t>
  </si>
  <si>
    <t xml:space="preserve">Scenario narrative: base</t>
  </si>
  <si>
    <t xml:space="preserve">Mid-single-digit constant-currency growth from a 83%-recurring PLM franchise with 25-year customer relationships; 3DEXPERIENCE/cloud ~+10%, Medidata stabilises, AI additive but modest; margin drifts up ~1.7pp over eight years; subscription transition keeps absorbing cash in contract assets until growth slows. No credit to the 2029 EPS-doubling ambition or to ArisGlobal.</t>
  </si>
  <si>
    <t xml:space="preserve">Scenario narrative: bull</t>
  </si>
  <si>
    <t xml:space="preserve">Automotive and clinical-trial cycles recover together in 2027-28 and AI-native offerings become a paid layer on the installed base; cc growth 6.5-7%, pre-SBC margin back to the FY2021-22 ~37.5%; November 2026 CMD re-rates the stock rather than resetting targets.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</si>
  <si>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</si>
  <si>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</si>
  <si>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</si>
  <si>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</si>
  <si>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</si>
  <si>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</si>
  <si>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</si>
  <si>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</si>
  <si>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</si>
  <si>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</si>
  <si>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</si>
  <si>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</si>
  <si>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</si>
  <si>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</si>
  <si>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</si>
  <si>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</si>
  <si>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</si>
  <si>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</si>
  <si>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</si>
  <si>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</si>
  <si>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</si>
  <si>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</si>
  <si>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</si>
  <si>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</si>
  <si>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</si>
  <si>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</si>
  <si>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</si>
  <si>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</t>
  </si>
  <si>
    <t xml:space="preserve">AdjustedEBITMargin</t>
  </si>
  <si>
    <t xml:space="preserve">AdjustedEPS</t>
  </si>
  <si>
    <t xml:space="preserve">AdjustedNetIncome</t>
  </si>
  <si>
    <t xml:space="preserve">BasicEPS</t>
  </si>
  <si>
    <t xml:space="preserve">DilutedEPS</t>
  </si>
  <si>
    <t xml:space="preserve">LicensingRevenue</t>
  </si>
  <si>
    <t xml:space="preserve">NetIncomeInclNCI</t>
  </si>
  <si>
    <t xml:space="preserve">RecurringRevenue</t>
  </si>
  <si>
    <t xml:space="preserve">ServicesRevenue</t>
  </si>
  <si>
    <t xml:space="preserve">SharesDiluted</t>
  </si>
  <si>
    <t xml:space="preserve">SubscriptionRevenue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</si>
  <si>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</si>
  <si>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</si>
  <si>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</si>
  <si>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</si>
  <si>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</si>
  <si>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</si>
  <si>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</si>
  <si>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</si>
  <si>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</si>
  <si>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</si>
  <si>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</si>
  <si>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</si>
  <si>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</si>
  <si>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</si>
  <si>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</si>
  <si>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</si>
  <si>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</si>
  <si>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</si>
  <si>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</si>
  <si>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</si>
  <si>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</si>
  <si>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</si>
  <si>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</si>
  <si>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</si>
  <si>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</si>
  <si>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</si>
  <si>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</si>
  <si>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</si>
  <si>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</si>
  <si>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</si>
  <si>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</si>
  <si>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</si>
  <si>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</si>
  <si>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</si>
  <si>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</si>
  <si>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</si>
  <si>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</si>
  <si>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</si>
  <si>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</si>
  <si>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</si>
  <si>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</si>
  <si>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</si>
  <si>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</si>
  <si>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</si>
  <si>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</si>
  <si>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</si>
  <si>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DSY.PA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</si>
  <si>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</si>
  <si>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</si>
  <si>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</si>
  <si>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</si>
  <si>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</si>
  <si>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</si>
  <si>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</si>
  <si>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</si>
  <si>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</si>
  <si>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</si>
  <si>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</si>
  <si>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</si>
  <si>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</si>
  <si>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</si>
  <si>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</si>
  <si>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</si>
  <si>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</si>
  <si>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</si>
  <si>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</si>
  <si>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</si>
  <si>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</si>
  <si>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</si>
  <si>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</si>
  <si>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</si>
  <si>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</si>
  <si>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</si>
  <si>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</si>
  <si>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</si>
  <si>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</si>
  <si>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</si>
  <si>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DSY.PA owner-FCF component DCF: base case (millions, EUR)</t>
  </si>
  <si>
    <t xml:space="preserve">DSY.PA owner-FCF component DCF: bull case (millions, EUR)</t>
  </si>
  <si>
    <t xml:space="preserve">DSY.PA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</si>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</sst>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24.44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  <c r="AM1" s="2" t="s">
        <v>73</v>
      </c>
      <c r="AN1" s="2" t="s">
        <v>74</v>
      </c>
    </row>
    <row r="2" customFormat="false" ht="15" hidden="false" customHeight="false" outlineLevel="0" collapsed="false">
      <c r="A2" s="0" t="s">
        <v>75</v>
      </c>
      <c r="B2" s="0" t="n">
        <v>3228</v>
      </c>
      <c r="C2" s="0" t="n">
        <v>473.9</v>
      </c>
      <c r="D2" s="0" t="n">
        <v>2754.1</v>
      </c>
      <c r="E2" s="0" t="n">
        <v>85.3</v>
      </c>
      <c r="F2" s="0" t="n">
        <v>729</v>
      </c>
      <c r="G2" s="0" t="n">
        <v>22.6</v>
      </c>
      <c r="H2" s="0" t="n">
        <v>946.7</v>
      </c>
      <c r="I2" s="0" t="n">
        <v>519.4</v>
      </c>
      <c r="J2" s="0" t="n">
        <v>16.1</v>
      </c>
      <c r="K2" s="0" t="n">
        <v>0.402</v>
      </c>
      <c r="L2" s="0" t="n">
        <v>745</v>
      </c>
      <c r="M2" s="0" t="n">
        <v>84.5</v>
      </c>
      <c r="N2" s="0" t="n">
        <v>660.5</v>
      </c>
      <c r="O2" s="0" t="n">
        <v>3996</v>
      </c>
      <c r="P2" s="0" t="n">
        <v>7029.8</v>
      </c>
      <c r="Q2" s="0" t="n">
        <v>3033.7</v>
      </c>
      <c r="R2" s="0" t="n">
        <v>1000</v>
      </c>
      <c r="S2" s="0" t="n">
        <v>2460.7</v>
      </c>
      <c r="T2" s="0" t="n">
        <v>1291.5</v>
      </c>
      <c r="U2" s="0" t="n">
        <v>92.5</v>
      </c>
      <c r="AA2" s="0" t="s">
        <v>17</v>
      </c>
      <c r="AB2" s="0" t="s">
        <v>14</v>
      </c>
      <c r="AG2" s="0" t="n">
        <v>0.408</v>
      </c>
      <c r="AH2" s="0" t="n">
        <v>0.402</v>
      </c>
      <c r="AI2" s="0" t="n">
        <v>855.8</v>
      </c>
      <c r="AJ2" s="0" t="n">
        <v>520.1</v>
      </c>
      <c r="AK2" s="0" t="n">
        <v>2013.5</v>
      </c>
      <c r="AL2" s="0" t="n">
        <v>358.7</v>
      </c>
      <c r="AM2" s="0" t="n">
        <v>1291.5</v>
      </c>
      <c r="AN2" s="0" t="n">
        <v>2013.5</v>
      </c>
    </row>
    <row r="3" customFormat="false" ht="15" hidden="false" customHeight="false" outlineLevel="0" collapsed="false">
      <c r="A3" s="0" t="s">
        <v>76</v>
      </c>
      <c r="B3" s="0" t="n">
        <v>3477.4</v>
      </c>
      <c r="C3" s="0" t="n">
        <v>510.8</v>
      </c>
      <c r="D3" s="0" t="n">
        <v>2966.6</v>
      </c>
      <c r="E3" s="0" t="n">
        <v>85.3</v>
      </c>
      <c r="F3" s="0" t="n">
        <v>768.2</v>
      </c>
      <c r="G3" s="0" t="n">
        <v>22.1</v>
      </c>
      <c r="H3" s="0" t="n">
        <v>1005.9</v>
      </c>
      <c r="I3" s="0" t="n">
        <v>569.4</v>
      </c>
      <c r="J3" s="0" t="n">
        <v>16.4</v>
      </c>
      <c r="K3" s="0" t="n">
        <v>0.436</v>
      </c>
      <c r="L3" s="0" t="n">
        <v>898.6</v>
      </c>
      <c r="M3" s="0" t="n">
        <v>72.4</v>
      </c>
      <c r="N3" s="0" t="n">
        <v>826.2</v>
      </c>
      <c r="O3" s="0" t="n">
        <v>4625.9</v>
      </c>
      <c r="P3" s="0" t="n">
        <v>7974</v>
      </c>
      <c r="Q3" s="0" t="n">
        <v>3348.2</v>
      </c>
      <c r="R3" s="0" t="n">
        <v>1000</v>
      </c>
      <c r="S3" s="0" t="n">
        <v>2809.9</v>
      </c>
      <c r="T3" s="0" t="n">
        <v>1303.8</v>
      </c>
      <c r="U3" s="0" t="n">
        <v>83.4</v>
      </c>
      <c r="AA3" s="0" t="s">
        <v>17</v>
      </c>
      <c r="AB3" s="0" t="s">
        <v>14</v>
      </c>
      <c r="AG3" s="0" t="n">
        <v>0.44</v>
      </c>
      <c r="AH3" s="0" t="n">
        <v>0.436</v>
      </c>
      <c r="AI3" s="0" t="n">
        <v>918.5</v>
      </c>
      <c r="AJ3" s="0" t="n">
        <v>563.4</v>
      </c>
      <c r="AK3" s="0" t="n">
        <v>2163.3</v>
      </c>
      <c r="AL3" s="0" t="n">
        <v>395.6</v>
      </c>
      <c r="AM3" s="0" t="n">
        <v>1303.8</v>
      </c>
      <c r="AN3" s="0" t="n">
        <v>2163.3</v>
      </c>
    </row>
    <row r="4" customFormat="false" ht="15" hidden="false" customHeight="false" outlineLevel="0" collapsed="false">
      <c r="A4" s="0" t="s">
        <v>77</v>
      </c>
      <c r="B4" s="0" t="n">
        <v>4018.2</v>
      </c>
      <c r="C4" s="0" t="n">
        <v>633.6</v>
      </c>
      <c r="D4" s="0" t="n">
        <v>3384.6</v>
      </c>
      <c r="E4" s="0" t="n">
        <v>84.2</v>
      </c>
      <c r="F4" s="0" t="n">
        <v>812.8</v>
      </c>
      <c r="G4" s="0" t="n">
        <v>20.2</v>
      </c>
      <c r="H4" s="0" t="n">
        <v>1208.8</v>
      </c>
      <c r="I4" s="0" t="n">
        <v>615.3</v>
      </c>
      <c r="J4" s="0" t="n">
        <v>15.3</v>
      </c>
      <c r="K4" s="0" t="n">
        <v>0.468</v>
      </c>
      <c r="L4" s="0" t="n">
        <v>1186.1</v>
      </c>
      <c r="M4" s="0" t="n">
        <v>98.3</v>
      </c>
      <c r="N4" s="0" t="n">
        <v>1087.8</v>
      </c>
      <c r="O4" s="0" t="n">
        <v>5262.6</v>
      </c>
      <c r="P4" s="0" t="n">
        <v>13872.6</v>
      </c>
      <c r="Q4" s="0" t="n">
        <v>8610</v>
      </c>
      <c r="R4" s="0" t="n">
        <v>4601.2</v>
      </c>
      <c r="S4" s="0" t="n">
        <v>1944.9</v>
      </c>
      <c r="T4" s="0" t="n">
        <v>1316</v>
      </c>
      <c r="U4" s="0" t="n">
        <v>116.5</v>
      </c>
      <c r="AA4" s="0" t="s">
        <v>17</v>
      </c>
      <c r="AB4" s="0" t="s">
        <v>14</v>
      </c>
      <c r="AG4" s="0" t="n">
        <v>0.474</v>
      </c>
      <c r="AH4" s="0" t="n">
        <v>0.468</v>
      </c>
      <c r="AI4" s="0" t="n">
        <v>999.6</v>
      </c>
      <c r="AJ4" s="0" t="n">
        <v>606.3</v>
      </c>
      <c r="AK4" s="0" t="n">
        <v>2539.8</v>
      </c>
      <c r="AL4" s="0" t="n">
        <v>478.8</v>
      </c>
      <c r="AM4" s="0" t="n">
        <v>1316</v>
      </c>
      <c r="AN4" s="0" t="n">
        <v>2539.8</v>
      </c>
    </row>
    <row r="5" customFormat="false" ht="15" hidden="false" customHeight="false" outlineLevel="0" collapsed="false">
      <c r="A5" s="0" t="s">
        <v>78</v>
      </c>
      <c r="B5" s="0" t="n">
        <v>4452.2</v>
      </c>
      <c r="C5" s="0" t="n">
        <v>749.6</v>
      </c>
      <c r="D5" s="0" t="n">
        <v>3702.6</v>
      </c>
      <c r="E5" s="0" t="n">
        <v>83.2</v>
      </c>
      <c r="F5" s="0" t="n">
        <v>669.7</v>
      </c>
      <c r="G5" s="0" t="n">
        <v>15</v>
      </c>
      <c r="H5" s="0" t="n">
        <v>1274.2</v>
      </c>
      <c r="I5" s="0" t="n">
        <v>491</v>
      </c>
      <c r="J5" s="0" t="n">
        <v>11</v>
      </c>
      <c r="K5" s="0" t="n">
        <v>0.372</v>
      </c>
      <c r="L5" s="0" t="n">
        <v>1241.3</v>
      </c>
      <c r="M5" s="0" t="n">
        <v>127</v>
      </c>
      <c r="N5" s="0" t="n">
        <v>1114.3</v>
      </c>
      <c r="O5" s="0" t="n">
        <v>5106.1</v>
      </c>
      <c r="P5" s="0" t="n">
        <v>12964.2</v>
      </c>
      <c r="Q5" s="0" t="n">
        <v>7858.1</v>
      </c>
      <c r="R5" s="0" t="n">
        <v>4190.3</v>
      </c>
      <c r="S5" s="0" t="n">
        <v>2148.9</v>
      </c>
      <c r="T5" s="0" t="n">
        <v>1320.9</v>
      </c>
      <c r="U5" s="0" t="n">
        <v>178.3</v>
      </c>
      <c r="AA5" s="0" t="s">
        <v>17</v>
      </c>
      <c r="AB5" s="0" t="s">
        <v>14</v>
      </c>
      <c r="AG5" s="0" t="n">
        <v>0.378</v>
      </c>
      <c r="AH5" s="0" t="n">
        <v>0.372</v>
      </c>
      <c r="AI5" s="0" t="n">
        <v>807.5</v>
      </c>
      <c r="AJ5" s="0" t="n">
        <v>485.5</v>
      </c>
      <c r="AK5" s="0" t="n">
        <v>3205.2</v>
      </c>
      <c r="AL5" s="0" t="n">
        <v>439.6</v>
      </c>
      <c r="AM5" s="0" t="n">
        <v>1320.9</v>
      </c>
      <c r="AN5" s="0" t="n">
        <v>3205.2</v>
      </c>
    </row>
    <row r="6" customFormat="false" ht="15" hidden="false" customHeight="false" outlineLevel="0" collapsed="false">
      <c r="A6" s="0" t="s">
        <v>79</v>
      </c>
      <c r="B6" s="0" t="n">
        <v>4860.1</v>
      </c>
      <c r="C6" s="0" t="n">
        <v>790.3</v>
      </c>
      <c r="D6" s="0" t="n">
        <v>4069.8</v>
      </c>
      <c r="E6" s="0" t="n">
        <v>83.7</v>
      </c>
      <c r="F6" s="0" t="n">
        <v>1019.4</v>
      </c>
      <c r="G6" s="0" t="n">
        <v>21</v>
      </c>
      <c r="H6" s="0" t="n">
        <v>1596</v>
      </c>
      <c r="I6" s="0" t="n">
        <v>773.7</v>
      </c>
      <c r="J6" s="0" t="n">
        <v>15.9</v>
      </c>
      <c r="K6" s="0" t="n">
        <v>0.58</v>
      </c>
      <c r="L6" s="0" t="n">
        <v>1613.1</v>
      </c>
      <c r="M6" s="0" t="n">
        <v>103.7</v>
      </c>
      <c r="N6" s="0" t="n">
        <v>1509.4</v>
      </c>
      <c r="O6" s="0" t="n">
        <v>6211</v>
      </c>
      <c r="P6" s="0" t="n">
        <v>14218.7</v>
      </c>
      <c r="Q6" s="0" t="n">
        <v>8007.7</v>
      </c>
      <c r="R6" s="0" t="n">
        <v>3869.7</v>
      </c>
      <c r="S6" s="0" t="n">
        <v>2979.5</v>
      </c>
      <c r="T6" s="0" t="n">
        <v>1332.1</v>
      </c>
      <c r="U6" s="0" t="n">
        <v>171.6</v>
      </c>
      <c r="V6" s="0" t="n">
        <v>0.17</v>
      </c>
      <c r="AA6" s="0" t="s">
        <v>17</v>
      </c>
      <c r="AB6" s="0" t="s">
        <v>14</v>
      </c>
      <c r="AC6" s="0" t="n">
        <v>1666.2</v>
      </c>
      <c r="AD6" s="0" t="n">
        <v>34.3</v>
      </c>
      <c r="AE6" s="0" t="n">
        <v>0.95</v>
      </c>
      <c r="AF6" s="0" t="n">
        <v>1265.3</v>
      </c>
      <c r="AG6" s="0" t="n">
        <v>0.59</v>
      </c>
      <c r="AH6" s="0" t="n">
        <v>0.58</v>
      </c>
      <c r="AI6" s="0" t="n">
        <v>982.9</v>
      </c>
      <c r="AJ6" s="0" t="n">
        <v>773.8</v>
      </c>
      <c r="AK6" s="0" t="n">
        <v>3419.7</v>
      </c>
      <c r="AL6" s="0" t="n">
        <v>457.5</v>
      </c>
      <c r="AM6" s="0" t="n">
        <v>1332.1</v>
      </c>
      <c r="AN6" s="0" t="n">
        <v>3419.7</v>
      </c>
    </row>
    <row r="7" customFormat="false" ht="15" hidden="false" customHeight="false" outlineLevel="0" collapsed="false">
      <c r="A7" s="0" t="s">
        <v>80</v>
      </c>
      <c r="B7" s="0" t="n">
        <v>5665.3</v>
      </c>
      <c r="C7" s="0" t="n">
        <v>919.3</v>
      </c>
      <c r="D7" s="0" t="n">
        <v>4746</v>
      </c>
      <c r="E7" s="0" t="n">
        <v>83.8</v>
      </c>
      <c r="F7" s="0" t="n">
        <v>1302.9</v>
      </c>
      <c r="G7" s="0" t="n">
        <v>23</v>
      </c>
      <c r="H7" s="0" t="n">
        <v>1913.7</v>
      </c>
      <c r="I7" s="0" t="n">
        <v>931.5</v>
      </c>
      <c r="J7" s="0" t="n">
        <v>16.4</v>
      </c>
      <c r="K7" s="0" t="n">
        <v>0.7</v>
      </c>
      <c r="L7" s="0" t="n">
        <v>1525.2</v>
      </c>
      <c r="M7" s="0" t="n">
        <v>132.3</v>
      </c>
      <c r="N7" s="0" t="n">
        <v>1392.9</v>
      </c>
      <c r="O7" s="0" t="n">
        <v>7324.8</v>
      </c>
      <c r="P7" s="0" t="n">
        <v>14261.1</v>
      </c>
      <c r="Q7" s="0" t="n">
        <v>6936.2</v>
      </c>
      <c r="R7" s="0" t="n">
        <v>2996</v>
      </c>
      <c r="S7" s="0" t="n">
        <v>2769</v>
      </c>
      <c r="T7" s="0" t="n">
        <v>1332.7</v>
      </c>
      <c r="U7" s="0" t="n">
        <v>166.7</v>
      </c>
      <c r="V7" s="0" t="n">
        <v>0.21</v>
      </c>
      <c r="AA7" s="0" t="s">
        <v>17</v>
      </c>
      <c r="AB7" s="0" t="s">
        <v>14</v>
      </c>
      <c r="AC7" s="0" t="n">
        <v>1892</v>
      </c>
      <c r="AD7" s="0" t="n">
        <v>33.4</v>
      </c>
      <c r="AE7" s="0" t="n">
        <v>1.13</v>
      </c>
      <c r="AF7" s="0" t="n">
        <v>1512.2</v>
      </c>
      <c r="AG7" s="0" t="n">
        <v>0.71</v>
      </c>
      <c r="AH7" s="0" t="n">
        <v>0.7</v>
      </c>
      <c r="AI7" s="0" t="n">
        <v>1106.2</v>
      </c>
      <c r="AJ7" s="0" t="n">
        <v>930.2</v>
      </c>
      <c r="AK7" s="0" t="n">
        <v>4007.9</v>
      </c>
      <c r="AL7" s="0" t="n">
        <v>551.2</v>
      </c>
      <c r="AM7" s="0" t="n">
        <v>1332.7</v>
      </c>
      <c r="AN7" s="0" t="n">
        <v>4007.9</v>
      </c>
    </row>
    <row r="8" customFormat="false" ht="15" hidden="false" customHeight="false" outlineLevel="0" collapsed="false">
      <c r="A8" s="0" t="s">
        <v>81</v>
      </c>
      <c r="B8" s="0" t="n">
        <v>5951.4</v>
      </c>
      <c r="C8" s="0" t="n">
        <v>971</v>
      </c>
      <c r="D8" s="0" t="n">
        <v>4980.4</v>
      </c>
      <c r="E8" s="0" t="n">
        <v>83.7</v>
      </c>
      <c r="F8" s="0" t="n">
        <v>1241.9</v>
      </c>
      <c r="G8" s="0" t="n">
        <v>20.9</v>
      </c>
      <c r="H8" s="0" t="n">
        <v>1816.9</v>
      </c>
      <c r="I8" s="0" t="n">
        <v>1050.9</v>
      </c>
      <c r="J8" s="0" t="n">
        <v>17.7</v>
      </c>
      <c r="K8" s="0" t="n">
        <v>0.79</v>
      </c>
      <c r="L8" s="0" t="n">
        <v>1565.2</v>
      </c>
      <c r="M8" s="0" t="n">
        <v>145.3</v>
      </c>
      <c r="N8" s="0" t="n">
        <v>1419.9</v>
      </c>
      <c r="O8" s="0" t="n">
        <v>7846.1</v>
      </c>
      <c r="P8" s="0" t="n">
        <v>14622.5</v>
      </c>
      <c r="Q8" s="0" t="n">
        <v>6776.4</v>
      </c>
      <c r="R8" s="0" t="n">
        <v>2990.7</v>
      </c>
      <c r="S8" s="0" t="n">
        <v>3568.3</v>
      </c>
      <c r="T8" s="0" t="n">
        <v>1336.8</v>
      </c>
      <c r="U8" s="0" t="n">
        <v>184.2</v>
      </c>
      <c r="V8" s="0" t="n">
        <v>0.23</v>
      </c>
      <c r="AA8" s="0" t="s">
        <v>17</v>
      </c>
      <c r="AB8" s="0" t="s">
        <v>14</v>
      </c>
      <c r="AC8" s="0" t="n">
        <v>1925.6</v>
      </c>
      <c r="AD8" s="0" t="n">
        <v>32.4</v>
      </c>
      <c r="AE8" s="0" t="n">
        <v>1.2</v>
      </c>
      <c r="AF8" s="0" t="n">
        <v>1597.9</v>
      </c>
      <c r="AG8" s="0" t="n">
        <v>0.8</v>
      </c>
      <c r="AH8" s="0" t="n">
        <v>0.79</v>
      </c>
      <c r="AI8" s="0" t="n">
        <v>1087.6</v>
      </c>
      <c r="AJ8" s="0" t="n">
        <v>1050.2</v>
      </c>
      <c r="AK8" s="0" t="n">
        <v>4272.4</v>
      </c>
      <c r="AL8" s="0" t="n">
        <v>591.4</v>
      </c>
      <c r="AM8" s="0" t="n">
        <v>1336.8</v>
      </c>
      <c r="AN8" s="0" t="n">
        <v>4272.4</v>
      </c>
    </row>
    <row r="9" customFormat="false" ht="15" hidden="false" customHeight="false" outlineLevel="0" collapsed="false">
      <c r="A9" s="0" t="s">
        <v>82</v>
      </c>
      <c r="B9" s="0" t="n">
        <v>6213.6</v>
      </c>
      <c r="C9" s="0" t="n">
        <v>1016.3</v>
      </c>
      <c r="D9" s="0" t="n">
        <v>5197.3</v>
      </c>
      <c r="E9" s="0" t="n">
        <v>83.6</v>
      </c>
      <c r="F9" s="0" t="n">
        <v>1359.6</v>
      </c>
      <c r="G9" s="0" t="n">
        <v>21.9</v>
      </c>
      <c r="H9" s="0" t="n">
        <v>1934.8</v>
      </c>
      <c r="I9" s="0" t="n">
        <v>1200.2</v>
      </c>
      <c r="J9" s="0" t="n">
        <v>19.3</v>
      </c>
      <c r="K9" s="0" t="n">
        <v>0.9</v>
      </c>
      <c r="L9" s="0" t="n">
        <v>1659.8</v>
      </c>
      <c r="M9" s="0" t="n">
        <v>193.4</v>
      </c>
      <c r="N9" s="0" t="n">
        <v>1466.4</v>
      </c>
      <c r="O9" s="0" t="n">
        <v>9080.7</v>
      </c>
      <c r="P9" s="0" t="n">
        <v>15545.9</v>
      </c>
      <c r="Q9" s="0" t="n">
        <v>6465.2</v>
      </c>
      <c r="R9" s="0" t="n">
        <v>2493.6</v>
      </c>
      <c r="S9" s="0" t="n">
        <v>3952.6</v>
      </c>
      <c r="T9" s="0" t="n">
        <v>1333.4</v>
      </c>
      <c r="U9" s="0" t="n">
        <v>190.4</v>
      </c>
      <c r="V9" s="0" t="n">
        <v>0.26</v>
      </c>
      <c r="AA9" s="0" t="s">
        <v>17</v>
      </c>
      <c r="AB9" s="0" t="s">
        <v>14</v>
      </c>
      <c r="AC9" s="0" t="n">
        <v>1983.7</v>
      </c>
      <c r="AD9" s="0" t="n">
        <v>31.9</v>
      </c>
      <c r="AE9" s="0" t="n">
        <v>1.28</v>
      </c>
      <c r="AF9" s="0" t="n">
        <v>1705.1</v>
      </c>
      <c r="AG9" s="0" t="n">
        <v>0.91</v>
      </c>
      <c r="AH9" s="0" t="n">
        <v>0.9</v>
      </c>
      <c r="AI9" s="0" t="n">
        <v>1125.2</v>
      </c>
      <c r="AJ9" s="0" t="n">
        <v>1198.1</v>
      </c>
      <c r="AK9" s="0" t="n">
        <v>4488.1</v>
      </c>
      <c r="AL9" s="0" t="n">
        <v>600.3</v>
      </c>
      <c r="AM9" s="0" t="n">
        <v>1333.4</v>
      </c>
      <c r="AN9" s="0" t="n">
        <v>4488.1</v>
      </c>
    </row>
    <row r="10" customFormat="false" ht="15" hidden="false" customHeight="false" outlineLevel="0" collapsed="false">
      <c r="A10" s="0" t="s">
        <v>83</v>
      </c>
      <c r="B10" s="0" t="n">
        <v>6235.8</v>
      </c>
      <c r="C10" s="0" t="n">
        <v>1014.6</v>
      </c>
      <c r="D10" s="0" t="n">
        <v>5221.2</v>
      </c>
      <c r="E10" s="0" t="n">
        <v>83.7</v>
      </c>
      <c r="F10" s="0" t="n">
        <v>1354.3</v>
      </c>
      <c r="G10" s="0" t="n">
        <v>21.7</v>
      </c>
      <c r="H10" s="0" t="n">
        <v>1907</v>
      </c>
      <c r="I10" s="0" t="n">
        <v>1196</v>
      </c>
      <c r="J10" s="0" t="n">
        <v>19.2</v>
      </c>
      <c r="K10" s="0" t="n">
        <v>0.9</v>
      </c>
      <c r="L10" s="0" t="n">
        <v>1629.8</v>
      </c>
      <c r="M10" s="0" t="n">
        <v>160.5</v>
      </c>
      <c r="N10" s="0" t="n">
        <v>1469.3</v>
      </c>
      <c r="O10" s="0" t="n">
        <v>8797.9</v>
      </c>
      <c r="P10" s="0" t="n">
        <v>15059.4</v>
      </c>
      <c r="Q10" s="0" t="n">
        <v>6261.5</v>
      </c>
      <c r="R10" s="0" t="n">
        <v>2595.3</v>
      </c>
      <c r="S10" s="0" t="n">
        <v>4125.4</v>
      </c>
      <c r="T10" s="0" t="n">
        <v>1328.5</v>
      </c>
      <c r="U10" s="0" t="n">
        <v>174.8</v>
      </c>
      <c r="V10" s="0" t="n">
        <v>0.27</v>
      </c>
      <c r="AA10" s="0" t="s">
        <v>17</v>
      </c>
      <c r="AB10" s="0" t="s">
        <v>14</v>
      </c>
      <c r="AC10" s="0" t="n">
        <v>1993.6</v>
      </c>
      <c r="AD10" s="0" t="n">
        <v>32</v>
      </c>
      <c r="AE10" s="0" t="n">
        <v>1.31</v>
      </c>
      <c r="AF10" s="0" t="n">
        <v>1737.2</v>
      </c>
      <c r="AG10" s="0" t="n">
        <v>0.91</v>
      </c>
      <c r="AH10" s="0" t="n">
        <v>0.9</v>
      </c>
      <c r="AI10" s="0" t="n">
        <v>1020.7</v>
      </c>
      <c r="AJ10" s="0" t="n">
        <v>1187.6</v>
      </c>
      <c r="AK10" s="0" t="n">
        <v>4620.3</v>
      </c>
      <c r="AL10" s="0" t="n">
        <v>594.7</v>
      </c>
      <c r="AM10" s="0" t="n">
        <v>1328.5</v>
      </c>
      <c r="AN10" s="0" t="n">
        <v>4620.3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24.44</v>
      </c>
    </row>
    <row r="3" customFormat="false" ht="15" hidden="false" customHeight="false" outlineLevel="0" collapsed="false">
      <c r="A3" s="0" t="s">
        <v>87</v>
      </c>
      <c r="B3" s="3" t="n">
        <v>1326.1</v>
      </c>
    </row>
    <row r="4" customFormat="false" ht="15" hidden="false" customHeight="false" outlineLevel="0" collapsed="false">
      <c r="A4" s="0" t="s">
        <v>88</v>
      </c>
      <c r="B4" s="3" t="n">
        <v>-2282.4</v>
      </c>
    </row>
    <row r="5" customFormat="false" ht="15" hidden="false" customHeight="false" outlineLevel="0" collapsed="false">
      <c r="A5" s="0" t="s">
        <v>89</v>
      </c>
      <c r="B5" s="3" t="n">
        <v>0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6235.8</v>
      </c>
    </row>
    <row r="8" customFormat="false" ht="15" hidden="false" customHeight="false" outlineLevel="0" collapsed="false">
      <c r="A8" s="0" t="s">
        <v>92</v>
      </c>
      <c r="B8" s="3" t="s">
        <v>83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0</v>
      </c>
      <c r="D13" s="3" t="n">
        <v>1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108</v>
      </c>
      <c r="C14" s="3" t="n">
        <v>33.4</v>
      </c>
      <c r="D14" s="3" t="n">
        <v>32.8</v>
      </c>
      <c r="E14" s="3" t="n">
        <v>32.2</v>
      </c>
      <c r="F14" s="3" t="n">
        <v>31.6</v>
      </c>
      <c r="G14" s="3" t="n">
        <v>31.2</v>
      </c>
      <c r="H14" s="3" t="n">
        <v>31</v>
      </c>
      <c r="I14" s="3" t="n">
        <v>31</v>
      </c>
      <c r="J14" s="3" t="n">
        <v>31</v>
      </c>
      <c r="K14" s="3" t="n">
        <v>31</v>
      </c>
      <c r="L14" s="3" t="n">
        <v>31</v>
      </c>
    </row>
    <row r="15" customFormat="false" ht="15" hidden="false" customHeight="false" outlineLevel="0" collapsed="false">
      <c r="A15" s="0" t="s">
        <v>109</v>
      </c>
      <c r="C15" s="3" t="n">
        <v>1.9</v>
      </c>
      <c r="D15" s="3" t="n">
        <v>2.4</v>
      </c>
      <c r="E15" s="3" t="n">
        <v>2.7</v>
      </c>
      <c r="F15" s="3" t="n">
        <v>2.8</v>
      </c>
      <c r="G15" s="3" t="n">
        <v>2.8</v>
      </c>
      <c r="H15" s="3" t="n">
        <v>2.8</v>
      </c>
      <c r="I15" s="3" t="n">
        <v>2.8</v>
      </c>
      <c r="J15" s="3" t="n">
        <v>2.8</v>
      </c>
      <c r="K15" s="3" t="n">
        <v>2.8</v>
      </c>
      <c r="L15" s="3" t="n">
        <v>2.8</v>
      </c>
    </row>
    <row r="16" customFormat="false" ht="15" hidden="false" customHeight="false" outlineLevel="0" collapsed="false">
      <c r="A16" s="0" t="s">
        <v>110</v>
      </c>
      <c r="C16" s="3" t="n">
        <v>1.9</v>
      </c>
      <c r="D16" s="3" t="n">
        <v>1.9</v>
      </c>
      <c r="E16" s="3" t="n">
        <v>1.9</v>
      </c>
      <c r="F16" s="3" t="n">
        <v>1.9</v>
      </c>
      <c r="G16" s="3" t="n">
        <v>1.9</v>
      </c>
      <c r="H16" s="3" t="n">
        <v>1.9</v>
      </c>
      <c r="I16" s="3" t="n">
        <v>1.9</v>
      </c>
      <c r="J16" s="3" t="n">
        <v>1.9</v>
      </c>
      <c r="K16" s="3" t="n">
        <v>1.9</v>
      </c>
      <c r="L16" s="3" t="n">
        <v>1.9</v>
      </c>
    </row>
    <row r="17" customFormat="false" ht="15" hidden="false" customHeight="false" outlineLevel="0" collapsed="false">
      <c r="A17" s="0" t="s">
        <v>111</v>
      </c>
      <c r="C17" s="3" t="n">
        <v>2.1</v>
      </c>
      <c r="D17" s="3" t="n">
        <v>2.1</v>
      </c>
      <c r="E17" s="3" t="n">
        <v>2.1</v>
      </c>
      <c r="F17" s="3" t="n">
        <v>2.1</v>
      </c>
      <c r="G17" s="3" t="n">
        <v>2.1</v>
      </c>
      <c r="H17" s="3" t="n">
        <v>2.1</v>
      </c>
      <c r="I17" s="3" t="n">
        <v>2.1</v>
      </c>
      <c r="J17" s="3" t="n">
        <v>2.1</v>
      </c>
      <c r="K17" s="3" t="n">
        <v>2.1</v>
      </c>
      <c r="L17" s="3" t="n">
        <v>2.1</v>
      </c>
    </row>
    <row r="18" customFormat="false" ht="15" hidden="false" customHeight="false" outlineLevel="0" collapsed="false">
      <c r="A18" s="0" t="s">
        <v>112</v>
      </c>
      <c r="C18" s="3" t="n">
        <v>2.5</v>
      </c>
      <c r="D18" s="3" t="n">
        <v>2.5</v>
      </c>
      <c r="E18" s="3" t="n">
        <v>2.5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113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114</v>
      </c>
      <c r="B20" s="3" t="n">
        <v>8</v>
      </c>
    </row>
    <row r="21" customFormat="false" ht="15" hidden="false" customHeight="false" outlineLevel="0" collapsed="false">
      <c r="A21" s="0" t="s">
        <v>115</v>
      </c>
      <c r="B21" s="3" t="n">
        <v>1.5</v>
      </c>
    </row>
    <row r="22" customFormat="false" ht="15" hidden="false" customHeight="false" outlineLevel="0" collapsed="false">
      <c r="A22" s="0" t="s">
        <v>116</v>
      </c>
      <c r="B22" s="3" t="n">
        <v>15</v>
      </c>
    </row>
    <row r="23" customFormat="false" ht="15" hidden="false" customHeight="false" outlineLevel="0" collapsed="false">
      <c r="A23" s="0" t="s">
        <v>117</v>
      </c>
      <c r="B23" s="3" t="n">
        <v>-75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1.5</v>
      </c>
      <c r="D27" s="3" t="n">
        <v>4.5</v>
      </c>
      <c r="E27" s="3" t="n">
        <v>4.5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108</v>
      </c>
      <c r="C28" s="3" t="n">
        <v>33.8</v>
      </c>
      <c r="D28" s="3" t="n">
        <v>34.1</v>
      </c>
      <c r="E28" s="3" t="n">
        <v>34.4</v>
      </c>
      <c r="F28" s="3" t="n">
        <v>34.7</v>
      </c>
      <c r="G28" s="3" t="n">
        <v>35</v>
      </c>
      <c r="H28" s="3" t="n">
        <v>35.2</v>
      </c>
      <c r="I28" s="3" t="n">
        <v>35.4</v>
      </c>
      <c r="J28" s="3" t="n">
        <v>35.5</v>
      </c>
      <c r="K28" s="3" t="n">
        <v>35.5</v>
      </c>
      <c r="L28" s="3" t="n">
        <v>35.5</v>
      </c>
    </row>
    <row r="29" customFormat="false" ht="15" hidden="false" customHeight="false" outlineLevel="0" collapsed="false">
      <c r="A29" s="0" t="s">
        <v>109</v>
      </c>
      <c r="C29" s="3" t="n">
        <v>1.9</v>
      </c>
      <c r="D29" s="3" t="n">
        <v>2.2</v>
      </c>
      <c r="E29" s="3" t="n">
        <v>2.4</v>
      </c>
      <c r="F29" s="3" t="n">
        <v>2.5</v>
      </c>
      <c r="G29" s="3" t="n">
        <v>2.5</v>
      </c>
      <c r="H29" s="3" t="n">
        <v>2.5</v>
      </c>
      <c r="I29" s="3" t="n">
        <v>2.5</v>
      </c>
      <c r="J29" s="3" t="n">
        <v>2.5</v>
      </c>
      <c r="K29" s="3" t="n">
        <v>2.5</v>
      </c>
      <c r="L29" s="3" t="n">
        <v>2.5</v>
      </c>
    </row>
    <row r="30" customFormat="false" ht="15" hidden="false" customHeight="false" outlineLevel="0" collapsed="false">
      <c r="A30" s="0" t="s">
        <v>110</v>
      </c>
      <c r="C30" s="3" t="n">
        <v>1.9</v>
      </c>
      <c r="D30" s="3" t="n">
        <v>1.9</v>
      </c>
      <c r="E30" s="3" t="n">
        <v>1.9</v>
      </c>
      <c r="F30" s="3" t="n">
        <v>1.9</v>
      </c>
      <c r="G30" s="3" t="n">
        <v>1.9</v>
      </c>
      <c r="H30" s="3" t="n">
        <v>1.9</v>
      </c>
      <c r="I30" s="3" t="n">
        <v>1.9</v>
      </c>
      <c r="J30" s="3" t="n">
        <v>1.9</v>
      </c>
      <c r="K30" s="3" t="n">
        <v>1.9</v>
      </c>
      <c r="L30" s="3" t="n">
        <v>1.9</v>
      </c>
    </row>
    <row r="31" customFormat="false" ht="15" hidden="false" customHeight="false" outlineLevel="0" collapsed="false">
      <c r="A31" s="0" t="s">
        <v>111</v>
      </c>
      <c r="C31" s="3" t="n">
        <v>2.1</v>
      </c>
      <c r="D31" s="3" t="n">
        <v>2.1</v>
      </c>
      <c r="E31" s="3" t="n">
        <v>2.1</v>
      </c>
      <c r="F31" s="3" t="n">
        <v>2.1</v>
      </c>
      <c r="G31" s="3" t="n">
        <v>2.1</v>
      </c>
      <c r="H31" s="3" t="n">
        <v>2.1</v>
      </c>
      <c r="I31" s="3" t="n">
        <v>2.1</v>
      </c>
      <c r="J31" s="3" t="n">
        <v>2.1</v>
      </c>
      <c r="K31" s="3" t="n">
        <v>2.1</v>
      </c>
      <c r="L31" s="3" t="n">
        <v>2.1</v>
      </c>
    </row>
    <row r="32" customFormat="false" ht="15" hidden="false" customHeight="false" outlineLevel="0" collapsed="false">
      <c r="A32" s="0" t="s">
        <v>112</v>
      </c>
      <c r="C32" s="3" t="n">
        <v>2.6</v>
      </c>
      <c r="D32" s="3" t="n">
        <v>2.6</v>
      </c>
      <c r="E32" s="3" t="n">
        <v>2.6</v>
      </c>
      <c r="F32" s="3" t="n">
        <v>2.6</v>
      </c>
      <c r="G32" s="3" t="n">
        <v>2.6</v>
      </c>
      <c r="H32" s="3" t="n">
        <v>2.6</v>
      </c>
      <c r="I32" s="3" t="n">
        <v>2.6</v>
      </c>
      <c r="J32" s="3" t="n">
        <v>2.6</v>
      </c>
      <c r="K32" s="3" t="n">
        <v>2.6</v>
      </c>
      <c r="L32" s="3" t="n">
        <v>2.6</v>
      </c>
    </row>
    <row r="33" customFormat="false" ht="15" hidden="false" customHeight="false" outlineLevel="0" collapsed="false">
      <c r="A33" s="0" t="s">
        <v>113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114</v>
      </c>
      <c r="B34" s="3" t="n">
        <v>8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20</v>
      </c>
    </row>
    <row r="37" customFormat="false" ht="15" hidden="false" customHeight="false" outlineLevel="0" collapsed="false">
      <c r="A37" s="0" t="s">
        <v>117</v>
      </c>
      <c r="B37" s="3" t="n">
        <v>-75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2.5</v>
      </c>
      <c r="D41" s="3" t="n">
        <v>6.5</v>
      </c>
      <c r="E41" s="3" t="n">
        <v>7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34</v>
      </c>
      <c r="D42" s="3" t="n">
        <v>34.6</v>
      </c>
      <c r="E42" s="3" t="n">
        <v>35.2</v>
      </c>
      <c r="F42" s="3" t="n">
        <v>35.8</v>
      </c>
      <c r="G42" s="3" t="n">
        <v>36.4</v>
      </c>
      <c r="H42" s="3" t="n">
        <v>36.9</v>
      </c>
      <c r="I42" s="3" t="n">
        <v>37.3</v>
      </c>
      <c r="J42" s="3" t="n">
        <v>37.5</v>
      </c>
      <c r="K42" s="3" t="n">
        <v>37.5</v>
      </c>
      <c r="L42" s="3" t="n">
        <v>37.5</v>
      </c>
    </row>
    <row r="43" customFormat="false" ht="15" hidden="false" customHeight="false" outlineLevel="0" collapsed="false">
      <c r="A43" s="0" t="s">
        <v>109</v>
      </c>
      <c r="C43" s="3" t="n">
        <v>1.9</v>
      </c>
      <c r="D43" s="3" t="n">
        <v>2.2</v>
      </c>
      <c r="E43" s="3" t="n">
        <v>2.4</v>
      </c>
      <c r="F43" s="3" t="n">
        <v>2.5</v>
      </c>
      <c r="G43" s="3" t="n">
        <v>2.5</v>
      </c>
      <c r="H43" s="3" t="n">
        <v>2.5</v>
      </c>
      <c r="I43" s="3" t="n">
        <v>2.5</v>
      </c>
      <c r="J43" s="3" t="n">
        <v>2.5</v>
      </c>
      <c r="K43" s="3" t="n">
        <v>2.5</v>
      </c>
      <c r="L43" s="3" t="n">
        <v>2.5</v>
      </c>
    </row>
    <row r="44" customFormat="false" ht="15" hidden="false" customHeight="false" outlineLevel="0" collapsed="false">
      <c r="A44" s="0" t="s">
        <v>110</v>
      </c>
      <c r="C44" s="3" t="n">
        <v>1.9</v>
      </c>
      <c r="D44" s="3" t="n">
        <v>1.9</v>
      </c>
      <c r="E44" s="3" t="n">
        <v>1.9</v>
      </c>
      <c r="F44" s="3" t="n">
        <v>1.9</v>
      </c>
      <c r="G44" s="3" t="n">
        <v>1.9</v>
      </c>
      <c r="H44" s="3" t="n">
        <v>1.9</v>
      </c>
      <c r="I44" s="3" t="n">
        <v>1.9</v>
      </c>
      <c r="J44" s="3" t="n">
        <v>1.9</v>
      </c>
      <c r="K44" s="3" t="n">
        <v>1.9</v>
      </c>
      <c r="L44" s="3" t="n">
        <v>1.9</v>
      </c>
    </row>
    <row r="45" customFormat="false" ht="15" hidden="false" customHeight="false" outlineLevel="0" collapsed="false">
      <c r="A45" s="0" t="s">
        <v>111</v>
      </c>
      <c r="C45" s="3" t="n">
        <v>2.1</v>
      </c>
      <c r="D45" s="3" t="n">
        <v>2.1</v>
      </c>
      <c r="E45" s="3" t="n">
        <v>2.1</v>
      </c>
      <c r="F45" s="3" t="n">
        <v>2.1</v>
      </c>
      <c r="G45" s="3" t="n">
        <v>2.1</v>
      </c>
      <c r="H45" s="3" t="n">
        <v>2.1</v>
      </c>
      <c r="I45" s="3" t="n">
        <v>2.1</v>
      </c>
      <c r="J45" s="3" t="n">
        <v>2.1</v>
      </c>
      <c r="K45" s="3" t="n">
        <v>2.1</v>
      </c>
      <c r="L45" s="3" t="n">
        <v>2.1</v>
      </c>
    </row>
    <row r="46" customFormat="false" ht="15" hidden="false" customHeight="false" outlineLevel="0" collapsed="false">
      <c r="A46" s="0" t="s">
        <v>112</v>
      </c>
      <c r="C46" s="3" t="n">
        <v>2.7</v>
      </c>
      <c r="D46" s="3" t="n">
        <v>2.7</v>
      </c>
      <c r="E46" s="3" t="n">
        <v>2.7</v>
      </c>
      <c r="F46" s="3" t="n">
        <v>2.7</v>
      </c>
      <c r="G46" s="3" t="n">
        <v>2.7</v>
      </c>
      <c r="H46" s="3" t="n">
        <v>2.7</v>
      </c>
      <c r="I46" s="3" t="n">
        <v>2.7</v>
      </c>
      <c r="J46" s="3" t="n">
        <v>2.7</v>
      </c>
      <c r="K46" s="3" t="n">
        <v>2.7</v>
      </c>
      <c r="L46" s="3" t="n">
        <v>2.7</v>
      </c>
    </row>
    <row r="47" customFormat="false" ht="15" hidden="false" customHeight="false" outlineLevel="0" collapsed="false">
      <c r="A47" s="0" t="s">
        <v>113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114</v>
      </c>
      <c r="B48" s="3" t="n">
        <v>8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20</v>
      </c>
    </row>
    <row r="51" customFormat="false" ht="15" hidden="false" customHeight="false" outlineLevel="0" collapsed="false">
      <c r="A51" s="0" t="s">
        <v>117</v>
      </c>
      <c r="B51" s="3" t="n">
        <v>-75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0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6235.8</v>
      </c>
      <c r="C6" s="0" t="n">
        <f aca="false">B6*(1+C5/100)</f>
        <v>6235.8</v>
      </c>
      <c r="D6" s="0" t="n">
        <f aca="false">C6*(1+D5/100)</f>
        <v>6298.158</v>
      </c>
      <c r="E6" s="0" t="n">
        <f aca="false">D6*(1+E5/100)</f>
        <v>6392.63037</v>
      </c>
      <c r="F6" s="0" t="n">
        <f aca="false">E6*(1+F5/100)</f>
        <v>6488.51982555</v>
      </c>
      <c r="G6" s="0" t="n">
        <f aca="false">F6*(1+G5/100)</f>
        <v>6585.84762293325</v>
      </c>
      <c r="H6" s="0" t="n">
        <f aca="false">G6*(1+H5/100)</f>
        <v>6684.63533727725</v>
      </c>
      <c r="I6" s="0" t="n">
        <f aca="false">H6*(1+I5/100)</f>
        <v>6784.9048673364</v>
      </c>
      <c r="J6" s="0" t="n">
        <f aca="false">I6*(1+J5/100)</f>
        <v>6886.67844034645</v>
      </c>
      <c r="K6" s="0" t="n">
        <f aca="false">J6*(1+K5/100)</f>
        <v>6989.97861695165</v>
      </c>
      <c r="L6" s="0" t="n">
        <f aca="false">K6*(1+L5/100)</f>
        <v>7094.82829620592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33.4</v>
      </c>
      <c r="D7" s="4" t="n">
        <f aca="false">Assumptions!D14</f>
        <v>32.8</v>
      </c>
      <c r="E7" s="4" t="n">
        <f aca="false">Assumptions!E14</f>
        <v>32.2</v>
      </c>
      <c r="F7" s="4" t="n">
        <f aca="false">Assumptions!F14</f>
        <v>31.6</v>
      </c>
      <c r="G7" s="4" t="n">
        <f aca="false">Assumptions!G14</f>
        <v>31.2</v>
      </c>
      <c r="H7" s="4" t="n">
        <f aca="false">Assumptions!H14</f>
        <v>31</v>
      </c>
      <c r="I7" s="4" t="n">
        <f aca="false">Assumptions!I14</f>
        <v>31</v>
      </c>
      <c r="J7" s="4" t="n">
        <f aca="false">Assumptions!J14</f>
        <v>31</v>
      </c>
      <c r="K7" s="4" t="n">
        <f aca="false">Assumptions!K14</f>
        <v>31</v>
      </c>
      <c r="L7" s="4" t="n">
        <f aca="false">Assumptions!L14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2082.7572</v>
      </c>
      <c r="D8" s="0" t="n">
        <f aca="false">D6*D7/100</f>
        <v>2065.795824</v>
      </c>
      <c r="E8" s="0" t="n">
        <f aca="false">E6*E7/100</f>
        <v>2058.42697914</v>
      </c>
      <c r="F8" s="0" t="n">
        <f aca="false">F6*F7/100</f>
        <v>2050.3722648738</v>
      </c>
      <c r="G8" s="0" t="n">
        <f aca="false">G6*G7/100</f>
        <v>2054.78445835517</v>
      </c>
      <c r="H8" s="0" t="n">
        <f aca="false">H6*H7/100</f>
        <v>2072.23695455595</v>
      </c>
      <c r="I8" s="0" t="n">
        <f aca="false">I6*I7/100</f>
        <v>2103.32050887429</v>
      </c>
      <c r="J8" s="0" t="n">
        <f aca="false">J6*J7/100</f>
        <v>2134.8703165074</v>
      </c>
      <c r="K8" s="0" t="n">
        <f aca="false">K6*K7/100</f>
        <v>2166.89337125501</v>
      </c>
      <c r="L8" s="0" t="n">
        <f aca="false">L6*L7/100</f>
        <v>2199.39677182384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1.9</v>
      </c>
      <c r="D9" s="4" t="n">
        <f aca="false">Assumptions!D15</f>
        <v>2.4</v>
      </c>
      <c r="E9" s="4" t="n">
        <f aca="false">Assumptions!E15</f>
        <v>2.7</v>
      </c>
      <c r="F9" s="4" t="n">
        <f aca="false">Assumptions!F15</f>
        <v>2.8</v>
      </c>
      <c r="G9" s="4" t="n">
        <f aca="false">Assumptions!G15</f>
        <v>2.8</v>
      </c>
      <c r="H9" s="4" t="n">
        <f aca="false">Assumptions!H15</f>
        <v>2.8</v>
      </c>
      <c r="I9" s="4" t="n">
        <f aca="false">Assumptions!I15</f>
        <v>2.8</v>
      </c>
      <c r="J9" s="4" t="n">
        <f aca="false">Assumptions!J15</f>
        <v>2.8</v>
      </c>
      <c r="K9" s="4" t="n">
        <f aca="false">Assumptions!K15</f>
        <v>2.8</v>
      </c>
      <c r="L9" s="4" t="n">
        <f aca="false">Assumptions!L15</f>
        <v>2.8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-118.4802</v>
      </c>
      <c r="D10" s="0" t="n">
        <f aca="false">-D6*D9/100</f>
        <v>-151.155792</v>
      </c>
      <c r="E10" s="0" t="n">
        <f aca="false">-E6*E9/100</f>
        <v>-172.60101999</v>
      </c>
      <c r="F10" s="0" t="n">
        <f aca="false">-F6*F9/100</f>
        <v>-181.6785551154</v>
      </c>
      <c r="G10" s="0" t="n">
        <f aca="false">-G6*G9/100</f>
        <v>-184.403733442131</v>
      </c>
      <c r="H10" s="0" t="n">
        <f aca="false">-H6*H9/100</f>
        <v>-187.169789443763</v>
      </c>
      <c r="I10" s="0" t="n">
        <f aca="false">-I6*I9/100</f>
        <v>-189.977336285419</v>
      </c>
      <c r="J10" s="0" t="n">
        <f aca="false">-J6*J9/100</f>
        <v>-192.826996329701</v>
      </c>
      <c r="K10" s="0" t="n">
        <f aca="false">-K6*K9/100</f>
        <v>-195.719401274646</v>
      </c>
      <c r="L10" s="0" t="n">
        <f aca="false">-L6*L9/100</f>
        <v>-198.655192293766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1845.7968</v>
      </c>
      <c r="D11" s="0" t="n">
        <f aca="false">D8+D10+D24</f>
        <v>1794.97503</v>
      </c>
      <c r="E11" s="0" t="n">
        <f aca="false">E8+E10+E24</f>
        <v>1764.36598212</v>
      </c>
      <c r="F11" s="0" t="n">
        <f aca="false">F8+F10+F24</f>
        <v>1745.41183307295</v>
      </c>
      <c r="G11" s="0" t="n">
        <f aca="false">G8+G10+G24</f>
        <v>1745.24962007731</v>
      </c>
      <c r="H11" s="0" t="n">
        <f aca="false">H8+H10+H24</f>
        <v>1758.05909370392</v>
      </c>
      <c r="I11" s="0" t="n">
        <f aca="false">I8+I10+I24</f>
        <v>1784.42998010947</v>
      </c>
      <c r="J11" s="0" t="n">
        <f aca="false">J8+J10+J24</f>
        <v>1811.19642981112</v>
      </c>
      <c r="K11" s="0" t="n">
        <f aca="false">K8+K10+K24</f>
        <v>1838.36437625828</v>
      </c>
      <c r="L11" s="0" t="n">
        <f aca="false">L8+L10+L24</f>
        <v>1865.93984190216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-130.9518</v>
      </c>
      <c r="D12" s="4" t="n">
        <f aca="false">-D6*Assumptions!D17/100</f>
        <v>-132.261318</v>
      </c>
      <c r="E12" s="4" t="n">
        <f aca="false">-E6*Assumptions!E17/100</f>
        <v>-134.24523777</v>
      </c>
      <c r="F12" s="4" t="n">
        <f aca="false">-F6*Assumptions!F17/100</f>
        <v>-136.25891633655</v>
      </c>
      <c r="G12" s="4" t="n">
        <f aca="false">-G6*Assumptions!G17/100</f>
        <v>-138.302800081598</v>
      </c>
      <c r="H12" s="4" t="n">
        <f aca="false">-H6*Assumptions!H17/100</f>
        <v>-140.377342082822</v>
      </c>
      <c r="I12" s="4" t="n">
        <f aca="false">-I6*Assumptions!I17/100</f>
        <v>-142.483002214065</v>
      </c>
      <c r="J12" s="4" t="n">
        <f aca="false">-J6*Assumptions!J17/100</f>
        <v>-144.620247247275</v>
      </c>
      <c r="K12" s="4" t="n">
        <f aca="false">-K6*Assumptions!K17/100</f>
        <v>-146.789550955985</v>
      </c>
      <c r="L12" s="4" t="n">
        <f aca="false">-L6*Assumptions!L17/100</f>
        <v>-148.991394220324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1714.845</v>
      </c>
      <c r="D13" s="0" t="n">
        <f aca="false">D11+D12</f>
        <v>1662.713712</v>
      </c>
      <c r="E13" s="0" t="n">
        <f aca="false">E11+E12</f>
        <v>1630.12074435</v>
      </c>
      <c r="F13" s="0" t="n">
        <f aca="false">F11+F12</f>
        <v>1609.1529167364</v>
      </c>
      <c r="G13" s="0" t="n">
        <f aca="false">G11+G12</f>
        <v>1606.94681999571</v>
      </c>
      <c r="H13" s="0" t="n">
        <f aca="false">H11+H12</f>
        <v>1617.68175162109</v>
      </c>
      <c r="I13" s="0" t="n">
        <f aca="false">I11+I12</f>
        <v>1641.94697789541</v>
      </c>
      <c r="J13" s="0" t="n">
        <f aca="false">J11+J12</f>
        <v>1666.57618256384</v>
      </c>
      <c r="K13" s="0" t="n">
        <f aca="false">K11+K12</f>
        <v>1691.5748253023</v>
      </c>
      <c r="L13" s="0" t="n">
        <f aca="false">L11+L12</f>
        <v>1716.94844768183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1303.2822</v>
      </c>
      <c r="D15" s="0" t="n">
        <f aca="false">D13-MAX(0,D13)*D14/100</f>
        <v>1263.66242112</v>
      </c>
      <c r="E15" s="0" t="n">
        <f aca="false">E13-MAX(0,E13)*E14/100</f>
        <v>1238.891765706</v>
      </c>
      <c r="F15" s="0" t="n">
        <f aca="false">F13-MAX(0,F13)*F14/100</f>
        <v>1222.95621671966</v>
      </c>
      <c r="G15" s="0" t="n">
        <f aca="false">G13-MAX(0,G13)*G14/100</f>
        <v>1221.27958319674</v>
      </c>
      <c r="H15" s="0" t="n">
        <f aca="false">H13-MAX(0,H13)*H14/100</f>
        <v>1229.43813123203</v>
      </c>
      <c r="I15" s="0" t="n">
        <f aca="false">I13-MAX(0,I13)*I14/100</f>
        <v>1247.87970320051</v>
      </c>
      <c r="J15" s="0" t="n">
        <f aca="false">J13-MAX(0,J13)*J14/100</f>
        <v>1266.59789874852</v>
      </c>
      <c r="K15" s="0" t="n">
        <f aca="false">K13-MAX(0,K13)*K14/100</f>
        <v>1285.59686722975</v>
      </c>
      <c r="L15" s="0" t="n">
        <f aca="false">L13-MAX(0,L13)*L14/100</f>
        <v>1304.88082023819</v>
      </c>
    </row>
    <row r="16" customFormat="false" ht="15" hidden="false" customHeight="false" outlineLevel="0" collapsed="false">
      <c r="A16" s="0" t="s">
        <v>129</v>
      </c>
      <c r="C16" s="0" t="n">
        <f aca="false">-C12</f>
        <v>130.9518</v>
      </c>
      <c r="D16" s="0" t="n">
        <f aca="false">-D12</f>
        <v>132.261318</v>
      </c>
      <c r="E16" s="0" t="n">
        <f aca="false">-E12</f>
        <v>134.24523777</v>
      </c>
      <c r="F16" s="0" t="n">
        <f aca="false">-F12</f>
        <v>136.25891633655</v>
      </c>
      <c r="G16" s="0" t="n">
        <f aca="false">-G12</f>
        <v>138.302800081598</v>
      </c>
      <c r="H16" s="0" t="n">
        <f aca="false">-H12</f>
        <v>140.377342082822</v>
      </c>
      <c r="I16" s="0" t="n">
        <f aca="false">-I12</f>
        <v>142.483002214065</v>
      </c>
      <c r="J16" s="0" t="n">
        <f aca="false">-J12</f>
        <v>144.620247247275</v>
      </c>
      <c r="K16" s="0" t="n">
        <f aca="false">-K12</f>
        <v>146.789550955985</v>
      </c>
      <c r="L16" s="0" t="n">
        <f aca="false">-L12</f>
        <v>148.991394220324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-155.895</v>
      </c>
      <c r="D17" s="4" t="n">
        <f aca="false">-D6*Assumptions!D18/100</f>
        <v>-157.45395</v>
      </c>
      <c r="E17" s="4" t="n">
        <f aca="false">-E6*Assumptions!E18/100</f>
        <v>-159.81575925</v>
      </c>
      <c r="F17" s="4" t="n">
        <f aca="false">-F6*Assumptions!F18/100</f>
        <v>-162.21299563875</v>
      </c>
      <c r="G17" s="4" t="n">
        <f aca="false">-G6*Assumptions!G18/100</f>
        <v>-164.646190573331</v>
      </c>
      <c r="H17" s="4" t="n">
        <f aca="false">-H6*Assumptions!H18/100</f>
        <v>-167.115883431931</v>
      </c>
      <c r="I17" s="4" t="n">
        <f aca="false">-I6*Assumptions!I18/100</f>
        <v>-169.62262168341</v>
      </c>
      <c r="J17" s="4" t="n">
        <f aca="false">-J6*Assumptions!J18/100</f>
        <v>-172.166961008661</v>
      </c>
      <c r="K17" s="4" t="n">
        <f aca="false">-K6*Assumptions!K18/100</f>
        <v>-174.749465423791</v>
      </c>
      <c r="L17" s="4" t="n">
        <f aca="false">-L6*Assumptions!L18/100</f>
        <v>-177.370707405148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-0</v>
      </c>
      <c r="D18" s="4" t="n">
        <f aca="false">(D6-C6)*Assumptions!$B$23/100</f>
        <v>-46.7685000000001</v>
      </c>
      <c r="E18" s="4" t="n">
        <f aca="false">(E6-D6)*Assumptions!$B$23/100</f>
        <v>-70.8542774999996</v>
      </c>
      <c r="F18" s="4" t="n">
        <f aca="false">(F6-E6)*Assumptions!$B$23/100</f>
        <v>-71.9170916624994</v>
      </c>
      <c r="G18" s="4" t="n">
        <f aca="false">(G6-F6)*Assumptions!$B$23/100</f>
        <v>-72.9958480374369</v>
      </c>
      <c r="H18" s="4" t="n">
        <f aca="false">(H6-G6)*Assumptions!$B$23/100</f>
        <v>-74.0907857579987</v>
      </c>
      <c r="I18" s="4" t="n">
        <f aca="false">(I6-H6)*Assumptions!$B$23/100</f>
        <v>-75.2021475443682</v>
      </c>
      <c r="J18" s="4" t="n">
        <f aca="false">(J6-I6)*Assumptions!$B$23/100</f>
        <v>-76.3301797575343</v>
      </c>
      <c r="K18" s="4" t="n">
        <f aca="false">(K6-J6)*Assumptions!$B$23/100</f>
        <v>-77.4751324538968</v>
      </c>
      <c r="L18" s="4" t="n">
        <f aca="false">(L6-K6)*Assumptions!$B$23/100</f>
        <v>-78.6372594407053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1278.339</v>
      </c>
      <c r="D19" s="0" t="n">
        <f aca="false">D15+D16+D17+D18</f>
        <v>1191.70128912</v>
      </c>
      <c r="E19" s="0" t="n">
        <f aca="false">E15+E16+E17+E18</f>
        <v>1142.466966726</v>
      </c>
      <c r="F19" s="0" t="n">
        <f aca="false">F15+F16+F17+F18</f>
        <v>1125.08504575496</v>
      </c>
      <c r="G19" s="0" t="n">
        <f aca="false">G15+G16+G17+G18</f>
        <v>1121.94034466757</v>
      </c>
      <c r="H19" s="0" t="n">
        <f aca="false">H15+H16+H17+H18</f>
        <v>1128.60880412492</v>
      </c>
      <c r="I19" s="0" t="n">
        <f aca="false">I15+I16+I17+I18</f>
        <v>1145.5379361868</v>
      </c>
      <c r="J19" s="0" t="n">
        <f aca="false">J15+J16+J17+J18</f>
        <v>1162.7210052296</v>
      </c>
      <c r="K19" s="0" t="n">
        <f aca="false">K15+K16+K17+K18</f>
        <v>1180.16182030804</v>
      </c>
      <c r="L19" s="0" t="n">
        <f aca="false">L15+L16+L17+L18</f>
        <v>1197.86424761266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1183.64722222222</v>
      </c>
      <c r="D21" s="0" t="n">
        <f aca="false">D19*D20</f>
        <v>1021.69177736625</v>
      </c>
      <c r="E21" s="0" t="n">
        <f aca="false">E19*E20</f>
        <v>906.927112487617</v>
      </c>
      <c r="F21" s="0" t="n">
        <f aca="false">F19*F20</f>
        <v>826.971095564762</v>
      </c>
      <c r="G21" s="0" t="n">
        <f aca="false">G19*G20</f>
        <v>763.573746655007</v>
      </c>
      <c r="H21" s="0" t="n">
        <f aca="false">H19*H20</f>
        <v>711.21498899239</v>
      </c>
      <c r="I21" s="0" t="n">
        <f aca="false">I19*I20</f>
        <v>668.410383173403</v>
      </c>
      <c r="J21" s="0" t="n">
        <f aca="false">J19*J20</f>
        <v>628.181980482411</v>
      </c>
      <c r="K21" s="0" t="n">
        <f aca="false">K19*K20</f>
        <v>590.374731657081</v>
      </c>
      <c r="L21" s="0" t="n">
        <f aca="false">L19*L20</f>
        <v>554.842919103646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1.9</v>
      </c>
      <c r="D23" s="4" t="n">
        <f aca="false">Assumptions!D16</f>
        <v>1.9</v>
      </c>
      <c r="E23" s="4" t="n">
        <f aca="false">Assumptions!E16</f>
        <v>1.9</v>
      </c>
      <c r="F23" s="4" t="n">
        <f aca="false">Assumptions!F16</f>
        <v>1.9</v>
      </c>
      <c r="G23" s="4" t="n">
        <f aca="false">Assumptions!G16</f>
        <v>1.9</v>
      </c>
      <c r="H23" s="4" t="n">
        <f aca="false">Assumptions!H16</f>
        <v>1.9</v>
      </c>
      <c r="I23" s="4" t="n">
        <f aca="false">Assumptions!I16</f>
        <v>1.9</v>
      </c>
      <c r="J23" s="4" t="n">
        <f aca="false">Assumptions!J16</f>
        <v>1.9</v>
      </c>
      <c r="K23" s="4" t="n">
        <f aca="false">Assumptions!K16</f>
        <v>1.9</v>
      </c>
      <c r="L23" s="4" t="n">
        <f aca="false">Assumptions!L16</f>
        <v>1.9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-118.4802</v>
      </c>
      <c r="D24" s="0" t="n">
        <f aca="false">-D6*D23/100</f>
        <v>-119.665002</v>
      </c>
      <c r="E24" s="0" t="n">
        <f aca="false">-E6*E23/100</f>
        <v>-121.45997703</v>
      </c>
      <c r="F24" s="0" t="n">
        <f aca="false">-F6*F23/100</f>
        <v>-123.28187668545</v>
      </c>
      <c r="G24" s="0" t="n">
        <f aca="false">-G6*G23/100</f>
        <v>-125.131104835732</v>
      </c>
      <c r="H24" s="0" t="n">
        <f aca="false">-H6*H23/100</f>
        <v>-127.008071408268</v>
      </c>
      <c r="I24" s="0" t="n">
        <f aca="false">-I6*I23/100</f>
        <v>-128.913192479392</v>
      </c>
      <c r="J24" s="0" t="n">
        <f aca="false">-J6*J23/100</f>
        <v>-130.846890366583</v>
      </c>
      <c r="K24" s="0" t="n">
        <f aca="false">-K6*K23/100</f>
        <v>-132.809593722081</v>
      </c>
      <c r="L24" s="0" t="n">
        <f aca="false">-L6*L23/100</f>
        <v>-134.801737627912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7855.83595770479</v>
      </c>
    </row>
    <row r="31" customFormat="false" ht="15" hidden="false" customHeight="false" outlineLevel="0" collapsed="false">
      <c r="A31" s="0" t="s">
        <v>138</v>
      </c>
      <c r="B31" s="0" t="n">
        <f aca="false">L19</f>
        <v>1197.86424761266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18705.1109434901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17967.96371419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17967.96371419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8322.64378655468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16178.4797442595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18460.8797442595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13.9211822217476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-0.430393526115074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1158.25442926515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1436.86197409774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15.8781359985087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9006.16452834706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7.84540433167507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1.5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6235.8</v>
      </c>
      <c r="C6" s="0" t="n">
        <f aca="false">B6*(1+C5/100)</f>
        <v>6329.337</v>
      </c>
      <c r="D6" s="0" t="n">
        <f aca="false">C6*(1+D5/100)</f>
        <v>6614.157165</v>
      </c>
      <c r="E6" s="0" t="n">
        <f aca="false">D6*(1+E5/100)</f>
        <v>6911.794237425</v>
      </c>
      <c r="F6" s="0" t="n">
        <f aca="false">E6*(1+F5/100)</f>
        <v>7222.82497810912</v>
      </c>
      <c r="G6" s="0" t="n">
        <f aca="false">F6*(1+G5/100)</f>
        <v>7511.73797723349</v>
      </c>
      <c r="H6" s="0" t="n">
        <f aca="false">G6*(1+H5/100)</f>
        <v>7812.20749632283</v>
      </c>
      <c r="I6" s="0" t="n">
        <f aca="false">H6*(1+I5/100)</f>
        <v>8085.63475869413</v>
      </c>
      <c r="J6" s="0" t="n">
        <f aca="false">I6*(1+J5/100)</f>
        <v>8368.63197524842</v>
      </c>
      <c r="K6" s="0" t="n">
        <f aca="false">J6*(1+K5/100)</f>
        <v>8619.69093450587</v>
      </c>
      <c r="L6" s="0" t="n">
        <f aca="false">K6*(1+L5/100)</f>
        <v>8835.18320786852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33.8</v>
      </c>
      <c r="D7" s="4" t="n">
        <f aca="false">Assumptions!D28</f>
        <v>34.1</v>
      </c>
      <c r="E7" s="4" t="n">
        <f aca="false">Assumptions!E28</f>
        <v>34.4</v>
      </c>
      <c r="F7" s="4" t="n">
        <f aca="false">Assumptions!F28</f>
        <v>34.7</v>
      </c>
      <c r="G7" s="4" t="n">
        <f aca="false">Assumptions!G28</f>
        <v>35</v>
      </c>
      <c r="H7" s="4" t="n">
        <f aca="false">Assumptions!H28</f>
        <v>35.2</v>
      </c>
      <c r="I7" s="4" t="n">
        <f aca="false">Assumptions!I28</f>
        <v>35.4</v>
      </c>
      <c r="J7" s="4" t="n">
        <f aca="false">Assumptions!J28</f>
        <v>35.5</v>
      </c>
      <c r="K7" s="4" t="n">
        <f aca="false">Assumptions!K28</f>
        <v>35.5</v>
      </c>
      <c r="L7" s="4" t="n">
        <f aca="false">Assumptions!L28</f>
        <v>35.5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2139.315906</v>
      </c>
      <c r="D8" s="0" t="n">
        <f aca="false">D6*D7/100</f>
        <v>2255.427593265</v>
      </c>
      <c r="E8" s="0" t="n">
        <f aca="false">E6*E7/100</f>
        <v>2377.6572176742</v>
      </c>
      <c r="F8" s="0" t="n">
        <f aca="false">F6*F7/100</f>
        <v>2506.32026740387</v>
      </c>
      <c r="G8" s="0" t="n">
        <f aca="false">G6*G7/100</f>
        <v>2629.10829203172</v>
      </c>
      <c r="H8" s="0" t="n">
        <f aca="false">H6*H7/100</f>
        <v>2749.89703870564</v>
      </c>
      <c r="I8" s="0" t="n">
        <f aca="false">I6*I7/100</f>
        <v>2862.31470457772</v>
      </c>
      <c r="J8" s="0" t="n">
        <f aca="false">J6*J7/100</f>
        <v>2970.86435121319</v>
      </c>
      <c r="K8" s="0" t="n">
        <f aca="false">K6*K7/100</f>
        <v>3059.99028174959</v>
      </c>
      <c r="L8" s="0" t="n">
        <f aca="false">L6*L7/100</f>
        <v>3136.49003879332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1.9</v>
      </c>
      <c r="D9" s="4" t="n">
        <f aca="false">Assumptions!D29</f>
        <v>2.2</v>
      </c>
      <c r="E9" s="4" t="n">
        <f aca="false">Assumptions!E29</f>
        <v>2.4</v>
      </c>
      <c r="F9" s="4" t="n">
        <f aca="false">Assumptions!F29</f>
        <v>2.5</v>
      </c>
      <c r="G9" s="4" t="n">
        <f aca="false">Assumptions!G29</f>
        <v>2.5</v>
      </c>
      <c r="H9" s="4" t="n">
        <f aca="false">Assumptions!H29</f>
        <v>2.5</v>
      </c>
      <c r="I9" s="4" t="n">
        <f aca="false">Assumptions!I29</f>
        <v>2.5</v>
      </c>
      <c r="J9" s="4" t="n">
        <f aca="false">Assumptions!J29</f>
        <v>2.5</v>
      </c>
      <c r="K9" s="4" t="n">
        <f aca="false">Assumptions!K29</f>
        <v>2.5</v>
      </c>
      <c r="L9" s="4" t="n">
        <f aca="false">Assumptions!L29</f>
        <v>2.5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-120.257403</v>
      </c>
      <c r="D10" s="0" t="n">
        <f aca="false">-D6*D9/100</f>
        <v>-145.51145763</v>
      </c>
      <c r="E10" s="0" t="n">
        <f aca="false">-E6*E9/100</f>
        <v>-165.8830616982</v>
      </c>
      <c r="F10" s="0" t="n">
        <f aca="false">-F6*F9/100</f>
        <v>-180.570624452728</v>
      </c>
      <c r="G10" s="0" t="n">
        <f aca="false">-G6*G9/100</f>
        <v>-187.793449430837</v>
      </c>
      <c r="H10" s="0" t="n">
        <f aca="false">-H6*H9/100</f>
        <v>-195.305187408071</v>
      </c>
      <c r="I10" s="0" t="n">
        <f aca="false">-I6*I9/100</f>
        <v>-202.140868967353</v>
      </c>
      <c r="J10" s="0" t="n">
        <f aca="false">-J6*J9/100</f>
        <v>-209.215799381211</v>
      </c>
      <c r="K10" s="0" t="n">
        <f aca="false">-K6*K9/100</f>
        <v>-215.492273362647</v>
      </c>
      <c r="L10" s="0" t="n">
        <f aca="false">-L6*L9/100</f>
        <v>-220.879580196713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1898.8011</v>
      </c>
      <c r="D11" s="0" t="n">
        <f aca="false">D8+D10+D24</f>
        <v>1984.2471495</v>
      </c>
      <c r="E11" s="0" t="n">
        <f aca="false">E8+E10+E24</f>
        <v>2080.45006546492</v>
      </c>
      <c r="F11" s="0" t="n">
        <f aca="false">F8+F10+F24</f>
        <v>2188.51596836706</v>
      </c>
      <c r="G11" s="0" t="n">
        <f aca="false">G8+G10+G24</f>
        <v>2298.59182103345</v>
      </c>
      <c r="H11" s="0" t="n">
        <f aca="false">H8+H10+H24</f>
        <v>2406.15990886743</v>
      </c>
      <c r="I11" s="0" t="n">
        <f aca="false">I8+I10+I24</f>
        <v>2506.54677519518</v>
      </c>
      <c r="J11" s="0" t="n">
        <f aca="false">J8+J10+J24</f>
        <v>2602.64454430226</v>
      </c>
      <c r="K11" s="0" t="n">
        <f aca="false">K8+K10+K24</f>
        <v>2680.72388063133</v>
      </c>
      <c r="L11" s="0" t="n">
        <f aca="false">L8+L10+L24</f>
        <v>2747.74197764711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-132.916077</v>
      </c>
      <c r="D12" s="4" t="n">
        <f aca="false">-D6*Assumptions!D31/100</f>
        <v>-138.897300465</v>
      </c>
      <c r="E12" s="4" t="n">
        <f aca="false">-E6*Assumptions!E31/100</f>
        <v>-145.147678985925</v>
      </c>
      <c r="F12" s="4" t="n">
        <f aca="false">-F6*Assumptions!F31/100</f>
        <v>-151.679324540292</v>
      </c>
      <c r="G12" s="4" t="n">
        <f aca="false">-G6*Assumptions!G31/100</f>
        <v>-157.746497521903</v>
      </c>
      <c r="H12" s="4" t="n">
        <f aca="false">-H6*Assumptions!H31/100</f>
        <v>-164.056357422779</v>
      </c>
      <c r="I12" s="4" t="n">
        <f aca="false">-I6*Assumptions!I31/100</f>
        <v>-169.798329932577</v>
      </c>
      <c r="J12" s="4" t="n">
        <f aca="false">-J6*Assumptions!J31/100</f>
        <v>-175.741271480217</v>
      </c>
      <c r="K12" s="4" t="n">
        <f aca="false">-K6*Assumptions!K31/100</f>
        <v>-181.013509624623</v>
      </c>
      <c r="L12" s="4" t="n">
        <f aca="false">-L6*Assumptions!L31/100</f>
        <v>-185.538847365239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1765.885023</v>
      </c>
      <c r="D13" s="0" t="n">
        <f aca="false">D11+D12</f>
        <v>1845.349849035</v>
      </c>
      <c r="E13" s="0" t="n">
        <f aca="false">E11+E12</f>
        <v>1935.302386479</v>
      </c>
      <c r="F13" s="0" t="n">
        <f aca="false">F11+F12</f>
        <v>2036.83664382677</v>
      </c>
      <c r="G13" s="0" t="n">
        <f aca="false">G11+G12</f>
        <v>2140.84532351154</v>
      </c>
      <c r="H13" s="0" t="n">
        <f aca="false">H11+H12</f>
        <v>2242.10355144465</v>
      </c>
      <c r="I13" s="0" t="n">
        <f aca="false">I11+I12</f>
        <v>2336.7484452626</v>
      </c>
      <c r="J13" s="0" t="n">
        <f aca="false">J11+J12</f>
        <v>2426.90327282204</v>
      </c>
      <c r="K13" s="0" t="n">
        <f aca="false">K11+K12</f>
        <v>2499.7103710067</v>
      </c>
      <c r="L13" s="0" t="n">
        <f aca="false">L11+L12</f>
        <v>2562.20313028187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1342.07261748</v>
      </c>
      <c r="D15" s="0" t="n">
        <f aca="false">D13-MAX(0,D13)*D14/100</f>
        <v>1402.4658852666</v>
      </c>
      <c r="E15" s="0" t="n">
        <f aca="false">E13-MAX(0,E13)*E14/100</f>
        <v>1470.82981372404</v>
      </c>
      <c r="F15" s="0" t="n">
        <f aca="false">F13-MAX(0,F13)*F14/100</f>
        <v>1547.99584930835</v>
      </c>
      <c r="G15" s="0" t="n">
        <f aca="false">G13-MAX(0,G13)*G14/100</f>
        <v>1627.04244586877</v>
      </c>
      <c r="H15" s="0" t="n">
        <f aca="false">H13-MAX(0,H13)*H14/100</f>
        <v>1703.99869909794</v>
      </c>
      <c r="I15" s="0" t="n">
        <f aca="false">I13-MAX(0,I13)*I14/100</f>
        <v>1775.92881839958</v>
      </c>
      <c r="J15" s="0" t="n">
        <f aca="false">J13-MAX(0,J13)*J14/100</f>
        <v>1844.44648734475</v>
      </c>
      <c r="K15" s="0" t="n">
        <f aca="false">K13-MAX(0,K13)*K14/100</f>
        <v>1899.77988196509</v>
      </c>
      <c r="L15" s="0" t="n">
        <f aca="false">L13-MAX(0,L13)*L14/100</f>
        <v>1947.27437901422</v>
      </c>
    </row>
    <row r="16" customFormat="false" ht="15" hidden="false" customHeight="false" outlineLevel="0" collapsed="false">
      <c r="A16" s="0" t="s">
        <v>129</v>
      </c>
      <c r="C16" s="0" t="n">
        <f aca="false">-C12</f>
        <v>132.916077</v>
      </c>
      <c r="D16" s="0" t="n">
        <f aca="false">-D12</f>
        <v>138.897300465</v>
      </c>
      <c r="E16" s="0" t="n">
        <f aca="false">-E12</f>
        <v>145.147678985925</v>
      </c>
      <c r="F16" s="0" t="n">
        <f aca="false">-F12</f>
        <v>151.679324540292</v>
      </c>
      <c r="G16" s="0" t="n">
        <f aca="false">-G12</f>
        <v>157.746497521903</v>
      </c>
      <c r="H16" s="0" t="n">
        <f aca="false">-H12</f>
        <v>164.056357422779</v>
      </c>
      <c r="I16" s="0" t="n">
        <f aca="false">-I12</f>
        <v>169.798329932577</v>
      </c>
      <c r="J16" s="0" t="n">
        <f aca="false">-J12</f>
        <v>175.741271480217</v>
      </c>
      <c r="K16" s="0" t="n">
        <f aca="false">-K12</f>
        <v>181.013509624623</v>
      </c>
      <c r="L16" s="0" t="n">
        <f aca="false">-L12</f>
        <v>185.538847365239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-164.562762</v>
      </c>
      <c r="D17" s="4" t="n">
        <f aca="false">-D6*Assumptions!D32/100</f>
        <v>-171.96808629</v>
      </c>
      <c r="E17" s="4" t="n">
        <f aca="false">-E6*Assumptions!E32/100</f>
        <v>-179.70665017305</v>
      </c>
      <c r="F17" s="4" t="n">
        <f aca="false">-F6*Assumptions!F32/100</f>
        <v>-187.793449430837</v>
      </c>
      <c r="G17" s="4" t="n">
        <f aca="false">-G6*Assumptions!G32/100</f>
        <v>-195.305187408071</v>
      </c>
      <c r="H17" s="4" t="n">
        <f aca="false">-H6*Assumptions!H32/100</f>
        <v>-203.117394904394</v>
      </c>
      <c r="I17" s="4" t="n">
        <f aca="false">-I6*Assumptions!I32/100</f>
        <v>-210.226503726047</v>
      </c>
      <c r="J17" s="4" t="n">
        <f aca="false">-J6*Assumptions!J32/100</f>
        <v>-217.584431356459</v>
      </c>
      <c r="K17" s="4" t="n">
        <f aca="false">-K6*Assumptions!K32/100</f>
        <v>-224.111964297153</v>
      </c>
      <c r="L17" s="4" t="n">
        <f aca="false">-L6*Assumptions!L32/100</f>
        <v>-229.714763404582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-70.1527499999995</v>
      </c>
      <c r="D18" s="4" t="n">
        <f aca="false">(D6-C6)*Assumptions!$B$37/100</f>
        <v>-213.615123749999</v>
      </c>
      <c r="E18" s="4" t="n">
        <f aca="false">(E6-D6)*Assumptions!$B$37/100</f>
        <v>-223.227804318749</v>
      </c>
      <c r="F18" s="4" t="n">
        <f aca="false">(F6-E6)*Assumptions!$B$37/100</f>
        <v>-233.273055513094</v>
      </c>
      <c r="G18" s="4" t="n">
        <f aca="false">(G6-F6)*Assumptions!$B$37/100</f>
        <v>-216.684749343274</v>
      </c>
      <c r="H18" s="4" t="n">
        <f aca="false">(H6-G6)*Assumptions!$B$37/100</f>
        <v>-225.352139317005</v>
      </c>
      <c r="I18" s="4" t="n">
        <f aca="false">(I6-H6)*Assumptions!$B$37/100</f>
        <v>-205.070446778474</v>
      </c>
      <c r="J18" s="4" t="n">
        <f aca="false">(J6-I6)*Assumptions!$B$37/100</f>
        <v>-212.24791241572</v>
      </c>
      <c r="K18" s="4" t="n">
        <f aca="false">(K6-J6)*Assumptions!$B$37/100</f>
        <v>-188.294219443089</v>
      </c>
      <c r="L18" s="4" t="n">
        <f aca="false">(L6-K6)*Assumptions!$B$37/100</f>
        <v>-161.619205021985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1240.27318248</v>
      </c>
      <c r="D19" s="0" t="n">
        <f aca="false">D15+D16+D17+D18</f>
        <v>1155.7799756916</v>
      </c>
      <c r="E19" s="0" t="n">
        <f aca="false">E15+E16+E17+E18</f>
        <v>1213.04303821817</v>
      </c>
      <c r="F19" s="0" t="n">
        <f aca="false">F15+F16+F17+F18</f>
        <v>1278.60866890471</v>
      </c>
      <c r="G19" s="0" t="n">
        <f aca="false">G15+G16+G17+G18</f>
        <v>1372.79900663933</v>
      </c>
      <c r="H19" s="0" t="n">
        <f aca="false">H15+H16+H17+H18</f>
        <v>1439.58552229932</v>
      </c>
      <c r="I19" s="0" t="n">
        <f aca="false">I15+I16+I17+I18</f>
        <v>1530.43019782763</v>
      </c>
      <c r="J19" s="0" t="n">
        <f aca="false">J15+J16+J17+J18</f>
        <v>1590.35541505279</v>
      </c>
      <c r="K19" s="0" t="n">
        <f aca="false">K15+K16+K17+K18</f>
        <v>1668.38720784948</v>
      </c>
      <c r="L19" s="0" t="n">
        <f aca="false">L15+L16+L17+L18</f>
        <v>1741.47925795289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1148.40109488889</v>
      </c>
      <c r="D21" s="0" t="n">
        <f aca="false">D19*D20</f>
        <v>990.89504088786</v>
      </c>
      <c r="E21" s="0" t="n">
        <f aca="false">E19*E20</f>
        <v>962.952673482641</v>
      </c>
      <c r="F21" s="0" t="n">
        <f aca="false">F19*F20</f>
        <v>939.815541689297</v>
      </c>
      <c r="G21" s="0" t="n">
        <f aca="false">G19*G20</f>
        <v>934.303936823357</v>
      </c>
      <c r="H21" s="0" t="n">
        <f aca="false">H19*H20</f>
        <v>907.183071453679</v>
      </c>
      <c r="I21" s="0" t="n">
        <f aca="false">I19*I20</f>
        <v>892.991321051552</v>
      </c>
      <c r="J21" s="0" t="n">
        <f aca="false">J19*J20</f>
        <v>859.219546052247</v>
      </c>
      <c r="K21" s="0" t="n">
        <f aca="false">K19*K20</f>
        <v>834.608977502039</v>
      </c>
      <c r="L21" s="0" t="n">
        <f aca="false">L19*L20</f>
        <v>806.641851918329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1.9</v>
      </c>
      <c r="D23" s="4" t="n">
        <f aca="false">Assumptions!D30</f>
        <v>1.9</v>
      </c>
      <c r="E23" s="4" t="n">
        <f aca="false">Assumptions!E30</f>
        <v>1.9</v>
      </c>
      <c r="F23" s="4" t="n">
        <f aca="false">Assumptions!F30</f>
        <v>1.9</v>
      </c>
      <c r="G23" s="4" t="n">
        <f aca="false">Assumptions!G30</f>
        <v>1.9</v>
      </c>
      <c r="H23" s="4" t="n">
        <f aca="false">Assumptions!H30</f>
        <v>1.9</v>
      </c>
      <c r="I23" s="4" t="n">
        <f aca="false">Assumptions!I30</f>
        <v>1.9</v>
      </c>
      <c r="J23" s="4" t="n">
        <f aca="false">Assumptions!J30</f>
        <v>1.9</v>
      </c>
      <c r="K23" s="4" t="n">
        <f aca="false">Assumptions!K30</f>
        <v>1.9</v>
      </c>
      <c r="L23" s="4" t="n">
        <f aca="false">Assumptions!L30</f>
        <v>1.9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-120.257403</v>
      </c>
      <c r="D24" s="0" t="n">
        <f aca="false">-D6*D23/100</f>
        <v>-125.668986135</v>
      </c>
      <c r="E24" s="0" t="n">
        <f aca="false">-E6*E23/100</f>
        <v>-131.324090511075</v>
      </c>
      <c r="F24" s="0" t="n">
        <f aca="false">-F6*F23/100</f>
        <v>-137.233674584073</v>
      </c>
      <c r="G24" s="0" t="n">
        <f aca="false">-G6*G23/100</f>
        <v>-142.723021567436</v>
      </c>
      <c r="H24" s="0" t="n">
        <f aca="false">-H6*H23/100</f>
        <v>-148.431942430134</v>
      </c>
      <c r="I24" s="0" t="n">
        <f aca="false">-I6*I23/100</f>
        <v>-153.627060415188</v>
      </c>
      <c r="J24" s="0" t="n">
        <f aca="false">-J6*J23/100</f>
        <v>-159.00400752972</v>
      </c>
      <c r="K24" s="0" t="n">
        <f aca="false">-K6*K23/100</f>
        <v>-163.774127755612</v>
      </c>
      <c r="L24" s="0" t="n">
        <f aca="false">-L6*L23/100</f>
        <v>-167.868480949502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9277.01305574989</v>
      </c>
    </row>
    <row r="31" customFormat="false" ht="15" hidden="false" customHeight="false" outlineLevel="0" collapsed="false">
      <c r="A31" s="0" t="s">
        <v>138</v>
      </c>
      <c r="B31" s="0" t="n">
        <f aca="false">L19</f>
        <v>1741.47925795289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32454.8407163948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34829.5851590579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32454.8407163948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15032.8708766598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24309.8839324096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26592.2839324097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20.0530004768944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-0.179500798817742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1192.48446650279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1906.68605050811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22.3900568957247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14280.1299152137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9.50016324667389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2.5</v>
      </c>
      <c r="D5" s="4" t="n">
        <f aca="false">Assumptions!D41</f>
        <v>6.5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6235.8</v>
      </c>
      <c r="C6" s="0" t="n">
        <f aca="false">B6*(1+C5/100)</f>
        <v>6391.695</v>
      </c>
      <c r="D6" s="0" t="n">
        <f aca="false">C6*(1+D5/100)</f>
        <v>6807.155175</v>
      </c>
      <c r="E6" s="0" t="n">
        <f aca="false">D6*(1+E5/100)</f>
        <v>7283.65603725</v>
      </c>
      <c r="F6" s="0" t="n">
        <f aca="false">E6*(1+F5/100)</f>
        <v>7793.5119598575</v>
      </c>
      <c r="G6" s="0" t="n">
        <f aca="false">F6*(1+G5/100)</f>
        <v>8300.09023724824</v>
      </c>
      <c r="H6" s="0" t="n">
        <f aca="false">G6*(1+H5/100)</f>
        <v>8798.09565148313</v>
      </c>
      <c r="I6" s="0" t="n">
        <f aca="false">H6*(1+I5/100)</f>
        <v>9238.00043405729</v>
      </c>
      <c r="J6" s="0" t="n">
        <f aca="false">I6*(1+J5/100)</f>
        <v>9653.71045358986</v>
      </c>
      <c r="K6" s="0" t="n">
        <f aca="false">J6*(1+K5/100)</f>
        <v>9991.59031946551</v>
      </c>
      <c r="L6" s="0" t="n">
        <f aca="false">K6*(1+L5/100)</f>
        <v>10291.3380290495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34</v>
      </c>
      <c r="D7" s="4" t="n">
        <f aca="false">Assumptions!D42</f>
        <v>34.6</v>
      </c>
      <c r="E7" s="4" t="n">
        <f aca="false">Assumptions!E42</f>
        <v>35.2</v>
      </c>
      <c r="F7" s="4" t="n">
        <f aca="false">Assumptions!F42</f>
        <v>35.8</v>
      </c>
      <c r="G7" s="4" t="n">
        <f aca="false">Assumptions!G42</f>
        <v>36.4</v>
      </c>
      <c r="H7" s="4" t="n">
        <f aca="false">Assumptions!H42</f>
        <v>36.9</v>
      </c>
      <c r="I7" s="4" t="n">
        <f aca="false">Assumptions!I42</f>
        <v>37.3</v>
      </c>
      <c r="J7" s="4" t="n">
        <f aca="false">Assumptions!J42</f>
        <v>37.5</v>
      </c>
      <c r="K7" s="4" t="n">
        <f aca="false">Assumptions!K42</f>
        <v>37.5</v>
      </c>
      <c r="L7" s="4" t="n">
        <f aca="false">Assumptions!L42</f>
        <v>37.5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2173.1763</v>
      </c>
      <c r="D8" s="0" t="n">
        <f aca="false">D6*D7/100</f>
        <v>2355.27569055</v>
      </c>
      <c r="E8" s="0" t="n">
        <f aca="false">E6*E7/100</f>
        <v>2563.846925112</v>
      </c>
      <c r="F8" s="0" t="n">
        <f aca="false">F6*F7/100</f>
        <v>2790.07728162898</v>
      </c>
      <c r="G8" s="0" t="n">
        <f aca="false">G6*G7/100</f>
        <v>3021.23284635836</v>
      </c>
      <c r="H8" s="0" t="n">
        <f aca="false">H6*H7/100</f>
        <v>3246.49729539728</v>
      </c>
      <c r="I8" s="0" t="n">
        <f aca="false">I6*I7/100</f>
        <v>3445.77416190337</v>
      </c>
      <c r="J8" s="0" t="n">
        <f aca="false">J6*J7/100</f>
        <v>3620.1414200962</v>
      </c>
      <c r="K8" s="0" t="n">
        <f aca="false">K6*K7/100</f>
        <v>3746.84636979957</v>
      </c>
      <c r="L8" s="0" t="n">
        <f aca="false">L6*L7/100</f>
        <v>3859.25176089355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1.9</v>
      </c>
      <c r="D9" s="4" t="n">
        <f aca="false">Assumptions!D43</f>
        <v>2.2</v>
      </c>
      <c r="E9" s="4" t="n">
        <f aca="false">Assumptions!E43</f>
        <v>2.4</v>
      </c>
      <c r="F9" s="4" t="n">
        <f aca="false">Assumptions!F43</f>
        <v>2.5</v>
      </c>
      <c r="G9" s="4" t="n">
        <f aca="false">Assumptions!G43</f>
        <v>2.5</v>
      </c>
      <c r="H9" s="4" t="n">
        <f aca="false">Assumptions!H43</f>
        <v>2.5</v>
      </c>
      <c r="I9" s="4" t="n">
        <f aca="false">Assumptions!I43</f>
        <v>2.5</v>
      </c>
      <c r="J9" s="4" t="n">
        <f aca="false">Assumptions!J43</f>
        <v>2.5</v>
      </c>
      <c r="K9" s="4" t="n">
        <f aca="false">Assumptions!K43</f>
        <v>2.5</v>
      </c>
      <c r="L9" s="4" t="n">
        <f aca="false">Assumptions!L43</f>
        <v>2.5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-121.442205</v>
      </c>
      <c r="D10" s="0" t="n">
        <f aca="false">-D6*D9/100</f>
        <v>-149.75741385</v>
      </c>
      <c r="E10" s="0" t="n">
        <f aca="false">-E6*E9/100</f>
        <v>-174.807744894</v>
      </c>
      <c r="F10" s="0" t="n">
        <f aca="false">-F6*F9/100</f>
        <v>-194.837798996438</v>
      </c>
      <c r="G10" s="0" t="n">
        <f aca="false">-G6*G9/100</f>
        <v>-207.502255931206</v>
      </c>
      <c r="H10" s="0" t="n">
        <f aca="false">-H6*H9/100</f>
        <v>-219.952391287078</v>
      </c>
      <c r="I10" s="0" t="n">
        <f aca="false">-I6*I9/100</f>
        <v>-230.950010851432</v>
      </c>
      <c r="J10" s="0" t="n">
        <f aca="false">-J6*J9/100</f>
        <v>-241.342761339747</v>
      </c>
      <c r="K10" s="0" t="n">
        <f aca="false">-K6*K9/100</f>
        <v>-249.789757986638</v>
      </c>
      <c r="L10" s="0" t="n">
        <f aca="false">-L6*L9/100</f>
        <v>-257.283450726237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1930.29189</v>
      </c>
      <c r="D11" s="0" t="n">
        <f aca="false">D8+D10+D24</f>
        <v>2076.182328375</v>
      </c>
      <c r="E11" s="0" t="n">
        <f aca="false">E8+E10+E24</f>
        <v>2250.64971551025</v>
      </c>
      <c r="F11" s="0" t="n">
        <f aca="false">F8+F10+F24</f>
        <v>2447.16275539526</v>
      </c>
      <c r="G11" s="0" t="n">
        <f aca="false">G8+G10+G24</f>
        <v>2656.02887591944</v>
      </c>
      <c r="H11" s="0" t="n">
        <f aca="false">H8+H10+H24</f>
        <v>2859.38108673202</v>
      </c>
      <c r="I11" s="0" t="n">
        <f aca="false">I8+I10+I24</f>
        <v>3039.30214280485</v>
      </c>
      <c r="J11" s="0" t="n">
        <f aca="false">J8+J10+J24</f>
        <v>3195.37816013824</v>
      </c>
      <c r="K11" s="0" t="n">
        <f aca="false">K8+K10+K24</f>
        <v>3307.21639574308</v>
      </c>
      <c r="L11" s="0" t="n">
        <f aca="false">L8+L10+L24</f>
        <v>3406.43288761538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-134.225595</v>
      </c>
      <c r="D12" s="4" t="n">
        <f aca="false">-D6*Assumptions!D45/100</f>
        <v>-142.950258675</v>
      </c>
      <c r="E12" s="4" t="n">
        <f aca="false">-E6*Assumptions!E45/100</f>
        <v>-152.95677678225</v>
      </c>
      <c r="F12" s="4" t="n">
        <f aca="false">-F6*Assumptions!F45/100</f>
        <v>-163.663751157008</v>
      </c>
      <c r="G12" s="4" t="n">
        <f aca="false">-G6*Assumptions!G45/100</f>
        <v>-174.301894982213</v>
      </c>
      <c r="H12" s="4" t="n">
        <f aca="false">-H6*Assumptions!H45/100</f>
        <v>-184.760008681146</v>
      </c>
      <c r="I12" s="4" t="n">
        <f aca="false">-I6*Assumptions!I45/100</f>
        <v>-193.998009115203</v>
      </c>
      <c r="J12" s="4" t="n">
        <f aca="false">-J6*Assumptions!J45/100</f>
        <v>-202.727919525387</v>
      </c>
      <c r="K12" s="4" t="n">
        <f aca="false">-K6*Assumptions!K45/100</f>
        <v>-209.823396708776</v>
      </c>
      <c r="L12" s="4" t="n">
        <f aca="false">-L6*Assumptions!L45/100</f>
        <v>-216.118098610039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1796.066295</v>
      </c>
      <c r="D13" s="0" t="n">
        <f aca="false">D11+D12</f>
        <v>1933.2320697</v>
      </c>
      <c r="E13" s="0" t="n">
        <f aca="false">E11+E12</f>
        <v>2097.692938728</v>
      </c>
      <c r="F13" s="0" t="n">
        <f aca="false">F11+F12</f>
        <v>2283.49900423825</v>
      </c>
      <c r="G13" s="0" t="n">
        <f aca="false">G11+G12</f>
        <v>2481.72698093722</v>
      </c>
      <c r="H13" s="0" t="n">
        <f aca="false">H11+H12</f>
        <v>2674.62107805087</v>
      </c>
      <c r="I13" s="0" t="n">
        <f aca="false">I11+I12</f>
        <v>2845.30413368964</v>
      </c>
      <c r="J13" s="0" t="n">
        <f aca="false">J11+J12</f>
        <v>2992.65024061286</v>
      </c>
      <c r="K13" s="0" t="n">
        <f aca="false">K11+K12</f>
        <v>3097.39299903431</v>
      </c>
      <c r="L13" s="0" t="n">
        <f aca="false">L11+L12</f>
        <v>3190.31478900534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1365.0103842</v>
      </c>
      <c r="D15" s="0" t="n">
        <f aca="false">D13-MAX(0,D13)*D14/100</f>
        <v>1469.256372972</v>
      </c>
      <c r="E15" s="0" t="n">
        <f aca="false">E13-MAX(0,E13)*E14/100</f>
        <v>1594.24663343328</v>
      </c>
      <c r="F15" s="0" t="n">
        <f aca="false">F13-MAX(0,F13)*F14/100</f>
        <v>1735.45924322107</v>
      </c>
      <c r="G15" s="0" t="n">
        <f aca="false">G13-MAX(0,G13)*G14/100</f>
        <v>1886.11250551229</v>
      </c>
      <c r="H15" s="0" t="n">
        <f aca="false">H13-MAX(0,H13)*H14/100</f>
        <v>2032.71201931866</v>
      </c>
      <c r="I15" s="0" t="n">
        <f aca="false">I13-MAX(0,I13)*I14/100</f>
        <v>2162.43114160413</v>
      </c>
      <c r="J15" s="0" t="n">
        <f aca="false">J13-MAX(0,J13)*J14/100</f>
        <v>2274.41418286577</v>
      </c>
      <c r="K15" s="0" t="n">
        <f aca="false">K13-MAX(0,K13)*K14/100</f>
        <v>2354.01867926607</v>
      </c>
      <c r="L15" s="0" t="n">
        <f aca="false">L13-MAX(0,L13)*L14/100</f>
        <v>2424.63923964406</v>
      </c>
    </row>
    <row r="16" customFormat="false" ht="15" hidden="false" customHeight="false" outlineLevel="0" collapsed="false">
      <c r="A16" s="0" t="s">
        <v>129</v>
      </c>
      <c r="C16" s="0" t="n">
        <f aca="false">-C12</f>
        <v>134.225595</v>
      </c>
      <c r="D16" s="0" t="n">
        <f aca="false">-D12</f>
        <v>142.950258675</v>
      </c>
      <c r="E16" s="0" t="n">
        <f aca="false">-E12</f>
        <v>152.95677678225</v>
      </c>
      <c r="F16" s="0" t="n">
        <f aca="false">-F12</f>
        <v>163.663751157008</v>
      </c>
      <c r="G16" s="0" t="n">
        <f aca="false">-G12</f>
        <v>174.301894982213</v>
      </c>
      <c r="H16" s="0" t="n">
        <f aca="false">-H12</f>
        <v>184.760008681146</v>
      </c>
      <c r="I16" s="0" t="n">
        <f aca="false">-I12</f>
        <v>193.998009115203</v>
      </c>
      <c r="J16" s="0" t="n">
        <f aca="false">-J12</f>
        <v>202.727919525387</v>
      </c>
      <c r="K16" s="0" t="n">
        <f aca="false">-K12</f>
        <v>209.823396708776</v>
      </c>
      <c r="L16" s="0" t="n">
        <f aca="false">-L12</f>
        <v>216.118098610039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-172.575765</v>
      </c>
      <c r="D17" s="4" t="n">
        <f aca="false">-D6*Assumptions!D46/100</f>
        <v>-183.793189725</v>
      </c>
      <c r="E17" s="4" t="n">
        <f aca="false">-E6*Assumptions!E46/100</f>
        <v>-196.65871300575</v>
      </c>
      <c r="F17" s="4" t="n">
        <f aca="false">-F6*Assumptions!F46/100</f>
        <v>-210.424822916153</v>
      </c>
      <c r="G17" s="4" t="n">
        <f aca="false">-G6*Assumptions!G46/100</f>
        <v>-224.102436405702</v>
      </c>
      <c r="H17" s="4" t="n">
        <f aca="false">-H6*Assumptions!H46/100</f>
        <v>-237.548582590045</v>
      </c>
      <c r="I17" s="4" t="n">
        <f aca="false">-I6*Assumptions!I46/100</f>
        <v>-249.426011719547</v>
      </c>
      <c r="J17" s="4" t="n">
        <f aca="false">-J6*Assumptions!J46/100</f>
        <v>-260.650182246926</v>
      </c>
      <c r="K17" s="4" t="n">
        <f aca="false">-K6*Assumptions!K46/100</f>
        <v>-269.772938625569</v>
      </c>
      <c r="L17" s="4" t="n">
        <f aca="false">-L6*Assumptions!L46/100</f>
        <v>-277.866126784336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-116.92125</v>
      </c>
      <c r="D18" s="4" t="n">
        <f aca="false">(D6-C6)*Assumptions!$B$51/100</f>
        <v>-311.595131249999</v>
      </c>
      <c r="E18" s="4" t="n">
        <f aca="false">(E6-D6)*Assumptions!$B$51/100</f>
        <v>-357.3756466875</v>
      </c>
      <c r="F18" s="4" t="n">
        <f aca="false">(F6-E6)*Assumptions!$B$51/100</f>
        <v>-382.391941955625</v>
      </c>
      <c r="G18" s="4" t="n">
        <f aca="false">(G6-F6)*Assumptions!$B$51/100</f>
        <v>-379.933708043053</v>
      </c>
      <c r="H18" s="4" t="n">
        <f aca="false">(H6-G6)*Assumptions!$B$51/100</f>
        <v>-373.504060676171</v>
      </c>
      <c r="I18" s="4" t="n">
        <f aca="false">(I6-H6)*Assumptions!$B$51/100</f>
        <v>-329.928586930617</v>
      </c>
      <c r="J18" s="4" t="n">
        <f aca="false">(J6-I6)*Assumptions!$B$51/100</f>
        <v>-311.782514649432</v>
      </c>
      <c r="K18" s="4" t="n">
        <f aca="false">(K6-J6)*Assumptions!$B$51/100</f>
        <v>-253.409899406733</v>
      </c>
      <c r="L18" s="4" t="n">
        <f aca="false">(L6-K6)*Assumptions!$B$51/100</f>
        <v>-224.810782187974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1209.7389642</v>
      </c>
      <c r="D19" s="0" t="n">
        <f aca="false">D15+D16+D17+D18</f>
        <v>1116.818310672</v>
      </c>
      <c r="E19" s="0" t="n">
        <f aca="false">E15+E16+E17+E18</f>
        <v>1193.16905052228</v>
      </c>
      <c r="F19" s="0" t="n">
        <f aca="false">F15+F16+F17+F18</f>
        <v>1306.3062295063</v>
      </c>
      <c r="G19" s="0" t="n">
        <f aca="false">G15+G16+G17+G18</f>
        <v>1456.37825604575</v>
      </c>
      <c r="H19" s="0" t="n">
        <f aca="false">H15+H16+H17+H18</f>
        <v>1606.41938473359</v>
      </c>
      <c r="I19" s="0" t="n">
        <f aca="false">I15+I16+I17+I18</f>
        <v>1777.07455206917</v>
      </c>
      <c r="J19" s="0" t="n">
        <f aca="false">J15+J16+J17+J18</f>
        <v>1904.7094054948</v>
      </c>
      <c r="K19" s="0" t="n">
        <f aca="false">K15+K16+K17+K18</f>
        <v>2040.65923794255</v>
      </c>
      <c r="L19" s="0" t="n">
        <f aca="false">L15+L16+L17+L18</f>
        <v>2138.08042928178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1120.12867055556</v>
      </c>
      <c r="D21" s="0" t="n">
        <f aca="false">D19*D20</f>
        <v>957.491692962963</v>
      </c>
      <c r="E21" s="0" t="n">
        <f aca="false">E19*E20</f>
        <v>947.176061292009</v>
      </c>
      <c r="F21" s="0" t="n">
        <f aca="false">F19*F20</f>
        <v>960.174075581104</v>
      </c>
      <c r="G21" s="0" t="n">
        <f aca="false">G19*G20</f>
        <v>991.186569590056</v>
      </c>
      <c r="H21" s="0" t="n">
        <f aca="false">H19*H20</f>
        <v>1012.31670429535</v>
      </c>
      <c r="I21" s="0" t="n">
        <f aca="false">I19*I20</f>
        <v>1036.90593279712</v>
      </c>
      <c r="J21" s="0" t="n">
        <f aca="false">J19*J20</f>
        <v>1029.0552258071</v>
      </c>
      <c r="K21" s="0" t="n">
        <f aca="false">K19*K20</f>
        <v>1020.83767604803</v>
      </c>
      <c r="L21" s="0" t="n">
        <f aca="false">L19*L20</f>
        <v>990.344931844629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1.9</v>
      </c>
      <c r="D23" s="4" t="n">
        <f aca="false">Assumptions!D44</f>
        <v>1.9</v>
      </c>
      <c r="E23" s="4" t="n">
        <f aca="false">Assumptions!E44</f>
        <v>1.9</v>
      </c>
      <c r="F23" s="4" t="n">
        <f aca="false">Assumptions!F44</f>
        <v>1.9</v>
      </c>
      <c r="G23" s="4" t="n">
        <f aca="false">Assumptions!G44</f>
        <v>1.9</v>
      </c>
      <c r="H23" s="4" t="n">
        <f aca="false">Assumptions!H44</f>
        <v>1.9</v>
      </c>
      <c r="I23" s="4" t="n">
        <f aca="false">Assumptions!I44</f>
        <v>1.9</v>
      </c>
      <c r="J23" s="4" t="n">
        <f aca="false">Assumptions!J44</f>
        <v>1.9</v>
      </c>
      <c r="K23" s="4" t="n">
        <f aca="false">Assumptions!K44</f>
        <v>1.9</v>
      </c>
      <c r="L23" s="4" t="n">
        <f aca="false">Assumptions!L44</f>
        <v>1.9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-121.442205</v>
      </c>
      <c r="D24" s="0" t="n">
        <f aca="false">-D6*D23/100</f>
        <v>-129.335948325</v>
      </c>
      <c r="E24" s="0" t="n">
        <f aca="false">-E6*E23/100</f>
        <v>-138.38946470775</v>
      </c>
      <c r="F24" s="0" t="n">
        <f aca="false">-F6*F23/100</f>
        <v>-148.076727237292</v>
      </c>
      <c r="G24" s="0" t="n">
        <f aca="false">-G6*G23/100</f>
        <v>-157.701714507716</v>
      </c>
      <c r="H24" s="0" t="n">
        <f aca="false">-H6*H23/100</f>
        <v>-167.16381737818</v>
      </c>
      <c r="I24" s="0" t="n">
        <f aca="false">-I6*I23/100</f>
        <v>-175.522008247088</v>
      </c>
      <c r="J24" s="0" t="n">
        <f aca="false">-J6*J23/100</f>
        <v>-183.420498618207</v>
      </c>
      <c r="K24" s="0" t="n">
        <f aca="false">-K6*K23/100</f>
        <v>-189.840216069845</v>
      </c>
      <c r="L24" s="0" t="n">
        <f aca="false">-L6*L23/100</f>
        <v>-195.53542255194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10065.6175407739</v>
      </c>
    </row>
    <row r="31" customFormat="false" ht="15" hidden="false" customHeight="false" outlineLevel="0" collapsed="false">
      <c r="A31" s="0" t="s">
        <v>138</v>
      </c>
      <c r="B31" s="0" t="n">
        <f aca="false">L19</f>
        <v>2138.08042928178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44044.4568432048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42761.6085856357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42761.6085856357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19806.8986368926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29872.5161776665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32154.9161776665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24.2477310743281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-0.00786697731881758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1311.92500327827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2454.943590748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27.0882925659398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18351.857018002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10.6058476696361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13.9211822217476</v>
      </c>
      <c r="C4" s="0" t="n">
        <f aca="false">B4/Assumptions!$B$2-1</f>
        <v>-0.430393526115074</v>
      </c>
      <c r="D4" s="4" t="n">
        <f aca="false">Assumptions!$B$24</f>
        <v>0.25</v>
      </c>
      <c r="E4" s="4" t="n">
        <f aca="false">DCF_Bear!$B$43</f>
        <v>15.8781359985087</v>
      </c>
      <c r="F4" s="4" t="n">
        <f aca="false">DCF_Bear!$B$47</f>
        <v>7.84540433167507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20.0530004768944</v>
      </c>
      <c r="C5" s="0" t="n">
        <f aca="false">B5/Assumptions!$B$2-1</f>
        <v>-0.179500798817742</v>
      </c>
      <c r="D5" s="4" t="n">
        <f aca="false">Assumptions!$B$38</f>
        <v>0.5</v>
      </c>
      <c r="E5" s="4" t="n">
        <f aca="false">DCF_Base!$B$43</f>
        <v>22.3900568957247</v>
      </c>
      <c r="F5" s="4" t="n">
        <f aca="false">DCF_Base!$B$47</f>
        <v>9.50016324667389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24.2477310743281</v>
      </c>
      <c r="C6" s="0" t="n">
        <f aca="false">B6/Assumptions!$B$2-1</f>
        <v>-0.00786697731881758</v>
      </c>
      <c r="D6" s="4" t="n">
        <f aca="false">Assumptions!$B$52</f>
        <v>0.25</v>
      </c>
      <c r="E6" s="4" t="n">
        <f aca="false">DCF_Bull!$B$43</f>
        <v>27.0882925659398</v>
      </c>
      <c r="F6" s="4" t="n">
        <f aca="false">DCF_Bull!$B$47</f>
        <v>10.6058476696361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19.5687285624661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21.9366355889745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-0.2489314224981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205.72055334102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9.36289462366474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20.0530004768944</v>
      </c>
      <c r="C15" s="3" t="n">
        <v>8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17.1370535282279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15.0041909314256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13.3776605503587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12.0972661776717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9.50016324667389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24.113797491386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24.113797491386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24.113797491386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24.113797491386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24.113797491386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21.3887433611304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22.4204601325799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22.4204601325799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22.4204601325799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22.4204601325799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18.2153953852053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19.0576310522295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20.0530004768944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20.8824749974485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20.8824749974485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15.896747285611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16.4726037553974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17.1370535282279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17.9122449298634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18.8283802227054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14.1305606569006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14.5400748480842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15.0041909314256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15.5346093123873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16.1466305211892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2026-10-25T12:23:42Z</dcterms:created>
  <dc:creator>openpyxl</dc:creator>
  <dc:description/>
  <dc:language>en-NZ</dc:language>
  <cp:lastModifiedBy/>
  <dcterms:modified xsi:type="dcterms:W3CDTF">2026-10-25T12:23:42Z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