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<sst xmlns="http://schemas.openxmlformats.org/spreadsheetml/2006/main" count="358" uniqueCount="168">
  <si>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</si>
  <si>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2269.HK</t>
  </si>
  <si>
    <t xml:space="preserve">Company</t>
  </si>
  <si>
    <t xml:space="preserve">WuXi Biologics (Cayman) Inc.</t>
  </si>
  <si>
    <t xml:space="preserve">Valuation date</t>
  </si>
  <si>
    <t xml:space="preserve">2026-10-18</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</si>
  <si>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</si>
  <si>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</si>
  <si>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</si>
  <si>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</si>
  <si>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</si>
  <si>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</si>
  <si>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</si>
  <si>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</si>
  <si>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</si>
  <si>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</si>
  <si>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</si>
  <si>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</si>
  <si>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</si>
  <si>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</si>
  <si>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</si>
  <si>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</si>
  <si>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2026-10-17T23:23:40Z</t>
  </si>
  <si>
    <t xml:space="preserve">Drivers file</t>
  </si>
  <si>
    <t xml:space="preserve">2269.HK_Drivers.json</t>
  </si>
  <si>
    <t xml:space="preserve">Convention</t>
  </si>
  <si>
    <t xml:space="preserve">Percents stored as percents; formulas divide by 100. Blue = input, green = link, black = formula.</t>
  </si>
  <si>
    <t xml:space="preserve">Methodology</t>
  </si>
  <si>
    <t xml:space="preserve">summary: Owner-FCF DCF on consolidated RMB flows with SBC fully expensed and interest income stripped; non-operating investments and net cash added, and the WuXi XDC minority deducted at its market value. The valuation is a judgment on whether the post-2025 recovery in growth and margin persists through the BIOSECURE overhang; geopolitical risk is carried in the 25% bear weight, not the discount rate.
key_risks_to_valuation: BIOSECURE / 1260H designation of WuXi Biologics (OMB list due 18 Dec 2026); Western client de-risking away from China-domiciled CDMOs and Samsung Biologics capacity additions; Utilisation risk on the ~20%-of-revenue capex programme if biotech funding softens; XDC minority deduction moves with 2268.HK's price (~RMB0.4bn per HK$1 on XDC; HK$0.1 per WBio share); RMB appreciation against USD/EUR compresses reported revenue (H1 FY2026: 18.4% RMB vs 23.4% USD growth); Discount rate: an RMB-built 9.5% on predominantly USD revenue; a USD-built rate would be ~1.5pp higher</t>
  </si>
  <si>
    <t xml:space="preserve">Data sources</t>
  </si>
  <si>
    <t xml:space="preserve">price: Yahoo Finance chart API at inputs.price_as_of; 52-week range 28.48-58.00 HKD. XDC (2268.HK) price and CNYHKD=X from the same API on the same date.
financials: 2269.HK_Metrics.csv (FY2018-FY2025, H1 FY2024-26) and the FY2025 annual report / H1 FY2026 interim report (income statement, balance sheet, notes 12, 16, 17, 22, 23; FY2025 AR NCI table).
qualitative: 2269.HK_Analysis.json (2026-10-18): FY2026 guidance raised to 15-18% RMB / 20-23% cc; ~30% 3-year manufacturing CAGR target; BIOSECURE timeline.</t>
  </si>
  <si>
    <t xml:space="preserve">Scenario narrative: bear</t>
  </si>
  <si>
    <t xml:space="preserve">WuXi Biologics is designated as a biotechnology company of concern; FY2026 is locked in by backlog (14%) but new US/EU business wins collapse as clients friend-shore to Samsung Biologics, Lonza and Fujifilm, and growth falls to 4-6% for several years. The fixed-cost GMP network built for the base case runs under-utilised, so margin slides to ~40.5% while D&amp;A rises toward 9.5% of revenue; capex is cut once committed projects finish. XDC, consolidated but only half owned, is the main remaining growth engine.</t>
  </si>
  <si>
    <t xml:space="preserve">Scenario narrative: base</t>
  </si>
  <si>
    <t xml:space="preserve">Raised FY2026 guidance is delivered (16.5% RMB growth) and the 78 late-phase / 28 commercial projects convert to manufacturing revenue at a pace somewhat below management's ~30% manufacturing CAGR, so group growth runs 15% then 13% before fading to mid-single digits. WuXi XDC keeps compounding but its gains are shared 49/51 with minorities (captured by deducting the XDC minority at market). BIOSECURE designation risk lingers but does not force US private-sector clients to leave; Western de-risking slows new-logo wins at the margin. Operating EBITDA margin matures at ~47% as the Singapore/US/Ireland plants fill and capex falls from ~21% to ~10.5% of revenue.</t>
  </si>
  <si>
    <t xml:space="preserve">Scenario narrative: bull</t>
  </si>
  <si>
    <t xml:space="preserve">BIOSECURE resolves benignly (WuXi Biologics left off the OMB list due 18 Dec 2026, or the 1260H route is enjoined as for WuXi AppTec), the funding recovery in biotech persists and management's ~20% cc 3-year group CAGR is met in RMB. Commercial-manufacturing conversions (34 PPQs in 2026, 100% success rate) and new modalities (bispecifics, ADC via XDC/BioDlink, peptides) lift margin to ~49.5%, and the global dual-sourcing footprint wins share from clients that need non-China capacity from a China-cost operator.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</si>
  <si>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</si>
  <si>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</si>
  <si>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</si>
  <si>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</si>
  <si>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</si>
  <si>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</si>
  <si>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</si>
  <si>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</si>
  <si>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</si>
  <si>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</si>
  <si>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</si>
  <si>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</si>
  <si>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</si>
  <si>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</si>
  <si>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</si>
  <si>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</si>
  <si>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</si>
  <si>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</si>
  <si>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</si>
  <si>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</si>
  <si>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</si>
  <si>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</si>
  <si>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</si>
  <si>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</si>
  <si>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</si>
  <si>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</si>
  <si>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</si>
  <si>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EffectiveCashTaxRate</t>
  </si>
  <si>
    <t xml:space="preserve">NonControllingInterests</t>
  </si>
  <si>
    <t xml:space="preserve">ProfitForPeriodInclNCI</t>
  </si>
  <si>
    <t xml:space="preserve">TimeDeposits</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</si>
  <si>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</si>
  <si>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</si>
  <si>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</si>
  <si>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</si>
  <si>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</si>
  <si>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</si>
  <si>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</si>
  <si>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</si>
  <si>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</si>
  <si>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</si>
  <si>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</si>
  <si>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</si>
  <si>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</si>
  <si>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</si>
  <si>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</si>
  <si>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</si>
  <si>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</si>
  <si>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</si>
  <si>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</si>
  <si>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</si>
  <si>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</si>
  <si>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</si>
  <si>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</si>
  <si>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</si>
  <si>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</si>
  <si>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</si>
  <si>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</si>
  <si>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</si>
  <si>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</si>
  <si>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</si>
  <si>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</si>
  <si>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</si>
  <si>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</si>
  <si>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</si>
  <si>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</si>
  <si>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</si>
  <si>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</si>
  <si>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</si>
  <si>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</si>
  <si>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</si>
  <si>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</si>
  <si>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</si>
  <si>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</si>
  <si>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</si>
  <si>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</si>
  <si>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2269.HK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</si>
  <si>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</si>
  <si>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</si>
  <si>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</si>
  <si>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</si>
  <si>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</si>
  <si>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</si>
  <si>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</si>
  <si>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</si>
  <si>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</si>
  <si>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</si>
  <si>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</si>
  <si>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</si>
  <si>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</si>
  <si>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</si>
  <si>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</si>
  <si>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</si>
  <si>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</si>
  <si>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</si>
  <si>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</si>
  <si>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</si>
  <si>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</si>
  <si>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</si>
  <si>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</si>
  <si>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</si>
  <si>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</si>
  <si>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</si>
  <si>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</si>
  <si>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</si>
  <si>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</si>
  <si>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</si>
  <si>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2269.HK owner-FCF component DCF: base case (millions, CNY)</t>
  </si>
  <si>
    <t xml:space="preserve">2269.HK owner-FCF component DCF: bull case (millions, CNY)</t>
  </si>
  <si>
    <t xml:space="preserve">2269.HK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</si>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</sst>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48.2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2534.453</v>
      </c>
      <c r="C2" s="0" t="n">
        <v>1516.698</v>
      </c>
      <c r="D2" s="0" t="n">
        <v>1017.755</v>
      </c>
      <c r="E2" s="0" t="n">
        <v>40.2</v>
      </c>
      <c r="F2" s="0" t="n">
        <v>737.722</v>
      </c>
      <c r="G2" s="0" t="n">
        <v>29.1</v>
      </c>
      <c r="I2" s="0" t="n">
        <v>630.592</v>
      </c>
      <c r="J2" s="0" t="n">
        <v>24.9</v>
      </c>
      <c r="K2" s="0" t="n">
        <v>0.16</v>
      </c>
      <c r="L2" s="0" t="n">
        <v>761.607</v>
      </c>
      <c r="M2" s="0" t="n">
        <v>1340.586</v>
      </c>
      <c r="N2" s="0" t="n">
        <v>-578.979</v>
      </c>
      <c r="O2" s="0" t="n">
        <v>7993.755</v>
      </c>
      <c r="P2" s="0" t="n">
        <v>9393.15</v>
      </c>
      <c r="Q2" s="0" t="n">
        <v>1398.922</v>
      </c>
      <c r="R2" s="0" t="n">
        <v>0</v>
      </c>
      <c r="S2" s="0" t="n">
        <v>4084.395</v>
      </c>
      <c r="T2" s="0" t="n">
        <v>3941.614</v>
      </c>
      <c r="U2" s="0" t="n">
        <v>128.374</v>
      </c>
      <c r="V2" s="0" t="n">
        <v>0</v>
      </c>
      <c r="AA2" s="0" t="s">
        <v>18</v>
      </c>
      <c r="AB2" s="0" t="s">
        <v>14</v>
      </c>
      <c r="AC2" s="0" t="n">
        <v>7.1</v>
      </c>
      <c r="AD2" s="0" t="n">
        <v>0.473</v>
      </c>
      <c r="AE2" s="0" t="n">
        <v>630.465</v>
      </c>
      <c r="AF2" s="0" t="n">
        <v>0</v>
      </c>
    </row>
    <row r="3" customFormat="false" ht="15" hidden="false" customHeight="false" outlineLevel="0" collapsed="false">
      <c r="A3" s="0" t="s">
        <v>69</v>
      </c>
      <c r="B3" s="0" t="n">
        <v>3983.687</v>
      </c>
      <c r="C3" s="0" t="n">
        <v>2324.858</v>
      </c>
      <c r="D3" s="0" t="n">
        <v>1658.829</v>
      </c>
      <c r="E3" s="0" t="n">
        <v>41.6</v>
      </c>
      <c r="F3" s="0" t="n">
        <v>1146.238</v>
      </c>
      <c r="G3" s="0" t="n">
        <v>28.8</v>
      </c>
      <c r="H3" s="0" t="n">
        <v>1476.4</v>
      </c>
      <c r="I3" s="0" t="n">
        <v>1013.805</v>
      </c>
      <c r="J3" s="0" t="n">
        <v>25.4</v>
      </c>
      <c r="K3" s="0" t="n">
        <v>0.25</v>
      </c>
      <c r="L3" s="0" t="n">
        <v>1208.079</v>
      </c>
      <c r="M3" s="0" t="n">
        <v>3210.583</v>
      </c>
      <c r="N3" s="0" t="n">
        <v>-2002.504</v>
      </c>
      <c r="O3" s="0" t="n">
        <v>12784.363</v>
      </c>
      <c r="P3" s="0" t="n">
        <v>17602.269</v>
      </c>
      <c r="Q3" s="0" t="n">
        <v>4706.169</v>
      </c>
      <c r="R3" s="0" t="n">
        <v>1901.347</v>
      </c>
      <c r="S3" s="0" t="n">
        <v>6205.496</v>
      </c>
      <c r="T3" s="0" t="n">
        <v>3997.125</v>
      </c>
      <c r="U3" s="0" t="n">
        <v>203.938</v>
      </c>
      <c r="V3" s="0" t="n">
        <v>0</v>
      </c>
      <c r="AA3" s="0" t="s">
        <v>18</v>
      </c>
      <c r="AB3" s="0" t="s">
        <v>14</v>
      </c>
      <c r="AC3" s="0" t="n">
        <v>6.9</v>
      </c>
      <c r="AD3" s="0" t="n">
        <v>111.737</v>
      </c>
      <c r="AE3" s="0" t="n">
        <v>1010.337</v>
      </c>
      <c r="AF3" s="0" t="n">
        <v>0</v>
      </c>
    </row>
    <row r="4" customFormat="false" ht="15" hidden="false" customHeight="false" outlineLevel="0" collapsed="false">
      <c r="A4" s="0" t="s">
        <v>70</v>
      </c>
      <c r="B4" s="0" t="n">
        <v>5612.384</v>
      </c>
      <c r="C4" s="0" t="n">
        <v>3079.418</v>
      </c>
      <c r="D4" s="0" t="n">
        <v>2532.966</v>
      </c>
      <c r="E4" s="0" t="n">
        <v>45.1</v>
      </c>
      <c r="F4" s="0" t="n">
        <v>2008.492</v>
      </c>
      <c r="G4" s="0" t="n">
        <v>35.8</v>
      </c>
      <c r="H4" s="0" t="n">
        <v>2440.9</v>
      </c>
      <c r="I4" s="0" t="n">
        <v>1688.886</v>
      </c>
      <c r="J4" s="0" t="n">
        <v>30.1</v>
      </c>
      <c r="K4" s="0" t="n">
        <v>0.4</v>
      </c>
      <c r="L4" s="0" t="n">
        <v>1881.276</v>
      </c>
      <c r="M4" s="0" t="n">
        <v>6024.78</v>
      </c>
      <c r="N4" s="0" t="n">
        <v>-4143.504</v>
      </c>
      <c r="O4" s="0" t="n">
        <v>20564.445</v>
      </c>
      <c r="P4" s="0" t="n">
        <v>28963.613</v>
      </c>
      <c r="Q4" s="0" t="n">
        <v>8064.217</v>
      </c>
      <c r="R4" s="0" t="n">
        <v>2604.749</v>
      </c>
      <c r="S4" s="0" t="n">
        <v>8368.091</v>
      </c>
      <c r="T4" s="0" t="n">
        <v>4209.169</v>
      </c>
      <c r="U4" s="0" t="n">
        <v>276.37</v>
      </c>
      <c r="V4" s="0" t="n">
        <v>0</v>
      </c>
      <c r="AA4" s="0" t="s">
        <v>18</v>
      </c>
      <c r="AB4" s="0" t="s">
        <v>14</v>
      </c>
      <c r="AC4" s="0" t="n">
        <v>4.8</v>
      </c>
      <c r="AD4" s="0" t="n">
        <v>334.951</v>
      </c>
      <c r="AE4" s="0" t="n">
        <v>1692.694</v>
      </c>
      <c r="AF4" s="0" t="n">
        <v>1272.356</v>
      </c>
    </row>
    <row r="5" customFormat="false" ht="15" hidden="false" customHeight="false" outlineLevel="0" collapsed="false">
      <c r="A5" s="0" t="s">
        <v>71</v>
      </c>
      <c r="B5" s="0" t="n">
        <v>10290.05</v>
      </c>
      <c r="C5" s="0" t="n">
        <v>5461.153</v>
      </c>
      <c r="D5" s="0" t="n">
        <v>4828.897</v>
      </c>
      <c r="E5" s="0" t="n">
        <v>46.9</v>
      </c>
      <c r="F5" s="0" t="n">
        <v>4032.31</v>
      </c>
      <c r="G5" s="0" t="n">
        <v>39.2</v>
      </c>
      <c r="H5" s="0" t="n">
        <v>4662.3</v>
      </c>
      <c r="I5" s="0" t="n">
        <v>3388.478</v>
      </c>
      <c r="J5" s="0" t="n">
        <v>32.9</v>
      </c>
      <c r="K5" s="0" t="n">
        <v>0.77</v>
      </c>
      <c r="L5" s="0" t="n">
        <v>3431.258</v>
      </c>
      <c r="M5" s="0" t="n">
        <v>6507.803</v>
      </c>
      <c r="N5" s="0" t="n">
        <v>-3076.545</v>
      </c>
      <c r="O5" s="0" t="n">
        <v>32278.593</v>
      </c>
      <c r="P5" s="0" t="n">
        <v>44032.623</v>
      </c>
      <c r="Q5" s="0" t="n">
        <v>11326.457</v>
      </c>
      <c r="R5" s="0" t="n">
        <v>2762.408</v>
      </c>
      <c r="S5" s="0" t="n">
        <v>10150.906</v>
      </c>
      <c r="T5" s="0" t="n">
        <v>4421.797</v>
      </c>
      <c r="U5" s="0" t="n">
        <v>531.923</v>
      </c>
      <c r="V5" s="0" t="n">
        <v>0</v>
      </c>
      <c r="AA5" s="0" t="s">
        <v>18</v>
      </c>
      <c r="AB5" s="0" t="s">
        <v>14</v>
      </c>
      <c r="AC5" s="0" t="n">
        <v>8.8</v>
      </c>
      <c r="AD5" s="0" t="n">
        <v>427.573</v>
      </c>
      <c r="AE5" s="0" t="n">
        <v>3508.581</v>
      </c>
      <c r="AF5" s="0" t="n">
        <v>1147.626</v>
      </c>
    </row>
    <row r="6" customFormat="false" ht="15" hidden="false" customHeight="false" outlineLevel="0" collapsed="false">
      <c r="A6" s="0" t="s">
        <v>72</v>
      </c>
      <c r="B6" s="0" t="n">
        <v>15268.66</v>
      </c>
      <c r="C6" s="0" t="n">
        <v>8544.646</v>
      </c>
      <c r="D6" s="0" t="n">
        <v>6724.014</v>
      </c>
      <c r="E6" s="0" t="n">
        <v>44</v>
      </c>
      <c r="F6" s="0" t="n">
        <v>5422.153</v>
      </c>
      <c r="G6" s="0" t="n">
        <v>35.5</v>
      </c>
      <c r="H6" s="0" t="n">
        <v>6353.4</v>
      </c>
      <c r="I6" s="0" t="n">
        <v>4420.286</v>
      </c>
      <c r="J6" s="0" t="n">
        <v>29</v>
      </c>
      <c r="K6" s="0" t="n">
        <v>1.01</v>
      </c>
      <c r="L6" s="0" t="n">
        <v>5541.673</v>
      </c>
      <c r="M6" s="0" t="n">
        <v>5868.39</v>
      </c>
      <c r="N6" s="0" t="n">
        <v>-326.717</v>
      </c>
      <c r="O6" s="0" t="n">
        <v>35047.407</v>
      </c>
      <c r="P6" s="0" t="n">
        <v>49564.385</v>
      </c>
      <c r="Q6" s="0" t="n">
        <v>13351.308</v>
      </c>
      <c r="R6" s="0" t="n">
        <v>2782.993</v>
      </c>
      <c r="S6" s="0" t="n">
        <v>6699.691</v>
      </c>
      <c r="T6" s="0" t="n">
        <v>4375.908</v>
      </c>
      <c r="U6" s="0" t="n">
        <v>1234.383</v>
      </c>
      <c r="V6" s="0" t="n">
        <v>0</v>
      </c>
      <c r="AA6" s="0" t="s">
        <v>18</v>
      </c>
      <c r="AB6" s="0" t="s">
        <v>14</v>
      </c>
      <c r="AC6" s="0" t="n">
        <v>10.9</v>
      </c>
      <c r="AD6" s="0" t="n">
        <v>1165.67</v>
      </c>
      <c r="AE6" s="0" t="n">
        <v>4549.906</v>
      </c>
      <c r="AF6" s="0" t="n">
        <v>304.469</v>
      </c>
    </row>
    <row r="7" customFormat="false" ht="15" hidden="false" customHeight="false" outlineLevel="0" collapsed="false">
      <c r="A7" s="0" t="s">
        <v>73</v>
      </c>
      <c r="B7" s="0" t="n">
        <v>17034.255</v>
      </c>
      <c r="C7" s="0" t="n">
        <v>10206.354</v>
      </c>
      <c r="D7" s="0" t="n">
        <v>6827.901</v>
      </c>
      <c r="E7" s="0" t="n">
        <v>40.1</v>
      </c>
      <c r="F7" s="0" t="n">
        <v>4332.291</v>
      </c>
      <c r="G7" s="0" t="n">
        <v>25.4</v>
      </c>
      <c r="H7" s="0" t="n">
        <v>5613.2</v>
      </c>
      <c r="I7" s="0" t="n">
        <v>3399.729</v>
      </c>
      <c r="J7" s="0" t="n">
        <v>20</v>
      </c>
      <c r="K7" s="0" t="n">
        <v>0.77</v>
      </c>
      <c r="L7" s="0" t="n">
        <v>4667.712</v>
      </c>
      <c r="M7" s="0" t="n">
        <v>4045.574</v>
      </c>
      <c r="N7" s="0" t="n">
        <v>622.138</v>
      </c>
      <c r="O7" s="0" t="n">
        <v>40331.597</v>
      </c>
      <c r="P7" s="0" t="n">
        <v>56575.726</v>
      </c>
      <c r="Q7" s="0" t="n">
        <v>12557.844</v>
      </c>
      <c r="R7" s="0" t="n">
        <v>2147.374</v>
      </c>
      <c r="S7" s="0" t="n">
        <v>10009.839</v>
      </c>
      <c r="T7" s="0" t="n">
        <v>4348.874</v>
      </c>
      <c r="U7" s="0" t="n">
        <v>1274.051</v>
      </c>
      <c r="V7" s="0" t="n">
        <v>0</v>
      </c>
      <c r="AA7" s="0" t="s">
        <v>18</v>
      </c>
      <c r="AB7" s="0" t="s">
        <v>14</v>
      </c>
      <c r="AC7" s="0" t="n">
        <v>18.7</v>
      </c>
      <c r="AD7" s="0" t="n">
        <v>3686.285</v>
      </c>
      <c r="AE7" s="0" t="n">
        <v>3570.624</v>
      </c>
      <c r="AF7" s="0" t="n">
        <v>340</v>
      </c>
    </row>
    <row r="8" customFormat="false" ht="15" hidden="false" customHeight="false" outlineLevel="0" collapsed="false">
      <c r="A8" s="0" t="s">
        <v>74</v>
      </c>
      <c r="B8" s="0" t="n">
        <v>18675.371</v>
      </c>
      <c r="C8" s="0" t="n">
        <v>11024.551</v>
      </c>
      <c r="D8" s="0" t="n">
        <v>7650.82</v>
      </c>
      <c r="E8" s="0" t="n">
        <v>41</v>
      </c>
      <c r="F8" s="0" t="n">
        <v>4991.985</v>
      </c>
      <c r="G8" s="0" t="n">
        <v>26.7</v>
      </c>
      <c r="H8" s="0" t="n">
        <v>6547.8</v>
      </c>
      <c r="I8" s="0" t="n">
        <v>3356.081</v>
      </c>
      <c r="J8" s="0" t="n">
        <v>18</v>
      </c>
      <c r="K8" s="0" t="n">
        <v>0.78</v>
      </c>
      <c r="L8" s="0" t="n">
        <v>5217.257</v>
      </c>
      <c r="M8" s="0" t="n">
        <v>3929.621</v>
      </c>
      <c r="N8" s="0" t="n">
        <v>1287.636</v>
      </c>
      <c r="O8" s="0" t="n">
        <v>41819.209</v>
      </c>
      <c r="P8" s="0" t="n">
        <v>56977.435</v>
      </c>
      <c r="Q8" s="0" t="n">
        <v>11499.866</v>
      </c>
      <c r="R8" s="0" t="n">
        <v>2636.2</v>
      </c>
      <c r="S8" s="0" t="n">
        <v>10186.198</v>
      </c>
      <c r="T8" s="0" t="n">
        <v>4227.165</v>
      </c>
      <c r="U8" s="0" t="n">
        <v>1215.587</v>
      </c>
      <c r="V8" s="0" t="n">
        <v>0</v>
      </c>
      <c r="AA8" s="0" t="s">
        <v>18</v>
      </c>
      <c r="AB8" s="0" t="s">
        <v>14</v>
      </c>
      <c r="AC8" s="0" t="n">
        <v>22.6</v>
      </c>
      <c r="AD8" s="0" t="n">
        <v>3658.36</v>
      </c>
      <c r="AE8" s="0" t="n">
        <v>3945.371</v>
      </c>
      <c r="AF8" s="0" t="n">
        <v>1907.016</v>
      </c>
    </row>
    <row r="9" customFormat="false" ht="15" hidden="false" customHeight="false" outlineLevel="0" collapsed="false">
      <c r="A9" s="0" t="s">
        <v>75</v>
      </c>
      <c r="B9" s="0" t="n">
        <v>21790.018</v>
      </c>
      <c r="C9" s="0" t="n">
        <v>11771.506</v>
      </c>
      <c r="D9" s="0" t="n">
        <v>10018.512</v>
      </c>
      <c r="E9" s="0" t="n">
        <v>46</v>
      </c>
      <c r="F9" s="0" t="n">
        <v>7399.966</v>
      </c>
      <c r="G9" s="0" t="n">
        <v>34</v>
      </c>
      <c r="H9" s="0" t="n">
        <v>9042.9</v>
      </c>
      <c r="I9" s="0" t="n">
        <v>4908.343</v>
      </c>
      <c r="J9" s="0" t="n">
        <v>22.5</v>
      </c>
      <c r="K9" s="0" t="n">
        <v>1.16</v>
      </c>
      <c r="L9" s="0" t="n">
        <v>6340.922</v>
      </c>
      <c r="M9" s="0" t="n">
        <v>3685.115</v>
      </c>
      <c r="N9" s="0" t="n">
        <v>2655.807</v>
      </c>
      <c r="O9" s="0" t="n">
        <v>47248.676</v>
      </c>
      <c r="P9" s="0" t="n">
        <v>63696.738</v>
      </c>
      <c r="Q9" s="0" t="n">
        <v>10657.394</v>
      </c>
      <c r="R9" s="0" t="n">
        <v>1042.898</v>
      </c>
      <c r="S9" s="0" t="n">
        <v>14800.78</v>
      </c>
      <c r="T9" s="0" t="n">
        <v>4175.774</v>
      </c>
      <c r="U9" s="0" t="n">
        <v>955.055</v>
      </c>
      <c r="V9" s="0" t="n">
        <v>0</v>
      </c>
      <c r="AA9" s="0" t="s">
        <v>18</v>
      </c>
      <c r="AB9" s="0" t="s">
        <v>14</v>
      </c>
      <c r="AC9" s="0" t="n">
        <v>19.3</v>
      </c>
      <c r="AD9" s="0" t="n">
        <v>5790.668</v>
      </c>
      <c r="AE9" s="0" t="n">
        <v>5733.227</v>
      </c>
      <c r="AF9" s="0" t="n">
        <v>5586.994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48.2</v>
      </c>
    </row>
    <row r="3" customFormat="false" ht="15" hidden="false" customHeight="false" outlineLevel="0" collapsed="false">
      <c r="A3" s="0" t="s">
        <v>79</v>
      </c>
      <c r="B3" s="3" t="n">
        <v>4180.9</v>
      </c>
    </row>
    <row r="4" customFormat="false" ht="15" hidden="false" customHeight="false" outlineLevel="0" collapsed="false">
      <c r="A4" s="0" t="s">
        <v>80</v>
      </c>
      <c r="B4" s="3" t="n">
        <v>-10302.6</v>
      </c>
    </row>
    <row r="5" customFormat="false" ht="15" hidden="false" customHeight="false" outlineLevel="0" collapsed="false">
      <c r="A5" s="0" t="s">
        <v>81</v>
      </c>
      <c r="B5" s="3" t="n">
        <v>-35981.8</v>
      </c>
    </row>
    <row r="6" customFormat="false" ht="15" hidden="false" customHeight="false" outlineLevel="0" collapsed="false">
      <c r="A6" s="0" t="s">
        <v>82</v>
      </c>
      <c r="B6" s="3" t="n">
        <v>15</v>
      </c>
    </row>
    <row r="7" customFormat="false" ht="15" hidden="false" customHeight="false" outlineLevel="0" collapsed="false">
      <c r="A7" s="0" t="s">
        <v>83</v>
      </c>
      <c r="B7" s="3" t="n">
        <v>21790</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1.1724</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14</v>
      </c>
      <c r="D13" s="3" t="n">
        <v>6</v>
      </c>
      <c r="E13" s="3" t="n">
        <v>4</v>
      </c>
      <c r="F13" s="3" t="n">
        <v>4</v>
      </c>
      <c r="G13" s="3" t="n">
        <v>5</v>
      </c>
      <c r="H13" s="3" t="n">
        <v>5</v>
      </c>
      <c r="I13" s="3" t="n">
        <v>4.5</v>
      </c>
      <c r="J13" s="3" t="n">
        <v>4</v>
      </c>
      <c r="K13" s="3" t="n">
        <v>3.5</v>
      </c>
      <c r="L13" s="3" t="n">
        <v>3</v>
      </c>
    </row>
    <row r="14" customFormat="false" ht="15" hidden="false" customHeight="false" outlineLevel="0" collapsed="false">
      <c r="A14" s="0" t="s">
        <v>100</v>
      </c>
      <c r="C14" s="3" t="n">
        <v>43.5</v>
      </c>
      <c r="D14" s="3" t="n">
        <v>42</v>
      </c>
      <c r="E14" s="3" t="n">
        <v>41</v>
      </c>
      <c r="F14" s="3" t="n">
        <v>40.5</v>
      </c>
      <c r="G14" s="3" t="n">
        <v>40.5</v>
      </c>
      <c r="H14" s="3" t="n">
        <v>40.5</v>
      </c>
      <c r="I14" s="3" t="n">
        <v>40.5</v>
      </c>
      <c r="J14" s="3" t="n">
        <v>40.5</v>
      </c>
      <c r="K14" s="3" t="n">
        <v>40.5</v>
      </c>
      <c r="L14" s="3" t="n">
        <v>40.5</v>
      </c>
    </row>
    <row r="15" customFormat="false" ht="15" hidden="false" customHeight="false" outlineLevel="0" collapsed="false">
      <c r="A15" s="0" t="s">
        <v>101</v>
      </c>
      <c r="C15" s="3" t="n">
        <v>4</v>
      </c>
      <c r="D15" s="3" t="n">
        <v>4</v>
      </c>
      <c r="E15" s="3" t="n">
        <v>3.9</v>
      </c>
      <c r="F15" s="3" t="n">
        <v>3.8</v>
      </c>
      <c r="G15" s="3" t="n">
        <v>3.7</v>
      </c>
      <c r="H15" s="3" t="n">
        <v>3.6</v>
      </c>
      <c r="I15" s="3" t="n">
        <v>3.5</v>
      </c>
      <c r="J15" s="3" t="n">
        <v>3.5</v>
      </c>
      <c r="K15" s="3" t="n">
        <v>3.5</v>
      </c>
      <c r="L15" s="3" t="n">
        <v>3.5</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7.7</v>
      </c>
      <c r="D17" s="3" t="n">
        <v>8.3</v>
      </c>
      <c r="E17" s="3" t="n">
        <v>8.8</v>
      </c>
      <c r="F17" s="3" t="n">
        <v>9.2</v>
      </c>
      <c r="G17" s="3" t="n">
        <v>9.4</v>
      </c>
      <c r="H17" s="3" t="n">
        <v>9.5</v>
      </c>
      <c r="I17" s="3" t="n">
        <v>9.5</v>
      </c>
      <c r="J17" s="3" t="n">
        <v>9.5</v>
      </c>
      <c r="K17" s="3" t="n">
        <v>9.5</v>
      </c>
      <c r="L17" s="3" t="n">
        <v>9.5</v>
      </c>
    </row>
    <row r="18" customFormat="false" ht="15" hidden="false" customHeight="false" outlineLevel="0" collapsed="false">
      <c r="A18" s="0" t="s">
        <v>104</v>
      </c>
      <c r="C18" s="3" t="n">
        <v>21</v>
      </c>
      <c r="D18" s="3" t="n">
        <v>18</v>
      </c>
      <c r="E18" s="3" t="n">
        <v>15</v>
      </c>
      <c r="F18" s="3" t="n">
        <v>12.5</v>
      </c>
      <c r="G18" s="3" t="n">
        <v>11</v>
      </c>
      <c r="H18" s="3" t="n">
        <v>10.5</v>
      </c>
      <c r="I18" s="3" t="n">
        <v>10</v>
      </c>
      <c r="J18" s="3" t="n">
        <v>10</v>
      </c>
      <c r="K18" s="3" t="n">
        <v>10</v>
      </c>
      <c r="L18" s="3" t="n">
        <v>10</v>
      </c>
    </row>
    <row r="19" customFormat="false" ht="15" hidden="false" customHeight="false" outlineLevel="0" collapsed="false">
      <c r="A19" s="0" t="s">
        <v>105</v>
      </c>
      <c r="C19" s="3" t="n">
        <v>20</v>
      </c>
      <c r="D19" s="3" t="n">
        <v>20</v>
      </c>
      <c r="E19" s="3" t="n">
        <v>20</v>
      </c>
      <c r="F19" s="3" t="n">
        <v>21</v>
      </c>
      <c r="G19" s="3" t="n">
        <v>21</v>
      </c>
      <c r="H19" s="3" t="n">
        <v>21</v>
      </c>
      <c r="I19" s="3" t="n">
        <v>21</v>
      </c>
      <c r="J19" s="3" t="n">
        <v>21</v>
      </c>
      <c r="K19" s="3" t="n">
        <v>21</v>
      </c>
      <c r="L19" s="3" t="n">
        <v>21</v>
      </c>
    </row>
    <row r="20" customFormat="false" ht="15" hidden="false" customHeight="false" outlineLevel="0" collapsed="false">
      <c r="A20" s="0" t="s">
        <v>106</v>
      </c>
      <c r="B20" s="3" t="n">
        <v>9.5</v>
      </c>
    </row>
    <row r="21" customFormat="false" ht="15" hidden="false" customHeight="false" outlineLevel="0" collapsed="false">
      <c r="A21" s="0" t="s">
        <v>107</v>
      </c>
      <c r="B21" s="3" t="n">
        <v>2</v>
      </c>
    </row>
    <row r="22" customFormat="false" ht="15" hidden="false" customHeight="false" outlineLevel="0" collapsed="false">
      <c r="A22" s="0" t="s">
        <v>108</v>
      </c>
      <c r="B22" s="3" t="n">
        <v>18</v>
      </c>
    </row>
    <row r="23" customFormat="false" ht="15" hidden="false" customHeight="false" outlineLevel="0" collapsed="false">
      <c r="A23" s="0" t="s">
        <v>109</v>
      </c>
      <c r="B23" s="3" t="n">
        <v>-25</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16.5</v>
      </c>
      <c r="D27" s="3" t="n">
        <v>15</v>
      </c>
      <c r="E27" s="3" t="n">
        <v>13</v>
      </c>
      <c r="F27" s="3" t="n">
        <v>12</v>
      </c>
      <c r="G27" s="3" t="n">
        <v>11</v>
      </c>
      <c r="H27" s="3" t="n">
        <v>10</v>
      </c>
      <c r="I27" s="3" t="n">
        <v>9</v>
      </c>
      <c r="J27" s="3" t="n">
        <v>8</v>
      </c>
      <c r="K27" s="3" t="n">
        <v>7</v>
      </c>
      <c r="L27" s="3" t="n">
        <v>6</v>
      </c>
    </row>
    <row r="28" customFormat="false" ht="15" hidden="false" customHeight="false" outlineLevel="0" collapsed="false">
      <c r="A28" s="0" t="s">
        <v>100</v>
      </c>
      <c r="C28" s="3" t="n">
        <v>45</v>
      </c>
      <c r="D28" s="3" t="n">
        <v>45.5</v>
      </c>
      <c r="E28" s="3" t="n">
        <v>46</v>
      </c>
      <c r="F28" s="3" t="n">
        <v>46.5</v>
      </c>
      <c r="G28" s="3" t="n">
        <v>47</v>
      </c>
      <c r="H28" s="3" t="n">
        <v>47</v>
      </c>
      <c r="I28" s="3" t="n">
        <v>47</v>
      </c>
      <c r="J28" s="3" t="n">
        <v>47</v>
      </c>
      <c r="K28" s="3" t="n">
        <v>47</v>
      </c>
      <c r="L28" s="3" t="n">
        <v>47</v>
      </c>
    </row>
    <row r="29" customFormat="false" ht="15" hidden="false" customHeight="false" outlineLevel="0" collapsed="false">
      <c r="A29" s="0" t="s">
        <v>101</v>
      </c>
      <c r="C29" s="3" t="n">
        <v>4</v>
      </c>
      <c r="D29" s="3" t="n">
        <v>3.9</v>
      </c>
      <c r="E29" s="3" t="n">
        <v>3.8</v>
      </c>
      <c r="F29" s="3" t="n">
        <v>3.7</v>
      </c>
      <c r="G29" s="3" t="n">
        <v>3.6</v>
      </c>
      <c r="H29" s="3" t="n">
        <v>3.5</v>
      </c>
      <c r="I29" s="3" t="n">
        <v>3.5</v>
      </c>
      <c r="J29" s="3" t="n">
        <v>3.5</v>
      </c>
      <c r="K29" s="3" t="n">
        <v>3.5</v>
      </c>
      <c r="L29" s="3" t="n">
        <v>3.5</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7.6</v>
      </c>
      <c r="D31" s="3" t="n">
        <v>7.9</v>
      </c>
      <c r="E31" s="3" t="n">
        <v>8.2</v>
      </c>
      <c r="F31" s="3" t="n">
        <v>8.5</v>
      </c>
      <c r="G31" s="3" t="n">
        <v>8.7</v>
      </c>
      <c r="H31" s="3" t="n">
        <v>8.9</v>
      </c>
      <c r="I31" s="3" t="n">
        <v>9</v>
      </c>
      <c r="J31" s="3" t="n">
        <v>9</v>
      </c>
      <c r="K31" s="3" t="n">
        <v>9</v>
      </c>
      <c r="L31" s="3" t="n">
        <v>9</v>
      </c>
    </row>
    <row r="32" customFormat="false" ht="15" hidden="false" customHeight="false" outlineLevel="0" collapsed="false">
      <c r="A32" s="0" t="s">
        <v>104</v>
      </c>
      <c r="C32" s="3" t="n">
        <v>21</v>
      </c>
      <c r="D32" s="3" t="n">
        <v>19</v>
      </c>
      <c r="E32" s="3" t="n">
        <v>17</v>
      </c>
      <c r="F32" s="3" t="n">
        <v>15</v>
      </c>
      <c r="G32" s="3" t="n">
        <v>14</v>
      </c>
      <c r="H32" s="3" t="n">
        <v>13</v>
      </c>
      <c r="I32" s="3" t="n">
        <v>12</v>
      </c>
      <c r="J32" s="3" t="n">
        <v>11.5</v>
      </c>
      <c r="K32" s="3" t="n">
        <v>11</v>
      </c>
      <c r="L32" s="3" t="n">
        <v>10.5</v>
      </c>
    </row>
    <row r="33" customFormat="false" ht="15" hidden="false" customHeight="false" outlineLevel="0" collapsed="false">
      <c r="A33" s="0" t="s">
        <v>105</v>
      </c>
      <c r="C33" s="3" t="n">
        <v>20</v>
      </c>
      <c r="D33" s="3" t="n">
        <v>20</v>
      </c>
      <c r="E33" s="3" t="n">
        <v>20</v>
      </c>
      <c r="F33" s="3" t="n">
        <v>21</v>
      </c>
      <c r="G33" s="3" t="n">
        <v>21</v>
      </c>
      <c r="H33" s="3" t="n">
        <v>21</v>
      </c>
      <c r="I33" s="3" t="n">
        <v>21</v>
      </c>
      <c r="J33" s="3" t="n">
        <v>21</v>
      </c>
      <c r="K33" s="3" t="n">
        <v>21</v>
      </c>
      <c r="L33" s="3" t="n">
        <v>21</v>
      </c>
    </row>
    <row r="34" customFormat="false" ht="15" hidden="false" customHeight="false" outlineLevel="0" collapsed="false">
      <c r="A34" s="0" t="s">
        <v>106</v>
      </c>
      <c r="B34" s="3" t="n">
        <v>9.5</v>
      </c>
    </row>
    <row r="35" customFormat="false" ht="15" hidden="false" customHeight="false" outlineLevel="0" collapsed="false">
      <c r="A35" s="0" t="s">
        <v>107</v>
      </c>
      <c r="B35" s="3" t="n">
        <v>2.5</v>
      </c>
    </row>
    <row r="36" customFormat="false" ht="15" hidden="false" customHeight="false" outlineLevel="0" collapsed="false">
      <c r="A36" s="0" t="s">
        <v>108</v>
      </c>
      <c r="B36" s="3" t="n">
        <v>18</v>
      </c>
    </row>
    <row r="37" customFormat="false" ht="15" hidden="false" customHeight="false" outlineLevel="0" collapsed="false">
      <c r="A37" s="0" t="s">
        <v>109</v>
      </c>
      <c r="B37" s="3" t="n">
        <v>-25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18</v>
      </c>
      <c r="D41" s="3" t="n">
        <v>19</v>
      </c>
      <c r="E41" s="3" t="n">
        <v>18</v>
      </c>
      <c r="F41" s="3" t="n">
        <v>16</v>
      </c>
      <c r="G41" s="3" t="n">
        <v>14</v>
      </c>
      <c r="H41" s="3" t="n">
        <v>12</v>
      </c>
      <c r="I41" s="3" t="n">
        <v>11</v>
      </c>
      <c r="J41" s="3" t="n">
        <v>10</v>
      </c>
      <c r="K41" s="3" t="n">
        <v>9</v>
      </c>
      <c r="L41" s="3" t="n">
        <v>8</v>
      </c>
    </row>
    <row r="42" customFormat="false" ht="15" hidden="false" customHeight="false" outlineLevel="0" collapsed="false">
      <c r="A42" s="0" t="s">
        <v>100</v>
      </c>
      <c r="C42" s="3" t="n">
        <v>45.5</v>
      </c>
      <c r="D42" s="3" t="n">
        <v>46.5</v>
      </c>
      <c r="E42" s="3" t="n">
        <v>47.5</v>
      </c>
      <c r="F42" s="3" t="n">
        <v>48.5</v>
      </c>
      <c r="G42" s="3" t="n">
        <v>49</v>
      </c>
      <c r="H42" s="3" t="n">
        <v>49.5</v>
      </c>
      <c r="I42" s="3" t="n">
        <v>49.5</v>
      </c>
      <c r="J42" s="3" t="n">
        <v>49.5</v>
      </c>
      <c r="K42" s="3" t="n">
        <v>49.5</v>
      </c>
      <c r="L42" s="3" t="n">
        <v>49.5</v>
      </c>
    </row>
    <row r="43" customFormat="false" ht="15" hidden="false" customHeight="false" outlineLevel="0" collapsed="false">
      <c r="A43" s="0" t="s">
        <v>101</v>
      </c>
      <c r="C43" s="3" t="n">
        <v>4</v>
      </c>
      <c r="D43" s="3" t="n">
        <v>3.9</v>
      </c>
      <c r="E43" s="3" t="n">
        <v>3.8</v>
      </c>
      <c r="F43" s="3" t="n">
        <v>3.7</v>
      </c>
      <c r="G43" s="3" t="n">
        <v>3.6</v>
      </c>
      <c r="H43" s="3" t="n">
        <v>3.5</v>
      </c>
      <c r="I43" s="3" t="n">
        <v>3.5</v>
      </c>
      <c r="J43" s="3" t="n">
        <v>3.5</v>
      </c>
      <c r="K43" s="3" t="n">
        <v>3.5</v>
      </c>
      <c r="L43" s="3" t="n">
        <v>3.5</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7.6</v>
      </c>
      <c r="D45" s="3" t="n">
        <v>7.8</v>
      </c>
      <c r="E45" s="3" t="n">
        <v>8</v>
      </c>
      <c r="F45" s="3" t="n">
        <v>8.2</v>
      </c>
      <c r="G45" s="3" t="n">
        <v>8.4</v>
      </c>
      <c r="H45" s="3" t="n">
        <v>8.6</v>
      </c>
      <c r="I45" s="3" t="n">
        <v>8.8</v>
      </c>
      <c r="J45" s="3" t="n">
        <v>8.9</v>
      </c>
      <c r="K45" s="3" t="n">
        <v>9</v>
      </c>
      <c r="L45" s="3" t="n">
        <v>9</v>
      </c>
    </row>
    <row r="46" customFormat="false" ht="15" hidden="false" customHeight="false" outlineLevel="0" collapsed="false">
      <c r="A46" s="0" t="s">
        <v>104</v>
      </c>
      <c r="C46" s="3" t="n">
        <v>21</v>
      </c>
      <c r="D46" s="3" t="n">
        <v>20</v>
      </c>
      <c r="E46" s="3" t="n">
        <v>18</v>
      </c>
      <c r="F46" s="3" t="n">
        <v>16</v>
      </c>
      <c r="G46" s="3" t="n">
        <v>15</v>
      </c>
      <c r="H46" s="3" t="n">
        <v>14</v>
      </c>
      <c r="I46" s="3" t="n">
        <v>13</v>
      </c>
      <c r="J46" s="3" t="n">
        <v>12</v>
      </c>
      <c r="K46" s="3" t="n">
        <v>11.5</v>
      </c>
      <c r="L46" s="3" t="n">
        <v>11</v>
      </c>
    </row>
    <row r="47" customFormat="false" ht="15" hidden="false" customHeight="false" outlineLevel="0" collapsed="false">
      <c r="A47" s="0" t="s">
        <v>105</v>
      </c>
      <c r="C47" s="3" t="n">
        <v>20</v>
      </c>
      <c r="D47" s="3" t="n">
        <v>20</v>
      </c>
      <c r="E47" s="3" t="n">
        <v>20</v>
      </c>
      <c r="F47" s="3" t="n">
        <v>21</v>
      </c>
      <c r="G47" s="3" t="n">
        <v>21</v>
      </c>
      <c r="H47" s="3" t="n">
        <v>21</v>
      </c>
      <c r="I47" s="3" t="n">
        <v>21</v>
      </c>
      <c r="J47" s="3" t="n">
        <v>21</v>
      </c>
      <c r="K47" s="3" t="n">
        <v>21</v>
      </c>
      <c r="L47" s="3" t="n">
        <v>21</v>
      </c>
    </row>
    <row r="48" customFormat="false" ht="15" hidden="false" customHeight="false" outlineLevel="0" collapsed="false">
      <c r="A48" s="0" t="s">
        <v>106</v>
      </c>
      <c r="B48" s="3" t="n">
        <v>9.5</v>
      </c>
    </row>
    <row r="49" customFormat="false" ht="15" hidden="false" customHeight="false" outlineLevel="0" collapsed="false">
      <c r="A49" s="0" t="s">
        <v>107</v>
      </c>
      <c r="B49" s="3" t="n">
        <v>3</v>
      </c>
    </row>
    <row r="50" customFormat="false" ht="15" hidden="false" customHeight="false" outlineLevel="0" collapsed="false">
      <c r="A50" s="0" t="s">
        <v>108</v>
      </c>
      <c r="B50" s="3" t="n">
        <v>18</v>
      </c>
    </row>
    <row r="51" customFormat="false" ht="15" hidden="false" customHeight="false" outlineLevel="0" collapsed="false">
      <c r="A51" s="0" t="s">
        <v>109</v>
      </c>
      <c r="B51" s="3" t="n">
        <v>-25</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14</v>
      </c>
      <c r="D5" s="4" t="n">
        <f aca="false">Assumptions!D13</f>
        <v>6</v>
      </c>
      <c r="E5" s="4" t="n">
        <f aca="false">Assumptions!E13</f>
        <v>4</v>
      </c>
      <c r="F5" s="4" t="n">
        <f aca="false">Assumptions!F13</f>
        <v>4</v>
      </c>
      <c r="G5" s="4" t="n">
        <f aca="false">Assumptions!G13</f>
        <v>5</v>
      </c>
      <c r="H5" s="4" t="n">
        <f aca="false">Assumptions!H13</f>
        <v>5</v>
      </c>
      <c r="I5" s="4" t="n">
        <f aca="false">Assumptions!I13</f>
        <v>4.5</v>
      </c>
      <c r="J5" s="4" t="n">
        <f aca="false">Assumptions!J13</f>
        <v>4</v>
      </c>
      <c r="K5" s="4" t="n">
        <f aca="false">Assumptions!K13</f>
        <v>3.5</v>
      </c>
      <c r="L5" s="4" t="n">
        <f aca="false">Assumptions!L13</f>
        <v>3</v>
      </c>
    </row>
    <row r="6" customFormat="false" ht="15" hidden="false" customHeight="false" outlineLevel="0" collapsed="false">
      <c r="A6" s="0" t="s">
        <v>38</v>
      </c>
      <c r="B6" s="3" t="n">
        <v>21790</v>
      </c>
      <c r="C6" s="0" t="n">
        <f aca="false">B6*(1+C5/100)</f>
        <v>24840.6</v>
      </c>
      <c r="D6" s="0" t="n">
        <f aca="false">C6*(1+D5/100)</f>
        <v>26331.036</v>
      </c>
      <c r="E6" s="0" t="n">
        <f aca="false">D6*(1+E5/100)</f>
        <v>27384.27744</v>
      </c>
      <c r="F6" s="0" t="n">
        <f aca="false">E6*(1+F5/100)</f>
        <v>28479.6485376</v>
      </c>
      <c r="G6" s="0" t="n">
        <f aca="false">F6*(1+G5/100)</f>
        <v>29903.63096448</v>
      </c>
      <c r="H6" s="0" t="n">
        <f aca="false">G6*(1+H5/100)</f>
        <v>31398.812512704</v>
      </c>
      <c r="I6" s="0" t="n">
        <f aca="false">H6*(1+I5/100)</f>
        <v>32811.7590757757</v>
      </c>
      <c r="J6" s="0" t="n">
        <f aca="false">I6*(1+J5/100)</f>
        <v>34124.2294388067</v>
      </c>
      <c r="K6" s="0" t="n">
        <f aca="false">J6*(1+K5/100)</f>
        <v>35318.5774691649</v>
      </c>
      <c r="L6" s="0" t="n">
        <f aca="false">K6*(1+L5/100)</f>
        <v>36378.1347932399</v>
      </c>
    </row>
    <row r="7" customFormat="false" ht="15" hidden="false" customHeight="false" outlineLevel="0" collapsed="false">
      <c r="A7" s="0" t="s">
        <v>100</v>
      </c>
      <c r="C7" s="4" t="n">
        <f aca="false">Assumptions!C14</f>
        <v>43.5</v>
      </c>
      <c r="D7" s="4" t="n">
        <f aca="false">Assumptions!D14</f>
        <v>42</v>
      </c>
      <c r="E7" s="4" t="n">
        <f aca="false">Assumptions!E14</f>
        <v>41</v>
      </c>
      <c r="F7" s="4" t="n">
        <f aca="false">Assumptions!F14</f>
        <v>40.5</v>
      </c>
      <c r="G7" s="4" t="n">
        <f aca="false">Assumptions!G14</f>
        <v>40.5</v>
      </c>
      <c r="H7" s="4" t="n">
        <f aca="false">Assumptions!H14</f>
        <v>40.5</v>
      </c>
      <c r="I7" s="4" t="n">
        <f aca="false">Assumptions!I14</f>
        <v>40.5</v>
      </c>
      <c r="J7" s="4" t="n">
        <f aca="false">Assumptions!J14</f>
        <v>40.5</v>
      </c>
      <c r="K7" s="4" t="n">
        <f aca="false">Assumptions!K14</f>
        <v>40.5</v>
      </c>
      <c r="L7" s="4" t="n">
        <f aca="false">Assumptions!L14</f>
        <v>40.5</v>
      </c>
    </row>
    <row r="8" customFormat="false" ht="15" hidden="false" customHeight="false" outlineLevel="0" collapsed="false">
      <c r="A8" s="0" t="s">
        <v>44</v>
      </c>
      <c r="C8" s="0" t="n">
        <f aca="false">C6*C7/100</f>
        <v>10805.661</v>
      </c>
      <c r="D8" s="0" t="n">
        <f aca="false">D6*D7/100</f>
        <v>11059.03512</v>
      </c>
      <c r="E8" s="0" t="n">
        <f aca="false">E6*E7/100</f>
        <v>11227.5537504</v>
      </c>
      <c r="F8" s="0" t="n">
        <f aca="false">F6*F7/100</f>
        <v>11534.257657728</v>
      </c>
      <c r="G8" s="0" t="n">
        <f aca="false">G6*G7/100</f>
        <v>12110.9705406144</v>
      </c>
      <c r="H8" s="0" t="n">
        <f aca="false">H6*H7/100</f>
        <v>12716.5190676451</v>
      </c>
      <c r="I8" s="0" t="n">
        <f aca="false">I6*I7/100</f>
        <v>13288.7624256892</v>
      </c>
      <c r="J8" s="0" t="n">
        <f aca="false">J6*J7/100</f>
        <v>13820.3129227167</v>
      </c>
      <c r="K8" s="0" t="n">
        <f aca="false">K6*K7/100</f>
        <v>14304.0238750118</v>
      </c>
      <c r="L8" s="0" t="n">
        <f aca="false">L6*L7/100</f>
        <v>14733.1445912622</v>
      </c>
    </row>
    <row r="9" customFormat="false" ht="15" hidden="false" customHeight="false" outlineLevel="0" collapsed="false">
      <c r="A9" s="0" t="s">
        <v>101</v>
      </c>
      <c r="C9" s="4" t="n">
        <f aca="false">Assumptions!C15</f>
        <v>4</v>
      </c>
      <c r="D9" s="4" t="n">
        <f aca="false">Assumptions!D15</f>
        <v>4</v>
      </c>
      <c r="E9" s="4" t="n">
        <f aca="false">Assumptions!E15</f>
        <v>3.9</v>
      </c>
      <c r="F9" s="4" t="n">
        <f aca="false">Assumptions!F15</f>
        <v>3.8</v>
      </c>
      <c r="G9" s="4" t="n">
        <f aca="false">Assumptions!G15</f>
        <v>3.7</v>
      </c>
      <c r="H9" s="4" t="n">
        <f aca="false">Assumptions!H15</f>
        <v>3.6</v>
      </c>
      <c r="I9" s="4" t="n">
        <f aca="false">Assumptions!I15</f>
        <v>3.5</v>
      </c>
      <c r="J9" s="4" t="n">
        <f aca="false">Assumptions!J15</f>
        <v>3.5</v>
      </c>
      <c r="K9" s="4" t="n">
        <f aca="false">Assumptions!K15</f>
        <v>3.5</v>
      </c>
      <c r="L9" s="4" t="n">
        <f aca="false">Assumptions!L15</f>
        <v>3.5</v>
      </c>
    </row>
    <row r="10" customFormat="false" ht="15" hidden="false" customHeight="false" outlineLevel="0" collapsed="false">
      <c r="A10" s="0" t="s">
        <v>116</v>
      </c>
      <c r="C10" s="0" t="n">
        <f aca="false">-C6*C9/100</f>
        <v>-993.624</v>
      </c>
      <c r="D10" s="0" t="n">
        <f aca="false">-D6*D9/100</f>
        <v>-1053.24144</v>
      </c>
      <c r="E10" s="0" t="n">
        <f aca="false">-E6*E9/100</f>
        <v>-1067.98682016</v>
      </c>
      <c r="F10" s="0" t="n">
        <f aca="false">-F6*F9/100</f>
        <v>-1082.2266444288</v>
      </c>
      <c r="G10" s="0" t="n">
        <f aca="false">-G6*G9/100</f>
        <v>-1106.43434568576</v>
      </c>
      <c r="H10" s="0" t="n">
        <f aca="false">-H6*H9/100</f>
        <v>-1130.35725045734</v>
      </c>
      <c r="I10" s="0" t="n">
        <f aca="false">-I6*I9/100</f>
        <v>-1148.41156765215</v>
      </c>
      <c r="J10" s="0" t="n">
        <f aca="false">-J6*J9/100</f>
        <v>-1194.34803035823</v>
      </c>
      <c r="K10" s="0" t="n">
        <f aca="false">-K6*K9/100</f>
        <v>-1236.15021142077</v>
      </c>
      <c r="L10" s="0" t="n">
        <f aca="false">-L6*L9/100</f>
        <v>-1273.2347177634</v>
      </c>
    </row>
    <row r="11" customFormat="false" ht="15" hidden="false" customHeight="false" outlineLevel="0" collapsed="false">
      <c r="A11" s="0" t="s">
        <v>117</v>
      </c>
      <c r="C11" s="0" t="n">
        <f aca="false">C8+C10+C24</f>
        <v>9812.037</v>
      </c>
      <c r="D11" s="0" t="n">
        <f aca="false">D8+D10+D24</f>
        <v>10005.79368</v>
      </c>
      <c r="E11" s="0" t="n">
        <f aca="false">E8+E10+E24</f>
        <v>10159.56693024</v>
      </c>
      <c r="F11" s="0" t="n">
        <f aca="false">F8+F10+F24</f>
        <v>10452.0310132992</v>
      </c>
      <c r="G11" s="0" t="n">
        <f aca="false">G8+G10+G24</f>
        <v>11004.5361949286</v>
      </c>
      <c r="H11" s="0" t="n">
        <f aca="false">H8+H10+H24</f>
        <v>11586.1618171878</v>
      </c>
      <c r="I11" s="0" t="n">
        <f aca="false">I8+I10+I24</f>
        <v>12140.350858037</v>
      </c>
      <c r="J11" s="0" t="n">
        <f aca="false">J8+J10+J24</f>
        <v>12625.9648923585</v>
      </c>
      <c r="K11" s="0" t="n">
        <f aca="false">K8+K10+K24</f>
        <v>13067.873663591</v>
      </c>
      <c r="L11" s="0" t="n">
        <f aca="false">L8+L10+L24</f>
        <v>13459.9098734988</v>
      </c>
    </row>
    <row r="12" customFormat="false" ht="15" hidden="false" customHeight="false" outlineLevel="0" collapsed="false">
      <c r="A12" s="0" t="s">
        <v>118</v>
      </c>
      <c r="C12" s="4" t="n">
        <f aca="false">-C6*Assumptions!C17/100</f>
        <v>-1912.7262</v>
      </c>
      <c r="D12" s="4" t="n">
        <f aca="false">-D6*Assumptions!D17/100</f>
        <v>-2185.475988</v>
      </c>
      <c r="E12" s="4" t="n">
        <f aca="false">-E6*Assumptions!E17/100</f>
        <v>-2409.81641472</v>
      </c>
      <c r="F12" s="4" t="n">
        <f aca="false">-F6*Assumptions!F17/100</f>
        <v>-2620.1276654592</v>
      </c>
      <c r="G12" s="4" t="n">
        <f aca="false">-G6*Assumptions!G17/100</f>
        <v>-2810.94131066112</v>
      </c>
      <c r="H12" s="4" t="n">
        <f aca="false">-H6*Assumptions!H17/100</f>
        <v>-2982.88718870688</v>
      </c>
      <c r="I12" s="4" t="n">
        <f aca="false">-I6*Assumptions!I17/100</f>
        <v>-3117.11711219869</v>
      </c>
      <c r="J12" s="4" t="n">
        <f aca="false">-J6*Assumptions!J17/100</f>
        <v>-3241.80179668664</v>
      </c>
      <c r="K12" s="4" t="n">
        <f aca="false">-K6*Assumptions!K17/100</f>
        <v>-3355.26485957067</v>
      </c>
      <c r="L12" s="4" t="n">
        <f aca="false">-L6*Assumptions!L17/100</f>
        <v>-3455.92280535779</v>
      </c>
    </row>
    <row r="13" customFormat="false" ht="15" hidden="false" customHeight="false" outlineLevel="0" collapsed="false">
      <c r="A13" s="0" t="s">
        <v>119</v>
      </c>
      <c r="C13" s="0" t="n">
        <f aca="false">C11+C12</f>
        <v>7899.3108</v>
      </c>
      <c r="D13" s="0" t="n">
        <f aca="false">D11+D12</f>
        <v>7820.317692</v>
      </c>
      <c r="E13" s="0" t="n">
        <f aca="false">E11+E12</f>
        <v>7749.75051552</v>
      </c>
      <c r="F13" s="0" t="n">
        <f aca="false">F11+F12</f>
        <v>7831.90334784</v>
      </c>
      <c r="G13" s="0" t="n">
        <f aca="false">G11+G12</f>
        <v>8193.59488426752</v>
      </c>
      <c r="H13" s="0" t="n">
        <f aca="false">H11+H12</f>
        <v>8603.2746284809</v>
      </c>
      <c r="I13" s="0" t="n">
        <f aca="false">I11+I12</f>
        <v>9023.23374583831</v>
      </c>
      <c r="J13" s="0" t="n">
        <f aca="false">J11+J12</f>
        <v>9384.16309567185</v>
      </c>
      <c r="K13" s="0" t="n">
        <f aca="false">K11+K12</f>
        <v>9712.60880402036</v>
      </c>
      <c r="L13" s="0" t="n">
        <f aca="false">L11+L12</f>
        <v>10003.987068141</v>
      </c>
    </row>
    <row r="14" customFormat="false" ht="15" hidden="false" customHeight="false" outlineLevel="0" collapsed="false">
      <c r="A14" s="0" t="s">
        <v>105</v>
      </c>
      <c r="C14" s="4" t="n">
        <f aca="false">Assumptions!C19</f>
        <v>20</v>
      </c>
      <c r="D14" s="4" t="n">
        <f aca="false">Assumptions!D19</f>
        <v>20</v>
      </c>
      <c r="E14" s="4" t="n">
        <f aca="false">Assumptions!E19</f>
        <v>20</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120</v>
      </c>
      <c r="C15" s="0" t="n">
        <f aca="false">C13-MAX(0,C13)*C14/100</f>
        <v>6319.44864</v>
      </c>
      <c r="D15" s="0" t="n">
        <f aca="false">D13-MAX(0,D13)*D14/100</f>
        <v>6256.2541536</v>
      </c>
      <c r="E15" s="0" t="n">
        <f aca="false">E13-MAX(0,E13)*E14/100</f>
        <v>6199.800412416</v>
      </c>
      <c r="F15" s="0" t="n">
        <f aca="false">F13-MAX(0,F13)*F14/100</f>
        <v>6187.2036447936</v>
      </c>
      <c r="G15" s="0" t="n">
        <f aca="false">G13-MAX(0,G13)*G14/100</f>
        <v>6472.93995857134</v>
      </c>
      <c r="H15" s="0" t="n">
        <f aca="false">H13-MAX(0,H13)*H14/100</f>
        <v>6796.58695649991</v>
      </c>
      <c r="I15" s="0" t="n">
        <f aca="false">I13-MAX(0,I13)*I14/100</f>
        <v>7128.35465921227</v>
      </c>
      <c r="J15" s="0" t="n">
        <f aca="false">J13-MAX(0,J13)*J14/100</f>
        <v>7413.48884558076</v>
      </c>
      <c r="K15" s="0" t="n">
        <f aca="false">K13-MAX(0,K13)*K14/100</f>
        <v>7672.96095517609</v>
      </c>
      <c r="L15" s="0" t="n">
        <f aca="false">L13-MAX(0,L13)*L14/100</f>
        <v>7903.14978383137</v>
      </c>
    </row>
    <row r="16" customFormat="false" ht="15" hidden="false" customHeight="false" outlineLevel="0" collapsed="false">
      <c r="A16" s="0" t="s">
        <v>121</v>
      </c>
      <c r="C16" s="0" t="n">
        <f aca="false">-C12</f>
        <v>1912.7262</v>
      </c>
      <c r="D16" s="0" t="n">
        <f aca="false">-D12</f>
        <v>2185.475988</v>
      </c>
      <c r="E16" s="0" t="n">
        <f aca="false">-E12</f>
        <v>2409.81641472</v>
      </c>
      <c r="F16" s="0" t="n">
        <f aca="false">-F12</f>
        <v>2620.1276654592</v>
      </c>
      <c r="G16" s="0" t="n">
        <f aca="false">-G12</f>
        <v>2810.94131066112</v>
      </c>
      <c r="H16" s="0" t="n">
        <f aca="false">-H12</f>
        <v>2982.88718870688</v>
      </c>
      <c r="I16" s="0" t="n">
        <f aca="false">-I12</f>
        <v>3117.11711219869</v>
      </c>
      <c r="J16" s="0" t="n">
        <f aca="false">-J12</f>
        <v>3241.80179668664</v>
      </c>
      <c r="K16" s="0" t="n">
        <f aca="false">-K12</f>
        <v>3355.26485957067</v>
      </c>
      <c r="L16" s="0" t="n">
        <f aca="false">-L12</f>
        <v>3455.92280535779</v>
      </c>
    </row>
    <row r="17" customFormat="false" ht="15" hidden="false" customHeight="false" outlineLevel="0" collapsed="false">
      <c r="A17" s="0" t="s">
        <v>122</v>
      </c>
      <c r="C17" s="4" t="n">
        <f aca="false">-C6*Assumptions!C18/100</f>
        <v>-5216.526</v>
      </c>
      <c r="D17" s="4" t="n">
        <f aca="false">-D6*Assumptions!D18/100</f>
        <v>-4739.58648</v>
      </c>
      <c r="E17" s="4" t="n">
        <f aca="false">-E6*Assumptions!E18/100</f>
        <v>-4107.641616</v>
      </c>
      <c r="F17" s="4" t="n">
        <f aca="false">-F6*Assumptions!F18/100</f>
        <v>-3559.9560672</v>
      </c>
      <c r="G17" s="4" t="n">
        <f aca="false">-G6*Assumptions!G18/100</f>
        <v>-3289.3994060928</v>
      </c>
      <c r="H17" s="4" t="n">
        <f aca="false">-H6*Assumptions!H18/100</f>
        <v>-3296.87531383392</v>
      </c>
      <c r="I17" s="4" t="n">
        <f aca="false">-I6*Assumptions!I18/100</f>
        <v>-3281.17590757757</v>
      </c>
      <c r="J17" s="4" t="n">
        <f aca="false">-J6*Assumptions!J18/100</f>
        <v>-3412.42294388067</v>
      </c>
      <c r="K17" s="4" t="n">
        <f aca="false">-K6*Assumptions!K18/100</f>
        <v>-3531.85774691649</v>
      </c>
      <c r="L17" s="4" t="n">
        <f aca="false">-L6*Assumptions!L18/100</f>
        <v>-3637.81347932399</v>
      </c>
    </row>
    <row r="18" customFormat="false" ht="15" hidden="false" customHeight="false" outlineLevel="0" collapsed="false">
      <c r="A18" s="0" t="s">
        <v>123</v>
      </c>
      <c r="C18" s="4" t="n">
        <f aca="false">(C6-B6)*Assumptions!$B$23/100</f>
        <v>-762.650000000001</v>
      </c>
      <c r="D18" s="4" t="n">
        <f aca="false">(D6-C6)*Assumptions!$B$23/100</f>
        <v>-372.609</v>
      </c>
      <c r="E18" s="4" t="n">
        <f aca="false">(E6-D6)*Assumptions!$B$23/100</f>
        <v>-263.31036</v>
      </c>
      <c r="F18" s="4" t="n">
        <f aca="false">(F6-E6)*Assumptions!$B$23/100</f>
        <v>-273.8427744</v>
      </c>
      <c r="G18" s="4" t="n">
        <f aca="false">(G6-F6)*Assumptions!$B$23/100</f>
        <v>-355.99560672</v>
      </c>
      <c r="H18" s="4" t="n">
        <f aca="false">(H6-G6)*Assumptions!$B$23/100</f>
        <v>-373.795387056001</v>
      </c>
      <c r="I18" s="4" t="n">
        <f aca="false">(I6-H6)*Assumptions!$B$23/100</f>
        <v>-353.236640767919</v>
      </c>
      <c r="J18" s="4" t="n">
        <f aca="false">(J6-I6)*Assumptions!$B$23/100</f>
        <v>-328.117590757756</v>
      </c>
      <c r="K18" s="4" t="n">
        <f aca="false">(K6-J6)*Assumptions!$B$23/100</f>
        <v>-298.587007589558</v>
      </c>
      <c r="L18" s="4" t="n">
        <f aca="false">(L6-K6)*Assumptions!$B$23/100</f>
        <v>-264.889331018738</v>
      </c>
    </row>
    <row r="19" customFormat="false" ht="15" hidden="false" customHeight="false" outlineLevel="0" collapsed="false">
      <c r="A19" s="0" t="s">
        <v>124</v>
      </c>
      <c r="C19" s="0" t="n">
        <f aca="false">C15+C16+C17+C18</f>
        <v>2252.99884</v>
      </c>
      <c r="D19" s="0" t="n">
        <f aca="false">D15+D16+D17+D18</f>
        <v>3329.5346616</v>
      </c>
      <c r="E19" s="0" t="n">
        <f aca="false">E15+E16+E17+E18</f>
        <v>4238.664851136</v>
      </c>
      <c r="F19" s="0" t="n">
        <f aca="false">F15+F16+F17+F18</f>
        <v>4973.5324686528</v>
      </c>
      <c r="G19" s="0" t="n">
        <f aca="false">G15+G16+G17+G18</f>
        <v>5638.48625641966</v>
      </c>
      <c r="H19" s="0" t="n">
        <f aca="false">H15+H16+H17+H18</f>
        <v>6108.80344431687</v>
      </c>
      <c r="I19" s="0" t="n">
        <f aca="false">I15+I16+I17+I18</f>
        <v>6611.05922306547</v>
      </c>
      <c r="J19" s="0" t="n">
        <f aca="false">J15+J16+J17+J18</f>
        <v>6914.75010762897</v>
      </c>
      <c r="K19" s="0" t="n">
        <f aca="false">K15+K16+K17+K18</f>
        <v>7197.7810602407</v>
      </c>
      <c r="L19" s="0" t="n">
        <f aca="false">L15+L16+L17+L18</f>
        <v>7456.36977884643</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2057.53318721461</v>
      </c>
      <c r="D21" s="0" t="n">
        <f aca="false">D19*D20</f>
        <v>2776.86842359417</v>
      </c>
      <c r="E21" s="0" t="n">
        <f aca="false">E19*E20</f>
        <v>3228.39540851143</v>
      </c>
      <c r="F21" s="0" t="n">
        <f aca="false">F19*F20</f>
        <v>3459.46133300111</v>
      </c>
      <c r="G21" s="0" t="n">
        <f aca="false">G19*G20</f>
        <v>3581.72246038933</v>
      </c>
      <c r="H21" s="0" t="n">
        <f aca="false">H19*H20</f>
        <v>3543.81821881205</v>
      </c>
      <c r="I21" s="0" t="n">
        <f aca="false">I19*I20</f>
        <v>3502.45217181293</v>
      </c>
      <c r="J21" s="0" t="n">
        <f aca="false">J19*J20</f>
        <v>3345.51927465164</v>
      </c>
      <c r="K21" s="0" t="n">
        <f aca="false">K19*K20</f>
        <v>3180.32541408251</v>
      </c>
      <c r="L21" s="0" t="n">
        <f aca="false">L19*L20</f>
        <v>3008.75098733979</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9.5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18</v>
      </c>
    </row>
    <row r="30" customFormat="false" ht="15" hidden="false" customHeight="false" outlineLevel="0" collapsed="false">
      <c r="A30" s="0" t="s">
        <v>129</v>
      </c>
      <c r="B30" s="0" t="n">
        <f aca="false">SUM(C21:L21)</f>
        <v>31684.8468794096</v>
      </c>
    </row>
    <row r="31" customFormat="false" ht="15" hidden="false" customHeight="false" outlineLevel="0" collapsed="false">
      <c r="A31" s="0" t="s">
        <v>130</v>
      </c>
      <c r="B31" s="0" t="n">
        <f aca="false">L19</f>
        <v>7456.36977884643</v>
      </c>
    </row>
    <row r="32" customFormat="false" ht="15" hidden="false" customHeight="false" outlineLevel="0" collapsed="false">
      <c r="A32" s="0" t="s">
        <v>131</v>
      </c>
      <c r="B32" s="0" t="n">
        <f aca="false">IF(B27&gt;B28,B31*(1+B28/100)/((B27-B28)/100),B31*B29)</f>
        <v>101406.628992311</v>
      </c>
    </row>
    <row r="33" customFormat="false" ht="15" hidden="false" customHeight="false" outlineLevel="0" collapsed="false">
      <c r="A33" s="0" t="s">
        <v>132</v>
      </c>
      <c r="B33" s="0" t="n">
        <f aca="false">B31*B29</f>
        <v>134214.656019236</v>
      </c>
    </row>
    <row r="34" customFormat="false" ht="15" hidden="false" customHeight="false" outlineLevel="0" collapsed="false">
      <c r="A34" s="0" t="s">
        <v>133</v>
      </c>
      <c r="B34" s="0" t="n">
        <f aca="false">MAX(0,MIN(B32,B33))</f>
        <v>101406.628992311</v>
      </c>
    </row>
    <row r="35" customFormat="false" ht="15" hidden="false" customHeight="false" outlineLevel="0" collapsed="false">
      <c r="A35" s="0" t="s">
        <v>134</v>
      </c>
      <c r="B35" s="0" t="n">
        <f aca="false">B34/(1+B27/100)^L4</f>
        <v>40919.0134278211</v>
      </c>
    </row>
    <row r="36" customFormat="false" ht="15" hidden="false" customHeight="false" outlineLevel="0" collapsed="false">
      <c r="A36" s="0" t="s">
        <v>135</v>
      </c>
      <c r="B36" s="0" t="n">
        <f aca="false">B30+B35</f>
        <v>72603.8603072307</v>
      </c>
    </row>
    <row r="37" customFormat="false" ht="15" hidden="false" customHeight="false" outlineLevel="0" collapsed="false">
      <c r="A37" s="0" t="s">
        <v>136</v>
      </c>
      <c r="B37" s="0" t="n">
        <f aca="false">B36+Assumptions!$B$5-Assumptions!$B$4</f>
        <v>46924.6603072307</v>
      </c>
    </row>
    <row r="38" customFormat="false" ht="15" hidden="false" customHeight="false" outlineLevel="0" collapsed="false">
      <c r="A38" s="0" t="s">
        <v>137</v>
      </c>
      <c r="B38" s="0" t="n">
        <f aca="false">B37/Assumptions!$B$3*Assumptions!$B$10</f>
        <v>13.1585237016425</v>
      </c>
    </row>
    <row r="39" customFormat="false" ht="15" hidden="false" customHeight="false" outlineLevel="0" collapsed="false">
      <c r="A39" s="0" t="s">
        <v>138</v>
      </c>
      <c r="B39" s="4" t="n">
        <f aca="false">B38/Assumptions!$B$2-1</f>
        <v>-0.727001582953474</v>
      </c>
    </row>
    <row r="41" customFormat="false" ht="15" hidden="false" customHeight="false" outlineLevel="0" collapsed="false">
      <c r="A41" s="0" t="s">
        <v>139</v>
      </c>
      <c r="B41" s="0" t="n">
        <f aca="false">SUMPRODUCT(-C10:L10/(1+$B$27/100)^C4:L4)</f>
        <v>6956.84200643368</v>
      </c>
    </row>
    <row r="42" customFormat="false" ht="15" hidden="false" customHeight="false" outlineLevel="0" collapsed="false">
      <c r="A42" s="0" t="s">
        <v>140</v>
      </c>
      <c r="B42" s="0" t="n">
        <f aca="false">IF(B27&gt;B28,-L10*(1+B28/100)/((B27-B28)/100),-L10*20)/(1+B27/100)^L4</f>
        <v>6987.24849466744</v>
      </c>
    </row>
    <row r="43" customFormat="false" ht="15" hidden="false" customHeight="false" outlineLevel="0" collapsed="false">
      <c r="A43" s="0" t="s">
        <v>141</v>
      </c>
      <c r="B43" s="0" t="n">
        <f aca="false">(B37+B41+B42)/Assumptions!$B$3*Assumptions!$B$10</f>
        <v>17.0686989518257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58503.8244186412</v>
      </c>
    </row>
    <row r="47" customFormat="false" ht="15" hidden="false" customHeight="false" outlineLevel="0" collapsed="false">
      <c r="A47" s="0" t="s">
        <v>143</v>
      </c>
      <c r="B47" s="0" t="n">
        <f aca="false">(SUMPRODUCT(C19:L19/(1+B45/100)^C4:L4)+B46/(1+B45/100)^L4+Assumptions!$B$5-Assumptions!$B$4)/Assumptions!$B$3*Assumptions!$B$10</f>
        <v>3.63665381134648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16.5</v>
      </c>
      <c r="D5" s="4" t="n">
        <f aca="false">Assumptions!D27</f>
        <v>15</v>
      </c>
      <c r="E5" s="4" t="n">
        <f aca="false">Assumptions!E27</f>
        <v>13</v>
      </c>
      <c r="F5" s="4" t="n">
        <f aca="false">Assumptions!F27</f>
        <v>12</v>
      </c>
      <c r="G5" s="4" t="n">
        <f aca="false">Assumptions!G27</f>
        <v>11</v>
      </c>
      <c r="H5" s="4" t="n">
        <f aca="false">Assumptions!H27</f>
        <v>10</v>
      </c>
      <c r="I5" s="4" t="n">
        <f aca="false">Assumptions!I27</f>
        <v>9</v>
      </c>
      <c r="J5" s="4" t="n">
        <f aca="false">Assumptions!J27</f>
        <v>8</v>
      </c>
      <c r="K5" s="4" t="n">
        <f aca="false">Assumptions!K27</f>
        <v>7</v>
      </c>
      <c r="L5" s="4" t="n">
        <f aca="false">Assumptions!L27</f>
        <v>6</v>
      </c>
    </row>
    <row r="6" customFormat="false" ht="15" hidden="false" customHeight="false" outlineLevel="0" collapsed="false">
      <c r="A6" s="0" t="s">
        <v>38</v>
      </c>
      <c r="B6" s="3" t="n">
        <v>21790</v>
      </c>
      <c r="C6" s="0" t="n">
        <f aca="false">B6*(1+C5/100)</f>
        <v>25385.35</v>
      </c>
      <c r="D6" s="0" t="n">
        <f aca="false">C6*(1+D5/100)</f>
        <v>29193.1525</v>
      </c>
      <c r="E6" s="0" t="n">
        <f aca="false">D6*(1+E5/100)</f>
        <v>32988.262325</v>
      </c>
      <c r="F6" s="0" t="n">
        <f aca="false">E6*(1+F5/100)</f>
        <v>36946.853804</v>
      </c>
      <c r="G6" s="0" t="n">
        <f aca="false">F6*(1+G5/100)</f>
        <v>41011.00772244</v>
      </c>
      <c r="H6" s="0" t="n">
        <f aca="false">G6*(1+H5/100)</f>
        <v>45112.108494684</v>
      </c>
      <c r="I6" s="0" t="n">
        <f aca="false">H6*(1+I5/100)</f>
        <v>49172.1982592056</v>
      </c>
      <c r="J6" s="0" t="n">
        <f aca="false">I6*(1+J5/100)</f>
        <v>53105.974119942</v>
      </c>
      <c r="K6" s="0" t="n">
        <f aca="false">J6*(1+K5/100)</f>
        <v>56823.392308338</v>
      </c>
      <c r="L6" s="0" t="n">
        <f aca="false">K6*(1+L5/100)</f>
        <v>60232.7958468383</v>
      </c>
    </row>
    <row r="7" customFormat="false" ht="15" hidden="false" customHeight="false" outlineLevel="0" collapsed="false">
      <c r="A7" s="0" t="s">
        <v>100</v>
      </c>
      <c r="C7" s="4" t="n">
        <f aca="false">Assumptions!C28</f>
        <v>45</v>
      </c>
      <c r="D7" s="4" t="n">
        <f aca="false">Assumptions!D28</f>
        <v>45.5</v>
      </c>
      <c r="E7" s="4" t="n">
        <f aca="false">Assumptions!E28</f>
        <v>46</v>
      </c>
      <c r="F7" s="4" t="n">
        <f aca="false">Assumptions!F28</f>
        <v>46.5</v>
      </c>
      <c r="G7" s="4" t="n">
        <f aca="false">Assumptions!G28</f>
        <v>47</v>
      </c>
      <c r="H7" s="4" t="n">
        <f aca="false">Assumptions!H28</f>
        <v>47</v>
      </c>
      <c r="I7" s="4" t="n">
        <f aca="false">Assumptions!I28</f>
        <v>47</v>
      </c>
      <c r="J7" s="4" t="n">
        <f aca="false">Assumptions!J28</f>
        <v>47</v>
      </c>
      <c r="K7" s="4" t="n">
        <f aca="false">Assumptions!K28</f>
        <v>47</v>
      </c>
      <c r="L7" s="4" t="n">
        <f aca="false">Assumptions!L28</f>
        <v>47</v>
      </c>
    </row>
    <row r="8" customFormat="false" ht="15" hidden="false" customHeight="false" outlineLevel="0" collapsed="false">
      <c r="A8" s="0" t="s">
        <v>44</v>
      </c>
      <c r="C8" s="0" t="n">
        <f aca="false">C6*C7/100</f>
        <v>11423.4075</v>
      </c>
      <c r="D8" s="0" t="n">
        <f aca="false">D6*D7/100</f>
        <v>13282.8843875</v>
      </c>
      <c r="E8" s="0" t="n">
        <f aca="false">E6*E7/100</f>
        <v>15174.6006695</v>
      </c>
      <c r="F8" s="0" t="n">
        <f aca="false">F6*F7/100</f>
        <v>17180.28701886</v>
      </c>
      <c r="G8" s="0" t="n">
        <f aca="false">G6*G7/100</f>
        <v>19275.1736295468</v>
      </c>
      <c r="H8" s="0" t="n">
        <f aca="false">H6*H7/100</f>
        <v>21202.6909925015</v>
      </c>
      <c r="I8" s="0" t="n">
        <f aca="false">I6*I7/100</f>
        <v>23110.9331818266</v>
      </c>
      <c r="J8" s="0" t="n">
        <f aca="false">J6*J7/100</f>
        <v>24959.8078363728</v>
      </c>
      <c r="K8" s="0" t="n">
        <f aca="false">K6*K7/100</f>
        <v>26706.9943849188</v>
      </c>
      <c r="L8" s="0" t="n">
        <f aca="false">L6*L7/100</f>
        <v>28309.414048014</v>
      </c>
    </row>
    <row r="9" customFormat="false" ht="15" hidden="false" customHeight="false" outlineLevel="0" collapsed="false">
      <c r="A9" s="0" t="s">
        <v>101</v>
      </c>
      <c r="C9" s="4" t="n">
        <f aca="false">Assumptions!C29</f>
        <v>4</v>
      </c>
      <c r="D9" s="4" t="n">
        <f aca="false">Assumptions!D29</f>
        <v>3.9</v>
      </c>
      <c r="E9" s="4" t="n">
        <f aca="false">Assumptions!E29</f>
        <v>3.8</v>
      </c>
      <c r="F9" s="4" t="n">
        <f aca="false">Assumptions!F29</f>
        <v>3.7</v>
      </c>
      <c r="G9" s="4" t="n">
        <f aca="false">Assumptions!G29</f>
        <v>3.6</v>
      </c>
      <c r="H9" s="4" t="n">
        <f aca="false">Assumptions!H29</f>
        <v>3.5</v>
      </c>
      <c r="I9" s="4" t="n">
        <f aca="false">Assumptions!I29</f>
        <v>3.5</v>
      </c>
      <c r="J9" s="4" t="n">
        <f aca="false">Assumptions!J29</f>
        <v>3.5</v>
      </c>
      <c r="K9" s="4" t="n">
        <f aca="false">Assumptions!K29</f>
        <v>3.5</v>
      </c>
      <c r="L9" s="4" t="n">
        <f aca="false">Assumptions!L29</f>
        <v>3.5</v>
      </c>
    </row>
    <row r="10" customFormat="false" ht="15" hidden="false" customHeight="false" outlineLevel="0" collapsed="false">
      <c r="A10" s="0" t="s">
        <v>116</v>
      </c>
      <c r="C10" s="0" t="n">
        <f aca="false">-C6*C9/100</f>
        <v>-1015.414</v>
      </c>
      <c r="D10" s="0" t="n">
        <f aca="false">-D6*D9/100</f>
        <v>-1138.5329475</v>
      </c>
      <c r="E10" s="0" t="n">
        <f aca="false">-E6*E9/100</f>
        <v>-1253.55396835</v>
      </c>
      <c r="F10" s="0" t="n">
        <f aca="false">-F6*F9/100</f>
        <v>-1367.033590748</v>
      </c>
      <c r="G10" s="0" t="n">
        <f aca="false">-G6*G9/100</f>
        <v>-1476.39627800784</v>
      </c>
      <c r="H10" s="0" t="n">
        <f aca="false">-H6*H9/100</f>
        <v>-1578.92379731394</v>
      </c>
      <c r="I10" s="0" t="n">
        <f aca="false">-I6*I9/100</f>
        <v>-1721.0269390722</v>
      </c>
      <c r="J10" s="0" t="n">
        <f aca="false">-J6*J9/100</f>
        <v>-1858.70909419797</v>
      </c>
      <c r="K10" s="0" t="n">
        <f aca="false">-K6*K9/100</f>
        <v>-1988.81873079183</v>
      </c>
      <c r="L10" s="0" t="n">
        <f aca="false">-L6*L9/100</f>
        <v>-2108.14785463934</v>
      </c>
    </row>
    <row r="11" customFormat="false" ht="15" hidden="false" customHeight="false" outlineLevel="0" collapsed="false">
      <c r="A11" s="0" t="s">
        <v>117</v>
      </c>
      <c r="C11" s="0" t="n">
        <f aca="false">C8+C10+C24</f>
        <v>10407.9935</v>
      </c>
      <c r="D11" s="0" t="n">
        <f aca="false">D8+D10+D24</f>
        <v>12144.35144</v>
      </c>
      <c r="E11" s="0" t="n">
        <f aca="false">E8+E10+E24</f>
        <v>13921.04670115</v>
      </c>
      <c r="F11" s="0" t="n">
        <f aca="false">F8+F10+F24</f>
        <v>15813.253428112</v>
      </c>
      <c r="G11" s="0" t="n">
        <f aca="false">G8+G10+G24</f>
        <v>17798.777351539</v>
      </c>
      <c r="H11" s="0" t="n">
        <f aca="false">H8+H10+H24</f>
        <v>19623.7671951875</v>
      </c>
      <c r="I11" s="0" t="n">
        <f aca="false">I8+I10+I24</f>
        <v>21389.9062427544</v>
      </c>
      <c r="J11" s="0" t="n">
        <f aca="false">J8+J10+J24</f>
        <v>23101.0987421748</v>
      </c>
      <c r="K11" s="0" t="n">
        <f aca="false">K8+K10+K24</f>
        <v>24718.175654127</v>
      </c>
      <c r="L11" s="0" t="n">
        <f aca="false">L8+L10+L24</f>
        <v>26201.2661933746</v>
      </c>
    </row>
    <row r="12" customFormat="false" ht="15" hidden="false" customHeight="false" outlineLevel="0" collapsed="false">
      <c r="A12" s="0" t="s">
        <v>118</v>
      </c>
      <c r="C12" s="4" t="n">
        <f aca="false">-C6*Assumptions!C31/100</f>
        <v>-1929.2866</v>
      </c>
      <c r="D12" s="4" t="n">
        <f aca="false">-D6*Assumptions!D31/100</f>
        <v>-2306.2590475</v>
      </c>
      <c r="E12" s="4" t="n">
        <f aca="false">-E6*Assumptions!E31/100</f>
        <v>-2705.03751065</v>
      </c>
      <c r="F12" s="4" t="n">
        <f aca="false">-F6*Assumptions!F31/100</f>
        <v>-3140.48257334</v>
      </c>
      <c r="G12" s="4" t="n">
        <f aca="false">-G6*Assumptions!G31/100</f>
        <v>-3567.95767185228</v>
      </c>
      <c r="H12" s="4" t="n">
        <f aca="false">-H6*Assumptions!H31/100</f>
        <v>-4014.97765602688</v>
      </c>
      <c r="I12" s="4" t="n">
        <f aca="false">-I6*Assumptions!I31/100</f>
        <v>-4425.4978433285</v>
      </c>
      <c r="J12" s="4" t="n">
        <f aca="false">-J6*Assumptions!J31/100</f>
        <v>-4779.53767079478</v>
      </c>
      <c r="K12" s="4" t="n">
        <f aca="false">-K6*Assumptions!K31/100</f>
        <v>-5114.10530775042</v>
      </c>
      <c r="L12" s="4" t="n">
        <f aca="false">-L6*Assumptions!L31/100</f>
        <v>-5420.95162621544</v>
      </c>
    </row>
    <row r="13" customFormat="false" ht="15" hidden="false" customHeight="false" outlineLevel="0" collapsed="false">
      <c r="A13" s="0" t="s">
        <v>119</v>
      </c>
      <c r="C13" s="0" t="n">
        <f aca="false">C11+C12</f>
        <v>8478.7069</v>
      </c>
      <c r="D13" s="0" t="n">
        <f aca="false">D11+D12</f>
        <v>9838.0923925</v>
      </c>
      <c r="E13" s="0" t="n">
        <f aca="false">E11+E12</f>
        <v>11216.0091905</v>
      </c>
      <c r="F13" s="0" t="n">
        <f aca="false">F11+F12</f>
        <v>12672.770854772</v>
      </c>
      <c r="G13" s="0" t="n">
        <f aca="false">G11+G12</f>
        <v>14230.8196796867</v>
      </c>
      <c r="H13" s="0" t="n">
        <f aca="false">H11+H12</f>
        <v>15608.7895391607</v>
      </c>
      <c r="I13" s="0" t="n">
        <f aca="false">I11+I12</f>
        <v>16964.4083994259</v>
      </c>
      <c r="J13" s="0" t="n">
        <f aca="false">J11+J12</f>
        <v>18321.56107138</v>
      </c>
      <c r="K13" s="0" t="n">
        <f aca="false">K11+K12</f>
        <v>19604.0703463766</v>
      </c>
      <c r="L13" s="0" t="n">
        <f aca="false">L11+L12</f>
        <v>20780.3145671592</v>
      </c>
    </row>
    <row r="14" customFormat="false" ht="15" hidden="false" customHeight="false" outlineLevel="0" collapsed="false">
      <c r="A14" s="0" t="s">
        <v>105</v>
      </c>
      <c r="C14" s="4" t="n">
        <f aca="false">Assumptions!C33</f>
        <v>20</v>
      </c>
      <c r="D14" s="4" t="n">
        <f aca="false">Assumptions!D33</f>
        <v>20</v>
      </c>
      <c r="E14" s="4" t="n">
        <f aca="false">Assumptions!E33</f>
        <v>20</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120</v>
      </c>
      <c r="C15" s="0" t="n">
        <f aca="false">C13-MAX(0,C13)*C14/100</f>
        <v>6782.96552</v>
      </c>
      <c r="D15" s="0" t="n">
        <f aca="false">D13-MAX(0,D13)*D14/100</f>
        <v>7870.473914</v>
      </c>
      <c r="E15" s="0" t="n">
        <f aca="false">E13-MAX(0,E13)*E14/100</f>
        <v>8972.8073524</v>
      </c>
      <c r="F15" s="0" t="n">
        <f aca="false">F13-MAX(0,F13)*F14/100</f>
        <v>10011.4889752699</v>
      </c>
      <c r="G15" s="0" t="n">
        <f aca="false">G13-MAX(0,G13)*G14/100</f>
        <v>11242.3475469525</v>
      </c>
      <c r="H15" s="0" t="n">
        <f aca="false">H13-MAX(0,H13)*H14/100</f>
        <v>12330.9437359369</v>
      </c>
      <c r="I15" s="0" t="n">
        <f aca="false">I13-MAX(0,I13)*I14/100</f>
        <v>13401.8826355465</v>
      </c>
      <c r="J15" s="0" t="n">
        <f aca="false">J13-MAX(0,J13)*J14/100</f>
        <v>14474.0332463902</v>
      </c>
      <c r="K15" s="0" t="n">
        <f aca="false">K13-MAX(0,K13)*K14/100</f>
        <v>15487.2155736375</v>
      </c>
      <c r="L15" s="0" t="n">
        <f aca="false">L13-MAX(0,L13)*L14/100</f>
        <v>16416.4485080558</v>
      </c>
    </row>
    <row r="16" customFormat="false" ht="15" hidden="false" customHeight="false" outlineLevel="0" collapsed="false">
      <c r="A16" s="0" t="s">
        <v>121</v>
      </c>
      <c r="C16" s="0" t="n">
        <f aca="false">-C12</f>
        <v>1929.2866</v>
      </c>
      <c r="D16" s="0" t="n">
        <f aca="false">-D12</f>
        <v>2306.2590475</v>
      </c>
      <c r="E16" s="0" t="n">
        <f aca="false">-E12</f>
        <v>2705.03751065</v>
      </c>
      <c r="F16" s="0" t="n">
        <f aca="false">-F12</f>
        <v>3140.48257334</v>
      </c>
      <c r="G16" s="0" t="n">
        <f aca="false">-G12</f>
        <v>3567.95767185228</v>
      </c>
      <c r="H16" s="0" t="n">
        <f aca="false">-H12</f>
        <v>4014.97765602688</v>
      </c>
      <c r="I16" s="0" t="n">
        <f aca="false">-I12</f>
        <v>4425.4978433285</v>
      </c>
      <c r="J16" s="0" t="n">
        <f aca="false">-J12</f>
        <v>4779.53767079478</v>
      </c>
      <c r="K16" s="0" t="n">
        <f aca="false">-K12</f>
        <v>5114.10530775042</v>
      </c>
      <c r="L16" s="0" t="n">
        <f aca="false">-L12</f>
        <v>5420.95162621544</v>
      </c>
    </row>
    <row r="17" customFormat="false" ht="15" hidden="false" customHeight="false" outlineLevel="0" collapsed="false">
      <c r="A17" s="0" t="s">
        <v>122</v>
      </c>
      <c r="C17" s="4" t="n">
        <f aca="false">-C6*Assumptions!C32/100</f>
        <v>-5330.9235</v>
      </c>
      <c r="D17" s="4" t="n">
        <f aca="false">-D6*Assumptions!D32/100</f>
        <v>-5546.698975</v>
      </c>
      <c r="E17" s="4" t="n">
        <f aca="false">-E6*Assumptions!E32/100</f>
        <v>-5608.00459525</v>
      </c>
      <c r="F17" s="4" t="n">
        <f aca="false">-F6*Assumptions!F32/100</f>
        <v>-5542.0280706</v>
      </c>
      <c r="G17" s="4" t="n">
        <f aca="false">-G6*Assumptions!G32/100</f>
        <v>-5741.5410811416</v>
      </c>
      <c r="H17" s="4" t="n">
        <f aca="false">-H6*Assumptions!H32/100</f>
        <v>-5864.57410430892</v>
      </c>
      <c r="I17" s="4" t="n">
        <f aca="false">-I6*Assumptions!I32/100</f>
        <v>-5900.66379110467</v>
      </c>
      <c r="J17" s="4" t="n">
        <f aca="false">-J6*Assumptions!J32/100</f>
        <v>-6107.18702379333</v>
      </c>
      <c r="K17" s="4" t="n">
        <f aca="false">-K6*Assumptions!K32/100</f>
        <v>-6250.57315391718</v>
      </c>
      <c r="L17" s="4" t="n">
        <f aca="false">-L6*Assumptions!L32/100</f>
        <v>-6324.44356391802</v>
      </c>
    </row>
    <row r="18" customFormat="false" ht="15" hidden="false" customHeight="false" outlineLevel="0" collapsed="false">
      <c r="A18" s="0" t="s">
        <v>123</v>
      </c>
      <c r="C18" s="4" t="n">
        <f aca="false">(C6-B6)*Assumptions!$B$37/100</f>
        <v>-898.837500000001</v>
      </c>
      <c r="D18" s="4" t="n">
        <f aca="false">(D6-C6)*Assumptions!$B$37/100</f>
        <v>-951.950624999999</v>
      </c>
      <c r="E18" s="4" t="n">
        <f aca="false">(E6-D6)*Assumptions!$B$37/100</f>
        <v>-948.777456249999</v>
      </c>
      <c r="F18" s="4" t="n">
        <f aca="false">(F6-E6)*Assumptions!$B$37/100</f>
        <v>-989.647869750001</v>
      </c>
      <c r="G18" s="4" t="n">
        <f aca="false">(G6-F6)*Assumptions!$B$37/100</f>
        <v>-1016.03847961</v>
      </c>
      <c r="H18" s="4" t="n">
        <f aca="false">(H6-G6)*Assumptions!$B$37/100</f>
        <v>-1025.275193061</v>
      </c>
      <c r="I18" s="4" t="n">
        <f aca="false">(I6-H6)*Assumptions!$B$37/100</f>
        <v>-1015.02244113039</v>
      </c>
      <c r="J18" s="4" t="n">
        <f aca="false">(J6-I6)*Assumptions!$B$37/100</f>
        <v>-983.443965184113</v>
      </c>
      <c r="K18" s="4" t="n">
        <f aca="false">(K6-J6)*Assumptions!$B$37/100</f>
        <v>-929.354547098987</v>
      </c>
      <c r="L18" s="4" t="n">
        <f aca="false">(L6-K6)*Assumptions!$B$37/100</f>
        <v>-852.35088462507</v>
      </c>
    </row>
    <row r="19" customFormat="false" ht="15" hidden="false" customHeight="false" outlineLevel="0" collapsed="false">
      <c r="A19" s="0" t="s">
        <v>124</v>
      </c>
      <c r="C19" s="0" t="n">
        <f aca="false">C15+C16+C17+C18</f>
        <v>2482.49112</v>
      </c>
      <c r="D19" s="0" t="n">
        <f aca="false">D15+D16+D17+D18</f>
        <v>3678.0833615</v>
      </c>
      <c r="E19" s="0" t="n">
        <f aca="false">E15+E16+E17+E18</f>
        <v>5121.06281155</v>
      </c>
      <c r="F19" s="0" t="n">
        <f aca="false">F15+F16+F17+F18</f>
        <v>6620.29560825988</v>
      </c>
      <c r="G19" s="0" t="n">
        <f aca="false">G15+G16+G17+G18</f>
        <v>8052.72565805316</v>
      </c>
      <c r="H19" s="0" t="n">
        <f aca="false">H15+H16+H17+H18</f>
        <v>9456.07209459388</v>
      </c>
      <c r="I19" s="0" t="n">
        <f aca="false">I15+I16+I17+I18</f>
        <v>10911.6942466399</v>
      </c>
      <c r="J19" s="0" t="n">
        <f aca="false">J15+J16+J17+J18</f>
        <v>12162.9399282075</v>
      </c>
      <c r="K19" s="0" t="n">
        <f aca="false">K15+K16+K17+K18</f>
        <v>13421.3931803718</v>
      </c>
      <c r="L19" s="0" t="n">
        <f aca="false">L15+L16+L17+L18</f>
        <v>14660.6056857281</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2267.11517808219</v>
      </c>
      <c r="D21" s="0" t="n">
        <f aca="false">D19*D20</f>
        <v>3067.56186192949</v>
      </c>
      <c r="E21" s="0" t="n">
        <f aca="false">E19*E20</f>
        <v>3900.477213497</v>
      </c>
      <c r="F21" s="0" t="n">
        <f aca="false">F19*F20</f>
        <v>4604.9074403682</v>
      </c>
      <c r="G21" s="0" t="n">
        <f aca="false">G19*G20</f>
        <v>5115.31411892045</v>
      </c>
      <c r="H21" s="0" t="n">
        <f aca="false">H19*H20</f>
        <v>5485.62429167656</v>
      </c>
      <c r="I21" s="0" t="n">
        <f aca="false">I19*I20</f>
        <v>5780.87200897612</v>
      </c>
      <c r="J21" s="0" t="n">
        <f aca="false">J19*J20</f>
        <v>5884.7173553465</v>
      </c>
      <c r="K21" s="0" t="n">
        <f aca="false">K19*K20</f>
        <v>5930.2161967264</v>
      </c>
      <c r="L21" s="0" t="n">
        <f aca="false">L19*L20</f>
        <v>5915.76238038426</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9.5</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18</v>
      </c>
    </row>
    <row r="30" customFormat="false" ht="15" hidden="false" customHeight="false" outlineLevel="0" collapsed="false">
      <c r="A30" s="0" t="s">
        <v>129</v>
      </c>
      <c r="B30" s="0" t="n">
        <f aca="false">SUM(C21:L21)</f>
        <v>47952.5680459072</v>
      </c>
    </row>
    <row r="31" customFormat="false" ht="15" hidden="false" customHeight="false" outlineLevel="0" collapsed="false">
      <c r="A31" s="0" t="s">
        <v>130</v>
      </c>
      <c r="B31" s="0" t="n">
        <f aca="false">L19</f>
        <v>14660.6056857281</v>
      </c>
    </row>
    <row r="32" customFormat="false" ht="15" hidden="false" customHeight="false" outlineLevel="0" collapsed="false">
      <c r="A32" s="0" t="s">
        <v>131</v>
      </c>
      <c r="B32" s="0" t="n">
        <f aca="false">IF(B27&gt;B28,B31*(1+B28/100)/((B27-B28)/100),B31*B29)</f>
        <v>214673.154683876</v>
      </c>
    </row>
    <row r="33" customFormat="false" ht="15" hidden="false" customHeight="false" outlineLevel="0" collapsed="false">
      <c r="A33" s="0" t="s">
        <v>132</v>
      </c>
      <c r="B33" s="0" t="n">
        <f aca="false">B31*B29</f>
        <v>263890.902343106</v>
      </c>
    </row>
    <row r="34" customFormat="false" ht="15" hidden="false" customHeight="false" outlineLevel="0" collapsed="false">
      <c r="A34" s="0" t="s">
        <v>133</v>
      </c>
      <c r="B34" s="0" t="n">
        <f aca="false">MAX(0,MIN(B32,B33))</f>
        <v>214673.154683876</v>
      </c>
    </row>
    <row r="35" customFormat="false" ht="15" hidden="false" customHeight="false" outlineLevel="0" collapsed="false">
      <c r="A35" s="0" t="s">
        <v>134</v>
      </c>
      <c r="B35" s="0" t="n">
        <f aca="false">B34/(1+B27/100)^L4</f>
        <v>86623.6634270552</v>
      </c>
    </row>
    <row r="36" customFormat="false" ht="15" hidden="false" customHeight="false" outlineLevel="0" collapsed="false">
      <c r="A36" s="0" t="s">
        <v>135</v>
      </c>
      <c r="B36" s="0" t="n">
        <f aca="false">B30+B35</f>
        <v>134576.231472962</v>
      </c>
    </row>
    <row r="37" customFormat="false" ht="15" hidden="false" customHeight="false" outlineLevel="0" collapsed="false">
      <c r="A37" s="0" t="s">
        <v>136</v>
      </c>
      <c r="B37" s="0" t="n">
        <f aca="false">B36+Assumptions!$B$5-Assumptions!$B$4</f>
        <v>108897.031472962</v>
      </c>
    </row>
    <row r="38" customFormat="false" ht="15" hidden="false" customHeight="false" outlineLevel="0" collapsed="false">
      <c r="A38" s="0" t="s">
        <v>137</v>
      </c>
      <c r="B38" s="0" t="n">
        <f aca="false">B37/Assumptions!$B$3*Assumptions!$B$10</f>
        <v>30.5366977681602</v>
      </c>
    </row>
    <row r="39" customFormat="false" ht="15" hidden="false" customHeight="false" outlineLevel="0" collapsed="false">
      <c r="A39" s="0" t="s">
        <v>138</v>
      </c>
      <c r="B39" s="4" t="n">
        <f aca="false">B38/Assumptions!$B$2-1</f>
        <v>-0.366458552527796</v>
      </c>
    </row>
    <row r="41" customFormat="false" ht="15" hidden="false" customHeight="false" outlineLevel="0" collapsed="false">
      <c r="A41" s="0" t="s">
        <v>139</v>
      </c>
      <c r="B41" s="0" t="n">
        <f aca="false">SUMPRODUCT(-C10:L10/(1+$B$27/100)^C4:L4)</f>
        <v>9176.81092513598</v>
      </c>
    </row>
    <row r="42" customFormat="false" ht="15" hidden="false" customHeight="false" outlineLevel="0" collapsed="false">
      <c r="A42" s="0" t="s">
        <v>140</v>
      </c>
      <c r="B42" s="0" t="n">
        <f aca="false">IF(B27&gt;B28,-L10*(1+B28/100)/((B27-B28)/100),-L10*20)/(1+B27/100)^L4</f>
        <v>12456.2036609797</v>
      </c>
    </row>
    <row r="43" customFormat="false" ht="15" hidden="false" customHeight="false" outlineLevel="0" collapsed="false">
      <c r="A43" s="0" t="s">
        <v>141</v>
      </c>
      <c r="B43" s="0" t="n">
        <f aca="false">(B37+B41+B42)/Assumptions!$B$3*Assumptions!$B$10</f>
        <v>36.6029864382461</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120216.966622971</v>
      </c>
    </row>
    <row r="47" customFormat="false" ht="15" hidden="false" customHeight="false" outlineLevel="0" collapsed="false">
      <c r="A47" s="0" t="s">
        <v>143</v>
      </c>
      <c r="B47" s="0" t="n">
        <f aca="false">(SUMPRODUCT(C19:L19/(1+B45/100)^C4:L4)+B46/(1+B45/100)^L4+Assumptions!$B$5-Assumptions!$B$4)/Assumptions!$B$3*Assumptions!$B$10</f>
        <v>11.1432039124727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18</v>
      </c>
      <c r="D5" s="4" t="n">
        <f aca="false">Assumptions!D41</f>
        <v>19</v>
      </c>
      <c r="E5" s="4" t="n">
        <f aca="false">Assumptions!E41</f>
        <v>18</v>
      </c>
      <c r="F5" s="4" t="n">
        <f aca="false">Assumptions!F41</f>
        <v>16</v>
      </c>
      <c r="G5" s="4" t="n">
        <f aca="false">Assumptions!G41</f>
        <v>14</v>
      </c>
      <c r="H5" s="4" t="n">
        <f aca="false">Assumptions!H41</f>
        <v>12</v>
      </c>
      <c r="I5" s="4" t="n">
        <f aca="false">Assumptions!I41</f>
        <v>11</v>
      </c>
      <c r="J5" s="4" t="n">
        <f aca="false">Assumptions!J41</f>
        <v>10</v>
      </c>
      <c r="K5" s="4" t="n">
        <f aca="false">Assumptions!K41</f>
        <v>9</v>
      </c>
      <c r="L5" s="4" t="n">
        <f aca="false">Assumptions!L41</f>
        <v>8</v>
      </c>
    </row>
    <row r="6" customFormat="false" ht="15" hidden="false" customHeight="false" outlineLevel="0" collapsed="false">
      <c r="A6" s="0" t="s">
        <v>38</v>
      </c>
      <c r="B6" s="3" t="n">
        <v>21790</v>
      </c>
      <c r="C6" s="0" t="n">
        <f aca="false">B6*(1+C5/100)</f>
        <v>25712.2</v>
      </c>
      <c r="D6" s="0" t="n">
        <f aca="false">C6*(1+D5/100)</f>
        <v>30597.518</v>
      </c>
      <c r="E6" s="0" t="n">
        <f aca="false">D6*(1+E5/100)</f>
        <v>36105.07124</v>
      </c>
      <c r="F6" s="0" t="n">
        <f aca="false">E6*(1+F5/100)</f>
        <v>41881.8826384</v>
      </c>
      <c r="G6" s="0" t="n">
        <f aca="false">F6*(1+G5/100)</f>
        <v>47745.346207776</v>
      </c>
      <c r="H6" s="0" t="n">
        <f aca="false">G6*(1+H5/100)</f>
        <v>53474.7877527091</v>
      </c>
      <c r="I6" s="0" t="n">
        <f aca="false">H6*(1+I5/100)</f>
        <v>59357.0144055071</v>
      </c>
      <c r="J6" s="0" t="n">
        <f aca="false">I6*(1+J5/100)</f>
        <v>65292.7158460578</v>
      </c>
      <c r="K6" s="0" t="n">
        <f aca="false">J6*(1+K5/100)</f>
        <v>71169.0602722031</v>
      </c>
      <c r="L6" s="0" t="n">
        <f aca="false">K6*(1+L5/100)</f>
        <v>76862.5850939793</v>
      </c>
    </row>
    <row r="7" customFormat="false" ht="15" hidden="false" customHeight="false" outlineLevel="0" collapsed="false">
      <c r="A7" s="0" t="s">
        <v>100</v>
      </c>
      <c r="C7" s="4" t="n">
        <f aca="false">Assumptions!C42</f>
        <v>45.5</v>
      </c>
      <c r="D7" s="4" t="n">
        <f aca="false">Assumptions!D42</f>
        <v>46.5</v>
      </c>
      <c r="E7" s="4" t="n">
        <f aca="false">Assumptions!E42</f>
        <v>47.5</v>
      </c>
      <c r="F7" s="4" t="n">
        <f aca="false">Assumptions!F42</f>
        <v>48.5</v>
      </c>
      <c r="G7" s="4" t="n">
        <f aca="false">Assumptions!G42</f>
        <v>49</v>
      </c>
      <c r="H7" s="4" t="n">
        <f aca="false">Assumptions!H42</f>
        <v>49.5</v>
      </c>
      <c r="I7" s="4" t="n">
        <f aca="false">Assumptions!I42</f>
        <v>49.5</v>
      </c>
      <c r="J7" s="4" t="n">
        <f aca="false">Assumptions!J42</f>
        <v>49.5</v>
      </c>
      <c r="K7" s="4" t="n">
        <f aca="false">Assumptions!K42</f>
        <v>49.5</v>
      </c>
      <c r="L7" s="4" t="n">
        <f aca="false">Assumptions!L42</f>
        <v>49.5</v>
      </c>
    </row>
    <row r="8" customFormat="false" ht="15" hidden="false" customHeight="false" outlineLevel="0" collapsed="false">
      <c r="A8" s="0" t="s">
        <v>44</v>
      </c>
      <c r="C8" s="0" t="n">
        <f aca="false">C6*C7/100</f>
        <v>11699.051</v>
      </c>
      <c r="D8" s="0" t="n">
        <f aca="false">D6*D7/100</f>
        <v>14227.84587</v>
      </c>
      <c r="E8" s="0" t="n">
        <f aca="false">E6*E7/100</f>
        <v>17149.908839</v>
      </c>
      <c r="F8" s="0" t="n">
        <f aca="false">F6*F7/100</f>
        <v>20312.713079624</v>
      </c>
      <c r="G8" s="0" t="n">
        <f aca="false">G6*G7/100</f>
        <v>23395.2196418102</v>
      </c>
      <c r="H8" s="0" t="n">
        <f aca="false">H6*H7/100</f>
        <v>26470.019937591</v>
      </c>
      <c r="I8" s="0" t="n">
        <f aca="false">I6*I7/100</f>
        <v>29381.722130726</v>
      </c>
      <c r="J8" s="0" t="n">
        <f aca="false">J6*J7/100</f>
        <v>32319.8943437986</v>
      </c>
      <c r="K8" s="0" t="n">
        <f aca="false">K6*K7/100</f>
        <v>35228.6848347405</v>
      </c>
      <c r="L8" s="0" t="n">
        <f aca="false">L6*L7/100</f>
        <v>38046.9796215198</v>
      </c>
    </row>
    <row r="9" customFormat="false" ht="15" hidden="false" customHeight="false" outlineLevel="0" collapsed="false">
      <c r="A9" s="0" t="s">
        <v>101</v>
      </c>
      <c r="C9" s="4" t="n">
        <f aca="false">Assumptions!C43</f>
        <v>4</v>
      </c>
      <c r="D9" s="4" t="n">
        <f aca="false">Assumptions!D43</f>
        <v>3.9</v>
      </c>
      <c r="E9" s="4" t="n">
        <f aca="false">Assumptions!E43</f>
        <v>3.8</v>
      </c>
      <c r="F9" s="4" t="n">
        <f aca="false">Assumptions!F43</f>
        <v>3.7</v>
      </c>
      <c r="G9" s="4" t="n">
        <f aca="false">Assumptions!G43</f>
        <v>3.6</v>
      </c>
      <c r="H9" s="4" t="n">
        <f aca="false">Assumptions!H43</f>
        <v>3.5</v>
      </c>
      <c r="I9" s="4" t="n">
        <f aca="false">Assumptions!I43</f>
        <v>3.5</v>
      </c>
      <c r="J9" s="4" t="n">
        <f aca="false">Assumptions!J43</f>
        <v>3.5</v>
      </c>
      <c r="K9" s="4" t="n">
        <f aca="false">Assumptions!K43</f>
        <v>3.5</v>
      </c>
      <c r="L9" s="4" t="n">
        <f aca="false">Assumptions!L43</f>
        <v>3.5</v>
      </c>
    </row>
    <row r="10" customFormat="false" ht="15" hidden="false" customHeight="false" outlineLevel="0" collapsed="false">
      <c r="A10" s="0" t="s">
        <v>116</v>
      </c>
      <c r="C10" s="0" t="n">
        <f aca="false">-C6*C9/100</f>
        <v>-1028.488</v>
      </c>
      <c r="D10" s="0" t="n">
        <f aca="false">-D6*D9/100</f>
        <v>-1193.303202</v>
      </c>
      <c r="E10" s="0" t="n">
        <f aca="false">-E6*E9/100</f>
        <v>-1371.99270712</v>
      </c>
      <c r="F10" s="0" t="n">
        <f aca="false">-F6*F9/100</f>
        <v>-1549.6296576208</v>
      </c>
      <c r="G10" s="0" t="n">
        <f aca="false">-G6*G9/100</f>
        <v>-1718.83246347994</v>
      </c>
      <c r="H10" s="0" t="n">
        <f aca="false">-H6*H9/100</f>
        <v>-1871.61757134482</v>
      </c>
      <c r="I10" s="0" t="n">
        <f aca="false">-I6*I9/100</f>
        <v>-2077.49550419275</v>
      </c>
      <c r="J10" s="0" t="n">
        <f aca="false">-J6*J9/100</f>
        <v>-2285.24505461202</v>
      </c>
      <c r="K10" s="0" t="n">
        <f aca="false">-K6*K9/100</f>
        <v>-2490.91710952711</v>
      </c>
      <c r="L10" s="0" t="n">
        <f aca="false">-L6*L9/100</f>
        <v>-2690.19047828928</v>
      </c>
    </row>
    <row r="11" customFormat="false" ht="15" hidden="false" customHeight="false" outlineLevel="0" collapsed="false">
      <c r="A11" s="0" t="s">
        <v>117</v>
      </c>
      <c r="C11" s="0" t="n">
        <f aca="false">C8+C10+C24</f>
        <v>10670.563</v>
      </c>
      <c r="D11" s="0" t="n">
        <f aca="false">D8+D10+D24</f>
        <v>13034.542668</v>
      </c>
      <c r="E11" s="0" t="n">
        <f aca="false">E8+E10+E24</f>
        <v>15777.91613188</v>
      </c>
      <c r="F11" s="0" t="n">
        <f aca="false">F8+F10+F24</f>
        <v>18763.0834220032</v>
      </c>
      <c r="G11" s="0" t="n">
        <f aca="false">G8+G10+G24</f>
        <v>21676.3871783303</v>
      </c>
      <c r="H11" s="0" t="n">
        <f aca="false">H8+H10+H24</f>
        <v>24598.4023662462</v>
      </c>
      <c r="I11" s="0" t="n">
        <f aca="false">I8+I10+I24</f>
        <v>27304.2266265333</v>
      </c>
      <c r="J11" s="0" t="n">
        <f aca="false">J8+J10+J24</f>
        <v>30034.6492891866</v>
      </c>
      <c r="K11" s="0" t="n">
        <f aca="false">K8+K10+K24</f>
        <v>32737.7677252134</v>
      </c>
      <c r="L11" s="0" t="n">
        <f aca="false">L8+L10+L24</f>
        <v>35356.7891432305</v>
      </c>
    </row>
    <row r="12" customFormat="false" ht="15" hidden="false" customHeight="false" outlineLevel="0" collapsed="false">
      <c r="A12" s="0" t="s">
        <v>118</v>
      </c>
      <c r="C12" s="4" t="n">
        <f aca="false">-C6*Assumptions!C45/100</f>
        <v>-1954.1272</v>
      </c>
      <c r="D12" s="4" t="n">
        <f aca="false">-D6*Assumptions!D45/100</f>
        <v>-2386.606404</v>
      </c>
      <c r="E12" s="4" t="n">
        <f aca="false">-E6*Assumptions!E45/100</f>
        <v>-2888.4056992</v>
      </c>
      <c r="F12" s="4" t="n">
        <f aca="false">-F6*Assumptions!F45/100</f>
        <v>-3434.3143763488</v>
      </c>
      <c r="G12" s="4" t="n">
        <f aca="false">-G6*Assumptions!G45/100</f>
        <v>-4010.60908145318</v>
      </c>
      <c r="H12" s="4" t="n">
        <f aca="false">-H6*Assumptions!H45/100</f>
        <v>-4598.83174673298</v>
      </c>
      <c r="I12" s="4" t="n">
        <f aca="false">-I6*Assumptions!I45/100</f>
        <v>-5223.41726768463</v>
      </c>
      <c r="J12" s="4" t="n">
        <f aca="false">-J6*Assumptions!J45/100</f>
        <v>-5811.05171029915</v>
      </c>
      <c r="K12" s="4" t="n">
        <f aca="false">-K6*Assumptions!K45/100</f>
        <v>-6405.21542449827</v>
      </c>
      <c r="L12" s="4" t="n">
        <f aca="false">-L6*Assumptions!L45/100</f>
        <v>-6917.63265845814</v>
      </c>
    </row>
    <row r="13" customFormat="false" ht="15" hidden="false" customHeight="false" outlineLevel="0" collapsed="false">
      <c r="A13" s="0" t="s">
        <v>119</v>
      </c>
      <c r="C13" s="0" t="n">
        <f aca="false">C11+C12</f>
        <v>8716.4358</v>
      </c>
      <c r="D13" s="0" t="n">
        <f aca="false">D11+D12</f>
        <v>10647.936264</v>
      </c>
      <c r="E13" s="0" t="n">
        <f aca="false">E11+E12</f>
        <v>12889.51043268</v>
      </c>
      <c r="F13" s="0" t="n">
        <f aca="false">F11+F12</f>
        <v>15328.7690456544</v>
      </c>
      <c r="G13" s="0" t="n">
        <f aca="false">G11+G12</f>
        <v>17665.7780968771</v>
      </c>
      <c r="H13" s="0" t="n">
        <f aca="false">H11+H12</f>
        <v>19999.5706195132</v>
      </c>
      <c r="I13" s="0" t="n">
        <f aca="false">I11+I12</f>
        <v>22080.8093588487</v>
      </c>
      <c r="J13" s="0" t="n">
        <f aca="false">J11+J12</f>
        <v>24223.5975788875</v>
      </c>
      <c r="K13" s="0" t="n">
        <f aca="false">K11+K12</f>
        <v>26332.5523007151</v>
      </c>
      <c r="L13" s="0" t="n">
        <f aca="false">L11+L12</f>
        <v>28439.1564847723</v>
      </c>
    </row>
    <row r="14" customFormat="false" ht="15" hidden="false" customHeight="false" outlineLevel="0" collapsed="false">
      <c r="A14" s="0" t="s">
        <v>105</v>
      </c>
      <c r="C14" s="4" t="n">
        <f aca="false">Assumptions!C47</f>
        <v>20</v>
      </c>
      <c r="D14" s="4" t="n">
        <f aca="false">Assumptions!D47</f>
        <v>20</v>
      </c>
      <c r="E14" s="4" t="n">
        <f aca="false">Assumptions!E47</f>
        <v>20</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120</v>
      </c>
      <c r="C15" s="0" t="n">
        <f aca="false">C13-MAX(0,C13)*C14/100</f>
        <v>6973.14864</v>
      </c>
      <c r="D15" s="0" t="n">
        <f aca="false">D13-MAX(0,D13)*D14/100</f>
        <v>8518.3490112</v>
      </c>
      <c r="E15" s="0" t="n">
        <f aca="false">E13-MAX(0,E13)*E14/100</f>
        <v>10311.608346144</v>
      </c>
      <c r="F15" s="0" t="n">
        <f aca="false">F13-MAX(0,F13)*F14/100</f>
        <v>12109.727546067</v>
      </c>
      <c r="G15" s="0" t="n">
        <f aca="false">G13-MAX(0,G13)*G14/100</f>
        <v>13955.9646965329</v>
      </c>
      <c r="H15" s="0" t="n">
        <f aca="false">H13-MAX(0,H13)*H14/100</f>
        <v>15799.6607894154</v>
      </c>
      <c r="I15" s="0" t="n">
        <f aca="false">I13-MAX(0,I13)*I14/100</f>
        <v>17443.8393934904</v>
      </c>
      <c r="J15" s="0" t="n">
        <f aca="false">J13-MAX(0,J13)*J14/100</f>
        <v>19136.6420873211</v>
      </c>
      <c r="K15" s="0" t="n">
        <f aca="false">K13-MAX(0,K13)*K14/100</f>
        <v>20802.7163175649</v>
      </c>
      <c r="L15" s="0" t="n">
        <f aca="false">L13-MAX(0,L13)*L14/100</f>
        <v>22466.9336229701</v>
      </c>
    </row>
    <row r="16" customFormat="false" ht="15" hidden="false" customHeight="false" outlineLevel="0" collapsed="false">
      <c r="A16" s="0" t="s">
        <v>121</v>
      </c>
      <c r="C16" s="0" t="n">
        <f aca="false">-C12</f>
        <v>1954.1272</v>
      </c>
      <c r="D16" s="0" t="n">
        <f aca="false">-D12</f>
        <v>2386.606404</v>
      </c>
      <c r="E16" s="0" t="n">
        <f aca="false">-E12</f>
        <v>2888.4056992</v>
      </c>
      <c r="F16" s="0" t="n">
        <f aca="false">-F12</f>
        <v>3434.3143763488</v>
      </c>
      <c r="G16" s="0" t="n">
        <f aca="false">-G12</f>
        <v>4010.60908145318</v>
      </c>
      <c r="H16" s="0" t="n">
        <f aca="false">-H12</f>
        <v>4598.83174673298</v>
      </c>
      <c r="I16" s="0" t="n">
        <f aca="false">-I12</f>
        <v>5223.41726768463</v>
      </c>
      <c r="J16" s="0" t="n">
        <f aca="false">-J12</f>
        <v>5811.05171029915</v>
      </c>
      <c r="K16" s="0" t="n">
        <f aca="false">-K12</f>
        <v>6405.21542449827</v>
      </c>
      <c r="L16" s="0" t="n">
        <f aca="false">-L12</f>
        <v>6917.63265845814</v>
      </c>
    </row>
    <row r="17" customFormat="false" ht="15" hidden="false" customHeight="false" outlineLevel="0" collapsed="false">
      <c r="A17" s="0" t="s">
        <v>122</v>
      </c>
      <c r="C17" s="4" t="n">
        <f aca="false">-C6*Assumptions!C46/100</f>
        <v>-5399.562</v>
      </c>
      <c r="D17" s="4" t="n">
        <f aca="false">-D6*Assumptions!D46/100</f>
        <v>-6119.5036</v>
      </c>
      <c r="E17" s="4" t="n">
        <f aca="false">-E6*Assumptions!E46/100</f>
        <v>-6498.9128232</v>
      </c>
      <c r="F17" s="4" t="n">
        <f aca="false">-F6*Assumptions!F46/100</f>
        <v>-6701.101222144</v>
      </c>
      <c r="G17" s="4" t="n">
        <f aca="false">-G6*Assumptions!G46/100</f>
        <v>-7161.8019311664</v>
      </c>
      <c r="H17" s="4" t="n">
        <f aca="false">-H6*Assumptions!H46/100</f>
        <v>-7486.47028537928</v>
      </c>
      <c r="I17" s="4" t="n">
        <f aca="false">-I6*Assumptions!I46/100</f>
        <v>-7716.41187271593</v>
      </c>
      <c r="J17" s="4" t="n">
        <f aca="false">-J6*Assumptions!J46/100</f>
        <v>-7835.12590152694</v>
      </c>
      <c r="K17" s="4" t="n">
        <f aca="false">-K6*Assumptions!K46/100</f>
        <v>-8184.44193130335</v>
      </c>
      <c r="L17" s="4" t="n">
        <f aca="false">-L6*Assumptions!L46/100</f>
        <v>-8454.88436033772</v>
      </c>
    </row>
    <row r="18" customFormat="false" ht="15" hidden="false" customHeight="false" outlineLevel="0" collapsed="false">
      <c r="A18" s="0" t="s">
        <v>123</v>
      </c>
      <c r="C18" s="4" t="n">
        <f aca="false">(C6-B6)*Assumptions!$B$51/100</f>
        <v>-980.549999999999</v>
      </c>
      <c r="D18" s="4" t="n">
        <f aca="false">(D6-C6)*Assumptions!$B$51/100</f>
        <v>-1221.3295</v>
      </c>
      <c r="E18" s="4" t="n">
        <f aca="false">(E6-D6)*Assumptions!$B$51/100</f>
        <v>-1376.88831</v>
      </c>
      <c r="F18" s="4" t="n">
        <f aca="false">(F6-E6)*Assumptions!$B$51/100</f>
        <v>-1444.2028496</v>
      </c>
      <c r="G18" s="4" t="n">
        <f aca="false">(G6-F6)*Assumptions!$B$51/100</f>
        <v>-1465.865892344</v>
      </c>
      <c r="H18" s="4" t="n">
        <f aca="false">(H6-G6)*Assumptions!$B$51/100</f>
        <v>-1432.36038623328</v>
      </c>
      <c r="I18" s="4" t="n">
        <f aca="false">(I6-H6)*Assumptions!$B$51/100</f>
        <v>-1470.5566631995</v>
      </c>
      <c r="J18" s="4" t="n">
        <f aca="false">(J6-I6)*Assumptions!$B$51/100</f>
        <v>-1483.92536013768</v>
      </c>
      <c r="K18" s="4" t="n">
        <f aca="false">(K6-J6)*Assumptions!$B$51/100</f>
        <v>-1469.0861065363</v>
      </c>
      <c r="L18" s="4" t="n">
        <f aca="false">(L6-K6)*Assumptions!$B$51/100</f>
        <v>-1423.38120544406</v>
      </c>
    </row>
    <row r="19" customFormat="false" ht="15" hidden="false" customHeight="false" outlineLevel="0" collapsed="false">
      <c r="A19" s="0" t="s">
        <v>124</v>
      </c>
      <c r="C19" s="0" t="n">
        <f aca="false">C15+C16+C17+C18</f>
        <v>2547.16384</v>
      </c>
      <c r="D19" s="0" t="n">
        <f aca="false">D15+D16+D17+D18</f>
        <v>3564.1223152</v>
      </c>
      <c r="E19" s="0" t="n">
        <f aca="false">E15+E16+E17+E18</f>
        <v>5324.212912144</v>
      </c>
      <c r="F19" s="0" t="n">
        <f aca="false">F15+F16+F17+F18</f>
        <v>7398.73785067177</v>
      </c>
      <c r="G19" s="0" t="n">
        <f aca="false">G15+G16+G17+G18</f>
        <v>9338.90595447571</v>
      </c>
      <c r="H19" s="0" t="n">
        <f aca="false">H15+H16+H17+H18</f>
        <v>11479.6618645359</v>
      </c>
      <c r="I19" s="0" t="n">
        <f aca="false">I15+I16+I17+I18</f>
        <v>13480.2881252596</v>
      </c>
      <c r="J19" s="0" t="n">
        <f aca="false">J15+J16+J17+J18</f>
        <v>15628.6425359556</v>
      </c>
      <c r="K19" s="0" t="n">
        <f aca="false">K15+K16+K17+K18</f>
        <v>17554.4037042236</v>
      </c>
      <c r="L19" s="0" t="n">
        <f aca="false">L15+L16+L17+L18</f>
        <v>19506.3007156465</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2326.17702283105</v>
      </c>
      <c r="D21" s="0" t="n">
        <f aca="false">D19*D20</f>
        <v>2972.51709947666</v>
      </c>
      <c r="E21" s="0" t="n">
        <f aca="false">E19*E20</f>
        <v>4055.20727001952</v>
      </c>
      <c r="F21" s="0" t="n">
        <f aca="false">F19*F20</f>
        <v>5146.37185315167</v>
      </c>
      <c r="G21" s="0" t="n">
        <f aca="false">G19*G20</f>
        <v>5932.33142574848</v>
      </c>
      <c r="H21" s="0" t="n">
        <f aca="false">H19*H20</f>
        <v>6659.54228715464</v>
      </c>
      <c r="I21" s="0" t="n">
        <f aca="false">I19*I20</f>
        <v>7141.67924199702</v>
      </c>
      <c r="J21" s="0" t="n">
        <f aca="false">J19*J20</f>
        <v>7561.50605977698</v>
      </c>
      <c r="K21" s="0" t="n">
        <f aca="false">K19*K20</f>
        <v>7756.3787731742</v>
      </c>
      <c r="L21" s="0" t="n">
        <f aca="false">L19*L20</f>
        <v>7871.06906956914</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9.5</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18</v>
      </c>
    </row>
    <row r="30" customFormat="false" ht="15" hidden="false" customHeight="false" outlineLevel="0" collapsed="false">
      <c r="A30" s="0" t="s">
        <v>129</v>
      </c>
      <c r="B30" s="0" t="n">
        <f aca="false">SUM(C21:L21)</f>
        <v>57422.7801028994</v>
      </c>
    </row>
    <row r="31" customFormat="false" ht="15" hidden="false" customHeight="false" outlineLevel="0" collapsed="false">
      <c r="A31" s="0" t="s">
        <v>130</v>
      </c>
      <c r="B31" s="0" t="n">
        <f aca="false">L19</f>
        <v>19506.3007156465</v>
      </c>
    </row>
    <row r="32" customFormat="false" ht="15" hidden="false" customHeight="false" outlineLevel="0" collapsed="false">
      <c r="A32" s="0" t="s">
        <v>131</v>
      </c>
      <c r="B32" s="0" t="n">
        <f aca="false">IF(B27&gt;B28,B31*(1+B28/100)/((B27-B28)/100),B31*B29)</f>
        <v>309099.842109475</v>
      </c>
    </row>
    <row r="33" customFormat="false" ht="15" hidden="false" customHeight="false" outlineLevel="0" collapsed="false">
      <c r="A33" s="0" t="s">
        <v>132</v>
      </c>
      <c r="B33" s="0" t="n">
        <f aca="false">B31*B29</f>
        <v>351113.412881637</v>
      </c>
    </row>
    <row r="34" customFormat="false" ht="15" hidden="false" customHeight="false" outlineLevel="0" collapsed="false">
      <c r="A34" s="0" t="s">
        <v>133</v>
      </c>
      <c r="B34" s="0" t="n">
        <f aca="false">MAX(0,MIN(B32,B33))</f>
        <v>309099.842109475</v>
      </c>
    </row>
    <row r="35" customFormat="false" ht="15" hidden="false" customHeight="false" outlineLevel="0" collapsed="false">
      <c r="A35" s="0" t="s">
        <v>134</v>
      </c>
      <c r="B35" s="0" t="n">
        <f aca="false">B34/(1+B27/100)^L4</f>
        <v>124726.171410096</v>
      </c>
    </row>
    <row r="36" customFormat="false" ht="15" hidden="false" customHeight="false" outlineLevel="0" collapsed="false">
      <c r="A36" s="0" t="s">
        <v>135</v>
      </c>
      <c r="B36" s="0" t="n">
        <f aca="false">B30+B35</f>
        <v>182148.951512995</v>
      </c>
    </row>
    <row r="37" customFormat="false" ht="15" hidden="false" customHeight="false" outlineLevel="0" collapsed="false">
      <c r="A37" s="0" t="s">
        <v>136</v>
      </c>
      <c r="B37" s="0" t="n">
        <f aca="false">B36+Assumptions!$B$5-Assumptions!$B$4</f>
        <v>156469.751512995</v>
      </c>
    </row>
    <row r="38" customFormat="false" ht="15" hidden="false" customHeight="false" outlineLevel="0" collapsed="false">
      <c r="A38" s="0" t="s">
        <v>137</v>
      </c>
      <c r="B38" s="0" t="n">
        <f aca="false">B37/Assumptions!$B$3*Assumptions!$B$10</f>
        <v>43.8769491434465</v>
      </c>
    </row>
    <row r="39" customFormat="false" ht="15" hidden="false" customHeight="false" outlineLevel="0" collapsed="false">
      <c r="A39" s="0" t="s">
        <v>138</v>
      </c>
      <c r="B39" s="4" t="n">
        <f aca="false">B38/Assumptions!$B$2-1</f>
        <v>-0.0896898517957162</v>
      </c>
    </row>
    <row r="41" customFormat="false" ht="15" hidden="false" customHeight="false" outlineLevel="0" collapsed="false">
      <c r="A41" s="0" t="s">
        <v>139</v>
      </c>
      <c r="B41" s="0" t="n">
        <f aca="false">SUMPRODUCT(-C10:L10/(1+$B$27/100)^C4:L4)</f>
        <v>10627.3809369552</v>
      </c>
    </row>
    <row r="42" customFormat="false" ht="15" hidden="false" customHeight="false" outlineLevel="0" collapsed="false">
      <c r="A42" s="0" t="s">
        <v>140</v>
      </c>
      <c r="B42" s="0" t="n">
        <f aca="false">IF(B27&gt;B28,-L10*(1+B28/100)/((B27-B28)/100),-L10*20)/(1+B27/100)^L4</f>
        <v>17201.4757494112</v>
      </c>
    </row>
    <row r="43" customFormat="false" ht="15" hidden="false" customHeight="false" outlineLevel="0" collapsed="false">
      <c r="A43" s="0" t="s">
        <v>141</v>
      </c>
      <c r="B43" s="0" t="n">
        <f aca="false">(B37+B41+B42)/Assumptions!$B$3*Assumptions!$B$10</f>
        <v>51.680664032369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167429.081142632</v>
      </c>
    </row>
    <row r="47" customFormat="false" ht="15" hidden="false" customHeight="false" outlineLevel="0" collapsed="false">
      <c r="A47" s="0" t="s">
        <v>143</v>
      </c>
      <c r="B47" s="0" t="n">
        <f aca="false">(SUMPRODUCT(C19:L19/(1+B45/100)^C4:L4)+B46/(1+B45/100)^L4+Assumptions!$B$5-Assumptions!$B$4)/Assumptions!$B$3*Assumptions!$B$10</f>
        <v>16.2480352502373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13.1585237016425</v>
      </c>
      <c r="C4" s="0" t="n">
        <f aca="false">B4/Assumptions!$B$2-1</f>
        <v>-0.727001582953474</v>
      </c>
      <c r="D4" s="4" t="n">
        <f aca="false">Assumptions!$B$24</f>
        <v>0.25</v>
      </c>
      <c r="E4" s="4" t="n">
        <f aca="false">DCF_Bear!$B$43</f>
        <v>17.0686989518257</v>
      </c>
      <c r="F4" s="4" t="n">
        <f aca="false">DCF_Bear!$B$47</f>
        <v>3.63665381134648</v>
      </c>
    </row>
    <row r="5" customFormat="false" ht="15" hidden="false" customHeight="false" outlineLevel="0" collapsed="false">
      <c r="A5" s="0" t="s">
        <v>152</v>
      </c>
      <c r="B5" s="4" t="n">
        <f aca="false">DCF_Base!$B$38</f>
        <v>30.5366977681602</v>
      </c>
      <c r="C5" s="0" t="n">
        <f aca="false">B5/Assumptions!$B$2-1</f>
        <v>-0.366458552527796</v>
      </c>
      <c r="D5" s="4" t="n">
        <f aca="false">Assumptions!$B$38</f>
        <v>0.5</v>
      </c>
      <c r="E5" s="4" t="n">
        <f aca="false">DCF_Base!$B$43</f>
        <v>36.6029864382461</v>
      </c>
      <c r="F5" s="4" t="n">
        <f aca="false">DCF_Base!$B$47</f>
        <v>11.1432039124727</v>
      </c>
    </row>
    <row r="6" customFormat="false" ht="15" hidden="false" customHeight="false" outlineLevel="0" collapsed="false">
      <c r="A6" s="0" t="s">
        <v>153</v>
      </c>
      <c r="B6" s="4" t="n">
        <f aca="false">DCF_Bull!$B$38</f>
        <v>43.8769491434465</v>
      </c>
      <c r="C6" s="0" t="n">
        <f aca="false">B6/Assumptions!$B$2-1</f>
        <v>-0.0896898517957162</v>
      </c>
      <c r="D6" s="4" t="n">
        <f aca="false">Assumptions!$B$52</f>
        <v>0.25</v>
      </c>
      <c r="E6" s="4" t="n">
        <f aca="false">DCF_Bull!$B$43</f>
        <v>51.680664032369</v>
      </c>
      <c r="F6" s="4" t="n">
        <f aca="false">DCF_Bull!$B$47</f>
        <v>16.2480352502373</v>
      </c>
    </row>
    <row r="8" customFormat="false" ht="15" hidden="false" customHeight="false" outlineLevel="0" collapsed="false">
      <c r="A8" s="0" t="s">
        <v>154</v>
      </c>
      <c r="B8" s="0" t="n">
        <f aca="false">SUMPRODUCT(B4:B6,D4:D6)</f>
        <v>29.5272170953524</v>
      </c>
    </row>
    <row r="9" customFormat="false" ht="15" hidden="false" customHeight="false" outlineLevel="0" collapsed="false">
      <c r="A9" s="0" t="s">
        <v>155</v>
      </c>
      <c r="B9" s="0" t="n">
        <f aca="false">SUMPRODUCT(E4:E6,D4:D6)</f>
        <v>35.4888339651717</v>
      </c>
    </row>
    <row r="10" customFormat="false" ht="15" hidden="false" customHeight="false" outlineLevel="0" collapsed="false">
      <c r="A10" s="0" t="s">
        <v>156</v>
      </c>
      <c r="B10" s="0" t="n">
        <f aca="false">1-Assumptions!$B$2/B8</f>
        <v>-0.632392238128894</v>
      </c>
    </row>
    <row r="11" customFormat="false" ht="15" hidden="false" customHeight="false" outlineLevel="0" collapsed="false">
      <c r="A11" s="0" t="s">
        <v>157</v>
      </c>
      <c r="B11" s="0" t="n">
        <f aca="false">IF(ABS(B9-B8)&gt;0.01*ABS(B8),(Assumptions!$B$2-B8)/(B9-B8)*100,"n/a")</f>
        <v>313.216754991057</v>
      </c>
    </row>
    <row r="12" customFormat="false" ht="15" hidden="false" customHeight="false" outlineLevel="0" collapsed="false">
      <c r="A12" s="0" t="s">
        <v>158</v>
      </c>
      <c r="B12" s="0" t="n">
        <f aca="false">SUMPRODUCT(F4:F6,D4:D6)</f>
        <v>10.5427742216323</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34.0180290430668</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30.5366977681602</v>
      </c>
      <c r="C16" s="3" t="n">
        <v>9.5</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27.5343433690761</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22.6265332678312</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18.7936850338274</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11.1432039124727</v>
      </c>
      <c r="C20" s="3" t="n">
        <v>15</v>
      </c>
    </row>
    <row r="22" customFormat="false" ht="15" hidden="false" customHeight="false" outlineLevel="0" collapsed="false">
      <c r="A22" s="2" t="s">
        <v>167</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41.6340935650111</v>
      </c>
      <c r="C24" s="0" t="n">
        <f aca="false">(SUMPRODUCT(DCF_Base!$C$19:$L$19/(1+$A$24/100)^DCF_Base!$C$4:$L$4)+MAX(0,MIN(IF($A$24&gt;$C$23,DCF_Base!$L$19*(1+$C$23/100)/(($A$24-$C$23)/100),DCF_Base!$L$19*DCF_Base!$B$29),DCF_Base!$L$19*DCF_Base!$B$29))/(1+$A$24/100)^DCF_Base!$L$4+Assumptions!$B$5-Assumptions!$B$4)/Assumptions!$B$3*Assumptions!$B$10</f>
        <v>43.7949972318978</v>
      </c>
      <c r="D24" s="0" t="n">
        <f aca="false">(SUMPRODUCT(DCF_Base!$C$19:$L$19/(1+$A$24/100)^DCF_Base!$C$4:$L$4)+MAX(0,MIN(IF($A$24&gt;$D$23,DCF_Base!$L$19*(1+$D$23/100)/(($A$24-$D$23)/100),DCF_Base!$L$19*DCF_Base!$B$29),DCF_Base!$L$19*DCF_Base!$B$29))/(1+$A$24/100)^DCF_Base!$L$4+Assumptions!$B$5-Assumptions!$B$4)/Assumptions!$B$3*Assumptions!$B$10</f>
        <v>43.7949972318978</v>
      </c>
      <c r="E24" s="0" t="n">
        <f aca="false">(SUMPRODUCT(DCF_Base!$C$19:$L$19/(1+$A$24/100)^DCF_Base!$C$4:$L$4)+MAX(0,MIN(IF($A$24&gt;$E$23,DCF_Base!$L$19*(1+$E$23/100)/(($A$24-$E$23)/100),DCF_Base!$L$19*DCF_Base!$B$29),DCF_Base!$L$19*DCF_Base!$B$29))/(1+$A$24/100)^DCF_Base!$L$4+Assumptions!$B$5-Assumptions!$B$4)/Assumptions!$B$3*Assumptions!$B$10</f>
        <v>43.7949972318978</v>
      </c>
      <c r="F24" s="0" t="n">
        <f aca="false">(SUMPRODUCT(DCF_Base!$C$19:$L$19/(1+$A$24/100)^DCF_Base!$C$4:$L$4)+MAX(0,MIN(IF($A$24&gt;$F$23,DCF_Base!$L$19*(1+$F$23/100)/(($A$24-$F$23)/100),DCF_Base!$L$19*DCF_Base!$B$29),DCF_Base!$L$19*DCF_Base!$B$29))/(1+$A$24/100)^DCF_Base!$L$4+Assumptions!$B$5-Assumptions!$B$4)/Assumptions!$B$3*Assumptions!$B$10</f>
        <v>43.7949972318978</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33.4015835317015</v>
      </c>
      <c r="C25" s="0" t="n">
        <f aca="false">(SUMPRODUCT(DCF_Base!$C$19:$L$19/(1+$A$25/100)^DCF_Base!$C$4:$L$4)+MAX(0,MIN(IF($A$25&gt;$C$23,DCF_Base!$L$19*(1+$C$23/100)/(($A$25-$C$23)/100),DCF_Base!$L$19*DCF_Base!$B$29),DCF_Base!$L$19*DCF_Base!$B$29))/(1+$A$25/100)^DCF_Base!$L$4+Assumptions!$B$5-Assumptions!$B$4)/Assumptions!$B$3*Assumptions!$B$10</f>
        <v>35.5695317595915</v>
      </c>
      <c r="D25" s="0" t="n">
        <f aca="false">(SUMPRODUCT(DCF_Base!$C$19:$L$19/(1+$A$25/100)^DCF_Base!$C$4:$L$4)+MAX(0,MIN(IF($A$25&gt;$D$23,DCF_Base!$L$19*(1+$D$23/100)/(($A$25-$D$23)/100),DCF_Base!$L$19*DCF_Base!$B$29),DCF_Base!$L$19*DCF_Base!$B$29))/(1+$A$25/100)^DCF_Base!$L$4+Assumptions!$B$5-Assumptions!$B$4)/Assumptions!$B$3*Assumptions!$B$10</f>
        <v>38.0988046921297</v>
      </c>
      <c r="E25" s="0" t="n">
        <f aca="false">(SUMPRODUCT(DCF_Base!$C$19:$L$19/(1+$A$25/100)^DCF_Base!$C$4:$L$4)+MAX(0,MIN(IF($A$25&gt;$E$23,DCF_Base!$L$19*(1+$E$23/100)/(($A$25-$E$23)/100),DCF_Base!$L$19*DCF_Base!$B$29),DCF_Base!$L$19*DCF_Base!$B$29))/(1+$A$25/100)^DCF_Base!$L$4+Assumptions!$B$5-Assumptions!$B$4)/Assumptions!$B$3*Assumptions!$B$10</f>
        <v>39.7655605877655</v>
      </c>
      <c r="F25" s="0" t="n">
        <f aca="false">(SUMPRODUCT(DCF_Base!$C$19:$L$19/(1+$A$25/100)^DCF_Base!$C$4:$L$4)+MAX(0,MIN(IF($A$25&gt;$F$23,DCF_Base!$L$19*(1+$F$23/100)/(($A$25-$F$23)/100),DCF_Base!$L$19*DCF_Base!$B$29),DCF_Base!$L$19*DCF_Base!$B$29))/(1+$A$25/100)^DCF_Base!$L$4+Assumptions!$B$5-Assumptions!$B$4)/Assumptions!$B$3*Assumptions!$B$10</f>
        <v>39.7655605877655</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27.2929816180298</v>
      </c>
      <c r="C26" s="0" t="n">
        <f aca="false">(SUMPRODUCT(DCF_Base!$C$19:$L$19/(1+$A$26/100)^DCF_Base!$C$4:$L$4)+MAX(0,MIN(IF($A$26&gt;$C$23,DCF_Base!$L$19*(1+$C$23/100)/(($A$26-$C$23)/100),DCF_Base!$L$19*DCF_Base!$B$29),DCF_Base!$L$19*DCF_Base!$B$29))/(1+$A$26/100)^DCF_Base!$L$4+Assumptions!$B$5-Assumptions!$B$4)/Assumptions!$B$3*Assumptions!$B$10</f>
        <v>28.806715821424</v>
      </c>
      <c r="D26" s="0" t="n">
        <f aca="false">(SUMPRODUCT(DCF_Base!$C$19:$L$19/(1+$A$26/100)^DCF_Base!$C$4:$L$4)+MAX(0,MIN(IF($A$26&gt;$D$23,DCF_Base!$L$19*(1+$D$23/100)/(($A$26-$D$23)/100),DCF_Base!$L$19*DCF_Base!$B$29),DCF_Base!$L$19*DCF_Base!$B$29))/(1+$A$26/100)^DCF_Base!$L$4+Assumptions!$B$5-Assumptions!$B$4)/Assumptions!$B$3*Assumptions!$B$10</f>
        <v>30.5366977681602</v>
      </c>
      <c r="E26" s="0" t="n">
        <f aca="false">(SUMPRODUCT(DCF_Base!$C$19:$L$19/(1+$A$26/100)^DCF_Base!$C$4:$L$4)+MAX(0,MIN(IF($A$26&gt;$E$23,DCF_Base!$L$19*(1+$E$23/100)/(($A$26-$E$23)/100),DCF_Base!$L$19*DCF_Base!$B$29),DCF_Base!$L$19*DCF_Base!$B$29))/(1+$A$26/100)^DCF_Base!$L$4+Assumptions!$B$5-Assumptions!$B$4)/Assumptions!$B$3*Assumptions!$B$10</f>
        <v>32.5328307836251</v>
      </c>
      <c r="F26" s="0" t="n">
        <f aca="false">(SUMPRODUCT(DCF_Base!$C$19:$L$19/(1+$A$26/100)^DCF_Base!$C$4:$L$4)+MAX(0,MIN(IF($A$26&gt;$F$23,DCF_Base!$L$19*(1+$F$23/100)/(($A$26-$F$23)/100),DCF_Base!$L$19*DCF_Base!$B$29),DCF_Base!$L$19*DCF_Base!$B$29))/(1+$A$26/100)^DCF_Base!$L$4+Assumptions!$B$5-Assumptions!$B$4)/Assumptions!$B$3*Assumptions!$B$10</f>
        <v>34.8616526350008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22.5959497281508</v>
      </c>
      <c r="C27" s="0" t="n">
        <f aca="false">(SUMPRODUCT(DCF_Base!$C$19:$L$19/(1+$A$27/100)^DCF_Base!$C$4:$L$4)+MAX(0,MIN(IF($A$27&gt;$C$23,DCF_Base!$L$19*(1+$C$23/100)/(($A$27-$C$23)/100),DCF_Base!$L$19*DCF_Base!$B$29),DCF_Base!$L$19*DCF_Base!$B$29))/(1+$A$27/100)^DCF_Base!$L$4+Assumptions!$B$5-Assumptions!$B$4)/Assumptions!$B$3*Assumptions!$B$10</f>
        <v>23.6899212325533</v>
      </c>
      <c r="D27" s="0" t="n">
        <f aca="false">(SUMPRODUCT(DCF_Base!$C$19:$L$19/(1+$A$27/100)^DCF_Base!$C$4:$L$4)+MAX(0,MIN(IF($A$27&gt;$D$23,DCF_Base!$L$19*(1+$D$23/100)/(($A$27-$D$23)/100),DCF_Base!$L$19*DCF_Base!$B$29),DCF_Base!$L$19*DCF_Base!$B$29))/(1+$A$27/100)^DCF_Base!$L$4+Assumptions!$B$5-Assumptions!$B$4)/Assumptions!$B$3*Assumptions!$B$10</f>
        <v>24.9206391750061</v>
      </c>
      <c r="E27" s="0" t="n">
        <f aca="false">(SUMPRODUCT(DCF_Base!$C$19:$L$19/(1+$A$27/100)^DCF_Base!$C$4:$L$4)+MAX(0,MIN(IF($A$27&gt;$E$23,DCF_Base!$L$19*(1+$E$23/100)/(($A$27-$E$23)/100),DCF_Base!$L$19*DCF_Base!$B$29),DCF_Base!$L$19*DCF_Base!$B$29))/(1+$A$27/100)^DCF_Base!$L$4+Assumptions!$B$5-Assumptions!$B$4)/Assumptions!$B$3*Assumptions!$B$10</f>
        <v>26.3154528431193</v>
      </c>
      <c r="F27" s="0" t="n">
        <f aca="false">(SUMPRODUCT(DCF_Base!$C$19:$L$19/(1+$A$27/100)^DCF_Base!$C$4:$L$4)+MAX(0,MIN(IF($A$27&gt;$F$23,DCF_Base!$L$19*(1+$F$23/100)/(($A$27-$F$23)/100),DCF_Base!$L$19*DCF_Base!$B$29),DCF_Base!$L$19*DCF_Base!$B$29))/(1+$A$27/100)^DCF_Base!$L$4+Assumptions!$B$5-Assumptions!$B$4)/Assumptions!$B$3*Assumptions!$B$10</f>
        <v>27.9095256066772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18.883426663326</v>
      </c>
      <c r="C28" s="0" t="n">
        <f aca="false">(SUMPRODUCT(DCF_Base!$C$19:$L$19/(1+$A$28/100)^DCF_Base!$C$4:$L$4)+MAX(0,MIN(IF($A$28&gt;$C$23,DCF_Base!$L$19*(1+$C$23/100)/(($A$28-$C$23)/100),DCF_Base!$L$19*DCF_Base!$B$29),DCF_Base!$L$19*DCF_Base!$B$29))/(1+$A$28/100)^DCF_Base!$L$4+Assumptions!$B$5-Assumptions!$B$4)/Assumptions!$B$3*Assumptions!$B$10</f>
        <v>19.6957530027205</v>
      </c>
      <c r="D28" s="0" t="n">
        <f aca="false">(SUMPRODUCT(DCF_Base!$C$19:$L$19/(1+$A$28/100)^DCF_Base!$C$4:$L$4)+MAX(0,MIN(IF($A$28&gt;$D$23,DCF_Base!$L$19*(1+$D$23/100)/(($A$28-$D$23)/100),DCF_Base!$L$19*DCF_Base!$B$29),DCF_Base!$L$19*DCF_Base!$B$29))/(1+$A$28/100)^DCF_Base!$L$4+Assumptions!$B$5-Assumptions!$B$4)/Assumptions!$B$3*Assumptions!$B$10</f>
        <v>20.59833782427</v>
      </c>
      <c r="E28" s="0" t="n">
        <f aca="false">(SUMPRODUCT(DCF_Base!$C$19:$L$19/(1+$A$28/100)^DCF_Base!$C$4:$L$4)+MAX(0,MIN(IF($A$28&gt;$E$23,DCF_Base!$L$19*(1+$E$23/100)/(($A$28-$E$23)/100),DCF_Base!$L$19*DCF_Base!$B$29),DCF_Base!$L$19*DCF_Base!$B$29))/(1+$A$28/100)^DCF_Base!$L$4+Assumptions!$B$5-Assumptions!$B$4)/Assumptions!$B$3*Assumptions!$B$10</f>
        <v>21.6071090954136</v>
      </c>
      <c r="F28" s="0" t="n">
        <f aca="false">(SUMPRODUCT(DCF_Base!$C$19:$L$19/(1+$A$28/100)^DCF_Base!$C$4:$L$4)+MAX(0,MIN(IF($A$28&gt;$F$23,DCF_Base!$L$19*(1+$F$23/100)/(($A$28-$F$23)/100),DCF_Base!$L$19*DCF_Base!$B$29),DCF_Base!$L$19*DCF_Base!$B$29))/(1+$A$28/100)^DCF_Base!$L$4+Assumptions!$B$5-Assumptions!$B$4)/Assumptions!$B$3*Assumptions!$B$10</f>
        <v>22.74197677545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2026-10-17T23:23:40Z</dcterms:created>
  <dc:creator>openpyxl</dc:creator>
  <dc:description/>
  <dc:language>en-NZ</dc:language>
  <cp:lastModifiedBy/>
  <dcterms:modified xsi:type="dcterms:W3CDTF">2026-10-17T23:23:40Z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