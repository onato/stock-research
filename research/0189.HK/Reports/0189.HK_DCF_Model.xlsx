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<sst xmlns="http://schemas.openxmlformats.org/spreadsheetml/2006/main" count="356" uniqueCount="166">
  <si>
    <t xml:space="preserve">Ticker</t>
  </si>
  <si>
    <t xml:space="preserve">0189.HK</t>
  </si>
  <si>
    <t xml:space="preserve">Company</t>
  </si>
  <si>
    <t xml:space="preserve">Dongyue Group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</si>
  <si>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</si>
  <si>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</si>
  <si>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</si>
  <si>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</si>
  <si>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</si>
  <si>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</si>
  <si>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</si>
  <si>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</si>
  <si>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</si>
  <si>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</si>
  <si>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</si>
  <si>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</si>
  <si>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</si>
  <si>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</si>
  <si>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</si>
  <si>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</si>
  <si>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</si>
  <si>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</si>
  <si>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2026-10-10T21:37:51Z</t>
  </si>
  <si>
    <t xml:space="preserve">Drivers file</t>
  </si>
  <si>
    <t xml:space="preserve">0189.HK_Drivers.json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</si>
  <si>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</si>
  <si>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</si>
  <si>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</si>
  <si>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on attributable flows for a quota-protected but cyclical Chinese fluorochemical producer. Value rests on how long refrigerant quota pricing persists and how far fluoropolymer/silicon margins normalise; a large RMB5.6bn net cash pile (~one quarter of market cap, attributable ~RMB4.0bn) underpins the floor. Terminal value capped at 12x FCF for a commodity-cyclical business.
key_risks_to_valuation: Margin path: H1 FY2026 EBITDA margin ~33% is near a cycle high; every 1pp of mid-cycle margin is worth roughly 4-5% of value; NCI leakage: NCI took 37% of H1 FY2026 profit vs 25% in FY2025; a persistently higher share lowers attributable flows; China quota policy: allocations or an accelerated HFC phase-down can reprice the refrigerant segment within a year; FX: RMB-&gt;HKD rate is static in the file and not refreshed by refresh_price.py</t>
  </si>
  <si>
    <t xml:space="preserve">Data sources</t>
  </si>
  <si>
    <t xml:space="preserve">price: Yahoo Finance chart API at inputs.price_as_of; 52-week range 9.42-23.74 HKD
fx: Yahoo Finance CNYHKD=X, 2026-10-10
financials: 0189.HK_Metrics.csv (FY2018-FY2025, H1 FY2023-FY2026); H1 FY2026 interim report (balance sheet, cash flow, EPS and share-capital notes) for the 30-Jun-2026 anchors
qualitative: 0189.HK_Analysis.json (2026-10-11)</t>
  </si>
  <si>
    <t xml:space="preserve">Scenario narrative: bear</t>
  </si>
  <si>
    <t xml:space="preserve">The refrigerant up-cycle breaks: a quota reallocation, accelerated phase-down to HFOs, or appliance/construction slowdown in China reverses R32/R410a pricing in FY2027, while organic silicon and fluoropolymers return to the FY2023-24 oversupply troughs (EBITDA margin 12.9% and 18.5% in those years). Revenue falls ~12% over two years, margin troughs at 19% and recovers only to 21%; another safety incident or environmental curtailment at an older Zibo facility adds to it.</t>
  </si>
  <si>
    <t xml:space="preserve">Scenario narrative: base</t>
  </si>
  <si>
    <t xml:space="preserve">Quota-constrained HFC refrigerants (R32/R125/R134a, top-5 &gt;90% share) hold pricing near current levels through the Kigali phase-down, with the new 49kt R32 capacity filling into the FY2026 quota; fluoropolymers (PTFE/PVDF/FKM) and organic silicon recover from the FY2025 trough but stay structurally oversupplied, so group EBITDA margin fades from ~30% (FY2026, on H1's 32.9%) to a 25% mid-cycle -- above the 8-year 22.8% average because the quota regime has permanently raised refrigerant economics. Revenue grows with nominal China industrial demand (~3%). Capex steps down from the New Energy Center/R32 build to ~9% of revenue. NCI continues to take ~30% of profit.</t>
  </si>
  <si>
    <t xml:space="preserve">Scenario narrative: bull</t>
  </si>
  <si>
    <t xml:space="preserve">Refrigerant prices keep climbing as 2027+ HFC quotas tighten and global (Article 5 and US) demand stays firm despite a possible US phase-down delay; PVDF/PTFE demand from AI, semiconductors and new energy absorbs fluoropolymer overcapacity and the high-end polymer/membrane R&amp;D pipeline (&gt;RMB1bn incremental investment) commercialises. Organic silicon consolidation restores DMC margins. EBITDA margin holds ~28% mid-cycle and revenue compounds 4-6% for five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</si>
  <si>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</si>
  <si>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</si>
  <si>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</si>
  <si>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</si>
  <si>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</si>
  <si>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</si>
  <si>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</si>
  <si>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</si>
  <si>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</si>
  <si>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</si>
  <si>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</si>
  <si>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</si>
  <si>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</si>
  <si>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</si>
  <si>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</si>
  <si>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</si>
  <si>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</si>
  <si>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</si>
  <si>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</si>
  <si>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</si>
  <si>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</si>
  <si>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</si>
  <si>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</si>
  <si>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</si>
  <si>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</si>
  <si>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</si>
  <si>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</si>
  <si>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</si>
  <si>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</si>
  <si>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</si>
  <si>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</si>
  <si>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</si>
  <si>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</si>
  <si>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</si>
  <si>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</si>
  <si>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</si>
  <si>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</si>
  <si>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</si>
  <si>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</si>
  <si>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</si>
  <si>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</si>
  <si>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</si>
  <si>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</si>
  <si>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</si>
  <si>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</si>
  <si>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</si>
  <si>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</si>
  <si>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</si>
  <si>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</si>
  <si>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</si>
  <si>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</si>
  <si>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</si>
  <si>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</si>
  <si>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</si>
  <si>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</si>
  <si>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</si>
  <si>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</si>
  <si>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</si>
  <si>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</si>
  <si>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</si>
  <si>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</si>
  <si>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</si>
  <si>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</si>
  <si>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</si>
  <si>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</si>
  <si>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</si>
  <si>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</si>
  <si>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</si>
  <si>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</si>
  <si>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</si>
  <si>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</si>
  <si>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</si>
  <si>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</si>
  <si>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</si>
  <si>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0189.HK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</si>
  <si>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</si>
  <si>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</si>
  <si>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</si>
  <si>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</si>
  <si>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</si>
  <si>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</si>
  <si>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</si>
  <si>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</si>
  <si>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</si>
  <si>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</si>
  <si>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</si>
  <si>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</si>
  <si>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</si>
  <si>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</si>
  <si>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</si>
  <si>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</si>
  <si>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</si>
  <si>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</si>
  <si>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</si>
  <si>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</si>
  <si>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</si>
  <si>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</si>
  <si>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</si>
  <si>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</si>
  <si>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</si>
  <si>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</si>
  <si>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</si>
  <si>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</si>
  <si>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</si>
  <si>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</si>
  <si>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0189.HK owner-FCF component DCF: base case (millions, CNY)</t>
  </si>
  <si>
    <t xml:space="preserve">0189.HK owner-FCF component DCF: bull case (millions, CNY)</t>
  </si>
  <si>
    <t xml:space="preserve">0189.HK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</si>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</sst>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10.99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14218.937</v>
      </c>
      <c r="C2" s="0" t="n">
        <v>9687.291</v>
      </c>
      <c r="D2" s="0" t="n">
        <v>4531.646</v>
      </c>
      <c r="E2" s="0" t="n">
        <v>31.9</v>
      </c>
      <c r="F2" s="0" t="n">
        <v>3332.034</v>
      </c>
      <c r="G2" s="0" t="n">
        <v>23.4</v>
      </c>
      <c r="H2" s="0" t="n">
        <v>4013.733</v>
      </c>
      <c r="I2" s="0" t="n">
        <v>2129.098</v>
      </c>
      <c r="J2" s="0" t="n">
        <v>15</v>
      </c>
      <c r="K2" s="0" t="n">
        <v>1</v>
      </c>
      <c r="L2" s="0" t="n">
        <v>3873.382</v>
      </c>
      <c r="M2" s="0" t="n">
        <v>876.595</v>
      </c>
      <c r="N2" s="0" t="n">
        <v>2996.787</v>
      </c>
      <c r="O2" s="0" t="n">
        <v>8336.606</v>
      </c>
      <c r="P2" s="0" t="n">
        <v>16523.851</v>
      </c>
      <c r="Q2" s="0" t="n">
        <v>7131.652</v>
      </c>
      <c r="R2" s="0" t="n">
        <v>2082.45</v>
      </c>
      <c r="S2" s="0" t="n">
        <v>3331.147</v>
      </c>
      <c r="T2" s="0" t="n">
        <v>2111.689</v>
      </c>
      <c r="U2" s="0" t="n">
        <v>0</v>
      </c>
      <c r="AA2" s="0" t="s">
        <v>18</v>
      </c>
      <c r="AB2" s="0" t="s">
        <v>14</v>
      </c>
      <c r="AC2" s="0" t="n">
        <v>2434.699</v>
      </c>
      <c r="AD2" s="0" t="n">
        <v>9392.199</v>
      </c>
    </row>
    <row r="3" customFormat="false" ht="15" hidden="false" customHeight="false" outlineLevel="0" collapsed="false">
      <c r="A3" s="0" t="s">
        <v>67</v>
      </c>
      <c r="B3" s="0" t="n">
        <v>12958.692</v>
      </c>
      <c r="C3" s="0" t="n">
        <v>9512.77</v>
      </c>
      <c r="D3" s="0" t="n">
        <v>3445.922</v>
      </c>
      <c r="E3" s="0" t="n">
        <v>26.6</v>
      </c>
      <c r="F3" s="0" t="n">
        <v>2220.828</v>
      </c>
      <c r="G3" s="0" t="n">
        <v>17.1</v>
      </c>
      <c r="H3" s="0" t="n">
        <v>2810.941</v>
      </c>
      <c r="I3" s="0" t="n">
        <v>1462.974</v>
      </c>
      <c r="J3" s="0" t="n">
        <v>11.3</v>
      </c>
      <c r="K3" s="0" t="n">
        <v>0.7</v>
      </c>
      <c r="L3" s="0" t="n">
        <v>2330.301</v>
      </c>
      <c r="M3" s="0" t="n">
        <v>1486.819</v>
      </c>
      <c r="N3" s="0" t="n">
        <v>843.482</v>
      </c>
      <c r="O3" s="0" t="n">
        <v>7880.019</v>
      </c>
      <c r="P3" s="0" t="n">
        <v>14931.339</v>
      </c>
      <c r="Q3" s="0" t="n">
        <v>5975.716</v>
      </c>
      <c r="R3" s="0" t="n">
        <v>1931.15</v>
      </c>
      <c r="S3" s="0" t="n">
        <v>2943.792</v>
      </c>
      <c r="T3" s="0" t="n">
        <v>2092.196</v>
      </c>
      <c r="U3" s="0" t="n">
        <v>0</v>
      </c>
      <c r="AA3" s="0" t="s">
        <v>18</v>
      </c>
      <c r="AB3" s="0" t="s">
        <v>14</v>
      </c>
      <c r="AC3" s="0" t="n">
        <v>1742.281</v>
      </c>
      <c r="AD3" s="0" t="n">
        <v>8955.623</v>
      </c>
    </row>
    <row r="4" customFormat="false" ht="15" hidden="false" customHeight="false" outlineLevel="0" collapsed="false">
      <c r="A4" s="0" t="s">
        <v>68</v>
      </c>
      <c r="B4" s="0" t="n">
        <v>10044.313</v>
      </c>
      <c r="C4" s="0" t="n">
        <v>7799.717</v>
      </c>
      <c r="D4" s="0" t="n">
        <v>2244.596</v>
      </c>
      <c r="E4" s="0" t="n">
        <v>22.3</v>
      </c>
      <c r="F4" s="0" t="n">
        <v>1121.181</v>
      </c>
      <c r="G4" s="0" t="n">
        <v>11.2</v>
      </c>
      <c r="H4" s="0" t="n">
        <v>1802.452</v>
      </c>
      <c r="I4" s="0" t="n">
        <v>772.167</v>
      </c>
      <c r="J4" s="0" t="n">
        <v>7.7</v>
      </c>
      <c r="K4" s="0" t="n">
        <v>0.37</v>
      </c>
      <c r="L4" s="0" t="n">
        <v>2260.565</v>
      </c>
      <c r="M4" s="0" t="n">
        <v>1735.378</v>
      </c>
      <c r="N4" s="0" t="n">
        <v>525.187</v>
      </c>
      <c r="O4" s="0" t="n">
        <v>8542.306</v>
      </c>
      <c r="P4" s="0" t="n">
        <v>17121.859</v>
      </c>
      <c r="Q4" s="0" t="n">
        <v>6591.347</v>
      </c>
      <c r="R4" s="0" t="n">
        <v>1904.55</v>
      </c>
      <c r="S4" s="0" t="n">
        <v>4275.728</v>
      </c>
      <c r="U4" s="0" t="n">
        <v>0</v>
      </c>
      <c r="AA4" s="0" t="s">
        <v>18</v>
      </c>
      <c r="AB4" s="0" t="s">
        <v>14</v>
      </c>
      <c r="AC4" s="0" t="n">
        <v>902.856</v>
      </c>
      <c r="AD4" s="0" t="n">
        <v>10530.512</v>
      </c>
    </row>
    <row r="5" customFormat="false" ht="15" hidden="false" customHeight="false" outlineLevel="0" collapsed="false">
      <c r="A5" s="0" t="s">
        <v>69</v>
      </c>
      <c r="B5" s="0" t="n">
        <v>15843.947</v>
      </c>
      <c r="C5" s="0" t="n">
        <v>10626.336</v>
      </c>
      <c r="D5" s="0" t="n">
        <v>5217.611</v>
      </c>
      <c r="E5" s="0" t="n">
        <v>32.9</v>
      </c>
      <c r="F5" s="0" t="n">
        <v>3325.815</v>
      </c>
      <c r="G5" s="0" t="n">
        <v>21</v>
      </c>
      <c r="H5" s="0" t="n">
        <v>4045.343</v>
      </c>
      <c r="I5" s="0" t="n">
        <v>2074.843</v>
      </c>
      <c r="J5" s="0" t="n">
        <v>13.1</v>
      </c>
      <c r="K5" s="0" t="n">
        <v>0.98</v>
      </c>
      <c r="L5" s="0" t="n">
        <v>3914.053</v>
      </c>
      <c r="M5" s="0" t="n">
        <v>3957.432</v>
      </c>
      <c r="N5" s="0" t="n">
        <v>-43.379</v>
      </c>
      <c r="O5" s="0" t="n">
        <v>13123.581</v>
      </c>
      <c r="P5" s="0" t="n">
        <v>21601.226</v>
      </c>
      <c r="Q5" s="0" t="n">
        <v>5962.603</v>
      </c>
      <c r="R5" s="0" t="n">
        <v>624.1</v>
      </c>
      <c r="S5" s="0" t="n">
        <v>5102.552</v>
      </c>
      <c r="U5" s="0" t="n">
        <v>293.774</v>
      </c>
      <c r="AA5" s="0" t="s">
        <v>18</v>
      </c>
      <c r="AB5" s="0" t="s">
        <v>14</v>
      </c>
      <c r="AC5" s="0" t="n">
        <v>2681.545</v>
      </c>
      <c r="AD5" s="0" t="n">
        <v>15638.623</v>
      </c>
    </row>
    <row r="6" customFormat="false" ht="15" hidden="false" customHeight="false" outlineLevel="0" collapsed="false">
      <c r="A6" s="0" t="s">
        <v>70</v>
      </c>
      <c r="B6" s="0" t="n">
        <v>20027.988</v>
      </c>
      <c r="C6" s="0" t="n">
        <v>13513.617</v>
      </c>
      <c r="D6" s="0" t="n">
        <v>6514.371</v>
      </c>
      <c r="E6" s="0" t="n">
        <v>32.5</v>
      </c>
      <c r="F6" s="0" t="n">
        <v>5140.357</v>
      </c>
      <c r="G6" s="0" t="n">
        <v>25.7</v>
      </c>
      <c r="H6" s="0" t="n">
        <v>6090.604</v>
      </c>
      <c r="I6" s="0" t="n">
        <v>3855.539</v>
      </c>
      <c r="J6" s="0" t="n">
        <v>19.3</v>
      </c>
      <c r="K6" s="0" t="n">
        <v>1.73</v>
      </c>
      <c r="L6" s="0" t="n">
        <v>5082.541</v>
      </c>
      <c r="M6" s="0" t="n">
        <v>3845.563</v>
      </c>
      <c r="N6" s="0" t="n">
        <v>1236.978</v>
      </c>
      <c r="O6" s="0" t="n">
        <v>16082.018</v>
      </c>
      <c r="P6" s="0" t="n">
        <v>24644.949</v>
      </c>
      <c r="Q6" s="0" t="n">
        <v>6151.472</v>
      </c>
      <c r="R6" s="0" t="n">
        <v>0</v>
      </c>
      <c r="S6" s="0" t="n">
        <v>5315.994</v>
      </c>
      <c r="T6" s="0" t="n">
        <v>2234.416</v>
      </c>
      <c r="U6" s="0" t="n">
        <v>0</v>
      </c>
      <c r="AA6" s="0" t="s">
        <v>18</v>
      </c>
      <c r="AB6" s="0" t="s">
        <v>14</v>
      </c>
      <c r="AC6" s="0" t="n">
        <v>4176.117</v>
      </c>
      <c r="AD6" s="0" t="n">
        <v>18493.477</v>
      </c>
    </row>
    <row r="7" customFormat="false" ht="15" hidden="false" customHeight="false" outlineLevel="0" collapsed="false">
      <c r="A7" s="0" t="s">
        <v>71</v>
      </c>
      <c r="B7" s="0" t="n">
        <v>14493.323</v>
      </c>
      <c r="C7" s="0" t="n">
        <v>12057.192</v>
      </c>
      <c r="D7" s="0" t="n">
        <v>2436.131</v>
      </c>
      <c r="E7" s="0" t="n">
        <v>16.8</v>
      </c>
      <c r="F7" s="0" t="n">
        <v>654.83</v>
      </c>
      <c r="G7" s="0" t="n">
        <v>4.5</v>
      </c>
      <c r="H7" s="0" t="n">
        <v>1869.129</v>
      </c>
      <c r="I7" s="0" t="n">
        <v>707.793</v>
      </c>
      <c r="J7" s="0" t="n">
        <v>4.9</v>
      </c>
      <c r="K7" s="0" t="n">
        <v>0.32</v>
      </c>
      <c r="L7" s="0" t="n">
        <v>1375.95</v>
      </c>
      <c r="M7" s="0" t="n">
        <v>2011.283</v>
      </c>
      <c r="N7" s="0" t="n">
        <v>-635.333</v>
      </c>
      <c r="O7" s="0" t="n">
        <v>14794.221</v>
      </c>
      <c r="P7" s="0" t="n">
        <v>21948.745</v>
      </c>
      <c r="Q7" s="0" t="n">
        <v>5010.336</v>
      </c>
      <c r="R7" s="0" t="n">
        <v>0</v>
      </c>
      <c r="S7" s="0" t="n">
        <v>2547.297</v>
      </c>
      <c r="T7" s="0" t="n">
        <v>2197.479</v>
      </c>
      <c r="U7" s="0" t="n">
        <v>0</v>
      </c>
      <c r="AA7" s="0" t="s">
        <v>18</v>
      </c>
      <c r="AB7" s="0" t="s">
        <v>14</v>
      </c>
      <c r="AC7" s="0" t="n">
        <v>611.085</v>
      </c>
      <c r="AD7" s="0" t="n">
        <v>16938.409</v>
      </c>
    </row>
    <row r="8" customFormat="false" ht="15" hidden="false" customHeight="false" outlineLevel="0" collapsed="false">
      <c r="A8" s="0" t="s">
        <v>72</v>
      </c>
      <c r="B8" s="0" t="n">
        <v>14181.087</v>
      </c>
      <c r="C8" s="0" t="n">
        <v>11114.506</v>
      </c>
      <c r="D8" s="0" t="n">
        <v>3066.581</v>
      </c>
      <c r="E8" s="0" t="n">
        <v>21.6</v>
      </c>
      <c r="F8" s="0" t="n">
        <v>1424.403</v>
      </c>
      <c r="G8" s="0" t="n">
        <v>10</v>
      </c>
      <c r="H8" s="0" t="n">
        <v>2619.681</v>
      </c>
      <c r="I8" s="0" t="n">
        <v>810.804</v>
      </c>
      <c r="J8" s="0" t="n">
        <v>5.7</v>
      </c>
      <c r="K8" s="0" t="n">
        <v>0.46</v>
      </c>
      <c r="L8" s="0" t="n">
        <v>2071.697</v>
      </c>
      <c r="M8" s="0" t="n">
        <v>1793.555</v>
      </c>
      <c r="N8" s="0" t="n">
        <v>278.142</v>
      </c>
      <c r="O8" s="0" t="n">
        <v>12107.06</v>
      </c>
      <c r="P8" s="0" t="n">
        <v>20936.87</v>
      </c>
      <c r="Q8" s="0" t="n">
        <v>3465.033</v>
      </c>
      <c r="R8" s="0" t="n">
        <v>0</v>
      </c>
      <c r="S8" s="0" t="n">
        <v>2470.496</v>
      </c>
      <c r="T8" s="0" t="n">
        <v>1746.485</v>
      </c>
      <c r="U8" s="0" t="n">
        <v>2.869</v>
      </c>
      <c r="AA8" s="0" t="s">
        <v>18</v>
      </c>
      <c r="AB8" s="0" t="s">
        <v>14</v>
      </c>
      <c r="AC8" s="0" t="n">
        <v>987.497</v>
      </c>
      <c r="AD8" s="0" t="n">
        <v>17471.837</v>
      </c>
    </row>
    <row r="9" customFormat="false" ht="15" hidden="false" customHeight="false" outlineLevel="0" collapsed="false">
      <c r="A9" s="0" t="s">
        <v>73</v>
      </c>
      <c r="B9" s="0" t="n">
        <v>14355.381</v>
      </c>
      <c r="C9" s="0" t="n">
        <v>9932.674</v>
      </c>
      <c r="D9" s="0" t="n">
        <v>4422.707</v>
      </c>
      <c r="E9" s="0" t="n">
        <v>30.8</v>
      </c>
      <c r="F9" s="0" t="n">
        <v>2578.235</v>
      </c>
      <c r="G9" s="0" t="n">
        <v>18</v>
      </c>
      <c r="H9" s="0" t="n">
        <v>3943.591</v>
      </c>
      <c r="I9" s="0" t="n">
        <v>1641.812</v>
      </c>
      <c r="J9" s="0" t="n">
        <v>11.4</v>
      </c>
      <c r="K9" s="0" t="n">
        <v>0.98</v>
      </c>
      <c r="L9" s="0" t="n">
        <v>3706.493</v>
      </c>
      <c r="M9" s="0" t="n">
        <v>1537.073</v>
      </c>
      <c r="N9" s="0" t="n">
        <v>2169.42</v>
      </c>
      <c r="O9" s="0" t="n">
        <v>14376.984</v>
      </c>
      <c r="P9" s="0" t="n">
        <v>23558.256</v>
      </c>
      <c r="Q9" s="0" t="n">
        <v>3393.624</v>
      </c>
      <c r="R9" s="0" t="n">
        <v>1.8</v>
      </c>
      <c r="S9" s="0" t="n">
        <v>5005.398</v>
      </c>
      <c r="T9" s="0" t="n">
        <v>1675.729</v>
      </c>
      <c r="U9" s="0" t="n">
        <v>12.457</v>
      </c>
      <c r="AA9" s="0" t="s">
        <v>18</v>
      </c>
      <c r="AB9" s="0" t="s">
        <v>14</v>
      </c>
      <c r="AC9" s="0" t="n">
        <v>2183.593</v>
      </c>
      <c r="AD9" s="0" t="n">
        <v>20164.632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10.99</v>
      </c>
    </row>
    <row r="3" customFormat="false" ht="15" hidden="false" customHeight="false" outlineLevel="0" collapsed="false">
      <c r="A3" s="0" t="s">
        <v>77</v>
      </c>
      <c r="B3" s="3" t="n">
        <v>1732.711</v>
      </c>
    </row>
    <row r="4" customFormat="false" ht="15" hidden="false" customHeight="false" outlineLevel="0" collapsed="false">
      <c r="A4" s="0" t="s">
        <v>78</v>
      </c>
      <c r="B4" s="3" t="n">
        <v>-5567.8</v>
      </c>
    </row>
    <row r="5" customFormat="false" ht="15" hidden="false" customHeight="false" outlineLevel="0" collapsed="false">
      <c r="A5" s="0" t="s">
        <v>79</v>
      </c>
      <c r="B5" s="3" t="n">
        <v>-1050.8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14355.381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6</v>
      </c>
      <c r="D13" s="3" t="n">
        <v>-8</v>
      </c>
      <c r="E13" s="3" t="n">
        <v>-4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28</v>
      </c>
      <c r="D14" s="3" t="n">
        <v>21</v>
      </c>
      <c r="E14" s="3" t="n">
        <v>19</v>
      </c>
      <c r="F14" s="3" t="n">
        <v>20</v>
      </c>
      <c r="G14" s="3" t="n">
        <v>20.5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99</v>
      </c>
      <c r="C15" s="3" t="n">
        <v>0.08</v>
      </c>
      <c r="D15" s="3" t="n">
        <v>0.08</v>
      </c>
      <c r="E15" s="3" t="n">
        <v>0.08</v>
      </c>
      <c r="F15" s="3" t="n">
        <v>0.08</v>
      </c>
      <c r="G15" s="3" t="n">
        <v>0.08</v>
      </c>
      <c r="H15" s="3" t="n">
        <v>0.08</v>
      </c>
      <c r="I15" s="3" t="n">
        <v>0.08</v>
      </c>
      <c r="J15" s="3" t="n">
        <v>0.08</v>
      </c>
      <c r="K15" s="3" t="n">
        <v>0.08</v>
      </c>
      <c r="L15" s="3" t="n">
        <v>0.08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9.4</v>
      </c>
      <c r="D17" s="3" t="n">
        <v>10</v>
      </c>
      <c r="E17" s="3" t="n">
        <v>10.2</v>
      </c>
      <c r="F17" s="3" t="n">
        <v>10</v>
      </c>
      <c r="G17" s="3" t="n">
        <v>9.8</v>
      </c>
      <c r="H17" s="3" t="n">
        <v>9.6</v>
      </c>
      <c r="I17" s="3" t="n">
        <v>9.4</v>
      </c>
      <c r="J17" s="3" t="n">
        <v>9.2</v>
      </c>
      <c r="K17" s="3" t="n">
        <v>9</v>
      </c>
      <c r="L17" s="3" t="n">
        <v>9</v>
      </c>
    </row>
    <row r="18" customFormat="false" ht="15" hidden="false" customHeight="false" outlineLevel="0" collapsed="false">
      <c r="A18" s="0" t="s">
        <v>102</v>
      </c>
      <c r="C18" s="3" t="n">
        <v>10.5</v>
      </c>
      <c r="D18" s="3" t="n">
        <v>9.5</v>
      </c>
      <c r="E18" s="3" t="n">
        <v>9</v>
      </c>
      <c r="F18" s="3" t="n">
        <v>9</v>
      </c>
      <c r="G18" s="3" t="n">
        <v>9</v>
      </c>
      <c r="H18" s="3" t="n">
        <v>9</v>
      </c>
      <c r="I18" s="3" t="n">
        <v>9</v>
      </c>
      <c r="J18" s="3" t="n">
        <v>9</v>
      </c>
      <c r="K18" s="3" t="n">
        <v>9</v>
      </c>
      <c r="L18" s="3" t="n">
        <v>9</v>
      </c>
    </row>
    <row r="19" customFormat="false" ht="15" hidden="false" customHeight="false" outlineLevel="0" collapsed="false">
      <c r="A19" s="0" t="s">
        <v>103</v>
      </c>
      <c r="C19" s="3" t="n">
        <v>42</v>
      </c>
      <c r="D19" s="3" t="n">
        <v>40</v>
      </c>
      <c r="E19" s="3" t="n">
        <v>40</v>
      </c>
      <c r="F19" s="3" t="n">
        <v>40</v>
      </c>
      <c r="G19" s="3" t="n">
        <v>40</v>
      </c>
      <c r="H19" s="3" t="n">
        <v>40</v>
      </c>
      <c r="I19" s="3" t="n">
        <v>40</v>
      </c>
      <c r="J19" s="3" t="n">
        <v>40</v>
      </c>
      <c r="K19" s="3" t="n">
        <v>40</v>
      </c>
      <c r="L19" s="3" t="n">
        <v>40</v>
      </c>
    </row>
    <row r="20" customFormat="false" ht="15" hidden="false" customHeight="false" outlineLevel="0" collapsed="false">
      <c r="A20" s="0" t="s">
        <v>104</v>
      </c>
      <c r="B20" s="3" t="n">
        <v>9.5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-13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9</v>
      </c>
      <c r="D27" s="3" t="n">
        <v>3</v>
      </c>
      <c r="E27" s="3" t="n">
        <v>2</v>
      </c>
      <c r="F27" s="3" t="n">
        <v>3</v>
      </c>
      <c r="G27" s="3" t="n">
        <v>3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30</v>
      </c>
      <c r="D28" s="3" t="n">
        <v>28</v>
      </c>
      <c r="E28" s="3" t="n">
        <v>26.5</v>
      </c>
      <c r="F28" s="3" t="n">
        <v>25.5</v>
      </c>
      <c r="G28" s="3" t="n">
        <v>25</v>
      </c>
      <c r="H28" s="3" t="n">
        <v>25</v>
      </c>
      <c r="I28" s="3" t="n">
        <v>25</v>
      </c>
      <c r="J28" s="3" t="n">
        <v>25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99</v>
      </c>
      <c r="C29" s="3" t="n">
        <v>0.08</v>
      </c>
      <c r="D29" s="3" t="n">
        <v>0.08</v>
      </c>
      <c r="E29" s="3" t="n">
        <v>0.08</v>
      </c>
      <c r="F29" s="3" t="n">
        <v>0.08</v>
      </c>
      <c r="G29" s="3" t="n">
        <v>0.08</v>
      </c>
      <c r="H29" s="3" t="n">
        <v>0.08</v>
      </c>
      <c r="I29" s="3" t="n">
        <v>0.08</v>
      </c>
      <c r="J29" s="3" t="n">
        <v>0.08</v>
      </c>
      <c r="K29" s="3" t="n">
        <v>0.08</v>
      </c>
      <c r="L29" s="3" t="n">
        <v>0.08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9.4</v>
      </c>
      <c r="D31" s="3" t="n">
        <v>9.3</v>
      </c>
      <c r="E31" s="3" t="n">
        <v>9.2</v>
      </c>
      <c r="F31" s="3" t="n">
        <v>9</v>
      </c>
      <c r="G31" s="3" t="n">
        <v>8.9</v>
      </c>
      <c r="H31" s="3" t="n">
        <v>8.8</v>
      </c>
      <c r="I31" s="3" t="n">
        <v>8.7</v>
      </c>
      <c r="J31" s="3" t="n">
        <v>8.6</v>
      </c>
      <c r="K31" s="3" t="n">
        <v>8.5</v>
      </c>
      <c r="L31" s="3" t="n">
        <v>8.5</v>
      </c>
    </row>
    <row r="32" customFormat="false" ht="15" hidden="false" customHeight="false" outlineLevel="0" collapsed="false">
      <c r="A32" s="0" t="s">
        <v>102</v>
      </c>
      <c r="C32" s="3" t="n">
        <v>10.5</v>
      </c>
      <c r="D32" s="3" t="n">
        <v>10</v>
      </c>
      <c r="E32" s="3" t="n">
        <v>9.8</v>
      </c>
      <c r="F32" s="3" t="n">
        <v>9.6</v>
      </c>
      <c r="G32" s="3" t="n">
        <v>9.4</v>
      </c>
      <c r="H32" s="3" t="n">
        <v>9.2</v>
      </c>
      <c r="I32" s="3" t="n">
        <v>9</v>
      </c>
      <c r="J32" s="3" t="n">
        <v>9</v>
      </c>
      <c r="K32" s="3" t="n">
        <v>9</v>
      </c>
      <c r="L32" s="3" t="n">
        <v>9</v>
      </c>
    </row>
    <row r="33" customFormat="false" ht="15" hidden="false" customHeight="false" outlineLevel="0" collapsed="false">
      <c r="A33" s="0" t="s">
        <v>103</v>
      </c>
      <c r="C33" s="3" t="n">
        <v>42</v>
      </c>
      <c r="D33" s="3" t="n">
        <v>42</v>
      </c>
      <c r="E33" s="3" t="n">
        <v>42</v>
      </c>
      <c r="F33" s="3" t="n">
        <v>42</v>
      </c>
      <c r="G33" s="3" t="n">
        <v>42</v>
      </c>
      <c r="H33" s="3" t="n">
        <v>42</v>
      </c>
      <c r="I33" s="3" t="n">
        <v>42</v>
      </c>
      <c r="J33" s="3" t="n">
        <v>42</v>
      </c>
      <c r="K33" s="3" t="n">
        <v>42</v>
      </c>
      <c r="L33" s="3" t="n">
        <v>42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-13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11</v>
      </c>
      <c r="D41" s="3" t="n">
        <v>6</v>
      </c>
      <c r="E41" s="3" t="n">
        <v>5</v>
      </c>
      <c r="F41" s="3" t="n">
        <v>4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31.5</v>
      </c>
      <c r="D42" s="3" t="n">
        <v>31</v>
      </c>
      <c r="E42" s="3" t="n">
        <v>30</v>
      </c>
      <c r="F42" s="3" t="n">
        <v>29</v>
      </c>
      <c r="G42" s="3" t="n">
        <v>28.5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99</v>
      </c>
      <c r="C43" s="3" t="n">
        <v>0.08</v>
      </c>
      <c r="D43" s="3" t="n">
        <v>0.08</v>
      </c>
      <c r="E43" s="3" t="n">
        <v>0.08</v>
      </c>
      <c r="F43" s="3" t="n">
        <v>0.08</v>
      </c>
      <c r="G43" s="3" t="n">
        <v>0.08</v>
      </c>
      <c r="H43" s="3" t="n">
        <v>0.08</v>
      </c>
      <c r="I43" s="3" t="n">
        <v>0.08</v>
      </c>
      <c r="J43" s="3" t="n">
        <v>0.08</v>
      </c>
      <c r="K43" s="3" t="n">
        <v>0.08</v>
      </c>
      <c r="L43" s="3" t="n">
        <v>0.08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9.4</v>
      </c>
      <c r="D45" s="3" t="n">
        <v>9.2</v>
      </c>
      <c r="E45" s="3" t="n">
        <v>9</v>
      </c>
      <c r="F45" s="3" t="n">
        <v>8.8</v>
      </c>
      <c r="G45" s="3" t="n">
        <v>8.7</v>
      </c>
      <c r="H45" s="3" t="n">
        <v>8.6</v>
      </c>
      <c r="I45" s="3" t="n">
        <v>8.5</v>
      </c>
      <c r="J45" s="3" t="n">
        <v>8.5</v>
      </c>
      <c r="K45" s="3" t="n">
        <v>8.5</v>
      </c>
      <c r="L45" s="3" t="n">
        <v>8.5</v>
      </c>
    </row>
    <row r="46" customFormat="false" ht="15" hidden="false" customHeight="false" outlineLevel="0" collapsed="false">
      <c r="A46" s="0" t="s">
        <v>102</v>
      </c>
      <c r="C46" s="3" t="n">
        <v>10.5</v>
      </c>
      <c r="D46" s="3" t="n">
        <v>10</v>
      </c>
      <c r="E46" s="3" t="n">
        <v>9.8</v>
      </c>
      <c r="F46" s="3" t="n">
        <v>9.6</v>
      </c>
      <c r="G46" s="3" t="n">
        <v>9.4</v>
      </c>
      <c r="H46" s="3" t="n">
        <v>9.2</v>
      </c>
      <c r="I46" s="3" t="n">
        <v>9</v>
      </c>
      <c r="J46" s="3" t="n">
        <v>9</v>
      </c>
      <c r="K46" s="3" t="n">
        <v>9</v>
      </c>
      <c r="L46" s="3" t="n">
        <v>9</v>
      </c>
    </row>
    <row r="47" customFormat="false" ht="15" hidden="false" customHeight="false" outlineLevel="0" collapsed="false">
      <c r="A47" s="0" t="s">
        <v>103</v>
      </c>
      <c r="C47" s="3" t="n">
        <v>42</v>
      </c>
      <c r="D47" s="3" t="n">
        <v>42</v>
      </c>
      <c r="E47" s="3" t="n">
        <v>42</v>
      </c>
      <c r="F47" s="3" t="n">
        <v>42</v>
      </c>
      <c r="G47" s="3" t="n">
        <v>42</v>
      </c>
      <c r="H47" s="3" t="n">
        <v>42</v>
      </c>
      <c r="I47" s="3" t="n">
        <v>42</v>
      </c>
      <c r="J47" s="3" t="n">
        <v>42</v>
      </c>
      <c r="K47" s="3" t="n">
        <v>42</v>
      </c>
      <c r="L47" s="3" t="n">
        <v>42</v>
      </c>
    </row>
    <row r="48" customFormat="false" ht="15" hidden="false" customHeight="false" outlineLevel="0" collapsed="false">
      <c r="A48" s="0" t="s">
        <v>104</v>
      </c>
      <c r="B48" s="3" t="n">
        <v>9.5</v>
      </c>
    </row>
    <row r="49" customFormat="false" ht="15" hidden="false" customHeight="false" outlineLevel="0" collapsed="false">
      <c r="A49" s="0" t="s">
        <v>105</v>
      </c>
      <c r="B49" s="3" t="n">
        <v>2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-13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6</v>
      </c>
      <c r="D5" s="4" t="n">
        <f aca="false">Assumptions!D13</f>
        <v>-8</v>
      </c>
      <c r="E5" s="4" t="n">
        <f aca="false">Assumptions!E13</f>
        <v>-4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14355.381</v>
      </c>
      <c r="C6" s="0" t="n">
        <f aca="false">B6*(1+C5/100)</f>
        <v>15216.70386</v>
      </c>
      <c r="D6" s="0" t="n">
        <f aca="false">C6*(1+D5/100)</f>
        <v>13999.3675512</v>
      </c>
      <c r="E6" s="0" t="n">
        <f aca="false">D6*(1+E5/100)</f>
        <v>13439.392849152</v>
      </c>
      <c r="F6" s="0" t="n">
        <f aca="false">E6*(1+F5/100)</f>
        <v>13708.180706135</v>
      </c>
      <c r="G6" s="0" t="n">
        <f aca="false">F6*(1+G5/100)</f>
        <v>14050.8852237884</v>
      </c>
      <c r="H6" s="0" t="n">
        <f aca="false">G6*(1+H5/100)</f>
        <v>14402.1573543831</v>
      </c>
      <c r="I6" s="0" t="n">
        <f aca="false">H6*(1+I5/100)</f>
        <v>14762.2112882427</v>
      </c>
      <c r="J6" s="0" t="n">
        <f aca="false">I6*(1+J5/100)</f>
        <v>15057.4555140076</v>
      </c>
      <c r="K6" s="0" t="n">
        <f aca="false">J6*(1+K5/100)</f>
        <v>15358.6046242877</v>
      </c>
      <c r="L6" s="0" t="n">
        <f aca="false">K6*(1+L5/100)</f>
        <v>15665.7767167735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28</v>
      </c>
      <c r="D7" s="4" t="n">
        <f aca="false">Assumptions!D14</f>
        <v>21</v>
      </c>
      <c r="E7" s="4" t="n">
        <f aca="false">Assumptions!E14</f>
        <v>19</v>
      </c>
      <c r="F7" s="4" t="n">
        <f aca="false">Assumptions!F14</f>
        <v>20</v>
      </c>
      <c r="G7" s="4" t="n">
        <f aca="false">Assumptions!G14</f>
        <v>20.5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4260.6770808</v>
      </c>
      <c r="D8" s="0" t="n">
        <f aca="false">D6*D7/100</f>
        <v>2939.867185752</v>
      </c>
      <c r="E8" s="0" t="n">
        <f aca="false">E6*E7/100</f>
        <v>2553.48464133888</v>
      </c>
      <c r="F8" s="0" t="n">
        <f aca="false">F6*F7/100</f>
        <v>2741.63614122701</v>
      </c>
      <c r="G8" s="0" t="n">
        <f aca="false">G6*G7/100</f>
        <v>2880.43147087663</v>
      </c>
      <c r="H8" s="0" t="n">
        <f aca="false">H6*H7/100</f>
        <v>3024.45304442046</v>
      </c>
      <c r="I8" s="0" t="n">
        <f aca="false">I6*I7/100</f>
        <v>3100.06437053097</v>
      </c>
      <c r="J8" s="0" t="n">
        <f aca="false">J6*J7/100</f>
        <v>3162.06565794159</v>
      </c>
      <c r="K8" s="0" t="n">
        <f aca="false">K6*K7/100</f>
        <v>3225.30697110042</v>
      </c>
      <c r="L8" s="0" t="n">
        <f aca="false">L6*L7/100</f>
        <v>3289.81311052243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0.08</v>
      </c>
      <c r="D9" s="4" t="n">
        <f aca="false">Assumptions!D15</f>
        <v>0.08</v>
      </c>
      <c r="E9" s="4" t="n">
        <f aca="false">Assumptions!E15</f>
        <v>0.08</v>
      </c>
      <c r="F9" s="4" t="n">
        <f aca="false">Assumptions!F15</f>
        <v>0.08</v>
      </c>
      <c r="G9" s="4" t="n">
        <f aca="false">Assumptions!G15</f>
        <v>0.08</v>
      </c>
      <c r="H9" s="4" t="n">
        <f aca="false">Assumptions!H15</f>
        <v>0.08</v>
      </c>
      <c r="I9" s="4" t="n">
        <f aca="false">Assumptions!I15</f>
        <v>0.08</v>
      </c>
      <c r="J9" s="4" t="n">
        <f aca="false">Assumptions!J15</f>
        <v>0.08</v>
      </c>
      <c r="K9" s="4" t="n">
        <f aca="false">Assumptions!K15</f>
        <v>0.08</v>
      </c>
      <c r="L9" s="4" t="n">
        <f aca="false">Assumptions!L15</f>
        <v>0.08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-12.173363088</v>
      </c>
      <c r="D10" s="0" t="n">
        <f aca="false">-D6*D9/100</f>
        <v>-11.19949404096</v>
      </c>
      <c r="E10" s="0" t="n">
        <f aca="false">-E6*E9/100</f>
        <v>-10.7515142793216</v>
      </c>
      <c r="F10" s="0" t="n">
        <f aca="false">-F6*F9/100</f>
        <v>-10.966544564908</v>
      </c>
      <c r="G10" s="0" t="n">
        <f aca="false">-G6*G9/100</f>
        <v>-11.2407081790307</v>
      </c>
      <c r="H10" s="0" t="n">
        <f aca="false">-H6*H9/100</f>
        <v>-11.5217258835065</v>
      </c>
      <c r="I10" s="0" t="n">
        <f aca="false">-I6*I9/100</f>
        <v>-11.8097690305942</v>
      </c>
      <c r="J10" s="0" t="n">
        <f aca="false">-J6*J9/100</f>
        <v>-12.045964411206</v>
      </c>
      <c r="K10" s="0" t="n">
        <f aca="false">-K6*K9/100</f>
        <v>-12.2868836994302</v>
      </c>
      <c r="L10" s="0" t="n">
        <f aca="false">-L6*L9/100</f>
        <v>-12.5326213734188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4248.503717712</v>
      </c>
      <c r="D11" s="0" t="n">
        <f aca="false">D8+D10+D24</f>
        <v>2928.66769171104</v>
      </c>
      <c r="E11" s="0" t="n">
        <f aca="false">E8+E10+E24</f>
        <v>2542.73312705956</v>
      </c>
      <c r="F11" s="0" t="n">
        <f aca="false">F8+F10+F24</f>
        <v>2730.6695966621</v>
      </c>
      <c r="G11" s="0" t="n">
        <f aca="false">G8+G10+G24</f>
        <v>2869.1907626976</v>
      </c>
      <c r="H11" s="0" t="n">
        <f aca="false">H8+H10+H24</f>
        <v>3012.93131853695</v>
      </c>
      <c r="I11" s="0" t="n">
        <f aca="false">I8+I10+I24</f>
        <v>3088.25460150037</v>
      </c>
      <c r="J11" s="0" t="n">
        <f aca="false">J8+J10+J24</f>
        <v>3150.01969353038</v>
      </c>
      <c r="K11" s="0" t="n">
        <f aca="false">K8+K10+K24</f>
        <v>3213.02008740099</v>
      </c>
      <c r="L11" s="0" t="n">
        <f aca="false">L8+L10+L24</f>
        <v>3277.28048914901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-1430.37016284</v>
      </c>
      <c r="D12" s="4" t="n">
        <f aca="false">-D6*Assumptions!D17/100</f>
        <v>-1399.93675512</v>
      </c>
      <c r="E12" s="4" t="n">
        <f aca="false">-E6*Assumptions!E17/100</f>
        <v>-1370.8180706135</v>
      </c>
      <c r="F12" s="4" t="n">
        <f aca="false">-F6*Assumptions!F17/100</f>
        <v>-1370.8180706135</v>
      </c>
      <c r="G12" s="4" t="n">
        <f aca="false">-G6*Assumptions!G17/100</f>
        <v>-1376.98675193127</v>
      </c>
      <c r="H12" s="4" t="n">
        <f aca="false">-H6*Assumptions!H17/100</f>
        <v>-1382.60710602078</v>
      </c>
      <c r="I12" s="4" t="n">
        <f aca="false">-I6*Assumptions!I17/100</f>
        <v>-1387.64786109481</v>
      </c>
      <c r="J12" s="4" t="n">
        <f aca="false">-J6*Assumptions!J17/100</f>
        <v>-1385.2859072887</v>
      </c>
      <c r="K12" s="4" t="n">
        <f aca="false">-K6*Assumptions!K17/100</f>
        <v>-1382.27441618589</v>
      </c>
      <c r="L12" s="4" t="n">
        <f aca="false">-L6*Assumptions!L17/100</f>
        <v>-1409.91990450961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2818.133554872</v>
      </c>
      <c r="D13" s="0" t="n">
        <f aca="false">D11+D12</f>
        <v>1528.73093659104</v>
      </c>
      <c r="E13" s="0" t="n">
        <f aca="false">E11+E12</f>
        <v>1171.91505644605</v>
      </c>
      <c r="F13" s="0" t="n">
        <f aca="false">F11+F12</f>
        <v>1359.8515260486</v>
      </c>
      <c r="G13" s="0" t="n">
        <f aca="false">G11+G12</f>
        <v>1492.20401076633</v>
      </c>
      <c r="H13" s="0" t="n">
        <f aca="false">H11+H12</f>
        <v>1630.32421251617</v>
      </c>
      <c r="I13" s="0" t="n">
        <f aca="false">I11+I12</f>
        <v>1700.60674040556</v>
      </c>
      <c r="J13" s="0" t="n">
        <f aca="false">J11+J12</f>
        <v>1764.73378624169</v>
      </c>
      <c r="K13" s="0" t="n">
        <f aca="false">K11+K12</f>
        <v>1830.7456712151</v>
      </c>
      <c r="L13" s="0" t="n">
        <f aca="false">L11+L12</f>
        <v>1867.3605846394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42</v>
      </c>
      <c r="D14" s="4" t="n">
        <f aca="false">Assumptions!D19</f>
        <v>40</v>
      </c>
      <c r="E14" s="4" t="n">
        <f aca="false">Assumptions!E19</f>
        <v>40</v>
      </c>
      <c r="F14" s="4" t="n">
        <f aca="false">Assumptions!F19</f>
        <v>40</v>
      </c>
      <c r="G14" s="4" t="n">
        <f aca="false">Assumptions!G19</f>
        <v>40</v>
      </c>
      <c r="H14" s="4" t="n">
        <f aca="false">Assumptions!H19</f>
        <v>40</v>
      </c>
      <c r="I14" s="4" t="n">
        <f aca="false">Assumptions!I19</f>
        <v>40</v>
      </c>
      <c r="J14" s="4" t="n">
        <f aca="false">Assumptions!J19</f>
        <v>40</v>
      </c>
      <c r="K14" s="4" t="n">
        <f aca="false">Assumptions!K19</f>
        <v>40</v>
      </c>
      <c r="L14" s="4" t="n">
        <f aca="false">Assumptions!L19</f>
        <v>40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1634.51746182576</v>
      </c>
      <c r="D15" s="0" t="n">
        <f aca="false">D13-MAX(0,D13)*D14/100</f>
        <v>917.238561954624</v>
      </c>
      <c r="E15" s="0" t="n">
        <f aca="false">E13-MAX(0,E13)*E14/100</f>
        <v>703.149033867633</v>
      </c>
      <c r="F15" s="0" t="n">
        <f aca="false">F13-MAX(0,F13)*F14/100</f>
        <v>815.910915629158</v>
      </c>
      <c r="G15" s="0" t="n">
        <f aca="false">G13-MAX(0,G13)*G14/100</f>
        <v>895.322406459798</v>
      </c>
      <c r="H15" s="0" t="n">
        <f aca="false">H13-MAX(0,H13)*H14/100</f>
        <v>978.194527509702</v>
      </c>
      <c r="I15" s="0" t="n">
        <f aca="false">I13-MAX(0,I13)*I14/100</f>
        <v>1020.36404424334</v>
      </c>
      <c r="J15" s="0" t="n">
        <f aca="false">J13-MAX(0,J13)*J14/100</f>
        <v>1058.84027174501</v>
      </c>
      <c r="K15" s="0" t="n">
        <f aca="false">K13-MAX(0,K13)*K14/100</f>
        <v>1098.44740272906</v>
      </c>
      <c r="L15" s="0" t="n">
        <f aca="false">L13-MAX(0,L13)*L14/100</f>
        <v>1120.41635078364</v>
      </c>
    </row>
    <row r="16" customFormat="false" ht="15" hidden="false" customHeight="false" outlineLevel="0" collapsed="false">
      <c r="A16" s="0" t="s">
        <v>119</v>
      </c>
      <c r="C16" s="0" t="n">
        <f aca="false">-C12</f>
        <v>1430.37016284</v>
      </c>
      <c r="D16" s="0" t="n">
        <f aca="false">-D12</f>
        <v>1399.93675512</v>
      </c>
      <c r="E16" s="0" t="n">
        <f aca="false">-E12</f>
        <v>1370.8180706135</v>
      </c>
      <c r="F16" s="0" t="n">
        <f aca="false">-F12</f>
        <v>1370.8180706135</v>
      </c>
      <c r="G16" s="0" t="n">
        <f aca="false">-G12</f>
        <v>1376.98675193127</v>
      </c>
      <c r="H16" s="0" t="n">
        <f aca="false">-H12</f>
        <v>1382.60710602078</v>
      </c>
      <c r="I16" s="0" t="n">
        <f aca="false">-I12</f>
        <v>1387.64786109481</v>
      </c>
      <c r="J16" s="0" t="n">
        <f aca="false">-J12</f>
        <v>1385.2859072887</v>
      </c>
      <c r="K16" s="0" t="n">
        <f aca="false">-K12</f>
        <v>1382.27441618589</v>
      </c>
      <c r="L16" s="0" t="n">
        <f aca="false">-L12</f>
        <v>1409.91990450961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-1597.7539053</v>
      </c>
      <c r="D17" s="4" t="n">
        <f aca="false">-D6*Assumptions!D18/100</f>
        <v>-1329.939917364</v>
      </c>
      <c r="E17" s="4" t="n">
        <f aca="false">-E6*Assumptions!E18/100</f>
        <v>-1209.54535642368</v>
      </c>
      <c r="F17" s="4" t="n">
        <f aca="false">-F6*Assumptions!F18/100</f>
        <v>-1233.73626355215</v>
      </c>
      <c r="G17" s="4" t="n">
        <f aca="false">-G6*Assumptions!G18/100</f>
        <v>-1264.57967014096</v>
      </c>
      <c r="H17" s="4" t="n">
        <f aca="false">-H6*Assumptions!H18/100</f>
        <v>-1296.19416189448</v>
      </c>
      <c r="I17" s="4" t="n">
        <f aca="false">-I6*Assumptions!I18/100</f>
        <v>-1328.59901594184</v>
      </c>
      <c r="J17" s="4" t="n">
        <f aca="false">-J6*Assumptions!J18/100</f>
        <v>-1355.17099626068</v>
      </c>
      <c r="K17" s="4" t="n">
        <f aca="false">-K6*Assumptions!K18/100</f>
        <v>-1382.27441618589</v>
      </c>
      <c r="L17" s="4" t="n">
        <f aca="false">-L6*Assumptions!L18/100</f>
        <v>-1409.91990450961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-111.9719718</v>
      </c>
      <c r="D18" s="4" t="n">
        <f aca="false">(D6-C6)*Assumptions!$B$23/100</f>
        <v>158.253720144</v>
      </c>
      <c r="E18" s="4" t="n">
        <f aca="false">(E6-D6)*Assumptions!$B$23/100</f>
        <v>72.7967112662401</v>
      </c>
      <c r="F18" s="4" t="n">
        <f aca="false">(F6-E6)*Assumptions!$B$23/100</f>
        <v>-34.9424214077953</v>
      </c>
      <c r="G18" s="4" t="n">
        <f aca="false">(G6-F6)*Assumptions!$B$23/100</f>
        <v>-44.5515872949388</v>
      </c>
      <c r="H18" s="4" t="n">
        <f aca="false">(H6-G6)*Assumptions!$B$23/100</f>
        <v>-45.6653769773122</v>
      </c>
      <c r="I18" s="4" t="n">
        <f aca="false">(I6-H6)*Assumptions!$B$23/100</f>
        <v>-46.807011401745</v>
      </c>
      <c r="J18" s="4" t="n">
        <f aca="false">(J6-I6)*Assumptions!$B$23/100</f>
        <v>-38.3817493494311</v>
      </c>
      <c r="K18" s="4" t="n">
        <f aca="false">(K6-J6)*Assumptions!$B$23/100</f>
        <v>-39.1493843364198</v>
      </c>
      <c r="L18" s="4" t="n">
        <f aca="false">(L6-K6)*Assumptions!$B$23/100</f>
        <v>-39.9323720231481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1355.16174756576</v>
      </c>
      <c r="D19" s="0" t="n">
        <f aca="false">D15+D16+D17+D18</f>
        <v>1145.48911985462</v>
      </c>
      <c r="E19" s="0" t="n">
        <f aca="false">E15+E16+E17+E18</f>
        <v>937.218459323697</v>
      </c>
      <c r="F19" s="0" t="n">
        <f aca="false">F15+F16+F17+F18</f>
        <v>918.050301282712</v>
      </c>
      <c r="G19" s="0" t="n">
        <f aca="false">G15+G16+G17+G18</f>
        <v>963.177900955167</v>
      </c>
      <c r="H19" s="0" t="n">
        <f aca="false">H15+H16+H17+H18</f>
        <v>1018.94209465869</v>
      </c>
      <c r="I19" s="0" t="n">
        <f aca="false">I15+I16+I17+I18</f>
        <v>1032.60587799456</v>
      </c>
      <c r="J19" s="0" t="n">
        <f aca="false">J15+J16+J17+J18</f>
        <v>1050.5734334236</v>
      </c>
      <c r="K19" s="0" t="n">
        <f aca="false">K15+K16+K17+K18</f>
        <v>1059.29801839264</v>
      </c>
      <c r="L19" s="0" t="n">
        <f aca="false">L15+L16+L17+L18</f>
        <v>1080.48397876049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1237.59063704636</v>
      </c>
      <c r="D21" s="0" t="n">
        <f aca="false">D19*D20</f>
        <v>955.350488817684</v>
      </c>
      <c r="E21" s="0" t="n">
        <f aca="false">E19*E20</f>
        <v>713.836049113875</v>
      </c>
      <c r="F21" s="0" t="n">
        <f aca="false">F19*F20</f>
        <v>638.572189697164</v>
      </c>
      <c r="G21" s="0" t="n">
        <f aca="false">G19*G20</f>
        <v>611.837249274834</v>
      </c>
      <c r="H21" s="0" t="n">
        <f aca="false">H19*H20</f>
        <v>591.105212646072</v>
      </c>
      <c r="I21" s="0" t="n">
        <f aca="false">I19*I20</f>
        <v>547.061004595243</v>
      </c>
      <c r="J21" s="0" t="n">
        <f aca="false">J19*J20</f>
        <v>508.292218265103</v>
      </c>
      <c r="K21" s="0" t="n">
        <f aca="false">K19*K20</f>
        <v>468.048747355019</v>
      </c>
      <c r="L21" s="0" t="n">
        <f aca="false">L19*L20</f>
        <v>435.990613974539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6707.68441078589</v>
      </c>
    </row>
    <row r="31" customFormat="false" ht="15" hidden="false" customHeight="false" outlineLevel="0" collapsed="false">
      <c r="A31" s="0" t="s">
        <v>128</v>
      </c>
      <c r="B31" s="0" t="n">
        <f aca="false">L19</f>
        <v>1080.48397876049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14694.5821111427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12965.8077451259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12965.8077451259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5231.88736769446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11939.5717784804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16456.5717784804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11.1321205795755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0.0129318088785702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72.6698672877058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68.776431088435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11.2278025521183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8477.64352565923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8.12925541009854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9</v>
      </c>
      <c r="D5" s="4" t="n">
        <f aca="false">Assumptions!D27</f>
        <v>3</v>
      </c>
      <c r="E5" s="4" t="n">
        <f aca="false">Assumptions!E27</f>
        <v>2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14355.381</v>
      </c>
      <c r="C6" s="0" t="n">
        <f aca="false">B6*(1+C5/100)</f>
        <v>15647.36529</v>
      </c>
      <c r="D6" s="0" t="n">
        <f aca="false">C6*(1+D5/100)</f>
        <v>16116.7862487</v>
      </c>
      <c r="E6" s="0" t="n">
        <f aca="false">D6*(1+E5/100)</f>
        <v>16439.121973674</v>
      </c>
      <c r="F6" s="0" t="n">
        <f aca="false">E6*(1+F5/100)</f>
        <v>16932.2956328842</v>
      </c>
      <c r="G6" s="0" t="n">
        <f aca="false">F6*(1+G5/100)</f>
        <v>17440.2645018708</v>
      </c>
      <c r="H6" s="0" t="n">
        <f aca="false">G6*(1+H5/100)</f>
        <v>17963.4724369269</v>
      </c>
      <c r="I6" s="0" t="n">
        <f aca="false">H6*(1+I5/100)</f>
        <v>18502.3766100347</v>
      </c>
      <c r="J6" s="0" t="n">
        <f aca="false">I6*(1+J5/100)</f>
        <v>18964.9360252855</v>
      </c>
      <c r="K6" s="0" t="n">
        <f aca="false">J6*(1+K5/100)</f>
        <v>19439.0594259177</v>
      </c>
      <c r="L6" s="0" t="n">
        <f aca="false">K6*(1+L5/100)</f>
        <v>19925.0359115656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30</v>
      </c>
      <c r="D7" s="4" t="n">
        <f aca="false">Assumptions!D28</f>
        <v>28</v>
      </c>
      <c r="E7" s="4" t="n">
        <f aca="false">Assumptions!E28</f>
        <v>26.5</v>
      </c>
      <c r="F7" s="4" t="n">
        <f aca="false">Assumptions!F28</f>
        <v>25.5</v>
      </c>
      <c r="G7" s="4" t="n">
        <f aca="false">Assumptions!G28</f>
        <v>25</v>
      </c>
      <c r="H7" s="4" t="n">
        <f aca="false">Assumptions!H28</f>
        <v>25</v>
      </c>
      <c r="I7" s="4" t="n">
        <f aca="false">Assumptions!I28</f>
        <v>25</v>
      </c>
      <c r="J7" s="4" t="n">
        <f aca="false">Assumptions!J28</f>
        <v>25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4694.209587</v>
      </c>
      <c r="D8" s="0" t="n">
        <f aca="false">D6*D7/100</f>
        <v>4512.700149636</v>
      </c>
      <c r="E8" s="0" t="n">
        <f aca="false">E6*E7/100</f>
        <v>4356.36732302361</v>
      </c>
      <c r="F8" s="0" t="n">
        <f aca="false">F6*F7/100</f>
        <v>4317.73538638548</v>
      </c>
      <c r="G8" s="0" t="n">
        <f aca="false">G6*G7/100</f>
        <v>4360.06612546769</v>
      </c>
      <c r="H8" s="0" t="n">
        <f aca="false">H6*H7/100</f>
        <v>4490.86810923172</v>
      </c>
      <c r="I8" s="0" t="n">
        <f aca="false">I6*I7/100</f>
        <v>4625.59415250867</v>
      </c>
      <c r="J8" s="0" t="n">
        <f aca="false">J6*J7/100</f>
        <v>4741.23400632139</v>
      </c>
      <c r="K8" s="0" t="n">
        <f aca="false">K6*K7/100</f>
        <v>4859.76485647942</v>
      </c>
      <c r="L8" s="0" t="n">
        <f aca="false">L6*L7/100</f>
        <v>4981.25897789141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0.08</v>
      </c>
      <c r="D9" s="4" t="n">
        <f aca="false">Assumptions!D29</f>
        <v>0.08</v>
      </c>
      <c r="E9" s="4" t="n">
        <f aca="false">Assumptions!E29</f>
        <v>0.08</v>
      </c>
      <c r="F9" s="4" t="n">
        <f aca="false">Assumptions!F29</f>
        <v>0.08</v>
      </c>
      <c r="G9" s="4" t="n">
        <f aca="false">Assumptions!G29</f>
        <v>0.08</v>
      </c>
      <c r="H9" s="4" t="n">
        <f aca="false">Assumptions!H29</f>
        <v>0.08</v>
      </c>
      <c r="I9" s="4" t="n">
        <f aca="false">Assumptions!I29</f>
        <v>0.08</v>
      </c>
      <c r="J9" s="4" t="n">
        <f aca="false">Assumptions!J29</f>
        <v>0.08</v>
      </c>
      <c r="K9" s="4" t="n">
        <f aca="false">Assumptions!K29</f>
        <v>0.08</v>
      </c>
      <c r="L9" s="4" t="n">
        <f aca="false">Assumptions!L29</f>
        <v>0.08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-12.517892232</v>
      </c>
      <c r="D10" s="0" t="n">
        <f aca="false">-D6*D9/100</f>
        <v>-12.89342899896</v>
      </c>
      <c r="E10" s="0" t="n">
        <f aca="false">-E6*E9/100</f>
        <v>-13.1512975789392</v>
      </c>
      <c r="F10" s="0" t="n">
        <f aca="false">-F6*F9/100</f>
        <v>-13.5458365063074</v>
      </c>
      <c r="G10" s="0" t="n">
        <f aca="false">-G6*G9/100</f>
        <v>-13.9522116014966</v>
      </c>
      <c r="H10" s="0" t="n">
        <f aca="false">-H6*H9/100</f>
        <v>-14.3707779495415</v>
      </c>
      <c r="I10" s="0" t="n">
        <f aca="false">-I6*I9/100</f>
        <v>-14.8019012880277</v>
      </c>
      <c r="J10" s="0" t="n">
        <f aca="false">-J6*J9/100</f>
        <v>-15.1719488202284</v>
      </c>
      <c r="K10" s="0" t="n">
        <f aca="false">-K6*K9/100</f>
        <v>-15.5512475407341</v>
      </c>
      <c r="L10" s="0" t="n">
        <f aca="false">-L6*L9/100</f>
        <v>-15.9400287292525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4681.691694768</v>
      </c>
      <c r="D11" s="0" t="n">
        <f aca="false">D8+D10+D24</f>
        <v>4499.80672063704</v>
      </c>
      <c r="E11" s="0" t="n">
        <f aca="false">E8+E10+E24</f>
        <v>4343.21602544467</v>
      </c>
      <c r="F11" s="0" t="n">
        <f aca="false">F8+F10+F24</f>
        <v>4304.18954987917</v>
      </c>
      <c r="G11" s="0" t="n">
        <f aca="false">G8+G10+G24</f>
        <v>4346.11391386619</v>
      </c>
      <c r="H11" s="0" t="n">
        <f aca="false">H8+H10+H24</f>
        <v>4476.49733128218</v>
      </c>
      <c r="I11" s="0" t="n">
        <f aca="false">I8+I10+I24</f>
        <v>4610.79225122064</v>
      </c>
      <c r="J11" s="0" t="n">
        <f aca="false">J8+J10+J24</f>
        <v>4726.06205750116</v>
      </c>
      <c r="K11" s="0" t="n">
        <f aca="false">K8+K10+K24</f>
        <v>4844.21360893869</v>
      </c>
      <c r="L11" s="0" t="n">
        <f aca="false">L8+L10+L24</f>
        <v>4965.31894916215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-1470.85233726</v>
      </c>
      <c r="D12" s="4" t="n">
        <f aca="false">-D6*Assumptions!D31/100</f>
        <v>-1498.8611211291</v>
      </c>
      <c r="E12" s="4" t="n">
        <f aca="false">-E6*Assumptions!E31/100</f>
        <v>-1512.39922157801</v>
      </c>
      <c r="F12" s="4" t="n">
        <f aca="false">-F6*Assumptions!F31/100</f>
        <v>-1523.90660695958</v>
      </c>
      <c r="G12" s="4" t="n">
        <f aca="false">-G6*Assumptions!G31/100</f>
        <v>-1552.1835406665</v>
      </c>
      <c r="H12" s="4" t="n">
        <f aca="false">-H6*Assumptions!H31/100</f>
        <v>-1580.78557444957</v>
      </c>
      <c r="I12" s="4" t="n">
        <f aca="false">-I6*Assumptions!I31/100</f>
        <v>-1609.70676507302</v>
      </c>
      <c r="J12" s="4" t="n">
        <f aca="false">-J6*Assumptions!J31/100</f>
        <v>-1630.98449817456</v>
      </c>
      <c r="K12" s="4" t="n">
        <f aca="false">-K6*Assumptions!K31/100</f>
        <v>-1652.320051203</v>
      </c>
      <c r="L12" s="4" t="n">
        <f aca="false">-L6*Assumptions!L31/100</f>
        <v>-1693.62805248308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3210.839357508</v>
      </c>
      <c r="D13" s="0" t="n">
        <f aca="false">D11+D12</f>
        <v>3000.94559950794</v>
      </c>
      <c r="E13" s="0" t="n">
        <f aca="false">E11+E12</f>
        <v>2830.81680386666</v>
      </c>
      <c r="F13" s="0" t="n">
        <f aca="false">F11+F12</f>
        <v>2780.28294291959</v>
      </c>
      <c r="G13" s="0" t="n">
        <f aca="false">G11+G12</f>
        <v>2793.93037319969</v>
      </c>
      <c r="H13" s="0" t="n">
        <f aca="false">H11+H12</f>
        <v>2895.71175683261</v>
      </c>
      <c r="I13" s="0" t="n">
        <f aca="false">I11+I12</f>
        <v>3001.08548614763</v>
      </c>
      <c r="J13" s="0" t="n">
        <f aca="false">J11+J12</f>
        <v>3095.0775593266</v>
      </c>
      <c r="K13" s="0" t="n">
        <f aca="false">K11+K12</f>
        <v>3191.89355773568</v>
      </c>
      <c r="L13" s="0" t="n">
        <f aca="false">L11+L12</f>
        <v>3271.69089667907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42</v>
      </c>
      <c r="D14" s="4" t="n">
        <f aca="false">Assumptions!D33</f>
        <v>42</v>
      </c>
      <c r="E14" s="4" t="n">
        <f aca="false">Assumptions!E33</f>
        <v>42</v>
      </c>
      <c r="F14" s="4" t="n">
        <f aca="false">Assumptions!F33</f>
        <v>42</v>
      </c>
      <c r="G14" s="4" t="n">
        <f aca="false">Assumptions!G33</f>
        <v>42</v>
      </c>
      <c r="H14" s="4" t="n">
        <f aca="false">Assumptions!H33</f>
        <v>42</v>
      </c>
      <c r="I14" s="4" t="n">
        <f aca="false">Assumptions!I33</f>
        <v>42</v>
      </c>
      <c r="J14" s="4" t="n">
        <f aca="false">Assumptions!J33</f>
        <v>42</v>
      </c>
      <c r="K14" s="4" t="n">
        <f aca="false">Assumptions!K33</f>
        <v>42</v>
      </c>
      <c r="L14" s="4" t="n">
        <f aca="false">Assumptions!L33</f>
        <v>42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1862.28682735464</v>
      </c>
      <c r="D15" s="0" t="n">
        <f aca="false">D13-MAX(0,D13)*D14/100</f>
        <v>1740.54844771461</v>
      </c>
      <c r="E15" s="0" t="n">
        <f aca="false">E13-MAX(0,E13)*E14/100</f>
        <v>1641.87374624266</v>
      </c>
      <c r="F15" s="0" t="n">
        <f aca="false">F13-MAX(0,F13)*F14/100</f>
        <v>1612.56410689336</v>
      </c>
      <c r="G15" s="0" t="n">
        <f aca="false">G13-MAX(0,G13)*G14/100</f>
        <v>1620.47961645582</v>
      </c>
      <c r="H15" s="0" t="n">
        <f aca="false">H13-MAX(0,H13)*H14/100</f>
        <v>1679.51281896291</v>
      </c>
      <c r="I15" s="0" t="n">
        <f aca="false">I13-MAX(0,I13)*I14/100</f>
        <v>1740.62958196562</v>
      </c>
      <c r="J15" s="0" t="n">
        <f aca="false">J13-MAX(0,J13)*J14/100</f>
        <v>1795.14498440943</v>
      </c>
      <c r="K15" s="0" t="n">
        <f aca="false">K13-MAX(0,K13)*K14/100</f>
        <v>1851.2982634867</v>
      </c>
      <c r="L15" s="0" t="n">
        <f aca="false">L13-MAX(0,L13)*L14/100</f>
        <v>1897.58072007386</v>
      </c>
    </row>
    <row r="16" customFormat="false" ht="15" hidden="false" customHeight="false" outlineLevel="0" collapsed="false">
      <c r="A16" s="0" t="s">
        <v>119</v>
      </c>
      <c r="C16" s="0" t="n">
        <f aca="false">-C12</f>
        <v>1470.85233726</v>
      </c>
      <c r="D16" s="0" t="n">
        <f aca="false">-D12</f>
        <v>1498.8611211291</v>
      </c>
      <c r="E16" s="0" t="n">
        <f aca="false">-E12</f>
        <v>1512.39922157801</v>
      </c>
      <c r="F16" s="0" t="n">
        <f aca="false">-F12</f>
        <v>1523.90660695958</v>
      </c>
      <c r="G16" s="0" t="n">
        <f aca="false">-G12</f>
        <v>1552.1835406665</v>
      </c>
      <c r="H16" s="0" t="n">
        <f aca="false">-H12</f>
        <v>1580.78557444957</v>
      </c>
      <c r="I16" s="0" t="n">
        <f aca="false">-I12</f>
        <v>1609.70676507302</v>
      </c>
      <c r="J16" s="0" t="n">
        <f aca="false">-J12</f>
        <v>1630.98449817456</v>
      </c>
      <c r="K16" s="0" t="n">
        <f aca="false">-K12</f>
        <v>1652.320051203</v>
      </c>
      <c r="L16" s="0" t="n">
        <f aca="false">-L12</f>
        <v>1693.62805248308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-1642.97335545</v>
      </c>
      <c r="D17" s="4" t="n">
        <f aca="false">-D6*Assumptions!D32/100</f>
        <v>-1611.67862487</v>
      </c>
      <c r="E17" s="4" t="n">
        <f aca="false">-E6*Assumptions!E32/100</f>
        <v>-1611.03395342005</v>
      </c>
      <c r="F17" s="4" t="n">
        <f aca="false">-F6*Assumptions!F32/100</f>
        <v>-1625.50038075689</v>
      </c>
      <c r="G17" s="4" t="n">
        <f aca="false">-G6*Assumptions!G32/100</f>
        <v>-1639.38486317585</v>
      </c>
      <c r="H17" s="4" t="n">
        <f aca="false">-H6*Assumptions!H32/100</f>
        <v>-1652.63946419727</v>
      </c>
      <c r="I17" s="4" t="n">
        <f aca="false">-I6*Assumptions!I32/100</f>
        <v>-1665.21389490312</v>
      </c>
      <c r="J17" s="4" t="n">
        <f aca="false">-J6*Assumptions!J32/100</f>
        <v>-1706.8442422757</v>
      </c>
      <c r="K17" s="4" t="n">
        <f aca="false">-K6*Assumptions!K32/100</f>
        <v>-1749.51534833259</v>
      </c>
      <c r="L17" s="4" t="n">
        <f aca="false">-L6*Assumptions!L32/100</f>
        <v>-1793.25323204091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-167.9579577</v>
      </c>
      <c r="D18" s="4" t="n">
        <f aca="false">(D6-C6)*Assumptions!$B$37/100</f>
        <v>-61.0247246310001</v>
      </c>
      <c r="E18" s="4" t="n">
        <f aca="false">(E6-D6)*Assumptions!$B$37/100</f>
        <v>-41.9036442466203</v>
      </c>
      <c r="F18" s="4" t="n">
        <f aca="false">(F6-E6)*Assumptions!$B$37/100</f>
        <v>-64.1125756973287</v>
      </c>
      <c r="G18" s="4" t="n">
        <f aca="false">(G6-F6)*Assumptions!$B$37/100</f>
        <v>-66.0359529682488</v>
      </c>
      <c r="H18" s="4" t="n">
        <f aca="false">(H6-G6)*Assumptions!$B$37/100</f>
        <v>-68.0170315572958</v>
      </c>
      <c r="I18" s="4" t="n">
        <f aca="false">(I6-H6)*Assumptions!$B$37/100</f>
        <v>-70.0575425040149</v>
      </c>
      <c r="J18" s="4" t="n">
        <f aca="false">(J6-I6)*Assumptions!$B$37/100</f>
        <v>-60.1327239826123</v>
      </c>
      <c r="K18" s="4" t="n">
        <f aca="false">(K6-J6)*Assumptions!$B$37/100</f>
        <v>-61.6360420821776</v>
      </c>
      <c r="L18" s="4" t="n">
        <f aca="false">(L6-K6)*Assumptions!$B$37/100</f>
        <v>-63.1769431342324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1522.20785146464</v>
      </c>
      <c r="D19" s="0" t="n">
        <f aca="false">D15+D16+D17+D18</f>
        <v>1566.70621934271</v>
      </c>
      <c r="E19" s="0" t="n">
        <f aca="false">E15+E16+E17+E18</f>
        <v>1501.335370154</v>
      </c>
      <c r="F19" s="0" t="n">
        <f aca="false">F15+F16+F17+F18</f>
        <v>1446.85775739873</v>
      </c>
      <c r="G19" s="0" t="n">
        <f aca="false">G15+G16+G17+G18</f>
        <v>1467.24234097822</v>
      </c>
      <c r="H19" s="0" t="n">
        <f aca="false">H15+H16+H17+H18</f>
        <v>1539.64189765791</v>
      </c>
      <c r="I19" s="0" t="n">
        <f aca="false">I15+I16+I17+I18</f>
        <v>1615.0649096315</v>
      </c>
      <c r="J19" s="0" t="n">
        <f aca="false">J15+J16+J17+J18</f>
        <v>1659.15251632567</v>
      </c>
      <c r="K19" s="0" t="n">
        <f aca="false">K15+K16+K17+K18</f>
        <v>1692.46692427493</v>
      </c>
      <c r="L19" s="0" t="n">
        <f aca="false">L15+L16+L17+L18</f>
        <v>1734.7785973818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1390.14415658871</v>
      </c>
      <c r="D21" s="0" t="n">
        <f aca="false">D19*D20</f>
        <v>1306.65016938154</v>
      </c>
      <c r="E21" s="0" t="n">
        <f aca="false">E19*E20</f>
        <v>1143.49786686767</v>
      </c>
      <c r="F21" s="0" t="n">
        <f aca="false">F19*F20</f>
        <v>1006.39706237394</v>
      </c>
      <c r="G21" s="0" t="n">
        <f aca="false">G19*G20</f>
        <v>932.032926662288</v>
      </c>
      <c r="H21" s="0" t="n">
        <f aca="false">H19*H20</f>
        <v>893.171806410384</v>
      </c>
      <c r="I21" s="0" t="n">
        <f aca="false">I19*I20</f>
        <v>855.64013412888</v>
      </c>
      <c r="J21" s="0" t="n">
        <f aca="false">J19*J20</f>
        <v>802.737139673384</v>
      </c>
      <c r="K21" s="0" t="n">
        <f aca="false">K19*K20</f>
        <v>747.813183912767</v>
      </c>
      <c r="L21" s="0" t="n">
        <f aca="false">L19*L20</f>
        <v>700.007774895512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9778.09222089508</v>
      </c>
    </row>
    <row r="31" customFormat="false" ht="15" hidden="false" customHeight="false" outlineLevel="0" collapsed="false">
      <c r="A31" s="0" t="s">
        <v>128</v>
      </c>
      <c r="B31" s="0" t="n">
        <f aca="false">L19</f>
        <v>1734.7785973818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23592.9889243925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20817.3431685816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20817.3431685816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8400.09329874615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18178.1855196412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22695.1855196412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15.3522583671319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0.396929787728108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87.3092710969508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87.4755771183128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15.4704923487902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13611.3397640726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10.5924599633379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11</v>
      </c>
      <c r="D5" s="4" t="n">
        <f aca="false">Assumptions!D41</f>
        <v>6</v>
      </c>
      <c r="E5" s="4" t="n">
        <f aca="false">Assumptions!E41</f>
        <v>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14355.381</v>
      </c>
      <c r="C6" s="0" t="n">
        <f aca="false">B6*(1+C5/100)</f>
        <v>15934.47291</v>
      </c>
      <c r="D6" s="0" t="n">
        <f aca="false">C6*(1+D5/100)</f>
        <v>16890.5412846</v>
      </c>
      <c r="E6" s="0" t="n">
        <f aca="false">D6*(1+E5/100)</f>
        <v>17735.06834883</v>
      </c>
      <c r="F6" s="0" t="n">
        <f aca="false">E6*(1+F5/100)</f>
        <v>18444.4710827832</v>
      </c>
      <c r="G6" s="0" t="n">
        <f aca="false">F6*(1+G5/100)</f>
        <v>19182.2499260945</v>
      </c>
      <c r="H6" s="0" t="n">
        <f aca="false">G6*(1+H5/100)</f>
        <v>19853.6286735078</v>
      </c>
      <c r="I6" s="0" t="n">
        <f aca="false">H6*(1+I5/100)</f>
        <v>20449.2375337131</v>
      </c>
      <c r="J6" s="0" t="n">
        <f aca="false">I6*(1+J5/100)</f>
        <v>21062.7146597245</v>
      </c>
      <c r="K6" s="0" t="n">
        <f aca="false">J6*(1+K5/100)</f>
        <v>21589.2825262176</v>
      </c>
      <c r="L6" s="0" t="n">
        <f aca="false">K6*(1+L5/100)</f>
        <v>22129.014589373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31.5</v>
      </c>
      <c r="D7" s="4" t="n">
        <f aca="false">Assumptions!D42</f>
        <v>31</v>
      </c>
      <c r="E7" s="4" t="n">
        <f aca="false">Assumptions!E42</f>
        <v>30</v>
      </c>
      <c r="F7" s="4" t="n">
        <f aca="false">Assumptions!F42</f>
        <v>29</v>
      </c>
      <c r="G7" s="4" t="n">
        <f aca="false">Assumptions!G42</f>
        <v>28.5</v>
      </c>
      <c r="H7" s="4" t="n">
        <f aca="false">Assumptions!H42</f>
        <v>28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5019.35896665</v>
      </c>
      <c r="D8" s="0" t="n">
        <f aca="false">D6*D7/100</f>
        <v>5236.067798226</v>
      </c>
      <c r="E8" s="0" t="n">
        <f aca="false">E6*E7/100</f>
        <v>5320.520504649</v>
      </c>
      <c r="F8" s="0" t="n">
        <f aca="false">F6*F7/100</f>
        <v>5348.89661400713</v>
      </c>
      <c r="G8" s="0" t="n">
        <f aca="false">G6*G7/100</f>
        <v>5466.94122893694</v>
      </c>
      <c r="H8" s="0" t="n">
        <f aca="false">H6*H7/100</f>
        <v>5559.01602858219</v>
      </c>
      <c r="I8" s="0" t="n">
        <f aca="false">I6*I7/100</f>
        <v>5725.78650943966</v>
      </c>
      <c r="J8" s="0" t="n">
        <f aca="false">J6*J7/100</f>
        <v>5897.56010472285</v>
      </c>
      <c r="K8" s="0" t="n">
        <f aca="false">K6*K7/100</f>
        <v>6044.99910734092</v>
      </c>
      <c r="L8" s="0" t="n">
        <f aca="false">L6*L7/100</f>
        <v>6196.12408502444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0.08</v>
      </c>
      <c r="D9" s="4" t="n">
        <f aca="false">Assumptions!D43</f>
        <v>0.08</v>
      </c>
      <c r="E9" s="4" t="n">
        <f aca="false">Assumptions!E43</f>
        <v>0.08</v>
      </c>
      <c r="F9" s="4" t="n">
        <f aca="false">Assumptions!F43</f>
        <v>0.08</v>
      </c>
      <c r="G9" s="4" t="n">
        <f aca="false">Assumptions!G43</f>
        <v>0.08</v>
      </c>
      <c r="H9" s="4" t="n">
        <f aca="false">Assumptions!H43</f>
        <v>0.08</v>
      </c>
      <c r="I9" s="4" t="n">
        <f aca="false">Assumptions!I43</f>
        <v>0.08</v>
      </c>
      <c r="J9" s="4" t="n">
        <f aca="false">Assumptions!J43</f>
        <v>0.08</v>
      </c>
      <c r="K9" s="4" t="n">
        <f aca="false">Assumptions!K43</f>
        <v>0.08</v>
      </c>
      <c r="L9" s="4" t="n">
        <f aca="false">Assumptions!L43</f>
        <v>0.08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-12.747578328</v>
      </c>
      <c r="D10" s="0" t="n">
        <f aca="false">-D6*D9/100</f>
        <v>-13.51243302768</v>
      </c>
      <c r="E10" s="0" t="n">
        <f aca="false">-E6*E9/100</f>
        <v>-14.188054679064</v>
      </c>
      <c r="F10" s="0" t="n">
        <f aca="false">-F6*F9/100</f>
        <v>-14.7555768662266</v>
      </c>
      <c r="G10" s="0" t="n">
        <f aca="false">-G6*G9/100</f>
        <v>-15.3457999408756</v>
      </c>
      <c r="H10" s="0" t="n">
        <f aca="false">-H6*H9/100</f>
        <v>-15.8829029388063</v>
      </c>
      <c r="I10" s="0" t="n">
        <f aca="false">-I6*I9/100</f>
        <v>-16.3593900269705</v>
      </c>
      <c r="J10" s="0" t="n">
        <f aca="false">-J6*J9/100</f>
        <v>-16.8501717277796</v>
      </c>
      <c r="K10" s="0" t="n">
        <f aca="false">-K6*K9/100</f>
        <v>-17.2714260209741</v>
      </c>
      <c r="L10" s="0" t="n">
        <f aca="false">-L6*L9/100</f>
        <v>-17.7032116714984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5006.611388322</v>
      </c>
      <c r="D11" s="0" t="n">
        <f aca="false">D8+D10+D24</f>
        <v>5222.55536519832</v>
      </c>
      <c r="E11" s="0" t="n">
        <f aca="false">E8+E10+E24</f>
        <v>5306.33244996994</v>
      </c>
      <c r="F11" s="0" t="n">
        <f aca="false">F8+F10+F24</f>
        <v>5334.1410371409</v>
      </c>
      <c r="G11" s="0" t="n">
        <f aca="false">G8+G10+G24</f>
        <v>5451.59542899607</v>
      </c>
      <c r="H11" s="0" t="n">
        <f aca="false">H8+H10+H24</f>
        <v>5543.13312564339</v>
      </c>
      <c r="I11" s="0" t="n">
        <f aca="false">I8+I10+I24</f>
        <v>5709.42711941269</v>
      </c>
      <c r="J11" s="0" t="n">
        <f aca="false">J8+J10+J24</f>
        <v>5880.70993299507</v>
      </c>
      <c r="K11" s="0" t="n">
        <f aca="false">K8+K10+K24</f>
        <v>6027.72768131995</v>
      </c>
      <c r="L11" s="0" t="n">
        <f aca="false">L8+L10+L24</f>
        <v>6178.42087335295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-1497.84045354</v>
      </c>
      <c r="D12" s="4" t="n">
        <f aca="false">-D6*Assumptions!D45/100</f>
        <v>-1553.9297981832</v>
      </c>
      <c r="E12" s="4" t="n">
        <f aca="false">-E6*Assumptions!E45/100</f>
        <v>-1596.1561513947</v>
      </c>
      <c r="F12" s="4" t="n">
        <f aca="false">-F6*Assumptions!F45/100</f>
        <v>-1623.11345528492</v>
      </c>
      <c r="G12" s="4" t="n">
        <f aca="false">-G6*Assumptions!G45/100</f>
        <v>-1668.85574357022</v>
      </c>
      <c r="H12" s="4" t="n">
        <f aca="false">-H6*Assumptions!H45/100</f>
        <v>-1707.41206592167</v>
      </c>
      <c r="I12" s="4" t="n">
        <f aca="false">-I6*Assumptions!I45/100</f>
        <v>-1738.18519036561</v>
      </c>
      <c r="J12" s="4" t="n">
        <f aca="false">-J6*Assumptions!J45/100</f>
        <v>-1790.33074607658</v>
      </c>
      <c r="K12" s="4" t="n">
        <f aca="false">-K6*Assumptions!K45/100</f>
        <v>-1835.08901472849</v>
      </c>
      <c r="L12" s="4" t="n">
        <f aca="false">-L6*Assumptions!L45/100</f>
        <v>-1880.96624009671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3508.770934782</v>
      </c>
      <c r="D13" s="0" t="n">
        <f aca="false">D11+D12</f>
        <v>3668.62556701512</v>
      </c>
      <c r="E13" s="0" t="n">
        <f aca="false">E11+E12</f>
        <v>3710.17629857524</v>
      </c>
      <c r="F13" s="0" t="n">
        <f aca="false">F11+F12</f>
        <v>3711.02758185598</v>
      </c>
      <c r="G13" s="0" t="n">
        <f aca="false">G11+G12</f>
        <v>3782.73968542584</v>
      </c>
      <c r="H13" s="0" t="n">
        <f aca="false">H11+H12</f>
        <v>3835.72105972171</v>
      </c>
      <c r="I13" s="0" t="n">
        <f aca="false">I11+I12</f>
        <v>3971.24192904708</v>
      </c>
      <c r="J13" s="0" t="n">
        <f aca="false">J11+J12</f>
        <v>4090.37918691849</v>
      </c>
      <c r="K13" s="0" t="n">
        <f aca="false">K11+K12</f>
        <v>4192.63866659145</v>
      </c>
      <c r="L13" s="0" t="n">
        <f aca="false">L11+L12</f>
        <v>4297.45463325624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42</v>
      </c>
      <c r="D14" s="4" t="n">
        <f aca="false">Assumptions!D47</f>
        <v>42</v>
      </c>
      <c r="E14" s="4" t="n">
        <f aca="false">Assumptions!E47</f>
        <v>42</v>
      </c>
      <c r="F14" s="4" t="n">
        <f aca="false">Assumptions!F47</f>
        <v>42</v>
      </c>
      <c r="G14" s="4" t="n">
        <f aca="false">Assumptions!G47</f>
        <v>42</v>
      </c>
      <c r="H14" s="4" t="n">
        <f aca="false">Assumptions!H47</f>
        <v>42</v>
      </c>
      <c r="I14" s="4" t="n">
        <f aca="false">Assumptions!I47</f>
        <v>42</v>
      </c>
      <c r="J14" s="4" t="n">
        <f aca="false">Assumptions!J47</f>
        <v>42</v>
      </c>
      <c r="K14" s="4" t="n">
        <f aca="false">Assumptions!K47</f>
        <v>42</v>
      </c>
      <c r="L14" s="4" t="n">
        <f aca="false">Assumptions!L47</f>
        <v>42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2035.08714217356</v>
      </c>
      <c r="D15" s="0" t="n">
        <f aca="false">D13-MAX(0,D13)*D14/100</f>
        <v>2127.80282886877</v>
      </c>
      <c r="E15" s="0" t="n">
        <f aca="false">E13-MAX(0,E13)*E14/100</f>
        <v>2151.90225317364</v>
      </c>
      <c r="F15" s="0" t="n">
        <f aca="false">F13-MAX(0,F13)*F14/100</f>
        <v>2152.39599747647</v>
      </c>
      <c r="G15" s="0" t="n">
        <f aca="false">G13-MAX(0,G13)*G14/100</f>
        <v>2193.98901754699</v>
      </c>
      <c r="H15" s="0" t="n">
        <f aca="false">H13-MAX(0,H13)*H14/100</f>
        <v>2224.71821463859</v>
      </c>
      <c r="I15" s="0" t="n">
        <f aca="false">I13-MAX(0,I13)*I14/100</f>
        <v>2303.32031884731</v>
      </c>
      <c r="J15" s="0" t="n">
        <f aca="false">J13-MAX(0,J13)*J14/100</f>
        <v>2372.41992841273</v>
      </c>
      <c r="K15" s="0" t="n">
        <f aca="false">K13-MAX(0,K13)*K14/100</f>
        <v>2431.73042662304</v>
      </c>
      <c r="L15" s="0" t="n">
        <f aca="false">L13-MAX(0,L13)*L14/100</f>
        <v>2492.52368728862</v>
      </c>
    </row>
    <row r="16" customFormat="false" ht="15" hidden="false" customHeight="false" outlineLevel="0" collapsed="false">
      <c r="A16" s="0" t="s">
        <v>119</v>
      </c>
      <c r="C16" s="0" t="n">
        <f aca="false">-C12</f>
        <v>1497.84045354</v>
      </c>
      <c r="D16" s="0" t="n">
        <f aca="false">-D12</f>
        <v>1553.9297981832</v>
      </c>
      <c r="E16" s="0" t="n">
        <f aca="false">-E12</f>
        <v>1596.1561513947</v>
      </c>
      <c r="F16" s="0" t="n">
        <f aca="false">-F12</f>
        <v>1623.11345528492</v>
      </c>
      <c r="G16" s="0" t="n">
        <f aca="false">-G12</f>
        <v>1668.85574357022</v>
      </c>
      <c r="H16" s="0" t="n">
        <f aca="false">-H12</f>
        <v>1707.41206592167</v>
      </c>
      <c r="I16" s="0" t="n">
        <f aca="false">-I12</f>
        <v>1738.18519036561</v>
      </c>
      <c r="J16" s="0" t="n">
        <f aca="false">-J12</f>
        <v>1790.33074607658</v>
      </c>
      <c r="K16" s="0" t="n">
        <f aca="false">-K12</f>
        <v>1835.08901472849</v>
      </c>
      <c r="L16" s="0" t="n">
        <f aca="false">-L12</f>
        <v>1880.96624009671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-1673.11965555</v>
      </c>
      <c r="D17" s="4" t="n">
        <f aca="false">-D6*Assumptions!D46/100</f>
        <v>-1689.05412846</v>
      </c>
      <c r="E17" s="4" t="n">
        <f aca="false">-E6*Assumptions!E46/100</f>
        <v>-1738.03669818534</v>
      </c>
      <c r="F17" s="4" t="n">
        <f aca="false">-F6*Assumptions!F46/100</f>
        <v>-1770.66922394719</v>
      </c>
      <c r="G17" s="4" t="n">
        <f aca="false">-G6*Assumptions!G46/100</f>
        <v>-1803.13149305289</v>
      </c>
      <c r="H17" s="4" t="n">
        <f aca="false">-H6*Assumptions!H46/100</f>
        <v>-1826.53383796272</v>
      </c>
      <c r="I17" s="4" t="n">
        <f aca="false">-I6*Assumptions!I46/100</f>
        <v>-1840.43137803418</v>
      </c>
      <c r="J17" s="4" t="n">
        <f aca="false">-J6*Assumptions!J46/100</f>
        <v>-1895.6443193752</v>
      </c>
      <c r="K17" s="4" t="n">
        <f aca="false">-K6*Assumptions!K46/100</f>
        <v>-1943.03542735958</v>
      </c>
      <c r="L17" s="4" t="n">
        <f aca="false">-L6*Assumptions!L46/100</f>
        <v>-1991.61131304357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-205.2819483</v>
      </c>
      <c r="D18" s="4" t="n">
        <f aca="false">(D6-C6)*Assumptions!$B$51/100</f>
        <v>-124.288888698</v>
      </c>
      <c r="E18" s="4" t="n">
        <f aca="false">(E6-D6)*Assumptions!$B$51/100</f>
        <v>-109.7885183499</v>
      </c>
      <c r="F18" s="4" t="n">
        <f aca="false">(F6-E6)*Assumptions!$B$51/100</f>
        <v>-92.2223554139161</v>
      </c>
      <c r="G18" s="4" t="n">
        <f aca="false">(G6-F6)*Assumptions!$B$51/100</f>
        <v>-95.9112496304726</v>
      </c>
      <c r="H18" s="4" t="n">
        <f aca="false">(H6-G6)*Assumptions!$B$51/100</f>
        <v>-87.2792371637298</v>
      </c>
      <c r="I18" s="4" t="n">
        <f aca="false">(I6-H6)*Assumptions!$B$51/100</f>
        <v>-77.4291518266808</v>
      </c>
      <c r="J18" s="4" t="n">
        <f aca="false">(J6-I6)*Assumptions!$B$51/100</f>
        <v>-79.752026381481</v>
      </c>
      <c r="K18" s="4" t="n">
        <f aca="false">(K6-J6)*Assumptions!$B$51/100</f>
        <v>-68.4538226441044</v>
      </c>
      <c r="L18" s="4" t="n">
        <f aca="false">(L6-K6)*Assumptions!$B$51/100</f>
        <v>-70.1651682102066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1654.52599186356</v>
      </c>
      <c r="D19" s="0" t="n">
        <f aca="false">D15+D16+D17+D18</f>
        <v>1868.38960989397</v>
      </c>
      <c r="E19" s="0" t="n">
        <f aca="false">E15+E16+E17+E18</f>
        <v>1900.2331880331</v>
      </c>
      <c r="F19" s="0" t="n">
        <f aca="false">F15+F16+F17+F18</f>
        <v>1912.61787340029</v>
      </c>
      <c r="G19" s="0" t="n">
        <f aca="false">G15+G16+G17+G18</f>
        <v>1963.80201843385</v>
      </c>
      <c r="H19" s="0" t="n">
        <f aca="false">H15+H16+H17+H18</f>
        <v>2018.31720543382</v>
      </c>
      <c r="I19" s="0" t="n">
        <f aca="false">I15+I16+I17+I18</f>
        <v>2123.64497935206</v>
      </c>
      <c r="J19" s="0" t="n">
        <f aca="false">J15+J16+J17+J18</f>
        <v>2187.35432873262</v>
      </c>
      <c r="K19" s="0" t="n">
        <f aca="false">K15+K16+K17+K18</f>
        <v>2255.33019134785</v>
      </c>
      <c r="L19" s="0" t="n">
        <f aca="false">L15+L16+L17+L18</f>
        <v>2311.71344613155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1510.98264097129</v>
      </c>
      <c r="D21" s="0" t="n">
        <f aca="false">D19*D20</f>
        <v>1558.25742573672</v>
      </c>
      <c r="E21" s="0" t="n">
        <f aca="false">E19*E20</f>
        <v>1447.31992615621</v>
      </c>
      <c r="F21" s="0" t="n">
        <f aca="false">F19*F20</f>
        <v>1330.36782599458</v>
      </c>
      <c r="G21" s="0" t="n">
        <f aca="false">G19*G20</f>
        <v>1247.46137124554</v>
      </c>
      <c r="H21" s="0" t="n">
        <f aca="false">H19*H20</f>
        <v>1170.85929333875</v>
      </c>
      <c r="I21" s="0" t="n">
        <f aca="false">I19*I20</f>
        <v>1125.07916192019</v>
      </c>
      <c r="J21" s="0" t="n">
        <f aca="false">J19*J20</f>
        <v>1058.29364089296</v>
      </c>
      <c r="K21" s="0" t="n">
        <f aca="false">K19*K20</f>
        <v>996.513212149755</v>
      </c>
      <c r="L21" s="0" t="n">
        <f aca="false">L19*L20</f>
        <v>932.80917119041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12377.9436695964</v>
      </c>
    </row>
    <row r="31" customFormat="false" ht="15" hidden="false" customHeight="false" outlineLevel="0" collapsed="false">
      <c r="A31" s="0" t="s">
        <v>128</v>
      </c>
      <c r="B31" s="0" t="n">
        <f aca="false">L19</f>
        <v>2311.71344613155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31439.302867389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27740.5613535786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27740.5613535786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11193.7100542849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23571.6537238813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28088.6537238813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19.0006937277834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0.72890752755081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94.5374829234495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97.1515600200926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19.1303626265404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18138.0593465706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12.6969026951271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11.1321205795755</v>
      </c>
      <c r="C4" s="0" t="n">
        <f aca="false">B4/Assumptions!$B$2-1</f>
        <v>0.0129318088785702</v>
      </c>
      <c r="D4" s="4" t="n">
        <f aca="false">Assumptions!$B$24</f>
        <v>0.25</v>
      </c>
      <c r="E4" s="4" t="n">
        <f aca="false">DCF_Bear!$B$43</f>
        <v>11.2278025521183</v>
      </c>
      <c r="F4" s="4" t="n">
        <f aca="false">DCF_Bear!$B$47</f>
        <v>8.12925541009854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15.3522583671319</v>
      </c>
      <c r="C5" s="0" t="n">
        <f aca="false">B5/Assumptions!$B$2-1</f>
        <v>0.396929787728108</v>
      </c>
      <c r="D5" s="4" t="n">
        <f aca="false">Assumptions!$B$38</f>
        <v>0.5</v>
      </c>
      <c r="E5" s="4" t="n">
        <f aca="false">DCF_Base!$B$43</f>
        <v>15.4704923487902</v>
      </c>
      <c r="F5" s="4" t="n">
        <f aca="false">DCF_Base!$B$47</f>
        <v>10.5924599633379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19.0006937277834</v>
      </c>
      <c r="C6" s="0" t="n">
        <f aca="false">B6/Assumptions!$B$2-1</f>
        <v>0.72890752755081</v>
      </c>
      <c r="D6" s="4" t="n">
        <f aca="false">Assumptions!$B$52</f>
        <v>0.25</v>
      </c>
      <c r="E6" s="4" t="n">
        <f aca="false">DCF_Bull!$B$43</f>
        <v>19.1303626265404</v>
      </c>
      <c r="F6" s="4" t="n">
        <f aca="false">DCF_Bull!$B$47</f>
        <v>12.6969026951271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15.2093327604057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15.3247874690598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0.277417348076559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10.5027695079753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15.768027454046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15.3522583671319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14.9546031952469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13.9345309626724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12.8476107295159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10.5924599633379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17.1339111383314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17.1339111383314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17.1339111383314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17.1339111383314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17.1339111383314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16.2028709635407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16.2028709635407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16.2028709635407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16.2028709635407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16.2028709635407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15.2965497380153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15.3522583671319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15.3522583671319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15.3522583671319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15.3522583671319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13.9824848128341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14.2618845391211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14.574154821442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14.574154821442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14.574154821442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12.9207253193614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13.1305175920492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13.3623932618619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13.6200328949872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13.8614978426248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2026-10-10T21:37:51Z</dcterms:created>
  <dc:creator>openpyxl</dc:creator>
  <dc:description/>
  <dc:language>en-NZ</dc:language>
  <cp:lastModifiedBy/>
  <dcterms:modified xsi:type="dcterms:W3CDTF">2026-10-10T21:37:51Z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