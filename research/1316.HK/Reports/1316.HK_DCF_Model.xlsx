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<sst xmlns="http://schemas.openxmlformats.org/spreadsheetml/2006/main" count="358" uniqueCount="168">
  <si>
    <t xml:space="preserve">Ticker</t>
  </si>
  <si>
    <t xml:space="preserve">1316.HK</t>
  </si>
  <si>
    <t xml:space="preserve">Company</t>
  </si>
  <si>
    <t xml:space="preserve">Nexteer Automotive Group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</si>
  <si>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</si>
  <si>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</si>
  <si>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</si>
  <si>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</si>
  <si>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2026-10-16T08:08:14Z regular HKEX close (market closes 08:00Z)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</si>
  <si>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</si>
  <si>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</si>
  <si>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</si>
  <si>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</si>
  <si>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</si>
  <si>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</si>
  <si>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</si>
  <si>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</si>
  <si>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</si>
  <si>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</si>
  <si>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</si>
  <si>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</si>
  <si>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</si>
  <si>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2026-10-16T08:56:23Z</t>
  </si>
  <si>
    <t xml:space="preserve">Drivers file</t>
  </si>
  <si>
    <t xml:space="preserve">1316.HK_Drivers.json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</si>
  <si>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</si>
  <si>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</si>
  <si>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</si>
  <si>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cash-rich, thin-margin, cyclical Tier-1 supplier valued on consolidated owner FCF with every non-operating item handled exactly once: interest income stripped and cash added back; JV and financial-asset income excluded and the assets added; NCI deducted at earnings value; leases charged in the flows and excluded from debt; SBC zero because awards are cash-settled. Cyclicality, GM concentration and the China-ownership overhang are priced in the bear path and its 30% weight rather than in the discount rate. The terminal is capped at 12x FCF (~3.8x EBITDA), so the value does not depend on the market re-rating a stock that trades at ~1.9x EV/EBITDA.
key_risks_to_valuation: GM is ~34% of revenue and the top five customers 76%; a platform re-source or a North American truck/SUV downturn hits revenue and the fixed-cost base at once (bear case).; Majority AVIC/Pacific Century Motors ownership exposes a supplier to US OEMs to tariff, USMCA-content and CFIUS-style restrictions; this is also why the stock carries a persistent HK discount that a DCF cannot promise will close.; Margin ceiling: contracts carry annual price-downs, raw materials are 65% of revenue, and the FY2023 trough (8.8% gross margin) shows how fast margins compress in a commodity spike.; Capitalised engineering/product development (US$655m) and PP&amp;E (US$1,009m) are exposed to program-cancellation impairments (US$32m in FY2025); the base case haircuts EBITDA ~0.3pp for these but a large cancellation would exceed it.; Cash tax leakage: US losses are unsheltered while China/Poland/Mexico pay; China high-tech tax certificates expire 2027-30 and Pillar Two applies, so the 26% long-run cash rate could prove low.; Balance-sheet anchors are from 2026-06-30; the FY2026 result (due March 2027) will move net cash and the FY2026 driver year.</t>
  </si>
  <si>
    <t xml:space="preserve">Data sources</t>
  </si>
  <si>
    <t xml:space="preserve">price: Yahoo Finance chart API for 1316.HK at inputs.price_as_of (regular HKEX close); 52-week range 3.65-8.25 HKD. FX: Yahoo HKD=X at 2026-10-16T08:52Z.
financials: 1316.HK_Metrics.csv (core_metrics, USD millions, FY2018-FY2025 plus H1 FY2024-H1 FY2026); H1 FY2026 interim report (balance sheet, lease note 8, EPS note 24, JV note 27(b), financial asset note 12) for the 2026-06-30 anchors; FY2025 annual report for finance income (note 27), cash taxes paid, lease principal, ROU depreciation (note 7) and share options.
qualitative: 1316.HK_Analysis.json (2026-10-16): business model, customer concentration, bookings, guidance (above-market growth, continued margin expansion, elevated capex for APAC footprint), bull/bear cases.</t>
  </si>
  <si>
    <t xml:space="preserve">Scenario narrative: bear</t>
  </si>
  <si>
    <t xml:space="preserve">Customer concentration and the ownership overhang bite together. A North American production downturn in FY2027 (GM 34% of revenue, Stellantis/Ford next) and US restrictions or tariff friction on a China-state-controlled supplier cost a GM platform re-source; revenue falls ~8% over two years and the FY2023-style 9% EBITDA margin trough returns with fixed-cost deleverage. Recovery is slow (2% growth, 10% margin ceiling) because APRs and tariff costs are only partly recovered, and cash tax stays at 30% with US losses unsheltered. Weighted 30% because the customer dependency and the geopolitical exposure are structural, not cyclical.</t>
  </si>
  <si>
    <t xml:space="preserve">Scenario narrative: base</t>
  </si>
  <si>
    <t xml:space="preserve">Nexteer keeps compounding revenue 3-4% a year against a flat Western light-vehicle market, on the strength of US$4.9bn of FY2025 bookings (52% new/conquest, 34% Chinese OEMs) and the first mass-production Steer-by-Wire launches in 2026. The margin-recovery arc (gross margin 8.8% FY2023 -&gt; 11.4% FY2025; adjusted EBITDA 9.9% -&gt; 10.3% -&gt; 11.3% in H1 FY2026) extends one more step and then stalls at ~11.3%, because annual price-downs to OEMs cap the hardware economics. Capex, elevated at 6.8% of revenue for the Thailand/India/China footprint, settles back to ~6% (= D&amp;A) by FY2030, which is what lifts the owner-FCF margin from ~2% in FY2026 to ~3.5% at maturity. The net cash pile (US$545m, ~38% of market cap) and the US$24m JV and US$16m financial asset are added once in the bridge; NCI and unfunded retirement obligations are deducted once.</t>
  </si>
  <si>
    <t xml:space="preserve">Scenario narrative: bull</t>
  </si>
  <si>
    <t xml:space="preserve">By-wire content wins the argument: SbW and electro-mechanical braking add content-per-vehicle on Chinese NEV and robotaxi platforms, COEM share keeps rising and is exported to Europe/South America, so revenue grows 5-6% for five years. Mix shift to higher-value systems, software (MotionIQ) attach and the fixed-cost programme carry the adjusted EBITDA margin to 12.5%; capex normalises at 5.8% once the new plants fill. This case needs three independent things to go right (by-wire adoption, COEM share, margin) and is weighted 20%.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</si>
  <si>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</si>
  <si>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</si>
  <si>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</si>
  <si>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</si>
  <si>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</si>
  <si>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</si>
  <si>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</si>
  <si>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</si>
  <si>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</si>
  <si>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</si>
  <si>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</si>
  <si>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</si>
  <si>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</si>
  <si>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</si>
  <si>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</si>
  <si>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</si>
  <si>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</si>
  <si>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</si>
  <si>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</si>
  <si>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</si>
  <si>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</si>
  <si>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</si>
  <si>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</si>
  <si>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</si>
  <si>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</si>
  <si>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</si>
  <si>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</si>
  <si>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CapexIntangibles</t>
  </si>
  <si>
    <t xml:space="preserve">CapexPPE</t>
  </si>
  <si>
    <t xml:space="preserve">NonControllingInterests</t>
  </si>
  <si>
    <t xml:space="preserve">ProfitIncludingNCI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</si>
  <si>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</si>
  <si>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</si>
  <si>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</si>
  <si>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</si>
  <si>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</si>
  <si>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</si>
  <si>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</si>
  <si>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</si>
  <si>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</si>
  <si>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</si>
  <si>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</si>
  <si>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</si>
  <si>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</si>
  <si>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</si>
  <si>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</si>
  <si>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</si>
  <si>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</si>
  <si>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</si>
  <si>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</si>
  <si>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</si>
  <si>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</si>
  <si>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</si>
  <si>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</si>
  <si>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</si>
  <si>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</si>
  <si>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</si>
  <si>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</si>
  <si>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</si>
  <si>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</si>
  <si>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</si>
  <si>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</si>
  <si>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</si>
  <si>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</si>
  <si>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</si>
  <si>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</si>
  <si>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</si>
  <si>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</si>
  <si>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</si>
  <si>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</si>
  <si>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</si>
  <si>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</si>
  <si>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</si>
  <si>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</si>
  <si>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</si>
  <si>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</si>
  <si>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</si>
  <si>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1316.HK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</si>
  <si>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</si>
  <si>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</si>
  <si>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</si>
  <si>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</si>
  <si>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</si>
  <si>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</si>
  <si>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</si>
  <si>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</si>
  <si>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</si>
  <si>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</si>
  <si>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</si>
  <si>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</si>
  <si>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</si>
  <si>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</si>
  <si>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</si>
  <si>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</si>
  <si>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</si>
  <si>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</si>
  <si>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</si>
  <si>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</si>
  <si>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</si>
  <si>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</si>
  <si>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</si>
  <si>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</si>
  <si>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</si>
  <si>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</si>
  <si>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</si>
  <si>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</si>
  <si>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</si>
  <si>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</si>
  <si>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1316.HK owner-FCF component DCF: base case (millions, USD)</t>
  </si>
  <si>
    <t xml:space="preserve">1316.HK owner-FCF component DCF: bull case (millions, USD)</t>
  </si>
  <si>
    <t xml:space="preserve">1316.HK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</si>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</sst>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4.425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3912.17</v>
      </c>
      <c r="C2" s="0" t="n">
        <v>3236.806</v>
      </c>
      <c r="D2" s="0" t="n">
        <v>675.364</v>
      </c>
      <c r="E2" s="0" t="n">
        <v>17.3</v>
      </c>
      <c r="F2" s="0" t="n">
        <v>424.055</v>
      </c>
      <c r="G2" s="0" t="n">
        <v>10.8</v>
      </c>
      <c r="H2" s="0" t="n">
        <v>619.564</v>
      </c>
      <c r="I2" s="0" t="n">
        <v>379.657</v>
      </c>
      <c r="J2" s="0" t="n">
        <v>9.7</v>
      </c>
      <c r="K2" s="0" t="n">
        <v>0.1513</v>
      </c>
      <c r="L2" s="0" t="n">
        <v>613.202</v>
      </c>
      <c r="M2" s="0" t="n">
        <v>303.05</v>
      </c>
      <c r="N2" s="0" t="n">
        <v>310.152</v>
      </c>
      <c r="O2" s="0" t="n">
        <v>1671.81</v>
      </c>
      <c r="P2" s="0" t="n">
        <v>3111.511</v>
      </c>
      <c r="Q2" s="0" t="n">
        <v>1401.667</v>
      </c>
      <c r="R2" s="0" t="n">
        <v>381.754</v>
      </c>
      <c r="S2" s="0" t="n">
        <v>674.526</v>
      </c>
      <c r="T2" s="0" t="n">
        <v>2509.488</v>
      </c>
      <c r="U2" s="0" t="n">
        <v>2.475</v>
      </c>
      <c r="AA2" s="0" t="s">
        <v>18</v>
      </c>
      <c r="AB2" s="0" t="s">
        <v>14</v>
      </c>
      <c r="AC2" s="0" t="n">
        <v>144.744</v>
      </c>
      <c r="AD2" s="0" t="n">
        <v>158.306</v>
      </c>
      <c r="AE2" s="0" t="n">
        <v>38.034</v>
      </c>
      <c r="AF2" s="0" t="n">
        <v>384.346</v>
      </c>
      <c r="AG2" s="0" t="n">
        <v>1709.844</v>
      </c>
    </row>
    <row r="3" customFormat="false" ht="15" hidden="false" customHeight="false" outlineLevel="0" collapsed="false">
      <c r="A3" s="0" t="s">
        <v>70</v>
      </c>
      <c r="B3" s="0" t="n">
        <v>3575.657</v>
      </c>
      <c r="C3" s="0" t="n">
        <v>3036.955</v>
      </c>
      <c r="D3" s="0" t="n">
        <v>538.702</v>
      </c>
      <c r="E3" s="0" t="n">
        <v>15.1</v>
      </c>
      <c r="F3" s="0" t="n">
        <v>272.662</v>
      </c>
      <c r="G3" s="0" t="n">
        <v>7.6</v>
      </c>
      <c r="H3" s="0" t="n">
        <v>525.096</v>
      </c>
      <c r="I3" s="0" t="n">
        <v>232.445</v>
      </c>
      <c r="J3" s="0" t="n">
        <v>6.5</v>
      </c>
      <c r="K3" s="0" t="n">
        <v>0.0927</v>
      </c>
      <c r="L3" s="0" t="n">
        <v>491.241</v>
      </c>
      <c r="M3" s="0" t="n">
        <v>368.327</v>
      </c>
      <c r="N3" s="0" t="n">
        <v>122.914</v>
      </c>
      <c r="O3" s="0" t="n">
        <v>1811.981</v>
      </c>
      <c r="P3" s="0" t="n">
        <v>3258.972</v>
      </c>
      <c r="Q3" s="0" t="n">
        <v>1407.316</v>
      </c>
      <c r="R3" s="0" t="n">
        <v>369.326</v>
      </c>
      <c r="S3" s="0" t="n">
        <v>601.827</v>
      </c>
      <c r="T3" s="0" t="n">
        <v>2508.815</v>
      </c>
      <c r="U3" s="0" t="n">
        <v>1.232</v>
      </c>
      <c r="AA3" s="0" t="s">
        <v>18</v>
      </c>
      <c r="AB3" s="0" t="s">
        <v>14</v>
      </c>
      <c r="AC3" s="0" t="n">
        <v>167.72</v>
      </c>
      <c r="AD3" s="0" t="n">
        <v>200.607</v>
      </c>
      <c r="AE3" s="0" t="n">
        <v>39.675</v>
      </c>
      <c r="AF3" s="0" t="n">
        <v>234.658</v>
      </c>
      <c r="AG3" s="0" t="n">
        <v>1851.656</v>
      </c>
    </row>
    <row r="4" customFormat="false" ht="15" hidden="false" customHeight="false" outlineLevel="0" collapsed="false">
      <c r="A4" s="0" t="s">
        <v>71</v>
      </c>
      <c r="B4" s="0" t="n">
        <v>3032.21</v>
      </c>
      <c r="C4" s="0" t="n">
        <v>2620.834</v>
      </c>
      <c r="D4" s="0" t="n">
        <v>411.376</v>
      </c>
      <c r="E4" s="0" t="n">
        <v>13.6</v>
      </c>
      <c r="F4" s="0" t="n">
        <v>118.727</v>
      </c>
      <c r="G4" s="0" t="n">
        <v>3.9</v>
      </c>
      <c r="H4" s="0" t="n">
        <v>378.012</v>
      </c>
      <c r="I4" s="0" t="n">
        <v>116.766</v>
      </c>
      <c r="J4" s="0" t="n">
        <v>3.9</v>
      </c>
      <c r="K4" s="0" t="n">
        <v>0.0466</v>
      </c>
      <c r="L4" s="0" t="n">
        <v>419.845</v>
      </c>
      <c r="M4" s="0" t="n">
        <v>287.475</v>
      </c>
      <c r="N4" s="0" t="n">
        <v>132.37</v>
      </c>
      <c r="O4" s="0" t="n">
        <v>1882.002</v>
      </c>
      <c r="P4" s="0" t="n">
        <v>3305.741</v>
      </c>
      <c r="Q4" s="0" t="n">
        <v>1384.756</v>
      </c>
      <c r="R4" s="0" t="n">
        <v>248.636</v>
      </c>
      <c r="S4" s="0" t="n">
        <v>553.424</v>
      </c>
      <c r="T4" s="0" t="n">
        <v>2507.83</v>
      </c>
      <c r="U4" s="0" t="n">
        <v>1.116</v>
      </c>
      <c r="AA4" s="0" t="s">
        <v>18</v>
      </c>
      <c r="AB4" s="0" t="s">
        <v>14</v>
      </c>
      <c r="AC4" s="0" t="n">
        <v>137.734</v>
      </c>
      <c r="AD4" s="0" t="n">
        <v>149.741</v>
      </c>
      <c r="AE4" s="0" t="n">
        <v>38.983</v>
      </c>
      <c r="AF4" s="0" t="n">
        <v>122.303</v>
      </c>
      <c r="AG4" s="0" t="n">
        <v>1920.985</v>
      </c>
    </row>
    <row r="5" customFormat="false" ht="15" hidden="false" customHeight="false" outlineLevel="0" collapsed="false">
      <c r="A5" s="0" t="s">
        <v>72</v>
      </c>
      <c r="B5" s="0" t="n">
        <v>3358.725</v>
      </c>
      <c r="C5" s="0" t="n">
        <v>2995.296</v>
      </c>
      <c r="D5" s="0" t="n">
        <v>363.429</v>
      </c>
      <c r="E5" s="0" t="n">
        <v>10.8</v>
      </c>
      <c r="F5" s="0" t="n">
        <v>115.215</v>
      </c>
      <c r="G5" s="0" t="n">
        <v>3.4</v>
      </c>
      <c r="H5" s="0" t="n">
        <v>360.763</v>
      </c>
      <c r="I5" s="0" t="n">
        <v>118.44</v>
      </c>
      <c r="J5" s="0" t="n">
        <v>3.5</v>
      </c>
      <c r="K5" s="0" t="n">
        <v>0.0472</v>
      </c>
      <c r="L5" s="0" t="n">
        <v>287.383</v>
      </c>
      <c r="M5" s="0" t="n">
        <v>288.28</v>
      </c>
      <c r="N5" s="0" t="n">
        <v>-0.897</v>
      </c>
      <c r="O5" s="0" t="n">
        <v>1954.629</v>
      </c>
      <c r="P5" s="0" t="n">
        <v>3206.499</v>
      </c>
      <c r="Q5" s="0" t="n">
        <v>1203.91</v>
      </c>
      <c r="R5" s="0" t="n">
        <v>84.403</v>
      </c>
      <c r="S5" s="0" t="n">
        <v>326.516</v>
      </c>
      <c r="T5" s="0" t="n">
        <v>2511.531</v>
      </c>
      <c r="U5" s="0" t="n">
        <v>6.623</v>
      </c>
      <c r="AA5" s="0" t="s">
        <v>18</v>
      </c>
      <c r="AB5" s="0" t="s">
        <v>14</v>
      </c>
      <c r="AC5" s="0" t="n">
        <v>146.679</v>
      </c>
      <c r="AD5" s="0" t="n">
        <v>141.601</v>
      </c>
      <c r="AE5" s="0" t="n">
        <v>47.96</v>
      </c>
      <c r="AF5" s="0" t="n">
        <v>126.403</v>
      </c>
      <c r="AG5" s="0" t="n">
        <v>2002.589</v>
      </c>
    </row>
    <row r="6" customFormat="false" ht="15" hidden="false" customHeight="false" outlineLevel="0" collapsed="false">
      <c r="A6" s="0" t="s">
        <v>73</v>
      </c>
      <c r="B6" s="0" t="n">
        <v>3839.703</v>
      </c>
      <c r="C6" s="0" t="n">
        <v>3472.552</v>
      </c>
      <c r="D6" s="0" t="n">
        <v>367.151</v>
      </c>
      <c r="E6" s="0" t="n">
        <v>9.6</v>
      </c>
      <c r="F6" s="0" t="n">
        <v>86.321</v>
      </c>
      <c r="G6" s="0" t="n">
        <v>2.2</v>
      </c>
      <c r="H6" s="0" t="n">
        <v>364.825</v>
      </c>
      <c r="I6" s="0" t="n">
        <v>58.013</v>
      </c>
      <c r="J6" s="0" t="n">
        <v>1.5</v>
      </c>
      <c r="K6" s="0" t="n">
        <v>0.0231</v>
      </c>
      <c r="L6" s="0" t="n">
        <v>293.756</v>
      </c>
      <c r="M6" s="0" t="n">
        <v>266.723</v>
      </c>
      <c r="N6" s="0" t="n">
        <v>27.033</v>
      </c>
      <c r="O6" s="0" t="n">
        <v>1933.825</v>
      </c>
      <c r="P6" s="0" t="n">
        <v>3335.281</v>
      </c>
      <c r="Q6" s="0" t="n">
        <v>1358.131</v>
      </c>
      <c r="R6" s="0" t="n">
        <v>49.838</v>
      </c>
      <c r="S6" s="0" t="n">
        <v>245.934</v>
      </c>
      <c r="T6" s="0" t="n">
        <v>2509.883</v>
      </c>
      <c r="U6" s="0" t="n">
        <v>-3.523</v>
      </c>
      <c r="AA6" s="0" t="s">
        <v>18</v>
      </c>
      <c r="AB6" s="0" t="s">
        <v>14</v>
      </c>
      <c r="AC6" s="0" t="n">
        <v>146.38</v>
      </c>
      <c r="AD6" s="0" t="n">
        <v>120.343</v>
      </c>
      <c r="AE6" s="0" t="n">
        <v>43.325</v>
      </c>
      <c r="AF6" s="0" t="n">
        <v>65.513</v>
      </c>
      <c r="AG6" s="0" t="n">
        <v>1977.15</v>
      </c>
    </row>
    <row r="7" customFormat="false" ht="15" hidden="false" customHeight="false" outlineLevel="0" collapsed="false">
      <c r="A7" s="0" t="s">
        <v>74</v>
      </c>
      <c r="B7" s="0" t="n">
        <v>4206.793</v>
      </c>
      <c r="C7" s="0" t="n">
        <v>3838.2</v>
      </c>
      <c r="D7" s="0" t="n">
        <v>368.593</v>
      </c>
      <c r="E7" s="0" t="n">
        <v>8.8</v>
      </c>
      <c r="F7" s="0" t="n">
        <v>61.4</v>
      </c>
      <c r="G7" s="0" t="n">
        <v>1.5</v>
      </c>
      <c r="H7" s="0" t="n">
        <v>346.556</v>
      </c>
      <c r="I7" s="0" t="n">
        <v>36.737</v>
      </c>
      <c r="J7" s="0" t="n">
        <v>0.9</v>
      </c>
      <c r="K7" s="0" t="n">
        <v>0.0146</v>
      </c>
      <c r="L7" s="0" t="n">
        <v>404.124</v>
      </c>
      <c r="M7" s="0" t="n">
        <v>312.212</v>
      </c>
      <c r="N7" s="0" t="n">
        <v>91.912</v>
      </c>
      <c r="O7" s="0" t="n">
        <v>1963.816</v>
      </c>
      <c r="P7" s="0" t="n">
        <v>3404.593</v>
      </c>
      <c r="Q7" s="0" t="n">
        <v>1393.752</v>
      </c>
      <c r="R7" s="0" t="n">
        <v>49.11</v>
      </c>
      <c r="S7" s="0" t="n">
        <v>311.741</v>
      </c>
      <c r="T7" s="0" t="n">
        <v>2509.824</v>
      </c>
      <c r="U7" s="0" t="n">
        <v>-0.462</v>
      </c>
      <c r="AA7" s="0" t="s">
        <v>18</v>
      </c>
      <c r="AB7" s="0" t="s">
        <v>14</v>
      </c>
      <c r="AC7" s="0" t="n">
        <v>140.262</v>
      </c>
      <c r="AD7" s="0" t="n">
        <v>171.95</v>
      </c>
      <c r="AE7" s="0" t="n">
        <v>47.025</v>
      </c>
      <c r="AF7" s="0" t="n">
        <v>45.175</v>
      </c>
      <c r="AG7" s="0" t="n">
        <v>2010.841</v>
      </c>
    </row>
    <row r="8" customFormat="false" ht="15" hidden="false" customHeight="false" outlineLevel="0" collapsed="false">
      <c r="A8" s="0" t="s">
        <v>75</v>
      </c>
      <c r="B8" s="0" t="n">
        <v>4276.086</v>
      </c>
      <c r="C8" s="0" t="n">
        <v>3827.569</v>
      </c>
      <c r="D8" s="0" t="n">
        <v>448.517</v>
      </c>
      <c r="E8" s="0" t="n">
        <v>10.5</v>
      </c>
      <c r="F8" s="0" t="n">
        <v>114.765</v>
      </c>
      <c r="G8" s="0" t="n">
        <v>2.7</v>
      </c>
      <c r="H8" s="0" t="n">
        <v>424.418</v>
      </c>
      <c r="I8" s="0" t="n">
        <v>61.719</v>
      </c>
      <c r="J8" s="0" t="n">
        <v>1.4</v>
      </c>
      <c r="K8" s="0" t="n">
        <v>0.0246</v>
      </c>
      <c r="L8" s="0" t="n">
        <v>446.234</v>
      </c>
      <c r="M8" s="0" t="n">
        <v>276.826</v>
      </c>
      <c r="N8" s="0" t="n">
        <v>169.408</v>
      </c>
      <c r="O8" s="0" t="n">
        <v>1978.877</v>
      </c>
      <c r="P8" s="0" t="n">
        <v>3479.142</v>
      </c>
      <c r="Q8" s="0" t="n">
        <v>1449.241</v>
      </c>
      <c r="R8" s="0" t="n">
        <v>47.762</v>
      </c>
      <c r="S8" s="0" t="n">
        <v>422.278</v>
      </c>
      <c r="T8" s="0" t="n">
        <v>2509.824</v>
      </c>
      <c r="U8" s="0" t="n">
        <v>-0.403</v>
      </c>
      <c r="AA8" s="0" t="s">
        <v>18</v>
      </c>
      <c r="AB8" s="0" t="s">
        <v>14</v>
      </c>
      <c r="AC8" s="0" t="n">
        <v>110.836</v>
      </c>
      <c r="AD8" s="0" t="n">
        <v>165.99</v>
      </c>
      <c r="AE8" s="0" t="n">
        <v>51.024</v>
      </c>
      <c r="AF8" s="0" t="n">
        <v>75.111</v>
      </c>
      <c r="AG8" s="0" t="n">
        <v>2029.901</v>
      </c>
    </row>
    <row r="9" customFormat="false" ht="15" hidden="false" customHeight="false" outlineLevel="0" collapsed="false">
      <c r="A9" s="0" t="s">
        <v>76</v>
      </c>
      <c r="B9" s="0" t="n">
        <v>4584.217</v>
      </c>
      <c r="C9" s="0" t="n">
        <v>4061.212</v>
      </c>
      <c r="D9" s="0" t="n">
        <v>523.005</v>
      </c>
      <c r="E9" s="0" t="n">
        <v>11.4</v>
      </c>
      <c r="F9" s="0" t="n">
        <v>162.502</v>
      </c>
      <c r="G9" s="0" t="n">
        <v>3.5</v>
      </c>
      <c r="H9" s="0" t="n">
        <v>471.863</v>
      </c>
      <c r="I9" s="0" t="n">
        <v>102.004</v>
      </c>
      <c r="J9" s="0" t="n">
        <v>2.2</v>
      </c>
      <c r="K9" s="0" t="n">
        <v>0.0406</v>
      </c>
      <c r="L9" s="0" t="n">
        <v>404.933</v>
      </c>
      <c r="M9" s="0" t="n">
        <v>257.565</v>
      </c>
      <c r="N9" s="0" t="n">
        <v>147.368</v>
      </c>
      <c r="O9" s="0" t="n">
        <v>2111.601</v>
      </c>
      <c r="P9" s="0" t="n">
        <v>3770.498</v>
      </c>
      <c r="Q9" s="0" t="n">
        <v>1611.37</v>
      </c>
      <c r="R9" s="0" t="n">
        <v>49.808</v>
      </c>
      <c r="S9" s="0" t="n">
        <v>500.721</v>
      </c>
      <c r="T9" s="0" t="n">
        <v>2510.621</v>
      </c>
      <c r="U9" s="0" t="n">
        <v>0</v>
      </c>
      <c r="AA9" s="0" t="s">
        <v>18</v>
      </c>
      <c r="AB9" s="0" t="s">
        <v>14</v>
      </c>
      <c r="AC9" s="0" t="n">
        <v>123.707</v>
      </c>
      <c r="AD9" s="0" t="n">
        <v>133.858</v>
      </c>
      <c r="AE9" s="0" t="n">
        <v>47.527</v>
      </c>
      <c r="AF9" s="0" t="n">
        <v>112.519</v>
      </c>
      <c r="AG9" s="0" t="n">
        <v>2159.128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4.425</v>
      </c>
    </row>
    <row r="3" customFormat="false" ht="15" hidden="false" customHeight="false" outlineLevel="0" collapsed="false">
      <c r="A3" s="0" t="s">
        <v>80</v>
      </c>
      <c r="B3" s="3" t="n">
        <v>2509.824</v>
      </c>
    </row>
    <row r="4" customFormat="false" ht="15" hidden="false" customHeight="false" outlineLevel="0" collapsed="false">
      <c r="A4" s="0" t="s">
        <v>81</v>
      </c>
      <c r="B4" s="3" t="n">
        <v>-545.146</v>
      </c>
    </row>
    <row r="5" customFormat="false" ht="15" hidden="false" customHeight="false" outlineLevel="0" collapsed="false">
      <c r="A5" s="0" t="s">
        <v>82</v>
      </c>
      <c r="B5" s="3" t="n">
        <v>-85.571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4584.217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7.8476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2</v>
      </c>
      <c r="D13" s="3" t="n">
        <v>-6</v>
      </c>
      <c r="E13" s="3" t="n">
        <v>-2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10.5</v>
      </c>
      <c r="D14" s="3" t="n">
        <v>9</v>
      </c>
      <c r="E14" s="3" t="n">
        <v>9</v>
      </c>
      <c r="F14" s="3" t="n">
        <v>9.5</v>
      </c>
      <c r="G14" s="3" t="n">
        <v>9.8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102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103</v>
      </c>
      <c r="C16" s="3" t="n">
        <v>0.4</v>
      </c>
      <c r="D16" s="3" t="n">
        <v>0.4</v>
      </c>
      <c r="E16" s="3" t="n">
        <v>0.4</v>
      </c>
      <c r="F16" s="3" t="n">
        <v>0.4</v>
      </c>
      <c r="G16" s="3" t="n">
        <v>0.4</v>
      </c>
      <c r="H16" s="3" t="n">
        <v>0.4</v>
      </c>
      <c r="I16" s="3" t="n">
        <v>0.4</v>
      </c>
      <c r="J16" s="3" t="n">
        <v>0.4</v>
      </c>
      <c r="K16" s="3" t="n">
        <v>0.4</v>
      </c>
      <c r="L16" s="3" t="n">
        <v>0.4</v>
      </c>
    </row>
    <row r="17" customFormat="false" ht="15" hidden="false" customHeight="false" outlineLevel="0" collapsed="false">
      <c r="A17" s="0" t="s">
        <v>104</v>
      </c>
      <c r="C17" s="3" t="n">
        <v>5.9</v>
      </c>
      <c r="D17" s="3" t="n">
        <v>6.3</v>
      </c>
      <c r="E17" s="3" t="n">
        <v>6.4</v>
      </c>
      <c r="F17" s="3" t="n">
        <v>6.3</v>
      </c>
      <c r="G17" s="3" t="n">
        <v>6.2</v>
      </c>
      <c r="H17" s="3" t="n">
        <v>6.1</v>
      </c>
      <c r="I17" s="3" t="n">
        <v>6</v>
      </c>
      <c r="J17" s="3" t="n">
        <v>6</v>
      </c>
      <c r="K17" s="3" t="n">
        <v>6</v>
      </c>
      <c r="L17" s="3" t="n">
        <v>6</v>
      </c>
    </row>
    <row r="18" customFormat="false" ht="15" hidden="false" customHeight="false" outlineLevel="0" collapsed="false">
      <c r="A18" s="0" t="s">
        <v>105</v>
      </c>
      <c r="C18" s="3" t="n">
        <v>6.8</v>
      </c>
      <c r="D18" s="3" t="n">
        <v>6.5</v>
      </c>
      <c r="E18" s="3" t="n">
        <v>6.2</v>
      </c>
      <c r="F18" s="3" t="n">
        <v>6</v>
      </c>
      <c r="G18" s="3" t="n">
        <v>6</v>
      </c>
      <c r="H18" s="3" t="n">
        <v>6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106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107</v>
      </c>
      <c r="B20" s="3" t="n">
        <v>10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10</v>
      </c>
    </row>
    <row r="23" customFormat="false" ht="15" hidden="false" customHeight="false" outlineLevel="0" collapsed="false">
      <c r="A23" s="0" t="s">
        <v>110</v>
      </c>
      <c r="B23" s="3" t="n">
        <v>-5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4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10.9</v>
      </c>
      <c r="D28" s="3" t="n">
        <v>11</v>
      </c>
      <c r="E28" s="3" t="n">
        <v>11.1</v>
      </c>
      <c r="F28" s="3" t="n">
        <v>11.2</v>
      </c>
      <c r="G28" s="3" t="n">
        <v>11.3</v>
      </c>
      <c r="H28" s="3" t="n">
        <v>11.3</v>
      </c>
      <c r="I28" s="3" t="n">
        <v>11.3</v>
      </c>
      <c r="J28" s="3" t="n">
        <v>11.3</v>
      </c>
      <c r="K28" s="3" t="n">
        <v>11.3</v>
      </c>
      <c r="L28" s="3" t="n">
        <v>11.3</v>
      </c>
    </row>
    <row r="29" customFormat="false" ht="15" hidden="false" customHeight="false" outlineLevel="0" collapsed="false">
      <c r="A29" s="0" t="s">
        <v>102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103</v>
      </c>
      <c r="C30" s="3" t="n">
        <v>0.4</v>
      </c>
      <c r="D30" s="3" t="n">
        <v>0.4</v>
      </c>
      <c r="E30" s="3" t="n">
        <v>0.4</v>
      </c>
      <c r="F30" s="3" t="n">
        <v>0.4</v>
      </c>
      <c r="G30" s="3" t="n">
        <v>0.4</v>
      </c>
      <c r="H30" s="3" t="n">
        <v>0.4</v>
      </c>
      <c r="I30" s="3" t="n">
        <v>0.4</v>
      </c>
      <c r="J30" s="3" t="n">
        <v>0.4</v>
      </c>
      <c r="K30" s="3" t="n">
        <v>0.4</v>
      </c>
      <c r="L30" s="3" t="n">
        <v>0.4</v>
      </c>
    </row>
    <row r="31" customFormat="false" ht="15" hidden="false" customHeight="false" outlineLevel="0" collapsed="false">
      <c r="A31" s="0" t="s">
        <v>104</v>
      </c>
      <c r="C31" s="3" t="n">
        <v>5.9</v>
      </c>
      <c r="D31" s="3" t="n">
        <v>5.9</v>
      </c>
      <c r="E31" s="3" t="n">
        <v>5.9</v>
      </c>
      <c r="F31" s="3" t="n">
        <v>5.9</v>
      </c>
      <c r="G31" s="3" t="n">
        <v>5.9</v>
      </c>
      <c r="H31" s="3" t="n">
        <v>5.9</v>
      </c>
      <c r="I31" s="3" t="n">
        <v>5.9</v>
      </c>
      <c r="J31" s="3" t="n">
        <v>5.9</v>
      </c>
      <c r="K31" s="3" t="n">
        <v>5.9</v>
      </c>
      <c r="L31" s="3" t="n">
        <v>5.9</v>
      </c>
    </row>
    <row r="32" customFormat="false" ht="15" hidden="false" customHeight="false" outlineLevel="0" collapsed="false">
      <c r="A32" s="0" t="s">
        <v>105</v>
      </c>
      <c r="C32" s="3" t="n">
        <v>6.8</v>
      </c>
      <c r="D32" s="3" t="n">
        <v>6.6</v>
      </c>
      <c r="E32" s="3" t="n">
        <v>6.4</v>
      </c>
      <c r="F32" s="3" t="n">
        <v>6.2</v>
      </c>
      <c r="G32" s="3" t="n">
        <v>6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106</v>
      </c>
      <c r="C33" s="3" t="n">
        <v>30</v>
      </c>
      <c r="D33" s="3" t="n">
        <v>29</v>
      </c>
      <c r="E33" s="3" t="n">
        <v>28</v>
      </c>
      <c r="F33" s="3" t="n">
        <v>27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107</v>
      </c>
      <c r="B34" s="3" t="n">
        <v>10</v>
      </c>
    </row>
    <row r="35" customFormat="false" ht="15" hidden="false" customHeight="false" outlineLevel="0" collapsed="false">
      <c r="A35" s="0" t="s">
        <v>108</v>
      </c>
      <c r="B35" s="3" t="n">
        <v>2</v>
      </c>
    </row>
    <row r="36" customFormat="false" ht="15" hidden="false" customHeight="false" outlineLevel="0" collapsed="false">
      <c r="A36" s="0" t="s">
        <v>109</v>
      </c>
      <c r="B36" s="3" t="n">
        <v>12</v>
      </c>
    </row>
    <row r="37" customFormat="false" ht="15" hidden="false" customHeight="false" outlineLevel="0" collapsed="false">
      <c r="A37" s="0" t="s">
        <v>110</v>
      </c>
      <c r="B37" s="3" t="n">
        <v>-5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6</v>
      </c>
      <c r="D41" s="3" t="n">
        <v>6</v>
      </c>
      <c r="E41" s="3" t="n">
        <v>6</v>
      </c>
      <c r="F41" s="3" t="n">
        <v>5</v>
      </c>
      <c r="G41" s="3" t="n">
        <v>5</v>
      </c>
      <c r="H41" s="3" t="n">
        <v>4</v>
      </c>
      <c r="I41" s="3" t="n">
        <v>4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11.2</v>
      </c>
      <c r="D42" s="3" t="n">
        <v>11.6</v>
      </c>
      <c r="E42" s="3" t="n">
        <v>12</v>
      </c>
      <c r="F42" s="3" t="n">
        <v>12.3</v>
      </c>
      <c r="G42" s="3" t="n">
        <v>12.5</v>
      </c>
      <c r="H42" s="3" t="n">
        <v>12.5</v>
      </c>
      <c r="I42" s="3" t="n">
        <v>12.5</v>
      </c>
      <c r="J42" s="3" t="n">
        <v>12.5</v>
      </c>
      <c r="K42" s="3" t="n">
        <v>12.5</v>
      </c>
      <c r="L42" s="3" t="n">
        <v>12.5</v>
      </c>
    </row>
    <row r="43" customFormat="false" ht="15" hidden="false" customHeight="false" outlineLevel="0" collapsed="false">
      <c r="A43" s="0" t="s">
        <v>102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103</v>
      </c>
      <c r="C44" s="3" t="n">
        <v>0.4</v>
      </c>
      <c r="D44" s="3" t="n">
        <v>0.4</v>
      </c>
      <c r="E44" s="3" t="n">
        <v>0.4</v>
      </c>
      <c r="F44" s="3" t="n">
        <v>0.4</v>
      </c>
      <c r="G44" s="3" t="n">
        <v>0.4</v>
      </c>
      <c r="H44" s="3" t="n">
        <v>0.4</v>
      </c>
      <c r="I44" s="3" t="n">
        <v>0.4</v>
      </c>
      <c r="J44" s="3" t="n">
        <v>0.4</v>
      </c>
      <c r="K44" s="3" t="n">
        <v>0.4</v>
      </c>
      <c r="L44" s="3" t="n">
        <v>0.4</v>
      </c>
    </row>
    <row r="45" customFormat="false" ht="15" hidden="false" customHeight="false" outlineLevel="0" collapsed="false">
      <c r="A45" s="0" t="s">
        <v>104</v>
      </c>
      <c r="C45" s="3" t="n">
        <v>5.9</v>
      </c>
      <c r="D45" s="3" t="n">
        <v>5.9</v>
      </c>
      <c r="E45" s="3" t="n">
        <v>5.9</v>
      </c>
      <c r="F45" s="3" t="n">
        <v>5.9</v>
      </c>
      <c r="G45" s="3" t="n">
        <v>5.9</v>
      </c>
      <c r="H45" s="3" t="n">
        <v>5.9</v>
      </c>
      <c r="I45" s="3" t="n">
        <v>5.9</v>
      </c>
      <c r="J45" s="3" t="n">
        <v>5.9</v>
      </c>
      <c r="K45" s="3" t="n">
        <v>5.9</v>
      </c>
      <c r="L45" s="3" t="n">
        <v>5.9</v>
      </c>
    </row>
    <row r="46" customFormat="false" ht="15" hidden="false" customHeight="false" outlineLevel="0" collapsed="false">
      <c r="A46" s="0" t="s">
        <v>105</v>
      </c>
      <c r="C46" s="3" t="n">
        <v>6.8</v>
      </c>
      <c r="D46" s="3" t="n">
        <v>6.5</v>
      </c>
      <c r="E46" s="3" t="n">
        <v>6.2</v>
      </c>
      <c r="F46" s="3" t="n">
        <v>6</v>
      </c>
      <c r="G46" s="3" t="n">
        <v>5.8</v>
      </c>
      <c r="H46" s="3" t="n">
        <v>5.8</v>
      </c>
      <c r="I46" s="3" t="n">
        <v>5.8</v>
      </c>
      <c r="J46" s="3" t="n">
        <v>5.8</v>
      </c>
      <c r="K46" s="3" t="n">
        <v>5.8</v>
      </c>
      <c r="L46" s="3" t="n">
        <v>5.8</v>
      </c>
    </row>
    <row r="47" customFormat="false" ht="15" hidden="false" customHeight="false" outlineLevel="0" collapsed="false">
      <c r="A47" s="0" t="s">
        <v>106</v>
      </c>
      <c r="C47" s="3" t="n">
        <v>30</v>
      </c>
      <c r="D47" s="3" t="n">
        <v>28</v>
      </c>
      <c r="E47" s="3" t="n">
        <v>26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107</v>
      </c>
      <c r="B48" s="3" t="n">
        <v>10</v>
      </c>
    </row>
    <row r="49" customFormat="false" ht="15" hidden="false" customHeight="false" outlineLevel="0" collapsed="false">
      <c r="A49" s="0" t="s">
        <v>108</v>
      </c>
      <c r="B49" s="3" t="n">
        <v>2.5</v>
      </c>
    </row>
    <row r="50" customFormat="false" ht="15" hidden="false" customHeight="false" outlineLevel="0" collapsed="false">
      <c r="A50" s="0" t="s">
        <v>109</v>
      </c>
      <c r="B50" s="3" t="n">
        <v>12</v>
      </c>
    </row>
    <row r="51" customFormat="false" ht="15" hidden="false" customHeight="false" outlineLevel="0" collapsed="false">
      <c r="A51" s="0" t="s">
        <v>110</v>
      </c>
      <c r="B51" s="3" t="n">
        <v>-5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2</v>
      </c>
      <c r="D5" s="4" t="n">
        <f aca="false">Assumptions!D13</f>
        <v>-6</v>
      </c>
      <c r="E5" s="4" t="n">
        <f aca="false">Assumptions!E13</f>
        <v>-2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4584.217</v>
      </c>
      <c r="C6" s="0" t="n">
        <f aca="false">B6*(1+C5/100)</f>
        <v>4675.90134</v>
      </c>
      <c r="D6" s="0" t="n">
        <f aca="false">C6*(1+D5/100)</f>
        <v>4395.3472596</v>
      </c>
      <c r="E6" s="0" t="n">
        <f aca="false">D6*(1+E5/100)</f>
        <v>4307.440314408</v>
      </c>
      <c r="F6" s="0" t="n">
        <f aca="false">E6*(1+F5/100)</f>
        <v>4393.58912069616</v>
      </c>
      <c r="G6" s="0" t="n">
        <f aca="false">F6*(1+G5/100)</f>
        <v>4481.46090311008</v>
      </c>
      <c r="H6" s="0" t="n">
        <f aca="false">G6*(1+H5/100)</f>
        <v>4571.09012117228</v>
      </c>
      <c r="I6" s="0" t="n">
        <f aca="false">H6*(1+I5/100)</f>
        <v>4662.51192359573</v>
      </c>
      <c r="J6" s="0" t="n">
        <f aca="false">I6*(1+J5/100)</f>
        <v>4755.76216206764</v>
      </c>
      <c r="K6" s="0" t="n">
        <f aca="false">J6*(1+K5/100)</f>
        <v>4850.877405309</v>
      </c>
      <c r="L6" s="0" t="n">
        <f aca="false">K6*(1+L5/100)</f>
        <v>4947.89495341518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10.5</v>
      </c>
      <c r="D7" s="4" t="n">
        <f aca="false">Assumptions!D14</f>
        <v>9</v>
      </c>
      <c r="E7" s="4" t="n">
        <f aca="false">Assumptions!E14</f>
        <v>9</v>
      </c>
      <c r="F7" s="4" t="n">
        <f aca="false">Assumptions!F14</f>
        <v>9.5</v>
      </c>
      <c r="G7" s="4" t="n">
        <f aca="false">Assumptions!G14</f>
        <v>9.8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490.9696407</v>
      </c>
      <c r="D8" s="0" t="n">
        <f aca="false">D6*D7/100</f>
        <v>395.581253364</v>
      </c>
      <c r="E8" s="0" t="n">
        <f aca="false">E6*E7/100</f>
        <v>387.66962829672</v>
      </c>
      <c r="F8" s="0" t="n">
        <f aca="false">F6*F7/100</f>
        <v>417.390966466135</v>
      </c>
      <c r="G8" s="0" t="n">
        <f aca="false">G6*G7/100</f>
        <v>439.183168504788</v>
      </c>
      <c r="H8" s="0" t="n">
        <f aca="false">H6*H7/100</f>
        <v>457.109012117228</v>
      </c>
      <c r="I8" s="0" t="n">
        <f aca="false">I6*I7/100</f>
        <v>466.251192359573</v>
      </c>
      <c r="J8" s="0" t="n">
        <f aca="false">J6*J7/100</f>
        <v>475.576216206764</v>
      </c>
      <c r="K8" s="0" t="n">
        <f aca="false">K6*K7/100</f>
        <v>485.0877405309</v>
      </c>
      <c r="L8" s="0" t="n">
        <f aca="false">L6*L7/100</f>
        <v>494.789495341518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472.26603534</v>
      </c>
      <c r="D11" s="0" t="n">
        <f aca="false">D8+D10+D24</f>
        <v>377.9998643256</v>
      </c>
      <c r="E11" s="0" t="n">
        <f aca="false">E8+E10+E24</f>
        <v>370.439867039088</v>
      </c>
      <c r="F11" s="0" t="n">
        <f aca="false">F8+F10+F24</f>
        <v>399.81660998335</v>
      </c>
      <c r="G11" s="0" t="n">
        <f aca="false">G8+G10+G24</f>
        <v>421.257324892348</v>
      </c>
      <c r="H11" s="0" t="n">
        <f aca="false">H8+H10+H24</f>
        <v>438.824651632539</v>
      </c>
      <c r="I11" s="0" t="n">
        <f aca="false">I8+I10+I24</f>
        <v>447.60114466519</v>
      </c>
      <c r="J11" s="0" t="n">
        <f aca="false">J8+J10+J24</f>
        <v>456.553167558494</v>
      </c>
      <c r="K11" s="0" t="n">
        <f aca="false">K8+K10+K24</f>
        <v>465.684230909664</v>
      </c>
      <c r="L11" s="0" t="n">
        <f aca="false">L8+L10+L24</f>
        <v>474.997915527857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-275.87817906</v>
      </c>
      <c r="D12" s="4" t="n">
        <f aca="false">-D6*Assumptions!D17/100</f>
        <v>-276.9068773548</v>
      </c>
      <c r="E12" s="4" t="n">
        <f aca="false">-E6*Assumptions!E17/100</f>
        <v>-275.676180122112</v>
      </c>
      <c r="F12" s="4" t="n">
        <f aca="false">-F6*Assumptions!F17/100</f>
        <v>-276.796114603858</v>
      </c>
      <c r="G12" s="4" t="n">
        <f aca="false">-G6*Assumptions!G17/100</f>
        <v>-277.850575992825</v>
      </c>
      <c r="H12" s="4" t="n">
        <f aca="false">-H6*Assumptions!H17/100</f>
        <v>-278.836497391509</v>
      </c>
      <c r="I12" s="4" t="n">
        <f aca="false">-I6*Assumptions!I17/100</f>
        <v>-279.750715415744</v>
      </c>
      <c r="J12" s="4" t="n">
        <f aca="false">-J6*Assumptions!J17/100</f>
        <v>-285.345729724059</v>
      </c>
      <c r="K12" s="4" t="n">
        <f aca="false">-K6*Assumptions!K17/100</f>
        <v>-291.05264431854</v>
      </c>
      <c r="L12" s="4" t="n">
        <f aca="false">-L6*Assumptions!L17/100</f>
        <v>-296.873697204911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196.38785628</v>
      </c>
      <c r="D13" s="0" t="n">
        <f aca="false">D11+D12</f>
        <v>101.0929869708</v>
      </c>
      <c r="E13" s="0" t="n">
        <f aca="false">E11+E12</f>
        <v>94.763686916976</v>
      </c>
      <c r="F13" s="0" t="n">
        <f aca="false">F11+F12</f>
        <v>123.020495379492</v>
      </c>
      <c r="G13" s="0" t="n">
        <f aca="false">G11+G12</f>
        <v>143.406748899523</v>
      </c>
      <c r="H13" s="0" t="n">
        <f aca="false">H11+H12</f>
        <v>159.98815424103</v>
      </c>
      <c r="I13" s="0" t="n">
        <f aca="false">I11+I12</f>
        <v>167.850429249446</v>
      </c>
      <c r="J13" s="0" t="n">
        <f aca="false">J11+J12</f>
        <v>171.207437834435</v>
      </c>
      <c r="K13" s="0" t="n">
        <f aca="false">K11+K12</f>
        <v>174.631586591124</v>
      </c>
      <c r="L13" s="0" t="n">
        <f aca="false">L11+L12</f>
        <v>178.124218322946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137.471499396</v>
      </c>
      <c r="D15" s="0" t="n">
        <f aca="false">D13-MAX(0,D13)*D14/100</f>
        <v>70.76509087956</v>
      </c>
      <c r="E15" s="0" t="n">
        <f aca="false">E13-MAX(0,E13)*E14/100</f>
        <v>66.3345808418832</v>
      </c>
      <c r="F15" s="0" t="n">
        <f aca="false">F13-MAX(0,F13)*F14/100</f>
        <v>86.1143467656447</v>
      </c>
      <c r="G15" s="0" t="n">
        <f aca="false">G13-MAX(0,G13)*G14/100</f>
        <v>100.384724229666</v>
      </c>
      <c r="H15" s="0" t="n">
        <f aca="false">H13-MAX(0,H13)*H14/100</f>
        <v>111.991707968721</v>
      </c>
      <c r="I15" s="0" t="n">
        <f aca="false">I13-MAX(0,I13)*I14/100</f>
        <v>117.495300474612</v>
      </c>
      <c r="J15" s="0" t="n">
        <f aca="false">J13-MAX(0,J13)*J14/100</f>
        <v>119.845206484105</v>
      </c>
      <c r="K15" s="0" t="n">
        <f aca="false">K13-MAX(0,K13)*K14/100</f>
        <v>122.242110613787</v>
      </c>
      <c r="L15" s="0" t="n">
        <f aca="false">L13-MAX(0,L13)*L14/100</f>
        <v>124.686952826062</v>
      </c>
    </row>
    <row r="16" customFormat="false" ht="15" hidden="false" customHeight="false" outlineLevel="0" collapsed="false">
      <c r="A16" s="0" t="s">
        <v>122</v>
      </c>
      <c r="C16" s="0" t="n">
        <f aca="false">-C12</f>
        <v>275.87817906</v>
      </c>
      <c r="D16" s="0" t="n">
        <f aca="false">-D12</f>
        <v>276.9068773548</v>
      </c>
      <c r="E16" s="0" t="n">
        <f aca="false">-E12</f>
        <v>275.676180122112</v>
      </c>
      <c r="F16" s="0" t="n">
        <f aca="false">-F12</f>
        <v>276.796114603858</v>
      </c>
      <c r="G16" s="0" t="n">
        <f aca="false">-G12</f>
        <v>277.850575992825</v>
      </c>
      <c r="H16" s="0" t="n">
        <f aca="false">-H12</f>
        <v>278.836497391509</v>
      </c>
      <c r="I16" s="0" t="n">
        <f aca="false">-I12</f>
        <v>279.750715415744</v>
      </c>
      <c r="J16" s="0" t="n">
        <f aca="false">-J12</f>
        <v>285.345729724059</v>
      </c>
      <c r="K16" s="0" t="n">
        <f aca="false">-K12</f>
        <v>291.05264431854</v>
      </c>
      <c r="L16" s="0" t="n">
        <f aca="false">-L12</f>
        <v>296.873697204911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-317.96129112</v>
      </c>
      <c r="D17" s="4" t="n">
        <f aca="false">-D6*Assumptions!D18/100</f>
        <v>-285.697571874</v>
      </c>
      <c r="E17" s="4" t="n">
        <f aca="false">-E6*Assumptions!E18/100</f>
        <v>-267.061299493296</v>
      </c>
      <c r="F17" s="4" t="n">
        <f aca="false">-F6*Assumptions!F18/100</f>
        <v>-263.61534724177</v>
      </c>
      <c r="G17" s="4" t="n">
        <f aca="false">-G6*Assumptions!G18/100</f>
        <v>-268.887654186605</v>
      </c>
      <c r="H17" s="4" t="n">
        <f aca="false">-H6*Assumptions!H18/100</f>
        <v>-274.265407270337</v>
      </c>
      <c r="I17" s="4" t="n">
        <f aca="false">-I6*Assumptions!I18/100</f>
        <v>-279.750715415744</v>
      </c>
      <c r="J17" s="4" t="n">
        <f aca="false">-J6*Assumptions!J18/100</f>
        <v>-285.345729724059</v>
      </c>
      <c r="K17" s="4" t="n">
        <f aca="false">-K6*Assumptions!K18/100</f>
        <v>-291.05264431854</v>
      </c>
      <c r="L17" s="4" t="n">
        <f aca="false">-L6*Assumptions!L18/100</f>
        <v>-296.873697204911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-4.58421699999999</v>
      </c>
      <c r="D18" s="4" t="n">
        <f aca="false">(D6-C6)*Assumptions!$B$23/100</f>
        <v>14.02770402</v>
      </c>
      <c r="E18" s="4" t="n">
        <f aca="false">(E6-D6)*Assumptions!$B$23/100</f>
        <v>4.39534725960002</v>
      </c>
      <c r="F18" s="4" t="n">
        <f aca="false">(F6-E6)*Assumptions!$B$23/100</f>
        <v>-4.307440314408</v>
      </c>
      <c r="G18" s="4" t="n">
        <f aca="false">(G6-F6)*Assumptions!$B$23/100</f>
        <v>-4.39358912069615</v>
      </c>
      <c r="H18" s="4" t="n">
        <f aca="false">(H6-G6)*Assumptions!$B$23/100</f>
        <v>-4.48146090311006</v>
      </c>
      <c r="I18" s="4" t="n">
        <f aca="false">(I6-H6)*Assumptions!$B$23/100</f>
        <v>-4.5710901211723</v>
      </c>
      <c r="J18" s="4" t="n">
        <f aca="false">(J6-I6)*Assumptions!$B$23/100</f>
        <v>-4.66251192359573</v>
      </c>
      <c r="K18" s="4" t="n">
        <f aca="false">(K6-J6)*Assumptions!$B$23/100</f>
        <v>-4.75576216206764</v>
      </c>
      <c r="L18" s="4" t="n">
        <f aca="false">(L6-K6)*Assumptions!$B$23/100</f>
        <v>-4.85087740530898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90.8041703360001</v>
      </c>
      <c r="D19" s="0" t="n">
        <f aca="false">D15+D16+D17+D18</f>
        <v>76.00210038036</v>
      </c>
      <c r="E19" s="0" t="n">
        <f aca="false">E15+E16+E17+E18</f>
        <v>79.3448087302993</v>
      </c>
      <c r="F19" s="0" t="n">
        <f aca="false">F15+F16+F17+F18</f>
        <v>94.9876738133252</v>
      </c>
      <c r="G19" s="0" t="n">
        <f aca="false">G15+G16+G17+G18</f>
        <v>104.95405691519</v>
      </c>
      <c r="H19" s="0" t="n">
        <f aca="false">H15+H16+H17+H18</f>
        <v>112.081337186783</v>
      </c>
      <c r="I19" s="0" t="n">
        <f aca="false">I15+I16+I17+I18</f>
        <v>112.92421035344</v>
      </c>
      <c r="J19" s="0" t="n">
        <f aca="false">J15+J16+J17+J18</f>
        <v>115.182694560509</v>
      </c>
      <c r="K19" s="0" t="n">
        <f aca="false">K15+K16+K17+K18</f>
        <v>117.486348451719</v>
      </c>
      <c r="L19" s="0" t="n">
        <f aca="false">L15+L16+L17+L18</f>
        <v>119.836075420753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82.5492457600001</v>
      </c>
      <c r="D21" s="0" t="n">
        <f aca="false">D19*D20</f>
        <v>62.8116532069091</v>
      </c>
      <c r="E21" s="0" t="n">
        <f aca="false">E19*E20</f>
        <v>59.6129291737785</v>
      </c>
      <c r="F21" s="0" t="n">
        <f aca="false">F19*F20</f>
        <v>64.8778593083294</v>
      </c>
      <c r="G21" s="0" t="n">
        <f aca="false">G19*G20</f>
        <v>65.1682118802055</v>
      </c>
      <c r="H21" s="0" t="n">
        <f aca="false">H19*H20</f>
        <v>63.266992887506</v>
      </c>
      <c r="I21" s="0" t="n">
        <f aca="false">I19*I20</f>
        <v>57.9479752876598</v>
      </c>
      <c r="J21" s="0" t="n">
        <f aca="false">J19*J20</f>
        <v>53.7335770849209</v>
      </c>
      <c r="K21" s="0" t="n">
        <f aca="false">K19*K20</f>
        <v>49.8256805696539</v>
      </c>
      <c r="L21" s="0" t="n">
        <f aca="false">L19*L20</f>
        <v>46.2019947100427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0.4</v>
      </c>
      <c r="D23" s="4" t="n">
        <f aca="false">Assumptions!D16</f>
        <v>0.4</v>
      </c>
      <c r="E23" s="4" t="n">
        <f aca="false">Assumptions!E16</f>
        <v>0.4</v>
      </c>
      <c r="F23" s="4" t="n">
        <f aca="false">Assumptions!F16</f>
        <v>0.4</v>
      </c>
      <c r="G23" s="4" t="n">
        <f aca="false">Assumptions!G16</f>
        <v>0.4</v>
      </c>
      <c r="H23" s="4" t="n">
        <f aca="false">Assumptions!H16</f>
        <v>0.4</v>
      </c>
      <c r="I23" s="4" t="n">
        <f aca="false">Assumptions!I16</f>
        <v>0.4</v>
      </c>
      <c r="J23" s="4" t="n">
        <f aca="false">Assumptions!J16</f>
        <v>0.4</v>
      </c>
      <c r="K23" s="4" t="n">
        <f aca="false">Assumptions!K16</f>
        <v>0.4</v>
      </c>
      <c r="L23" s="4" t="n">
        <f aca="false">Assumptions!L16</f>
        <v>0.4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-18.70360536</v>
      </c>
      <c r="D24" s="0" t="n">
        <f aca="false">-D6*D23/100</f>
        <v>-17.5813890384</v>
      </c>
      <c r="E24" s="0" t="n">
        <f aca="false">-E6*E23/100</f>
        <v>-17.229761257632</v>
      </c>
      <c r="F24" s="0" t="n">
        <f aca="false">-F6*F23/100</f>
        <v>-17.5743564827846</v>
      </c>
      <c r="G24" s="0" t="n">
        <f aca="false">-G6*G23/100</f>
        <v>-17.9258436124403</v>
      </c>
      <c r="H24" s="0" t="n">
        <f aca="false">-H6*H23/100</f>
        <v>-18.2843604846891</v>
      </c>
      <c r="I24" s="0" t="n">
        <f aca="false">-I6*I23/100</f>
        <v>-18.6500476943829</v>
      </c>
      <c r="J24" s="0" t="n">
        <f aca="false">-J6*J23/100</f>
        <v>-19.0230486482706</v>
      </c>
      <c r="K24" s="0" t="n">
        <f aca="false">-K6*K23/100</f>
        <v>-19.403509621236</v>
      </c>
      <c r="L24" s="0" t="n">
        <f aca="false">-L6*L23/100</f>
        <v>-19.7915798136607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605.996119869006</v>
      </c>
    </row>
    <row r="31" customFormat="false" ht="15" hidden="false" customHeight="false" outlineLevel="0" collapsed="false">
      <c r="A31" s="0" t="s">
        <v>131</v>
      </c>
      <c r="B31" s="0" t="n">
        <f aca="false">L19</f>
        <v>119.836075420753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1430.98372414194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1198.36075420753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1198.36075420753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462.019947100427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1068.01606696943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1527.59106696943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4.77640012094447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0.0794124567106136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4.77640012094447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900.989752237517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3.65503537594439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4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4584.217</v>
      </c>
      <c r="C6" s="0" t="n">
        <f aca="false">B6*(1+C5/100)</f>
        <v>4767.58568</v>
      </c>
      <c r="D6" s="0" t="n">
        <f aca="false">C6*(1+D5/100)</f>
        <v>4958.2891072</v>
      </c>
      <c r="E6" s="0" t="n">
        <f aca="false">D6*(1+E5/100)</f>
        <v>5156.620671488</v>
      </c>
      <c r="F6" s="0" t="n">
        <f aca="false">E6*(1+F5/100)</f>
        <v>5337.10239499008</v>
      </c>
      <c r="G6" s="0" t="n">
        <f aca="false">F6*(1+G5/100)</f>
        <v>5523.90097881473</v>
      </c>
      <c r="H6" s="0" t="n">
        <f aca="false">G6*(1+H5/100)</f>
        <v>5689.61800817917</v>
      </c>
      <c r="I6" s="0" t="n">
        <f aca="false">H6*(1+I5/100)</f>
        <v>5860.30654842455</v>
      </c>
      <c r="J6" s="0" t="n">
        <f aca="false">I6*(1+J5/100)</f>
        <v>6006.81421213516</v>
      </c>
      <c r="K6" s="0" t="n">
        <f aca="false">J6*(1+K5/100)</f>
        <v>6156.98456743854</v>
      </c>
      <c r="L6" s="0" t="n">
        <f aca="false">K6*(1+L5/100)</f>
        <v>6310.9091816245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10.9</v>
      </c>
      <c r="D7" s="4" t="n">
        <f aca="false">Assumptions!D28</f>
        <v>11</v>
      </c>
      <c r="E7" s="4" t="n">
        <f aca="false">Assumptions!E28</f>
        <v>11.1</v>
      </c>
      <c r="F7" s="4" t="n">
        <f aca="false">Assumptions!F28</f>
        <v>11.2</v>
      </c>
      <c r="G7" s="4" t="n">
        <f aca="false">Assumptions!G28</f>
        <v>11.3</v>
      </c>
      <c r="H7" s="4" t="n">
        <f aca="false">Assumptions!H28</f>
        <v>11.3</v>
      </c>
      <c r="I7" s="4" t="n">
        <f aca="false">Assumptions!I28</f>
        <v>11.3</v>
      </c>
      <c r="J7" s="4" t="n">
        <f aca="false">Assumptions!J28</f>
        <v>11.3</v>
      </c>
      <c r="K7" s="4" t="n">
        <f aca="false">Assumptions!K28</f>
        <v>11.3</v>
      </c>
      <c r="L7" s="4" t="n">
        <f aca="false">Assumptions!L28</f>
        <v>11.3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519.66683912</v>
      </c>
      <c r="D8" s="0" t="n">
        <f aca="false">D6*D7/100</f>
        <v>545.411801792</v>
      </c>
      <c r="E8" s="0" t="n">
        <f aca="false">E6*E7/100</f>
        <v>572.384894535168</v>
      </c>
      <c r="F8" s="0" t="n">
        <f aca="false">F6*F7/100</f>
        <v>597.755468238889</v>
      </c>
      <c r="G8" s="0" t="n">
        <f aca="false">G6*G7/100</f>
        <v>624.200810606065</v>
      </c>
      <c r="H8" s="0" t="n">
        <f aca="false">H6*H7/100</f>
        <v>642.926834924247</v>
      </c>
      <c r="I8" s="0" t="n">
        <f aca="false">I6*I7/100</f>
        <v>662.214639971974</v>
      </c>
      <c r="J8" s="0" t="n">
        <f aca="false">J6*J7/100</f>
        <v>678.770005971273</v>
      </c>
      <c r="K8" s="0" t="n">
        <f aca="false">K6*K7/100</f>
        <v>695.739256120555</v>
      </c>
      <c r="L8" s="0" t="n">
        <f aca="false">L6*L7/100</f>
        <v>713.132737523569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500.5964964</v>
      </c>
      <c r="D11" s="0" t="n">
        <f aca="false">D8+D10+D24</f>
        <v>525.5786453632</v>
      </c>
      <c r="E11" s="0" t="n">
        <f aca="false">E8+E10+E24</f>
        <v>551.758411849216</v>
      </c>
      <c r="F11" s="0" t="n">
        <f aca="false">F8+F10+F24</f>
        <v>576.407058658929</v>
      </c>
      <c r="G11" s="0" t="n">
        <f aca="false">G8+G10+G24</f>
        <v>602.105206690806</v>
      </c>
      <c r="H11" s="0" t="n">
        <f aca="false">H8+H10+H24</f>
        <v>620.16836289153</v>
      </c>
      <c r="I11" s="0" t="n">
        <f aca="false">I8+I10+I24</f>
        <v>638.773413778276</v>
      </c>
      <c r="J11" s="0" t="n">
        <f aca="false">J8+J10+J24</f>
        <v>654.742749122733</v>
      </c>
      <c r="K11" s="0" t="n">
        <f aca="false">K8+K10+K24</f>
        <v>671.111317850801</v>
      </c>
      <c r="L11" s="0" t="n">
        <f aca="false">L8+L10+L24</f>
        <v>687.889100797071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-281.28755512</v>
      </c>
      <c r="D12" s="4" t="n">
        <f aca="false">-D6*Assumptions!D31/100</f>
        <v>-292.5390573248</v>
      </c>
      <c r="E12" s="4" t="n">
        <f aca="false">-E6*Assumptions!E31/100</f>
        <v>-304.240619617792</v>
      </c>
      <c r="F12" s="4" t="n">
        <f aca="false">-F6*Assumptions!F31/100</f>
        <v>-314.889041304415</v>
      </c>
      <c r="G12" s="4" t="n">
        <f aca="false">-G6*Assumptions!G31/100</f>
        <v>-325.910157750069</v>
      </c>
      <c r="H12" s="4" t="n">
        <f aca="false">-H6*Assumptions!H31/100</f>
        <v>-335.687462482571</v>
      </c>
      <c r="I12" s="4" t="n">
        <f aca="false">-I6*Assumptions!I31/100</f>
        <v>-345.758086357048</v>
      </c>
      <c r="J12" s="4" t="n">
        <f aca="false">-J6*Assumptions!J31/100</f>
        <v>-354.402038515975</v>
      </c>
      <c r="K12" s="4" t="n">
        <f aca="false">-K6*Assumptions!K31/100</f>
        <v>-363.262089478874</v>
      </c>
      <c r="L12" s="4" t="n">
        <f aca="false">-L6*Assumptions!L31/100</f>
        <v>-372.343641715846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219.30894128</v>
      </c>
      <c r="D13" s="0" t="n">
        <f aca="false">D11+D12</f>
        <v>233.0395880384</v>
      </c>
      <c r="E13" s="0" t="n">
        <f aca="false">E11+E12</f>
        <v>247.517792231424</v>
      </c>
      <c r="F13" s="0" t="n">
        <f aca="false">F11+F12</f>
        <v>261.518017354514</v>
      </c>
      <c r="G13" s="0" t="n">
        <f aca="false">G11+G12</f>
        <v>276.195048940737</v>
      </c>
      <c r="H13" s="0" t="n">
        <f aca="false">H11+H12</f>
        <v>284.480900408959</v>
      </c>
      <c r="I13" s="0" t="n">
        <f aca="false">I11+I12</f>
        <v>293.015327421228</v>
      </c>
      <c r="J13" s="0" t="n">
        <f aca="false">J11+J12</f>
        <v>300.340710606758</v>
      </c>
      <c r="K13" s="0" t="n">
        <f aca="false">K11+K12</f>
        <v>307.849228371927</v>
      </c>
      <c r="L13" s="0" t="n">
        <f aca="false">L11+L12</f>
        <v>315.545459081225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30</v>
      </c>
      <c r="D14" s="4" t="n">
        <f aca="false">Assumptions!D33</f>
        <v>29</v>
      </c>
      <c r="E14" s="4" t="n">
        <f aca="false">Assumptions!E33</f>
        <v>28</v>
      </c>
      <c r="F14" s="4" t="n">
        <f aca="false">Assumptions!F33</f>
        <v>27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153.516258896</v>
      </c>
      <c r="D15" s="0" t="n">
        <f aca="false">D13-MAX(0,D13)*D14/100</f>
        <v>165.458107507264</v>
      </c>
      <c r="E15" s="0" t="n">
        <f aca="false">E13-MAX(0,E13)*E14/100</f>
        <v>178.212810406625</v>
      </c>
      <c r="F15" s="0" t="n">
        <f aca="false">F13-MAX(0,F13)*F14/100</f>
        <v>190.908152668795</v>
      </c>
      <c r="G15" s="0" t="n">
        <f aca="false">G13-MAX(0,G13)*G14/100</f>
        <v>204.384336216145</v>
      </c>
      <c r="H15" s="0" t="n">
        <f aca="false">H13-MAX(0,H13)*H14/100</f>
        <v>210.51586630263</v>
      </c>
      <c r="I15" s="0" t="n">
        <f aca="false">I13-MAX(0,I13)*I14/100</f>
        <v>216.831342291708</v>
      </c>
      <c r="J15" s="0" t="n">
        <f aca="false">J13-MAX(0,J13)*J14/100</f>
        <v>222.252125849001</v>
      </c>
      <c r="K15" s="0" t="n">
        <f aca="false">K13-MAX(0,K13)*K14/100</f>
        <v>227.808428995226</v>
      </c>
      <c r="L15" s="0" t="n">
        <f aca="false">L13-MAX(0,L13)*L14/100</f>
        <v>233.503639720107</v>
      </c>
    </row>
    <row r="16" customFormat="false" ht="15" hidden="false" customHeight="false" outlineLevel="0" collapsed="false">
      <c r="A16" s="0" t="s">
        <v>122</v>
      </c>
      <c r="C16" s="0" t="n">
        <f aca="false">-C12</f>
        <v>281.28755512</v>
      </c>
      <c r="D16" s="0" t="n">
        <f aca="false">-D12</f>
        <v>292.5390573248</v>
      </c>
      <c r="E16" s="0" t="n">
        <f aca="false">-E12</f>
        <v>304.240619617792</v>
      </c>
      <c r="F16" s="0" t="n">
        <f aca="false">-F12</f>
        <v>314.889041304415</v>
      </c>
      <c r="G16" s="0" t="n">
        <f aca="false">-G12</f>
        <v>325.910157750069</v>
      </c>
      <c r="H16" s="0" t="n">
        <f aca="false">-H12</f>
        <v>335.687462482571</v>
      </c>
      <c r="I16" s="0" t="n">
        <f aca="false">-I12</f>
        <v>345.758086357048</v>
      </c>
      <c r="J16" s="0" t="n">
        <f aca="false">-J12</f>
        <v>354.402038515975</v>
      </c>
      <c r="K16" s="0" t="n">
        <f aca="false">-K12</f>
        <v>363.262089478874</v>
      </c>
      <c r="L16" s="0" t="n">
        <f aca="false">-L12</f>
        <v>372.343641715846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-324.19582624</v>
      </c>
      <c r="D17" s="4" t="n">
        <f aca="false">-D6*Assumptions!D32/100</f>
        <v>-327.2470810752</v>
      </c>
      <c r="E17" s="4" t="n">
        <f aca="false">-E6*Assumptions!E32/100</f>
        <v>-330.023722975232</v>
      </c>
      <c r="F17" s="4" t="n">
        <f aca="false">-F6*Assumptions!F32/100</f>
        <v>-330.900348489385</v>
      </c>
      <c r="G17" s="4" t="n">
        <f aca="false">-G6*Assumptions!G32/100</f>
        <v>-331.434058728884</v>
      </c>
      <c r="H17" s="4" t="n">
        <f aca="false">-H6*Assumptions!H32/100</f>
        <v>-341.37708049075</v>
      </c>
      <c r="I17" s="4" t="n">
        <f aca="false">-I6*Assumptions!I32/100</f>
        <v>-351.618392905473</v>
      </c>
      <c r="J17" s="4" t="n">
        <f aca="false">-J6*Assumptions!J32/100</f>
        <v>-360.40885272811</v>
      </c>
      <c r="K17" s="4" t="n">
        <f aca="false">-K6*Assumptions!K32/100</f>
        <v>-369.419074046312</v>
      </c>
      <c r="L17" s="4" t="n">
        <f aca="false">-L6*Assumptions!L32/100</f>
        <v>-378.65455089747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-9.16843400000002</v>
      </c>
      <c r="D18" s="4" t="n">
        <f aca="false">(D6-C6)*Assumptions!$B$37/100</f>
        <v>-9.53517136</v>
      </c>
      <c r="E18" s="4" t="n">
        <f aca="false">(E6-D6)*Assumptions!$B$37/100</f>
        <v>-9.91657821439999</v>
      </c>
      <c r="F18" s="4" t="n">
        <f aca="false">(F6-E6)*Assumptions!$B$37/100</f>
        <v>-9.02408617510396</v>
      </c>
      <c r="G18" s="4" t="n">
        <f aca="false">(G6-F6)*Assumptions!$B$37/100</f>
        <v>-9.33992919123261</v>
      </c>
      <c r="H18" s="4" t="n">
        <f aca="false">(H6-G6)*Assumptions!$B$37/100</f>
        <v>-8.28585146822211</v>
      </c>
      <c r="I18" s="4" t="n">
        <f aca="false">(I6-H6)*Assumptions!$B$37/100</f>
        <v>-8.53442701226877</v>
      </c>
      <c r="J18" s="4" t="n">
        <f aca="false">(J6-I6)*Assumptions!$B$37/100</f>
        <v>-7.32538318553065</v>
      </c>
      <c r="K18" s="4" t="n">
        <f aca="false">(K6-J6)*Assumptions!$B$37/100</f>
        <v>-7.50851776516893</v>
      </c>
      <c r="L18" s="4" t="n">
        <f aca="false">(L6-K6)*Assumptions!$B$37/100</f>
        <v>-7.69623070929815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101.439553776</v>
      </c>
      <c r="D19" s="0" t="n">
        <f aca="false">D15+D16+D17+D18</f>
        <v>121.214912396864</v>
      </c>
      <c r="E19" s="0" t="n">
        <f aca="false">E15+E16+E17+E18</f>
        <v>142.513128834785</v>
      </c>
      <c r="F19" s="0" t="n">
        <f aca="false">F15+F16+F17+F18</f>
        <v>165.872759308721</v>
      </c>
      <c r="G19" s="0" t="n">
        <f aca="false">G15+G16+G17+G18</f>
        <v>189.520506046098</v>
      </c>
      <c r="H19" s="0" t="n">
        <f aca="false">H15+H16+H17+H18</f>
        <v>196.540396826228</v>
      </c>
      <c r="I19" s="0" t="n">
        <f aca="false">I15+I16+I17+I18</f>
        <v>202.436608731015</v>
      </c>
      <c r="J19" s="0" t="n">
        <f aca="false">J15+J16+J17+J18</f>
        <v>208.919928451335</v>
      </c>
      <c r="K19" s="0" t="n">
        <f aca="false">K15+K16+K17+K18</f>
        <v>214.142926662619</v>
      </c>
      <c r="L19" s="0" t="n">
        <f aca="false">L15+L16+L17+L18</f>
        <v>219.496499829184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92.21777616</v>
      </c>
      <c r="D21" s="0" t="n">
        <f aca="false">D19*D20</f>
        <v>100.177613551127</v>
      </c>
      <c r="E21" s="0" t="n">
        <f aca="false">E19*E20</f>
        <v>107.072223016368</v>
      </c>
      <c r="F21" s="0" t="n">
        <f aca="false">F19*F20</f>
        <v>113.293326486388</v>
      </c>
      <c r="G21" s="0" t="n">
        <f aca="false">G19*G20</f>
        <v>117.677323360984</v>
      </c>
      <c r="H21" s="0" t="n">
        <f aca="false">H19*H20</f>
        <v>110.94193021083</v>
      </c>
      <c r="I21" s="0" t="n">
        <f aca="false">I19*I20</f>
        <v>103.881989197413</v>
      </c>
      <c r="J21" s="0" t="n">
        <f aca="false">J19*J20</f>
        <v>97.4626884954372</v>
      </c>
      <c r="K21" s="0" t="n">
        <f aca="false">K19*K20</f>
        <v>90.8175051889301</v>
      </c>
      <c r="L21" s="0" t="n">
        <f aca="false">L19*L20</f>
        <v>84.6254025624122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0.4</v>
      </c>
      <c r="D23" s="4" t="n">
        <f aca="false">Assumptions!D30</f>
        <v>0.4</v>
      </c>
      <c r="E23" s="4" t="n">
        <f aca="false">Assumptions!E30</f>
        <v>0.4</v>
      </c>
      <c r="F23" s="4" t="n">
        <f aca="false">Assumptions!F30</f>
        <v>0.4</v>
      </c>
      <c r="G23" s="4" t="n">
        <f aca="false">Assumptions!G30</f>
        <v>0.4</v>
      </c>
      <c r="H23" s="4" t="n">
        <f aca="false">Assumptions!H30</f>
        <v>0.4</v>
      </c>
      <c r="I23" s="4" t="n">
        <f aca="false">Assumptions!I30</f>
        <v>0.4</v>
      </c>
      <c r="J23" s="4" t="n">
        <f aca="false">Assumptions!J30</f>
        <v>0.4</v>
      </c>
      <c r="K23" s="4" t="n">
        <f aca="false">Assumptions!K30</f>
        <v>0.4</v>
      </c>
      <c r="L23" s="4" t="n">
        <f aca="false">Assumptions!L30</f>
        <v>0.4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-19.07034272</v>
      </c>
      <c r="D24" s="0" t="n">
        <f aca="false">-D6*D23/100</f>
        <v>-19.8331564288</v>
      </c>
      <c r="E24" s="0" t="n">
        <f aca="false">-E6*E23/100</f>
        <v>-20.626482685952</v>
      </c>
      <c r="F24" s="0" t="n">
        <f aca="false">-F6*F23/100</f>
        <v>-21.3484095799603</v>
      </c>
      <c r="G24" s="0" t="n">
        <f aca="false">-G6*G23/100</f>
        <v>-22.0956039152589</v>
      </c>
      <c r="H24" s="0" t="n">
        <f aca="false">-H6*H23/100</f>
        <v>-22.7584720327167</v>
      </c>
      <c r="I24" s="0" t="n">
        <f aca="false">-I6*I23/100</f>
        <v>-23.4412261936982</v>
      </c>
      <c r="J24" s="0" t="n">
        <f aca="false">-J6*J23/100</f>
        <v>-24.0272568485407</v>
      </c>
      <c r="K24" s="0" t="n">
        <f aca="false">-K6*K23/100</f>
        <v>-24.6279382697542</v>
      </c>
      <c r="L24" s="0" t="n">
        <f aca="false">-L6*L23/100</f>
        <v>-25.243636726498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1018.16777822989</v>
      </c>
    </row>
    <row r="31" customFormat="false" ht="15" hidden="false" customHeight="false" outlineLevel="0" collapsed="false">
      <c r="A31" s="0" t="s">
        <v>131</v>
      </c>
      <c r="B31" s="0" t="n">
        <f aca="false">L19</f>
        <v>219.496499829184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2798.5803728221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2633.95799795021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2633.95799795021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1015.50483074895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2033.67260897884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2493.24760897884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7.79576971780584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0.761755868430697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7.79576971780584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1722.20330635206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5.29174260209656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6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4584.217</v>
      </c>
      <c r="C6" s="0" t="n">
        <f aca="false">B6*(1+C5/100)</f>
        <v>4859.27002</v>
      </c>
      <c r="D6" s="0" t="n">
        <f aca="false">C6*(1+D5/100)</f>
        <v>5150.8262212</v>
      </c>
      <c r="E6" s="0" t="n">
        <f aca="false">D6*(1+E5/100)</f>
        <v>5459.875794472</v>
      </c>
      <c r="F6" s="0" t="n">
        <f aca="false">E6*(1+F5/100)</f>
        <v>5732.8695841956</v>
      </c>
      <c r="G6" s="0" t="n">
        <f aca="false">F6*(1+G5/100)</f>
        <v>6019.51306340538</v>
      </c>
      <c r="H6" s="0" t="n">
        <f aca="false">G6*(1+H5/100)</f>
        <v>6260.2935859416</v>
      </c>
      <c r="I6" s="0" t="n">
        <f aca="false">H6*(1+I5/100)</f>
        <v>6510.70532937926</v>
      </c>
      <c r="J6" s="0" t="n">
        <f aca="false">I6*(1+J5/100)</f>
        <v>6706.02648926064</v>
      </c>
      <c r="K6" s="0" t="n">
        <f aca="false">J6*(1+K5/100)</f>
        <v>6907.20728393846</v>
      </c>
      <c r="L6" s="0" t="n">
        <f aca="false">K6*(1+L5/100)</f>
        <v>7114.42350245661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11.2</v>
      </c>
      <c r="D7" s="4" t="n">
        <f aca="false">Assumptions!D42</f>
        <v>11.6</v>
      </c>
      <c r="E7" s="4" t="n">
        <f aca="false">Assumptions!E42</f>
        <v>12</v>
      </c>
      <c r="F7" s="4" t="n">
        <f aca="false">Assumptions!F42</f>
        <v>12.3</v>
      </c>
      <c r="G7" s="4" t="n">
        <f aca="false">Assumptions!G42</f>
        <v>12.5</v>
      </c>
      <c r="H7" s="4" t="n">
        <f aca="false">Assumptions!H42</f>
        <v>12.5</v>
      </c>
      <c r="I7" s="4" t="n">
        <f aca="false">Assumptions!I42</f>
        <v>12.5</v>
      </c>
      <c r="J7" s="4" t="n">
        <f aca="false">Assumptions!J42</f>
        <v>12.5</v>
      </c>
      <c r="K7" s="4" t="n">
        <f aca="false">Assumptions!K42</f>
        <v>12.5</v>
      </c>
      <c r="L7" s="4" t="n">
        <f aca="false">Assumptions!L42</f>
        <v>12.5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544.23824224</v>
      </c>
      <c r="D8" s="0" t="n">
        <f aca="false">D6*D7/100</f>
        <v>597.4958416592</v>
      </c>
      <c r="E8" s="0" t="n">
        <f aca="false">E6*E7/100</f>
        <v>655.18509533664</v>
      </c>
      <c r="F8" s="0" t="n">
        <f aca="false">F6*F7/100</f>
        <v>705.142958856059</v>
      </c>
      <c r="G8" s="0" t="n">
        <f aca="false">G6*G7/100</f>
        <v>752.439132925673</v>
      </c>
      <c r="H8" s="0" t="n">
        <f aca="false">H6*H7/100</f>
        <v>782.5366982427</v>
      </c>
      <c r="I8" s="0" t="n">
        <f aca="false">I6*I7/100</f>
        <v>813.838166172408</v>
      </c>
      <c r="J8" s="0" t="n">
        <f aca="false">J6*J7/100</f>
        <v>838.25331115758</v>
      </c>
      <c r="K8" s="0" t="n">
        <f aca="false">K6*K7/100</f>
        <v>863.400910492307</v>
      </c>
      <c r="L8" s="0" t="n">
        <f aca="false">L6*L7/100</f>
        <v>889.302937807076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524.80116216</v>
      </c>
      <c r="D11" s="0" t="n">
        <f aca="false">D8+D10+D24</f>
        <v>576.8925367744</v>
      </c>
      <c r="E11" s="0" t="n">
        <f aca="false">E8+E10+E24</f>
        <v>633.345592158752</v>
      </c>
      <c r="F11" s="0" t="n">
        <f aca="false">F8+F10+F24</f>
        <v>682.211480519276</v>
      </c>
      <c r="G11" s="0" t="n">
        <f aca="false">G8+G10+G24</f>
        <v>728.361080672051</v>
      </c>
      <c r="H11" s="0" t="n">
        <f aca="false">H8+H10+H24</f>
        <v>757.495523898933</v>
      </c>
      <c r="I11" s="0" t="n">
        <f aca="false">I8+I10+I24</f>
        <v>787.795344854891</v>
      </c>
      <c r="J11" s="0" t="n">
        <f aca="false">J8+J10+J24</f>
        <v>811.429205200537</v>
      </c>
      <c r="K11" s="0" t="n">
        <f aca="false">K8+K10+K24</f>
        <v>835.772081356553</v>
      </c>
      <c r="L11" s="0" t="n">
        <f aca="false">L8+L10+L24</f>
        <v>860.84524379725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-286.69693118</v>
      </c>
      <c r="D12" s="4" t="n">
        <f aca="false">-D6*Assumptions!D45/100</f>
        <v>-303.8987470508</v>
      </c>
      <c r="E12" s="4" t="n">
        <f aca="false">-E6*Assumptions!E45/100</f>
        <v>-322.132671873848</v>
      </c>
      <c r="F12" s="4" t="n">
        <f aca="false">-F6*Assumptions!F45/100</f>
        <v>-338.239305467541</v>
      </c>
      <c r="G12" s="4" t="n">
        <f aca="false">-G6*Assumptions!G45/100</f>
        <v>-355.151270740918</v>
      </c>
      <c r="H12" s="4" t="n">
        <f aca="false">-H6*Assumptions!H45/100</f>
        <v>-369.357321570554</v>
      </c>
      <c r="I12" s="4" t="n">
        <f aca="false">-I6*Assumptions!I45/100</f>
        <v>-384.131614433376</v>
      </c>
      <c r="J12" s="4" t="n">
        <f aca="false">-J6*Assumptions!J45/100</f>
        <v>-395.655562866378</v>
      </c>
      <c r="K12" s="4" t="n">
        <f aca="false">-K6*Assumptions!K45/100</f>
        <v>-407.525229752369</v>
      </c>
      <c r="L12" s="4" t="n">
        <f aca="false">-L6*Assumptions!L45/100</f>
        <v>-419.75098664494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238.10423098</v>
      </c>
      <c r="D13" s="0" t="n">
        <f aca="false">D11+D12</f>
        <v>272.9937897236</v>
      </c>
      <c r="E13" s="0" t="n">
        <f aca="false">E11+E12</f>
        <v>311.212920284904</v>
      </c>
      <c r="F13" s="0" t="n">
        <f aca="false">F11+F12</f>
        <v>343.972175051736</v>
      </c>
      <c r="G13" s="0" t="n">
        <f aca="false">G11+G12</f>
        <v>373.209809931134</v>
      </c>
      <c r="H13" s="0" t="n">
        <f aca="false">H11+H12</f>
        <v>388.138202328379</v>
      </c>
      <c r="I13" s="0" t="n">
        <f aca="false">I11+I12</f>
        <v>403.663730421514</v>
      </c>
      <c r="J13" s="0" t="n">
        <f aca="false">J11+J12</f>
        <v>415.77364233416</v>
      </c>
      <c r="K13" s="0" t="n">
        <f aca="false">K11+K12</f>
        <v>428.246851604184</v>
      </c>
      <c r="L13" s="0" t="n">
        <f aca="false">L11+L12</f>
        <v>441.09425715231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30</v>
      </c>
      <c r="D14" s="4" t="n">
        <f aca="false">Assumptions!D47</f>
        <v>28</v>
      </c>
      <c r="E14" s="4" t="n">
        <f aca="false">Assumptions!E47</f>
        <v>26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166.672961686</v>
      </c>
      <c r="D15" s="0" t="n">
        <f aca="false">D13-MAX(0,D13)*D14/100</f>
        <v>196.555528600992</v>
      </c>
      <c r="E15" s="0" t="n">
        <f aca="false">E13-MAX(0,E13)*E14/100</f>
        <v>230.297561010829</v>
      </c>
      <c r="F15" s="0" t="n">
        <f aca="false">F13-MAX(0,F13)*F14/100</f>
        <v>257.979131288802</v>
      </c>
      <c r="G15" s="0" t="n">
        <f aca="false">G13-MAX(0,G13)*G14/100</f>
        <v>279.90735744835</v>
      </c>
      <c r="H15" s="0" t="n">
        <f aca="false">H13-MAX(0,H13)*H14/100</f>
        <v>291.103651746284</v>
      </c>
      <c r="I15" s="0" t="n">
        <f aca="false">I13-MAX(0,I13)*I14/100</f>
        <v>302.747797816136</v>
      </c>
      <c r="J15" s="0" t="n">
        <f aca="false">J13-MAX(0,J13)*J14/100</f>
        <v>311.83023175062</v>
      </c>
      <c r="K15" s="0" t="n">
        <f aca="false">K13-MAX(0,K13)*K14/100</f>
        <v>321.185138703138</v>
      </c>
      <c r="L15" s="0" t="n">
        <f aca="false">L13-MAX(0,L13)*L14/100</f>
        <v>330.820692864232</v>
      </c>
    </row>
    <row r="16" customFormat="false" ht="15" hidden="false" customHeight="false" outlineLevel="0" collapsed="false">
      <c r="A16" s="0" t="s">
        <v>122</v>
      </c>
      <c r="C16" s="0" t="n">
        <f aca="false">-C12</f>
        <v>286.69693118</v>
      </c>
      <c r="D16" s="0" t="n">
        <f aca="false">-D12</f>
        <v>303.8987470508</v>
      </c>
      <c r="E16" s="0" t="n">
        <f aca="false">-E12</f>
        <v>322.132671873848</v>
      </c>
      <c r="F16" s="0" t="n">
        <f aca="false">-F12</f>
        <v>338.239305467541</v>
      </c>
      <c r="G16" s="0" t="n">
        <f aca="false">-G12</f>
        <v>355.151270740918</v>
      </c>
      <c r="H16" s="0" t="n">
        <f aca="false">-H12</f>
        <v>369.357321570554</v>
      </c>
      <c r="I16" s="0" t="n">
        <f aca="false">-I12</f>
        <v>384.131614433376</v>
      </c>
      <c r="J16" s="0" t="n">
        <f aca="false">-J12</f>
        <v>395.655562866378</v>
      </c>
      <c r="K16" s="0" t="n">
        <f aca="false">-K12</f>
        <v>407.525229752369</v>
      </c>
      <c r="L16" s="0" t="n">
        <f aca="false">-L12</f>
        <v>419.75098664494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-330.43036136</v>
      </c>
      <c r="D17" s="4" t="n">
        <f aca="false">-D6*Assumptions!D46/100</f>
        <v>-334.803704378</v>
      </c>
      <c r="E17" s="4" t="n">
        <f aca="false">-E6*Assumptions!E46/100</f>
        <v>-338.512299257264</v>
      </c>
      <c r="F17" s="4" t="n">
        <f aca="false">-F6*Assumptions!F46/100</f>
        <v>-343.972175051736</v>
      </c>
      <c r="G17" s="4" t="n">
        <f aca="false">-G6*Assumptions!G46/100</f>
        <v>-349.131757677512</v>
      </c>
      <c r="H17" s="4" t="n">
        <f aca="false">-H6*Assumptions!H46/100</f>
        <v>-363.097027984613</v>
      </c>
      <c r="I17" s="4" t="n">
        <f aca="false">-I6*Assumptions!I46/100</f>
        <v>-377.620909103997</v>
      </c>
      <c r="J17" s="4" t="n">
        <f aca="false">-J6*Assumptions!J46/100</f>
        <v>-388.949536377117</v>
      </c>
      <c r="K17" s="4" t="n">
        <f aca="false">-K6*Assumptions!K46/100</f>
        <v>-400.618022468431</v>
      </c>
      <c r="L17" s="4" t="n">
        <f aca="false">-L6*Assumptions!L46/100</f>
        <v>-412.636563142483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-13.752651</v>
      </c>
      <c r="D18" s="4" t="n">
        <f aca="false">(D6-C6)*Assumptions!$B$51/100</f>
        <v>-14.57781006</v>
      </c>
      <c r="E18" s="4" t="n">
        <f aca="false">(E6-D6)*Assumptions!$B$51/100</f>
        <v>-15.4524786636</v>
      </c>
      <c r="F18" s="4" t="n">
        <f aca="false">(F6-E6)*Assumptions!$B$51/100</f>
        <v>-13.64968948618</v>
      </c>
      <c r="G18" s="4" t="n">
        <f aca="false">(G6-F6)*Assumptions!$B$51/100</f>
        <v>-14.332173960489</v>
      </c>
      <c r="H18" s="4" t="n">
        <f aca="false">(H6-G6)*Assumptions!$B$51/100</f>
        <v>-12.0390261268108</v>
      </c>
      <c r="I18" s="4" t="n">
        <f aca="false">(I6-H6)*Assumptions!$B$51/100</f>
        <v>-12.5205871718832</v>
      </c>
      <c r="J18" s="4" t="n">
        <f aca="false">(J6-I6)*Assumptions!$B$51/100</f>
        <v>-9.76605799406889</v>
      </c>
      <c r="K18" s="4" t="n">
        <f aca="false">(K6-J6)*Assumptions!$B$51/100</f>
        <v>-10.059039733891</v>
      </c>
      <c r="L18" s="4" t="n">
        <f aca="false">(L6-K6)*Assumptions!$B$51/100</f>
        <v>-10.3608109259077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109.186880506</v>
      </c>
      <c r="D19" s="0" t="n">
        <f aca="false">D15+D16+D17+D18</f>
        <v>151.072761213792</v>
      </c>
      <c r="E19" s="0" t="n">
        <f aca="false">E15+E16+E17+E18</f>
        <v>198.465454963813</v>
      </c>
      <c r="F19" s="0" t="n">
        <f aca="false">F15+F16+F17+F18</f>
        <v>238.596572218426</v>
      </c>
      <c r="G19" s="0" t="n">
        <f aca="false">G15+G16+G17+G18</f>
        <v>271.594696551267</v>
      </c>
      <c r="H19" s="0" t="n">
        <f aca="false">H15+H16+H17+H18</f>
        <v>285.324919205415</v>
      </c>
      <c r="I19" s="0" t="n">
        <f aca="false">I15+I16+I17+I18</f>
        <v>296.737915973632</v>
      </c>
      <c r="J19" s="0" t="n">
        <f aca="false">J15+J16+J17+J18</f>
        <v>308.770200245811</v>
      </c>
      <c r="K19" s="0" t="n">
        <f aca="false">K15+K16+K17+K18</f>
        <v>318.033306253186</v>
      </c>
      <c r="L19" s="0" t="n">
        <f aca="false">L15+L16+L17+L18</f>
        <v>327.574305440781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99.26080046</v>
      </c>
      <c r="D21" s="0" t="n">
        <f aca="false">D19*D20</f>
        <v>124.853521664291</v>
      </c>
      <c r="E21" s="0" t="n">
        <f aca="false">E19*E20</f>
        <v>149.110033781978</v>
      </c>
      <c r="F21" s="0" t="n">
        <f aca="false">F19*F20</f>
        <v>162.964669229169</v>
      </c>
      <c r="G21" s="0" t="n">
        <f aca="false">G19*G20</f>
        <v>168.638938318462</v>
      </c>
      <c r="H21" s="0" t="n">
        <f aca="false">H19*H20</f>
        <v>161.058478486157</v>
      </c>
      <c r="I21" s="0" t="n">
        <f aca="false">I19*I20</f>
        <v>152.27347056873</v>
      </c>
      <c r="J21" s="0" t="n">
        <f aca="false">J19*J20</f>
        <v>144.043577203508</v>
      </c>
      <c r="K21" s="0" t="n">
        <f aca="false">K19*K20</f>
        <v>134.877167745103</v>
      </c>
      <c r="L21" s="0" t="n">
        <f aca="false">L19*L20</f>
        <v>126.294075252233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0.4</v>
      </c>
      <c r="D23" s="4" t="n">
        <f aca="false">Assumptions!D44</f>
        <v>0.4</v>
      </c>
      <c r="E23" s="4" t="n">
        <f aca="false">Assumptions!E44</f>
        <v>0.4</v>
      </c>
      <c r="F23" s="4" t="n">
        <f aca="false">Assumptions!F44</f>
        <v>0.4</v>
      </c>
      <c r="G23" s="4" t="n">
        <f aca="false">Assumptions!G44</f>
        <v>0.4</v>
      </c>
      <c r="H23" s="4" t="n">
        <f aca="false">Assumptions!H44</f>
        <v>0.4</v>
      </c>
      <c r="I23" s="4" t="n">
        <f aca="false">Assumptions!I44</f>
        <v>0.4</v>
      </c>
      <c r="J23" s="4" t="n">
        <f aca="false">Assumptions!J44</f>
        <v>0.4</v>
      </c>
      <c r="K23" s="4" t="n">
        <f aca="false">Assumptions!K44</f>
        <v>0.4</v>
      </c>
      <c r="L23" s="4" t="n">
        <f aca="false">Assumptions!L44</f>
        <v>0.4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-19.43708008</v>
      </c>
      <c r="D24" s="0" t="n">
        <f aca="false">-D6*D23/100</f>
        <v>-20.6033048848</v>
      </c>
      <c r="E24" s="0" t="n">
        <f aca="false">-E6*E23/100</f>
        <v>-21.839503177888</v>
      </c>
      <c r="F24" s="0" t="n">
        <f aca="false">-F6*F23/100</f>
        <v>-22.9314783367824</v>
      </c>
      <c r="G24" s="0" t="n">
        <f aca="false">-G6*G23/100</f>
        <v>-24.0780522536215</v>
      </c>
      <c r="H24" s="0" t="n">
        <f aca="false">-H6*H23/100</f>
        <v>-25.0411743437664</v>
      </c>
      <c r="I24" s="0" t="n">
        <f aca="false">-I6*I23/100</f>
        <v>-26.042821317517</v>
      </c>
      <c r="J24" s="0" t="n">
        <f aca="false">-J6*J23/100</f>
        <v>-26.8241059570426</v>
      </c>
      <c r="K24" s="0" t="n">
        <f aca="false">-K6*K23/100</f>
        <v>-27.6288291357538</v>
      </c>
      <c r="L24" s="0" t="n">
        <f aca="false">-L6*L23/100</f>
        <v>-28.4576940098264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1423.37473270963</v>
      </c>
    </row>
    <row r="31" customFormat="false" ht="15" hidden="false" customHeight="false" outlineLevel="0" collapsed="false">
      <c r="A31" s="0" t="s">
        <v>131</v>
      </c>
      <c r="B31" s="0" t="n">
        <f aca="false">L19</f>
        <v>327.574305440781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4476.84884102401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3930.89166528938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3930.89166528938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1515.5289030268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2938.90363573643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3398.47863573643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10.6262036468713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1.40140195409521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10.6262036468713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2686.10930461441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7.00981639895827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4.77640012094447</v>
      </c>
      <c r="C4" s="0" t="n">
        <f aca="false">B4/Assumptions!$B$2-1</f>
        <v>0.0794124567106136</v>
      </c>
      <c r="D4" s="4" t="n">
        <f aca="false">Assumptions!$B$24</f>
        <v>0.3</v>
      </c>
      <c r="E4" s="4" t="n">
        <f aca="false">DCF_Bear!$B$43</f>
        <v>4.77640012094447</v>
      </c>
      <c r="F4" s="4" t="n">
        <f aca="false">DCF_Bear!$B$47</f>
        <v>3.65503537594439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7.79576971780584</v>
      </c>
      <c r="C5" s="0" t="n">
        <f aca="false">B5/Assumptions!$B$2-1</f>
        <v>0.761755868430697</v>
      </c>
      <c r="D5" s="4" t="n">
        <f aca="false">Assumptions!$B$38</f>
        <v>0.5</v>
      </c>
      <c r="E5" s="4" t="n">
        <f aca="false">DCF_Base!$B$43</f>
        <v>7.79576971780584</v>
      </c>
      <c r="F5" s="4" t="n">
        <f aca="false">DCF_Base!$B$47</f>
        <v>5.29174260209656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10.6262036468713</v>
      </c>
      <c r="C6" s="0" t="n">
        <f aca="false">B6/Assumptions!$B$2-1</f>
        <v>1.40140195409521</v>
      </c>
      <c r="D6" s="4" t="n">
        <f aca="false">Assumptions!$B$52</f>
        <v>0.2</v>
      </c>
      <c r="E6" s="4" t="n">
        <f aca="false">DCF_Bull!$B$43</f>
        <v>10.6262036468713</v>
      </c>
      <c r="F6" s="4" t="n">
        <f aca="false">DCF_Bull!$B$47</f>
        <v>7.00981639895827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7.45604562456052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7.45604562456052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0.406521871939213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5.14434519362325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8.26119640099958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7.79576971780584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7.20918011900223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6.58320124833748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5.29174260209656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8.77095846836601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8.77095846836601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8.77095846836601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8.77095846836601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8.77095846836601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8.26119640099958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8.26119640099958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8.26119640099958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8.26119640099958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8.26119640099958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7.5899675861273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7.7802048507041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7.79576971780584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7.79576971780584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7.79576971780584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6.91107332679492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7.05228180731417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7.20918011900223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7.37031892560078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7.37031892560078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6.35820965015107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6.46534850643031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6.58320124833748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6.71345954202435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6.8581909794542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2026-10-16T08:56:23Z</dcterms:created>
  <dc:creator>openpyxl</dc:creator>
  <dc:description/>
  <dc:language>en-NZ</dc:language>
  <cp:lastModifiedBy/>
  <dcterms:modified xsi:type="dcterms:W3CDTF">2026-10-16T08:56:23Z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