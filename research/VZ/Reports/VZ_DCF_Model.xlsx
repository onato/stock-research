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<sst xmlns="http://schemas.openxmlformats.org/spreadsheetml/2006/main" count="390" uniqueCount="175">
  <si>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</si>
  <si>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VZ</t>
  </si>
  <si>
    <t xml:space="preserve">Company</t>
  </si>
  <si>
    <t xml:space="preserve">Verizon Communications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</si>
  <si>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</si>
  <si>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</si>
  <si>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</si>
  <si>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</si>
  <si>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</si>
  <si>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</si>
  <si>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</si>
  <si>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</si>
  <si>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</si>
  <si>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</si>
  <si>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</si>
  <si>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</si>
  <si>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</si>
  <si>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</si>
  <si>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</si>
  <si>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</si>
  <si>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</si>
  <si>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2026-10-02T21:41:42Z</t>
  </si>
  <si>
    <t xml:space="preserve">Drivers file</t>
  </si>
  <si>
    <t xml:space="preserve">VZ_Drivers.json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</si>
  <si>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</si>
  <si>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</si>
  <si>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</si>
  <si>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of a mature, capital-intensive, highly levered telecom. Value is driven by the EBITDA margin the cost programme can hold against competition and by the true all-in capital intensity including spectrum; leverage turns small operating changes into large per-share swings, so the scenario spread is wide relative to the price.
key_risks_to_valuation: Equity is ~47% of EV: every 1% of enterprise value is ~2% of equity value.; Spectrum allowance (2% of revenue) is a judgment; a C-band-scale auction would overwhelm it in the year it lands.; Adjusted EBITDA excludes severance that has recurred annually; if restructuring ends the base margin path is conservative, if it continues the bear path is closer.; Device-receivable ABS deducted in full as debt (conservative ~$4-5/share).; Bonus-depreciation cash-tax benefit assumed to fade; if capex grows it persists longer.</t>
  </si>
  <si>
    <t xml:space="preserve">Data sources</t>
  </si>
  <si>
    <t xml:space="preserve">price: Yahoo Finance chart API at inputs.price_as_of; 52-week range 38.39-51.68
financials: SEC XBRL companyfacts (CIK 732712): 10-K FY2025 and 10-Q Q1/Q2 2026; VZ_Metrics.csv (metrics_normalized history)
qualitative: VZ_Analysis.json (Q2-2026 earnings guidance, Frontier close 2026-01-20, CEO Schulman turnaround, cost programme)</t>
  </si>
  <si>
    <t xml:space="preserve">Scenario narrative: bear</t>
  </si>
  <si>
    <t xml:space="preserve">The early turnaround metrics reverse: T-Mobile and cable MVNOs escalate promotions, Verizon buys net adds with device subsidies, and the $5B of cost savings is reinvested in price, so EBITDA margin stays ~35.5% and slips to 35%. Ex-Frontier revenue keeps contracting, holding total growth to ~1%. Frontier integration costs run long and the upper-mid-band spectrum pipeline (FCC auction authority restored 2025) forces a heavy licence buy, pushing capex plus spectrum to 14.5% of revenue. Leverage stays near 2.5x, refinancing at higher coupons squeezes the dividend; exit at 11x.</t>
  </si>
  <si>
    <t xml:space="preserve">Scenario narrative: base</t>
  </si>
  <si>
    <t xml:space="preserve">Verizon delivers FY2026 guidance (service revenue +2.5-3.0%, FCF &gt;= $21.5B, capex $16.0-16.5B) and reported revenue resumes ~2.5% growth from FY2027 as Frontier fibre and FWA broadband add subscribers and postpaid phone net adds stay positive under Schulman. The $5B cost programme and ~$1B Frontier synergies lift pre-SBC EBITDA from ~36% (after recurring restructuring cash) to 38.5% by FY2029, roughly the post-cut run-rate already visible in Q2-2026 (40.1% adjusted, before special items). Cash capex glides from 11.7% to 11.0% of revenue as the Frontier build matures, plus a 2% spectrum allowance. The market does not re-rate wireless: exit at 13x unlevered FCF, about today's multiple.</t>
  </si>
  <si>
    <t xml:space="preserve">Scenario narrative: bull</t>
  </si>
  <si>
    <t xml:space="preserve">The customer-first pivot proves durable: Verizon takes share from T-Mobile and cable MVNOs, churn falls, and convergence (mobile + Frontier fibre/FWA bundles) lifts ARPA, so revenue grows 3-3.5% for several years. Cost transformation (AI-native care, three layoff rounds) and Frontier synergies take pre-SBC EBITDA to 40%, cash capex falls toward 10.5% of revenue once the fibre build peaks, and no large spectrum auction lands in the decade. Deleveraging to 2.0-2.25x by 2027 lets buybacks scale; exit at 14x.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</si>
  <si>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</si>
  <si>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</si>
  <si>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</si>
  <si>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</si>
  <si>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</si>
  <si>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</si>
  <si>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</si>
  <si>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</si>
  <si>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</si>
  <si>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</si>
  <si>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</si>
  <si>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</si>
  <si>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</si>
  <si>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</si>
  <si>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</si>
  <si>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</si>
  <si>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</si>
  <si>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</si>
  <si>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</si>
  <si>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</si>
  <si>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</si>
  <si>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</si>
  <si>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</si>
  <si>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</si>
  <si>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</si>
  <si>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</si>
  <si>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</si>
  <si>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</si>
  <si>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</si>
  <si>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</si>
  <si>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</si>
  <si>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</si>
  <si>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</si>
  <si>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</si>
  <si>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</si>
  <si>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</si>
  <si>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</si>
  <si>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</si>
  <si>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</si>
  <si>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</si>
  <si>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</si>
  <si>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</si>
  <si>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</si>
  <si>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</si>
  <si>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</si>
  <si>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</si>
  <si>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</si>
  <si>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</si>
  <si>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</si>
  <si>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</si>
  <si>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</si>
  <si>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</si>
  <si>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</si>
  <si>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</si>
  <si>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</si>
  <si>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</si>
  <si>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</si>
  <si>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</si>
  <si>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</si>
  <si>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</si>
  <si>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</si>
  <si>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</si>
  <si>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</si>
  <si>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</si>
  <si>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</si>
  <si>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</si>
  <si>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</si>
  <si>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</si>
  <si>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</si>
  <si>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</si>
  <si>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</si>
  <si>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</si>
  <si>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</si>
  <si>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</si>
  <si>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</si>
  <si>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</si>
  <si>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</si>
  <si>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</si>
  <si>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</si>
  <si>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</si>
  <si>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</si>
  <si>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</si>
  <si>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</si>
  <si>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</si>
  <si>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VZ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</si>
  <si>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</si>
  <si>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</si>
  <si>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</si>
  <si>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</si>
  <si>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</si>
  <si>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</si>
  <si>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</si>
  <si>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</si>
  <si>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</si>
  <si>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</si>
  <si>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</si>
  <si>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</si>
  <si>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</si>
  <si>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</si>
  <si>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</si>
  <si>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</si>
  <si>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</si>
  <si>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</si>
  <si>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</si>
  <si>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</si>
  <si>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</si>
  <si>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</si>
  <si>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</si>
  <si>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</si>
  <si>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</si>
  <si>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</si>
  <si>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</si>
  <si>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</si>
  <si>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</si>
  <si>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</si>
  <si>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VZ owner-FCF component DCF: base case (millions, USD)</t>
  </si>
  <si>
    <t xml:space="preserve">VZ owner-FCF component DCF: bull case (millions, USD)</t>
  </si>
  <si>
    <t xml:space="preserve">VZ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</si>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</sst>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45.92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3219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93469</v>
      </c>
      <c r="C3" s="0" t="n">
        <v>37547</v>
      </c>
      <c r="F3" s="0" t="n">
        <v>15578</v>
      </c>
      <c r="G3" s="0" t="n">
        <v>16.6664883544277</v>
      </c>
      <c r="H3" s="0" t="n">
        <v>29955</v>
      </c>
      <c r="I3" s="0" t="n">
        <v>10574</v>
      </c>
      <c r="J3" s="0" t="n">
        <v>11.312841690828</v>
      </c>
      <c r="K3" s="0" t="n">
        <v>1.91</v>
      </c>
      <c r="L3" s="0" t="n">
        <v>26839</v>
      </c>
      <c r="M3" s="0" t="n">
        <v>17538</v>
      </c>
      <c r="N3" s="0" t="n">
        <v>9301</v>
      </c>
      <c r="O3" s="0" t="n">
        <v>82869</v>
      </c>
      <c r="S3" s="0" t="n">
        <v>1153</v>
      </c>
      <c r="T3" s="0" t="n">
        <v>2902</v>
      </c>
      <c r="V3" s="0" t="n">
        <v>1.67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97354</v>
      </c>
      <c r="C4" s="0" t="n">
        <v>38615</v>
      </c>
      <c r="F4" s="0" t="n">
        <v>2612</v>
      </c>
      <c r="G4" s="0" t="n">
        <v>2.68299196745896</v>
      </c>
      <c r="H4" s="0" t="n">
        <v>17222</v>
      </c>
      <c r="I4" s="0" t="n">
        <v>3962</v>
      </c>
      <c r="J4" s="0" t="n">
        <v>4.06968383425437</v>
      </c>
      <c r="K4" s="0" t="n">
        <v>-0.77</v>
      </c>
      <c r="L4" s="0" t="n">
        <v>27452</v>
      </c>
      <c r="M4" s="0" t="n">
        <v>17133</v>
      </c>
      <c r="N4" s="0" t="n">
        <v>10319</v>
      </c>
      <c r="O4" s="0" t="n">
        <v>78791</v>
      </c>
      <c r="P4" s="0" t="n">
        <v>202352</v>
      </c>
      <c r="R4" s="0" t="n">
        <v>51952</v>
      </c>
      <c r="S4" s="0" t="n">
        <v>9782</v>
      </c>
      <c r="T4" s="0" t="n">
        <v>2849</v>
      </c>
      <c r="U4" s="0" t="n">
        <v>400</v>
      </c>
      <c r="V4" s="0" t="n">
        <v>1.78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107808</v>
      </c>
      <c r="C5" s="0" t="n">
        <v>44579</v>
      </c>
      <c r="F5" s="0" t="n">
        <v>15978</v>
      </c>
      <c r="G5" s="0" t="n">
        <v>14.8207925200356</v>
      </c>
      <c r="H5" s="0" t="n">
        <v>32512</v>
      </c>
      <c r="I5" s="0" t="n">
        <v>11601</v>
      </c>
      <c r="J5" s="0" t="n">
        <v>10.7607969723954</v>
      </c>
      <c r="K5" s="0" t="n">
        <v>1.72</v>
      </c>
      <c r="L5" s="0" t="n">
        <v>31390</v>
      </c>
      <c r="M5" s="0" t="n">
        <v>16872</v>
      </c>
      <c r="N5" s="0" t="n">
        <v>14518</v>
      </c>
      <c r="O5" s="0" t="n">
        <v>84143</v>
      </c>
      <c r="P5" s="0" t="n">
        <v>226907</v>
      </c>
      <c r="R5" s="0" t="n">
        <v>68361</v>
      </c>
      <c r="S5" s="0" t="n">
        <v>2009</v>
      </c>
      <c r="T5" s="0" t="n">
        <v>2841</v>
      </c>
      <c r="U5" s="0" t="n">
        <v>500</v>
      </c>
      <c r="V5" s="0" t="n">
        <v>1.87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106565</v>
      </c>
      <c r="C6" s="0" t="n">
        <v>44149</v>
      </c>
      <c r="F6" s="0" t="n">
        <v>14645</v>
      </c>
      <c r="G6" s="0" t="n">
        <v>13.7427860929949</v>
      </c>
      <c r="H6" s="0" t="n">
        <v>31050</v>
      </c>
      <c r="I6" s="0" t="n">
        <v>10217</v>
      </c>
      <c r="J6" s="0" t="n">
        <v>9.58757565804908</v>
      </c>
      <c r="K6" s="0" t="n">
        <v>0.9</v>
      </c>
      <c r="L6" s="0" t="n">
        <v>33363</v>
      </c>
      <c r="M6" s="0" t="n">
        <v>16458</v>
      </c>
      <c r="N6" s="0" t="n">
        <v>16905</v>
      </c>
      <c r="O6" s="0" t="n">
        <v>86912</v>
      </c>
      <c r="P6" s="0" t="n">
        <v>220005</v>
      </c>
      <c r="R6" s="0" t="n">
        <v>60336</v>
      </c>
      <c r="S6" s="0" t="n">
        <v>6668</v>
      </c>
      <c r="T6" s="0" t="n">
        <v>2833</v>
      </c>
      <c r="U6" s="0" t="n">
        <v>500</v>
      </c>
      <c r="V6" s="0" t="n">
        <v>1.925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110875</v>
      </c>
      <c r="C7" s="0" t="n">
        <v>45875</v>
      </c>
      <c r="F7" s="0" t="n">
        <v>12880</v>
      </c>
      <c r="G7" s="0" t="n">
        <v>11.6166854565953</v>
      </c>
      <c r="H7" s="0" t="n">
        <v>29376</v>
      </c>
      <c r="I7" s="0" t="n">
        <v>10198</v>
      </c>
      <c r="J7" s="0" t="n">
        <v>9.19774520856821</v>
      </c>
      <c r="K7" s="0" t="n">
        <v>0.85</v>
      </c>
      <c r="L7" s="0" t="n">
        <v>29780</v>
      </c>
      <c r="M7" s="0" t="n">
        <v>16244</v>
      </c>
      <c r="N7" s="0" t="n">
        <v>13536</v>
      </c>
      <c r="O7" s="0" t="n">
        <v>85908</v>
      </c>
      <c r="P7" s="0" t="n">
        <v>230461</v>
      </c>
      <c r="R7" s="0" t="n">
        <v>58067</v>
      </c>
      <c r="S7" s="0" t="n">
        <v>13362</v>
      </c>
      <c r="T7" s="0" t="n">
        <v>2839</v>
      </c>
      <c r="U7" s="0" t="n">
        <v>500</v>
      </c>
      <c r="V7" s="0" t="n">
        <v>1.975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115846</v>
      </c>
      <c r="C8" s="0" t="n">
        <v>46275</v>
      </c>
      <c r="F8" s="0" t="n">
        <v>13160</v>
      </c>
      <c r="G8" s="0" t="n">
        <v>11.3599088445005</v>
      </c>
      <c r="H8" s="0" t="n">
        <v>29620</v>
      </c>
      <c r="I8" s="0" t="n">
        <v>10557</v>
      </c>
      <c r="J8" s="0" t="n">
        <v>9.11296030937624</v>
      </c>
      <c r="K8" s="0" t="n">
        <v>0.31</v>
      </c>
      <c r="L8" s="0" t="n">
        <v>31486</v>
      </c>
      <c r="M8" s="0" t="n">
        <v>16175</v>
      </c>
      <c r="N8" s="0" t="n">
        <v>15311</v>
      </c>
      <c r="O8" s="0" t="n">
        <v>85533</v>
      </c>
      <c r="P8" s="0" t="n">
        <v>225222</v>
      </c>
      <c r="R8" s="0" t="n">
        <v>55856</v>
      </c>
      <c r="S8" s="0" t="n">
        <v>3093</v>
      </c>
      <c r="T8" s="0" t="n">
        <v>2862</v>
      </c>
      <c r="U8" s="0" t="n">
        <v>700</v>
      </c>
      <c r="V8" s="0" t="n">
        <v>2.03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120550</v>
      </c>
      <c r="C9" s="0" t="n">
        <v>44887</v>
      </c>
      <c r="F9" s="0" t="n">
        <v>31968</v>
      </c>
      <c r="G9" s="0" t="n">
        <v>26.5184570717545</v>
      </c>
      <c r="H9" s="0" t="n">
        <v>48574</v>
      </c>
      <c r="I9" s="0" t="n">
        <v>23547</v>
      </c>
      <c r="J9" s="0" t="n">
        <v>19.5329738697636</v>
      </c>
      <c r="K9" s="0" t="n">
        <v>4.01</v>
      </c>
      <c r="L9" s="0" t="n">
        <v>38818</v>
      </c>
      <c r="M9" s="0" t="n">
        <v>16604</v>
      </c>
      <c r="N9" s="0" t="n">
        <v>22214</v>
      </c>
      <c r="O9" s="0" t="n">
        <v>95416</v>
      </c>
      <c r="P9" s="0" t="n">
        <v>274098</v>
      </c>
      <c r="R9" s="0" t="n">
        <v>93591</v>
      </c>
      <c r="S9" s="0" t="n">
        <v>53528</v>
      </c>
      <c r="T9" s="0" t="n">
        <v>2874</v>
      </c>
      <c r="U9" s="0" t="n">
        <v>400</v>
      </c>
      <c r="V9" s="0" t="n">
        <v>2.09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127079</v>
      </c>
      <c r="C10" s="0" t="n">
        <v>49931</v>
      </c>
      <c r="F10" s="0" t="n">
        <v>19599</v>
      </c>
      <c r="G10" s="0" t="n">
        <v>15.4226898228661</v>
      </c>
      <c r="H10" s="0" t="n">
        <v>36132</v>
      </c>
      <c r="I10" s="0" t="n">
        <v>11956</v>
      </c>
      <c r="J10" s="0" t="n">
        <v>9.40832080831609</v>
      </c>
      <c r="K10" s="0" t="n">
        <v>2.42</v>
      </c>
      <c r="L10" s="0" t="n">
        <v>30631</v>
      </c>
      <c r="M10" s="0" t="n">
        <v>17191</v>
      </c>
      <c r="N10" s="0" t="n">
        <v>13440</v>
      </c>
      <c r="O10" s="0" t="n">
        <v>13676</v>
      </c>
      <c r="P10" s="0" t="n">
        <v>232616</v>
      </c>
      <c r="R10" s="0" t="n">
        <v>113271</v>
      </c>
      <c r="S10" s="0" t="n">
        <v>10598</v>
      </c>
      <c r="T10" s="0" t="n">
        <v>3981</v>
      </c>
      <c r="U10" s="0" t="n">
        <v>300</v>
      </c>
      <c r="V10" s="0" t="n">
        <v>2.16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131620</v>
      </c>
      <c r="F11" s="0" t="n">
        <v>33060</v>
      </c>
      <c r="G11" s="0" t="n">
        <v>25.1177632578635</v>
      </c>
      <c r="H11" s="0" t="n">
        <v>49077</v>
      </c>
      <c r="I11" s="0" t="n">
        <v>18375</v>
      </c>
      <c r="J11" s="0" t="n">
        <v>13.960644278985</v>
      </c>
      <c r="K11" s="0" t="n">
        <v>4.38</v>
      </c>
      <c r="L11" s="0" t="n">
        <v>39027</v>
      </c>
      <c r="M11" s="0" t="n">
        <v>17775</v>
      </c>
      <c r="N11" s="0" t="n">
        <v>21252</v>
      </c>
      <c r="O11" s="0" t="n">
        <v>17842</v>
      </c>
      <c r="P11" s="0" t="n">
        <v>244175</v>
      </c>
      <c r="R11" s="0" t="n">
        <v>109729</v>
      </c>
      <c r="S11" s="0" t="n">
        <v>4470</v>
      </c>
      <c r="T11" s="0" t="n">
        <v>4093</v>
      </c>
      <c r="U11" s="0" t="n">
        <v>300</v>
      </c>
      <c r="V11" s="0" t="n">
        <v>2.23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125980</v>
      </c>
      <c r="F12" s="0" t="n">
        <v>29249</v>
      </c>
      <c r="G12" s="0" t="n">
        <v>23.2171773297349</v>
      </c>
      <c r="H12" s="0" t="n">
        <v>45177</v>
      </c>
      <c r="I12" s="0" t="n">
        <v>13608</v>
      </c>
      <c r="J12" s="0" t="n">
        <v>10.8017145578663</v>
      </c>
      <c r="K12" s="0" t="n">
        <v>3.22</v>
      </c>
      <c r="L12" s="0" t="n">
        <v>21689</v>
      </c>
      <c r="M12" s="0" t="n">
        <v>17059</v>
      </c>
      <c r="N12" s="0" t="n">
        <v>4630</v>
      </c>
      <c r="O12" s="0" t="n">
        <v>24032</v>
      </c>
      <c r="P12" s="0" t="n">
        <v>244180</v>
      </c>
      <c r="R12" s="0" t="n">
        <v>108078</v>
      </c>
      <c r="S12" s="0" t="n">
        <v>2880</v>
      </c>
      <c r="T12" s="0" t="n">
        <v>4086</v>
      </c>
      <c r="U12" s="0" t="n">
        <v>400</v>
      </c>
      <c r="V12" s="0" t="n">
        <v>2.285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126034</v>
      </c>
      <c r="F13" s="0" t="n">
        <v>27425</v>
      </c>
      <c r="G13" s="0" t="n">
        <v>21.7600012694987</v>
      </c>
      <c r="H13" s="0" t="n">
        <v>44379</v>
      </c>
      <c r="I13" s="0" t="n">
        <v>30550</v>
      </c>
      <c r="J13" s="0" t="n">
        <v>24.2394909310186</v>
      </c>
      <c r="K13" s="0" t="n">
        <v>7.37</v>
      </c>
      <c r="L13" s="0" t="n">
        <v>24318</v>
      </c>
      <c r="M13" s="0" t="n">
        <v>17247</v>
      </c>
      <c r="N13" s="0" t="n">
        <v>7071</v>
      </c>
      <c r="O13" s="0" t="n">
        <v>44687</v>
      </c>
      <c r="P13" s="0" t="n">
        <v>257143</v>
      </c>
      <c r="R13" s="0" t="n">
        <v>117095</v>
      </c>
      <c r="S13" s="0" t="n">
        <v>2079</v>
      </c>
      <c r="T13" s="0" t="n">
        <v>4089</v>
      </c>
      <c r="V13" s="0" t="n">
        <v>2.335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130863</v>
      </c>
      <c r="F14" s="0" t="n">
        <v>22278</v>
      </c>
      <c r="G14" s="0" t="n">
        <v>17.0239105018225</v>
      </c>
      <c r="H14" s="0" t="n">
        <v>39681</v>
      </c>
      <c r="I14" s="0" t="n">
        <v>16039</v>
      </c>
      <c r="J14" s="0" t="n">
        <v>12.2563291381063</v>
      </c>
      <c r="K14" s="0" t="n">
        <v>3.76</v>
      </c>
      <c r="L14" s="0" t="n">
        <v>34339</v>
      </c>
      <c r="M14" s="0" t="n">
        <v>16658</v>
      </c>
      <c r="N14" s="0" t="n">
        <v>17681</v>
      </c>
      <c r="O14" s="0" t="n">
        <v>54710</v>
      </c>
      <c r="P14" s="0" t="n">
        <v>264829</v>
      </c>
      <c r="R14" s="0" t="n">
        <v>113063</v>
      </c>
      <c r="S14" s="0" t="n">
        <v>2745</v>
      </c>
      <c r="T14" s="0" t="n">
        <v>4132</v>
      </c>
      <c r="V14" s="0" t="n">
        <v>2.385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131868</v>
      </c>
      <c r="F15" s="0" t="n">
        <v>30378</v>
      </c>
      <c r="G15" s="0" t="n">
        <v>23.036673036673</v>
      </c>
      <c r="H15" s="0" t="n">
        <v>47060</v>
      </c>
      <c r="I15" s="0" t="n">
        <v>19788</v>
      </c>
      <c r="J15" s="0" t="n">
        <v>15.005915005915</v>
      </c>
      <c r="K15" s="0" t="n">
        <v>4.66</v>
      </c>
      <c r="L15" s="0" t="n">
        <v>35746</v>
      </c>
      <c r="O15" s="0" t="n">
        <v>62835</v>
      </c>
      <c r="P15" s="0" t="n">
        <v>291727</v>
      </c>
      <c r="R15" s="0" t="n">
        <v>111489</v>
      </c>
      <c r="S15" s="0" t="n">
        <v>2594</v>
      </c>
      <c r="T15" s="0" t="n">
        <v>4140</v>
      </c>
      <c r="V15" s="0" t="n">
        <v>2.435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128292</v>
      </c>
      <c r="F16" s="0" t="n">
        <v>28798</v>
      </c>
      <c r="G16" s="0" t="n">
        <v>22.4472297571166</v>
      </c>
      <c r="H16" s="0" t="n">
        <v>45518</v>
      </c>
      <c r="I16" s="0" t="n">
        <v>18348</v>
      </c>
      <c r="J16" s="0" t="n">
        <v>14.3017491347863</v>
      </c>
      <c r="K16" s="0" t="n">
        <v>4.3</v>
      </c>
      <c r="L16" s="0" t="n">
        <v>41768</v>
      </c>
      <c r="O16" s="0" t="n">
        <v>69272</v>
      </c>
      <c r="P16" s="0" t="n">
        <v>316481</v>
      </c>
      <c r="R16" s="0" t="n">
        <v>129062</v>
      </c>
      <c r="S16" s="0" t="n">
        <v>22171</v>
      </c>
      <c r="T16" s="0" t="n">
        <v>4142</v>
      </c>
      <c r="V16" s="0" t="n">
        <v>2.485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133613</v>
      </c>
      <c r="F17" s="0" t="n">
        <v>32448</v>
      </c>
      <c r="G17" s="0" t="n">
        <v>24.2850620822824</v>
      </c>
      <c r="H17" s="0" t="n">
        <v>48654</v>
      </c>
      <c r="I17" s="0" t="n">
        <v>22618</v>
      </c>
      <c r="J17" s="0" t="n">
        <v>16.9279935335634</v>
      </c>
      <c r="K17" s="0" t="n">
        <v>5.32</v>
      </c>
      <c r="L17" s="0" t="n">
        <v>39539</v>
      </c>
      <c r="O17" s="0" t="n">
        <v>83200</v>
      </c>
      <c r="P17" s="0" t="n">
        <v>366596</v>
      </c>
      <c r="R17" s="0" t="n">
        <v>150868</v>
      </c>
      <c r="S17" s="0" t="n">
        <v>2921</v>
      </c>
      <c r="T17" s="0" t="n">
        <v>4150</v>
      </c>
      <c r="V17" s="0" t="n">
        <v>2.535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136835</v>
      </c>
      <c r="F18" s="0" t="n">
        <v>30467</v>
      </c>
      <c r="G18" s="0" t="n">
        <v>22.2655022472321</v>
      </c>
      <c r="H18" s="0" t="n">
        <v>47566</v>
      </c>
      <c r="I18" s="0" t="n">
        <v>21748</v>
      </c>
      <c r="J18" s="0" t="n">
        <v>15.8935944750977</v>
      </c>
      <c r="K18" s="0" t="n">
        <v>5.06</v>
      </c>
      <c r="L18" s="0" t="n">
        <v>37141</v>
      </c>
      <c r="O18" s="0" t="n">
        <v>92463</v>
      </c>
      <c r="P18" s="0" t="n">
        <v>379680</v>
      </c>
      <c r="R18" s="0" t="n">
        <v>150639</v>
      </c>
      <c r="S18" s="0" t="n">
        <v>2605</v>
      </c>
      <c r="T18" s="0" t="n">
        <v>4204</v>
      </c>
      <c r="V18" s="0" t="n">
        <v>2.585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133974</v>
      </c>
      <c r="F19" s="0" t="n">
        <v>22877</v>
      </c>
      <c r="G19" s="0" t="n">
        <v>17.0757012554675</v>
      </c>
      <c r="H19" s="0" t="n">
        <v>40501</v>
      </c>
      <c r="I19" s="0" t="n">
        <v>12095</v>
      </c>
      <c r="J19" s="0" t="n">
        <v>9.02787107946318</v>
      </c>
      <c r="K19" s="0" t="n">
        <v>2.76</v>
      </c>
      <c r="L19" s="0" t="n">
        <v>37475</v>
      </c>
      <c r="O19" s="0" t="n">
        <v>93799</v>
      </c>
      <c r="P19" s="0" t="n">
        <v>380255</v>
      </c>
      <c r="R19" s="0" t="n">
        <v>150674</v>
      </c>
      <c r="S19" s="0" t="n">
        <v>2065</v>
      </c>
      <c r="T19" s="0" t="n">
        <v>4215</v>
      </c>
      <c r="V19" s="0" t="n">
        <v>2.635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134788</v>
      </c>
      <c r="F20" s="0" t="n">
        <v>28686</v>
      </c>
      <c r="G20" s="0" t="n">
        <v>21.2823099979227</v>
      </c>
      <c r="H20" s="0" t="n">
        <v>46578</v>
      </c>
      <c r="I20" s="0" t="n">
        <v>17949</v>
      </c>
      <c r="J20" s="0" t="n">
        <v>13.3164673413064</v>
      </c>
      <c r="K20" s="0" t="n">
        <v>4.15</v>
      </c>
      <c r="L20" s="0" t="n">
        <v>36912</v>
      </c>
      <c r="O20" s="0" t="n">
        <v>100575</v>
      </c>
      <c r="P20" s="0" t="n">
        <v>384711</v>
      </c>
      <c r="R20" s="0" t="n">
        <v>144014</v>
      </c>
      <c r="S20" s="0" t="n">
        <v>4194</v>
      </c>
      <c r="T20" s="0" t="n">
        <v>4223</v>
      </c>
      <c r="V20" s="0" t="n">
        <v>2.685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138191</v>
      </c>
      <c r="F21" s="0" t="n">
        <v>29259</v>
      </c>
      <c r="G21" s="0" t="n">
        <v>21.1728694343336</v>
      </c>
      <c r="H21" s="0" t="n">
        <v>47608</v>
      </c>
      <c r="I21" s="0" t="n">
        <v>17608</v>
      </c>
      <c r="J21" s="0" t="n">
        <v>12.7417849208704</v>
      </c>
      <c r="K21" s="0" t="n">
        <v>4.06</v>
      </c>
      <c r="L21" s="0" t="n">
        <v>37137</v>
      </c>
      <c r="O21" s="0" t="n">
        <v>105741</v>
      </c>
      <c r="P21" s="0" t="n">
        <v>404258</v>
      </c>
      <c r="R21" s="0" t="n">
        <v>158150</v>
      </c>
      <c r="S21" s="0" t="n">
        <v>19048</v>
      </c>
      <c r="T21" s="0" t="n">
        <v>4231</v>
      </c>
      <c r="V21" s="0" t="n">
        <v>2.735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45.92</v>
      </c>
    </row>
    <row r="3" customFormat="false" ht="15" hidden="false" customHeight="false" outlineLevel="0" collapsed="false">
      <c r="A3" s="0" t="s">
        <v>86</v>
      </c>
      <c r="B3" s="3" t="n">
        <v>4159</v>
      </c>
    </row>
    <row r="4" customFormat="false" ht="15" hidden="false" customHeight="false" outlineLevel="0" collapsed="false">
      <c r="A4" s="0" t="s">
        <v>87</v>
      </c>
      <c r="B4" s="3" t="n">
        <v>163479</v>
      </c>
    </row>
    <row r="5" customFormat="false" ht="15" hidden="false" customHeight="false" outlineLevel="0" collapsed="false">
      <c r="A5" s="0" t="s">
        <v>88</v>
      </c>
      <c r="B5" s="3" t="n">
        <v>-10212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138191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0.5</v>
      </c>
      <c r="D13" s="3" t="n">
        <v>0.5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35.5</v>
      </c>
      <c r="D14" s="3" t="n">
        <v>35.5</v>
      </c>
      <c r="E14" s="3" t="n">
        <v>35.5</v>
      </c>
      <c r="F14" s="3" t="n">
        <v>35.5</v>
      </c>
      <c r="G14" s="3" t="n">
        <v>35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108</v>
      </c>
      <c r="C15" s="3" t="n">
        <v>0.48</v>
      </c>
      <c r="D15" s="3" t="n">
        <v>0.47</v>
      </c>
      <c r="E15" s="3" t="n">
        <v>0.46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14.4</v>
      </c>
      <c r="D17" s="3" t="n">
        <v>14.4</v>
      </c>
      <c r="E17" s="3" t="n">
        <v>14.4</v>
      </c>
      <c r="F17" s="3" t="n">
        <v>14.3</v>
      </c>
      <c r="G17" s="3" t="n">
        <v>14.2</v>
      </c>
      <c r="H17" s="3" t="n">
        <v>14.2</v>
      </c>
      <c r="I17" s="3" t="n">
        <v>14.2</v>
      </c>
      <c r="J17" s="3" t="n">
        <v>14.2</v>
      </c>
      <c r="K17" s="3" t="n">
        <v>14.2</v>
      </c>
      <c r="L17" s="3" t="n">
        <v>14.2</v>
      </c>
    </row>
    <row r="18" customFormat="false" ht="15" hidden="false" customHeight="false" outlineLevel="0" collapsed="false">
      <c r="A18" s="0" t="s">
        <v>111</v>
      </c>
      <c r="C18" s="3" t="n">
        <v>14</v>
      </c>
      <c r="D18" s="3" t="n">
        <v>14.2</v>
      </c>
      <c r="E18" s="3" t="n">
        <v>14.5</v>
      </c>
      <c r="F18" s="3" t="n">
        <v>14.5</v>
      </c>
      <c r="G18" s="3" t="n">
        <v>14.5</v>
      </c>
      <c r="H18" s="3" t="n">
        <v>14.5</v>
      </c>
      <c r="I18" s="3" t="n">
        <v>14.5</v>
      </c>
      <c r="J18" s="3" t="n">
        <v>14.5</v>
      </c>
      <c r="K18" s="3" t="n">
        <v>14.5</v>
      </c>
      <c r="L18" s="3" t="n">
        <v>14.5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18</v>
      </c>
      <c r="E19" s="3" t="n">
        <v>19</v>
      </c>
      <c r="F19" s="3" t="n">
        <v>20</v>
      </c>
      <c r="G19" s="3" t="n">
        <v>21</v>
      </c>
      <c r="H19" s="3" t="n">
        <v>22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6.5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0.8</v>
      </c>
      <c r="D27" s="3" t="n">
        <v>2.5</v>
      </c>
      <c r="E27" s="3" t="n">
        <v>2.5</v>
      </c>
      <c r="F27" s="3" t="n">
        <v>2.3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36</v>
      </c>
      <c r="D28" s="3" t="n">
        <v>37</v>
      </c>
      <c r="E28" s="3" t="n">
        <v>38</v>
      </c>
      <c r="F28" s="3" t="n">
        <v>38.5</v>
      </c>
      <c r="G28" s="3" t="n">
        <v>38.5</v>
      </c>
      <c r="H28" s="3" t="n">
        <v>38.5</v>
      </c>
      <c r="I28" s="3" t="n">
        <v>38.5</v>
      </c>
      <c r="J28" s="3" t="n">
        <v>38.5</v>
      </c>
      <c r="K28" s="3" t="n">
        <v>38.5</v>
      </c>
      <c r="L28" s="3" t="n">
        <v>38.5</v>
      </c>
    </row>
    <row r="29" customFormat="false" ht="15" hidden="false" customHeight="false" outlineLevel="0" collapsed="false">
      <c r="A29" s="0" t="s">
        <v>108</v>
      </c>
      <c r="C29" s="3" t="n">
        <v>0.48</v>
      </c>
      <c r="D29" s="3" t="n">
        <v>0.47</v>
      </c>
      <c r="E29" s="3" t="n">
        <v>0.46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14.4</v>
      </c>
      <c r="D31" s="3" t="n">
        <v>14.2</v>
      </c>
      <c r="E31" s="3" t="n">
        <v>14</v>
      </c>
      <c r="F31" s="3" t="n">
        <v>13.8</v>
      </c>
      <c r="G31" s="3" t="n">
        <v>13.6</v>
      </c>
      <c r="H31" s="3" t="n">
        <v>13.5</v>
      </c>
      <c r="I31" s="3" t="n">
        <v>13.5</v>
      </c>
      <c r="J31" s="3" t="n">
        <v>13.5</v>
      </c>
      <c r="K31" s="3" t="n">
        <v>13.5</v>
      </c>
      <c r="L31" s="3" t="n">
        <v>13.5</v>
      </c>
    </row>
    <row r="32" customFormat="false" ht="15" hidden="false" customHeight="false" outlineLevel="0" collapsed="false">
      <c r="A32" s="0" t="s">
        <v>111</v>
      </c>
      <c r="C32" s="3" t="n">
        <v>13.7</v>
      </c>
      <c r="D32" s="3" t="n">
        <v>13.5</v>
      </c>
      <c r="E32" s="3" t="n">
        <v>13.3</v>
      </c>
      <c r="F32" s="3" t="n">
        <v>13</v>
      </c>
      <c r="G32" s="3" t="n">
        <v>13</v>
      </c>
      <c r="H32" s="3" t="n">
        <v>13</v>
      </c>
      <c r="I32" s="3" t="n">
        <v>13</v>
      </c>
      <c r="J32" s="3" t="n">
        <v>13</v>
      </c>
      <c r="K32" s="3" t="n">
        <v>13</v>
      </c>
      <c r="L32" s="3" t="n">
        <v>13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18</v>
      </c>
      <c r="E33" s="3" t="n">
        <v>19</v>
      </c>
      <c r="F33" s="3" t="n">
        <v>20</v>
      </c>
      <c r="G33" s="3" t="n">
        <v>21</v>
      </c>
      <c r="H33" s="3" t="n">
        <v>22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6.5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</v>
      </c>
      <c r="D41" s="3" t="n">
        <v>3.5</v>
      </c>
      <c r="E41" s="3" t="n">
        <v>3.5</v>
      </c>
      <c r="F41" s="3" t="n">
        <v>3</v>
      </c>
      <c r="G41" s="3" t="n">
        <v>3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36.5</v>
      </c>
      <c r="D42" s="3" t="n">
        <v>38</v>
      </c>
      <c r="E42" s="3" t="n">
        <v>39</v>
      </c>
      <c r="F42" s="3" t="n">
        <v>40</v>
      </c>
      <c r="G42" s="3" t="n">
        <v>40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108</v>
      </c>
      <c r="C43" s="3" t="n">
        <v>0.48</v>
      </c>
      <c r="D43" s="3" t="n">
        <v>0.47</v>
      </c>
      <c r="E43" s="3" t="n">
        <v>0.46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14.4</v>
      </c>
      <c r="D45" s="3" t="n">
        <v>14.2</v>
      </c>
      <c r="E45" s="3" t="n">
        <v>14</v>
      </c>
      <c r="F45" s="3" t="n">
        <v>13.8</v>
      </c>
      <c r="G45" s="3" t="n">
        <v>13.6</v>
      </c>
      <c r="H45" s="3" t="n">
        <v>13.5</v>
      </c>
      <c r="I45" s="3" t="n">
        <v>13.5</v>
      </c>
      <c r="J45" s="3" t="n">
        <v>13.5</v>
      </c>
      <c r="K45" s="3" t="n">
        <v>13.5</v>
      </c>
      <c r="L45" s="3" t="n">
        <v>13.5</v>
      </c>
    </row>
    <row r="46" customFormat="false" ht="15" hidden="false" customHeight="false" outlineLevel="0" collapsed="false">
      <c r="A46" s="0" t="s">
        <v>111</v>
      </c>
      <c r="C46" s="3" t="n">
        <v>13.5</v>
      </c>
      <c r="D46" s="3" t="n">
        <v>13</v>
      </c>
      <c r="E46" s="3" t="n">
        <v>12.7</v>
      </c>
      <c r="F46" s="3" t="n">
        <v>12.5</v>
      </c>
      <c r="G46" s="3" t="n">
        <v>12.5</v>
      </c>
      <c r="H46" s="3" t="n">
        <v>12.5</v>
      </c>
      <c r="I46" s="3" t="n">
        <v>12.5</v>
      </c>
      <c r="J46" s="3" t="n">
        <v>12.5</v>
      </c>
      <c r="K46" s="3" t="n">
        <v>12.5</v>
      </c>
      <c r="L46" s="3" t="n">
        <v>12.5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18</v>
      </c>
      <c r="E47" s="3" t="n">
        <v>19</v>
      </c>
      <c r="F47" s="3" t="n">
        <v>20</v>
      </c>
      <c r="G47" s="3" t="n">
        <v>21</v>
      </c>
      <c r="H47" s="3" t="n">
        <v>22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6.5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0.5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138191</v>
      </c>
      <c r="C6" s="0" t="n">
        <f aca="false">B6*(1+C5/100)</f>
        <v>138881.955</v>
      </c>
      <c r="D6" s="0" t="n">
        <f aca="false">C6*(1+D5/100)</f>
        <v>139576.364775</v>
      </c>
      <c r="E6" s="0" t="n">
        <f aca="false">D6*(1+E5/100)</f>
        <v>140972.12842275</v>
      </c>
      <c r="F6" s="0" t="n">
        <f aca="false">E6*(1+F5/100)</f>
        <v>142381.849706977</v>
      </c>
      <c r="G6" s="0" t="n">
        <f aca="false">F6*(1+G5/100)</f>
        <v>143805.668204047</v>
      </c>
      <c r="H6" s="0" t="n">
        <f aca="false">G6*(1+H5/100)</f>
        <v>145243.724886088</v>
      </c>
      <c r="I6" s="0" t="n">
        <f aca="false">H6*(1+I5/100)</f>
        <v>146696.162134949</v>
      </c>
      <c r="J6" s="0" t="n">
        <f aca="false">I6*(1+J5/100)</f>
        <v>148163.123756298</v>
      </c>
      <c r="K6" s="0" t="n">
        <f aca="false">J6*(1+K5/100)</f>
        <v>149644.754993861</v>
      </c>
      <c r="L6" s="0" t="n">
        <f aca="false">K6*(1+L5/100)</f>
        <v>151141.2025438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35.5</v>
      </c>
      <c r="D7" s="4" t="n">
        <f aca="false">Assumptions!D14</f>
        <v>35.5</v>
      </c>
      <c r="E7" s="4" t="n">
        <f aca="false">Assumptions!E14</f>
        <v>35.5</v>
      </c>
      <c r="F7" s="4" t="n">
        <f aca="false">Assumptions!F14</f>
        <v>35.5</v>
      </c>
      <c r="G7" s="4" t="n">
        <f aca="false">Assumptions!G14</f>
        <v>35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49303.094025</v>
      </c>
      <c r="D8" s="0" t="n">
        <f aca="false">D6*D7/100</f>
        <v>49549.609495125</v>
      </c>
      <c r="E8" s="0" t="n">
        <f aca="false">E6*E7/100</f>
        <v>50045.1055900762</v>
      </c>
      <c r="F8" s="0" t="n">
        <f aca="false">F6*F7/100</f>
        <v>50545.556645977</v>
      </c>
      <c r="G8" s="0" t="n">
        <f aca="false">G6*G7/100</f>
        <v>50331.9838714165</v>
      </c>
      <c r="H8" s="0" t="n">
        <f aca="false">H6*H7/100</f>
        <v>50835.3037101307</v>
      </c>
      <c r="I8" s="0" t="n">
        <f aca="false">I6*I7/100</f>
        <v>51343.656747232</v>
      </c>
      <c r="J8" s="0" t="n">
        <f aca="false">J6*J7/100</f>
        <v>51857.0933147043</v>
      </c>
      <c r="K8" s="0" t="n">
        <f aca="false">K6*K7/100</f>
        <v>52375.6642478514</v>
      </c>
      <c r="L8" s="0" t="n">
        <f aca="false">L6*L7/100</f>
        <v>52899.4208903299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0.48</v>
      </c>
      <c r="D9" s="4" t="n">
        <f aca="false">Assumptions!D15</f>
        <v>0.47</v>
      </c>
      <c r="E9" s="4" t="n">
        <f aca="false">Assumptions!E15</f>
        <v>0.46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-666.633384</v>
      </c>
      <c r="D10" s="0" t="n">
        <f aca="false">-D6*D9/100</f>
        <v>-656.0089144425</v>
      </c>
      <c r="E10" s="0" t="n">
        <f aca="false">-E6*E9/100</f>
        <v>-648.47179074465</v>
      </c>
      <c r="F10" s="0" t="n">
        <f aca="false">-F6*F9/100</f>
        <v>-640.718323681399</v>
      </c>
      <c r="G10" s="0" t="n">
        <f aca="false">-G6*G9/100</f>
        <v>-647.125506918213</v>
      </c>
      <c r="H10" s="0" t="n">
        <f aca="false">-H6*H9/100</f>
        <v>-653.596761987395</v>
      </c>
      <c r="I10" s="0" t="n">
        <f aca="false">-I6*I9/100</f>
        <v>-660.132729607269</v>
      </c>
      <c r="J10" s="0" t="n">
        <f aca="false">-J6*J9/100</f>
        <v>-666.734056903341</v>
      </c>
      <c r="K10" s="0" t="n">
        <f aca="false">-K6*K9/100</f>
        <v>-673.401397472375</v>
      </c>
      <c r="L10" s="0" t="n">
        <f aca="false">-L6*L9/100</f>
        <v>-680.135411447098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48636.460641</v>
      </c>
      <c r="D11" s="0" t="n">
        <f aca="false">D8+D10+D24</f>
        <v>48893.6005806825</v>
      </c>
      <c r="E11" s="0" t="n">
        <f aca="false">E8+E10+E24</f>
        <v>49396.6337993316</v>
      </c>
      <c r="F11" s="0" t="n">
        <f aca="false">F8+F10+F24</f>
        <v>49904.8383222956</v>
      </c>
      <c r="G11" s="0" t="n">
        <f aca="false">G8+G10+G24</f>
        <v>49684.8583644983</v>
      </c>
      <c r="H11" s="0" t="n">
        <f aca="false">H8+H10+H24</f>
        <v>50181.7069481433</v>
      </c>
      <c r="I11" s="0" t="n">
        <f aca="false">I8+I10+I24</f>
        <v>50683.5240176247</v>
      </c>
      <c r="J11" s="0" t="n">
        <f aca="false">J8+J10+J24</f>
        <v>51190.359257801</v>
      </c>
      <c r="K11" s="0" t="n">
        <f aca="false">K8+K10+K24</f>
        <v>51702.262850379</v>
      </c>
      <c r="L11" s="0" t="n">
        <f aca="false">L8+L10+L24</f>
        <v>52219.2854788828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-19999.00152</v>
      </c>
      <c r="D12" s="4" t="n">
        <f aca="false">-D6*Assumptions!D17/100</f>
        <v>-20098.9965276</v>
      </c>
      <c r="E12" s="4" t="n">
        <f aca="false">-E6*Assumptions!E17/100</f>
        <v>-20299.986492876</v>
      </c>
      <c r="F12" s="4" t="n">
        <f aca="false">-F6*Assumptions!F17/100</f>
        <v>-20360.6045080978</v>
      </c>
      <c r="G12" s="4" t="n">
        <f aca="false">-G6*Assumptions!G17/100</f>
        <v>-20420.4048849747</v>
      </c>
      <c r="H12" s="4" t="n">
        <f aca="false">-H6*Assumptions!H17/100</f>
        <v>-20624.6089338245</v>
      </c>
      <c r="I12" s="4" t="n">
        <f aca="false">-I6*Assumptions!I17/100</f>
        <v>-20830.8550231627</v>
      </c>
      <c r="J12" s="4" t="n">
        <f aca="false">-J6*Assumptions!J17/100</f>
        <v>-21039.1635733943</v>
      </c>
      <c r="K12" s="4" t="n">
        <f aca="false">-K6*Assumptions!K17/100</f>
        <v>-21249.5552091283</v>
      </c>
      <c r="L12" s="4" t="n">
        <f aca="false">-L6*Assumptions!L17/100</f>
        <v>-21462.0507612195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28637.459121</v>
      </c>
      <c r="D13" s="0" t="n">
        <f aca="false">D11+D12</f>
        <v>28794.6040530825</v>
      </c>
      <c r="E13" s="0" t="n">
        <f aca="false">E11+E12</f>
        <v>29096.6473064556</v>
      </c>
      <c r="F13" s="0" t="n">
        <f aca="false">F11+F12</f>
        <v>29544.2338141978</v>
      </c>
      <c r="G13" s="0" t="n">
        <f aca="false">G11+G12</f>
        <v>29264.4534795236</v>
      </c>
      <c r="H13" s="0" t="n">
        <f aca="false">H11+H12</f>
        <v>29557.0980143189</v>
      </c>
      <c r="I13" s="0" t="n">
        <f aca="false">I11+I12</f>
        <v>29852.668994462</v>
      </c>
      <c r="J13" s="0" t="n">
        <f aca="false">J11+J12</f>
        <v>30151.1956844067</v>
      </c>
      <c r="K13" s="0" t="n">
        <f aca="false">K11+K12</f>
        <v>30452.7076412507</v>
      </c>
      <c r="L13" s="0" t="n">
        <f aca="false">L11+L12</f>
        <v>30757.2347176632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21</v>
      </c>
      <c r="H14" s="4" t="n">
        <f aca="false">Assumptions!H19</f>
        <v>22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23769.09107043</v>
      </c>
      <c r="D15" s="0" t="n">
        <f aca="false">D13-MAX(0,D13)*D14/100</f>
        <v>23611.5753235276</v>
      </c>
      <c r="E15" s="0" t="n">
        <f aca="false">E13-MAX(0,E13)*E14/100</f>
        <v>23568.284318229</v>
      </c>
      <c r="F15" s="0" t="n">
        <f aca="false">F13-MAX(0,F13)*F14/100</f>
        <v>23635.3870513582</v>
      </c>
      <c r="G15" s="0" t="n">
        <f aca="false">G13-MAX(0,G13)*G14/100</f>
        <v>23118.9182488236</v>
      </c>
      <c r="H15" s="0" t="n">
        <f aca="false">H13-MAX(0,H13)*H14/100</f>
        <v>23054.5364511687</v>
      </c>
      <c r="I15" s="0" t="n">
        <f aca="false">I13-MAX(0,I13)*I14/100</f>
        <v>22986.5551257358</v>
      </c>
      <c r="J15" s="0" t="n">
        <f aca="false">J13-MAX(0,J13)*J14/100</f>
        <v>23216.4206769931</v>
      </c>
      <c r="K15" s="0" t="n">
        <f aca="false">K13-MAX(0,K13)*K14/100</f>
        <v>23448.5848837631</v>
      </c>
      <c r="L15" s="0" t="n">
        <f aca="false">L13-MAX(0,L13)*L14/100</f>
        <v>23683.0707326007</v>
      </c>
    </row>
    <row r="16" customFormat="false" ht="15" hidden="false" customHeight="false" outlineLevel="0" collapsed="false">
      <c r="A16" s="0" t="s">
        <v>128</v>
      </c>
      <c r="C16" s="0" t="n">
        <f aca="false">-C12</f>
        <v>19999.00152</v>
      </c>
      <c r="D16" s="0" t="n">
        <f aca="false">-D12</f>
        <v>20098.9965276</v>
      </c>
      <c r="E16" s="0" t="n">
        <f aca="false">-E12</f>
        <v>20299.986492876</v>
      </c>
      <c r="F16" s="0" t="n">
        <f aca="false">-F12</f>
        <v>20360.6045080978</v>
      </c>
      <c r="G16" s="0" t="n">
        <f aca="false">-G12</f>
        <v>20420.4048849747</v>
      </c>
      <c r="H16" s="0" t="n">
        <f aca="false">-H12</f>
        <v>20624.6089338245</v>
      </c>
      <c r="I16" s="0" t="n">
        <f aca="false">-I12</f>
        <v>20830.8550231627</v>
      </c>
      <c r="J16" s="0" t="n">
        <f aca="false">-J12</f>
        <v>21039.1635733943</v>
      </c>
      <c r="K16" s="0" t="n">
        <f aca="false">-K12</f>
        <v>21249.5552091283</v>
      </c>
      <c r="L16" s="0" t="n">
        <f aca="false">-L12</f>
        <v>21462.0507612195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-19443.4737</v>
      </c>
      <c r="D17" s="4" t="n">
        <f aca="false">-D6*Assumptions!D18/100</f>
        <v>-19819.84379805</v>
      </c>
      <c r="E17" s="4" t="n">
        <f aca="false">-E6*Assumptions!E18/100</f>
        <v>-20440.9586212987</v>
      </c>
      <c r="F17" s="4" t="n">
        <f aca="false">-F6*Assumptions!F18/100</f>
        <v>-20645.3682075117</v>
      </c>
      <c r="G17" s="4" t="n">
        <f aca="false">-G6*Assumptions!G18/100</f>
        <v>-20851.8218895869</v>
      </c>
      <c r="H17" s="4" t="n">
        <f aca="false">-H6*Assumptions!H18/100</f>
        <v>-21060.3401084827</v>
      </c>
      <c r="I17" s="4" t="n">
        <f aca="false">-I6*Assumptions!I18/100</f>
        <v>-21270.9435095675</v>
      </c>
      <c r="J17" s="4" t="n">
        <f aca="false">-J6*Assumptions!J18/100</f>
        <v>-21483.6529446632</v>
      </c>
      <c r="K17" s="4" t="n">
        <f aca="false">-K6*Assumptions!K18/100</f>
        <v>-21698.4894741099</v>
      </c>
      <c r="L17" s="4" t="n">
        <f aca="false">-L6*Assumptions!L18/100</f>
        <v>-21915.4743688509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-34.5477499999994</v>
      </c>
      <c r="D18" s="4" t="n">
        <f aca="false">(D6-C6)*Assumptions!$B$23/100</f>
        <v>-34.7204887499989</v>
      </c>
      <c r="E18" s="4" t="n">
        <f aca="false">(E6-D6)*Assumptions!$B$23/100</f>
        <v>-69.7881823874996</v>
      </c>
      <c r="F18" s="4" t="n">
        <f aca="false">(F6-E6)*Assumptions!$B$23/100</f>
        <v>-70.4860642113752</v>
      </c>
      <c r="G18" s="4" t="n">
        <f aca="false">(G6-F6)*Assumptions!$B$23/100</f>
        <v>-71.1909248534881</v>
      </c>
      <c r="H18" s="4" t="n">
        <f aca="false">(H6-G6)*Assumptions!$B$23/100</f>
        <v>-71.9028341020239</v>
      </c>
      <c r="I18" s="4" t="n">
        <f aca="false">(I6-H6)*Assumptions!$B$23/100</f>
        <v>-72.6218624430432</v>
      </c>
      <c r="J18" s="4" t="n">
        <f aca="false">(J6-I6)*Assumptions!$B$23/100</f>
        <v>-73.3480810674737</v>
      </c>
      <c r="K18" s="4" t="n">
        <f aca="false">(K6-J6)*Assumptions!$B$23/100</f>
        <v>-74.0815618781489</v>
      </c>
      <c r="L18" s="4" t="n">
        <f aca="false">(L6-K6)*Assumptions!$B$23/100</f>
        <v>-74.8223774969301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24290.07114043</v>
      </c>
      <c r="D19" s="0" t="n">
        <f aca="false">D15+D16+D17+D18</f>
        <v>23856.0075643276</v>
      </c>
      <c r="E19" s="0" t="n">
        <f aca="false">E15+E16+E17+E18</f>
        <v>23357.5240074188</v>
      </c>
      <c r="F19" s="0" t="n">
        <f aca="false">F15+F16+F17+F18</f>
        <v>23280.1372877329</v>
      </c>
      <c r="G19" s="0" t="n">
        <f aca="false">G15+G16+G17+G18</f>
        <v>22616.310319358</v>
      </c>
      <c r="H19" s="0" t="n">
        <f aca="false">H15+H16+H17+H18</f>
        <v>22546.9024424084</v>
      </c>
      <c r="I19" s="0" t="n">
        <f aca="false">I15+I16+I17+I18</f>
        <v>22473.8447768879</v>
      </c>
      <c r="J19" s="0" t="n">
        <f aca="false">J15+J16+J17+J18</f>
        <v>22698.5832246568</v>
      </c>
      <c r="K19" s="0" t="n">
        <f aca="false">K15+K16+K17+K18</f>
        <v>22925.5690569033</v>
      </c>
      <c r="L19" s="0" t="n">
        <f aca="false">L15+L16+L17+L18</f>
        <v>23154.8247474724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22807.578535615</v>
      </c>
      <c r="D21" s="0" t="n">
        <f aca="false">D19*D20</f>
        <v>21032.8705189249</v>
      </c>
      <c r="E21" s="0" t="n">
        <f aca="false">E19*E20</f>
        <v>19336.5050363079</v>
      </c>
      <c r="F21" s="0" t="n">
        <f aca="false">F19*F20</f>
        <v>18096.1882729562</v>
      </c>
      <c r="G21" s="0" t="n">
        <f aca="false">G19*G20</f>
        <v>16507.2114949105</v>
      </c>
      <c r="H21" s="0" t="n">
        <f aca="false">H19*H20</f>
        <v>15452.1615170154</v>
      </c>
      <c r="I21" s="0" t="n">
        <f aca="false">I19*I20</f>
        <v>14462.058785159</v>
      </c>
      <c r="J21" s="0" t="n">
        <f aca="false">J19*J20</f>
        <v>13715.1918995405</v>
      </c>
      <c r="K21" s="0" t="n">
        <f aca="false">K19*K20</f>
        <v>13006.8956042591</v>
      </c>
      <c r="L21" s="0" t="n">
        <f aca="false">L19*L20</f>
        <v>12335.1779908936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166751.839655582</v>
      </c>
    </row>
    <row r="31" customFormat="false" ht="15" hidden="false" customHeight="false" outlineLevel="0" collapsed="false">
      <c r="A31" s="0" t="s">
        <v>137</v>
      </c>
      <c r="B31" s="0" t="n">
        <f aca="false">L19</f>
        <v>23154.8247474724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425206.781726311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254703.072222196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254703.072222196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135686.957899829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302438.797555412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128747.797555412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30.9564312467929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-0.325861688876461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4731.50510946744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6653.61999583472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33.6938982112801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167045.521392479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-3.71959154711991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0.8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2.3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138191</v>
      </c>
      <c r="C6" s="0" t="n">
        <f aca="false">B6*(1+C5/100)</f>
        <v>139296.528</v>
      </c>
      <c r="D6" s="0" t="n">
        <f aca="false">C6*(1+D5/100)</f>
        <v>142778.9412</v>
      </c>
      <c r="E6" s="0" t="n">
        <f aca="false">D6*(1+E5/100)</f>
        <v>146348.41473</v>
      </c>
      <c r="F6" s="0" t="n">
        <f aca="false">E6*(1+F5/100)</f>
        <v>149714.42826879</v>
      </c>
      <c r="G6" s="0" t="n">
        <f aca="false">F6*(1+G5/100)</f>
        <v>152708.716834166</v>
      </c>
      <c r="H6" s="0" t="n">
        <f aca="false">G6*(1+H5/100)</f>
        <v>155762.891170849</v>
      </c>
      <c r="I6" s="0" t="n">
        <f aca="false">H6*(1+I5/100)</f>
        <v>158878.148994266</v>
      </c>
      <c r="J6" s="0" t="n">
        <f aca="false">I6*(1+J5/100)</f>
        <v>162055.711974151</v>
      </c>
      <c r="K6" s="0" t="n">
        <f aca="false">J6*(1+K5/100)</f>
        <v>165296.826213634</v>
      </c>
      <c r="L6" s="0" t="n">
        <f aca="false">K6*(1+L5/100)</f>
        <v>168602.762737907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36</v>
      </c>
      <c r="D7" s="4" t="n">
        <f aca="false">Assumptions!D28</f>
        <v>37</v>
      </c>
      <c r="E7" s="4" t="n">
        <f aca="false">Assumptions!E28</f>
        <v>38</v>
      </c>
      <c r="F7" s="4" t="n">
        <f aca="false">Assumptions!F28</f>
        <v>38.5</v>
      </c>
      <c r="G7" s="4" t="n">
        <f aca="false">Assumptions!G28</f>
        <v>38.5</v>
      </c>
      <c r="H7" s="4" t="n">
        <f aca="false">Assumptions!H28</f>
        <v>38.5</v>
      </c>
      <c r="I7" s="4" t="n">
        <f aca="false">Assumptions!I28</f>
        <v>38.5</v>
      </c>
      <c r="J7" s="4" t="n">
        <f aca="false">Assumptions!J28</f>
        <v>38.5</v>
      </c>
      <c r="K7" s="4" t="n">
        <f aca="false">Assumptions!K28</f>
        <v>38.5</v>
      </c>
      <c r="L7" s="4" t="n">
        <f aca="false">Assumptions!L28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50146.75008</v>
      </c>
      <c r="D8" s="0" t="n">
        <f aca="false">D6*D7/100</f>
        <v>52828.208244</v>
      </c>
      <c r="E8" s="0" t="n">
        <f aca="false">E6*E7/100</f>
        <v>55612.3975974</v>
      </c>
      <c r="F8" s="0" t="n">
        <f aca="false">F6*F7/100</f>
        <v>57640.0548834841</v>
      </c>
      <c r="G8" s="0" t="n">
        <f aca="false">G6*G7/100</f>
        <v>58792.8559811538</v>
      </c>
      <c r="H8" s="0" t="n">
        <f aca="false">H6*H7/100</f>
        <v>59968.7131007769</v>
      </c>
      <c r="I8" s="0" t="n">
        <f aca="false">I6*I7/100</f>
        <v>61168.0873627924</v>
      </c>
      <c r="J8" s="0" t="n">
        <f aca="false">J6*J7/100</f>
        <v>62391.4491100483</v>
      </c>
      <c r="K8" s="0" t="n">
        <f aca="false">K6*K7/100</f>
        <v>63639.2780922493</v>
      </c>
      <c r="L8" s="0" t="n">
        <f aca="false">L6*L7/100</f>
        <v>64912.0636540942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0.48</v>
      </c>
      <c r="D9" s="4" t="n">
        <f aca="false">Assumptions!D29</f>
        <v>0.47</v>
      </c>
      <c r="E9" s="4" t="n">
        <f aca="false">Assumptions!E29</f>
        <v>0.46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-668.6233344</v>
      </c>
      <c r="D10" s="0" t="n">
        <f aca="false">-D6*D9/100</f>
        <v>-671.06102364</v>
      </c>
      <c r="E10" s="0" t="n">
        <f aca="false">-E6*E9/100</f>
        <v>-673.202707758</v>
      </c>
      <c r="F10" s="0" t="n">
        <f aca="false">-F6*F9/100</f>
        <v>-673.714927209555</v>
      </c>
      <c r="G10" s="0" t="n">
        <f aca="false">-G6*G9/100</f>
        <v>-687.189225753746</v>
      </c>
      <c r="H10" s="0" t="n">
        <f aca="false">-H6*H9/100</f>
        <v>-700.933010268821</v>
      </c>
      <c r="I10" s="0" t="n">
        <f aca="false">-I6*I9/100</f>
        <v>-714.951670474198</v>
      </c>
      <c r="J10" s="0" t="n">
        <f aca="false">-J6*J9/100</f>
        <v>-729.250703883681</v>
      </c>
      <c r="K10" s="0" t="n">
        <f aca="false">-K6*K9/100</f>
        <v>-743.835717961355</v>
      </c>
      <c r="L10" s="0" t="n">
        <f aca="false">-L6*L9/100</f>
        <v>-758.712432320582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49478.1267456</v>
      </c>
      <c r="D11" s="0" t="n">
        <f aca="false">D8+D10+D24</f>
        <v>52157.14722036</v>
      </c>
      <c r="E11" s="0" t="n">
        <f aca="false">E8+E10+E24</f>
        <v>54939.194889642</v>
      </c>
      <c r="F11" s="0" t="n">
        <f aca="false">F8+F10+F24</f>
        <v>56966.3399562746</v>
      </c>
      <c r="G11" s="0" t="n">
        <f aca="false">G8+G10+G24</f>
        <v>58105.6667554001</v>
      </c>
      <c r="H11" s="0" t="n">
        <f aca="false">H8+H10+H24</f>
        <v>59267.7800905081</v>
      </c>
      <c r="I11" s="0" t="n">
        <f aca="false">I8+I10+I24</f>
        <v>60453.1356923183</v>
      </c>
      <c r="J11" s="0" t="n">
        <f aca="false">J8+J10+J24</f>
        <v>61662.1984061646</v>
      </c>
      <c r="K11" s="0" t="n">
        <f aca="false">K8+K10+K24</f>
        <v>62895.4423742879</v>
      </c>
      <c r="L11" s="0" t="n">
        <f aca="false">L8+L10+L24</f>
        <v>64153.3512217737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-20058.700032</v>
      </c>
      <c r="D12" s="4" t="n">
        <f aca="false">-D6*Assumptions!D31/100</f>
        <v>-20274.6096504</v>
      </c>
      <c r="E12" s="4" t="n">
        <f aca="false">-E6*Assumptions!E31/100</f>
        <v>-20488.7780622</v>
      </c>
      <c r="F12" s="4" t="n">
        <f aca="false">-F6*Assumptions!F31/100</f>
        <v>-20660.591101093</v>
      </c>
      <c r="G12" s="4" t="n">
        <f aca="false">-G6*Assumptions!G31/100</f>
        <v>-20768.3854894465</v>
      </c>
      <c r="H12" s="4" t="n">
        <f aca="false">-H6*Assumptions!H31/100</f>
        <v>-21027.9903080646</v>
      </c>
      <c r="I12" s="4" t="n">
        <f aca="false">-I6*Assumptions!I31/100</f>
        <v>-21448.5501142259</v>
      </c>
      <c r="J12" s="4" t="n">
        <f aca="false">-J6*Assumptions!J31/100</f>
        <v>-21877.5211165104</v>
      </c>
      <c r="K12" s="4" t="n">
        <f aca="false">-K6*Assumptions!K31/100</f>
        <v>-22315.0715388407</v>
      </c>
      <c r="L12" s="4" t="n">
        <f aca="false">-L6*Assumptions!L31/100</f>
        <v>-22761.3729696175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29419.4267136</v>
      </c>
      <c r="D13" s="0" t="n">
        <f aca="false">D11+D12</f>
        <v>31882.53756996</v>
      </c>
      <c r="E13" s="0" t="n">
        <f aca="false">E11+E12</f>
        <v>34450.416827442</v>
      </c>
      <c r="F13" s="0" t="n">
        <f aca="false">F11+F12</f>
        <v>36305.7488551816</v>
      </c>
      <c r="G13" s="0" t="n">
        <f aca="false">G11+G12</f>
        <v>37337.2812659535</v>
      </c>
      <c r="H13" s="0" t="n">
        <f aca="false">H11+H12</f>
        <v>38239.7897824435</v>
      </c>
      <c r="I13" s="0" t="n">
        <f aca="false">I11+I12</f>
        <v>39004.5855780923</v>
      </c>
      <c r="J13" s="0" t="n">
        <f aca="false">J11+J12</f>
        <v>39784.6772896542</v>
      </c>
      <c r="K13" s="0" t="n">
        <f aca="false">K11+K12</f>
        <v>40580.3708354473</v>
      </c>
      <c r="L13" s="0" t="n">
        <f aca="false">L11+L12</f>
        <v>41391.9782521562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21</v>
      </c>
      <c r="H14" s="4" t="n">
        <f aca="false">Assumptions!H33</f>
        <v>22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24418.124172288</v>
      </c>
      <c r="D15" s="0" t="n">
        <f aca="false">D13-MAX(0,D13)*D14/100</f>
        <v>26143.6808073672</v>
      </c>
      <c r="E15" s="0" t="n">
        <f aca="false">E13-MAX(0,E13)*E14/100</f>
        <v>27904.837630228</v>
      </c>
      <c r="F15" s="0" t="n">
        <f aca="false">F13-MAX(0,F13)*F14/100</f>
        <v>29044.5990841453</v>
      </c>
      <c r="G15" s="0" t="n">
        <f aca="false">G13-MAX(0,G13)*G14/100</f>
        <v>29496.4522001033</v>
      </c>
      <c r="H15" s="0" t="n">
        <f aca="false">H13-MAX(0,H13)*H14/100</f>
        <v>29827.0360303059</v>
      </c>
      <c r="I15" s="0" t="n">
        <f aca="false">I13-MAX(0,I13)*I14/100</f>
        <v>30033.5308951311</v>
      </c>
      <c r="J15" s="0" t="n">
        <f aca="false">J13-MAX(0,J13)*J14/100</f>
        <v>30634.2015130337</v>
      </c>
      <c r="K15" s="0" t="n">
        <f aca="false">K13-MAX(0,K13)*K14/100</f>
        <v>31246.8855432944</v>
      </c>
      <c r="L15" s="0" t="n">
        <f aca="false">L13-MAX(0,L13)*L14/100</f>
        <v>31871.8232541603</v>
      </c>
    </row>
    <row r="16" customFormat="false" ht="15" hidden="false" customHeight="false" outlineLevel="0" collapsed="false">
      <c r="A16" s="0" t="s">
        <v>128</v>
      </c>
      <c r="C16" s="0" t="n">
        <f aca="false">-C12</f>
        <v>20058.700032</v>
      </c>
      <c r="D16" s="0" t="n">
        <f aca="false">-D12</f>
        <v>20274.6096504</v>
      </c>
      <c r="E16" s="0" t="n">
        <f aca="false">-E12</f>
        <v>20488.7780622</v>
      </c>
      <c r="F16" s="0" t="n">
        <f aca="false">-F12</f>
        <v>20660.591101093</v>
      </c>
      <c r="G16" s="0" t="n">
        <f aca="false">-G12</f>
        <v>20768.3854894465</v>
      </c>
      <c r="H16" s="0" t="n">
        <f aca="false">-H12</f>
        <v>21027.9903080646</v>
      </c>
      <c r="I16" s="0" t="n">
        <f aca="false">-I12</f>
        <v>21448.5501142259</v>
      </c>
      <c r="J16" s="0" t="n">
        <f aca="false">-J12</f>
        <v>21877.5211165104</v>
      </c>
      <c r="K16" s="0" t="n">
        <f aca="false">-K12</f>
        <v>22315.0715388407</v>
      </c>
      <c r="L16" s="0" t="n">
        <f aca="false">-L12</f>
        <v>22761.3729696175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-19083.624336</v>
      </c>
      <c r="D17" s="4" t="n">
        <f aca="false">-D6*Assumptions!D32/100</f>
        <v>-19275.157062</v>
      </c>
      <c r="E17" s="4" t="n">
        <f aca="false">-E6*Assumptions!E32/100</f>
        <v>-19464.33915909</v>
      </c>
      <c r="F17" s="4" t="n">
        <f aca="false">-F6*Assumptions!F32/100</f>
        <v>-19462.8756749427</v>
      </c>
      <c r="G17" s="4" t="n">
        <f aca="false">-G6*Assumptions!G32/100</f>
        <v>-19852.1331884416</v>
      </c>
      <c r="H17" s="4" t="n">
        <f aca="false">-H6*Assumptions!H32/100</f>
        <v>-20249.1758522104</v>
      </c>
      <c r="I17" s="4" t="n">
        <f aca="false">-I6*Assumptions!I32/100</f>
        <v>-20654.1593692546</v>
      </c>
      <c r="J17" s="4" t="n">
        <f aca="false">-J6*Assumptions!J32/100</f>
        <v>-21067.2425566397</v>
      </c>
      <c r="K17" s="4" t="n">
        <f aca="false">-K6*Assumptions!K32/100</f>
        <v>-21488.5874077725</v>
      </c>
      <c r="L17" s="4" t="n">
        <f aca="false">-L6*Assumptions!L32/100</f>
        <v>-21918.3591559279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-55.2763999999996</v>
      </c>
      <c r="D18" s="4" t="n">
        <f aca="false">(D6-C6)*Assumptions!$B$37/100</f>
        <v>-174.120659999999</v>
      </c>
      <c r="E18" s="4" t="n">
        <f aca="false">(E6-D6)*Assumptions!$B$37/100</f>
        <v>-178.473676499999</v>
      </c>
      <c r="F18" s="4" t="n">
        <f aca="false">(F6-E6)*Assumptions!$B$37/100</f>
        <v>-168.3006769395</v>
      </c>
      <c r="G18" s="4" t="n">
        <f aca="false">(G6-F6)*Assumptions!$B$37/100</f>
        <v>-149.714428268791</v>
      </c>
      <c r="H18" s="4" t="n">
        <f aca="false">(H6-G6)*Assumptions!$B$37/100</f>
        <v>-152.708716834166</v>
      </c>
      <c r="I18" s="4" t="n">
        <f aca="false">(I6-H6)*Assumptions!$B$37/100</f>
        <v>-155.76289117085</v>
      </c>
      <c r="J18" s="4" t="n">
        <f aca="false">(J6-I6)*Assumptions!$B$37/100</f>
        <v>-158.878148994266</v>
      </c>
      <c r="K18" s="4" t="n">
        <f aca="false">(K6-J6)*Assumptions!$B$37/100</f>
        <v>-162.055711974151</v>
      </c>
      <c r="L18" s="4" t="n">
        <f aca="false">(L6-K6)*Assumptions!$B$37/100</f>
        <v>-165.296826213635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25337.923468288</v>
      </c>
      <c r="D19" s="0" t="n">
        <f aca="false">D15+D16+D17+D18</f>
        <v>26969.0127357672</v>
      </c>
      <c r="E19" s="0" t="n">
        <f aca="false">E15+E16+E17+E18</f>
        <v>28750.802856838</v>
      </c>
      <c r="F19" s="0" t="n">
        <f aca="false">F15+F16+F17+F18</f>
        <v>30074.0138333561</v>
      </c>
      <c r="G19" s="0" t="n">
        <f aca="false">G15+G16+G17+G18</f>
        <v>30262.9900728395</v>
      </c>
      <c r="H19" s="0" t="n">
        <f aca="false">H15+H16+H17+H18</f>
        <v>30453.141769326</v>
      </c>
      <c r="I19" s="0" t="n">
        <f aca="false">I15+I16+I17+I18</f>
        <v>30672.1587489316</v>
      </c>
      <c r="J19" s="0" t="n">
        <f aca="false">J15+J16+J17+J18</f>
        <v>31285.6019239102</v>
      </c>
      <c r="K19" s="0" t="n">
        <f aca="false">K15+K16+K17+K18</f>
        <v>31911.3139623884</v>
      </c>
      <c r="L19" s="0" t="n">
        <f aca="false">L15+L16+L17+L18</f>
        <v>32549.5402416362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23791.4774350122</v>
      </c>
      <c r="D21" s="0" t="n">
        <f aca="false">D19*D20</f>
        <v>23777.4804256362</v>
      </c>
      <c r="E21" s="0" t="n">
        <f aca="false">E19*E20</f>
        <v>23801.3260336399</v>
      </c>
      <c r="F21" s="0" t="n">
        <f aca="false">F19*F20</f>
        <v>23377.2253885578</v>
      </c>
      <c r="G21" s="0" t="n">
        <f aca="false">G19*G20</f>
        <v>22088.3765099894</v>
      </c>
      <c r="H21" s="0" t="n">
        <f aca="false">H19*H20</f>
        <v>20870.5770791426</v>
      </c>
      <c r="I21" s="0" t="n">
        <f aca="false">I19*I20</f>
        <v>19737.7247773358</v>
      </c>
      <c r="J21" s="0" t="n">
        <f aca="false">J19*J20</f>
        <v>18903.7364064625</v>
      </c>
      <c r="K21" s="0" t="n">
        <f aca="false">K19*K20</f>
        <v>18104.9869808373</v>
      </c>
      <c r="L21" s="0" t="n">
        <f aca="false">L19*L20</f>
        <v>17339.9875309428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211792.898567556</v>
      </c>
    </row>
    <row r="31" customFormat="false" ht="15" hidden="false" customHeight="false" outlineLevel="0" collapsed="false">
      <c r="A31" s="0" t="s">
        <v>137</v>
      </c>
      <c r="B31" s="0" t="n">
        <f aca="false">L19</f>
        <v>32549.5402416362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737789.57881042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423144.02314127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423144.02314127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225419.837902256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437212.736469812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263521.736469812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63.3618024692984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0.379830193146743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5009.32181583133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9161.54629985971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66.7690802081037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255388.700357453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8.42714202505651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</v>
      </c>
      <c r="D5" s="4" t="n">
        <f aca="false">Assumptions!D41</f>
        <v>3.5</v>
      </c>
      <c r="E5" s="4" t="n">
        <f aca="false">Assumptions!E41</f>
        <v>3.5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138191</v>
      </c>
      <c r="C6" s="0" t="n">
        <f aca="false">B6*(1+C5/100)</f>
        <v>139572.91</v>
      </c>
      <c r="D6" s="0" t="n">
        <f aca="false">C6*(1+D5/100)</f>
        <v>144457.96185</v>
      </c>
      <c r="E6" s="0" t="n">
        <f aca="false">D6*(1+E5/100)</f>
        <v>149513.99051475</v>
      </c>
      <c r="F6" s="0" t="n">
        <f aca="false">E6*(1+F5/100)</f>
        <v>153999.410230192</v>
      </c>
      <c r="G6" s="0" t="n">
        <f aca="false">F6*(1+G5/100)</f>
        <v>158619.392537098</v>
      </c>
      <c r="H6" s="0" t="n">
        <f aca="false">G6*(1+H5/100)</f>
        <v>162584.877350526</v>
      </c>
      <c r="I6" s="0" t="n">
        <f aca="false">H6*(1+I5/100)</f>
        <v>166649.499284289</v>
      </c>
      <c r="J6" s="0" t="n">
        <f aca="false">I6*(1+J5/100)</f>
        <v>170815.736766396</v>
      </c>
      <c r="K6" s="0" t="n">
        <f aca="false">J6*(1+K5/100)</f>
        <v>175086.130185556</v>
      </c>
      <c r="L6" s="0" t="n">
        <f aca="false">K6*(1+L5/100)</f>
        <v>179463.283440195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36.5</v>
      </c>
      <c r="D7" s="4" t="n">
        <f aca="false">Assumptions!D42</f>
        <v>38</v>
      </c>
      <c r="E7" s="4" t="n">
        <f aca="false">Assumptions!E42</f>
        <v>39</v>
      </c>
      <c r="F7" s="4" t="n">
        <f aca="false">Assumptions!F42</f>
        <v>40</v>
      </c>
      <c r="G7" s="4" t="n">
        <f aca="false">Assumptions!G42</f>
        <v>40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50944.11215</v>
      </c>
      <c r="D8" s="0" t="n">
        <f aca="false">D6*D7/100</f>
        <v>54894.025503</v>
      </c>
      <c r="E8" s="0" t="n">
        <f aca="false">E6*E7/100</f>
        <v>58310.4563007525</v>
      </c>
      <c r="F8" s="0" t="n">
        <f aca="false">F6*F7/100</f>
        <v>61599.764092077</v>
      </c>
      <c r="G8" s="0" t="n">
        <f aca="false">G6*G7/100</f>
        <v>63447.7570148393</v>
      </c>
      <c r="H8" s="0" t="n">
        <f aca="false">H6*H7/100</f>
        <v>65033.9509402103</v>
      </c>
      <c r="I8" s="0" t="n">
        <f aca="false">I6*I7/100</f>
        <v>66659.7997137155</v>
      </c>
      <c r="J8" s="0" t="n">
        <f aca="false">J6*J7/100</f>
        <v>68326.2947065584</v>
      </c>
      <c r="K8" s="0" t="n">
        <f aca="false">K6*K7/100</f>
        <v>70034.4520742224</v>
      </c>
      <c r="L8" s="0" t="n">
        <f aca="false">L6*L7/100</f>
        <v>71785.3133760779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0.48</v>
      </c>
      <c r="D9" s="4" t="n">
        <f aca="false">Assumptions!D43</f>
        <v>0.47</v>
      </c>
      <c r="E9" s="4" t="n">
        <f aca="false">Assumptions!E43</f>
        <v>0.46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-669.949968</v>
      </c>
      <c r="D10" s="0" t="n">
        <f aca="false">-D6*D9/100</f>
        <v>-678.952420695</v>
      </c>
      <c r="E10" s="0" t="n">
        <f aca="false">-E6*E9/100</f>
        <v>-687.76435636785</v>
      </c>
      <c r="F10" s="0" t="n">
        <f aca="false">-F6*F9/100</f>
        <v>-692.997346035866</v>
      </c>
      <c r="G10" s="0" t="n">
        <f aca="false">-G6*G9/100</f>
        <v>-713.787266416942</v>
      </c>
      <c r="H10" s="0" t="n">
        <f aca="false">-H6*H9/100</f>
        <v>-731.631948077366</v>
      </c>
      <c r="I10" s="0" t="n">
        <f aca="false">-I6*I9/100</f>
        <v>-749.9227467793</v>
      </c>
      <c r="J10" s="0" t="n">
        <f aca="false">-J6*J9/100</f>
        <v>-768.670815448782</v>
      </c>
      <c r="K10" s="0" t="n">
        <f aca="false">-K6*K9/100</f>
        <v>-787.887585835002</v>
      </c>
      <c r="L10" s="0" t="n">
        <f aca="false">-L6*L9/100</f>
        <v>-807.584775480877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50274.162182</v>
      </c>
      <c r="D11" s="0" t="n">
        <f aca="false">D8+D10+D24</f>
        <v>54215.073082305</v>
      </c>
      <c r="E11" s="0" t="n">
        <f aca="false">E8+E10+E24</f>
        <v>57622.6919443846</v>
      </c>
      <c r="F11" s="0" t="n">
        <f aca="false">F8+F10+F24</f>
        <v>60906.7667460411</v>
      </c>
      <c r="G11" s="0" t="n">
        <f aca="false">G8+G10+G24</f>
        <v>62733.9697484224</v>
      </c>
      <c r="H11" s="0" t="n">
        <f aca="false">H8+H10+H24</f>
        <v>64302.3189921329</v>
      </c>
      <c r="I11" s="0" t="n">
        <f aca="false">I8+I10+I24</f>
        <v>65909.8769669362</v>
      </c>
      <c r="J11" s="0" t="n">
        <f aca="false">J8+J10+J24</f>
        <v>67557.6238911096</v>
      </c>
      <c r="K11" s="0" t="n">
        <f aca="false">K8+K10+K24</f>
        <v>69246.5644883874</v>
      </c>
      <c r="L11" s="0" t="n">
        <f aca="false">L8+L10+L24</f>
        <v>70977.7286005971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-20098.49904</v>
      </c>
      <c r="D12" s="4" t="n">
        <f aca="false">-D6*Assumptions!D45/100</f>
        <v>-20513.0305827</v>
      </c>
      <c r="E12" s="4" t="n">
        <f aca="false">-E6*Assumptions!E45/100</f>
        <v>-20931.958672065</v>
      </c>
      <c r="F12" s="4" t="n">
        <f aca="false">-F6*Assumptions!F45/100</f>
        <v>-21251.9186117666</v>
      </c>
      <c r="G12" s="4" t="n">
        <f aca="false">-G6*Assumptions!G45/100</f>
        <v>-21572.2373850454</v>
      </c>
      <c r="H12" s="4" t="n">
        <f aca="false">-H6*Assumptions!H45/100</f>
        <v>-21948.958442321</v>
      </c>
      <c r="I12" s="4" t="n">
        <f aca="false">-I6*Assumptions!I45/100</f>
        <v>-22497.682403379</v>
      </c>
      <c r="J12" s="4" t="n">
        <f aca="false">-J6*Assumptions!J45/100</f>
        <v>-23060.1244634635</v>
      </c>
      <c r="K12" s="4" t="n">
        <f aca="false">-K6*Assumptions!K45/100</f>
        <v>-23636.6275750501</v>
      </c>
      <c r="L12" s="4" t="n">
        <f aca="false">-L6*Assumptions!L45/100</f>
        <v>-24227.5432644263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30175.663142</v>
      </c>
      <c r="D13" s="0" t="n">
        <f aca="false">D11+D12</f>
        <v>33702.042499605</v>
      </c>
      <c r="E13" s="0" t="n">
        <f aca="false">E11+E12</f>
        <v>36690.7332723196</v>
      </c>
      <c r="F13" s="0" t="n">
        <f aca="false">F11+F12</f>
        <v>39654.8481342746</v>
      </c>
      <c r="G13" s="0" t="n">
        <f aca="false">G11+G12</f>
        <v>41161.732363377</v>
      </c>
      <c r="H13" s="0" t="n">
        <f aca="false">H11+H12</f>
        <v>42353.3605498119</v>
      </c>
      <c r="I13" s="0" t="n">
        <f aca="false">I11+I12</f>
        <v>43412.1945635573</v>
      </c>
      <c r="J13" s="0" t="n">
        <f aca="false">J11+J12</f>
        <v>44497.4994276462</v>
      </c>
      <c r="K13" s="0" t="n">
        <f aca="false">K11+K12</f>
        <v>45609.9369133373</v>
      </c>
      <c r="L13" s="0" t="n">
        <f aca="false">L11+L12</f>
        <v>46750.1853361708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21</v>
      </c>
      <c r="H14" s="4" t="n">
        <f aca="false">Assumptions!H47</f>
        <v>22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25045.80040786</v>
      </c>
      <c r="D15" s="0" t="n">
        <f aca="false">D13-MAX(0,D13)*D14/100</f>
        <v>27635.6748496761</v>
      </c>
      <c r="E15" s="0" t="n">
        <f aca="false">E13-MAX(0,E13)*E14/100</f>
        <v>29719.4939505789</v>
      </c>
      <c r="F15" s="0" t="n">
        <f aca="false">F13-MAX(0,F13)*F14/100</f>
        <v>31723.8785074197</v>
      </c>
      <c r="G15" s="0" t="n">
        <f aca="false">G13-MAX(0,G13)*G14/100</f>
        <v>32517.7685670678</v>
      </c>
      <c r="H15" s="0" t="n">
        <f aca="false">H13-MAX(0,H13)*H14/100</f>
        <v>33035.6212288533</v>
      </c>
      <c r="I15" s="0" t="n">
        <f aca="false">I13-MAX(0,I13)*I14/100</f>
        <v>33427.3898139391</v>
      </c>
      <c r="J15" s="0" t="n">
        <f aca="false">J13-MAX(0,J13)*J14/100</f>
        <v>34263.0745592876</v>
      </c>
      <c r="K15" s="0" t="n">
        <f aca="false">K13-MAX(0,K13)*K14/100</f>
        <v>35119.6514232697</v>
      </c>
      <c r="L15" s="0" t="n">
        <f aca="false">L13-MAX(0,L13)*L14/100</f>
        <v>35997.6427088515</v>
      </c>
    </row>
    <row r="16" customFormat="false" ht="15" hidden="false" customHeight="false" outlineLevel="0" collapsed="false">
      <c r="A16" s="0" t="s">
        <v>128</v>
      </c>
      <c r="C16" s="0" t="n">
        <f aca="false">-C12</f>
        <v>20098.49904</v>
      </c>
      <c r="D16" s="0" t="n">
        <f aca="false">-D12</f>
        <v>20513.0305827</v>
      </c>
      <c r="E16" s="0" t="n">
        <f aca="false">-E12</f>
        <v>20931.958672065</v>
      </c>
      <c r="F16" s="0" t="n">
        <f aca="false">-F12</f>
        <v>21251.9186117666</v>
      </c>
      <c r="G16" s="0" t="n">
        <f aca="false">-G12</f>
        <v>21572.2373850454</v>
      </c>
      <c r="H16" s="0" t="n">
        <f aca="false">-H12</f>
        <v>21948.958442321</v>
      </c>
      <c r="I16" s="0" t="n">
        <f aca="false">-I12</f>
        <v>22497.682403379</v>
      </c>
      <c r="J16" s="0" t="n">
        <f aca="false">-J12</f>
        <v>23060.1244634635</v>
      </c>
      <c r="K16" s="0" t="n">
        <f aca="false">-K12</f>
        <v>23636.6275750501</v>
      </c>
      <c r="L16" s="0" t="n">
        <f aca="false">-L12</f>
        <v>24227.5432644263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-18842.34285</v>
      </c>
      <c r="D17" s="4" t="n">
        <f aca="false">-D6*Assumptions!D46/100</f>
        <v>-18779.5350405</v>
      </c>
      <c r="E17" s="4" t="n">
        <f aca="false">-E6*Assumptions!E46/100</f>
        <v>-18988.2767953732</v>
      </c>
      <c r="F17" s="4" t="n">
        <f aca="false">-F6*Assumptions!F46/100</f>
        <v>-19249.9262787741</v>
      </c>
      <c r="G17" s="4" t="n">
        <f aca="false">-G6*Assumptions!G46/100</f>
        <v>-19827.4240671373</v>
      </c>
      <c r="H17" s="4" t="n">
        <f aca="false">-H6*Assumptions!H46/100</f>
        <v>-20323.1096688157</v>
      </c>
      <c r="I17" s="4" t="n">
        <f aca="false">-I6*Assumptions!I46/100</f>
        <v>-20831.1874105361</v>
      </c>
      <c r="J17" s="4" t="n">
        <f aca="false">-J6*Assumptions!J46/100</f>
        <v>-21351.9670957995</v>
      </c>
      <c r="K17" s="4" t="n">
        <f aca="false">-K6*Assumptions!K46/100</f>
        <v>-21885.7662731945</v>
      </c>
      <c r="L17" s="4" t="n">
        <f aca="false">-L6*Assumptions!L46/100</f>
        <v>-22432.9104300244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-69.0955000000002</v>
      </c>
      <c r="D18" s="4" t="n">
        <f aca="false">(D6-C6)*Assumptions!$B$51/100</f>
        <v>-244.252592499999</v>
      </c>
      <c r="E18" s="4" t="n">
        <f aca="false">(E6-D6)*Assumptions!$B$51/100</f>
        <v>-252.801433237499</v>
      </c>
      <c r="F18" s="4" t="n">
        <f aca="false">(F6-E6)*Assumptions!$B$51/100</f>
        <v>-224.270985772125</v>
      </c>
      <c r="G18" s="4" t="n">
        <f aca="false">(G6-F6)*Assumptions!$B$51/100</f>
        <v>-230.999115345289</v>
      </c>
      <c r="H18" s="4" t="n">
        <f aca="false">(H6-G6)*Assumptions!$B$51/100</f>
        <v>-198.274240671372</v>
      </c>
      <c r="I18" s="4" t="n">
        <f aca="false">(I6-H6)*Assumptions!$B$51/100</f>
        <v>-203.231096688156</v>
      </c>
      <c r="J18" s="4" t="n">
        <f aca="false">(J6-I6)*Assumptions!$B$51/100</f>
        <v>-208.311874105361</v>
      </c>
      <c r="K18" s="4" t="n">
        <f aca="false">(K6-J6)*Assumptions!$B$51/100</f>
        <v>-213.519670957995</v>
      </c>
      <c r="L18" s="4" t="n">
        <f aca="false">(L6-K6)*Assumptions!$B$51/100</f>
        <v>-218.857662731945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26232.86109786</v>
      </c>
      <c r="D19" s="0" t="n">
        <f aca="false">D15+D16+D17+D18</f>
        <v>29124.9177993761</v>
      </c>
      <c r="E19" s="0" t="n">
        <f aca="false">E15+E16+E17+E18</f>
        <v>31410.3743940332</v>
      </c>
      <c r="F19" s="0" t="n">
        <f aca="false">F15+F16+F17+F18</f>
        <v>33501.59985464</v>
      </c>
      <c r="G19" s="0" t="n">
        <f aca="false">G15+G16+G17+G18</f>
        <v>34031.5827696306</v>
      </c>
      <c r="H19" s="0" t="n">
        <f aca="false">H15+H16+H17+H18</f>
        <v>34463.1957616872</v>
      </c>
      <c r="I19" s="0" t="n">
        <f aca="false">I15+I16+I17+I18</f>
        <v>34890.6537100938</v>
      </c>
      <c r="J19" s="0" t="n">
        <f aca="false">J15+J16+J17+J18</f>
        <v>35762.9200528462</v>
      </c>
      <c r="K19" s="0" t="n">
        <f aca="false">K15+K16+K17+K18</f>
        <v>36656.9930541673</v>
      </c>
      <c r="L19" s="0" t="n">
        <f aca="false">L15+L16+L17+L18</f>
        <v>37573.4178805215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24631.7944580845</v>
      </c>
      <c r="D21" s="0" t="n">
        <f aca="false">D19*D20</f>
        <v>25678.2541377382</v>
      </c>
      <c r="E21" s="0" t="n">
        <f aca="false">E19*E20</f>
        <v>26003.0499152919</v>
      </c>
      <c r="F21" s="0" t="n">
        <f aca="false">F19*F20</f>
        <v>26041.5671489301</v>
      </c>
      <c r="G21" s="0" t="n">
        <f aca="false">G19*G20</f>
        <v>24839.0001000301</v>
      </c>
      <c r="H21" s="0" t="n">
        <f aca="false">H19*H20</f>
        <v>23618.803898334</v>
      </c>
      <c r="I21" s="0" t="n">
        <f aca="false">I19*I20</f>
        <v>22452.3525020928</v>
      </c>
      <c r="J21" s="0" t="n">
        <f aca="false">J19*J20</f>
        <v>21609.0716569438</v>
      </c>
      <c r="K21" s="0" t="n">
        <f aca="false">K19*K20</f>
        <v>20797.4633318004</v>
      </c>
      <c r="L21" s="0" t="n">
        <f aca="false">L19*L20</f>
        <v>20016.3379484464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235687.695097692</v>
      </c>
    </row>
    <row r="31" customFormat="false" ht="15" hidden="false" customHeight="false" outlineLevel="0" collapsed="false">
      <c r="A31" s="0" t="s">
        <v>137</v>
      </c>
      <c r="B31" s="0" t="n">
        <f aca="false">L19</f>
        <v>37573.4178805215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962818.833188363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526027.850327301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526027.850327301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280228.731278249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515916.426375941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342225.426375941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82.2855076643282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0.791931787115162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5182.372456108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11024.4242920845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86.182308998349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308102.026620276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15.2543704000588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30.9564312467929</v>
      </c>
      <c r="C4" s="0" t="n">
        <f aca="false">B4/Assumptions!$B$2-1</f>
        <v>-0.325861688876461</v>
      </c>
      <c r="D4" s="4" t="n">
        <f aca="false">Assumptions!$B$24</f>
        <v>0.25</v>
      </c>
      <c r="E4" s="4" t="n">
        <f aca="false">DCF_Bear!$B$43</f>
        <v>33.6938982112801</v>
      </c>
      <c r="F4" s="4" t="n">
        <f aca="false">DCF_Bear!$B$47</f>
        <v>-3.71959154711991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63.3618024692984</v>
      </c>
      <c r="C5" s="0" t="n">
        <f aca="false">B5/Assumptions!$B$2-1</f>
        <v>0.379830193146743</v>
      </c>
      <c r="D5" s="4" t="n">
        <f aca="false">Assumptions!$B$38</f>
        <v>0.5</v>
      </c>
      <c r="E5" s="4" t="n">
        <f aca="false">DCF_Base!$B$43</f>
        <v>66.7690802081037</v>
      </c>
      <c r="F5" s="4" t="n">
        <f aca="false">DCF_Base!$B$47</f>
        <v>8.42714202505651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82.2855076643282</v>
      </c>
      <c r="C6" s="0" t="n">
        <f aca="false">B6/Assumptions!$B$2-1</f>
        <v>0.791931787115162</v>
      </c>
      <c r="D6" s="4" t="n">
        <f aca="false">Assumptions!$B$52</f>
        <v>0.25</v>
      </c>
      <c r="E6" s="4" t="n">
        <f aca="false">DCF_Bull!$B$43</f>
        <v>86.182308998349</v>
      </c>
      <c r="F6" s="4" t="n">
        <f aca="false">DCF_Bull!$B$47</f>
        <v>15.2543704000588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59.9913859624295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63.3535919064591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0.234556774054894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-418.516479855034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7.09726572576298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63.3618024692984</v>
      </c>
      <c r="C15" s="3" t="n">
        <v>6.5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46.4654715111964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39.9555521381877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30.8500318125048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23.5642595029062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8.42714202505651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80.0144268183409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80.0144268183409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80.0144268183409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80.0144268183409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80.0144268183409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71.294926000557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71.294926000557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71.294926000557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71.294926000557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71.294926000557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63.3618024692984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63.3618024692984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63.3618024692984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63.3618024692984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63.3618024692984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56.1349612063422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56.1349612063422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56.1349612063422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56.1349612063422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56.1349612063422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49.5432337264174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49.5432337264174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49.5432337264174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49.5432337264174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49.5432337264174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2026-10-02T21:41:42Z</dcterms:created>
  <dc:creator>openpyxl</dc:creator>
  <dc:description/>
  <dc:language>en-NZ</dc:language>
  <cp:lastModifiedBy/>
  <dcterms:modified xsi:type="dcterms:W3CDTF">2026-10-02T21:41:42Z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