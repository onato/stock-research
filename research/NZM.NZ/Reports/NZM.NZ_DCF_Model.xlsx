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<sst xmlns="http://schemas.openxmlformats.org/spreadsheetml/2006/main" count="360" uniqueCount="165">
  <si>
    <t xml:space="preserve">Ticker</t>
  </si>
  <si>
    <t xml:space="preserve">NZM.NZ</t>
  </si>
  <si>
    <t xml:space="preserve">Company</t>
  </si>
  <si>
    <t xml:space="preserve">NZME Limited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</si>
  <si>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</si>
  <si>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</si>
  <si>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</si>
  <si>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</si>
  <si>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2026-09-25T05:00:32Z regular NZX close (Yahoo Finance chart API, regularMarketTime)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</si>
  <si>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</si>
  <si>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</si>
  <si>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</si>
  <si>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</si>
  <si>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</si>
  <si>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NZD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</si>
  <si>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</si>
  <si>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</si>
  <si>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</si>
  <si>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</si>
  <si>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</si>
  <si>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</si>
  <si>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2026-09-25T15:03:00Z</t>
  </si>
  <si>
    <t xml:space="preserve">Drivers file</t>
  </si>
  <si>
    <t xml:space="preserve">NZM.NZ_Drivers.json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</si>
  <si>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</si>
  <si>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</si>
  <si>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</si>
  <si>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NZME is valued as an ex-growth, cyclical cash generator, not a digital-growth story: component-built owner FCF with IFRS-16 lease payments charged in the flows (the same basis as NZME's own headline FCF), a 10.5% NZD WACC applied once, 1% base terminal growth, a 12x terminal cap and a bear-leaning 25/50/25 weighting. The recovery from the FY2024 trough and the announced cost-out programmes are credited only partially; the model does not assume the Google deal is lost in the base case.
key_risks_to_valuation: Google content-supply agreement expiry (Dec-2026) -- terms unsettled; loss is in the bear flows only; Pace of print decline versus digital subscription and audio growth; OneRoof's competitive position against Trade Me Property in a winner-take-most category; NZ advertising and housing cycle; mid-2026 OCR increase; Execution of the print-plant (up to $15m) and $7m AI cost-out programmes; Governance overhang: largest holder just under the 20% takeover threshold (upside or downside); Recurring 'non-recurring' restructuring costs -- modelled at ~0.7pp of revenue</t>
  </si>
  <si>
    <t xml:space="preserve">Data sources</t>
  </si>
  <si>
    <t xml:space="preserve">price: Yahoo Finance chart API at inputs.price_as_of; 52-week range 1.005-1.24
financials: NZM.NZ_Metrics.csv (core_metrics); FY2025 Annual Report cash flow statement (lines 2665-2717), lease note 4.5.2 (lines 4351-4370), EPS note 2.3 (lines 3190-3204), ROU depreciation (line 3146); H1-2026 results presentation (balance sheet and cash flow slides, lines 360-420; cost-out slide lines 1071-1103)
qualitative: NZM.NZ_Analysis.json (2026-09-26): guidance, bull/bear points, risk register</t>
  </si>
  <si>
    <t xml:space="preserve">Scenario narrative: bear</t>
  </si>
  <si>
    <t xml:space="preserve">Print declines faster than digital replaces it (print subscriber volumes are already -9% YoY), the Google content-supply agreement is not renewed or renews for materially less, OneRoof's stall against Trade Me Property becomes permanent, and the mid-2026 OCR increase prolongs the NZ ad and housing downturn. Revenue shrinks ~2% a year; fixed costs (talent, print distribution, leases) do not fall as fast, so the margin slides to 15% despite the cost programmes, and the governance contest around the ~20% holder distracts management. Owner FCF falls toward ~$12-13m with no growth in perpetuity (-1% terminal).</t>
  </si>
  <si>
    <t xml:space="preserve">Scenario narrative: base</t>
  </si>
  <si>
    <t xml:space="preserve">Audio keeps taking share of a flat-to-slightly-growing NZ radio pool and digital subscriptions keep growing mid-single digits, but print reader and advertising revenue keep falling high-single digits, so group revenue grows ~1-2% a year -- roughly the FY2020-25 record. The FY2026 guidance ('ahead of' $62.3m Operating EBITDA) is met; the $4m+$3m AI-enabled cost-out and the new print plant lift the margin ~1.3pp by 2029, with inflation eating the rest. OneRoof stays a sub-scale #2 to Trade Me Property and contributes modest growth once the Auckland market normalises. The Google content-supply deal (expires Dec-2026) is renewed on broadly similar terms. Owner FCF dips in 2026-27 on the $15m print-plant spend, then settles around $27-30m (~7.5-8% of revenue).</t>
  </si>
  <si>
    <t xml:space="preserve">Scenario narrative: bull</t>
  </si>
  <si>
    <t xml:space="preserve">The 2027 cyclical recovery management is pointing to arrives: NZ ad spend and housing turnover normalise, Audio's 15-month growth streak and digital audio (+16%) compound, the new Herald app and dynamic paywall lift digital-subscription yield, and OneRoof's upgrade penetration moves toward the 60%/40% Auckland/rest-of-NZ ambition. Revenue grows 2.5-3.5% through the recovery, cost-out and print-plant savings are largely retained rather than competed away, and the Central Auckland lease resets lower -- a mature 21% EBITDA margin. Not modelled but supportive: a takeover approach from the ~20% holder or a OneRoof monetisation event.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</si>
  <si>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</si>
  <si>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</si>
  <si>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</si>
  <si>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</si>
  <si>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</si>
  <si>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</si>
  <si>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</si>
  <si>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</si>
  <si>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</si>
  <si>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</si>
  <si>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</si>
  <si>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</si>
  <si>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</si>
  <si>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</si>
  <si>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</si>
  <si>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</si>
  <si>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</si>
  <si>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</si>
  <si>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</si>
  <si>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</si>
  <si>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</si>
  <si>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</si>
  <si>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</si>
  <si>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</si>
  <si>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</si>
  <si>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</si>
  <si>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</si>
  <si>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</si>
  <si>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</si>
  <si>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</si>
  <si>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</si>
  <si>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</si>
  <si>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</si>
  <si>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</si>
  <si>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</si>
  <si>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</si>
  <si>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</si>
  <si>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</si>
  <si>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</si>
  <si>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</si>
  <si>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</si>
  <si>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</si>
  <si>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</si>
  <si>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</si>
  <si>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</si>
  <si>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</si>
  <si>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</si>
  <si>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NZD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</si>
  <si>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</si>
  <si>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</si>
  <si>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</si>
  <si>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</si>
  <si>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</si>
  <si>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</si>
  <si>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</si>
  <si>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</si>
  <si>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</si>
  <si>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</si>
  <si>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</si>
  <si>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</si>
  <si>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</si>
  <si>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</si>
  <si>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</si>
  <si>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</si>
  <si>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</si>
  <si>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</si>
  <si>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</si>
  <si>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</si>
  <si>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</si>
  <si>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</si>
  <si>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</si>
  <si>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</si>
  <si>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</si>
  <si>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</si>
  <si>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NZM.NZ owner-FCF component DCF: bear case (millions, NZD)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</si>
  <si>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</si>
  <si>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</si>
  <si>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</si>
  <si>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</si>
  <si>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</si>
  <si>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</si>
  <si>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</si>
  <si>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</si>
  <si>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</si>
  <si>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</si>
  <si>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</si>
  <si>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</si>
  <si>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</si>
  <si>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</si>
  <si>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</si>
  <si>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</si>
  <si>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</si>
  <si>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</si>
  <si>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</si>
  <si>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</si>
  <si>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</si>
  <si>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</si>
  <si>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</si>
  <si>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</si>
  <si>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</si>
  <si>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</si>
  <si>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</si>
  <si>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</si>
  <si>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</si>
  <si>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</si>
  <si>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NZM.NZ owner-FCF component DCF: base case (millions, NZD)</t>
  </si>
  <si>
    <t xml:space="preserve">NZM.NZ owner-FCF component DCF: bull case (millions, NZD)</t>
  </si>
  <si>
    <t xml:space="preserve">NZM.NZ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</si>
  <si>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</si>
  <si>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</si>
  <si>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</si>
  <si>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</si>
  <si>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</si>
  <si>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</si>
  <si>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</si>
  <si>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</si>
  <si>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</si>
  <si>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</si>
  <si>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</si>
  <si>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</si>
  <si>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</si>
  <si>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</si>
  <si>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</si>
  <si>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</si>
  <si>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10.5%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</si>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</sst>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1.06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407.856</v>
      </c>
      <c r="F2" s="0" t="n">
        <v>22.798</v>
      </c>
      <c r="G2" s="0" t="n">
        <v>5.6</v>
      </c>
      <c r="H2" s="0" t="n">
        <v>46.643</v>
      </c>
      <c r="I2" s="0" t="n">
        <v>74.543</v>
      </c>
      <c r="J2" s="0" t="n">
        <v>18.3</v>
      </c>
      <c r="K2" s="0" t="n">
        <v>30.9</v>
      </c>
      <c r="L2" s="0" t="n">
        <v>61.682</v>
      </c>
      <c r="M2" s="0" t="n">
        <v>15.956</v>
      </c>
      <c r="N2" s="0" t="n">
        <v>45.726</v>
      </c>
      <c r="O2" s="0" t="n">
        <v>285.559</v>
      </c>
      <c r="P2" s="0" t="n">
        <v>483.54</v>
      </c>
      <c r="Q2" s="0" t="n">
        <v>197.981</v>
      </c>
      <c r="R2" s="0" t="n">
        <v>111.6</v>
      </c>
      <c r="S2" s="0" t="n">
        <v>16.242</v>
      </c>
      <c r="T2" s="0" t="n">
        <v>196.011</v>
      </c>
      <c r="U2" s="0" t="n">
        <v>0.144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390.688</v>
      </c>
      <c r="F3" s="0" t="n">
        <v>33.829</v>
      </c>
      <c r="G3" s="0" t="n">
        <v>8.7</v>
      </c>
      <c r="H3" s="0" t="n">
        <v>58.775</v>
      </c>
      <c r="I3" s="0" t="n">
        <v>20.885</v>
      </c>
      <c r="J3" s="0" t="n">
        <v>5.3</v>
      </c>
      <c r="K3" s="0" t="n">
        <v>10.7</v>
      </c>
      <c r="L3" s="0" t="n">
        <v>39.455</v>
      </c>
      <c r="M3" s="0" t="n">
        <v>15.046</v>
      </c>
      <c r="N3" s="0" t="n">
        <v>24.409</v>
      </c>
      <c r="O3" s="0" t="n">
        <v>289.032</v>
      </c>
      <c r="P3" s="0" t="n">
        <v>468.085</v>
      </c>
      <c r="Q3" s="0" t="n">
        <v>179.053</v>
      </c>
      <c r="R3" s="0" t="n">
        <v>99.788</v>
      </c>
      <c r="S3" s="0" t="n">
        <v>9.57</v>
      </c>
      <c r="T3" s="0" t="n">
        <v>196.011</v>
      </c>
      <c r="U3" s="0" t="n">
        <v>1.225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388.269</v>
      </c>
      <c r="F4" s="0" t="n">
        <v>21.024</v>
      </c>
      <c r="G4" s="0" t="n">
        <v>5.4</v>
      </c>
      <c r="H4" s="0" t="n">
        <v>45.579</v>
      </c>
      <c r="I4" s="0" t="n">
        <v>11.572</v>
      </c>
      <c r="J4" s="0" t="n">
        <v>3</v>
      </c>
      <c r="K4" s="0" t="n">
        <v>6</v>
      </c>
      <c r="L4" s="0" t="n">
        <v>21.842</v>
      </c>
      <c r="M4" s="0" t="n">
        <v>14.08</v>
      </c>
      <c r="N4" s="0" t="n">
        <v>7.762</v>
      </c>
      <c r="O4" s="0" t="n">
        <v>286.636</v>
      </c>
      <c r="P4" s="0" t="n">
        <v>462.777</v>
      </c>
      <c r="Q4" s="0" t="n">
        <v>176.141</v>
      </c>
      <c r="R4" s="0" t="n">
        <v>109.992</v>
      </c>
      <c r="S4" s="0" t="n">
        <v>11.717</v>
      </c>
      <c r="T4" s="0" t="n">
        <v>196.011</v>
      </c>
      <c r="U4" s="0" t="n">
        <v>0.581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371.079</v>
      </c>
      <c r="F5" s="0" t="n">
        <v>24.897</v>
      </c>
      <c r="G5" s="0" t="n">
        <v>6.7</v>
      </c>
      <c r="H5" s="0" t="n">
        <v>56.569</v>
      </c>
      <c r="I5" s="0" t="n">
        <v>-165.172</v>
      </c>
      <c r="J5" s="0" t="n">
        <v>-44.5</v>
      </c>
      <c r="K5" s="0" t="n">
        <v>-83.77</v>
      </c>
      <c r="L5" s="0" t="n">
        <v>46.971</v>
      </c>
      <c r="M5" s="0" t="n">
        <v>11.84</v>
      </c>
      <c r="N5" s="0" t="n">
        <v>35.131</v>
      </c>
      <c r="O5" s="0" t="n">
        <v>116.47</v>
      </c>
      <c r="P5" s="0" t="n">
        <v>353.844</v>
      </c>
      <c r="Q5" s="0" t="n">
        <v>237.374</v>
      </c>
      <c r="R5" s="0" t="n">
        <v>185.032</v>
      </c>
      <c r="S5" s="0" t="n">
        <v>14.416</v>
      </c>
      <c r="T5" s="0" t="n">
        <v>196.556</v>
      </c>
      <c r="U5" s="0" t="n">
        <v>0.311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322.139</v>
      </c>
      <c r="F6" s="0" t="n">
        <v>30.697</v>
      </c>
      <c r="G6" s="0" t="n">
        <v>9.5</v>
      </c>
      <c r="H6" s="0" t="n">
        <v>60.921</v>
      </c>
      <c r="I6" s="0" t="n">
        <v>14.242</v>
      </c>
      <c r="J6" s="0" t="n">
        <v>4.4</v>
      </c>
      <c r="K6" s="0" t="n">
        <v>7.36</v>
      </c>
      <c r="L6" s="0" t="n">
        <v>4.187</v>
      </c>
      <c r="M6" s="0" t="n">
        <v>6.34</v>
      </c>
      <c r="N6" s="0" t="n">
        <v>-2.153</v>
      </c>
      <c r="O6" s="0" t="n">
        <v>132.088</v>
      </c>
      <c r="P6" s="0" t="n">
        <v>338.256</v>
      </c>
      <c r="Q6" s="0" t="n">
        <v>206.168</v>
      </c>
      <c r="R6" s="0" t="n">
        <v>152.831</v>
      </c>
      <c r="S6" s="0" t="n">
        <v>11.56</v>
      </c>
      <c r="T6" s="0" t="n">
        <v>197.57</v>
      </c>
      <c r="U6" s="0" t="n">
        <v>1.095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348.559</v>
      </c>
      <c r="F7" s="0" t="n">
        <v>52.461</v>
      </c>
      <c r="G7" s="0" t="n">
        <v>15.1</v>
      </c>
      <c r="H7" s="0" t="n">
        <v>78.78</v>
      </c>
      <c r="I7" s="0" t="n">
        <v>34.434</v>
      </c>
      <c r="J7" s="0" t="n">
        <v>9.9</v>
      </c>
      <c r="K7" s="0" t="n">
        <v>17.54</v>
      </c>
      <c r="L7" s="0" t="n">
        <v>51.842</v>
      </c>
      <c r="M7" s="0" t="n">
        <v>6.505</v>
      </c>
      <c r="N7" s="0" t="n">
        <v>45.337</v>
      </c>
      <c r="O7" s="0" t="n">
        <v>157.114</v>
      </c>
      <c r="P7" s="0" t="n">
        <v>312.368</v>
      </c>
      <c r="Q7" s="0" t="n">
        <v>155.254</v>
      </c>
      <c r="R7" s="0" t="n">
        <v>96.785</v>
      </c>
      <c r="S7" s="0" t="n">
        <v>13.538</v>
      </c>
      <c r="T7" s="0" t="n">
        <v>197.57</v>
      </c>
      <c r="U7" s="0" t="n">
        <v>7.1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355.433</v>
      </c>
      <c r="F8" s="0" t="n">
        <v>37.06</v>
      </c>
      <c r="G8" s="0" t="n">
        <v>10.4</v>
      </c>
      <c r="H8" s="0" t="n">
        <v>64.451</v>
      </c>
      <c r="I8" s="0" t="n">
        <v>22.68</v>
      </c>
      <c r="J8" s="0" t="n">
        <v>6.4</v>
      </c>
      <c r="K8" s="0" t="n">
        <v>12.09</v>
      </c>
      <c r="L8" s="0" t="n">
        <v>37.489</v>
      </c>
      <c r="M8" s="0" t="n">
        <v>10.686</v>
      </c>
      <c r="N8" s="0" t="n">
        <v>26.803</v>
      </c>
      <c r="O8" s="0" t="n">
        <v>137.778</v>
      </c>
      <c r="P8" s="0" t="n">
        <v>306.237</v>
      </c>
      <c r="Q8" s="0" t="n">
        <v>168.459</v>
      </c>
      <c r="R8" s="0" t="n">
        <v>114.308</v>
      </c>
      <c r="S8" s="0" t="n">
        <v>5.67</v>
      </c>
      <c r="T8" s="0" t="n">
        <v>196.699</v>
      </c>
      <c r="U8" s="0" t="n">
        <v>7.1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340.752</v>
      </c>
      <c r="F9" s="0" t="n">
        <v>26.022</v>
      </c>
      <c r="G9" s="0" t="n">
        <v>7.6</v>
      </c>
      <c r="H9" s="0" t="n">
        <v>54.645</v>
      </c>
      <c r="I9" s="0" t="n">
        <v>12.2</v>
      </c>
      <c r="J9" s="0" t="n">
        <v>3.6</v>
      </c>
      <c r="K9" s="0" t="n">
        <v>6.95</v>
      </c>
      <c r="L9" s="0" t="n">
        <v>41.506</v>
      </c>
      <c r="M9" s="0" t="n">
        <v>11.037</v>
      </c>
      <c r="N9" s="0" t="n">
        <v>30.469</v>
      </c>
      <c r="O9" s="0" t="n">
        <v>132.447</v>
      </c>
      <c r="P9" s="0" t="n">
        <v>290.399</v>
      </c>
      <c r="Q9" s="0" t="n">
        <v>157.952</v>
      </c>
      <c r="R9" s="0" t="n">
        <v>108.167</v>
      </c>
      <c r="S9" s="0" t="n">
        <v>5.524</v>
      </c>
      <c r="T9" s="0" t="n">
        <v>183.914</v>
      </c>
      <c r="U9" s="0" t="n">
        <v>1.683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345.924</v>
      </c>
      <c r="F10" s="0" t="n">
        <v>20.241</v>
      </c>
      <c r="G10" s="0" t="n">
        <v>5.9</v>
      </c>
      <c r="H10" s="0" t="n">
        <v>50.127</v>
      </c>
      <c r="I10" s="0" t="n">
        <v>-16.04</v>
      </c>
      <c r="J10" s="0" t="n">
        <v>-4.6</v>
      </c>
      <c r="K10" s="0" t="n">
        <v>-8.59</v>
      </c>
      <c r="L10" s="0" t="n">
        <v>37.857</v>
      </c>
      <c r="M10" s="0" t="n">
        <v>12.714</v>
      </c>
      <c r="N10" s="0" t="n">
        <v>25.143</v>
      </c>
      <c r="O10" s="0" t="n">
        <v>101.263</v>
      </c>
      <c r="P10" s="0" t="n">
        <v>254.565</v>
      </c>
      <c r="Q10" s="0" t="n">
        <v>153.302</v>
      </c>
      <c r="R10" s="0" t="n">
        <v>108.567</v>
      </c>
      <c r="S10" s="0" t="n">
        <v>4.641</v>
      </c>
      <c r="T10" s="0" t="n">
        <v>188.645</v>
      </c>
      <c r="U10" s="0" t="n">
        <v>0.354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341.279</v>
      </c>
      <c r="F11" s="0" t="n">
        <v>25.303</v>
      </c>
      <c r="G11" s="0" t="n">
        <v>7.4</v>
      </c>
      <c r="H11" s="0" t="n">
        <v>56.262</v>
      </c>
      <c r="I11" s="0" t="n">
        <v>13.087</v>
      </c>
      <c r="J11" s="0" t="n">
        <v>3.8</v>
      </c>
      <c r="K11" s="0" t="n">
        <v>6.96</v>
      </c>
      <c r="L11" s="0" t="n">
        <v>50.362</v>
      </c>
      <c r="M11" s="0" t="n">
        <v>10.659</v>
      </c>
      <c r="N11" s="0" t="n">
        <v>39.703</v>
      </c>
      <c r="O11" s="0" t="n">
        <v>97.86</v>
      </c>
      <c r="P11" s="0" t="n">
        <v>238.843</v>
      </c>
      <c r="Q11" s="0" t="n">
        <v>140.983</v>
      </c>
      <c r="R11" s="0" t="n">
        <v>95.99</v>
      </c>
      <c r="S11" s="0" t="n">
        <v>8.804</v>
      </c>
      <c r="T11" s="0" t="n">
        <v>189.632</v>
      </c>
      <c r="U11" s="0" t="n">
        <v>0.341</v>
      </c>
      <c r="AA11" s="0" t="s">
        <v>17</v>
      </c>
      <c r="AB1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1.06</v>
      </c>
    </row>
    <row r="3" customFormat="false" ht="15" hidden="false" customHeight="false" outlineLevel="0" collapsed="false">
      <c r="A3" s="0" t="s">
        <v>76</v>
      </c>
      <c r="B3" s="3" t="n">
        <v>189.63</v>
      </c>
    </row>
    <row r="4" customFormat="false" ht="15" hidden="false" customHeight="false" outlineLevel="0" collapsed="false">
      <c r="A4" s="0" t="s">
        <v>77</v>
      </c>
      <c r="B4" s="3" t="n">
        <v>19.4</v>
      </c>
    </row>
    <row r="5" customFormat="false" ht="15" hidden="false" customHeight="false" outlineLevel="0" collapsed="false">
      <c r="A5" s="0" t="s">
        <v>78</v>
      </c>
      <c r="B5" s="3" t="n">
        <v>-9.44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345.1</v>
      </c>
    </row>
    <row r="8" customFormat="false" ht="15" hidden="false" customHeight="false" outlineLevel="0" collapsed="false">
      <c r="A8" s="0" t="s">
        <v>81</v>
      </c>
      <c r="B8" s="3" t="s">
        <v>72</v>
      </c>
    </row>
    <row r="9" customFormat="false" ht="15" hidden="false" customHeight="false" outlineLevel="0" collapsed="false">
      <c r="A9" s="0" t="s">
        <v>82</v>
      </c>
      <c r="B9" s="3" t="s">
        <v>83</v>
      </c>
    </row>
    <row r="10" customFormat="false" ht="15" hidden="false" customHeight="false" outlineLevel="0" collapsed="false">
      <c r="A10" s="0" t="s">
        <v>84</v>
      </c>
      <c r="B10" s="3" t="n">
        <v>1</v>
      </c>
    </row>
    <row r="12" customFormat="false" ht="15" hidden="false" customHeight="false" outlineLevel="0" collapsed="false">
      <c r="A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customFormat="false" ht="15" hidden="false" customHeight="false" outlineLevel="0" collapsed="false">
      <c r="A13" s="0" t="s">
        <v>96</v>
      </c>
      <c r="C13" s="3" t="n">
        <v>0</v>
      </c>
      <c r="D13" s="3" t="n">
        <v>-1.5</v>
      </c>
      <c r="E13" s="3" t="n">
        <v>-2</v>
      </c>
      <c r="F13" s="3" t="n">
        <v>-2</v>
      </c>
      <c r="G13" s="3" t="n">
        <v>-2</v>
      </c>
      <c r="H13" s="3" t="n">
        <v>-2</v>
      </c>
      <c r="I13" s="3" t="n">
        <v>-1.5</v>
      </c>
      <c r="J13" s="3" t="n">
        <v>-1.5</v>
      </c>
      <c r="K13" s="3" t="n">
        <v>-1.5</v>
      </c>
      <c r="L13" s="3" t="n">
        <v>-1.5</v>
      </c>
    </row>
    <row r="14" customFormat="false" ht="15" hidden="false" customHeight="false" outlineLevel="0" collapsed="false">
      <c r="A14" s="0" t="s">
        <v>97</v>
      </c>
      <c r="C14" s="3" t="n">
        <v>17.2</v>
      </c>
      <c r="D14" s="3" t="n">
        <v>16.5</v>
      </c>
      <c r="E14" s="3" t="n">
        <v>16</v>
      </c>
      <c r="F14" s="3" t="n">
        <v>15.5</v>
      </c>
      <c r="G14" s="3" t="n">
        <v>15</v>
      </c>
      <c r="H14" s="3" t="n">
        <v>15</v>
      </c>
      <c r="I14" s="3" t="n">
        <v>15</v>
      </c>
      <c r="J14" s="3" t="n">
        <v>15</v>
      </c>
      <c r="K14" s="3" t="n">
        <v>15</v>
      </c>
      <c r="L14" s="3" t="n">
        <v>15</v>
      </c>
    </row>
    <row r="15" customFormat="false" ht="15" hidden="false" customHeight="false" outlineLevel="0" collapsed="false">
      <c r="A15" s="0" t="s">
        <v>98</v>
      </c>
      <c r="C15" s="3" t="n">
        <v>0.1</v>
      </c>
      <c r="D15" s="3" t="n">
        <v>0.1</v>
      </c>
      <c r="E15" s="3" t="n">
        <v>0.1</v>
      </c>
      <c r="F15" s="3" t="n">
        <v>0.1</v>
      </c>
      <c r="G15" s="3" t="n">
        <v>0.1</v>
      </c>
      <c r="H15" s="3" t="n">
        <v>0.1</v>
      </c>
      <c r="I15" s="3" t="n">
        <v>0.1</v>
      </c>
      <c r="J15" s="3" t="n">
        <v>0.1</v>
      </c>
      <c r="K15" s="3" t="n">
        <v>0.1</v>
      </c>
      <c r="L15" s="3" t="n">
        <v>0.1</v>
      </c>
    </row>
    <row r="16" customFormat="false" ht="15" hidden="false" customHeight="false" outlineLevel="0" collapsed="false">
      <c r="A16" s="0" t="s">
        <v>99</v>
      </c>
      <c r="C16" s="3" t="n">
        <v>5.2</v>
      </c>
      <c r="D16" s="3" t="n">
        <v>5.2</v>
      </c>
      <c r="E16" s="3" t="n">
        <v>5.3</v>
      </c>
      <c r="F16" s="3" t="n">
        <v>5.4</v>
      </c>
      <c r="G16" s="3" t="n">
        <v>5.5</v>
      </c>
      <c r="H16" s="3" t="n">
        <v>5.5</v>
      </c>
      <c r="I16" s="3" t="n">
        <v>5.5</v>
      </c>
      <c r="J16" s="3" t="n">
        <v>5.5</v>
      </c>
      <c r="K16" s="3" t="n">
        <v>5.5</v>
      </c>
      <c r="L16" s="3" t="n">
        <v>5.5</v>
      </c>
    </row>
    <row r="17" customFormat="false" ht="15" hidden="false" customHeight="false" outlineLevel="0" collapsed="false">
      <c r="A17" s="0" t="s">
        <v>100</v>
      </c>
      <c r="C17" s="3" t="n">
        <v>4.9</v>
      </c>
      <c r="D17" s="3" t="n">
        <v>4.7</v>
      </c>
      <c r="E17" s="3" t="n">
        <v>4.5</v>
      </c>
      <c r="F17" s="3" t="n">
        <v>4.3</v>
      </c>
      <c r="G17" s="3" t="n">
        <v>4.1</v>
      </c>
      <c r="H17" s="3" t="n">
        <v>3.9</v>
      </c>
      <c r="I17" s="3" t="n">
        <v>3.7</v>
      </c>
      <c r="J17" s="3" t="n">
        <v>3.5</v>
      </c>
      <c r="K17" s="3" t="n">
        <v>3.5</v>
      </c>
      <c r="L17" s="3" t="n">
        <v>3.5</v>
      </c>
    </row>
    <row r="18" customFormat="false" ht="15" hidden="false" customHeight="false" outlineLevel="0" collapsed="false">
      <c r="A18" s="0" t="s">
        <v>101</v>
      </c>
      <c r="C18" s="3" t="n">
        <v>5.2</v>
      </c>
      <c r="D18" s="3" t="n">
        <v>5.6</v>
      </c>
      <c r="E18" s="3" t="n">
        <v>3.3</v>
      </c>
      <c r="F18" s="3" t="n">
        <v>3.3</v>
      </c>
      <c r="G18" s="3" t="n">
        <v>3.3</v>
      </c>
      <c r="H18" s="3" t="n">
        <v>3.3</v>
      </c>
      <c r="I18" s="3" t="n">
        <v>3.3</v>
      </c>
      <c r="J18" s="3" t="n">
        <v>3.3</v>
      </c>
      <c r="K18" s="3" t="n">
        <v>3.3</v>
      </c>
      <c r="L18" s="3" t="n">
        <v>3.3</v>
      </c>
    </row>
    <row r="19" customFormat="false" ht="15" hidden="false" customHeight="false" outlineLevel="0" collapsed="false">
      <c r="A19" s="0" t="s">
        <v>102</v>
      </c>
      <c r="C19" s="3" t="n">
        <v>28</v>
      </c>
      <c r="D19" s="3" t="n">
        <v>28</v>
      </c>
      <c r="E19" s="3" t="n">
        <v>28</v>
      </c>
      <c r="F19" s="3" t="n">
        <v>28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</row>
    <row r="20" customFormat="false" ht="15" hidden="false" customHeight="false" outlineLevel="0" collapsed="false">
      <c r="A20" s="0" t="s">
        <v>103</v>
      </c>
      <c r="B20" s="3" t="n">
        <v>10.5</v>
      </c>
    </row>
    <row r="21" customFormat="false" ht="15" hidden="false" customHeight="false" outlineLevel="0" collapsed="false">
      <c r="A21" s="0" t="s">
        <v>104</v>
      </c>
      <c r="B21" s="3" t="n">
        <v>-1</v>
      </c>
    </row>
    <row r="22" customFormat="false" ht="15" hidden="false" customHeight="false" outlineLevel="0" collapsed="false">
      <c r="A22" s="0" t="s">
        <v>105</v>
      </c>
      <c r="B22" s="3" t="n">
        <v>10</v>
      </c>
    </row>
    <row r="23" customFormat="false" ht="15" hidden="false" customHeight="false" outlineLevel="0" collapsed="false">
      <c r="A23" s="0" t="s">
        <v>106</v>
      </c>
      <c r="B23" s="3" t="n">
        <v>0</v>
      </c>
    </row>
    <row r="24" customFormat="false" ht="15" hidden="false" customHeight="false" outlineLevel="0" collapsed="false">
      <c r="A24" s="0" t="s">
        <v>107</v>
      </c>
      <c r="B24" s="3" t="n">
        <v>0.25</v>
      </c>
    </row>
    <row r="26" customFormat="false" ht="15" hidden="false" customHeight="false" outlineLevel="0" collapsed="false">
      <c r="A26" s="2" t="s">
        <v>108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</row>
    <row r="27" customFormat="false" ht="15" hidden="false" customHeight="false" outlineLevel="0" collapsed="false">
      <c r="A27" s="0" t="s">
        <v>96</v>
      </c>
      <c r="C27" s="3" t="n">
        <v>1</v>
      </c>
      <c r="D27" s="3" t="n">
        <v>2</v>
      </c>
      <c r="E27" s="3" t="n">
        <v>1.5</v>
      </c>
      <c r="F27" s="3" t="n">
        <v>1.5</v>
      </c>
      <c r="G27" s="3" t="n">
        <v>1</v>
      </c>
      <c r="H27" s="3" t="n">
        <v>1</v>
      </c>
      <c r="I27" s="3" t="n">
        <v>1</v>
      </c>
      <c r="J27" s="3" t="n">
        <v>1</v>
      </c>
      <c r="K27" s="3" t="n">
        <v>1</v>
      </c>
      <c r="L27" s="3" t="n">
        <v>1</v>
      </c>
    </row>
    <row r="28" customFormat="false" ht="15" hidden="false" customHeight="false" outlineLevel="0" collapsed="false">
      <c r="A28" s="0" t="s">
        <v>97</v>
      </c>
      <c r="C28" s="3" t="n">
        <v>17.7</v>
      </c>
      <c r="D28" s="3" t="n">
        <v>18.2</v>
      </c>
      <c r="E28" s="3" t="n">
        <v>18.8</v>
      </c>
      <c r="F28" s="3" t="n">
        <v>19</v>
      </c>
      <c r="G28" s="3" t="n">
        <v>19</v>
      </c>
      <c r="H28" s="3" t="n">
        <v>19</v>
      </c>
      <c r="I28" s="3" t="n">
        <v>19</v>
      </c>
      <c r="J28" s="3" t="n">
        <v>19</v>
      </c>
      <c r="K28" s="3" t="n">
        <v>19</v>
      </c>
      <c r="L28" s="3" t="n">
        <v>19</v>
      </c>
    </row>
    <row r="29" customFormat="false" ht="15" hidden="false" customHeight="false" outlineLevel="0" collapsed="false">
      <c r="A29" s="0" t="s">
        <v>98</v>
      </c>
      <c r="C29" s="3" t="n">
        <v>0.1</v>
      </c>
      <c r="D29" s="3" t="n">
        <v>0.1</v>
      </c>
      <c r="E29" s="3" t="n">
        <v>0.1</v>
      </c>
      <c r="F29" s="3" t="n">
        <v>0.1</v>
      </c>
      <c r="G29" s="3" t="n">
        <v>0.1</v>
      </c>
      <c r="H29" s="3" t="n">
        <v>0.1</v>
      </c>
      <c r="I29" s="3" t="n">
        <v>0.1</v>
      </c>
      <c r="J29" s="3" t="n">
        <v>0.1</v>
      </c>
      <c r="K29" s="3" t="n">
        <v>0.1</v>
      </c>
      <c r="L29" s="3" t="n">
        <v>0.1</v>
      </c>
    </row>
    <row r="30" customFormat="false" ht="15" hidden="false" customHeight="false" outlineLevel="0" collapsed="false">
      <c r="A30" s="0" t="s">
        <v>99</v>
      </c>
      <c r="C30" s="3" t="n">
        <v>5.2</v>
      </c>
      <c r="D30" s="3" t="n">
        <v>5</v>
      </c>
      <c r="E30" s="3" t="n">
        <v>4.9</v>
      </c>
      <c r="F30" s="3" t="n">
        <v>4.8</v>
      </c>
      <c r="G30" s="3" t="n">
        <v>4.8</v>
      </c>
      <c r="H30" s="3" t="n">
        <v>4.8</v>
      </c>
      <c r="I30" s="3" t="n">
        <v>4.8</v>
      </c>
      <c r="J30" s="3" t="n">
        <v>4.8</v>
      </c>
      <c r="K30" s="3" t="n">
        <v>4.8</v>
      </c>
      <c r="L30" s="3" t="n">
        <v>4.8</v>
      </c>
    </row>
    <row r="31" customFormat="false" ht="15" hidden="false" customHeight="false" outlineLevel="0" collapsed="false">
      <c r="A31" s="0" t="s">
        <v>100</v>
      </c>
      <c r="C31" s="3" t="n">
        <v>4.9</v>
      </c>
      <c r="D31" s="3" t="n">
        <v>4.7</v>
      </c>
      <c r="E31" s="3" t="n">
        <v>4.5</v>
      </c>
      <c r="F31" s="3" t="n">
        <v>4.3</v>
      </c>
      <c r="G31" s="3" t="n">
        <v>4.1</v>
      </c>
      <c r="H31" s="3" t="n">
        <v>3.9</v>
      </c>
      <c r="I31" s="3" t="n">
        <v>3.7</v>
      </c>
      <c r="J31" s="3" t="n">
        <v>3.5</v>
      </c>
      <c r="K31" s="3" t="n">
        <v>3.5</v>
      </c>
      <c r="L31" s="3" t="n">
        <v>3.5</v>
      </c>
    </row>
    <row r="32" customFormat="false" ht="15" hidden="false" customHeight="false" outlineLevel="0" collapsed="false">
      <c r="A32" s="0" t="s">
        <v>101</v>
      </c>
      <c r="C32" s="3" t="n">
        <v>5.2</v>
      </c>
      <c r="D32" s="3" t="n">
        <v>5.5</v>
      </c>
      <c r="E32" s="3" t="n">
        <v>3.4</v>
      </c>
      <c r="F32" s="3" t="n">
        <v>3.4</v>
      </c>
      <c r="G32" s="3" t="n">
        <v>3.4</v>
      </c>
      <c r="H32" s="3" t="n">
        <v>3.4</v>
      </c>
      <c r="I32" s="3" t="n">
        <v>3.4</v>
      </c>
      <c r="J32" s="3" t="n">
        <v>3.4</v>
      </c>
      <c r="K32" s="3" t="n">
        <v>3.4</v>
      </c>
      <c r="L32" s="3" t="n">
        <v>3.4</v>
      </c>
    </row>
    <row r="33" customFormat="false" ht="15" hidden="false" customHeight="false" outlineLevel="0" collapsed="false">
      <c r="A33" s="0" t="s">
        <v>102</v>
      </c>
      <c r="C33" s="3" t="n">
        <v>28</v>
      </c>
      <c r="D33" s="3" t="n">
        <v>28</v>
      </c>
      <c r="E33" s="3" t="n">
        <v>28</v>
      </c>
      <c r="F33" s="3" t="n">
        <v>28</v>
      </c>
      <c r="G33" s="3" t="n">
        <v>28</v>
      </c>
      <c r="H33" s="3" t="n">
        <v>28</v>
      </c>
      <c r="I33" s="3" t="n">
        <v>28</v>
      </c>
      <c r="J33" s="3" t="n">
        <v>28</v>
      </c>
      <c r="K33" s="3" t="n">
        <v>28</v>
      </c>
      <c r="L33" s="3" t="n">
        <v>28</v>
      </c>
    </row>
    <row r="34" customFormat="false" ht="15" hidden="false" customHeight="false" outlineLevel="0" collapsed="false">
      <c r="A34" s="0" t="s">
        <v>103</v>
      </c>
      <c r="B34" s="3" t="n">
        <v>10.5</v>
      </c>
    </row>
    <row r="35" customFormat="false" ht="15" hidden="false" customHeight="false" outlineLevel="0" collapsed="false">
      <c r="A35" s="0" t="s">
        <v>104</v>
      </c>
      <c r="B35" s="3" t="n">
        <v>1</v>
      </c>
    </row>
    <row r="36" customFormat="false" ht="15" hidden="false" customHeight="false" outlineLevel="0" collapsed="false">
      <c r="A36" s="0" t="s">
        <v>105</v>
      </c>
      <c r="B36" s="3" t="n">
        <v>12</v>
      </c>
    </row>
    <row r="37" customFormat="false" ht="15" hidden="false" customHeight="false" outlineLevel="0" collapsed="false">
      <c r="A37" s="0" t="s">
        <v>106</v>
      </c>
      <c r="B37" s="3" t="n">
        <v>0</v>
      </c>
    </row>
    <row r="38" customFormat="false" ht="15" hidden="false" customHeight="false" outlineLevel="0" collapsed="false">
      <c r="A38" s="0" t="s">
        <v>107</v>
      </c>
      <c r="B38" s="3" t="n">
        <v>0.5</v>
      </c>
    </row>
    <row r="40" customFormat="false" ht="15" hidden="false" customHeight="false" outlineLevel="0" collapsed="false">
      <c r="A40" s="2" t="s">
        <v>109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</row>
    <row r="41" customFormat="false" ht="15" hidden="false" customHeight="false" outlineLevel="0" collapsed="false">
      <c r="A41" s="0" t="s">
        <v>96</v>
      </c>
      <c r="C41" s="3" t="n">
        <v>1.5</v>
      </c>
      <c r="D41" s="3" t="n">
        <v>3.5</v>
      </c>
      <c r="E41" s="3" t="n">
        <v>3</v>
      </c>
      <c r="F41" s="3" t="n">
        <v>2.5</v>
      </c>
      <c r="G41" s="3" t="n">
        <v>2.5</v>
      </c>
      <c r="H41" s="3" t="n">
        <v>2</v>
      </c>
      <c r="I41" s="3" t="n">
        <v>2</v>
      </c>
      <c r="J41" s="3" t="n">
        <v>2</v>
      </c>
      <c r="K41" s="3" t="n">
        <v>2</v>
      </c>
      <c r="L41" s="3" t="n">
        <v>2</v>
      </c>
    </row>
    <row r="42" customFormat="false" ht="15" hidden="false" customHeight="false" outlineLevel="0" collapsed="false">
      <c r="A42" s="0" t="s">
        <v>97</v>
      </c>
      <c r="C42" s="3" t="n">
        <v>18</v>
      </c>
      <c r="D42" s="3" t="n">
        <v>19</v>
      </c>
      <c r="E42" s="3" t="n">
        <v>20</v>
      </c>
      <c r="F42" s="3" t="n">
        <v>20.5</v>
      </c>
      <c r="G42" s="3" t="n">
        <v>21</v>
      </c>
      <c r="H42" s="3" t="n">
        <v>21</v>
      </c>
      <c r="I42" s="3" t="n">
        <v>21</v>
      </c>
      <c r="J42" s="3" t="n">
        <v>21</v>
      </c>
      <c r="K42" s="3" t="n">
        <v>21</v>
      </c>
      <c r="L42" s="3" t="n">
        <v>21</v>
      </c>
    </row>
    <row r="43" customFormat="false" ht="15" hidden="false" customHeight="false" outlineLevel="0" collapsed="false">
      <c r="A43" s="0" t="s">
        <v>98</v>
      </c>
      <c r="C43" s="3" t="n">
        <v>0.1</v>
      </c>
      <c r="D43" s="3" t="n">
        <v>0.1</v>
      </c>
      <c r="E43" s="3" t="n">
        <v>0.1</v>
      </c>
      <c r="F43" s="3" t="n">
        <v>0.1</v>
      </c>
      <c r="G43" s="3" t="n">
        <v>0.1</v>
      </c>
      <c r="H43" s="3" t="n">
        <v>0.1</v>
      </c>
      <c r="I43" s="3" t="n">
        <v>0.1</v>
      </c>
      <c r="J43" s="3" t="n">
        <v>0.1</v>
      </c>
      <c r="K43" s="3" t="n">
        <v>0.1</v>
      </c>
      <c r="L43" s="3" t="n">
        <v>0.1</v>
      </c>
    </row>
    <row r="44" customFormat="false" ht="15" hidden="false" customHeight="false" outlineLevel="0" collapsed="false">
      <c r="A44" s="0" t="s">
        <v>99</v>
      </c>
      <c r="C44" s="3" t="n">
        <v>5.2</v>
      </c>
      <c r="D44" s="3" t="n">
        <v>4.9</v>
      </c>
      <c r="E44" s="3" t="n">
        <v>4.7</v>
      </c>
      <c r="F44" s="3" t="n">
        <v>4.6</v>
      </c>
      <c r="G44" s="3" t="n">
        <v>4.5</v>
      </c>
      <c r="H44" s="3" t="n">
        <v>4.5</v>
      </c>
      <c r="I44" s="3" t="n">
        <v>4.5</v>
      </c>
      <c r="J44" s="3" t="n">
        <v>4.5</v>
      </c>
      <c r="K44" s="3" t="n">
        <v>4.5</v>
      </c>
      <c r="L44" s="3" t="n">
        <v>4.5</v>
      </c>
    </row>
    <row r="45" customFormat="false" ht="15" hidden="false" customHeight="false" outlineLevel="0" collapsed="false">
      <c r="A45" s="0" t="s">
        <v>100</v>
      </c>
      <c r="C45" s="3" t="n">
        <v>4.9</v>
      </c>
      <c r="D45" s="3" t="n">
        <v>4.7</v>
      </c>
      <c r="E45" s="3" t="n">
        <v>4.5</v>
      </c>
      <c r="F45" s="3" t="n">
        <v>4.3</v>
      </c>
      <c r="G45" s="3" t="n">
        <v>4.1</v>
      </c>
      <c r="H45" s="3" t="n">
        <v>3.9</v>
      </c>
      <c r="I45" s="3" t="n">
        <v>3.7</v>
      </c>
      <c r="J45" s="3" t="n">
        <v>3.5</v>
      </c>
      <c r="K45" s="3" t="n">
        <v>3.5</v>
      </c>
      <c r="L45" s="3" t="n">
        <v>3.5</v>
      </c>
    </row>
    <row r="46" customFormat="false" ht="15" hidden="false" customHeight="false" outlineLevel="0" collapsed="false">
      <c r="A46" s="0" t="s">
        <v>101</v>
      </c>
      <c r="C46" s="3" t="n">
        <v>5.2</v>
      </c>
      <c r="D46" s="3" t="n">
        <v>5.4</v>
      </c>
      <c r="E46" s="3" t="n">
        <v>3.4</v>
      </c>
      <c r="F46" s="3" t="n">
        <v>3.4</v>
      </c>
      <c r="G46" s="3" t="n">
        <v>3.4</v>
      </c>
      <c r="H46" s="3" t="n">
        <v>3.4</v>
      </c>
      <c r="I46" s="3" t="n">
        <v>3.4</v>
      </c>
      <c r="J46" s="3" t="n">
        <v>3.4</v>
      </c>
      <c r="K46" s="3" t="n">
        <v>3.4</v>
      </c>
      <c r="L46" s="3" t="n">
        <v>3.4</v>
      </c>
    </row>
    <row r="47" customFormat="false" ht="15" hidden="false" customHeight="false" outlineLevel="0" collapsed="false">
      <c r="A47" s="0" t="s">
        <v>102</v>
      </c>
      <c r="C47" s="3" t="n">
        <v>28</v>
      </c>
      <c r="D47" s="3" t="n">
        <v>28</v>
      </c>
      <c r="E47" s="3" t="n">
        <v>28</v>
      </c>
      <c r="F47" s="3" t="n">
        <v>28</v>
      </c>
      <c r="G47" s="3" t="n">
        <v>28</v>
      </c>
      <c r="H47" s="3" t="n">
        <v>28</v>
      </c>
      <c r="I47" s="3" t="n">
        <v>28</v>
      </c>
      <c r="J47" s="3" t="n">
        <v>28</v>
      </c>
      <c r="K47" s="3" t="n">
        <v>28</v>
      </c>
      <c r="L47" s="3" t="n">
        <v>28</v>
      </c>
    </row>
    <row r="48" customFormat="false" ht="15" hidden="false" customHeight="false" outlineLevel="0" collapsed="false">
      <c r="A48" s="0" t="s">
        <v>103</v>
      </c>
      <c r="B48" s="3" t="n">
        <v>10.5</v>
      </c>
    </row>
    <row r="49" customFormat="false" ht="15" hidden="false" customHeight="false" outlineLevel="0" collapsed="false">
      <c r="A49" s="0" t="s">
        <v>104</v>
      </c>
      <c r="B49" s="3" t="n">
        <v>2</v>
      </c>
    </row>
    <row r="50" customFormat="false" ht="15" hidden="false" customHeight="false" outlineLevel="0" collapsed="false">
      <c r="A50" s="0" t="s">
        <v>105</v>
      </c>
      <c r="B50" s="3" t="n">
        <v>12</v>
      </c>
    </row>
    <row r="51" customFormat="false" ht="15" hidden="false" customHeight="false" outlineLevel="0" collapsed="false">
      <c r="A51" s="0" t="s">
        <v>106</v>
      </c>
      <c r="B51" s="3" t="n">
        <v>0</v>
      </c>
    </row>
    <row r="52" customFormat="false" ht="15" hidden="false" customHeight="false" outlineLevel="0" collapsed="false">
      <c r="A52" s="0" t="s">
        <v>107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110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Assumptions!C13</f>
        <v>0</v>
      </c>
      <c r="D5" s="4" t="n">
        <f aca="false">Assumptions!D13</f>
        <v>-1.5</v>
      </c>
      <c r="E5" s="4" t="n">
        <f aca="false">Assumptions!E13</f>
        <v>-2</v>
      </c>
      <c r="F5" s="4" t="n">
        <f aca="false">Assumptions!F13</f>
        <v>-2</v>
      </c>
      <c r="G5" s="4" t="n">
        <f aca="false">Assumptions!G13</f>
        <v>-2</v>
      </c>
      <c r="H5" s="4" t="n">
        <f aca="false">Assumptions!H13</f>
        <v>-2</v>
      </c>
      <c r="I5" s="4" t="n">
        <f aca="false">Assumptions!I13</f>
        <v>-1.5</v>
      </c>
      <c r="J5" s="4" t="n">
        <f aca="false">Assumptions!J13</f>
        <v>-1.5</v>
      </c>
      <c r="K5" s="4" t="n">
        <f aca="false">Assumptions!K13</f>
        <v>-1.5</v>
      </c>
      <c r="L5" s="4" t="n">
        <f aca="false">Assumptions!L13</f>
        <v>-1.5</v>
      </c>
    </row>
    <row r="6" customFormat="false" ht="15" hidden="false" customHeight="false" outlineLevel="0" collapsed="false">
      <c r="A6" s="0" t="s">
        <v>37</v>
      </c>
      <c r="B6" s="3" t="n">
        <v>345.1</v>
      </c>
      <c r="C6" s="0" t="n">
        <f aca="false">B6*(1+C5/100)</f>
        <v>345.1</v>
      </c>
      <c r="D6" s="0" t="n">
        <f aca="false">C6*(1+D5/100)</f>
        <v>339.9235</v>
      </c>
      <c r="E6" s="0" t="n">
        <f aca="false">D6*(1+E5/100)</f>
        <v>333.12503</v>
      </c>
      <c r="F6" s="0" t="n">
        <f aca="false">E6*(1+F5/100)</f>
        <v>326.4625294</v>
      </c>
      <c r="G6" s="0" t="n">
        <f aca="false">F6*(1+G5/100)</f>
        <v>319.933278812</v>
      </c>
      <c r="H6" s="0" t="n">
        <f aca="false">G6*(1+H5/100)</f>
        <v>313.53461323576</v>
      </c>
      <c r="I6" s="0" t="n">
        <f aca="false">H6*(1+I5/100)</f>
        <v>308.831594037224</v>
      </c>
      <c r="J6" s="0" t="n">
        <f aca="false">I6*(1+J5/100)</f>
        <v>304.199120126665</v>
      </c>
      <c r="K6" s="0" t="n">
        <f aca="false">J6*(1+K5/100)</f>
        <v>299.636133324765</v>
      </c>
      <c r="L6" s="0" t="n">
        <f aca="false">K6*(1+L5/100)</f>
        <v>295.141591324894</v>
      </c>
    </row>
    <row r="7" customFormat="false" ht="15" hidden="false" customHeight="false" outlineLevel="0" collapsed="false">
      <c r="A7" s="0" t="s">
        <v>97</v>
      </c>
      <c r="C7" s="4" t="n">
        <f aca="false">Assumptions!C14</f>
        <v>17.2</v>
      </c>
      <c r="D7" s="4" t="n">
        <f aca="false">Assumptions!D14</f>
        <v>16.5</v>
      </c>
      <c r="E7" s="4" t="n">
        <f aca="false">Assumptions!E14</f>
        <v>16</v>
      </c>
      <c r="F7" s="4" t="n">
        <f aca="false">Assumptions!F14</f>
        <v>15.5</v>
      </c>
      <c r="G7" s="4" t="n">
        <f aca="false">Assumptions!G14</f>
        <v>15</v>
      </c>
      <c r="H7" s="4" t="n">
        <f aca="false">Assumptions!H14</f>
        <v>15</v>
      </c>
      <c r="I7" s="4" t="n">
        <f aca="false">Assumptions!I14</f>
        <v>15</v>
      </c>
      <c r="J7" s="4" t="n">
        <f aca="false">Assumptions!J14</f>
        <v>15</v>
      </c>
      <c r="K7" s="4" t="n">
        <f aca="false">Assumptions!K14</f>
        <v>15</v>
      </c>
      <c r="L7" s="4" t="n">
        <f aca="false">Assumptions!L14</f>
        <v>15</v>
      </c>
    </row>
    <row r="8" customFormat="false" ht="15" hidden="false" customHeight="false" outlineLevel="0" collapsed="false">
      <c r="A8" s="0" t="s">
        <v>43</v>
      </c>
      <c r="C8" s="0" t="n">
        <f aca="false">C6*C7/100</f>
        <v>59.3572</v>
      </c>
      <c r="D8" s="0" t="n">
        <f aca="false">D6*D7/100</f>
        <v>56.0873775</v>
      </c>
      <c r="E8" s="0" t="n">
        <f aca="false">E6*E7/100</f>
        <v>53.3000048</v>
      </c>
      <c r="F8" s="0" t="n">
        <f aca="false">F6*F7/100</f>
        <v>50.601692057</v>
      </c>
      <c r="G8" s="0" t="n">
        <f aca="false">G6*G7/100</f>
        <v>47.9899918218</v>
      </c>
      <c r="H8" s="0" t="n">
        <f aca="false">H6*H7/100</f>
        <v>47.030191985364</v>
      </c>
      <c r="I8" s="0" t="n">
        <f aca="false">I6*I7/100</f>
        <v>46.3247391055835</v>
      </c>
      <c r="J8" s="0" t="n">
        <f aca="false">J6*J7/100</f>
        <v>45.6298680189998</v>
      </c>
      <c r="K8" s="0" t="n">
        <f aca="false">K6*K7/100</f>
        <v>44.9454199987148</v>
      </c>
      <c r="L8" s="0" t="n">
        <f aca="false">L6*L7/100</f>
        <v>44.2712386987341</v>
      </c>
    </row>
    <row r="9" customFormat="false" ht="15" hidden="false" customHeight="false" outlineLevel="0" collapsed="false">
      <c r="A9" s="0" t="s">
        <v>98</v>
      </c>
      <c r="C9" s="4" t="n">
        <f aca="false">Assumptions!C15</f>
        <v>0.1</v>
      </c>
      <c r="D9" s="4" t="n">
        <f aca="false">Assumptions!D15</f>
        <v>0.1</v>
      </c>
      <c r="E9" s="4" t="n">
        <f aca="false">Assumptions!E15</f>
        <v>0.1</v>
      </c>
      <c r="F9" s="4" t="n">
        <f aca="false">Assumptions!F15</f>
        <v>0.1</v>
      </c>
      <c r="G9" s="4" t="n">
        <f aca="false">Assumptions!G15</f>
        <v>0.1</v>
      </c>
      <c r="H9" s="4" t="n">
        <f aca="false">Assumptions!H15</f>
        <v>0.1</v>
      </c>
      <c r="I9" s="4" t="n">
        <f aca="false">Assumptions!I15</f>
        <v>0.1</v>
      </c>
      <c r="J9" s="4" t="n">
        <f aca="false">Assumptions!J15</f>
        <v>0.1</v>
      </c>
      <c r="K9" s="4" t="n">
        <f aca="false">Assumptions!K15</f>
        <v>0.1</v>
      </c>
      <c r="L9" s="4" t="n">
        <f aca="false">Assumptions!L15</f>
        <v>0.1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-0.3451</v>
      </c>
      <c r="D10" s="0" t="n">
        <f aca="false">-D6*D9/100</f>
        <v>-0.3399235</v>
      </c>
      <c r="E10" s="0" t="n">
        <f aca="false">-E6*E9/100</f>
        <v>-0.33312503</v>
      </c>
      <c r="F10" s="0" t="n">
        <f aca="false">-F6*F9/100</f>
        <v>-0.3264625294</v>
      </c>
      <c r="G10" s="0" t="n">
        <f aca="false">-G6*G9/100</f>
        <v>-0.319933278812</v>
      </c>
      <c r="H10" s="0" t="n">
        <f aca="false">-H6*H9/100</f>
        <v>-0.31353461323576</v>
      </c>
      <c r="I10" s="0" t="n">
        <f aca="false">-I6*I9/100</f>
        <v>-0.308831594037224</v>
      </c>
      <c r="J10" s="0" t="n">
        <f aca="false">-J6*J9/100</f>
        <v>-0.304199120126665</v>
      </c>
      <c r="K10" s="0" t="n">
        <f aca="false">-K6*K9/100</f>
        <v>-0.299636133324765</v>
      </c>
      <c r="L10" s="0" t="n">
        <f aca="false">-L6*L9/100</f>
        <v>-0.295141591324894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41.0669</v>
      </c>
      <c r="D11" s="0" t="n">
        <f aca="false">D8+D10+D24</f>
        <v>38.071432</v>
      </c>
      <c r="E11" s="0" t="n">
        <f aca="false">E8+E10+E24</f>
        <v>35.31125318</v>
      </c>
      <c r="F11" s="0" t="n">
        <f aca="false">F8+F10+F24</f>
        <v>32.64625294</v>
      </c>
      <c r="G11" s="0" t="n">
        <f aca="false">G8+G10+G24</f>
        <v>30.073728208328</v>
      </c>
      <c r="H11" s="0" t="n">
        <f aca="false">H8+H10+H24</f>
        <v>29.4722536441614</v>
      </c>
      <c r="I11" s="0" t="n">
        <f aca="false">I8+I10+I24</f>
        <v>29.030169839499</v>
      </c>
      <c r="J11" s="0" t="n">
        <f aca="false">J8+J10+J24</f>
        <v>28.5947172919065</v>
      </c>
      <c r="K11" s="0" t="n">
        <f aca="false">K8+K10+K24</f>
        <v>28.1657965325279</v>
      </c>
      <c r="L11" s="0" t="n">
        <f aca="false">L8+L10+L24</f>
        <v>27.74330958454</v>
      </c>
    </row>
    <row r="12" customFormat="false" ht="15" hidden="false" customHeight="false" outlineLevel="0" collapsed="false">
      <c r="A12" s="0" t="s">
        <v>115</v>
      </c>
      <c r="C12" s="4" t="n">
        <f aca="false">-C6*Assumptions!C17/100</f>
        <v>-16.9099</v>
      </c>
      <c r="D12" s="4" t="n">
        <f aca="false">-D6*Assumptions!D17/100</f>
        <v>-15.9764045</v>
      </c>
      <c r="E12" s="4" t="n">
        <f aca="false">-E6*Assumptions!E17/100</f>
        <v>-14.99062635</v>
      </c>
      <c r="F12" s="4" t="n">
        <f aca="false">-F6*Assumptions!F17/100</f>
        <v>-14.0378887642</v>
      </c>
      <c r="G12" s="4" t="n">
        <f aca="false">-G6*Assumptions!G17/100</f>
        <v>-13.117264431292</v>
      </c>
      <c r="H12" s="4" t="n">
        <f aca="false">-H6*Assumptions!H17/100</f>
        <v>-12.2278499161946</v>
      </c>
      <c r="I12" s="4" t="n">
        <f aca="false">-I6*Assumptions!I17/100</f>
        <v>-11.4267689793773</v>
      </c>
      <c r="J12" s="4" t="n">
        <f aca="false">-J6*Assumptions!J17/100</f>
        <v>-10.6469692044333</v>
      </c>
      <c r="K12" s="4" t="n">
        <f aca="false">-K6*Assumptions!K17/100</f>
        <v>-10.4872646663668</v>
      </c>
      <c r="L12" s="4" t="n">
        <f aca="false">-L6*Assumptions!L17/100</f>
        <v>-10.3299556963713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24.157</v>
      </c>
      <c r="D13" s="0" t="n">
        <f aca="false">D11+D12</f>
        <v>22.0950275</v>
      </c>
      <c r="E13" s="0" t="n">
        <f aca="false">E11+E12</f>
        <v>20.32062683</v>
      </c>
      <c r="F13" s="0" t="n">
        <f aca="false">F11+F12</f>
        <v>18.6083641758</v>
      </c>
      <c r="G13" s="0" t="n">
        <f aca="false">G11+G12</f>
        <v>16.956463777036</v>
      </c>
      <c r="H13" s="0" t="n">
        <f aca="false">H11+H12</f>
        <v>17.2444037279668</v>
      </c>
      <c r="I13" s="0" t="n">
        <f aca="false">I11+I12</f>
        <v>17.6034008601217</v>
      </c>
      <c r="J13" s="0" t="n">
        <f aca="false">J11+J12</f>
        <v>17.9477480874732</v>
      </c>
      <c r="K13" s="0" t="n">
        <f aca="false">K11+K12</f>
        <v>17.6785318661612</v>
      </c>
      <c r="L13" s="0" t="n">
        <f aca="false">L11+L12</f>
        <v>17.4133538881687</v>
      </c>
    </row>
    <row r="14" customFormat="false" ht="15" hidden="false" customHeight="false" outlineLevel="0" collapsed="false">
      <c r="A14" s="0" t="s">
        <v>102</v>
      </c>
      <c r="C14" s="4" t="n">
        <f aca="false">Assumptions!C19</f>
        <v>28</v>
      </c>
      <c r="D14" s="4" t="n">
        <f aca="false">Assumptions!D19</f>
        <v>28</v>
      </c>
      <c r="E14" s="4" t="n">
        <f aca="false">Assumptions!E19</f>
        <v>28</v>
      </c>
      <c r="F14" s="4" t="n">
        <f aca="false">Assumptions!F19</f>
        <v>28</v>
      </c>
      <c r="G14" s="4" t="n">
        <f aca="false">Assumptions!G19</f>
        <v>28</v>
      </c>
      <c r="H14" s="4" t="n">
        <f aca="false">Assumptions!H19</f>
        <v>28</v>
      </c>
      <c r="I14" s="4" t="n">
        <f aca="false">Assumptions!I19</f>
        <v>28</v>
      </c>
      <c r="J14" s="4" t="n">
        <f aca="false">Assumptions!J19</f>
        <v>28</v>
      </c>
      <c r="K14" s="4" t="n">
        <f aca="false">Assumptions!K19</f>
        <v>28</v>
      </c>
      <c r="L14" s="4" t="n">
        <f aca="false">Assumptions!L19</f>
        <v>28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17.39304</v>
      </c>
      <c r="D15" s="0" t="n">
        <f aca="false">D13-MAX(0,D13)*D14/100</f>
        <v>15.9084198</v>
      </c>
      <c r="E15" s="0" t="n">
        <f aca="false">E13-MAX(0,E13)*E14/100</f>
        <v>14.6308513176</v>
      </c>
      <c r="F15" s="0" t="n">
        <f aca="false">F13-MAX(0,F13)*F14/100</f>
        <v>13.398022206576</v>
      </c>
      <c r="G15" s="0" t="n">
        <f aca="false">G13-MAX(0,G13)*G14/100</f>
        <v>12.2086539194659</v>
      </c>
      <c r="H15" s="0" t="n">
        <f aca="false">H13-MAX(0,H13)*H14/100</f>
        <v>12.4159706841361</v>
      </c>
      <c r="I15" s="0" t="n">
        <f aca="false">I13-MAX(0,I13)*I14/100</f>
        <v>12.6744486192877</v>
      </c>
      <c r="J15" s="0" t="n">
        <f aca="false">J13-MAX(0,J13)*J14/100</f>
        <v>12.9223786229807</v>
      </c>
      <c r="K15" s="0" t="n">
        <f aca="false">K13-MAX(0,K13)*K14/100</f>
        <v>12.728542943636</v>
      </c>
      <c r="L15" s="0" t="n">
        <f aca="false">L13-MAX(0,L13)*L14/100</f>
        <v>12.5376147994815</v>
      </c>
    </row>
    <row r="16" customFormat="false" ht="15" hidden="false" customHeight="false" outlineLevel="0" collapsed="false">
      <c r="A16" s="0" t="s">
        <v>118</v>
      </c>
      <c r="C16" s="0" t="n">
        <f aca="false">-C12</f>
        <v>16.9099</v>
      </c>
      <c r="D16" s="0" t="n">
        <f aca="false">-D12</f>
        <v>15.9764045</v>
      </c>
      <c r="E16" s="0" t="n">
        <f aca="false">-E12</f>
        <v>14.99062635</v>
      </c>
      <c r="F16" s="0" t="n">
        <f aca="false">-F12</f>
        <v>14.0378887642</v>
      </c>
      <c r="G16" s="0" t="n">
        <f aca="false">-G12</f>
        <v>13.117264431292</v>
      </c>
      <c r="H16" s="0" t="n">
        <f aca="false">-H12</f>
        <v>12.2278499161946</v>
      </c>
      <c r="I16" s="0" t="n">
        <f aca="false">-I12</f>
        <v>11.4267689793773</v>
      </c>
      <c r="J16" s="0" t="n">
        <f aca="false">-J12</f>
        <v>10.6469692044333</v>
      </c>
      <c r="K16" s="0" t="n">
        <f aca="false">-K12</f>
        <v>10.4872646663668</v>
      </c>
      <c r="L16" s="0" t="n">
        <f aca="false">-L12</f>
        <v>10.3299556963713</v>
      </c>
    </row>
    <row r="17" customFormat="false" ht="15" hidden="false" customHeight="false" outlineLevel="0" collapsed="false">
      <c r="A17" s="0" t="s">
        <v>119</v>
      </c>
      <c r="C17" s="4" t="n">
        <f aca="false">-C6*Assumptions!C18/100</f>
        <v>-17.9452</v>
      </c>
      <c r="D17" s="4" t="n">
        <f aca="false">-D6*Assumptions!D18/100</f>
        <v>-19.035716</v>
      </c>
      <c r="E17" s="4" t="n">
        <f aca="false">-E6*Assumptions!E18/100</f>
        <v>-10.99312599</v>
      </c>
      <c r="F17" s="4" t="n">
        <f aca="false">-F6*Assumptions!F18/100</f>
        <v>-10.7732634702</v>
      </c>
      <c r="G17" s="4" t="n">
        <f aca="false">-G6*Assumptions!G18/100</f>
        <v>-10.557798200796</v>
      </c>
      <c r="H17" s="4" t="n">
        <f aca="false">-H6*Assumptions!H18/100</f>
        <v>-10.3466422367801</v>
      </c>
      <c r="I17" s="4" t="n">
        <f aca="false">-I6*Assumptions!I18/100</f>
        <v>-10.1914426032284</v>
      </c>
      <c r="J17" s="4" t="n">
        <f aca="false">-J6*Assumptions!J18/100</f>
        <v>-10.03857096418</v>
      </c>
      <c r="K17" s="4" t="n">
        <f aca="false">-K6*Assumptions!K18/100</f>
        <v>-9.88799239971725</v>
      </c>
      <c r="L17" s="4" t="n">
        <f aca="false">-L6*Assumptions!L18/100</f>
        <v>-9.73967251372149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(C6-B6)*Assumptions!$B$23/100</f>
        <v>0</v>
      </c>
      <c r="D18" s="4" t="n">
        <f aca="false">(D6-C6)*Assumptions!$B$23/100</f>
        <v>-0</v>
      </c>
      <c r="E18" s="4" t="n">
        <f aca="false">(E6-D6)*Assumptions!$B$23/100</f>
        <v>-0</v>
      </c>
      <c r="F18" s="4" t="n">
        <f aca="false">(F6-E6)*Assumptions!$B$23/100</f>
        <v>-0</v>
      </c>
      <c r="G18" s="4" t="n">
        <f aca="false">(G6-F6)*Assumptions!$B$23/100</f>
        <v>-0</v>
      </c>
      <c r="H18" s="4" t="n">
        <f aca="false">(H6-G6)*Assumptions!$B$23/100</f>
        <v>-0</v>
      </c>
      <c r="I18" s="4" t="n">
        <f aca="false">(I6-H6)*Assumptions!$B$23/100</f>
        <v>-0</v>
      </c>
      <c r="J18" s="4" t="n">
        <f aca="false">(J6-I6)*Assumptions!$B$23/100</f>
        <v>-0</v>
      </c>
      <c r="K18" s="4" t="n">
        <f aca="false">(K6-J6)*Assumptions!$B$23/100</f>
        <v>-0</v>
      </c>
      <c r="L18" s="4" t="n">
        <f aca="false">(L6-K6)*Assumptions!$B$23/100</f>
        <v>-0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16.35774</v>
      </c>
      <c r="D19" s="0" t="n">
        <f aca="false">D15+D16+D17+D18</f>
        <v>12.8491083</v>
      </c>
      <c r="E19" s="0" t="n">
        <f aca="false">E15+E16+E17+E18</f>
        <v>18.6283516776</v>
      </c>
      <c r="F19" s="0" t="n">
        <f aca="false">F15+F16+F17+F18</f>
        <v>16.662647500576</v>
      </c>
      <c r="G19" s="0" t="n">
        <f aca="false">G15+G16+G17+G18</f>
        <v>14.7681201499619</v>
      </c>
      <c r="H19" s="0" t="n">
        <f aca="false">H15+H16+H17+H18</f>
        <v>14.2971783635507</v>
      </c>
      <c r="I19" s="0" t="n">
        <f aca="false">I15+I16+I17+I18</f>
        <v>13.9097749954366</v>
      </c>
      <c r="J19" s="0" t="n">
        <f aca="false">J15+J16+J17+J18</f>
        <v>13.5307768632341</v>
      </c>
      <c r="K19" s="0" t="n">
        <f aca="false">K15+K16+K17+K18</f>
        <v>13.3278152102856</v>
      </c>
      <c r="L19" s="0" t="n">
        <f aca="false">L15+L16+L17+L18</f>
        <v>13.1278979821313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14.8033846153846</v>
      </c>
      <c r="D21" s="0" t="n">
        <f aca="false">D19*D20</f>
        <v>10.5232147580926</v>
      </c>
      <c r="E21" s="0" t="n">
        <f aca="false">E19*E20</f>
        <v>13.8066270652179</v>
      </c>
      <c r="F21" s="0" t="n">
        <f aca="false">F19*F20</f>
        <v>11.1762187821734</v>
      </c>
      <c r="G21" s="0" t="n">
        <f aca="false">G19*G20</f>
        <v>8.96424725537637</v>
      </c>
      <c r="H21" s="0" t="n">
        <f aca="false">H19*H20</f>
        <v>7.8537426646694</v>
      </c>
      <c r="I21" s="0" t="n">
        <f aca="false">I19*I20</f>
        <v>6.91487221307572</v>
      </c>
      <c r="J21" s="0" t="n">
        <f aca="false">J19*J20</f>
        <v>6.08729722995434</v>
      </c>
      <c r="K21" s="0" t="n">
        <f aca="false">K19*K20</f>
        <v>5.42623327738012</v>
      </c>
      <c r="L21" s="0" t="n">
        <f aca="false">L19*L20</f>
        <v>4.83695907531169</v>
      </c>
    </row>
    <row r="23" customFormat="false" ht="15" hidden="false" customHeight="false" outlineLevel="0" collapsed="false">
      <c r="A23" s="0" t="s">
        <v>99</v>
      </c>
      <c r="C23" s="4" t="n">
        <f aca="false">Assumptions!C16</f>
        <v>5.2</v>
      </c>
      <c r="D23" s="4" t="n">
        <f aca="false">Assumptions!D16</f>
        <v>5.2</v>
      </c>
      <c r="E23" s="4" t="n">
        <f aca="false">Assumptions!E16</f>
        <v>5.3</v>
      </c>
      <c r="F23" s="4" t="n">
        <f aca="false">Assumptions!F16</f>
        <v>5.4</v>
      </c>
      <c r="G23" s="4" t="n">
        <f aca="false">Assumptions!G16</f>
        <v>5.5</v>
      </c>
      <c r="H23" s="4" t="n">
        <f aca="false">Assumptions!H16</f>
        <v>5.5</v>
      </c>
      <c r="I23" s="4" t="n">
        <f aca="false">Assumptions!I16</f>
        <v>5.5</v>
      </c>
      <c r="J23" s="4" t="n">
        <f aca="false">Assumptions!J16</f>
        <v>5.5</v>
      </c>
      <c r="K23" s="4" t="n">
        <f aca="false">Assumptions!K16</f>
        <v>5.5</v>
      </c>
      <c r="L23" s="4" t="n">
        <f aca="false">Assumptions!L16</f>
        <v>5.5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-17.9452</v>
      </c>
      <c r="D24" s="0" t="n">
        <f aca="false">-D6*D23/100</f>
        <v>-17.676022</v>
      </c>
      <c r="E24" s="0" t="n">
        <f aca="false">-E6*E23/100</f>
        <v>-17.65562659</v>
      </c>
      <c r="F24" s="0" t="n">
        <f aca="false">-F6*F23/100</f>
        <v>-17.6289765876</v>
      </c>
      <c r="G24" s="0" t="n">
        <f aca="false">-G6*G23/100</f>
        <v>-17.59633033466</v>
      </c>
      <c r="H24" s="0" t="n">
        <f aca="false">-H6*H23/100</f>
        <v>-17.2444037279668</v>
      </c>
      <c r="I24" s="0" t="n">
        <f aca="false">-I6*I23/100</f>
        <v>-16.9857376720473</v>
      </c>
      <c r="J24" s="0" t="n">
        <f aca="false">-J6*J23/100</f>
        <v>-16.7309516069666</v>
      </c>
      <c r="K24" s="0" t="n">
        <f aca="false">-K6*K23/100</f>
        <v>-16.4799873328621</v>
      </c>
      <c r="L24" s="0" t="n">
        <f aca="false">-L6*L23/100</f>
        <v>-16.2327875228692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Assumptions!$B$20</f>
        <v>10.5</v>
      </c>
    </row>
    <row r="28" customFormat="false" ht="15" hidden="false" customHeight="false" outlineLevel="0" collapsed="false">
      <c r="A28" s="0" t="s">
        <v>104</v>
      </c>
      <c r="B28" s="4" t="n">
        <f aca="false">Assumptions!$B$21</f>
        <v>-1</v>
      </c>
    </row>
    <row r="29" customFormat="false" ht="15" hidden="false" customHeight="false" outlineLevel="0" collapsed="false">
      <c r="A29" s="0" t="s">
        <v>105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90.3927969366362</v>
      </c>
    </row>
    <row r="31" customFormat="false" ht="15" hidden="false" customHeight="false" outlineLevel="0" collapsed="false">
      <c r="A31" s="0" t="s">
        <v>127</v>
      </c>
      <c r="B31" s="0" t="n">
        <f aca="false">L19</f>
        <v>13.1278979821313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113.014078280956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131.278979821313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113.014078280956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41.6399085613789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132.032705498015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103.192705498015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0.54417922004965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-0.486623377311651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1.94411900945558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0.936149023412295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0.559368103838438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81.2288687644373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0.354180623726308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Assumptions!C27</f>
        <v>1</v>
      </c>
      <c r="D5" s="4" t="n">
        <f aca="false">Assumptions!D27</f>
        <v>2</v>
      </c>
      <c r="E5" s="4" t="n">
        <f aca="false">Assumptions!E27</f>
        <v>1.5</v>
      </c>
      <c r="F5" s="4" t="n">
        <f aca="false">Assumptions!F27</f>
        <v>1.5</v>
      </c>
      <c r="G5" s="4" t="n">
        <f aca="false">Assumptions!G27</f>
        <v>1</v>
      </c>
      <c r="H5" s="4" t="n">
        <f aca="false">Assumptions!H27</f>
        <v>1</v>
      </c>
      <c r="I5" s="4" t="n">
        <f aca="false">Assumptions!I27</f>
        <v>1</v>
      </c>
      <c r="J5" s="4" t="n">
        <f aca="false">Assumptions!J27</f>
        <v>1</v>
      </c>
      <c r="K5" s="4" t="n">
        <f aca="false">Assumptions!K27</f>
        <v>1</v>
      </c>
      <c r="L5" s="4" t="n">
        <f aca="false">Assumptions!L27</f>
        <v>1</v>
      </c>
    </row>
    <row r="6" customFormat="false" ht="15" hidden="false" customHeight="false" outlineLevel="0" collapsed="false">
      <c r="A6" s="0" t="s">
        <v>37</v>
      </c>
      <c r="B6" s="3" t="n">
        <v>345.1</v>
      </c>
      <c r="C6" s="0" t="n">
        <f aca="false">B6*(1+C5/100)</f>
        <v>348.551</v>
      </c>
      <c r="D6" s="0" t="n">
        <f aca="false">C6*(1+D5/100)</f>
        <v>355.52202</v>
      </c>
      <c r="E6" s="0" t="n">
        <f aca="false">D6*(1+E5/100)</f>
        <v>360.8548503</v>
      </c>
      <c r="F6" s="0" t="n">
        <f aca="false">E6*(1+F5/100)</f>
        <v>366.2676730545</v>
      </c>
      <c r="G6" s="0" t="n">
        <f aca="false">F6*(1+G5/100)</f>
        <v>369.930349785045</v>
      </c>
      <c r="H6" s="0" t="n">
        <f aca="false">G6*(1+H5/100)</f>
        <v>373.629653282895</v>
      </c>
      <c r="I6" s="0" t="n">
        <f aca="false">H6*(1+I5/100)</f>
        <v>377.365949815724</v>
      </c>
      <c r="J6" s="0" t="n">
        <f aca="false">I6*(1+J5/100)</f>
        <v>381.139609313882</v>
      </c>
      <c r="K6" s="0" t="n">
        <f aca="false">J6*(1+K5/100)</f>
        <v>384.95100540702</v>
      </c>
      <c r="L6" s="0" t="n">
        <f aca="false">K6*(1+L5/100)</f>
        <v>388.800515461091</v>
      </c>
    </row>
    <row r="7" customFormat="false" ht="15" hidden="false" customHeight="false" outlineLevel="0" collapsed="false">
      <c r="A7" s="0" t="s">
        <v>97</v>
      </c>
      <c r="C7" s="4" t="n">
        <f aca="false">Assumptions!C28</f>
        <v>17.7</v>
      </c>
      <c r="D7" s="4" t="n">
        <f aca="false">Assumptions!D28</f>
        <v>18.2</v>
      </c>
      <c r="E7" s="4" t="n">
        <f aca="false">Assumptions!E28</f>
        <v>18.8</v>
      </c>
      <c r="F7" s="4" t="n">
        <f aca="false">Assumptions!F28</f>
        <v>19</v>
      </c>
      <c r="G7" s="4" t="n">
        <f aca="false">Assumptions!G28</f>
        <v>19</v>
      </c>
      <c r="H7" s="4" t="n">
        <f aca="false">Assumptions!H28</f>
        <v>19</v>
      </c>
      <c r="I7" s="4" t="n">
        <f aca="false">Assumptions!I28</f>
        <v>19</v>
      </c>
      <c r="J7" s="4" t="n">
        <f aca="false">Assumptions!J28</f>
        <v>19</v>
      </c>
      <c r="K7" s="4" t="n">
        <f aca="false">Assumptions!K28</f>
        <v>19</v>
      </c>
      <c r="L7" s="4" t="n">
        <f aca="false">Assumptions!L28</f>
        <v>19</v>
      </c>
    </row>
    <row r="8" customFormat="false" ht="15" hidden="false" customHeight="false" outlineLevel="0" collapsed="false">
      <c r="A8" s="0" t="s">
        <v>43</v>
      </c>
      <c r="C8" s="0" t="n">
        <f aca="false">C6*C7/100</f>
        <v>61.693527</v>
      </c>
      <c r="D8" s="0" t="n">
        <f aca="false">D6*D7/100</f>
        <v>64.70500764</v>
      </c>
      <c r="E8" s="0" t="n">
        <f aca="false">E6*E7/100</f>
        <v>67.8407118564</v>
      </c>
      <c r="F8" s="0" t="n">
        <f aca="false">F6*F7/100</f>
        <v>69.590857880355</v>
      </c>
      <c r="G8" s="0" t="n">
        <f aca="false">G6*G7/100</f>
        <v>70.2867664591586</v>
      </c>
      <c r="H8" s="0" t="n">
        <f aca="false">H6*H7/100</f>
        <v>70.9896341237501</v>
      </c>
      <c r="I8" s="0" t="n">
        <f aca="false">I6*I7/100</f>
        <v>71.6995304649876</v>
      </c>
      <c r="J8" s="0" t="n">
        <f aca="false">J6*J7/100</f>
        <v>72.4165257696375</v>
      </c>
      <c r="K8" s="0" t="n">
        <f aca="false">K6*K7/100</f>
        <v>73.1406910273339</v>
      </c>
      <c r="L8" s="0" t="n">
        <f aca="false">L6*L7/100</f>
        <v>73.8720979376072</v>
      </c>
    </row>
    <row r="9" customFormat="false" ht="15" hidden="false" customHeight="false" outlineLevel="0" collapsed="false">
      <c r="A9" s="0" t="s">
        <v>98</v>
      </c>
      <c r="C9" s="4" t="n">
        <f aca="false">Assumptions!C29</f>
        <v>0.1</v>
      </c>
      <c r="D9" s="4" t="n">
        <f aca="false">Assumptions!D29</f>
        <v>0.1</v>
      </c>
      <c r="E9" s="4" t="n">
        <f aca="false">Assumptions!E29</f>
        <v>0.1</v>
      </c>
      <c r="F9" s="4" t="n">
        <f aca="false">Assumptions!F29</f>
        <v>0.1</v>
      </c>
      <c r="G9" s="4" t="n">
        <f aca="false">Assumptions!G29</f>
        <v>0.1</v>
      </c>
      <c r="H9" s="4" t="n">
        <f aca="false">Assumptions!H29</f>
        <v>0.1</v>
      </c>
      <c r="I9" s="4" t="n">
        <f aca="false">Assumptions!I29</f>
        <v>0.1</v>
      </c>
      <c r="J9" s="4" t="n">
        <f aca="false">Assumptions!J29</f>
        <v>0.1</v>
      </c>
      <c r="K9" s="4" t="n">
        <f aca="false">Assumptions!K29</f>
        <v>0.1</v>
      </c>
      <c r="L9" s="4" t="n">
        <f aca="false">Assumptions!L29</f>
        <v>0.1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-0.348551</v>
      </c>
      <c r="D10" s="0" t="n">
        <f aca="false">-D6*D9/100</f>
        <v>-0.35552202</v>
      </c>
      <c r="E10" s="0" t="n">
        <f aca="false">-E6*E9/100</f>
        <v>-0.3608548503</v>
      </c>
      <c r="F10" s="0" t="n">
        <f aca="false">-F6*F9/100</f>
        <v>-0.3662676730545</v>
      </c>
      <c r="G10" s="0" t="n">
        <f aca="false">-G6*G9/100</f>
        <v>-0.369930349785045</v>
      </c>
      <c r="H10" s="0" t="n">
        <f aca="false">-H6*H9/100</f>
        <v>-0.373629653282896</v>
      </c>
      <c r="I10" s="0" t="n">
        <f aca="false">-I6*I9/100</f>
        <v>-0.377365949815724</v>
      </c>
      <c r="J10" s="0" t="n">
        <f aca="false">-J6*J9/100</f>
        <v>-0.381139609313882</v>
      </c>
      <c r="K10" s="0" t="n">
        <f aca="false">-K6*K9/100</f>
        <v>-0.384951005407021</v>
      </c>
      <c r="L10" s="0" t="n">
        <f aca="false">-L6*L9/100</f>
        <v>-0.388800515461091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43.220324</v>
      </c>
      <c r="D11" s="0" t="n">
        <f aca="false">D8+D10+D24</f>
        <v>46.57338462</v>
      </c>
      <c r="E11" s="0" t="n">
        <f aca="false">E8+E10+E24</f>
        <v>49.7979693414</v>
      </c>
      <c r="F11" s="0" t="n">
        <f aca="false">F8+F10+F24</f>
        <v>51.6437419006845</v>
      </c>
      <c r="G11" s="0" t="n">
        <f aca="false">G8+G10+G24</f>
        <v>52.1601793196914</v>
      </c>
      <c r="H11" s="0" t="n">
        <f aca="false">H8+H10+H24</f>
        <v>52.6817811128883</v>
      </c>
      <c r="I11" s="0" t="n">
        <f aca="false">I8+I10+I24</f>
        <v>53.2085989240171</v>
      </c>
      <c r="J11" s="0" t="n">
        <f aca="false">J8+J10+J24</f>
        <v>53.7406849132573</v>
      </c>
      <c r="K11" s="0" t="n">
        <f aca="false">K8+K10+K24</f>
        <v>54.2780917623899</v>
      </c>
      <c r="L11" s="0" t="n">
        <f aca="false">L8+L10+L24</f>
        <v>54.8208726800138</v>
      </c>
    </row>
    <row r="12" customFormat="false" ht="15" hidden="false" customHeight="false" outlineLevel="0" collapsed="false">
      <c r="A12" s="0" t="s">
        <v>115</v>
      </c>
      <c r="C12" s="4" t="n">
        <f aca="false">-C6*Assumptions!C31/100</f>
        <v>-17.078999</v>
      </c>
      <c r="D12" s="4" t="n">
        <f aca="false">-D6*Assumptions!D31/100</f>
        <v>-16.70953494</v>
      </c>
      <c r="E12" s="4" t="n">
        <f aca="false">-E6*Assumptions!E31/100</f>
        <v>-16.2384682635</v>
      </c>
      <c r="F12" s="4" t="n">
        <f aca="false">-F6*Assumptions!F31/100</f>
        <v>-15.7495099413435</v>
      </c>
      <c r="G12" s="4" t="n">
        <f aca="false">-G6*Assumptions!G31/100</f>
        <v>-15.1671443411868</v>
      </c>
      <c r="H12" s="4" t="n">
        <f aca="false">-H6*Assumptions!H31/100</f>
        <v>-14.5715564780329</v>
      </c>
      <c r="I12" s="4" t="n">
        <f aca="false">-I6*Assumptions!I31/100</f>
        <v>-13.9625401431818</v>
      </c>
      <c r="J12" s="4" t="n">
        <f aca="false">-J6*Assumptions!J31/100</f>
        <v>-13.3398863259859</v>
      </c>
      <c r="K12" s="4" t="n">
        <f aca="false">-K6*Assumptions!K31/100</f>
        <v>-13.4732851892457</v>
      </c>
      <c r="L12" s="4" t="n">
        <f aca="false">-L6*Assumptions!L31/100</f>
        <v>-13.6080180411382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26.141325</v>
      </c>
      <c r="D13" s="0" t="n">
        <f aca="false">D11+D12</f>
        <v>29.86384968</v>
      </c>
      <c r="E13" s="0" t="n">
        <f aca="false">E11+E12</f>
        <v>33.5595010779</v>
      </c>
      <c r="F13" s="0" t="n">
        <f aca="false">F11+F12</f>
        <v>35.894231959341</v>
      </c>
      <c r="G13" s="0" t="n">
        <f aca="false">G11+G12</f>
        <v>36.9930349785045</v>
      </c>
      <c r="H13" s="0" t="n">
        <f aca="false">H11+H12</f>
        <v>38.1102246348553</v>
      </c>
      <c r="I13" s="0" t="n">
        <f aca="false">I11+I12</f>
        <v>39.2460587808353</v>
      </c>
      <c r="J13" s="0" t="n">
        <f aca="false">J11+J12</f>
        <v>40.4007985872715</v>
      </c>
      <c r="K13" s="0" t="n">
        <f aca="false">K11+K12</f>
        <v>40.8048065731442</v>
      </c>
      <c r="L13" s="0" t="n">
        <f aca="false">L11+L12</f>
        <v>41.2128546388756</v>
      </c>
    </row>
    <row r="14" customFormat="false" ht="15" hidden="false" customHeight="false" outlineLevel="0" collapsed="false">
      <c r="A14" s="0" t="s">
        <v>102</v>
      </c>
      <c r="C14" s="4" t="n">
        <f aca="false">Assumptions!C33</f>
        <v>28</v>
      </c>
      <c r="D14" s="4" t="n">
        <f aca="false">Assumptions!D33</f>
        <v>28</v>
      </c>
      <c r="E14" s="4" t="n">
        <f aca="false">Assumptions!E33</f>
        <v>28</v>
      </c>
      <c r="F14" s="4" t="n">
        <f aca="false">Assumptions!F33</f>
        <v>28</v>
      </c>
      <c r="G14" s="4" t="n">
        <f aca="false">Assumptions!G33</f>
        <v>28</v>
      </c>
      <c r="H14" s="4" t="n">
        <f aca="false">Assumptions!H33</f>
        <v>28</v>
      </c>
      <c r="I14" s="4" t="n">
        <f aca="false">Assumptions!I33</f>
        <v>28</v>
      </c>
      <c r="J14" s="4" t="n">
        <f aca="false">Assumptions!J33</f>
        <v>28</v>
      </c>
      <c r="K14" s="4" t="n">
        <f aca="false">Assumptions!K33</f>
        <v>28</v>
      </c>
      <c r="L14" s="4" t="n">
        <f aca="false">Assumptions!L33</f>
        <v>28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18.821754</v>
      </c>
      <c r="D15" s="0" t="n">
        <f aca="false">D13-MAX(0,D13)*D14/100</f>
        <v>21.5019717696</v>
      </c>
      <c r="E15" s="0" t="n">
        <f aca="false">E13-MAX(0,E13)*E14/100</f>
        <v>24.162840776088</v>
      </c>
      <c r="F15" s="0" t="n">
        <f aca="false">F13-MAX(0,F13)*F14/100</f>
        <v>25.8438470107255</v>
      </c>
      <c r="G15" s="0" t="n">
        <f aca="false">G13-MAX(0,G13)*G14/100</f>
        <v>26.6349851845233</v>
      </c>
      <c r="H15" s="0" t="n">
        <f aca="false">H13-MAX(0,H13)*H14/100</f>
        <v>27.4393617370958</v>
      </c>
      <c r="I15" s="0" t="n">
        <f aca="false">I13-MAX(0,I13)*I14/100</f>
        <v>28.2571623222014</v>
      </c>
      <c r="J15" s="0" t="n">
        <f aca="false">J13-MAX(0,J13)*J14/100</f>
        <v>29.0885749828355</v>
      </c>
      <c r="K15" s="0" t="n">
        <f aca="false">K13-MAX(0,K13)*K14/100</f>
        <v>29.3794607326638</v>
      </c>
      <c r="L15" s="0" t="n">
        <f aca="false">L13-MAX(0,L13)*L14/100</f>
        <v>29.6732553399904</v>
      </c>
    </row>
    <row r="16" customFormat="false" ht="15" hidden="false" customHeight="false" outlineLevel="0" collapsed="false">
      <c r="A16" s="0" t="s">
        <v>118</v>
      </c>
      <c r="C16" s="0" t="n">
        <f aca="false">-C12</f>
        <v>17.078999</v>
      </c>
      <c r="D16" s="0" t="n">
        <f aca="false">-D12</f>
        <v>16.70953494</v>
      </c>
      <c r="E16" s="0" t="n">
        <f aca="false">-E12</f>
        <v>16.2384682635</v>
      </c>
      <c r="F16" s="0" t="n">
        <f aca="false">-F12</f>
        <v>15.7495099413435</v>
      </c>
      <c r="G16" s="0" t="n">
        <f aca="false">-G12</f>
        <v>15.1671443411868</v>
      </c>
      <c r="H16" s="0" t="n">
        <f aca="false">-H12</f>
        <v>14.5715564780329</v>
      </c>
      <c r="I16" s="0" t="n">
        <f aca="false">-I12</f>
        <v>13.9625401431818</v>
      </c>
      <c r="J16" s="0" t="n">
        <f aca="false">-J12</f>
        <v>13.3398863259859</v>
      </c>
      <c r="K16" s="0" t="n">
        <f aca="false">-K12</f>
        <v>13.4732851892457</v>
      </c>
      <c r="L16" s="0" t="n">
        <f aca="false">-L12</f>
        <v>13.6080180411382</v>
      </c>
    </row>
    <row r="17" customFormat="false" ht="15" hidden="false" customHeight="false" outlineLevel="0" collapsed="false">
      <c r="A17" s="0" t="s">
        <v>119</v>
      </c>
      <c r="C17" s="4" t="n">
        <f aca="false">-C6*Assumptions!C32/100</f>
        <v>-18.124652</v>
      </c>
      <c r="D17" s="4" t="n">
        <f aca="false">-D6*Assumptions!D32/100</f>
        <v>-19.5537111</v>
      </c>
      <c r="E17" s="4" t="n">
        <f aca="false">-E6*Assumptions!E32/100</f>
        <v>-12.2690649102</v>
      </c>
      <c r="F17" s="4" t="n">
        <f aca="false">-F6*Assumptions!F32/100</f>
        <v>-12.453100883853</v>
      </c>
      <c r="G17" s="4" t="n">
        <f aca="false">-G6*Assumptions!G32/100</f>
        <v>-12.5776318926915</v>
      </c>
      <c r="H17" s="4" t="n">
        <f aca="false">-H6*Assumptions!H32/100</f>
        <v>-12.7034082116184</v>
      </c>
      <c r="I17" s="4" t="n">
        <f aca="false">-I6*Assumptions!I32/100</f>
        <v>-12.8304422937346</v>
      </c>
      <c r="J17" s="4" t="n">
        <f aca="false">-J6*Assumptions!J32/100</f>
        <v>-12.958746716672</v>
      </c>
      <c r="K17" s="4" t="n">
        <f aca="false">-K6*Assumptions!K32/100</f>
        <v>-13.0883341838387</v>
      </c>
      <c r="L17" s="4" t="n">
        <f aca="false">-L6*Assumptions!L32/100</f>
        <v>-13.2192175256771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17.776101</v>
      </c>
      <c r="D19" s="0" t="n">
        <f aca="false">D15+D16+D17+D18</f>
        <v>18.6577956096</v>
      </c>
      <c r="E19" s="0" t="n">
        <f aca="false">E15+E16+E17+E18</f>
        <v>28.132244129388</v>
      </c>
      <c r="F19" s="0" t="n">
        <f aca="false">F15+F16+F17+F18</f>
        <v>29.140256068216</v>
      </c>
      <c r="G19" s="0" t="n">
        <f aca="false">G15+G16+G17+G18</f>
        <v>29.2244976330186</v>
      </c>
      <c r="H19" s="0" t="n">
        <f aca="false">H15+H16+H17+H18</f>
        <v>29.3075100035103</v>
      </c>
      <c r="I19" s="0" t="n">
        <f aca="false">I15+I16+I17+I18</f>
        <v>29.3892601716486</v>
      </c>
      <c r="J19" s="0" t="n">
        <f aca="false">J15+J16+J17+J18</f>
        <v>29.4697145921493</v>
      </c>
      <c r="K19" s="0" t="n">
        <f aca="false">K15+K16+K17+K18</f>
        <v>29.7644117380708</v>
      </c>
      <c r="L19" s="0" t="n">
        <f aca="false">L15+L16+L17+L18</f>
        <v>30.0620558554515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16.0869692307692</v>
      </c>
      <c r="D21" s="0" t="n">
        <f aca="false">D19*D20</f>
        <v>15.2804370177515</v>
      </c>
      <c r="E21" s="0" t="n">
        <f aca="false">E19*E20</f>
        <v>20.8505513490589</v>
      </c>
      <c r="F21" s="0" t="n">
        <f aca="false">F19*F20</f>
        <v>19.5453860003749</v>
      </c>
      <c r="G21" s="0" t="n">
        <f aca="false">G19*G20</f>
        <v>17.7392667473128</v>
      </c>
      <c r="H21" s="0" t="n">
        <f aca="false">H19*H20</f>
        <v>16.0992355174501</v>
      </c>
      <c r="I21" s="0" t="n">
        <f aca="false">I19*I20</f>
        <v>14.6100838144728</v>
      </c>
      <c r="J21" s="0" t="n">
        <f aca="false">J19*J20</f>
        <v>13.2579905660685</v>
      </c>
      <c r="K21" s="0" t="n">
        <f aca="false">K19*K20</f>
        <v>12.1181633228319</v>
      </c>
      <c r="L21" s="0" t="n">
        <f aca="false">L19*L20</f>
        <v>11.0763302769775</v>
      </c>
    </row>
    <row r="23" customFormat="false" ht="15" hidden="false" customHeight="false" outlineLevel="0" collapsed="false">
      <c r="A23" s="0" t="s">
        <v>99</v>
      </c>
      <c r="C23" s="4" t="n">
        <f aca="false">Assumptions!C30</f>
        <v>5.2</v>
      </c>
      <c r="D23" s="4" t="n">
        <f aca="false">Assumptions!D30</f>
        <v>5</v>
      </c>
      <c r="E23" s="4" t="n">
        <f aca="false">Assumptions!E30</f>
        <v>4.9</v>
      </c>
      <c r="F23" s="4" t="n">
        <f aca="false">Assumptions!F30</f>
        <v>4.8</v>
      </c>
      <c r="G23" s="4" t="n">
        <f aca="false">Assumptions!G30</f>
        <v>4.8</v>
      </c>
      <c r="H23" s="4" t="n">
        <f aca="false">Assumptions!H30</f>
        <v>4.8</v>
      </c>
      <c r="I23" s="4" t="n">
        <f aca="false">Assumptions!I30</f>
        <v>4.8</v>
      </c>
      <c r="J23" s="4" t="n">
        <f aca="false">Assumptions!J30</f>
        <v>4.8</v>
      </c>
      <c r="K23" s="4" t="n">
        <f aca="false">Assumptions!K30</f>
        <v>4.8</v>
      </c>
      <c r="L23" s="4" t="n">
        <f aca="false">Assumptions!L30</f>
        <v>4.8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-18.124652</v>
      </c>
      <c r="D24" s="0" t="n">
        <f aca="false">-D6*D23/100</f>
        <v>-17.776101</v>
      </c>
      <c r="E24" s="0" t="n">
        <f aca="false">-E6*E23/100</f>
        <v>-17.6818876647</v>
      </c>
      <c r="F24" s="0" t="n">
        <f aca="false">-F6*F23/100</f>
        <v>-17.580848306616</v>
      </c>
      <c r="G24" s="0" t="n">
        <f aca="false">-G6*G23/100</f>
        <v>-17.7566567896822</v>
      </c>
      <c r="H24" s="0" t="n">
        <f aca="false">-H6*H23/100</f>
        <v>-17.934223357579</v>
      </c>
      <c r="I24" s="0" t="n">
        <f aca="false">-I6*I23/100</f>
        <v>-18.1135655911548</v>
      </c>
      <c r="J24" s="0" t="n">
        <f aca="false">-J6*J23/100</f>
        <v>-18.2947012470663</v>
      </c>
      <c r="K24" s="0" t="n">
        <f aca="false">-K6*K23/100</f>
        <v>-18.477648259537</v>
      </c>
      <c r="L24" s="0" t="n">
        <f aca="false">-L6*L23/100</f>
        <v>-18.6624247421324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Assumptions!$B$34</f>
        <v>10.5</v>
      </c>
    </row>
    <row r="28" customFormat="false" ht="15" hidden="false" customHeight="false" outlineLevel="0" collapsed="false">
      <c r="A28" s="0" t="s">
        <v>104</v>
      </c>
      <c r="B28" s="4" t="n">
        <f aca="false">Assumptions!$B$35</f>
        <v>1</v>
      </c>
    </row>
    <row r="29" customFormat="false" ht="15" hidden="false" customHeight="false" outlineLevel="0" collapsed="false">
      <c r="A29" s="0" t="s">
        <v>105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156.664413843068</v>
      </c>
    </row>
    <row r="31" customFormat="false" ht="15" hidden="false" customHeight="false" outlineLevel="0" collapsed="false">
      <c r="A31" s="0" t="s">
        <v>127</v>
      </c>
      <c r="B31" s="0" t="n">
        <f aca="false">L19</f>
        <v>30.0620558554515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319.607120147432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360.744670265418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319.607120147432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117.758879786814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274.423293629882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245.583293629882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1.29506562057629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0.221760019411595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2.20855539946398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1.52300672254027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1.31474374177022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216.876260100043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0.808240119860503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Assumptions!C41</f>
        <v>1.5</v>
      </c>
      <c r="D5" s="4" t="n">
        <f aca="false">Assumptions!D41</f>
        <v>3.5</v>
      </c>
      <c r="E5" s="4" t="n">
        <f aca="false">Assumptions!E41</f>
        <v>3</v>
      </c>
      <c r="F5" s="4" t="n">
        <f aca="false">Assumptions!F41</f>
        <v>2.5</v>
      </c>
      <c r="G5" s="4" t="n">
        <f aca="false">Assumptions!G41</f>
        <v>2.5</v>
      </c>
      <c r="H5" s="4" t="n">
        <f aca="false">Assumptions!H41</f>
        <v>2</v>
      </c>
      <c r="I5" s="4" t="n">
        <f aca="false">Assumptions!I41</f>
        <v>2</v>
      </c>
      <c r="J5" s="4" t="n">
        <f aca="false">Assumptions!J41</f>
        <v>2</v>
      </c>
      <c r="K5" s="4" t="n">
        <f aca="false">Assumptions!K41</f>
        <v>2</v>
      </c>
      <c r="L5" s="4" t="n">
        <f aca="false">Assumptions!L41</f>
        <v>2</v>
      </c>
    </row>
    <row r="6" customFormat="false" ht="15" hidden="false" customHeight="false" outlineLevel="0" collapsed="false">
      <c r="A6" s="0" t="s">
        <v>37</v>
      </c>
      <c r="B6" s="3" t="n">
        <v>345.1</v>
      </c>
      <c r="C6" s="0" t="n">
        <f aca="false">B6*(1+C5/100)</f>
        <v>350.2765</v>
      </c>
      <c r="D6" s="0" t="n">
        <f aca="false">C6*(1+D5/100)</f>
        <v>362.5361775</v>
      </c>
      <c r="E6" s="0" t="n">
        <f aca="false">D6*(1+E5/100)</f>
        <v>373.412262825</v>
      </c>
      <c r="F6" s="0" t="n">
        <f aca="false">E6*(1+F5/100)</f>
        <v>382.747569395625</v>
      </c>
      <c r="G6" s="0" t="n">
        <f aca="false">F6*(1+G5/100)</f>
        <v>392.316258630516</v>
      </c>
      <c r="H6" s="0" t="n">
        <f aca="false">G6*(1+H5/100)</f>
        <v>400.162583803126</v>
      </c>
      <c r="I6" s="0" t="n">
        <f aca="false">H6*(1+I5/100)</f>
        <v>408.165835479188</v>
      </c>
      <c r="J6" s="0" t="n">
        <f aca="false">I6*(1+J5/100)</f>
        <v>416.329152188772</v>
      </c>
      <c r="K6" s="0" t="n">
        <f aca="false">J6*(1+K5/100)</f>
        <v>424.655735232548</v>
      </c>
      <c r="L6" s="0" t="n">
        <f aca="false">K6*(1+L5/100)</f>
        <v>433.148849937199</v>
      </c>
    </row>
    <row r="7" customFormat="false" ht="15" hidden="false" customHeight="false" outlineLevel="0" collapsed="false">
      <c r="A7" s="0" t="s">
        <v>97</v>
      </c>
      <c r="C7" s="4" t="n">
        <f aca="false">Assumptions!C42</f>
        <v>18</v>
      </c>
      <c r="D7" s="4" t="n">
        <f aca="false">Assumptions!D42</f>
        <v>19</v>
      </c>
      <c r="E7" s="4" t="n">
        <f aca="false">Assumptions!E42</f>
        <v>20</v>
      </c>
      <c r="F7" s="4" t="n">
        <f aca="false">Assumptions!F42</f>
        <v>20.5</v>
      </c>
      <c r="G7" s="4" t="n">
        <f aca="false">Assumptions!G42</f>
        <v>21</v>
      </c>
      <c r="H7" s="4" t="n">
        <f aca="false">Assumptions!H42</f>
        <v>21</v>
      </c>
      <c r="I7" s="4" t="n">
        <f aca="false">Assumptions!I42</f>
        <v>21</v>
      </c>
      <c r="J7" s="4" t="n">
        <f aca="false">Assumptions!J42</f>
        <v>21</v>
      </c>
      <c r="K7" s="4" t="n">
        <f aca="false">Assumptions!K42</f>
        <v>21</v>
      </c>
      <c r="L7" s="4" t="n">
        <f aca="false">Assumptions!L42</f>
        <v>21</v>
      </c>
    </row>
    <row r="8" customFormat="false" ht="15" hidden="false" customHeight="false" outlineLevel="0" collapsed="false">
      <c r="A8" s="0" t="s">
        <v>43</v>
      </c>
      <c r="C8" s="0" t="n">
        <f aca="false">C6*C7/100</f>
        <v>63.04977</v>
      </c>
      <c r="D8" s="0" t="n">
        <f aca="false">D6*D7/100</f>
        <v>68.881873725</v>
      </c>
      <c r="E8" s="0" t="n">
        <f aca="false">E6*E7/100</f>
        <v>74.682452565</v>
      </c>
      <c r="F8" s="0" t="n">
        <f aca="false">F6*F7/100</f>
        <v>78.4632517261031</v>
      </c>
      <c r="G8" s="0" t="n">
        <f aca="false">G6*G7/100</f>
        <v>82.3864143124083</v>
      </c>
      <c r="H8" s="0" t="n">
        <f aca="false">H6*H7/100</f>
        <v>84.0341425986564</v>
      </c>
      <c r="I8" s="0" t="n">
        <f aca="false">I6*I7/100</f>
        <v>85.7148254506296</v>
      </c>
      <c r="J8" s="0" t="n">
        <f aca="false">J6*J7/100</f>
        <v>87.4291219596422</v>
      </c>
      <c r="K8" s="0" t="n">
        <f aca="false">K6*K7/100</f>
        <v>89.177704398835</v>
      </c>
      <c r="L8" s="0" t="n">
        <f aca="false">L6*L7/100</f>
        <v>90.9612584868117</v>
      </c>
    </row>
    <row r="9" customFormat="false" ht="15" hidden="false" customHeight="false" outlineLevel="0" collapsed="false">
      <c r="A9" s="0" t="s">
        <v>98</v>
      </c>
      <c r="C9" s="4" t="n">
        <f aca="false">Assumptions!C43</f>
        <v>0.1</v>
      </c>
      <c r="D9" s="4" t="n">
        <f aca="false">Assumptions!D43</f>
        <v>0.1</v>
      </c>
      <c r="E9" s="4" t="n">
        <f aca="false">Assumptions!E43</f>
        <v>0.1</v>
      </c>
      <c r="F9" s="4" t="n">
        <f aca="false">Assumptions!F43</f>
        <v>0.1</v>
      </c>
      <c r="G9" s="4" t="n">
        <f aca="false">Assumptions!G43</f>
        <v>0.1</v>
      </c>
      <c r="H9" s="4" t="n">
        <f aca="false">Assumptions!H43</f>
        <v>0.1</v>
      </c>
      <c r="I9" s="4" t="n">
        <f aca="false">Assumptions!I43</f>
        <v>0.1</v>
      </c>
      <c r="J9" s="4" t="n">
        <f aca="false">Assumptions!J43</f>
        <v>0.1</v>
      </c>
      <c r="K9" s="4" t="n">
        <f aca="false">Assumptions!K43</f>
        <v>0.1</v>
      </c>
      <c r="L9" s="4" t="n">
        <f aca="false">Assumptions!L43</f>
        <v>0.1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-0.3502765</v>
      </c>
      <c r="D10" s="0" t="n">
        <f aca="false">-D6*D9/100</f>
        <v>-0.3625361775</v>
      </c>
      <c r="E10" s="0" t="n">
        <f aca="false">-E6*E9/100</f>
        <v>-0.373412262825</v>
      </c>
      <c r="F10" s="0" t="n">
        <f aca="false">-F6*F9/100</f>
        <v>-0.382747569395625</v>
      </c>
      <c r="G10" s="0" t="n">
        <f aca="false">-G6*G9/100</f>
        <v>-0.392316258630516</v>
      </c>
      <c r="H10" s="0" t="n">
        <f aca="false">-H6*H9/100</f>
        <v>-0.400162583803126</v>
      </c>
      <c r="I10" s="0" t="n">
        <f aca="false">-I6*I9/100</f>
        <v>-0.408165835479188</v>
      </c>
      <c r="J10" s="0" t="n">
        <f aca="false">-J6*J9/100</f>
        <v>-0.416329152188772</v>
      </c>
      <c r="K10" s="0" t="n">
        <f aca="false">-K6*K9/100</f>
        <v>-0.424655735232548</v>
      </c>
      <c r="L10" s="0" t="n">
        <f aca="false">-L6*L9/100</f>
        <v>-0.433148849937199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44.4851155</v>
      </c>
      <c r="D11" s="0" t="n">
        <f aca="false">D8+D10+D24</f>
        <v>50.75506485</v>
      </c>
      <c r="E11" s="0" t="n">
        <f aca="false">E8+E10+E24</f>
        <v>56.7586639494</v>
      </c>
      <c r="F11" s="0" t="n">
        <f aca="false">F8+F10+F24</f>
        <v>60.4741159645088</v>
      </c>
      <c r="G11" s="0" t="n">
        <f aca="false">G8+G10+G24</f>
        <v>64.3398664154045</v>
      </c>
      <c r="H11" s="0" t="n">
        <f aca="false">H8+H10+H24</f>
        <v>65.6266637437126</v>
      </c>
      <c r="I11" s="0" t="n">
        <f aca="false">I8+I10+I24</f>
        <v>66.9391970185869</v>
      </c>
      <c r="J11" s="0" t="n">
        <f aca="false">J8+J10+J24</f>
        <v>68.2779809589587</v>
      </c>
      <c r="K11" s="0" t="n">
        <f aca="false">K8+K10+K24</f>
        <v>69.6435405781378</v>
      </c>
      <c r="L11" s="0" t="n">
        <f aca="false">L8+L10+L24</f>
        <v>71.0364113897006</v>
      </c>
    </row>
    <row r="12" customFormat="false" ht="15" hidden="false" customHeight="false" outlineLevel="0" collapsed="false">
      <c r="A12" s="0" t="s">
        <v>115</v>
      </c>
      <c r="C12" s="4" t="n">
        <f aca="false">-C6*Assumptions!C45/100</f>
        <v>-17.1635485</v>
      </c>
      <c r="D12" s="4" t="n">
        <f aca="false">-D6*Assumptions!D45/100</f>
        <v>-17.0392003425</v>
      </c>
      <c r="E12" s="4" t="n">
        <f aca="false">-E6*Assumptions!E45/100</f>
        <v>-16.803551827125</v>
      </c>
      <c r="F12" s="4" t="n">
        <f aca="false">-F6*Assumptions!F45/100</f>
        <v>-16.4581454840119</v>
      </c>
      <c r="G12" s="4" t="n">
        <f aca="false">-G6*Assumptions!G45/100</f>
        <v>-16.0849666038511</v>
      </c>
      <c r="H12" s="4" t="n">
        <f aca="false">-H6*Assumptions!H45/100</f>
        <v>-15.6063407683219</v>
      </c>
      <c r="I12" s="4" t="n">
        <f aca="false">-I6*Assumptions!I45/100</f>
        <v>-15.10213591273</v>
      </c>
      <c r="J12" s="4" t="n">
        <f aca="false">-J6*Assumptions!J45/100</f>
        <v>-14.571520326607</v>
      </c>
      <c r="K12" s="4" t="n">
        <f aca="false">-K6*Assumptions!K45/100</f>
        <v>-14.8629507331392</v>
      </c>
      <c r="L12" s="4" t="n">
        <f aca="false">-L6*Assumptions!L45/100</f>
        <v>-15.160209747802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27.321567</v>
      </c>
      <c r="D13" s="0" t="n">
        <f aca="false">D11+D12</f>
        <v>33.7158645075</v>
      </c>
      <c r="E13" s="0" t="n">
        <f aca="false">E11+E12</f>
        <v>39.955112122275</v>
      </c>
      <c r="F13" s="0" t="n">
        <f aca="false">F11+F12</f>
        <v>44.0159704804969</v>
      </c>
      <c r="G13" s="0" t="n">
        <f aca="false">G11+G12</f>
        <v>48.2548998115534</v>
      </c>
      <c r="H13" s="0" t="n">
        <f aca="false">H11+H12</f>
        <v>50.0203229753907</v>
      </c>
      <c r="I13" s="0" t="n">
        <f aca="false">I11+I12</f>
        <v>51.8370611058569</v>
      </c>
      <c r="J13" s="0" t="n">
        <f aca="false">J11+J12</f>
        <v>53.7064606323516</v>
      </c>
      <c r="K13" s="0" t="n">
        <f aca="false">K11+K12</f>
        <v>54.7805898449986</v>
      </c>
      <c r="L13" s="0" t="n">
        <f aca="false">L11+L12</f>
        <v>55.8762016418986</v>
      </c>
    </row>
    <row r="14" customFormat="false" ht="15" hidden="false" customHeight="false" outlineLevel="0" collapsed="false">
      <c r="A14" s="0" t="s">
        <v>102</v>
      </c>
      <c r="C14" s="4" t="n">
        <f aca="false">Assumptions!C47</f>
        <v>28</v>
      </c>
      <c r="D14" s="4" t="n">
        <f aca="false">Assumptions!D47</f>
        <v>28</v>
      </c>
      <c r="E14" s="4" t="n">
        <f aca="false">Assumptions!E47</f>
        <v>28</v>
      </c>
      <c r="F14" s="4" t="n">
        <f aca="false">Assumptions!F47</f>
        <v>28</v>
      </c>
      <c r="G14" s="4" t="n">
        <f aca="false">Assumptions!G47</f>
        <v>28</v>
      </c>
      <c r="H14" s="4" t="n">
        <f aca="false">Assumptions!H47</f>
        <v>28</v>
      </c>
      <c r="I14" s="4" t="n">
        <f aca="false">Assumptions!I47</f>
        <v>28</v>
      </c>
      <c r="J14" s="4" t="n">
        <f aca="false">Assumptions!J47</f>
        <v>28</v>
      </c>
      <c r="K14" s="4" t="n">
        <f aca="false">Assumptions!K47</f>
        <v>28</v>
      </c>
      <c r="L14" s="4" t="n">
        <f aca="false">Assumptions!L47</f>
        <v>28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19.67152824</v>
      </c>
      <c r="D15" s="0" t="n">
        <f aca="false">D13-MAX(0,D13)*D14/100</f>
        <v>24.2754224454</v>
      </c>
      <c r="E15" s="0" t="n">
        <f aca="false">E13-MAX(0,E13)*E14/100</f>
        <v>28.767680728038</v>
      </c>
      <c r="F15" s="0" t="n">
        <f aca="false">F13-MAX(0,F13)*F14/100</f>
        <v>31.6914987459578</v>
      </c>
      <c r="G15" s="0" t="n">
        <f aca="false">G13-MAX(0,G13)*G14/100</f>
        <v>34.7435278643185</v>
      </c>
      <c r="H15" s="0" t="n">
        <f aca="false">H13-MAX(0,H13)*H14/100</f>
        <v>36.0146325422813</v>
      </c>
      <c r="I15" s="0" t="n">
        <f aca="false">I13-MAX(0,I13)*I14/100</f>
        <v>37.322683996217</v>
      </c>
      <c r="J15" s="0" t="n">
        <f aca="false">J13-MAX(0,J13)*J14/100</f>
        <v>38.6686516552932</v>
      </c>
      <c r="K15" s="0" t="n">
        <f aca="false">K13-MAX(0,K13)*K14/100</f>
        <v>39.442024688399</v>
      </c>
      <c r="L15" s="0" t="n">
        <f aca="false">L13-MAX(0,L13)*L14/100</f>
        <v>40.230865182167</v>
      </c>
    </row>
    <row r="16" customFormat="false" ht="15" hidden="false" customHeight="false" outlineLevel="0" collapsed="false">
      <c r="A16" s="0" t="s">
        <v>118</v>
      </c>
      <c r="C16" s="0" t="n">
        <f aca="false">-C12</f>
        <v>17.1635485</v>
      </c>
      <c r="D16" s="0" t="n">
        <f aca="false">-D12</f>
        <v>17.0392003425</v>
      </c>
      <c r="E16" s="0" t="n">
        <f aca="false">-E12</f>
        <v>16.803551827125</v>
      </c>
      <c r="F16" s="0" t="n">
        <f aca="false">-F12</f>
        <v>16.4581454840119</v>
      </c>
      <c r="G16" s="0" t="n">
        <f aca="false">-G12</f>
        <v>16.0849666038511</v>
      </c>
      <c r="H16" s="0" t="n">
        <f aca="false">-H12</f>
        <v>15.6063407683219</v>
      </c>
      <c r="I16" s="0" t="n">
        <f aca="false">-I12</f>
        <v>15.10213591273</v>
      </c>
      <c r="J16" s="0" t="n">
        <f aca="false">-J12</f>
        <v>14.571520326607</v>
      </c>
      <c r="K16" s="0" t="n">
        <f aca="false">-K12</f>
        <v>14.8629507331392</v>
      </c>
      <c r="L16" s="0" t="n">
        <f aca="false">-L12</f>
        <v>15.160209747802</v>
      </c>
    </row>
    <row r="17" customFormat="false" ht="15" hidden="false" customHeight="false" outlineLevel="0" collapsed="false">
      <c r="A17" s="0" t="s">
        <v>119</v>
      </c>
      <c r="C17" s="4" t="n">
        <f aca="false">-C6*Assumptions!C46/100</f>
        <v>-18.214378</v>
      </c>
      <c r="D17" s="4" t="n">
        <f aca="false">-D6*Assumptions!D46/100</f>
        <v>-19.576953585</v>
      </c>
      <c r="E17" s="4" t="n">
        <f aca="false">-E6*Assumptions!E46/100</f>
        <v>-12.69601693605</v>
      </c>
      <c r="F17" s="4" t="n">
        <f aca="false">-F6*Assumptions!F46/100</f>
        <v>-13.0134173594512</v>
      </c>
      <c r="G17" s="4" t="n">
        <f aca="false">-G6*Assumptions!G46/100</f>
        <v>-13.3387527934375</v>
      </c>
      <c r="H17" s="4" t="n">
        <f aca="false">-H6*Assumptions!H46/100</f>
        <v>-13.6055278493063</v>
      </c>
      <c r="I17" s="4" t="n">
        <f aca="false">-I6*Assumptions!I46/100</f>
        <v>-13.8776384062924</v>
      </c>
      <c r="J17" s="4" t="n">
        <f aca="false">-J6*Assumptions!J46/100</f>
        <v>-14.1551911744183</v>
      </c>
      <c r="K17" s="4" t="n">
        <f aca="false">-K6*Assumptions!K46/100</f>
        <v>-14.4382949979066</v>
      </c>
      <c r="L17" s="4" t="n">
        <f aca="false">-L6*Assumptions!L46/100</f>
        <v>-14.7270608978648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18.62069874</v>
      </c>
      <c r="D19" s="0" t="n">
        <f aca="false">D15+D16+D17+D18</f>
        <v>21.7376692029</v>
      </c>
      <c r="E19" s="0" t="n">
        <f aca="false">E15+E16+E17+E18</f>
        <v>32.875215619113</v>
      </c>
      <c r="F19" s="0" t="n">
        <f aca="false">F15+F16+F17+F18</f>
        <v>35.1362268705184</v>
      </c>
      <c r="G19" s="0" t="n">
        <f aca="false">G15+G16+G17+G18</f>
        <v>37.4897416747321</v>
      </c>
      <c r="H19" s="0" t="n">
        <f aca="false">H15+H16+H17+H18</f>
        <v>38.015445461297</v>
      </c>
      <c r="I19" s="0" t="n">
        <f aca="false">I15+I16+I17+I18</f>
        <v>38.5471815026546</v>
      </c>
      <c r="J19" s="0" t="n">
        <f aca="false">J15+J16+J17+J18</f>
        <v>39.0849808074819</v>
      </c>
      <c r="K19" s="0" t="n">
        <f aca="false">K15+K16+K17+K18</f>
        <v>39.8666804236316</v>
      </c>
      <c r="L19" s="0" t="n">
        <f aca="false">L15+L16+L17+L18</f>
        <v>40.6640140321042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16.8513110769231</v>
      </c>
      <c r="D21" s="0" t="n">
        <f aca="false">D19*D20</f>
        <v>17.80280436756</v>
      </c>
      <c r="E21" s="0" t="n">
        <f aca="false">E19*E20</f>
        <v>24.3658617572437</v>
      </c>
      <c r="F21" s="0" t="n">
        <f aca="false">F19*F20</f>
        <v>23.5670927246957</v>
      </c>
      <c r="G21" s="0" t="n">
        <f aca="false">G19*G20</f>
        <v>22.756268942825</v>
      </c>
      <c r="H21" s="0" t="n">
        <f aca="false">H19*H20</f>
        <v>20.8826887616483</v>
      </c>
      <c r="I21" s="0" t="n">
        <f aca="false">I19*I20</f>
        <v>19.1626992063164</v>
      </c>
      <c r="J21" s="0" t="n">
        <f aca="false">J19*J20</f>
        <v>17.5837572230377</v>
      </c>
      <c r="K21" s="0" t="n">
        <f aca="false">K19*K20</f>
        <v>16.2311605135733</v>
      </c>
      <c r="L21" s="0" t="n">
        <f aca="false">L19*L20</f>
        <v>14.9826097048369</v>
      </c>
    </row>
    <row r="23" customFormat="false" ht="15" hidden="false" customHeight="false" outlineLevel="0" collapsed="false">
      <c r="A23" s="0" t="s">
        <v>99</v>
      </c>
      <c r="C23" s="4" t="n">
        <f aca="false">Assumptions!C44</f>
        <v>5.2</v>
      </c>
      <c r="D23" s="4" t="n">
        <f aca="false">Assumptions!D44</f>
        <v>4.9</v>
      </c>
      <c r="E23" s="4" t="n">
        <f aca="false">Assumptions!E44</f>
        <v>4.7</v>
      </c>
      <c r="F23" s="4" t="n">
        <f aca="false">Assumptions!F44</f>
        <v>4.6</v>
      </c>
      <c r="G23" s="4" t="n">
        <f aca="false">Assumptions!G44</f>
        <v>4.5</v>
      </c>
      <c r="H23" s="4" t="n">
        <f aca="false">Assumptions!H44</f>
        <v>4.5</v>
      </c>
      <c r="I23" s="4" t="n">
        <f aca="false">Assumptions!I44</f>
        <v>4.5</v>
      </c>
      <c r="J23" s="4" t="n">
        <f aca="false">Assumptions!J44</f>
        <v>4.5</v>
      </c>
      <c r="K23" s="4" t="n">
        <f aca="false">Assumptions!K44</f>
        <v>4.5</v>
      </c>
      <c r="L23" s="4" t="n">
        <f aca="false">Assumptions!L44</f>
        <v>4.5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-18.214378</v>
      </c>
      <c r="D24" s="0" t="n">
        <f aca="false">-D6*D23/100</f>
        <v>-17.7642726975</v>
      </c>
      <c r="E24" s="0" t="n">
        <f aca="false">-E6*E23/100</f>
        <v>-17.550376352775</v>
      </c>
      <c r="F24" s="0" t="n">
        <f aca="false">-F6*F23/100</f>
        <v>-17.6063881921987</v>
      </c>
      <c r="G24" s="0" t="n">
        <f aca="false">-G6*G23/100</f>
        <v>-17.6542316383732</v>
      </c>
      <c r="H24" s="0" t="n">
        <f aca="false">-H6*H23/100</f>
        <v>-18.0073162711407</v>
      </c>
      <c r="I24" s="0" t="n">
        <f aca="false">-I6*I23/100</f>
        <v>-18.3674625965635</v>
      </c>
      <c r="J24" s="0" t="n">
        <f aca="false">-J6*J23/100</f>
        <v>-18.7348118484947</v>
      </c>
      <c r="K24" s="0" t="n">
        <f aca="false">-K6*K23/100</f>
        <v>-19.1095080854646</v>
      </c>
      <c r="L24" s="0" t="n">
        <f aca="false">-L6*L23/100</f>
        <v>-19.4916982471739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Assumptions!$B$48</f>
        <v>10.5</v>
      </c>
    </row>
    <row r="28" customFormat="false" ht="15" hidden="false" customHeight="false" outlineLevel="0" collapsed="false">
      <c r="A28" s="0" t="s">
        <v>104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105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194.18625427866</v>
      </c>
    </row>
    <row r="31" customFormat="false" ht="15" hidden="false" customHeight="false" outlineLevel="0" collapsed="false">
      <c r="A31" s="0" t="s">
        <v>127</v>
      </c>
      <c r="B31" s="0" t="n">
        <f aca="false">L19</f>
        <v>40.6640140321042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487.96816838525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487.96816838525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487.96816838525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179.791316458042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373.977570736702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345.137570736702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1.82005785338133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0.717035710737107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2.32803339765928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1.91511841135537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1.84243380554615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319.056110098048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1.09732785326301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135</v>
      </c>
      <c r="D3" s="2" t="s">
        <v>146</v>
      </c>
      <c r="E3" s="2" t="s">
        <v>138</v>
      </c>
      <c r="F3" s="2" t="s">
        <v>147</v>
      </c>
    </row>
    <row r="4" customFormat="false" ht="15" hidden="false" customHeight="false" outlineLevel="0" collapsed="false">
      <c r="A4" s="0" t="s">
        <v>148</v>
      </c>
      <c r="B4" s="4" t="n">
        <f aca="false">DCF_Bear!$B$38</f>
        <v>0.54417922004965</v>
      </c>
      <c r="C4" s="0" t="n">
        <f aca="false">B4/Assumptions!$B$2-1</f>
        <v>-0.486623377311651</v>
      </c>
      <c r="D4" s="4" t="n">
        <f aca="false">Assumptions!$B$24</f>
        <v>0.25</v>
      </c>
      <c r="E4" s="4" t="n">
        <f aca="false">DCF_Bear!$B$43</f>
        <v>0.559368103838438</v>
      </c>
      <c r="F4" s="4" t="n">
        <f aca="false">DCF_Bear!$B$47</f>
        <v>0.354180623726308</v>
      </c>
    </row>
    <row r="5" customFormat="false" ht="15" hidden="false" customHeight="false" outlineLevel="0" collapsed="false">
      <c r="A5" s="0" t="s">
        <v>149</v>
      </c>
      <c r="B5" s="4" t="n">
        <f aca="false">DCF_Base!$B$38</f>
        <v>1.29506562057629</v>
      </c>
      <c r="C5" s="0" t="n">
        <f aca="false">B5/Assumptions!$B$2-1</f>
        <v>0.221760019411595</v>
      </c>
      <c r="D5" s="4" t="n">
        <f aca="false">Assumptions!$B$38</f>
        <v>0.5</v>
      </c>
      <c r="E5" s="4" t="n">
        <f aca="false">DCF_Base!$B$43</f>
        <v>1.31474374177022</v>
      </c>
      <c r="F5" s="4" t="n">
        <f aca="false">DCF_Base!$B$47</f>
        <v>0.808240119860503</v>
      </c>
    </row>
    <row r="6" customFormat="false" ht="15" hidden="false" customHeight="false" outlineLevel="0" collapsed="false">
      <c r="A6" s="0" t="s">
        <v>150</v>
      </c>
      <c r="B6" s="4" t="n">
        <f aca="false">DCF_Bull!$B$38</f>
        <v>1.82005785338133</v>
      </c>
      <c r="C6" s="0" t="n">
        <f aca="false">B6/Assumptions!$B$2-1</f>
        <v>0.717035710737107</v>
      </c>
      <c r="D6" s="4" t="n">
        <f aca="false">Assumptions!$B$52</f>
        <v>0.25</v>
      </c>
      <c r="E6" s="4" t="n">
        <f aca="false">DCF_Bull!$B$43</f>
        <v>1.84243380554615</v>
      </c>
      <c r="F6" s="4" t="n">
        <f aca="false">DCF_Bull!$B$47</f>
        <v>1.09732785326301</v>
      </c>
    </row>
    <row r="8" customFormat="false" ht="15" hidden="false" customHeight="false" outlineLevel="0" collapsed="false">
      <c r="A8" s="0" t="s">
        <v>151</v>
      </c>
      <c r="B8" s="0" t="n">
        <f aca="false">SUMPRODUCT(B4:B6,D4:D6)</f>
        <v>1.23859207864589</v>
      </c>
    </row>
    <row r="9" customFormat="false" ht="15" hidden="false" customHeight="false" outlineLevel="0" collapsed="false">
      <c r="A9" s="0" t="s">
        <v>152</v>
      </c>
      <c r="B9" s="0" t="n">
        <f aca="false">SUMPRODUCT(E4:E6,D4:D6)</f>
        <v>1.25782234823126</v>
      </c>
    </row>
    <row r="10" customFormat="false" ht="15" hidden="false" customHeight="false" outlineLevel="0" collapsed="false">
      <c r="A10" s="0" t="s">
        <v>153</v>
      </c>
      <c r="B10" s="0" t="n">
        <f aca="false">1-Assumptions!$B$2/B8</f>
        <v>0.144189585679524</v>
      </c>
    </row>
    <row r="11" customFormat="false" ht="15" hidden="false" customHeight="false" outlineLevel="0" collapsed="false">
      <c r="A11" s="0" t="s">
        <v>154</v>
      </c>
      <c r="B11" s="0" t="n">
        <f aca="false">IF(ABS(B9-B8)&gt;0.01*ABS(B8),(Assumptions!$B$2-B8)/(B9-B8)*100,"n/a")</f>
        <v>-928.70293811069</v>
      </c>
    </row>
    <row r="12" customFormat="false" ht="15" hidden="false" customHeight="false" outlineLevel="0" collapsed="false">
      <c r="A12" s="0" t="s">
        <v>155</v>
      </c>
      <c r="B12" s="0" t="n">
        <f aca="false">SUMPRODUCT(F4:F6,D4:D6)</f>
        <v>0.76699717917758</v>
      </c>
    </row>
    <row r="14" customFormat="false" ht="15" hidden="false" customHeight="false" outlineLevel="0" collapsed="false">
      <c r="A14" s="2" t="s">
        <v>156</v>
      </c>
      <c r="C14" s="0" t="s">
        <v>157</v>
      </c>
    </row>
    <row r="15" customFormat="false" ht="15" hidden="false" customHeight="false" outlineLevel="0" collapsed="false">
      <c r="A15" s="0" t="s">
        <v>158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1.53804963485487</v>
      </c>
      <c r="C15" s="3" t="n">
        <v>9</v>
      </c>
    </row>
    <row r="16" customFormat="false" ht="15" hidden="false" customHeight="false" outlineLevel="0" collapsed="false">
      <c r="A16" s="0" t="s">
        <v>159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1.37941802530886</v>
      </c>
      <c r="C16" s="3" t="n">
        <v>10</v>
      </c>
    </row>
    <row r="17" customFormat="false" ht="15" hidden="false" customHeight="false" outlineLevel="0" collapsed="false">
      <c r="A17" s="0" t="s">
        <v>160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1.29506562057629</v>
      </c>
      <c r="C17" s="3" t="n">
        <v>10.5</v>
      </c>
    </row>
    <row r="18" customFormat="false" ht="15" hidden="false" customHeight="false" outlineLevel="0" collapsed="false">
      <c r="A18" s="0" t="s">
        <v>161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1.21918729379319</v>
      </c>
      <c r="C18" s="3" t="n">
        <v>11</v>
      </c>
    </row>
    <row r="19" customFormat="false" ht="15" hidden="false" customHeight="false" outlineLevel="0" collapsed="false">
      <c r="A19" s="0" t="s">
        <v>162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1.08822917276025</v>
      </c>
      <c r="C19" s="3" t="n">
        <v>12</v>
      </c>
    </row>
    <row r="20" customFormat="false" ht="15" hidden="false" customHeight="false" outlineLevel="0" collapsed="false">
      <c r="A20" s="0" t="s">
        <v>163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0.808240119860503</v>
      </c>
      <c r="C20" s="3" t="n">
        <v>15</v>
      </c>
    </row>
    <row r="22" customFormat="false" ht="15" hidden="false" customHeight="false" outlineLevel="0" collapsed="false">
      <c r="A22" s="2" t="s">
        <v>164</v>
      </c>
    </row>
    <row r="23" customFormat="false" ht="15" hidden="false" customHeight="false" outlineLevel="0" collapsed="false">
      <c r="B23" s="3" t="n">
        <v>0</v>
      </c>
      <c r="C23" s="3" t="n">
        <v>0.5</v>
      </c>
      <c r="D23" s="3" t="n">
        <v>1</v>
      </c>
      <c r="E23" s="3" t="n">
        <v>1.5</v>
      </c>
      <c r="F23" s="3" t="n">
        <v>2</v>
      </c>
    </row>
    <row r="24" customFormat="false" ht="15" hidden="false" customHeight="false" outlineLevel="0" collapsed="false">
      <c r="A24" s="3" t="n">
        <v>8.5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1.58093933683596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1.59743710971366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1.59743710971366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1.59743710971366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1.59743710971366</v>
      </c>
    </row>
    <row r="25" customFormat="false" ht="15" hidden="false" customHeight="false" outlineLevel="0" collapsed="false">
      <c r="A25" s="3" t="n">
        <v>9.5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1.38699589233099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1.42795858049643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1.47374040844604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1.48126618838296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1.48126618838296</v>
      </c>
    </row>
    <row r="26" customFormat="false" ht="15" hidden="false" customHeight="false" outlineLevel="0" collapsed="false">
      <c r="A26" s="3" t="n">
        <v>10.5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1.23036056332757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1.26109546552071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1.29506562057629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1.33281023730471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1.37499539717766</v>
      </c>
    </row>
    <row r="27" customFormat="false" ht="15" hidden="false" customHeight="false" outlineLevel="0" collapsed="false">
      <c r="A27" s="3" t="n">
        <v>11.5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1.10128299883433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1.1248073310897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1.15057207594081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1.17891329527703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1.21023780085917</v>
      </c>
    </row>
    <row r="28" customFormat="false" ht="15" hidden="false" customHeight="false" outlineLevel="0" collapsed="false">
      <c r="A28" s="3" t="n">
        <v>12.5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0.993134144583202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1.01144116540932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1.03134010108987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1.05304803092321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1.07682338264543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2026-09-25T15:03:00Z</dcterms:created>
  <dc:creator>openpyxl</dc:creator>
  <dc:description/>
  <dc:language>en-NZ</dc:language>
  <cp:lastModifiedBy/>
  <dcterms:modified xsi:type="dcterms:W3CDTF">2026-09-25T15:03:00Z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