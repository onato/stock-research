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<sst xmlns="http://schemas.openxmlformats.org/spreadsheetml/2006/main" count="350" uniqueCount="162">
  <si>
    <t xml:space="preserve">Ticker</t>
  </si>
  <si>
    <t xml:space="preserve">9633.HK</t>
  </si>
  <si>
    <t xml:space="preserve">Company</t>
  </si>
  <si>
    <t xml:space="preserve">Nongfu Spring Co., Ltd.</t>
  </si>
  <si>
    <t xml:space="preserve">Valuation date</t>
  </si>
  <si>
    <t xml:space="preserve">2026-10-24</t>
  </si>
  <si>
    <t xml:space="preserve">Current price</t>
  </si>
  <si>
    <t xml:space="preserve">Price as of</t>
  </si>
  <si>
    <t xml:space="preserve">2026-10-23T08:08:08Z (HKEX regular close, Friday)</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</si>
  <si>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</si>
  <si>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</si>
  <si>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</si>
  <si>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</si>
  <si>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</si>
  <si>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</si>
  <si>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</si>
  <si>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</si>
  <si>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</si>
  <si>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</si>
  <si>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</si>
  <si>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</si>
  <si>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</si>
  <si>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2026-10-23T18:27:49Z</t>
  </si>
  <si>
    <t xml:space="preserve">Drivers file</t>
  </si>
  <si>
    <t xml:space="preserve">9633.HK_Drivers.json</t>
  </si>
  <si>
    <t xml:space="preserve">Convention</t>
  </si>
  <si>
    <t xml:space="preserve">Percents stored as percents; formulas divide by 100. Blue = input, green = link, black = formula.</t>
  </si>
  <si>
    <t xml:space="preserve">Methodology</t>
  </si>
  <si>
    <t xml:space="preserve">summary: Nongfu Spring is valued on owner FCF: reported FCF less the (tiny) SBC charge and less the interest and wealth-management gains earned on a RMB37.6bn pile of deposits and bank products, which are instead added back at value in the bridge net of the RMB11.1bn dividend paid in August 2026 and the H1 FY2026 flow already in the cash. The engine capitalises a 45% EBITDA / ~23% owner-FCF margin business whose growth fades from the post-boycott 16-22% recovery to China nominal growth over ten years, at a 9% CNY WACC that carries the country and governance risk once. The water-source moat and the East Leaf franchise are real; what the price pays for is how long tea compounds before competition turns it into a price category, and how often the founder's public profile puts the brand at risk.
key_risks_to_valuation: Reputational/social-media shock tied to Chairman Zhong Shanshan -- the 2024 boycott cut water sales ~21% and group profit growth to 0.4%; the bear path assumes a repeat and is weighted 20%; Sugar-free tea competition: East Leaf is 44% of revenue and grew 30% in H1 FY2026; fast-following by CR Beverage, Master Kong and Uni-President could compress both growth and the margin premium; Input-cost reversal: FY2025's 2.4pp gross-margin gain was partly PET resin, packaging and sugar deflation that can reverse with oil; Chinese consumer slowdown: ~100% of revenue is mainland China; retail sales growth has run 1-4%; Capex intensity: 12.9% of revenue in FY2025 and H1 FY2026 while IPO proceeds are deployed; the model assumes it halves to 7.5% by year 9 -- if the 17-source build-out continues at this pace, owner FCF margin stays ~5pp lower; Currency: a buyer in HKD owns RMB flows; CNY depreciation lowers every per-share value here one-for-one via fx_rate, which refresh_price.py does not update</t>
  </si>
  <si>
    <t xml:space="preserve">Data sources</t>
  </si>
  <si>
    <t xml:space="preserve">price: Yahoo Finance chart API at inputs.price_as_of (regular HKEX close); 52-week range 37.90-56.25 HKD
fx: Yahoo Finance CNYHKD=X at the timestamp in inputs.fx_note
financials: 9633.HK_Metrics.csv (core_metrics, millions of CNY) for FY2020-FY2025 and H1 FY2026; FY2025 annual report (statement of financial position, cash flow statement, notes 6 other income, 8 finance costs, 11 income tax, 15 leases, 27 borrowings) and H1 FY2026 interim report (statement of financial position, cash flow statement, notes 7 dividends and 8 EPS, MD&amp;A cash/borrowings/gearing) for the bridge anchors
qualitative: 9633.HK_Analysis.json (2026-10-24): business model, segment mix, 2024 boycott history, bull/bear axes; H1 FY2026 MD&amp;A outlook (no numeric guidance)</t>
  </si>
  <si>
    <t xml:space="preserve">Scenario narrative: bear</t>
  </si>
  <si>
    <t xml:space="preserve">A second reputational shock of the 2024 kind (the Zhong Shanshan key-person axis) or a sharper Chinese consumer slowdown knocks FY2027 growth to 3% and it never recovers above 3%; sugar-free tea becomes a price-led category as rivals subsidise shelf space and East Leaf loses its margin premium; PET resin and sugar reverse FY2025's windfall. EBITDA margin compresses 5pp to 40% and stays there. Capex is cut to 7.5% from year 6 as growth projects are shelved. No working-capital release. Terminal growth 2.5% and a 16x cap, as a slower structural grower.</t>
  </si>
  <si>
    <t xml:space="preserve">Scenario narrative: base</t>
  </si>
  <si>
    <t xml:space="preserve">Tea (East Leaf) keeps compounding but decelerates from +30% to high-single digits as the category matures and C'estbon, Master Kong and Uni-President fast-follow; water recovers to low-single-digit growth with the 17-source network; functional and juice grow low-teens on scenario SKUs and Sam's Club. Group revenue growth fades 13% -&gt; 3% over ten years. The 45% EBITDA margin holds through year 5 as tea mix offsets PET/sugar normalisation, then fades half a point. Capex steps down from the IPO-proceeds factory build (12.5%) to 7.5% maintenance-plus-growth. Negative working capital releases a little cash on growth (5% capture). Payout stays ~70% of profit, which is why the cash pile, not reinvestment, is the second-largest value item after the terminal.</t>
  </si>
  <si>
    <t xml:space="preserve">Scenario narrative: bull</t>
  </si>
  <si>
    <t xml:space="preserve">The health/low-sugar shift broadens East Leaf into a multi-SKU platform (chilled tea, carbonated tea, Tanbing coffee) and functional/electrolyte waters ride GLP-1-era sugar reduction; water regains mid-single-digit growth as the boycott fades from memory. Revenue grows 16% in FY2026 and is still 7% in year 6. Pricing discipline in e-commerce and scale on a 60%+ gross margin lift EBITDA margin to 47%. Working capital capture 8%. Terminal growth 3.5%, consistent with China nominal consumption.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</si>
  <si>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</si>
  <si>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</si>
  <si>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</si>
  <si>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</si>
  <si>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</si>
  <si>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</si>
  <si>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</si>
  <si>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</si>
  <si>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</si>
  <si>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</si>
  <si>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</si>
  <si>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</si>
  <si>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</si>
  <si>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</si>
  <si>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</si>
  <si>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</si>
  <si>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</si>
  <si>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</si>
  <si>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</si>
  <si>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</si>
  <si>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</si>
  <si>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</si>
  <si>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</si>
  <si>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</si>
  <si>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</si>
  <si>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</si>
  <si>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</si>
  <si>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</si>
  <si>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</si>
  <si>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</si>
  <si>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</si>
  <si>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</si>
  <si>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</si>
  <si>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</si>
  <si>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</si>
  <si>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</si>
  <si>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</si>
  <si>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</si>
  <si>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</si>
  <si>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</si>
  <si>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</si>
  <si>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</si>
  <si>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</si>
  <si>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</si>
  <si>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</si>
  <si>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</si>
  <si>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</si>
  <si>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</si>
  <si>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</si>
  <si>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</si>
  <si>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</si>
  <si>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</si>
  <si>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</si>
  <si>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</si>
  <si>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</si>
  <si>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</si>
  <si>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</si>
  <si>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</si>
  <si>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</si>
  <si>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</si>
  <si>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</si>
  <si>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</si>
  <si>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</si>
  <si>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</si>
  <si>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</si>
  <si>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</si>
  <si>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</si>
  <si>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</si>
  <si>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</si>
  <si>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</si>
  <si>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</si>
  <si>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9633.HK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</si>
  <si>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</si>
  <si>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</si>
  <si>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</si>
  <si>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</si>
  <si>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</si>
  <si>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</si>
  <si>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</si>
  <si>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</si>
  <si>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</si>
  <si>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</si>
  <si>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</si>
  <si>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</si>
  <si>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</si>
  <si>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</si>
  <si>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</si>
  <si>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</si>
  <si>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</si>
  <si>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</si>
  <si>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</si>
  <si>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</si>
  <si>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</si>
  <si>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</si>
  <si>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</si>
  <si>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</si>
  <si>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</si>
  <si>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</si>
  <si>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</si>
  <si>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</si>
  <si>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</si>
  <si>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</si>
  <si>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9633.HK owner-FCF component DCF: base case (millions, CNY)</t>
  </si>
  <si>
    <t xml:space="preserve">9633.HK owner-FCF component DCF: bull case (millions, CNY)</t>
  </si>
  <si>
    <t xml:space="preserve">9633.HK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</si>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</sst>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41.52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24021</v>
      </c>
      <c r="C2" s="0" t="n">
        <v>-10710.4</v>
      </c>
      <c r="D2" s="0" t="n">
        <v>13310.6</v>
      </c>
      <c r="E2" s="0" t="n">
        <v>55.4</v>
      </c>
      <c r="I2" s="0" t="n">
        <v>4954.2</v>
      </c>
      <c r="J2" s="0" t="n">
        <v>20.6</v>
      </c>
      <c r="L2" s="0" t="n">
        <v>7471.8</v>
      </c>
      <c r="O2" s="0" t="n">
        <v>9881.9</v>
      </c>
      <c r="AA2" s="0" t="s">
        <v>18</v>
      </c>
      <c r="AB2" s="0" t="s">
        <v>14</v>
      </c>
    </row>
    <row r="3" customFormat="false" ht="15" hidden="false" customHeight="false" outlineLevel="0" collapsed="false">
      <c r="A3" s="0" t="s">
        <v>65</v>
      </c>
      <c r="B3" s="0" t="n">
        <v>22877.3</v>
      </c>
      <c r="C3" s="0" t="n">
        <v>-9369</v>
      </c>
      <c r="D3" s="0" t="n">
        <v>13508.3</v>
      </c>
      <c r="E3" s="0" t="n">
        <v>59</v>
      </c>
      <c r="F3" s="0" t="n">
        <v>7065.3</v>
      </c>
      <c r="G3" s="0" t="n">
        <v>30.9</v>
      </c>
      <c r="H3" s="0" t="n">
        <v>8990.7</v>
      </c>
      <c r="I3" s="0" t="n">
        <v>5277.4</v>
      </c>
      <c r="J3" s="0" t="n">
        <v>23.1</v>
      </c>
      <c r="K3" s="0" t="n">
        <v>0.48</v>
      </c>
      <c r="L3" s="0" t="n">
        <v>8429.2</v>
      </c>
      <c r="M3" s="0" t="n">
        <v>2279.3</v>
      </c>
      <c r="N3" s="0" t="n">
        <v>6149.9</v>
      </c>
      <c r="O3" s="0" t="n">
        <v>15492.3</v>
      </c>
      <c r="P3" s="0" t="n">
        <v>25859.4</v>
      </c>
      <c r="Q3" s="0" t="n">
        <v>10367.1</v>
      </c>
      <c r="R3" s="0" t="n">
        <v>2469.3</v>
      </c>
      <c r="S3" s="0" t="n">
        <v>9118.9</v>
      </c>
      <c r="T3" s="0" t="n">
        <v>10936.8</v>
      </c>
      <c r="U3" s="0" t="n">
        <v>0</v>
      </c>
      <c r="AA3" s="0" t="s">
        <v>18</v>
      </c>
      <c r="AB3" s="0" t="s">
        <v>14</v>
      </c>
    </row>
    <row r="4" customFormat="false" ht="15" hidden="false" customHeight="false" outlineLevel="0" collapsed="false">
      <c r="A4" s="0" t="s">
        <v>66</v>
      </c>
      <c r="B4" s="0" t="n">
        <v>29696.4</v>
      </c>
      <c r="C4" s="0" t="n">
        <v>-12040.2</v>
      </c>
      <c r="D4" s="0" t="n">
        <v>17656.2</v>
      </c>
      <c r="E4" s="0" t="n">
        <v>59.5</v>
      </c>
      <c r="F4" s="0" t="n">
        <v>9407.2</v>
      </c>
      <c r="G4" s="0" t="n">
        <v>31.7</v>
      </c>
      <c r="H4" s="0" t="n">
        <v>11785.4</v>
      </c>
      <c r="I4" s="0" t="n">
        <v>7161.8</v>
      </c>
      <c r="J4" s="0" t="n">
        <v>24.1</v>
      </c>
      <c r="K4" s="0" t="n">
        <v>0.64</v>
      </c>
      <c r="L4" s="0" t="n">
        <v>11400.3</v>
      </c>
      <c r="M4" s="0" t="n">
        <v>2488.2</v>
      </c>
      <c r="N4" s="0" t="n">
        <v>8912.1</v>
      </c>
      <c r="O4" s="0" t="n">
        <v>20741.6</v>
      </c>
      <c r="P4" s="0" t="n">
        <v>32896.1</v>
      </c>
      <c r="Q4" s="0" t="n">
        <v>12154.5</v>
      </c>
      <c r="R4" s="0" t="n">
        <v>2590.1</v>
      </c>
      <c r="S4" s="0" t="n">
        <v>14783.6</v>
      </c>
      <c r="T4" s="0" t="n">
        <v>11246.5</v>
      </c>
      <c r="U4" s="0" t="n">
        <v>0</v>
      </c>
      <c r="AA4" s="0" t="s">
        <v>18</v>
      </c>
      <c r="AB4" s="0" t="s">
        <v>14</v>
      </c>
    </row>
    <row r="5" customFormat="false" ht="15" hidden="false" customHeight="false" outlineLevel="0" collapsed="false">
      <c r="A5" s="0" t="s">
        <v>67</v>
      </c>
      <c r="B5" s="0" t="n">
        <v>33239.2</v>
      </c>
      <c r="C5" s="0" t="n">
        <v>-14143.8</v>
      </c>
      <c r="D5" s="0" t="n">
        <v>19095.4</v>
      </c>
      <c r="E5" s="0" t="n">
        <v>57.4</v>
      </c>
      <c r="F5" s="0" t="n">
        <v>11126.3</v>
      </c>
      <c r="G5" s="0" t="n">
        <v>33.5</v>
      </c>
      <c r="H5" s="0" t="n">
        <v>13613.2</v>
      </c>
      <c r="I5" s="0" t="n">
        <v>8495.3</v>
      </c>
      <c r="J5" s="0" t="n">
        <v>25.6</v>
      </c>
      <c r="K5" s="0" t="n">
        <v>0.76</v>
      </c>
      <c r="L5" s="0" t="n">
        <v>12041.5</v>
      </c>
      <c r="M5" s="0" t="n">
        <v>4352</v>
      </c>
      <c r="N5" s="0" t="n">
        <v>7689.5</v>
      </c>
      <c r="O5" s="0" t="n">
        <v>24084.1</v>
      </c>
      <c r="P5" s="0" t="n">
        <v>39254.8</v>
      </c>
      <c r="Q5" s="0" t="n">
        <v>15170.8</v>
      </c>
      <c r="R5" s="0" t="n">
        <v>2525</v>
      </c>
      <c r="S5" s="0" t="n">
        <v>15211.2</v>
      </c>
      <c r="T5" s="0" t="n">
        <v>11246.5</v>
      </c>
      <c r="U5" s="0" t="n">
        <v>101.8</v>
      </c>
      <c r="AA5" s="0" t="s">
        <v>18</v>
      </c>
      <c r="AB5" s="0" t="s">
        <v>14</v>
      </c>
    </row>
    <row r="6" customFormat="false" ht="15" hidden="false" customHeight="false" outlineLevel="0" collapsed="false">
      <c r="A6" s="0" t="s">
        <v>68</v>
      </c>
      <c r="B6" s="0" t="n">
        <v>42667.2</v>
      </c>
      <c r="C6" s="0" t="n">
        <v>-17260.4</v>
      </c>
      <c r="D6" s="0" t="n">
        <v>25406.8</v>
      </c>
      <c r="E6" s="0" t="n">
        <v>59.5</v>
      </c>
      <c r="F6" s="0" t="n">
        <v>15787.9</v>
      </c>
      <c r="G6" s="0" t="n">
        <v>37</v>
      </c>
      <c r="H6" s="0" t="n">
        <v>18419.3</v>
      </c>
      <c r="I6" s="0" t="n">
        <v>12079.5</v>
      </c>
      <c r="J6" s="0" t="n">
        <v>28.3</v>
      </c>
      <c r="K6" s="0" t="n">
        <v>1.07</v>
      </c>
      <c r="L6" s="0" t="n">
        <v>17304.9</v>
      </c>
      <c r="M6" s="0" t="n">
        <v>4862.8</v>
      </c>
      <c r="N6" s="0" t="n">
        <v>12442.1</v>
      </c>
      <c r="O6" s="0" t="n">
        <v>28570.9</v>
      </c>
      <c r="P6" s="0" t="n">
        <v>49137.1</v>
      </c>
      <c r="Q6" s="0" t="n">
        <v>20566.2</v>
      </c>
      <c r="R6" s="0" t="n">
        <v>3209.9</v>
      </c>
      <c r="S6" s="0" t="n">
        <v>24125.2</v>
      </c>
      <c r="T6" s="0" t="n">
        <v>11246.5</v>
      </c>
      <c r="U6" s="0" t="n">
        <v>25.9</v>
      </c>
      <c r="AA6" s="0" t="s">
        <v>18</v>
      </c>
      <c r="AB6" s="0" t="s">
        <v>14</v>
      </c>
    </row>
    <row r="7" customFormat="false" ht="15" hidden="false" customHeight="false" outlineLevel="0" collapsed="false">
      <c r="A7" s="0" t="s">
        <v>69</v>
      </c>
      <c r="B7" s="0" t="n">
        <v>42896</v>
      </c>
      <c r="C7" s="0" t="n">
        <v>-17980.3</v>
      </c>
      <c r="D7" s="0" t="n">
        <v>24915.7</v>
      </c>
      <c r="E7" s="0" t="n">
        <v>58.1</v>
      </c>
      <c r="F7" s="0" t="n">
        <v>15879.4</v>
      </c>
      <c r="G7" s="0" t="n">
        <v>37</v>
      </c>
      <c r="H7" s="0" t="n">
        <v>18754.1</v>
      </c>
      <c r="I7" s="0" t="n">
        <v>12123.3</v>
      </c>
      <c r="J7" s="0" t="n">
        <v>28.3</v>
      </c>
      <c r="K7" s="0" t="n">
        <v>1.078</v>
      </c>
      <c r="L7" s="0" t="n">
        <v>11022.1</v>
      </c>
      <c r="M7" s="0" t="n">
        <v>6460.8</v>
      </c>
      <c r="N7" s="0" t="n">
        <v>4561.3</v>
      </c>
      <c r="O7" s="0" t="n">
        <v>32287.2</v>
      </c>
      <c r="P7" s="0" t="n">
        <v>53160.3</v>
      </c>
      <c r="Q7" s="0" t="n">
        <v>20873.1</v>
      </c>
      <c r="R7" s="0" t="n">
        <v>3747</v>
      </c>
      <c r="S7" s="0" t="n">
        <v>10722</v>
      </c>
      <c r="T7" s="0" t="n">
        <v>11246.5</v>
      </c>
      <c r="U7" s="0" t="n">
        <v>5.5</v>
      </c>
      <c r="AA7" s="0" t="s">
        <v>18</v>
      </c>
      <c r="AB7" s="0" t="s">
        <v>14</v>
      </c>
    </row>
    <row r="8" customFormat="false" ht="15" hidden="false" customHeight="false" outlineLevel="0" collapsed="false">
      <c r="A8" s="0" t="s">
        <v>70</v>
      </c>
      <c r="B8" s="0" t="n">
        <v>52552.9</v>
      </c>
      <c r="C8" s="0" t="n">
        <v>-20744.8</v>
      </c>
      <c r="D8" s="0" t="n">
        <v>31808.1</v>
      </c>
      <c r="E8" s="0" t="n">
        <v>60.5</v>
      </c>
      <c r="F8" s="0" t="n">
        <v>20984.5</v>
      </c>
      <c r="G8" s="0" t="n">
        <v>39.9</v>
      </c>
      <c r="H8" s="0" t="n">
        <v>24377.1</v>
      </c>
      <c r="I8" s="0" t="n">
        <v>15868.3</v>
      </c>
      <c r="J8" s="0" t="n">
        <v>30.2</v>
      </c>
      <c r="K8" s="0" t="n">
        <v>1.411</v>
      </c>
      <c r="L8" s="0" t="n">
        <v>21141.7</v>
      </c>
      <c r="M8" s="0" t="n">
        <v>6796.1</v>
      </c>
      <c r="N8" s="0" t="n">
        <v>14345.6</v>
      </c>
      <c r="O8" s="0" t="n">
        <v>39470</v>
      </c>
      <c r="P8" s="0" t="n">
        <v>65169.1</v>
      </c>
      <c r="Q8" s="0" t="n">
        <v>25699.1</v>
      </c>
      <c r="R8" s="0" t="n">
        <v>4492.7</v>
      </c>
      <c r="S8" s="0" t="n">
        <v>11177.6</v>
      </c>
      <c r="T8" s="0" t="n">
        <v>11246.5</v>
      </c>
      <c r="U8" s="0" t="n">
        <v>76.8</v>
      </c>
      <c r="AA8" s="0" t="s">
        <v>18</v>
      </c>
      <c r="AB8"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41.52</v>
      </c>
    </row>
    <row r="3" customFormat="false" ht="15" hidden="false" customHeight="false" outlineLevel="0" collapsed="false">
      <c r="A3" s="0" t="s">
        <v>74</v>
      </c>
      <c r="B3" s="3" t="n">
        <v>11246.5</v>
      </c>
    </row>
    <row r="4" customFormat="false" ht="15" hidden="false" customHeight="false" outlineLevel="0" collapsed="false">
      <c r="A4" s="0" t="s">
        <v>75</v>
      </c>
      <c r="B4" s="3" t="n">
        <v>-32431.2</v>
      </c>
    </row>
    <row r="5" customFormat="false" ht="15" hidden="false" customHeight="false" outlineLevel="0" collapsed="false">
      <c r="A5" s="0" t="s">
        <v>76</v>
      </c>
      <c r="B5" s="3" t="n">
        <v>-17742.9</v>
      </c>
    </row>
    <row r="6" customFormat="false" ht="15" hidden="false" customHeight="false" outlineLevel="0" collapsed="false">
      <c r="A6" s="0" t="s">
        <v>77</v>
      </c>
      <c r="B6" s="3" t="n">
        <v>15</v>
      </c>
    </row>
    <row r="7" customFormat="false" ht="15" hidden="false" customHeight="false" outlineLevel="0" collapsed="false">
      <c r="A7" s="0" t="s">
        <v>78</v>
      </c>
      <c r="B7" s="3" t="n">
        <v>52552.9</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1.1748</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9</v>
      </c>
      <c r="D13" s="3" t="n">
        <v>3</v>
      </c>
      <c r="E13" s="3" t="n">
        <v>2</v>
      </c>
      <c r="F13" s="3" t="n">
        <v>3</v>
      </c>
      <c r="G13" s="3" t="n">
        <v>3</v>
      </c>
      <c r="H13" s="3" t="n">
        <v>3</v>
      </c>
      <c r="I13" s="3" t="n">
        <v>3</v>
      </c>
      <c r="J13" s="3" t="n">
        <v>2.5</v>
      </c>
      <c r="K13" s="3" t="n">
        <v>2.5</v>
      </c>
      <c r="L13" s="3" t="n">
        <v>2.5</v>
      </c>
    </row>
    <row r="14" customFormat="false" ht="15" hidden="false" customHeight="false" outlineLevel="0" collapsed="false">
      <c r="A14" s="0" t="s">
        <v>95</v>
      </c>
      <c r="C14" s="3" t="n">
        <v>44</v>
      </c>
      <c r="D14" s="3" t="n">
        <v>42.5</v>
      </c>
      <c r="E14" s="3" t="n">
        <v>41.5</v>
      </c>
      <c r="F14" s="3" t="n">
        <v>41</v>
      </c>
      <c r="G14" s="3" t="n">
        <v>40.5</v>
      </c>
      <c r="H14" s="3" t="n">
        <v>40</v>
      </c>
      <c r="I14" s="3" t="n">
        <v>40</v>
      </c>
      <c r="J14" s="3" t="n">
        <v>40</v>
      </c>
      <c r="K14" s="3" t="n">
        <v>40</v>
      </c>
      <c r="L14" s="3" t="n">
        <v>40</v>
      </c>
    </row>
    <row r="15" customFormat="false" ht="15" hidden="false" customHeight="false" outlineLevel="0" collapsed="false">
      <c r="A15" s="0" t="s">
        <v>96</v>
      </c>
      <c r="C15" s="3" t="n">
        <v>0.15</v>
      </c>
      <c r="D15" s="3" t="n">
        <v>0.15</v>
      </c>
      <c r="E15" s="3" t="n">
        <v>0.15</v>
      </c>
      <c r="F15" s="3" t="n">
        <v>0.15</v>
      </c>
      <c r="G15" s="3" t="n">
        <v>0.15</v>
      </c>
      <c r="H15" s="3" t="n">
        <v>0.15</v>
      </c>
      <c r="I15" s="3" t="n">
        <v>0.15</v>
      </c>
      <c r="J15" s="3" t="n">
        <v>0.15</v>
      </c>
      <c r="K15" s="3" t="n">
        <v>0.15</v>
      </c>
      <c r="L15" s="3" t="n">
        <v>0.15</v>
      </c>
    </row>
    <row r="16" customFormat="false" ht="15" hidden="false" customHeight="false" outlineLevel="0" collapsed="false">
      <c r="A16" s="0" t="s">
        <v>97</v>
      </c>
      <c r="C16" s="3" t="n">
        <v>0.26</v>
      </c>
      <c r="D16" s="3" t="n">
        <v>0.26</v>
      </c>
      <c r="E16" s="3" t="n">
        <v>0.26</v>
      </c>
      <c r="F16" s="3" t="n">
        <v>0.26</v>
      </c>
      <c r="G16" s="3" t="n">
        <v>0.26</v>
      </c>
      <c r="H16" s="3" t="n">
        <v>0.26</v>
      </c>
      <c r="I16" s="3" t="n">
        <v>0.26</v>
      </c>
      <c r="J16" s="3" t="n">
        <v>0.26</v>
      </c>
      <c r="K16" s="3" t="n">
        <v>0.26</v>
      </c>
      <c r="L16" s="3" t="n">
        <v>0.26</v>
      </c>
    </row>
    <row r="17" customFormat="false" ht="15" hidden="false" customHeight="false" outlineLevel="0" collapsed="false">
      <c r="A17" s="0" t="s">
        <v>98</v>
      </c>
      <c r="C17" s="3" t="n">
        <v>6.2</v>
      </c>
      <c r="D17" s="3" t="n">
        <v>6.4</v>
      </c>
      <c r="E17" s="3" t="n">
        <v>6.6</v>
      </c>
      <c r="F17" s="3" t="n">
        <v>6.8</v>
      </c>
      <c r="G17" s="3" t="n">
        <v>7</v>
      </c>
      <c r="H17" s="3" t="n">
        <v>7</v>
      </c>
      <c r="I17" s="3" t="n">
        <v>7</v>
      </c>
      <c r="J17" s="3" t="n">
        <v>7</v>
      </c>
      <c r="K17" s="3" t="n">
        <v>7</v>
      </c>
      <c r="L17" s="3" t="n">
        <v>7</v>
      </c>
    </row>
    <row r="18" customFormat="false" ht="15" hidden="false" customHeight="false" outlineLevel="0" collapsed="false">
      <c r="A18" s="0" t="s">
        <v>99</v>
      </c>
      <c r="C18" s="3" t="n">
        <v>12.5</v>
      </c>
      <c r="D18" s="3" t="n">
        <v>11</v>
      </c>
      <c r="E18" s="3" t="n">
        <v>9.5</v>
      </c>
      <c r="F18" s="3" t="n">
        <v>8.5</v>
      </c>
      <c r="G18" s="3" t="n">
        <v>8</v>
      </c>
      <c r="H18" s="3" t="n">
        <v>7.5</v>
      </c>
      <c r="I18" s="3" t="n">
        <v>7.5</v>
      </c>
      <c r="J18" s="3" t="n">
        <v>7.5</v>
      </c>
      <c r="K18" s="3" t="n">
        <v>7.5</v>
      </c>
      <c r="L18" s="3" t="n">
        <v>7.5</v>
      </c>
    </row>
    <row r="19" customFormat="false" ht="15" hidden="false" customHeight="false" outlineLevel="0" collapsed="false">
      <c r="A19" s="0" t="s">
        <v>100</v>
      </c>
      <c r="C19" s="3" t="n">
        <v>24.5</v>
      </c>
      <c r="D19" s="3" t="n">
        <v>24.5</v>
      </c>
      <c r="E19" s="3" t="n">
        <v>24.5</v>
      </c>
      <c r="F19" s="3" t="n">
        <v>24.5</v>
      </c>
      <c r="G19" s="3" t="n">
        <v>24.5</v>
      </c>
      <c r="H19" s="3" t="n">
        <v>24.5</v>
      </c>
      <c r="I19" s="3" t="n">
        <v>24.5</v>
      </c>
      <c r="J19" s="3" t="n">
        <v>24.5</v>
      </c>
      <c r="K19" s="3" t="n">
        <v>24.5</v>
      </c>
      <c r="L19" s="3" t="n">
        <v>24.5</v>
      </c>
    </row>
    <row r="20" customFormat="false" ht="15" hidden="false" customHeight="false" outlineLevel="0" collapsed="false">
      <c r="A20" s="0" t="s">
        <v>101</v>
      </c>
      <c r="B20" s="3" t="n">
        <v>9</v>
      </c>
    </row>
    <row r="21" customFormat="false" ht="15" hidden="false" customHeight="false" outlineLevel="0" collapsed="false">
      <c r="A21" s="0" t="s">
        <v>102</v>
      </c>
      <c r="B21" s="3" t="n">
        <v>2.5</v>
      </c>
    </row>
    <row r="22" customFormat="false" ht="15" hidden="false" customHeight="false" outlineLevel="0" collapsed="false">
      <c r="A22" s="0" t="s">
        <v>103</v>
      </c>
      <c r="B22" s="3" t="n">
        <v>16</v>
      </c>
    </row>
    <row r="23" customFormat="false" ht="15" hidden="false" customHeight="false" outlineLevel="0" collapsed="false">
      <c r="A23" s="0" t="s">
        <v>104</v>
      </c>
      <c r="B23" s="3" t="n">
        <v>0</v>
      </c>
    </row>
    <row r="24" customFormat="false" ht="15" hidden="false" customHeight="false" outlineLevel="0" collapsed="false">
      <c r="A24" s="0" t="s">
        <v>105</v>
      </c>
      <c r="B24" s="3" t="n">
        <v>0.2</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13</v>
      </c>
      <c r="D27" s="3" t="n">
        <v>10</v>
      </c>
      <c r="E27" s="3" t="n">
        <v>8</v>
      </c>
      <c r="F27" s="3" t="n">
        <v>7</v>
      </c>
      <c r="G27" s="3" t="n">
        <v>6</v>
      </c>
      <c r="H27" s="3" t="n">
        <v>5</v>
      </c>
      <c r="I27" s="3" t="n">
        <v>4.5</v>
      </c>
      <c r="J27" s="3" t="n">
        <v>4</v>
      </c>
      <c r="K27" s="3" t="n">
        <v>3.5</v>
      </c>
      <c r="L27" s="3" t="n">
        <v>3</v>
      </c>
    </row>
    <row r="28" customFormat="false" ht="15" hidden="false" customHeight="false" outlineLevel="0" collapsed="false">
      <c r="A28" s="0" t="s">
        <v>95</v>
      </c>
      <c r="C28" s="3" t="n">
        <v>45</v>
      </c>
      <c r="D28" s="3" t="n">
        <v>45</v>
      </c>
      <c r="E28" s="3" t="n">
        <v>45</v>
      </c>
      <c r="F28" s="3" t="n">
        <v>45</v>
      </c>
      <c r="G28" s="3" t="n">
        <v>45</v>
      </c>
      <c r="H28" s="3" t="n">
        <v>44.8</v>
      </c>
      <c r="I28" s="3" t="n">
        <v>44.6</v>
      </c>
      <c r="J28" s="3" t="n">
        <v>44.5</v>
      </c>
      <c r="K28" s="3" t="n">
        <v>44.5</v>
      </c>
      <c r="L28" s="3" t="n">
        <v>44.5</v>
      </c>
    </row>
    <row r="29" customFormat="false" ht="15" hidden="false" customHeight="false" outlineLevel="0" collapsed="false">
      <c r="A29" s="0" t="s">
        <v>96</v>
      </c>
      <c r="C29" s="3" t="n">
        <v>0.15</v>
      </c>
      <c r="D29" s="3" t="n">
        <v>0.15</v>
      </c>
      <c r="E29" s="3" t="n">
        <v>0.15</v>
      </c>
      <c r="F29" s="3" t="n">
        <v>0.15</v>
      </c>
      <c r="G29" s="3" t="n">
        <v>0.15</v>
      </c>
      <c r="H29" s="3" t="n">
        <v>0.15</v>
      </c>
      <c r="I29" s="3" t="n">
        <v>0.15</v>
      </c>
      <c r="J29" s="3" t="n">
        <v>0.15</v>
      </c>
      <c r="K29" s="3" t="n">
        <v>0.15</v>
      </c>
      <c r="L29" s="3" t="n">
        <v>0.15</v>
      </c>
    </row>
    <row r="30" customFormat="false" ht="15" hidden="false" customHeight="false" outlineLevel="0" collapsed="false">
      <c r="A30" s="0" t="s">
        <v>97</v>
      </c>
      <c r="C30" s="3" t="n">
        <v>0.26</v>
      </c>
      <c r="D30" s="3" t="n">
        <v>0.26</v>
      </c>
      <c r="E30" s="3" t="n">
        <v>0.26</v>
      </c>
      <c r="F30" s="3" t="n">
        <v>0.26</v>
      </c>
      <c r="G30" s="3" t="n">
        <v>0.26</v>
      </c>
      <c r="H30" s="3" t="n">
        <v>0.26</v>
      </c>
      <c r="I30" s="3" t="n">
        <v>0.26</v>
      </c>
      <c r="J30" s="3" t="n">
        <v>0.26</v>
      </c>
      <c r="K30" s="3" t="n">
        <v>0.26</v>
      </c>
      <c r="L30" s="3" t="n">
        <v>0.26</v>
      </c>
    </row>
    <row r="31" customFormat="false" ht="15" hidden="false" customHeight="false" outlineLevel="0" collapsed="false">
      <c r="A31" s="0" t="s">
        <v>98</v>
      </c>
      <c r="C31" s="3" t="n">
        <v>6.2</v>
      </c>
      <c r="D31" s="3" t="n">
        <v>6.4</v>
      </c>
      <c r="E31" s="3" t="n">
        <v>6.6</v>
      </c>
      <c r="F31" s="3" t="n">
        <v>6.8</v>
      </c>
      <c r="G31" s="3" t="n">
        <v>7</v>
      </c>
      <c r="H31" s="3" t="n">
        <v>7</v>
      </c>
      <c r="I31" s="3" t="n">
        <v>7</v>
      </c>
      <c r="J31" s="3" t="n">
        <v>7</v>
      </c>
      <c r="K31" s="3" t="n">
        <v>7</v>
      </c>
      <c r="L31" s="3" t="n">
        <v>7</v>
      </c>
    </row>
    <row r="32" customFormat="false" ht="15" hidden="false" customHeight="false" outlineLevel="0" collapsed="false">
      <c r="A32" s="0" t="s">
        <v>99</v>
      </c>
      <c r="C32" s="3" t="n">
        <v>12.5</v>
      </c>
      <c r="D32" s="3" t="n">
        <v>11.5</v>
      </c>
      <c r="E32" s="3" t="n">
        <v>10.5</v>
      </c>
      <c r="F32" s="3" t="n">
        <v>9.5</v>
      </c>
      <c r="G32" s="3" t="n">
        <v>9</v>
      </c>
      <c r="H32" s="3" t="n">
        <v>8.5</v>
      </c>
      <c r="I32" s="3" t="n">
        <v>8</v>
      </c>
      <c r="J32" s="3" t="n">
        <v>8</v>
      </c>
      <c r="K32" s="3" t="n">
        <v>7.5</v>
      </c>
      <c r="L32" s="3" t="n">
        <v>7.5</v>
      </c>
    </row>
    <row r="33" customFormat="false" ht="15" hidden="false" customHeight="false" outlineLevel="0" collapsed="false">
      <c r="A33" s="0" t="s">
        <v>100</v>
      </c>
      <c r="C33" s="3" t="n">
        <v>24.5</v>
      </c>
      <c r="D33" s="3" t="n">
        <v>24.5</v>
      </c>
      <c r="E33" s="3" t="n">
        <v>24.5</v>
      </c>
      <c r="F33" s="3" t="n">
        <v>24.5</v>
      </c>
      <c r="G33" s="3" t="n">
        <v>24.5</v>
      </c>
      <c r="H33" s="3" t="n">
        <v>24.5</v>
      </c>
      <c r="I33" s="3" t="n">
        <v>24.5</v>
      </c>
      <c r="J33" s="3" t="n">
        <v>24.5</v>
      </c>
      <c r="K33" s="3" t="n">
        <v>24.5</v>
      </c>
      <c r="L33" s="3" t="n">
        <v>24.5</v>
      </c>
    </row>
    <row r="34" customFormat="false" ht="15" hidden="false" customHeight="false" outlineLevel="0" collapsed="false">
      <c r="A34" s="0" t="s">
        <v>101</v>
      </c>
      <c r="B34" s="3" t="n">
        <v>9</v>
      </c>
    </row>
    <row r="35" customFormat="false" ht="15" hidden="false" customHeight="false" outlineLevel="0" collapsed="false">
      <c r="A35" s="0" t="s">
        <v>102</v>
      </c>
      <c r="B35" s="3" t="n">
        <v>3</v>
      </c>
    </row>
    <row r="36" customFormat="false" ht="15" hidden="false" customHeight="false" outlineLevel="0" collapsed="false">
      <c r="A36" s="0" t="s">
        <v>103</v>
      </c>
      <c r="B36" s="3" t="n">
        <v>20</v>
      </c>
    </row>
    <row r="37" customFormat="false" ht="15" hidden="false" customHeight="false" outlineLevel="0" collapsed="false">
      <c r="A37" s="0" t="s">
        <v>104</v>
      </c>
      <c r="B37" s="3" t="n">
        <v>5</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16</v>
      </c>
      <c r="D41" s="3" t="n">
        <v>13</v>
      </c>
      <c r="E41" s="3" t="n">
        <v>11</v>
      </c>
      <c r="F41" s="3" t="n">
        <v>9</v>
      </c>
      <c r="G41" s="3" t="n">
        <v>8</v>
      </c>
      <c r="H41" s="3" t="n">
        <v>7</v>
      </c>
      <c r="I41" s="3" t="n">
        <v>6</v>
      </c>
      <c r="J41" s="3" t="n">
        <v>5</v>
      </c>
      <c r="K41" s="3" t="n">
        <v>4</v>
      </c>
      <c r="L41" s="3" t="n">
        <v>3.5</v>
      </c>
    </row>
    <row r="42" customFormat="false" ht="15" hidden="false" customHeight="false" outlineLevel="0" collapsed="false">
      <c r="A42" s="0" t="s">
        <v>95</v>
      </c>
      <c r="C42" s="3" t="n">
        <v>45.5</v>
      </c>
      <c r="D42" s="3" t="n">
        <v>46</v>
      </c>
      <c r="E42" s="3" t="n">
        <v>46.5</v>
      </c>
      <c r="F42" s="3" t="n">
        <v>47</v>
      </c>
      <c r="G42" s="3" t="n">
        <v>47</v>
      </c>
      <c r="H42" s="3" t="n">
        <v>47</v>
      </c>
      <c r="I42" s="3" t="n">
        <v>47</v>
      </c>
      <c r="J42" s="3" t="n">
        <v>47</v>
      </c>
      <c r="K42" s="3" t="n">
        <v>47</v>
      </c>
      <c r="L42" s="3" t="n">
        <v>47</v>
      </c>
    </row>
    <row r="43" customFormat="false" ht="15" hidden="false" customHeight="false" outlineLevel="0" collapsed="false">
      <c r="A43" s="0" t="s">
        <v>96</v>
      </c>
      <c r="C43" s="3" t="n">
        <v>0.15</v>
      </c>
      <c r="D43" s="3" t="n">
        <v>0.15</v>
      </c>
      <c r="E43" s="3" t="n">
        <v>0.15</v>
      </c>
      <c r="F43" s="3" t="n">
        <v>0.15</v>
      </c>
      <c r="G43" s="3" t="n">
        <v>0.15</v>
      </c>
      <c r="H43" s="3" t="n">
        <v>0.15</v>
      </c>
      <c r="I43" s="3" t="n">
        <v>0.15</v>
      </c>
      <c r="J43" s="3" t="n">
        <v>0.15</v>
      </c>
      <c r="K43" s="3" t="n">
        <v>0.15</v>
      </c>
      <c r="L43" s="3" t="n">
        <v>0.15</v>
      </c>
    </row>
    <row r="44" customFormat="false" ht="15" hidden="false" customHeight="false" outlineLevel="0" collapsed="false">
      <c r="A44" s="0" t="s">
        <v>97</v>
      </c>
      <c r="C44" s="3" t="n">
        <v>0.26</v>
      </c>
      <c r="D44" s="3" t="n">
        <v>0.26</v>
      </c>
      <c r="E44" s="3" t="n">
        <v>0.26</v>
      </c>
      <c r="F44" s="3" t="n">
        <v>0.26</v>
      </c>
      <c r="G44" s="3" t="n">
        <v>0.26</v>
      </c>
      <c r="H44" s="3" t="n">
        <v>0.26</v>
      </c>
      <c r="I44" s="3" t="n">
        <v>0.26</v>
      </c>
      <c r="J44" s="3" t="n">
        <v>0.26</v>
      </c>
      <c r="K44" s="3" t="n">
        <v>0.26</v>
      </c>
      <c r="L44" s="3" t="n">
        <v>0.26</v>
      </c>
    </row>
    <row r="45" customFormat="false" ht="15" hidden="false" customHeight="false" outlineLevel="0" collapsed="false">
      <c r="A45" s="0" t="s">
        <v>98</v>
      </c>
      <c r="C45" s="3" t="n">
        <v>6.2</v>
      </c>
      <c r="D45" s="3" t="n">
        <v>6.4</v>
      </c>
      <c r="E45" s="3" t="n">
        <v>6.6</v>
      </c>
      <c r="F45" s="3" t="n">
        <v>6.8</v>
      </c>
      <c r="G45" s="3" t="n">
        <v>7</v>
      </c>
      <c r="H45" s="3" t="n">
        <v>7</v>
      </c>
      <c r="I45" s="3" t="n">
        <v>7</v>
      </c>
      <c r="J45" s="3" t="n">
        <v>7</v>
      </c>
      <c r="K45" s="3" t="n">
        <v>7</v>
      </c>
      <c r="L45" s="3" t="n">
        <v>7</v>
      </c>
    </row>
    <row r="46" customFormat="false" ht="15" hidden="false" customHeight="false" outlineLevel="0" collapsed="false">
      <c r="A46" s="0" t="s">
        <v>99</v>
      </c>
      <c r="C46" s="3" t="n">
        <v>12.5</v>
      </c>
      <c r="D46" s="3" t="n">
        <v>11.5</v>
      </c>
      <c r="E46" s="3" t="n">
        <v>10.5</v>
      </c>
      <c r="F46" s="3" t="n">
        <v>9.5</v>
      </c>
      <c r="G46" s="3" t="n">
        <v>9</v>
      </c>
      <c r="H46" s="3" t="n">
        <v>8.5</v>
      </c>
      <c r="I46" s="3" t="n">
        <v>8</v>
      </c>
      <c r="J46" s="3" t="n">
        <v>8</v>
      </c>
      <c r="K46" s="3" t="n">
        <v>7.5</v>
      </c>
      <c r="L46" s="3" t="n">
        <v>7.5</v>
      </c>
    </row>
    <row r="47" customFormat="false" ht="15" hidden="false" customHeight="false" outlineLevel="0" collapsed="false">
      <c r="A47" s="0" t="s">
        <v>100</v>
      </c>
      <c r="C47" s="3" t="n">
        <v>24.5</v>
      </c>
      <c r="D47" s="3" t="n">
        <v>24.5</v>
      </c>
      <c r="E47" s="3" t="n">
        <v>24.5</v>
      </c>
      <c r="F47" s="3" t="n">
        <v>24.5</v>
      </c>
      <c r="G47" s="3" t="n">
        <v>24.5</v>
      </c>
      <c r="H47" s="3" t="n">
        <v>24.5</v>
      </c>
      <c r="I47" s="3" t="n">
        <v>24.5</v>
      </c>
      <c r="J47" s="3" t="n">
        <v>24.5</v>
      </c>
      <c r="K47" s="3" t="n">
        <v>24.5</v>
      </c>
      <c r="L47" s="3" t="n">
        <v>24.5</v>
      </c>
    </row>
    <row r="48" customFormat="false" ht="15" hidden="false" customHeight="false" outlineLevel="0" collapsed="false">
      <c r="A48" s="0" t="s">
        <v>101</v>
      </c>
      <c r="B48" s="3" t="n">
        <v>9</v>
      </c>
    </row>
    <row r="49" customFormat="false" ht="15" hidden="false" customHeight="false" outlineLevel="0" collapsed="false">
      <c r="A49" s="0" t="s">
        <v>102</v>
      </c>
      <c r="B49" s="3" t="n">
        <v>3.5</v>
      </c>
    </row>
    <row r="50" customFormat="false" ht="15" hidden="false" customHeight="false" outlineLevel="0" collapsed="false">
      <c r="A50" s="0" t="s">
        <v>103</v>
      </c>
      <c r="B50" s="3" t="n">
        <v>20</v>
      </c>
    </row>
    <row r="51" customFormat="false" ht="15" hidden="false" customHeight="false" outlineLevel="0" collapsed="false">
      <c r="A51" s="0" t="s">
        <v>104</v>
      </c>
      <c r="B51" s="3" t="n">
        <v>8</v>
      </c>
    </row>
    <row r="52" customFormat="false" ht="15" hidden="false" customHeight="false" outlineLevel="0" collapsed="false">
      <c r="A52" s="0" t="s">
        <v>105</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9</v>
      </c>
      <c r="D5" s="4" t="n">
        <f aca="false">Assumptions!D13</f>
        <v>3</v>
      </c>
      <c r="E5" s="4" t="n">
        <f aca="false">Assumptions!E13</f>
        <v>2</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52552.9</v>
      </c>
      <c r="C6" s="0" t="n">
        <f aca="false">B6*(1+C5/100)</f>
        <v>57282.661</v>
      </c>
      <c r="D6" s="0" t="n">
        <f aca="false">C6*(1+D5/100)</f>
        <v>59001.14083</v>
      </c>
      <c r="E6" s="0" t="n">
        <f aca="false">D6*(1+E5/100)</f>
        <v>60181.1636466</v>
      </c>
      <c r="F6" s="0" t="n">
        <f aca="false">E6*(1+F5/100)</f>
        <v>61986.598555998</v>
      </c>
      <c r="G6" s="0" t="n">
        <f aca="false">F6*(1+G5/100)</f>
        <v>63846.196512678</v>
      </c>
      <c r="H6" s="0" t="n">
        <f aca="false">G6*(1+H5/100)</f>
        <v>65761.5824080583</v>
      </c>
      <c r="I6" s="0" t="n">
        <f aca="false">H6*(1+I5/100)</f>
        <v>67734.4298803</v>
      </c>
      <c r="J6" s="0" t="n">
        <f aca="false">I6*(1+J5/100)</f>
        <v>69427.7906273075</v>
      </c>
      <c r="K6" s="0" t="n">
        <f aca="false">J6*(1+K5/100)</f>
        <v>71163.4853929902</v>
      </c>
      <c r="L6" s="0" t="n">
        <f aca="false">K6*(1+L5/100)</f>
        <v>72942.572527815</v>
      </c>
    </row>
    <row r="7" customFormat="false" ht="15" hidden="false" customHeight="false" outlineLevel="0" collapsed="false">
      <c r="A7" s="0" t="s">
        <v>95</v>
      </c>
      <c r="C7" s="4" t="n">
        <f aca="false">Assumptions!C14</f>
        <v>44</v>
      </c>
      <c r="D7" s="4" t="n">
        <f aca="false">Assumptions!D14</f>
        <v>42.5</v>
      </c>
      <c r="E7" s="4" t="n">
        <f aca="false">Assumptions!E14</f>
        <v>41.5</v>
      </c>
      <c r="F7" s="4" t="n">
        <f aca="false">Assumptions!F14</f>
        <v>41</v>
      </c>
      <c r="G7" s="4" t="n">
        <f aca="false">Assumptions!G14</f>
        <v>40.5</v>
      </c>
      <c r="H7" s="4" t="n">
        <f aca="false">Assumptions!H14</f>
        <v>40</v>
      </c>
      <c r="I7" s="4" t="n">
        <f aca="false">Assumptions!I14</f>
        <v>40</v>
      </c>
      <c r="J7" s="4" t="n">
        <f aca="false">Assumptions!J14</f>
        <v>40</v>
      </c>
      <c r="K7" s="4" t="n">
        <f aca="false">Assumptions!K14</f>
        <v>40</v>
      </c>
      <c r="L7" s="4" t="n">
        <f aca="false">Assumptions!L14</f>
        <v>40</v>
      </c>
    </row>
    <row r="8" customFormat="false" ht="15" hidden="false" customHeight="false" outlineLevel="0" collapsed="false">
      <c r="A8" s="0" t="s">
        <v>44</v>
      </c>
      <c r="C8" s="0" t="n">
        <f aca="false">C6*C7/100</f>
        <v>25204.37084</v>
      </c>
      <c r="D8" s="0" t="n">
        <f aca="false">D6*D7/100</f>
        <v>25075.48485275</v>
      </c>
      <c r="E8" s="0" t="n">
        <f aca="false">E6*E7/100</f>
        <v>24975.182913339</v>
      </c>
      <c r="F8" s="0" t="n">
        <f aca="false">F6*F7/100</f>
        <v>25414.5054079592</v>
      </c>
      <c r="G8" s="0" t="n">
        <f aca="false">G6*G7/100</f>
        <v>25857.7095876346</v>
      </c>
      <c r="H8" s="0" t="n">
        <f aca="false">H6*H7/100</f>
        <v>26304.6329632233</v>
      </c>
      <c r="I8" s="0" t="n">
        <f aca="false">I6*I7/100</f>
        <v>27093.77195212</v>
      </c>
      <c r="J8" s="0" t="n">
        <f aca="false">J6*J7/100</f>
        <v>27771.116250923</v>
      </c>
      <c r="K8" s="0" t="n">
        <f aca="false">K6*K7/100</f>
        <v>28465.3941571961</v>
      </c>
      <c r="L8" s="0" t="n">
        <f aca="false">L6*L7/100</f>
        <v>29177.029011126</v>
      </c>
    </row>
    <row r="9" customFormat="false" ht="15" hidden="false" customHeight="false" outlineLevel="0" collapsed="false">
      <c r="A9" s="0" t="s">
        <v>96</v>
      </c>
      <c r="C9" s="4" t="n">
        <f aca="false">Assumptions!C15</f>
        <v>0.15</v>
      </c>
      <c r="D9" s="4" t="n">
        <f aca="false">Assumptions!D15</f>
        <v>0.15</v>
      </c>
      <c r="E9" s="4" t="n">
        <f aca="false">Assumptions!E15</f>
        <v>0.15</v>
      </c>
      <c r="F9" s="4" t="n">
        <f aca="false">Assumptions!F15</f>
        <v>0.15</v>
      </c>
      <c r="G9" s="4" t="n">
        <f aca="false">Assumptions!G15</f>
        <v>0.15</v>
      </c>
      <c r="H9" s="4" t="n">
        <f aca="false">Assumptions!H15</f>
        <v>0.15</v>
      </c>
      <c r="I9" s="4" t="n">
        <f aca="false">Assumptions!I15</f>
        <v>0.15</v>
      </c>
      <c r="J9" s="4" t="n">
        <f aca="false">Assumptions!J15</f>
        <v>0.15</v>
      </c>
      <c r="K9" s="4" t="n">
        <f aca="false">Assumptions!K15</f>
        <v>0.15</v>
      </c>
      <c r="L9" s="4" t="n">
        <f aca="false">Assumptions!L15</f>
        <v>0.15</v>
      </c>
    </row>
    <row r="10" customFormat="false" ht="15" hidden="false" customHeight="false" outlineLevel="0" collapsed="false">
      <c r="A10" s="0" t="s">
        <v>111</v>
      </c>
      <c r="C10" s="0" t="n">
        <f aca="false">-C6*C9/100</f>
        <v>-85.9239915</v>
      </c>
      <c r="D10" s="0" t="n">
        <f aca="false">-D6*D9/100</f>
        <v>-88.501711245</v>
      </c>
      <c r="E10" s="0" t="n">
        <f aca="false">-E6*E9/100</f>
        <v>-90.2717454699</v>
      </c>
      <c r="F10" s="0" t="n">
        <f aca="false">-F6*F9/100</f>
        <v>-92.979897833997</v>
      </c>
      <c r="G10" s="0" t="n">
        <f aca="false">-G6*G9/100</f>
        <v>-95.7692947690169</v>
      </c>
      <c r="H10" s="0" t="n">
        <f aca="false">-H6*H9/100</f>
        <v>-98.6423736120875</v>
      </c>
      <c r="I10" s="0" t="n">
        <f aca="false">-I6*I9/100</f>
        <v>-101.60164482045</v>
      </c>
      <c r="J10" s="0" t="n">
        <f aca="false">-J6*J9/100</f>
        <v>-104.141685940961</v>
      </c>
      <c r="K10" s="0" t="n">
        <f aca="false">-K6*K9/100</f>
        <v>-106.745228089485</v>
      </c>
      <c r="L10" s="0" t="n">
        <f aca="false">-L6*L9/100</f>
        <v>-109.413858791722</v>
      </c>
    </row>
    <row r="11" customFormat="false" ht="15" hidden="false" customHeight="false" outlineLevel="0" collapsed="false">
      <c r="A11" s="0" t="s">
        <v>112</v>
      </c>
      <c r="C11" s="0" t="n">
        <f aca="false">C8+C10+C24</f>
        <v>24969.5119299</v>
      </c>
      <c r="D11" s="0" t="n">
        <f aca="false">D8+D10+D24</f>
        <v>24833.580175347</v>
      </c>
      <c r="E11" s="0" t="n">
        <f aca="false">E8+E10+E24</f>
        <v>24728.4401423879</v>
      </c>
      <c r="F11" s="0" t="n">
        <f aca="false">F8+F10+F24</f>
        <v>25160.3603538796</v>
      </c>
      <c r="G11" s="0" t="n">
        <f aca="false">G8+G10+G24</f>
        <v>25595.9401819326</v>
      </c>
      <c r="H11" s="0" t="n">
        <f aca="false">H8+H10+H24</f>
        <v>26035.0104753503</v>
      </c>
      <c r="I11" s="0" t="n">
        <f aca="false">I8+I10+I24</f>
        <v>26816.0607896108</v>
      </c>
      <c r="J11" s="0" t="n">
        <f aca="false">J8+J10+J24</f>
        <v>27486.4623093511</v>
      </c>
      <c r="K11" s="0" t="n">
        <f aca="false">K8+K10+K24</f>
        <v>28173.6238670848</v>
      </c>
      <c r="L11" s="0" t="n">
        <f aca="false">L8+L10+L24</f>
        <v>28877.9644637619</v>
      </c>
    </row>
    <row r="12" customFormat="false" ht="15" hidden="false" customHeight="false" outlineLevel="0" collapsed="false">
      <c r="A12" s="0" t="s">
        <v>113</v>
      </c>
      <c r="C12" s="4" t="n">
        <f aca="false">-C6*Assumptions!C17/100</f>
        <v>-3551.524982</v>
      </c>
      <c r="D12" s="4" t="n">
        <f aca="false">-D6*Assumptions!D17/100</f>
        <v>-3776.07301312</v>
      </c>
      <c r="E12" s="4" t="n">
        <f aca="false">-E6*Assumptions!E17/100</f>
        <v>-3971.9568006756</v>
      </c>
      <c r="F12" s="4" t="n">
        <f aca="false">-F6*Assumptions!F17/100</f>
        <v>-4215.08870180787</v>
      </c>
      <c r="G12" s="4" t="n">
        <f aca="false">-G6*Assumptions!G17/100</f>
        <v>-4469.23375588746</v>
      </c>
      <c r="H12" s="4" t="n">
        <f aca="false">-H6*Assumptions!H17/100</f>
        <v>-4603.31076856408</v>
      </c>
      <c r="I12" s="4" t="n">
        <f aca="false">-I6*Assumptions!I17/100</f>
        <v>-4741.410091621</v>
      </c>
      <c r="J12" s="4" t="n">
        <f aca="false">-J6*Assumptions!J17/100</f>
        <v>-4859.94534391153</v>
      </c>
      <c r="K12" s="4" t="n">
        <f aca="false">-K6*Assumptions!K17/100</f>
        <v>-4981.44397750932</v>
      </c>
      <c r="L12" s="4" t="n">
        <f aca="false">-L6*Assumptions!L17/100</f>
        <v>-5105.98007694705</v>
      </c>
    </row>
    <row r="13" customFormat="false" ht="15" hidden="false" customHeight="false" outlineLevel="0" collapsed="false">
      <c r="A13" s="0" t="s">
        <v>114</v>
      </c>
      <c r="C13" s="0" t="n">
        <f aca="false">C11+C12</f>
        <v>21417.9869479</v>
      </c>
      <c r="D13" s="0" t="n">
        <f aca="false">D11+D12</f>
        <v>21057.507162227</v>
      </c>
      <c r="E13" s="0" t="n">
        <f aca="false">E11+E12</f>
        <v>20756.4833417123</v>
      </c>
      <c r="F13" s="0" t="n">
        <f aca="false">F11+F12</f>
        <v>20945.2716520717</v>
      </c>
      <c r="G13" s="0" t="n">
        <f aca="false">G11+G12</f>
        <v>21126.7064260451</v>
      </c>
      <c r="H13" s="0" t="n">
        <f aca="false">H11+H12</f>
        <v>21431.6997067862</v>
      </c>
      <c r="I13" s="0" t="n">
        <f aca="false">I11+I12</f>
        <v>22074.6506979898</v>
      </c>
      <c r="J13" s="0" t="n">
        <f aca="false">J11+J12</f>
        <v>22626.5169654395</v>
      </c>
      <c r="K13" s="0" t="n">
        <f aca="false">K11+K12</f>
        <v>23192.1798895755</v>
      </c>
      <c r="L13" s="0" t="n">
        <f aca="false">L11+L12</f>
        <v>23771.9843868149</v>
      </c>
    </row>
    <row r="14" customFormat="false" ht="15" hidden="false" customHeight="false" outlineLevel="0" collapsed="false">
      <c r="A14" s="0" t="s">
        <v>100</v>
      </c>
      <c r="C14" s="4" t="n">
        <f aca="false">Assumptions!C19</f>
        <v>24.5</v>
      </c>
      <c r="D14" s="4" t="n">
        <f aca="false">Assumptions!D19</f>
        <v>24.5</v>
      </c>
      <c r="E14" s="4" t="n">
        <f aca="false">Assumptions!E19</f>
        <v>24.5</v>
      </c>
      <c r="F14" s="4" t="n">
        <f aca="false">Assumptions!F19</f>
        <v>24.5</v>
      </c>
      <c r="G14" s="4" t="n">
        <f aca="false">Assumptions!G19</f>
        <v>24.5</v>
      </c>
      <c r="H14" s="4" t="n">
        <f aca="false">Assumptions!H19</f>
        <v>24.5</v>
      </c>
      <c r="I14" s="4" t="n">
        <f aca="false">Assumptions!I19</f>
        <v>24.5</v>
      </c>
      <c r="J14" s="4" t="n">
        <f aca="false">Assumptions!J19</f>
        <v>24.5</v>
      </c>
      <c r="K14" s="4" t="n">
        <f aca="false">Assumptions!K19</f>
        <v>24.5</v>
      </c>
      <c r="L14" s="4" t="n">
        <f aca="false">Assumptions!L19</f>
        <v>24.5</v>
      </c>
    </row>
    <row r="15" customFormat="false" ht="15" hidden="false" customHeight="false" outlineLevel="0" collapsed="false">
      <c r="A15" s="0" t="s">
        <v>115</v>
      </c>
      <c r="C15" s="0" t="n">
        <f aca="false">C13-MAX(0,C13)*C14/100</f>
        <v>16170.5801456645</v>
      </c>
      <c r="D15" s="0" t="n">
        <f aca="false">D13-MAX(0,D13)*D14/100</f>
        <v>15898.4179074814</v>
      </c>
      <c r="E15" s="0" t="n">
        <f aca="false">E13-MAX(0,E13)*E14/100</f>
        <v>15671.1449229928</v>
      </c>
      <c r="F15" s="0" t="n">
        <f aca="false">F13-MAX(0,F13)*F14/100</f>
        <v>15813.6800973142</v>
      </c>
      <c r="G15" s="0" t="n">
        <f aca="false">G13-MAX(0,G13)*G14/100</f>
        <v>15950.6633516641</v>
      </c>
      <c r="H15" s="0" t="n">
        <f aca="false">H13-MAX(0,H13)*H14/100</f>
        <v>16180.9332786236</v>
      </c>
      <c r="I15" s="0" t="n">
        <f aca="false">I13-MAX(0,I13)*I14/100</f>
        <v>16666.3612769823</v>
      </c>
      <c r="J15" s="0" t="n">
        <f aca="false">J13-MAX(0,J13)*J14/100</f>
        <v>17083.0203089068</v>
      </c>
      <c r="K15" s="0" t="n">
        <f aca="false">K13-MAX(0,K13)*K14/100</f>
        <v>17510.0958166295</v>
      </c>
      <c r="L15" s="0" t="n">
        <f aca="false">L13-MAX(0,L13)*L14/100</f>
        <v>17947.8482120452</v>
      </c>
    </row>
    <row r="16" customFormat="false" ht="15" hidden="false" customHeight="false" outlineLevel="0" collapsed="false">
      <c r="A16" s="0" t="s">
        <v>116</v>
      </c>
      <c r="C16" s="0" t="n">
        <f aca="false">-C12</f>
        <v>3551.524982</v>
      </c>
      <c r="D16" s="0" t="n">
        <f aca="false">-D12</f>
        <v>3776.07301312</v>
      </c>
      <c r="E16" s="0" t="n">
        <f aca="false">-E12</f>
        <v>3971.9568006756</v>
      </c>
      <c r="F16" s="0" t="n">
        <f aca="false">-F12</f>
        <v>4215.08870180787</v>
      </c>
      <c r="G16" s="0" t="n">
        <f aca="false">-G12</f>
        <v>4469.23375588746</v>
      </c>
      <c r="H16" s="0" t="n">
        <f aca="false">-H12</f>
        <v>4603.31076856408</v>
      </c>
      <c r="I16" s="0" t="n">
        <f aca="false">-I12</f>
        <v>4741.410091621</v>
      </c>
      <c r="J16" s="0" t="n">
        <f aca="false">-J12</f>
        <v>4859.94534391153</v>
      </c>
      <c r="K16" s="0" t="n">
        <f aca="false">-K12</f>
        <v>4981.44397750932</v>
      </c>
      <c r="L16" s="0" t="n">
        <f aca="false">-L12</f>
        <v>5105.98007694705</v>
      </c>
    </row>
    <row r="17" customFormat="false" ht="15" hidden="false" customHeight="false" outlineLevel="0" collapsed="false">
      <c r="A17" s="0" t="s">
        <v>117</v>
      </c>
      <c r="C17" s="4" t="n">
        <f aca="false">-C6*Assumptions!C18/100</f>
        <v>-7160.332625</v>
      </c>
      <c r="D17" s="4" t="n">
        <f aca="false">-D6*Assumptions!D18/100</f>
        <v>-6490.1254913</v>
      </c>
      <c r="E17" s="4" t="n">
        <f aca="false">-E6*Assumptions!E18/100</f>
        <v>-5717.210546427</v>
      </c>
      <c r="F17" s="4" t="n">
        <f aca="false">-F6*Assumptions!F18/100</f>
        <v>-5268.86087725983</v>
      </c>
      <c r="G17" s="4" t="n">
        <f aca="false">-G6*Assumptions!G18/100</f>
        <v>-5107.69572101424</v>
      </c>
      <c r="H17" s="4" t="n">
        <f aca="false">-H6*Assumptions!H18/100</f>
        <v>-4932.11868060437</v>
      </c>
      <c r="I17" s="4" t="n">
        <f aca="false">-I6*Assumptions!I18/100</f>
        <v>-5080.0822410225</v>
      </c>
      <c r="J17" s="4" t="n">
        <f aca="false">-J6*Assumptions!J18/100</f>
        <v>-5207.08429704807</v>
      </c>
      <c r="K17" s="4" t="n">
        <f aca="false">-K6*Assumptions!K18/100</f>
        <v>-5337.26140447427</v>
      </c>
      <c r="L17" s="4" t="n">
        <f aca="false">-L6*Assumptions!L18/100</f>
        <v>-5470.69293958612</v>
      </c>
    </row>
    <row r="18" customFormat="false" ht="15" hidden="false" customHeight="false" outlineLevel="0" collapsed="false">
      <c r="A18" s="0" t="s">
        <v>118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119</v>
      </c>
      <c r="C19" s="0" t="n">
        <f aca="false">C15+C16+C17+C18</f>
        <v>12561.7725026645</v>
      </c>
      <c r="D19" s="0" t="n">
        <f aca="false">D15+D16+D17+D18</f>
        <v>13184.3654293014</v>
      </c>
      <c r="E19" s="0" t="n">
        <f aca="false">E15+E16+E17+E18</f>
        <v>13925.8911772414</v>
      </c>
      <c r="F19" s="0" t="n">
        <f aca="false">F15+F16+F17+F18</f>
        <v>14759.9079218622</v>
      </c>
      <c r="G19" s="0" t="n">
        <f aca="false">G15+G16+G17+G18</f>
        <v>15312.2013865373</v>
      </c>
      <c r="H19" s="0" t="n">
        <f aca="false">H15+H16+H17+H18</f>
        <v>15852.1253665833</v>
      </c>
      <c r="I19" s="0" t="n">
        <f aca="false">I15+I16+I17+I18</f>
        <v>16327.6891275808</v>
      </c>
      <c r="J19" s="0" t="n">
        <f aca="false">J15+J16+J17+J18</f>
        <v>16735.8813557703</v>
      </c>
      <c r="K19" s="0" t="n">
        <f aca="false">K15+K16+K17+K18</f>
        <v>17154.2783896646</v>
      </c>
      <c r="L19" s="0" t="n">
        <f aca="false">L15+L16+L17+L18</f>
        <v>17583.1353494062</v>
      </c>
    </row>
    <row r="20" customFormat="false" ht="15" hidden="false" customHeight="false" outlineLevel="0" collapsed="false">
      <c r="A20" s="0" t="s">
        <v>120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121</v>
      </c>
      <c r="C21" s="0" t="n">
        <f aca="false">C19*C20</f>
        <v>11524.56192905</v>
      </c>
      <c r="D21" s="0" t="n">
        <f aca="false">D19*D20</f>
        <v>11097.0166057583</v>
      </c>
      <c r="E21" s="0" t="n">
        <f aca="false">E19*E20</f>
        <v>10753.3431121939</v>
      </c>
      <c r="F21" s="0" t="n">
        <f aca="false">F19*F20</f>
        <v>10456.2908848481</v>
      </c>
      <c r="G21" s="0" t="n">
        <f aca="false">G19*G20</f>
        <v>9951.88027443163</v>
      </c>
      <c r="H21" s="0" t="n">
        <f aca="false">H19*H20</f>
        <v>9452.10441768682</v>
      </c>
      <c r="I21" s="0" t="n">
        <f aca="false">I19*I20</f>
        <v>8931.8050919426</v>
      </c>
      <c r="J21" s="0" t="n">
        <f aca="false">J19*J20</f>
        <v>8399.17451306528</v>
      </c>
      <c r="K21" s="0" t="n">
        <f aca="false">K19*K20</f>
        <v>7898.30630815772</v>
      </c>
      <c r="L21" s="0" t="n">
        <f aca="false">L19*L20</f>
        <v>7427.30639069877</v>
      </c>
    </row>
    <row r="23" customFormat="false" ht="15" hidden="false" customHeight="false" outlineLevel="0" collapsed="false">
      <c r="A23" s="0" t="s">
        <v>97</v>
      </c>
      <c r="C23" s="4" t="n">
        <f aca="false">Assumptions!C16</f>
        <v>0.26</v>
      </c>
      <c r="D23" s="4" t="n">
        <f aca="false">Assumptions!D16</f>
        <v>0.26</v>
      </c>
      <c r="E23" s="4" t="n">
        <f aca="false">Assumptions!E16</f>
        <v>0.26</v>
      </c>
      <c r="F23" s="4" t="n">
        <f aca="false">Assumptions!F16</f>
        <v>0.26</v>
      </c>
      <c r="G23" s="4" t="n">
        <f aca="false">Assumptions!G16</f>
        <v>0.26</v>
      </c>
      <c r="H23" s="4" t="n">
        <f aca="false">Assumptions!H16</f>
        <v>0.26</v>
      </c>
      <c r="I23" s="4" t="n">
        <f aca="false">Assumptions!I16</f>
        <v>0.26</v>
      </c>
      <c r="J23" s="4" t="n">
        <f aca="false">Assumptions!J16</f>
        <v>0.26</v>
      </c>
      <c r="K23" s="4" t="n">
        <f aca="false">Assumptions!K16</f>
        <v>0.26</v>
      </c>
      <c r="L23" s="4" t="n">
        <f aca="false">Assumptions!L16</f>
        <v>0.26</v>
      </c>
    </row>
    <row r="24" customFormat="false" ht="15" hidden="false" customHeight="false" outlineLevel="0" collapsed="false">
      <c r="A24" s="0" t="s">
        <v>122</v>
      </c>
      <c r="C24" s="0" t="n">
        <f aca="false">-C6*C23/100</f>
        <v>-148.9349186</v>
      </c>
      <c r="D24" s="0" t="n">
        <f aca="false">-D6*D23/100</f>
        <v>-153.402966158</v>
      </c>
      <c r="E24" s="0" t="n">
        <f aca="false">-E6*E23/100</f>
        <v>-156.47102548116</v>
      </c>
      <c r="F24" s="0" t="n">
        <f aca="false">-F6*F23/100</f>
        <v>-161.165156245595</v>
      </c>
      <c r="G24" s="0" t="n">
        <f aca="false">-G6*G23/100</f>
        <v>-166.000110932963</v>
      </c>
      <c r="H24" s="0" t="n">
        <f aca="false">-H6*H23/100</f>
        <v>-170.980114260952</v>
      </c>
      <c r="I24" s="0" t="n">
        <f aca="false">-I6*I23/100</f>
        <v>-176.10951768878</v>
      </c>
      <c r="J24" s="0" t="n">
        <f aca="false">-J6*J23/100</f>
        <v>-180.512255631</v>
      </c>
      <c r="K24" s="0" t="n">
        <f aca="false">-K6*K23/100</f>
        <v>-185.025062021775</v>
      </c>
      <c r="L24" s="0" t="n">
        <f aca="false">-L6*L23/100</f>
        <v>-189.650688572319</v>
      </c>
    </row>
    <row r="26" customFormat="false" ht="15" hidden="false" customHeight="false" outlineLevel="0" collapsed="false">
      <c r="A26" s="2" t="s">
        <v>123</v>
      </c>
    </row>
    <row r="27" customFormat="false" ht="15" hidden="false" customHeight="false" outlineLevel="0" collapsed="false">
      <c r="A27" s="0" t="s">
        <v>101</v>
      </c>
      <c r="B27" s="4" t="n">
        <f aca="false">Assumptions!$B$20</f>
        <v>9</v>
      </c>
    </row>
    <row r="28" customFormat="false" ht="15" hidden="false" customHeight="false" outlineLevel="0" collapsed="false">
      <c r="A28" s="0" t="s">
        <v>102</v>
      </c>
      <c r="B28" s="4" t="n">
        <f aca="false">Assumptions!$B$21</f>
        <v>2.5</v>
      </c>
    </row>
    <row r="29" customFormat="false" ht="15" hidden="false" customHeight="false" outlineLevel="0" collapsed="false">
      <c r="A29" s="0" t="s">
        <v>103</v>
      </c>
      <c r="B29" s="4" t="n">
        <f aca="false">Assumptions!$B$22</f>
        <v>16</v>
      </c>
    </row>
    <row r="30" customFormat="false" ht="15" hidden="false" customHeight="false" outlineLevel="0" collapsed="false">
      <c r="A30" s="0" t="s">
        <v>124</v>
      </c>
      <c r="B30" s="0" t="n">
        <f aca="false">SUM(C21:L21)</f>
        <v>95891.7895278331</v>
      </c>
    </row>
    <row r="31" customFormat="false" ht="15" hidden="false" customHeight="false" outlineLevel="0" collapsed="false">
      <c r="A31" s="0" t="s">
        <v>125</v>
      </c>
      <c r="B31" s="0" t="n">
        <f aca="false">L19</f>
        <v>17583.1353494062</v>
      </c>
    </row>
    <row r="32" customFormat="false" ht="15" hidden="false" customHeight="false" outlineLevel="0" collapsed="false">
      <c r="A32" s="0" t="s">
        <v>126</v>
      </c>
      <c r="B32" s="0" t="n">
        <f aca="false">IF(B27&gt;B28,B31*(1+B28/100)/((B27-B28)/100),B31*B29)</f>
        <v>277272.518971405</v>
      </c>
    </row>
    <row r="33" customFormat="false" ht="15" hidden="false" customHeight="false" outlineLevel="0" collapsed="false">
      <c r="A33" s="0" t="s">
        <v>127</v>
      </c>
      <c r="B33" s="0" t="n">
        <f aca="false">B31*B29</f>
        <v>281330.165590499</v>
      </c>
    </row>
    <row r="34" customFormat="false" ht="15" hidden="false" customHeight="false" outlineLevel="0" collapsed="false">
      <c r="A34" s="0" t="s">
        <v>128</v>
      </c>
      <c r="B34" s="0" t="n">
        <f aca="false">MAX(0,MIN(B32,B33))</f>
        <v>277272.518971405</v>
      </c>
    </row>
    <row r="35" customFormat="false" ht="15" hidden="false" customHeight="false" outlineLevel="0" collapsed="false">
      <c r="A35" s="0" t="s">
        <v>129</v>
      </c>
      <c r="B35" s="0" t="n">
        <f aca="false">B34/(1+B27/100)^L4</f>
        <v>117122.908468711</v>
      </c>
    </row>
    <row r="36" customFormat="false" ht="15" hidden="false" customHeight="false" outlineLevel="0" collapsed="false">
      <c r="A36" s="0" t="s">
        <v>130</v>
      </c>
      <c r="B36" s="0" t="n">
        <f aca="false">B30+B35</f>
        <v>213014.697996544</v>
      </c>
    </row>
    <row r="37" customFormat="false" ht="15" hidden="false" customHeight="false" outlineLevel="0" collapsed="false">
      <c r="A37" s="0" t="s">
        <v>131</v>
      </c>
      <c r="B37" s="0" t="n">
        <f aca="false">B36+Assumptions!$B$5-Assumptions!$B$4</f>
        <v>227702.997996545</v>
      </c>
    </row>
    <row r="38" customFormat="false" ht="15" hidden="false" customHeight="false" outlineLevel="0" collapsed="false">
      <c r="A38" s="0" t="s">
        <v>132</v>
      </c>
      <c r="B38" s="0" t="n">
        <f aca="false">B37/Assumptions!$B$3*Assumptions!$B$10</f>
        <v>23.7856650554697</v>
      </c>
    </row>
    <row r="39" customFormat="false" ht="15" hidden="false" customHeight="false" outlineLevel="0" collapsed="false">
      <c r="A39" s="0" t="s">
        <v>133</v>
      </c>
      <c r="B39" s="4" t="n">
        <f aca="false">B38/Assumptions!$B$2-1</f>
        <v>-0.427127527565758</v>
      </c>
    </row>
    <row r="41" customFormat="false" ht="15" hidden="false" customHeight="false" outlineLevel="0" collapsed="false">
      <c r="A41" s="0" t="s">
        <v>134</v>
      </c>
      <c r="B41" s="0" t="n">
        <f aca="false">SUMPRODUCT(-C10:L10/(1+$B$27/100)^C4:L4)</f>
        <v>613.166663237736</v>
      </c>
    </row>
    <row r="42" customFormat="false" ht="15" hidden="false" customHeight="false" outlineLevel="0" collapsed="false">
      <c r="A42" s="0" t="s">
        <v>135</v>
      </c>
      <c r="B42" s="0" t="n">
        <f aca="false">IF(B27&gt;B28,-L10*(1+B28/100)/((B27-B28)/100),-L10*20)/(1+B27/100)^L4</f>
        <v>728.815942880415</v>
      </c>
    </row>
    <row r="43" customFormat="false" ht="15" hidden="false" customHeight="false" outlineLevel="0" collapsed="false">
      <c r="A43" s="0" t="s">
        <v>136</v>
      </c>
      <c r="B43" s="0" t="n">
        <f aca="false">(B37+B41+B42)/Assumptions!$B$3*Assumptions!$B$10</f>
        <v>23.9258474380481</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144181.709865131</v>
      </c>
    </row>
    <row r="47" customFormat="false" ht="15" hidden="false" customHeight="false" outlineLevel="0" collapsed="false">
      <c r="A47" s="0" t="s">
        <v>138</v>
      </c>
      <c r="B47" s="0" t="n">
        <f aca="false">(SUMPRODUCT(C19:L19/(1+B45/100)^C4:L4)+B46/(1+B45/100)^L4+Assumptions!$B$5-Assumptions!$B$4)/Assumptions!$B$3*Assumptions!$B$10</f>
        <v>12.9648287133217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13</v>
      </c>
      <c r="D5" s="4" t="n">
        <f aca="false">Assumptions!D27</f>
        <v>10</v>
      </c>
      <c r="E5" s="4" t="n">
        <f aca="false">Assumptions!E27</f>
        <v>8</v>
      </c>
      <c r="F5" s="4" t="n">
        <f aca="false">Assumptions!F27</f>
        <v>7</v>
      </c>
      <c r="G5" s="4" t="n">
        <f aca="false">Assumptions!G27</f>
        <v>6</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52552.9</v>
      </c>
      <c r="C6" s="0" t="n">
        <f aca="false">B6*(1+C5/100)</f>
        <v>59384.777</v>
      </c>
      <c r="D6" s="0" t="n">
        <f aca="false">C6*(1+D5/100)</f>
        <v>65323.2547</v>
      </c>
      <c r="E6" s="0" t="n">
        <f aca="false">D6*(1+E5/100)</f>
        <v>70549.115076</v>
      </c>
      <c r="F6" s="0" t="n">
        <f aca="false">E6*(1+F5/100)</f>
        <v>75487.55313132</v>
      </c>
      <c r="G6" s="0" t="n">
        <f aca="false">F6*(1+G5/100)</f>
        <v>80016.8063191992</v>
      </c>
      <c r="H6" s="0" t="n">
        <f aca="false">G6*(1+H5/100)</f>
        <v>84017.6466351592</v>
      </c>
      <c r="I6" s="0" t="n">
        <f aca="false">H6*(1+I5/100)</f>
        <v>87798.4407337413</v>
      </c>
      <c r="J6" s="0" t="n">
        <f aca="false">I6*(1+J5/100)</f>
        <v>91310.378363091</v>
      </c>
      <c r="K6" s="0" t="n">
        <f aca="false">J6*(1+K5/100)</f>
        <v>94506.2416057992</v>
      </c>
      <c r="L6" s="0" t="n">
        <f aca="false">K6*(1+L5/100)</f>
        <v>97341.4288539732</v>
      </c>
    </row>
    <row r="7" customFormat="false" ht="15" hidden="false" customHeight="false" outlineLevel="0" collapsed="false">
      <c r="A7" s="0" t="s">
        <v>95</v>
      </c>
      <c r="C7" s="4" t="n">
        <f aca="false">Assumptions!C28</f>
        <v>45</v>
      </c>
      <c r="D7" s="4" t="n">
        <f aca="false">Assumptions!D28</f>
        <v>45</v>
      </c>
      <c r="E7" s="4" t="n">
        <f aca="false">Assumptions!E28</f>
        <v>45</v>
      </c>
      <c r="F7" s="4" t="n">
        <f aca="false">Assumptions!F28</f>
        <v>45</v>
      </c>
      <c r="G7" s="4" t="n">
        <f aca="false">Assumptions!G28</f>
        <v>45</v>
      </c>
      <c r="H7" s="4" t="n">
        <f aca="false">Assumptions!H28</f>
        <v>44.8</v>
      </c>
      <c r="I7" s="4" t="n">
        <f aca="false">Assumptions!I28</f>
        <v>44.6</v>
      </c>
      <c r="J7" s="4" t="n">
        <f aca="false">Assumptions!J28</f>
        <v>44.5</v>
      </c>
      <c r="K7" s="4" t="n">
        <f aca="false">Assumptions!K28</f>
        <v>44.5</v>
      </c>
      <c r="L7" s="4" t="n">
        <f aca="false">Assumptions!L28</f>
        <v>44.5</v>
      </c>
    </row>
    <row r="8" customFormat="false" ht="15" hidden="false" customHeight="false" outlineLevel="0" collapsed="false">
      <c r="A8" s="0" t="s">
        <v>44</v>
      </c>
      <c r="C8" s="0" t="n">
        <f aca="false">C6*C7/100</f>
        <v>26723.14965</v>
      </c>
      <c r="D8" s="0" t="n">
        <f aca="false">D6*D7/100</f>
        <v>29395.464615</v>
      </c>
      <c r="E8" s="0" t="n">
        <f aca="false">E6*E7/100</f>
        <v>31747.1017842</v>
      </c>
      <c r="F8" s="0" t="n">
        <f aca="false">F6*F7/100</f>
        <v>33969.398909094</v>
      </c>
      <c r="G8" s="0" t="n">
        <f aca="false">G6*G7/100</f>
        <v>36007.5628436396</v>
      </c>
      <c r="H8" s="0" t="n">
        <f aca="false">H6*H7/100</f>
        <v>37639.9056925513</v>
      </c>
      <c r="I8" s="0" t="n">
        <f aca="false">I6*I7/100</f>
        <v>39158.1045672486</v>
      </c>
      <c r="J8" s="0" t="n">
        <f aca="false">J6*J7/100</f>
        <v>40633.1183715755</v>
      </c>
      <c r="K8" s="0" t="n">
        <f aca="false">K6*K7/100</f>
        <v>42055.2775145806</v>
      </c>
      <c r="L8" s="0" t="n">
        <f aca="false">L6*L7/100</f>
        <v>43316.9358400181</v>
      </c>
    </row>
    <row r="9" customFormat="false" ht="15" hidden="false" customHeight="false" outlineLevel="0" collapsed="false">
      <c r="A9" s="0" t="s">
        <v>96</v>
      </c>
      <c r="C9" s="4" t="n">
        <f aca="false">Assumptions!C29</f>
        <v>0.15</v>
      </c>
      <c r="D9" s="4" t="n">
        <f aca="false">Assumptions!D29</f>
        <v>0.15</v>
      </c>
      <c r="E9" s="4" t="n">
        <f aca="false">Assumptions!E29</f>
        <v>0.15</v>
      </c>
      <c r="F9" s="4" t="n">
        <f aca="false">Assumptions!F29</f>
        <v>0.15</v>
      </c>
      <c r="G9" s="4" t="n">
        <f aca="false">Assumptions!G29</f>
        <v>0.15</v>
      </c>
      <c r="H9" s="4" t="n">
        <f aca="false">Assumptions!H29</f>
        <v>0.15</v>
      </c>
      <c r="I9" s="4" t="n">
        <f aca="false">Assumptions!I29</f>
        <v>0.15</v>
      </c>
      <c r="J9" s="4" t="n">
        <f aca="false">Assumptions!J29</f>
        <v>0.15</v>
      </c>
      <c r="K9" s="4" t="n">
        <f aca="false">Assumptions!K29</f>
        <v>0.15</v>
      </c>
      <c r="L9" s="4" t="n">
        <f aca="false">Assumptions!L29</f>
        <v>0.15</v>
      </c>
    </row>
    <row r="10" customFormat="false" ht="15" hidden="false" customHeight="false" outlineLevel="0" collapsed="false">
      <c r="A10" s="0" t="s">
        <v>111</v>
      </c>
      <c r="C10" s="0" t="n">
        <f aca="false">-C6*C9/100</f>
        <v>-89.0771655</v>
      </c>
      <c r="D10" s="0" t="n">
        <f aca="false">-D6*D9/100</f>
        <v>-97.98488205</v>
      </c>
      <c r="E10" s="0" t="n">
        <f aca="false">-E6*E9/100</f>
        <v>-105.823672614</v>
      </c>
      <c r="F10" s="0" t="n">
        <f aca="false">-F6*F9/100</f>
        <v>-113.23132969698</v>
      </c>
      <c r="G10" s="0" t="n">
        <f aca="false">-G6*G9/100</f>
        <v>-120.025209478799</v>
      </c>
      <c r="H10" s="0" t="n">
        <f aca="false">-H6*H9/100</f>
        <v>-126.026469952739</v>
      </c>
      <c r="I10" s="0" t="n">
        <f aca="false">-I6*I9/100</f>
        <v>-131.697661100612</v>
      </c>
      <c r="J10" s="0" t="n">
        <f aca="false">-J6*J9/100</f>
        <v>-136.965567544637</v>
      </c>
      <c r="K10" s="0" t="n">
        <f aca="false">-K6*K9/100</f>
        <v>-141.759362408699</v>
      </c>
      <c r="L10" s="0" t="n">
        <f aca="false">-L6*L9/100</f>
        <v>-146.01214328096</v>
      </c>
    </row>
    <row r="11" customFormat="false" ht="15" hidden="false" customHeight="false" outlineLevel="0" collapsed="false">
      <c r="A11" s="0" t="s">
        <v>112</v>
      </c>
      <c r="C11" s="0" t="n">
        <f aca="false">C8+C10+C24</f>
        <v>26479.6720643</v>
      </c>
      <c r="D11" s="0" t="n">
        <f aca="false">D8+D10+D24</f>
        <v>29127.63927073</v>
      </c>
      <c r="E11" s="0" t="n">
        <f aca="false">E8+E10+E24</f>
        <v>31457.8504123884</v>
      </c>
      <c r="F11" s="0" t="n">
        <f aca="false">F8+F10+F24</f>
        <v>33659.8999412556</v>
      </c>
      <c r="G11" s="0" t="n">
        <f aca="false">G8+G10+G24</f>
        <v>35679.4939377309</v>
      </c>
      <c r="H11" s="0" t="n">
        <f aca="false">H8+H10+H24</f>
        <v>37295.4333413472</v>
      </c>
      <c r="I11" s="0" t="n">
        <f aca="false">I8+I10+I24</f>
        <v>38798.1309602403</v>
      </c>
      <c r="J11" s="0" t="n">
        <f aca="false">J8+J10+J24</f>
        <v>40258.7458202868</v>
      </c>
      <c r="K11" s="0" t="n">
        <f aca="false">K8+K10+K24</f>
        <v>41667.8019239969</v>
      </c>
      <c r="L11" s="0" t="n">
        <f aca="false">L8+L10+L24</f>
        <v>42917.8359817168</v>
      </c>
    </row>
    <row r="12" customFormat="false" ht="15" hidden="false" customHeight="false" outlineLevel="0" collapsed="false">
      <c r="A12" s="0" t="s">
        <v>113</v>
      </c>
      <c r="C12" s="4" t="n">
        <f aca="false">-C6*Assumptions!C31/100</f>
        <v>-3681.856174</v>
      </c>
      <c r="D12" s="4" t="n">
        <f aca="false">-D6*Assumptions!D31/100</f>
        <v>-4180.6883008</v>
      </c>
      <c r="E12" s="4" t="n">
        <f aca="false">-E6*Assumptions!E31/100</f>
        <v>-4656.241595016</v>
      </c>
      <c r="F12" s="4" t="n">
        <f aca="false">-F6*Assumptions!F31/100</f>
        <v>-5133.15361292976</v>
      </c>
      <c r="G12" s="4" t="n">
        <f aca="false">-G6*Assumptions!G31/100</f>
        <v>-5601.17644234394</v>
      </c>
      <c r="H12" s="4" t="n">
        <f aca="false">-H6*Assumptions!H31/100</f>
        <v>-5881.23526446114</v>
      </c>
      <c r="I12" s="4" t="n">
        <f aca="false">-I6*Assumptions!I31/100</f>
        <v>-6145.89085136189</v>
      </c>
      <c r="J12" s="4" t="n">
        <f aca="false">-J6*Assumptions!J31/100</f>
        <v>-6391.72648541637</v>
      </c>
      <c r="K12" s="4" t="n">
        <f aca="false">-K6*Assumptions!K31/100</f>
        <v>-6615.43691240594</v>
      </c>
      <c r="L12" s="4" t="n">
        <f aca="false">-L6*Assumptions!L31/100</f>
        <v>-6813.90001977812</v>
      </c>
    </row>
    <row r="13" customFormat="false" ht="15" hidden="false" customHeight="false" outlineLevel="0" collapsed="false">
      <c r="A13" s="0" t="s">
        <v>114</v>
      </c>
      <c r="C13" s="0" t="n">
        <f aca="false">C11+C12</f>
        <v>22797.8158903</v>
      </c>
      <c r="D13" s="0" t="n">
        <f aca="false">D11+D12</f>
        <v>24946.95096993</v>
      </c>
      <c r="E13" s="0" t="n">
        <f aca="false">E11+E12</f>
        <v>26801.6088173724</v>
      </c>
      <c r="F13" s="0" t="n">
        <f aca="false">F11+F12</f>
        <v>28526.7463283258</v>
      </c>
      <c r="G13" s="0" t="n">
        <f aca="false">G11+G12</f>
        <v>30078.317495387</v>
      </c>
      <c r="H13" s="0" t="n">
        <f aca="false">H11+H12</f>
        <v>31414.198076886</v>
      </c>
      <c r="I13" s="0" t="n">
        <f aca="false">I11+I12</f>
        <v>32652.2401088784</v>
      </c>
      <c r="J13" s="0" t="n">
        <f aca="false">J11+J12</f>
        <v>33867.0193348705</v>
      </c>
      <c r="K13" s="0" t="n">
        <f aca="false">K11+K12</f>
        <v>35052.3650115909</v>
      </c>
      <c r="L13" s="0" t="n">
        <f aca="false">L11+L12</f>
        <v>36103.9359619386</v>
      </c>
    </row>
    <row r="14" customFormat="false" ht="15" hidden="false" customHeight="false" outlineLevel="0" collapsed="false">
      <c r="A14" s="0" t="s">
        <v>100</v>
      </c>
      <c r="C14" s="4" t="n">
        <f aca="false">Assumptions!C33</f>
        <v>24.5</v>
      </c>
      <c r="D14" s="4" t="n">
        <f aca="false">Assumptions!D33</f>
        <v>24.5</v>
      </c>
      <c r="E14" s="4" t="n">
        <f aca="false">Assumptions!E33</f>
        <v>24.5</v>
      </c>
      <c r="F14" s="4" t="n">
        <f aca="false">Assumptions!F33</f>
        <v>24.5</v>
      </c>
      <c r="G14" s="4" t="n">
        <f aca="false">Assumptions!G33</f>
        <v>24.5</v>
      </c>
      <c r="H14" s="4" t="n">
        <f aca="false">Assumptions!H33</f>
        <v>24.5</v>
      </c>
      <c r="I14" s="4" t="n">
        <f aca="false">Assumptions!I33</f>
        <v>24.5</v>
      </c>
      <c r="J14" s="4" t="n">
        <f aca="false">Assumptions!J33</f>
        <v>24.5</v>
      </c>
      <c r="K14" s="4" t="n">
        <f aca="false">Assumptions!K33</f>
        <v>24.5</v>
      </c>
      <c r="L14" s="4" t="n">
        <f aca="false">Assumptions!L33</f>
        <v>24.5</v>
      </c>
    </row>
    <row r="15" customFormat="false" ht="15" hidden="false" customHeight="false" outlineLevel="0" collapsed="false">
      <c r="A15" s="0" t="s">
        <v>115</v>
      </c>
      <c r="C15" s="0" t="n">
        <f aca="false">C13-MAX(0,C13)*C14/100</f>
        <v>17212.3509971765</v>
      </c>
      <c r="D15" s="0" t="n">
        <f aca="false">D13-MAX(0,D13)*D14/100</f>
        <v>18834.9479822971</v>
      </c>
      <c r="E15" s="0" t="n">
        <f aca="false">E13-MAX(0,E13)*E14/100</f>
        <v>20235.2146571162</v>
      </c>
      <c r="F15" s="0" t="n">
        <f aca="false">F13-MAX(0,F13)*F14/100</f>
        <v>21537.693477886</v>
      </c>
      <c r="G15" s="0" t="n">
        <f aca="false">G13-MAX(0,G13)*G14/100</f>
        <v>22709.1297090172</v>
      </c>
      <c r="H15" s="0" t="n">
        <f aca="false">H13-MAX(0,H13)*H14/100</f>
        <v>23717.7195480489</v>
      </c>
      <c r="I15" s="0" t="n">
        <f aca="false">I13-MAX(0,I13)*I14/100</f>
        <v>24652.4412822032</v>
      </c>
      <c r="J15" s="0" t="n">
        <f aca="false">J13-MAX(0,J13)*J14/100</f>
        <v>25569.5995978272</v>
      </c>
      <c r="K15" s="0" t="n">
        <f aca="false">K13-MAX(0,K13)*K14/100</f>
        <v>26464.5355837511</v>
      </c>
      <c r="L15" s="0" t="n">
        <f aca="false">L13-MAX(0,L13)*L14/100</f>
        <v>27258.4716512637</v>
      </c>
    </row>
    <row r="16" customFormat="false" ht="15" hidden="false" customHeight="false" outlineLevel="0" collapsed="false">
      <c r="A16" s="0" t="s">
        <v>116</v>
      </c>
      <c r="C16" s="0" t="n">
        <f aca="false">-C12</f>
        <v>3681.856174</v>
      </c>
      <c r="D16" s="0" t="n">
        <f aca="false">-D12</f>
        <v>4180.6883008</v>
      </c>
      <c r="E16" s="0" t="n">
        <f aca="false">-E12</f>
        <v>4656.241595016</v>
      </c>
      <c r="F16" s="0" t="n">
        <f aca="false">-F12</f>
        <v>5133.15361292976</v>
      </c>
      <c r="G16" s="0" t="n">
        <f aca="false">-G12</f>
        <v>5601.17644234394</v>
      </c>
      <c r="H16" s="0" t="n">
        <f aca="false">-H12</f>
        <v>5881.23526446114</v>
      </c>
      <c r="I16" s="0" t="n">
        <f aca="false">-I12</f>
        <v>6145.89085136189</v>
      </c>
      <c r="J16" s="0" t="n">
        <f aca="false">-J12</f>
        <v>6391.72648541637</v>
      </c>
      <c r="K16" s="0" t="n">
        <f aca="false">-K12</f>
        <v>6615.43691240594</v>
      </c>
      <c r="L16" s="0" t="n">
        <f aca="false">-L12</f>
        <v>6813.90001977812</v>
      </c>
    </row>
    <row r="17" customFormat="false" ht="15" hidden="false" customHeight="false" outlineLevel="0" collapsed="false">
      <c r="A17" s="0" t="s">
        <v>117</v>
      </c>
      <c r="C17" s="4" t="n">
        <f aca="false">-C6*Assumptions!C32/100</f>
        <v>-7423.097125</v>
      </c>
      <c r="D17" s="4" t="n">
        <f aca="false">-D6*Assumptions!D32/100</f>
        <v>-7512.1742905</v>
      </c>
      <c r="E17" s="4" t="n">
        <f aca="false">-E6*Assumptions!E32/100</f>
        <v>-7407.65708298</v>
      </c>
      <c r="F17" s="4" t="n">
        <f aca="false">-F6*Assumptions!F32/100</f>
        <v>-7171.3175474754</v>
      </c>
      <c r="G17" s="4" t="n">
        <f aca="false">-G6*Assumptions!G32/100</f>
        <v>-7201.51256872793</v>
      </c>
      <c r="H17" s="4" t="n">
        <f aca="false">-H6*Assumptions!H32/100</f>
        <v>-7141.49996398853</v>
      </c>
      <c r="I17" s="4" t="n">
        <f aca="false">-I6*Assumptions!I32/100</f>
        <v>-7023.87525869931</v>
      </c>
      <c r="J17" s="4" t="n">
        <f aca="false">-J6*Assumptions!J32/100</f>
        <v>-7304.83026904728</v>
      </c>
      <c r="K17" s="4" t="n">
        <f aca="false">-K6*Assumptions!K32/100</f>
        <v>-7087.96812043494</v>
      </c>
      <c r="L17" s="4" t="n">
        <f aca="false">-L6*Assumptions!L32/100</f>
        <v>-7300.60716404799</v>
      </c>
    </row>
    <row r="18" customFormat="false" ht="15" hidden="false" customHeight="false" outlineLevel="0" collapsed="false">
      <c r="A18" s="0" t="s">
        <v>118</v>
      </c>
      <c r="C18" s="4" t="n">
        <f aca="false">(C6-B6)*Assumptions!$B$37/100</f>
        <v>341.59385</v>
      </c>
      <c r="D18" s="4" t="n">
        <f aca="false">(D6-C6)*Assumptions!$B$37/100</f>
        <v>296.923885</v>
      </c>
      <c r="E18" s="4" t="n">
        <f aca="false">(E6-D6)*Assumptions!$B$37/100</f>
        <v>261.2930188</v>
      </c>
      <c r="F18" s="4" t="n">
        <f aca="false">(F6-E6)*Assumptions!$B$37/100</f>
        <v>246.921902766</v>
      </c>
      <c r="G18" s="4" t="n">
        <f aca="false">(G6-F6)*Assumptions!$B$37/100</f>
        <v>226.46265939396</v>
      </c>
      <c r="H18" s="4" t="n">
        <f aca="false">(H6-G6)*Assumptions!$B$37/100</f>
        <v>200.042015797998</v>
      </c>
      <c r="I18" s="4" t="n">
        <f aca="false">(I6-H6)*Assumptions!$B$37/100</f>
        <v>189.039704929108</v>
      </c>
      <c r="J18" s="4" t="n">
        <f aca="false">(J6-I6)*Assumptions!$B$37/100</f>
        <v>175.596881467483</v>
      </c>
      <c r="K18" s="4" t="n">
        <f aca="false">(K6-J6)*Assumptions!$B$37/100</f>
        <v>159.793162135409</v>
      </c>
      <c r="L18" s="4" t="n">
        <f aca="false">(L6-K6)*Assumptions!$B$37/100</f>
        <v>141.759362408699</v>
      </c>
    </row>
    <row r="19" customFormat="false" ht="15" hidden="false" customHeight="false" outlineLevel="0" collapsed="false">
      <c r="A19" s="0" t="s">
        <v>119</v>
      </c>
      <c r="C19" s="0" t="n">
        <f aca="false">C15+C16+C17+C18</f>
        <v>13812.7038961765</v>
      </c>
      <c r="D19" s="0" t="n">
        <f aca="false">D15+D16+D17+D18</f>
        <v>15800.3858775972</v>
      </c>
      <c r="E19" s="0" t="n">
        <f aca="false">E15+E16+E17+E18</f>
        <v>17745.0921879522</v>
      </c>
      <c r="F19" s="0" t="n">
        <f aca="false">F15+F16+F17+F18</f>
        <v>19746.4514461064</v>
      </c>
      <c r="G19" s="0" t="n">
        <f aca="false">G15+G16+G17+G18</f>
        <v>21335.2562420272</v>
      </c>
      <c r="H19" s="0" t="n">
        <f aca="false">H15+H16+H17+H18</f>
        <v>22657.4968643195</v>
      </c>
      <c r="I19" s="0" t="n">
        <f aca="false">I15+I16+I17+I18</f>
        <v>23963.4965797949</v>
      </c>
      <c r="J19" s="0" t="n">
        <f aca="false">J15+J16+J17+J18</f>
        <v>24832.0926956638</v>
      </c>
      <c r="K19" s="0" t="n">
        <f aca="false">K15+K16+K17+K18</f>
        <v>26151.7975378576</v>
      </c>
      <c r="L19" s="0" t="n">
        <f aca="false">L15+L16+L17+L18</f>
        <v>26913.5238694025</v>
      </c>
    </row>
    <row r="20" customFormat="false" ht="15" hidden="false" customHeight="false" outlineLevel="0" collapsed="false">
      <c r="A20" s="0" t="s">
        <v>120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121</v>
      </c>
      <c r="C21" s="0" t="n">
        <f aca="false">C19*C20</f>
        <v>12672.2054093362</v>
      </c>
      <c r="D21" s="0" t="n">
        <f aca="false">D19*D20</f>
        <v>13298.868679065</v>
      </c>
      <c r="E21" s="0" t="n">
        <f aca="false">E19*E20</f>
        <v>13702.4670396973</v>
      </c>
      <c r="F21" s="0" t="n">
        <f aca="false">F19*F20</f>
        <v>13988.8840334965</v>
      </c>
      <c r="G21" s="0" t="n">
        <f aca="false">G19*G20</f>
        <v>13866.4526664111</v>
      </c>
      <c r="H21" s="0" t="n">
        <f aca="false">H19*H20</f>
        <v>13509.925089062</v>
      </c>
      <c r="I21" s="0" t="n">
        <f aca="false">I19*I20</f>
        <v>13108.8532553335</v>
      </c>
      <c r="J21" s="0" t="n">
        <f aca="false">J19*J20</f>
        <v>12462.3899776621</v>
      </c>
      <c r="K21" s="0" t="n">
        <f aca="false">K19*K20</f>
        <v>12041.0140707156</v>
      </c>
      <c r="L21" s="0" t="n">
        <f aca="false">L19*L20</f>
        <v>11368.5633340807</v>
      </c>
    </row>
    <row r="23" customFormat="false" ht="15" hidden="false" customHeight="false" outlineLevel="0" collapsed="false">
      <c r="A23" s="0" t="s">
        <v>97</v>
      </c>
      <c r="C23" s="4" t="n">
        <f aca="false">Assumptions!C30</f>
        <v>0.26</v>
      </c>
      <c r="D23" s="4" t="n">
        <f aca="false">Assumptions!D30</f>
        <v>0.26</v>
      </c>
      <c r="E23" s="4" t="n">
        <f aca="false">Assumptions!E30</f>
        <v>0.26</v>
      </c>
      <c r="F23" s="4" t="n">
        <f aca="false">Assumptions!F30</f>
        <v>0.26</v>
      </c>
      <c r="G23" s="4" t="n">
        <f aca="false">Assumptions!G30</f>
        <v>0.26</v>
      </c>
      <c r="H23" s="4" t="n">
        <f aca="false">Assumptions!H30</f>
        <v>0.26</v>
      </c>
      <c r="I23" s="4" t="n">
        <f aca="false">Assumptions!I30</f>
        <v>0.26</v>
      </c>
      <c r="J23" s="4" t="n">
        <f aca="false">Assumptions!J30</f>
        <v>0.26</v>
      </c>
      <c r="K23" s="4" t="n">
        <f aca="false">Assumptions!K30</f>
        <v>0.26</v>
      </c>
      <c r="L23" s="4" t="n">
        <f aca="false">Assumptions!L30</f>
        <v>0.26</v>
      </c>
    </row>
    <row r="24" customFormat="false" ht="15" hidden="false" customHeight="false" outlineLevel="0" collapsed="false">
      <c r="A24" s="0" t="s">
        <v>122</v>
      </c>
      <c r="C24" s="0" t="n">
        <f aca="false">-C6*C23/100</f>
        <v>-154.4004202</v>
      </c>
      <c r="D24" s="0" t="n">
        <f aca="false">-D6*D23/100</f>
        <v>-169.84046222</v>
      </c>
      <c r="E24" s="0" t="n">
        <f aca="false">-E6*E23/100</f>
        <v>-183.4276991976</v>
      </c>
      <c r="F24" s="0" t="n">
        <f aca="false">-F6*F23/100</f>
        <v>-196.267638141432</v>
      </c>
      <c r="G24" s="0" t="n">
        <f aca="false">-G6*G23/100</f>
        <v>-208.043696429918</v>
      </c>
      <c r="H24" s="0" t="n">
        <f aca="false">-H6*H23/100</f>
        <v>-218.445881251414</v>
      </c>
      <c r="I24" s="0" t="n">
        <f aca="false">-I6*I23/100</f>
        <v>-228.275945907728</v>
      </c>
      <c r="J24" s="0" t="n">
        <f aca="false">-J6*J23/100</f>
        <v>-237.406983744037</v>
      </c>
      <c r="K24" s="0" t="n">
        <f aca="false">-K6*K23/100</f>
        <v>-245.716228175078</v>
      </c>
      <c r="L24" s="0" t="n">
        <f aca="false">-L6*L23/100</f>
        <v>-253.08771502033</v>
      </c>
    </row>
    <row r="26" customFormat="false" ht="15" hidden="false" customHeight="false" outlineLevel="0" collapsed="false">
      <c r="A26" s="2" t="s">
        <v>123</v>
      </c>
    </row>
    <row r="27" customFormat="false" ht="15" hidden="false" customHeight="false" outlineLevel="0" collapsed="false">
      <c r="A27" s="0" t="s">
        <v>101</v>
      </c>
      <c r="B27" s="4" t="n">
        <f aca="false">Assumptions!$B$34</f>
        <v>9</v>
      </c>
    </row>
    <row r="28" customFormat="false" ht="15" hidden="false" customHeight="false" outlineLevel="0" collapsed="false">
      <c r="A28" s="0" t="s">
        <v>102</v>
      </c>
      <c r="B28" s="4" t="n">
        <f aca="false">Assumptions!$B$35</f>
        <v>3</v>
      </c>
    </row>
    <row r="29" customFormat="false" ht="15" hidden="false" customHeight="false" outlineLevel="0" collapsed="false">
      <c r="A29" s="0" t="s">
        <v>103</v>
      </c>
      <c r="B29" s="4" t="n">
        <f aca="false">Assumptions!$B$36</f>
        <v>20</v>
      </c>
    </row>
    <row r="30" customFormat="false" ht="15" hidden="false" customHeight="false" outlineLevel="0" collapsed="false">
      <c r="A30" s="0" t="s">
        <v>124</v>
      </c>
      <c r="B30" s="0" t="n">
        <f aca="false">SUM(C21:L21)</f>
        <v>130019.62355486</v>
      </c>
    </row>
    <row r="31" customFormat="false" ht="15" hidden="false" customHeight="false" outlineLevel="0" collapsed="false">
      <c r="A31" s="0" t="s">
        <v>125</v>
      </c>
      <c r="B31" s="0" t="n">
        <f aca="false">L19</f>
        <v>26913.5238694025</v>
      </c>
    </row>
    <row r="32" customFormat="false" ht="15" hidden="false" customHeight="false" outlineLevel="0" collapsed="false">
      <c r="A32" s="0" t="s">
        <v>126</v>
      </c>
      <c r="B32" s="0" t="n">
        <f aca="false">IF(B27&gt;B28,B31*(1+B28/100)/((B27-B28)/100),B31*B29)</f>
        <v>462015.49309141</v>
      </c>
    </row>
    <row r="33" customFormat="false" ht="15" hidden="false" customHeight="false" outlineLevel="0" collapsed="false">
      <c r="A33" s="0" t="s">
        <v>127</v>
      </c>
      <c r="B33" s="0" t="n">
        <f aca="false">B31*B29</f>
        <v>538270.47738805</v>
      </c>
    </row>
    <row r="34" customFormat="false" ht="15" hidden="false" customHeight="false" outlineLevel="0" collapsed="false">
      <c r="A34" s="0" t="s">
        <v>128</v>
      </c>
      <c r="B34" s="0" t="n">
        <f aca="false">MAX(0,MIN(B32,B33))</f>
        <v>462015.49309141</v>
      </c>
    </row>
    <row r="35" customFormat="false" ht="15" hidden="false" customHeight="false" outlineLevel="0" collapsed="false">
      <c r="A35" s="0" t="s">
        <v>129</v>
      </c>
      <c r="B35" s="0" t="n">
        <f aca="false">B34/(1+B27/100)^L4</f>
        <v>195160.337235052</v>
      </c>
    </row>
    <row r="36" customFormat="false" ht="15" hidden="false" customHeight="false" outlineLevel="0" collapsed="false">
      <c r="A36" s="0" t="s">
        <v>130</v>
      </c>
      <c r="B36" s="0" t="n">
        <f aca="false">B30+B35</f>
        <v>325179.960789912</v>
      </c>
    </row>
    <row r="37" customFormat="false" ht="15" hidden="false" customHeight="false" outlineLevel="0" collapsed="false">
      <c r="A37" s="0" t="s">
        <v>131</v>
      </c>
      <c r="B37" s="0" t="n">
        <f aca="false">B36+Assumptions!$B$5-Assumptions!$B$4</f>
        <v>339868.260789912</v>
      </c>
    </row>
    <row r="38" customFormat="false" ht="15" hidden="false" customHeight="false" outlineLevel="0" collapsed="false">
      <c r="A38" s="0" t="s">
        <v>132</v>
      </c>
      <c r="B38" s="0" t="n">
        <f aca="false">B37/Assumptions!$B$3*Assumptions!$B$10</f>
        <v>35.5023547571234</v>
      </c>
    </row>
    <row r="39" customFormat="false" ht="15" hidden="false" customHeight="false" outlineLevel="0" collapsed="false">
      <c r="A39" s="0" t="s">
        <v>133</v>
      </c>
      <c r="B39" s="4" t="n">
        <f aca="false">B38/Assumptions!$B$2-1</f>
        <v>-0.144933652285081</v>
      </c>
    </row>
    <row r="41" customFormat="false" ht="15" hidden="false" customHeight="false" outlineLevel="0" collapsed="false">
      <c r="A41" s="0" t="s">
        <v>134</v>
      </c>
      <c r="B41" s="0" t="n">
        <f aca="false">SUMPRODUCT(-C10:L10/(1+$B$27/100)^C4:L4)</f>
        <v>747.007508755364</v>
      </c>
    </row>
    <row r="42" customFormat="false" ht="15" hidden="false" customHeight="false" outlineLevel="0" collapsed="false">
      <c r="A42" s="0" t="s">
        <v>135</v>
      </c>
      <c r="B42" s="0" t="n">
        <f aca="false">IF(B27&gt;B28,-L10*(1+B28/100)/((B27-B28)/100),-L10*20)/(1+B27/100)^L4</f>
        <v>1058.79034129459</v>
      </c>
    </row>
    <row r="43" customFormat="false" ht="15" hidden="false" customHeight="false" outlineLevel="0" collapsed="false">
      <c r="A43" s="0" t="s">
        <v>136</v>
      </c>
      <c r="B43" s="0" t="n">
        <f aca="false">(B37+B41+B42)/Assumptions!$B$3*Assumptions!$B$10</f>
        <v>35.6909868928313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231007.746545705</v>
      </c>
    </row>
    <row r="47" customFormat="false" ht="15" hidden="false" customHeight="false" outlineLevel="0" collapsed="false">
      <c r="A47" s="0" t="s">
        <v>138</v>
      </c>
      <c r="B47" s="0" t="n">
        <f aca="false">(SUMPRODUCT(C19:L19/(1+B45/100)^C4:L4)+B46/(1+B45/100)^L4+Assumptions!$B$5-Assumptions!$B$4)/Assumptions!$B$3*Assumptions!$B$10</f>
        <v>17.7916870447961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16</v>
      </c>
      <c r="D5" s="4" t="n">
        <f aca="false">Assumptions!D41</f>
        <v>13</v>
      </c>
      <c r="E5" s="4" t="n">
        <f aca="false">Assumptions!E41</f>
        <v>11</v>
      </c>
      <c r="F5" s="4" t="n">
        <f aca="false">Assumptions!F41</f>
        <v>9</v>
      </c>
      <c r="G5" s="4" t="n">
        <f aca="false">Assumptions!G41</f>
        <v>8</v>
      </c>
      <c r="H5" s="4" t="n">
        <f aca="false">Assumptions!H41</f>
        <v>7</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38</v>
      </c>
      <c r="B6" s="3" t="n">
        <v>52552.9</v>
      </c>
      <c r="C6" s="0" t="n">
        <f aca="false">B6*(1+C5/100)</f>
        <v>60961.364</v>
      </c>
      <c r="D6" s="0" t="n">
        <f aca="false">C6*(1+D5/100)</f>
        <v>68886.34132</v>
      </c>
      <c r="E6" s="0" t="n">
        <f aca="false">D6*(1+E5/100)</f>
        <v>76463.8388652</v>
      </c>
      <c r="F6" s="0" t="n">
        <f aca="false">E6*(1+F5/100)</f>
        <v>83345.584363068</v>
      </c>
      <c r="G6" s="0" t="n">
        <f aca="false">F6*(1+G5/100)</f>
        <v>90013.2311121135</v>
      </c>
      <c r="H6" s="0" t="n">
        <f aca="false">G6*(1+H5/100)</f>
        <v>96314.1572899614</v>
      </c>
      <c r="I6" s="0" t="n">
        <f aca="false">H6*(1+I5/100)</f>
        <v>102093.006727359</v>
      </c>
      <c r="J6" s="0" t="n">
        <f aca="false">I6*(1+J5/100)</f>
        <v>107197.657063727</v>
      </c>
      <c r="K6" s="0" t="n">
        <f aca="false">J6*(1+K5/100)</f>
        <v>111485.563346276</v>
      </c>
      <c r="L6" s="0" t="n">
        <f aca="false">K6*(1+L5/100)</f>
        <v>115387.558063396</v>
      </c>
    </row>
    <row r="7" customFormat="false" ht="15" hidden="false" customHeight="false" outlineLevel="0" collapsed="false">
      <c r="A7" s="0" t="s">
        <v>95</v>
      </c>
      <c r="C7" s="4" t="n">
        <f aca="false">Assumptions!C42</f>
        <v>45.5</v>
      </c>
      <c r="D7" s="4" t="n">
        <f aca="false">Assumptions!D42</f>
        <v>46</v>
      </c>
      <c r="E7" s="4" t="n">
        <f aca="false">Assumptions!E42</f>
        <v>46.5</v>
      </c>
      <c r="F7" s="4" t="n">
        <f aca="false">Assumptions!F42</f>
        <v>47</v>
      </c>
      <c r="G7" s="4" t="n">
        <f aca="false">Assumptions!G42</f>
        <v>47</v>
      </c>
      <c r="H7" s="4" t="n">
        <f aca="false">Assumptions!H42</f>
        <v>47</v>
      </c>
      <c r="I7" s="4" t="n">
        <f aca="false">Assumptions!I42</f>
        <v>47</v>
      </c>
      <c r="J7" s="4" t="n">
        <f aca="false">Assumptions!J42</f>
        <v>47</v>
      </c>
      <c r="K7" s="4" t="n">
        <f aca="false">Assumptions!K42</f>
        <v>47</v>
      </c>
      <c r="L7" s="4" t="n">
        <f aca="false">Assumptions!L42</f>
        <v>47</v>
      </c>
    </row>
    <row r="8" customFormat="false" ht="15" hidden="false" customHeight="false" outlineLevel="0" collapsed="false">
      <c r="A8" s="0" t="s">
        <v>44</v>
      </c>
      <c r="C8" s="0" t="n">
        <f aca="false">C6*C7/100</f>
        <v>27737.42062</v>
      </c>
      <c r="D8" s="0" t="n">
        <f aca="false">D6*D7/100</f>
        <v>31687.7170072</v>
      </c>
      <c r="E8" s="0" t="n">
        <f aca="false">E6*E7/100</f>
        <v>35555.685072318</v>
      </c>
      <c r="F8" s="0" t="n">
        <f aca="false">F6*F7/100</f>
        <v>39172.424650642</v>
      </c>
      <c r="G8" s="0" t="n">
        <f aca="false">G6*G7/100</f>
        <v>42306.2186226933</v>
      </c>
      <c r="H8" s="0" t="n">
        <f aca="false">H6*H7/100</f>
        <v>45267.6539262819</v>
      </c>
      <c r="I8" s="0" t="n">
        <f aca="false">I6*I7/100</f>
        <v>47983.7131618588</v>
      </c>
      <c r="J8" s="0" t="n">
        <f aca="false">J6*J7/100</f>
        <v>50382.8988199517</v>
      </c>
      <c r="K8" s="0" t="n">
        <f aca="false">K6*K7/100</f>
        <v>52398.2147727498</v>
      </c>
      <c r="L8" s="0" t="n">
        <f aca="false">L6*L7/100</f>
        <v>54232.152289796</v>
      </c>
    </row>
    <row r="9" customFormat="false" ht="15" hidden="false" customHeight="false" outlineLevel="0" collapsed="false">
      <c r="A9" s="0" t="s">
        <v>96</v>
      </c>
      <c r="C9" s="4" t="n">
        <f aca="false">Assumptions!C43</f>
        <v>0.15</v>
      </c>
      <c r="D9" s="4" t="n">
        <f aca="false">Assumptions!D43</f>
        <v>0.15</v>
      </c>
      <c r="E9" s="4" t="n">
        <f aca="false">Assumptions!E43</f>
        <v>0.15</v>
      </c>
      <c r="F9" s="4" t="n">
        <f aca="false">Assumptions!F43</f>
        <v>0.15</v>
      </c>
      <c r="G9" s="4" t="n">
        <f aca="false">Assumptions!G43</f>
        <v>0.15</v>
      </c>
      <c r="H9" s="4" t="n">
        <f aca="false">Assumptions!H43</f>
        <v>0.15</v>
      </c>
      <c r="I9" s="4" t="n">
        <f aca="false">Assumptions!I43</f>
        <v>0.15</v>
      </c>
      <c r="J9" s="4" t="n">
        <f aca="false">Assumptions!J43</f>
        <v>0.15</v>
      </c>
      <c r="K9" s="4" t="n">
        <f aca="false">Assumptions!K43</f>
        <v>0.15</v>
      </c>
      <c r="L9" s="4" t="n">
        <f aca="false">Assumptions!L43</f>
        <v>0.15</v>
      </c>
    </row>
    <row r="10" customFormat="false" ht="15" hidden="false" customHeight="false" outlineLevel="0" collapsed="false">
      <c r="A10" s="0" t="s">
        <v>111</v>
      </c>
      <c r="C10" s="0" t="n">
        <f aca="false">-C6*C9/100</f>
        <v>-91.442046</v>
      </c>
      <c r="D10" s="0" t="n">
        <f aca="false">-D6*D9/100</f>
        <v>-103.32951198</v>
      </c>
      <c r="E10" s="0" t="n">
        <f aca="false">-E6*E9/100</f>
        <v>-114.6957582978</v>
      </c>
      <c r="F10" s="0" t="n">
        <f aca="false">-F6*F9/100</f>
        <v>-125.018376544602</v>
      </c>
      <c r="G10" s="0" t="n">
        <f aca="false">-G6*G9/100</f>
        <v>-135.01984666817</v>
      </c>
      <c r="H10" s="0" t="n">
        <f aca="false">-H6*H9/100</f>
        <v>-144.471235934942</v>
      </c>
      <c r="I10" s="0" t="n">
        <f aca="false">-I6*I9/100</f>
        <v>-153.139510091039</v>
      </c>
      <c r="J10" s="0" t="n">
        <f aca="false">-J6*J9/100</f>
        <v>-160.796485595591</v>
      </c>
      <c r="K10" s="0" t="n">
        <f aca="false">-K6*K9/100</f>
        <v>-167.228345019414</v>
      </c>
      <c r="L10" s="0" t="n">
        <f aca="false">-L6*L9/100</f>
        <v>-173.081337095094</v>
      </c>
    </row>
    <row r="11" customFormat="false" ht="15" hidden="false" customHeight="false" outlineLevel="0" collapsed="false">
      <c r="A11" s="0" t="s">
        <v>112</v>
      </c>
      <c r="C11" s="0" t="n">
        <f aca="false">C8+C10+C24</f>
        <v>27487.4790276</v>
      </c>
      <c r="D11" s="0" t="n">
        <f aca="false">D8+D10+D24</f>
        <v>31405.283007788</v>
      </c>
      <c r="E11" s="0" t="n">
        <f aca="false">E8+E10+E24</f>
        <v>35242.1833329707</v>
      </c>
      <c r="F11" s="0" t="n">
        <f aca="false">F8+F10+F24</f>
        <v>38830.7077547534</v>
      </c>
      <c r="G11" s="0" t="n">
        <f aca="false">G8+G10+G24</f>
        <v>41937.1643751337</v>
      </c>
      <c r="H11" s="0" t="n">
        <f aca="false">H8+H10+H24</f>
        <v>44872.765881393</v>
      </c>
      <c r="I11" s="0" t="n">
        <f aca="false">I8+I10+I24</f>
        <v>47565.1318342766</v>
      </c>
      <c r="J11" s="0" t="n">
        <f aca="false">J8+J10+J24</f>
        <v>49943.3884259904</v>
      </c>
      <c r="K11" s="0" t="n">
        <f aca="false">K8+K10+K24</f>
        <v>51941.1239630301</v>
      </c>
      <c r="L11" s="0" t="n">
        <f aca="false">L8+L10+L24</f>
        <v>53759.0633017361</v>
      </c>
    </row>
    <row r="12" customFormat="false" ht="15" hidden="false" customHeight="false" outlineLevel="0" collapsed="false">
      <c r="A12" s="0" t="s">
        <v>113</v>
      </c>
      <c r="C12" s="4" t="n">
        <f aca="false">-C6*Assumptions!C45/100</f>
        <v>-3779.604568</v>
      </c>
      <c r="D12" s="4" t="n">
        <f aca="false">-D6*Assumptions!D45/100</f>
        <v>-4408.72584448</v>
      </c>
      <c r="E12" s="4" t="n">
        <f aca="false">-E6*Assumptions!E45/100</f>
        <v>-5046.6133651032</v>
      </c>
      <c r="F12" s="4" t="n">
        <f aca="false">-F6*Assumptions!F45/100</f>
        <v>-5667.49973668862</v>
      </c>
      <c r="G12" s="4" t="n">
        <f aca="false">-G6*Assumptions!G45/100</f>
        <v>-6300.92617784794</v>
      </c>
      <c r="H12" s="4" t="n">
        <f aca="false">-H6*Assumptions!H45/100</f>
        <v>-6741.9910102973</v>
      </c>
      <c r="I12" s="4" t="n">
        <f aca="false">-I6*Assumptions!I45/100</f>
        <v>-7146.51047091514</v>
      </c>
      <c r="J12" s="4" t="n">
        <f aca="false">-J6*Assumptions!J45/100</f>
        <v>-7503.83599446089</v>
      </c>
      <c r="K12" s="4" t="n">
        <f aca="false">-K6*Assumptions!K45/100</f>
        <v>-7803.98943423933</v>
      </c>
      <c r="L12" s="4" t="n">
        <f aca="false">-L6*Assumptions!L45/100</f>
        <v>-8077.12906443771</v>
      </c>
    </row>
    <row r="13" customFormat="false" ht="15" hidden="false" customHeight="false" outlineLevel="0" collapsed="false">
      <c r="A13" s="0" t="s">
        <v>114</v>
      </c>
      <c r="C13" s="0" t="n">
        <f aca="false">C11+C12</f>
        <v>23707.8744596</v>
      </c>
      <c r="D13" s="0" t="n">
        <f aca="false">D11+D12</f>
        <v>26996.557163308</v>
      </c>
      <c r="E13" s="0" t="n">
        <f aca="false">E11+E12</f>
        <v>30195.5699678675</v>
      </c>
      <c r="F13" s="0" t="n">
        <f aca="false">F11+F12</f>
        <v>33163.2080180648</v>
      </c>
      <c r="G13" s="0" t="n">
        <f aca="false">G11+G12</f>
        <v>35636.2381972857</v>
      </c>
      <c r="H13" s="0" t="n">
        <f aca="false">H11+H12</f>
        <v>38130.7748710957</v>
      </c>
      <c r="I13" s="0" t="n">
        <f aca="false">I11+I12</f>
        <v>40418.6213633615</v>
      </c>
      <c r="J13" s="0" t="n">
        <f aca="false">J11+J12</f>
        <v>42439.5524315295</v>
      </c>
      <c r="K13" s="0" t="n">
        <f aca="false">K11+K12</f>
        <v>44137.1345287907</v>
      </c>
      <c r="L13" s="0" t="n">
        <f aca="false">L11+L12</f>
        <v>45681.9342372984</v>
      </c>
    </row>
    <row r="14" customFormat="false" ht="15" hidden="false" customHeight="false" outlineLevel="0" collapsed="false">
      <c r="A14" s="0" t="s">
        <v>100</v>
      </c>
      <c r="C14" s="4" t="n">
        <f aca="false">Assumptions!C47</f>
        <v>24.5</v>
      </c>
      <c r="D14" s="4" t="n">
        <f aca="false">Assumptions!D47</f>
        <v>24.5</v>
      </c>
      <c r="E14" s="4" t="n">
        <f aca="false">Assumptions!E47</f>
        <v>24.5</v>
      </c>
      <c r="F14" s="4" t="n">
        <f aca="false">Assumptions!F47</f>
        <v>24.5</v>
      </c>
      <c r="G14" s="4" t="n">
        <f aca="false">Assumptions!G47</f>
        <v>24.5</v>
      </c>
      <c r="H14" s="4" t="n">
        <f aca="false">Assumptions!H47</f>
        <v>24.5</v>
      </c>
      <c r="I14" s="4" t="n">
        <f aca="false">Assumptions!I47</f>
        <v>24.5</v>
      </c>
      <c r="J14" s="4" t="n">
        <f aca="false">Assumptions!J47</f>
        <v>24.5</v>
      </c>
      <c r="K14" s="4" t="n">
        <f aca="false">Assumptions!K47</f>
        <v>24.5</v>
      </c>
      <c r="L14" s="4" t="n">
        <f aca="false">Assumptions!L47</f>
        <v>24.5</v>
      </c>
    </row>
    <row r="15" customFormat="false" ht="15" hidden="false" customHeight="false" outlineLevel="0" collapsed="false">
      <c r="A15" s="0" t="s">
        <v>115</v>
      </c>
      <c r="C15" s="0" t="n">
        <f aca="false">C13-MAX(0,C13)*C14/100</f>
        <v>17899.445216998</v>
      </c>
      <c r="D15" s="0" t="n">
        <f aca="false">D13-MAX(0,D13)*D14/100</f>
        <v>20382.4006582975</v>
      </c>
      <c r="E15" s="0" t="n">
        <f aca="false">E13-MAX(0,E13)*E14/100</f>
        <v>22797.6553257399</v>
      </c>
      <c r="F15" s="0" t="n">
        <f aca="false">F13-MAX(0,F13)*F14/100</f>
        <v>25038.2220536389</v>
      </c>
      <c r="G15" s="0" t="n">
        <f aca="false">G13-MAX(0,G13)*G14/100</f>
        <v>26905.3598389507</v>
      </c>
      <c r="H15" s="0" t="n">
        <f aca="false">H13-MAX(0,H13)*H14/100</f>
        <v>28788.7350276773</v>
      </c>
      <c r="I15" s="0" t="n">
        <f aca="false">I13-MAX(0,I13)*I14/100</f>
        <v>30516.0591293379</v>
      </c>
      <c r="J15" s="0" t="n">
        <f aca="false">J13-MAX(0,J13)*J14/100</f>
        <v>32041.8620858048</v>
      </c>
      <c r="K15" s="0" t="n">
        <f aca="false">K13-MAX(0,K13)*K14/100</f>
        <v>33323.536569237</v>
      </c>
      <c r="L15" s="0" t="n">
        <f aca="false">L13-MAX(0,L13)*L14/100</f>
        <v>34489.8603491603</v>
      </c>
    </row>
    <row r="16" customFormat="false" ht="15" hidden="false" customHeight="false" outlineLevel="0" collapsed="false">
      <c r="A16" s="0" t="s">
        <v>116</v>
      </c>
      <c r="C16" s="0" t="n">
        <f aca="false">-C12</f>
        <v>3779.604568</v>
      </c>
      <c r="D16" s="0" t="n">
        <f aca="false">-D12</f>
        <v>4408.72584448</v>
      </c>
      <c r="E16" s="0" t="n">
        <f aca="false">-E12</f>
        <v>5046.6133651032</v>
      </c>
      <c r="F16" s="0" t="n">
        <f aca="false">-F12</f>
        <v>5667.49973668862</v>
      </c>
      <c r="G16" s="0" t="n">
        <f aca="false">-G12</f>
        <v>6300.92617784794</v>
      </c>
      <c r="H16" s="0" t="n">
        <f aca="false">-H12</f>
        <v>6741.9910102973</v>
      </c>
      <c r="I16" s="0" t="n">
        <f aca="false">-I12</f>
        <v>7146.51047091514</v>
      </c>
      <c r="J16" s="0" t="n">
        <f aca="false">-J12</f>
        <v>7503.83599446089</v>
      </c>
      <c r="K16" s="0" t="n">
        <f aca="false">-K12</f>
        <v>7803.98943423933</v>
      </c>
      <c r="L16" s="0" t="n">
        <f aca="false">-L12</f>
        <v>8077.12906443771</v>
      </c>
    </row>
    <row r="17" customFormat="false" ht="15" hidden="false" customHeight="false" outlineLevel="0" collapsed="false">
      <c r="A17" s="0" t="s">
        <v>117</v>
      </c>
      <c r="C17" s="4" t="n">
        <f aca="false">-C6*Assumptions!C46/100</f>
        <v>-7620.1705</v>
      </c>
      <c r="D17" s="4" t="n">
        <f aca="false">-D6*Assumptions!D46/100</f>
        <v>-7921.9292518</v>
      </c>
      <c r="E17" s="4" t="n">
        <f aca="false">-E6*Assumptions!E46/100</f>
        <v>-8028.703080846</v>
      </c>
      <c r="F17" s="4" t="n">
        <f aca="false">-F6*Assumptions!F46/100</f>
        <v>-7917.83051449146</v>
      </c>
      <c r="G17" s="4" t="n">
        <f aca="false">-G6*Assumptions!G46/100</f>
        <v>-8101.19080009021</v>
      </c>
      <c r="H17" s="4" t="n">
        <f aca="false">-H6*Assumptions!H46/100</f>
        <v>-8186.70336964672</v>
      </c>
      <c r="I17" s="4" t="n">
        <f aca="false">-I6*Assumptions!I46/100</f>
        <v>-8167.44053818873</v>
      </c>
      <c r="J17" s="4" t="n">
        <f aca="false">-J6*Assumptions!J46/100</f>
        <v>-8575.81256509816</v>
      </c>
      <c r="K17" s="4" t="n">
        <f aca="false">-K6*Assumptions!K46/100</f>
        <v>-8361.41725097071</v>
      </c>
      <c r="L17" s="4" t="n">
        <f aca="false">-L6*Assumptions!L46/100</f>
        <v>-8654.06685475469</v>
      </c>
    </row>
    <row r="18" customFormat="false" ht="15" hidden="false" customHeight="false" outlineLevel="0" collapsed="false">
      <c r="A18" s="0" t="s">
        <v>118</v>
      </c>
      <c r="C18" s="4" t="n">
        <f aca="false">(C6-B6)*Assumptions!$B$51/100</f>
        <v>672.677119999999</v>
      </c>
      <c r="D18" s="4" t="n">
        <f aca="false">(D6-C6)*Assumptions!$B$51/100</f>
        <v>633.9981856</v>
      </c>
      <c r="E18" s="4" t="n">
        <f aca="false">(E6-D6)*Assumptions!$B$51/100</f>
        <v>606.199803616001</v>
      </c>
      <c r="F18" s="4" t="n">
        <f aca="false">(F6-E6)*Assumptions!$B$51/100</f>
        <v>550.53963982944</v>
      </c>
      <c r="G18" s="4" t="n">
        <f aca="false">(G6-F6)*Assumptions!$B$51/100</f>
        <v>533.411739923636</v>
      </c>
      <c r="H18" s="4" t="n">
        <f aca="false">(H6-G6)*Assumptions!$B$51/100</f>
        <v>504.074094227835</v>
      </c>
      <c r="I18" s="4" t="n">
        <f aca="false">(I6-H6)*Assumptions!$B$51/100</f>
        <v>462.307954991815</v>
      </c>
      <c r="J18" s="4" t="n">
        <f aca="false">(J6-I6)*Assumptions!$B$51/100</f>
        <v>408.372026909437</v>
      </c>
      <c r="K18" s="4" t="n">
        <f aca="false">(K6-J6)*Assumptions!$B$51/100</f>
        <v>343.032502603927</v>
      </c>
      <c r="L18" s="4" t="n">
        <f aca="false">(L6-K6)*Assumptions!$B$51/100</f>
        <v>312.159577369572</v>
      </c>
    </row>
    <row r="19" customFormat="false" ht="15" hidden="false" customHeight="false" outlineLevel="0" collapsed="false">
      <c r="A19" s="0" t="s">
        <v>119</v>
      </c>
      <c r="C19" s="0" t="n">
        <f aca="false">C15+C16+C17+C18</f>
        <v>14731.556404998</v>
      </c>
      <c r="D19" s="0" t="n">
        <f aca="false">D15+D16+D17+D18</f>
        <v>17503.1954365775</v>
      </c>
      <c r="E19" s="0" t="n">
        <f aca="false">E15+E16+E17+E18</f>
        <v>20421.7654136131</v>
      </c>
      <c r="F19" s="0" t="n">
        <f aca="false">F15+F16+F17+F18</f>
        <v>23338.4309156655</v>
      </c>
      <c r="G19" s="0" t="n">
        <f aca="false">G15+G16+G17+G18</f>
        <v>25638.5069566321</v>
      </c>
      <c r="H19" s="0" t="n">
        <f aca="false">H15+H16+H17+H18</f>
        <v>27848.0967625557</v>
      </c>
      <c r="I19" s="0" t="n">
        <f aca="false">I15+I16+I17+I18</f>
        <v>29957.4370170561</v>
      </c>
      <c r="J19" s="0" t="n">
        <f aca="false">J15+J16+J17+J18</f>
        <v>31378.257542077</v>
      </c>
      <c r="K19" s="0" t="n">
        <f aca="false">K15+K16+K17+K18</f>
        <v>33109.1412551095</v>
      </c>
      <c r="L19" s="0" t="n">
        <f aca="false">L15+L16+L17+L18</f>
        <v>34225.0821362129</v>
      </c>
    </row>
    <row r="20" customFormat="false" ht="15" hidden="false" customHeight="false" outlineLevel="0" collapsed="false">
      <c r="A20" s="0" t="s">
        <v>120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121</v>
      </c>
      <c r="C21" s="0" t="n">
        <f aca="false">C19*C20</f>
        <v>13515.1893623835</v>
      </c>
      <c r="D21" s="0" t="n">
        <f aca="false">D19*D20</f>
        <v>14732.0894172019</v>
      </c>
      <c r="E21" s="0" t="n">
        <f aca="false">E19*E20</f>
        <v>15769.3498860745</v>
      </c>
      <c r="F21" s="0" t="n">
        <f aca="false">F19*F20</f>
        <v>16533.5328473608</v>
      </c>
      <c r="G21" s="0" t="n">
        <f aca="false">G19*G20</f>
        <v>16663.2703689437</v>
      </c>
      <c r="H21" s="0" t="n">
        <f aca="false">H19*H20</f>
        <v>16604.9102152828</v>
      </c>
      <c r="I21" s="0" t="n">
        <f aca="false">I19*I20</f>
        <v>16387.7439360665</v>
      </c>
      <c r="J21" s="0" t="n">
        <f aca="false">J19*J20</f>
        <v>15747.6893752561</v>
      </c>
      <c r="K21" s="0" t="n">
        <f aca="false">K19*K20</f>
        <v>15244.3683897816</v>
      </c>
      <c r="L21" s="0" t="n">
        <f aca="false">L19*L20</f>
        <v>14457.0445612289</v>
      </c>
    </row>
    <row r="23" customFormat="false" ht="15" hidden="false" customHeight="false" outlineLevel="0" collapsed="false">
      <c r="A23" s="0" t="s">
        <v>97</v>
      </c>
      <c r="C23" s="4" t="n">
        <f aca="false">Assumptions!C44</f>
        <v>0.26</v>
      </c>
      <c r="D23" s="4" t="n">
        <f aca="false">Assumptions!D44</f>
        <v>0.26</v>
      </c>
      <c r="E23" s="4" t="n">
        <f aca="false">Assumptions!E44</f>
        <v>0.26</v>
      </c>
      <c r="F23" s="4" t="n">
        <f aca="false">Assumptions!F44</f>
        <v>0.26</v>
      </c>
      <c r="G23" s="4" t="n">
        <f aca="false">Assumptions!G44</f>
        <v>0.26</v>
      </c>
      <c r="H23" s="4" t="n">
        <f aca="false">Assumptions!H44</f>
        <v>0.26</v>
      </c>
      <c r="I23" s="4" t="n">
        <f aca="false">Assumptions!I44</f>
        <v>0.26</v>
      </c>
      <c r="J23" s="4" t="n">
        <f aca="false">Assumptions!J44</f>
        <v>0.26</v>
      </c>
      <c r="K23" s="4" t="n">
        <f aca="false">Assumptions!K44</f>
        <v>0.26</v>
      </c>
      <c r="L23" s="4" t="n">
        <f aca="false">Assumptions!L44</f>
        <v>0.26</v>
      </c>
    </row>
    <row r="24" customFormat="false" ht="15" hidden="false" customHeight="false" outlineLevel="0" collapsed="false">
      <c r="A24" s="0" t="s">
        <v>122</v>
      </c>
      <c r="C24" s="0" t="n">
        <f aca="false">-C6*C23/100</f>
        <v>-158.4995464</v>
      </c>
      <c r="D24" s="0" t="n">
        <f aca="false">-D6*D23/100</f>
        <v>-179.104487432</v>
      </c>
      <c r="E24" s="0" t="n">
        <f aca="false">-E6*E23/100</f>
        <v>-198.80598104952</v>
      </c>
      <c r="F24" s="0" t="n">
        <f aca="false">-F6*F23/100</f>
        <v>-216.698519343977</v>
      </c>
      <c r="G24" s="0" t="n">
        <f aca="false">-G6*G23/100</f>
        <v>-234.034400891495</v>
      </c>
      <c r="H24" s="0" t="n">
        <f aca="false">-H6*H23/100</f>
        <v>-250.4168089539</v>
      </c>
      <c r="I24" s="0" t="n">
        <f aca="false">-I6*I23/100</f>
        <v>-265.441817491134</v>
      </c>
      <c r="J24" s="0" t="n">
        <f aca="false">-J6*J23/100</f>
        <v>-278.71390836569</v>
      </c>
      <c r="K24" s="0" t="n">
        <f aca="false">-K6*K23/100</f>
        <v>-289.862464700318</v>
      </c>
      <c r="L24" s="0" t="n">
        <f aca="false">-L6*L23/100</f>
        <v>-300.007650964829</v>
      </c>
    </row>
    <row r="26" customFormat="false" ht="15" hidden="false" customHeight="false" outlineLevel="0" collapsed="false">
      <c r="A26" s="2" t="s">
        <v>123</v>
      </c>
    </row>
    <row r="27" customFormat="false" ht="15" hidden="false" customHeight="false" outlineLevel="0" collapsed="false">
      <c r="A27" s="0" t="s">
        <v>101</v>
      </c>
      <c r="B27" s="4" t="n">
        <f aca="false">Assumptions!$B$48</f>
        <v>9</v>
      </c>
    </row>
    <row r="28" customFormat="false" ht="15" hidden="false" customHeight="false" outlineLevel="0" collapsed="false">
      <c r="A28" s="0" t="s">
        <v>102</v>
      </c>
      <c r="B28" s="4" t="n">
        <f aca="false">Assumptions!$B$49</f>
        <v>3.5</v>
      </c>
    </row>
    <row r="29" customFormat="false" ht="15" hidden="false" customHeight="false" outlineLevel="0" collapsed="false">
      <c r="A29" s="0" t="s">
        <v>103</v>
      </c>
      <c r="B29" s="4" t="n">
        <f aca="false">Assumptions!$B$50</f>
        <v>20</v>
      </c>
    </row>
    <row r="30" customFormat="false" ht="15" hidden="false" customHeight="false" outlineLevel="0" collapsed="false">
      <c r="A30" s="0" t="s">
        <v>124</v>
      </c>
      <c r="B30" s="0" t="n">
        <f aca="false">SUM(C21:L21)</f>
        <v>155655.18835958</v>
      </c>
    </row>
    <row r="31" customFormat="false" ht="15" hidden="false" customHeight="false" outlineLevel="0" collapsed="false">
      <c r="A31" s="0" t="s">
        <v>125</v>
      </c>
      <c r="B31" s="0" t="n">
        <f aca="false">L19</f>
        <v>34225.0821362129</v>
      </c>
    </row>
    <row r="32" customFormat="false" ht="15" hidden="false" customHeight="false" outlineLevel="0" collapsed="false">
      <c r="A32" s="0" t="s">
        <v>126</v>
      </c>
      <c r="B32" s="0" t="n">
        <f aca="false">IF(B27&gt;B28,B31*(1+B28/100)/((B27-B28)/100),B31*B29)</f>
        <v>644053.818381461</v>
      </c>
    </row>
    <row r="33" customFormat="false" ht="15" hidden="false" customHeight="false" outlineLevel="0" collapsed="false">
      <c r="A33" s="0" t="s">
        <v>127</v>
      </c>
      <c r="B33" s="0" t="n">
        <f aca="false">B31*B29</f>
        <v>684501.642724258</v>
      </c>
    </row>
    <row r="34" customFormat="false" ht="15" hidden="false" customHeight="false" outlineLevel="0" collapsed="false">
      <c r="A34" s="0" t="s">
        <v>128</v>
      </c>
      <c r="B34" s="0" t="n">
        <f aca="false">MAX(0,MIN(B32,B33))</f>
        <v>644053.818381461</v>
      </c>
    </row>
    <row r="35" customFormat="false" ht="15" hidden="false" customHeight="false" outlineLevel="0" collapsed="false">
      <c r="A35" s="0" t="s">
        <v>129</v>
      </c>
      <c r="B35" s="0" t="n">
        <f aca="false">B34/(1+B27/100)^L4</f>
        <v>272055.293106762</v>
      </c>
    </row>
    <row r="36" customFormat="false" ht="15" hidden="false" customHeight="false" outlineLevel="0" collapsed="false">
      <c r="A36" s="0" t="s">
        <v>130</v>
      </c>
      <c r="B36" s="0" t="n">
        <f aca="false">B30+B35</f>
        <v>427710.481466343</v>
      </c>
    </row>
    <row r="37" customFormat="false" ht="15" hidden="false" customHeight="false" outlineLevel="0" collapsed="false">
      <c r="A37" s="0" t="s">
        <v>131</v>
      </c>
      <c r="B37" s="0" t="n">
        <f aca="false">B36+Assumptions!$B$5-Assumptions!$B$4</f>
        <v>442398.781466343</v>
      </c>
    </row>
    <row r="38" customFormat="false" ht="15" hidden="false" customHeight="false" outlineLevel="0" collapsed="false">
      <c r="A38" s="0" t="s">
        <v>132</v>
      </c>
      <c r="B38" s="0" t="n">
        <f aca="false">B37/Assumptions!$B$3*Assumptions!$B$10</f>
        <v>46.2126073415426</v>
      </c>
    </row>
    <row r="39" customFormat="false" ht="15" hidden="false" customHeight="false" outlineLevel="0" collapsed="false">
      <c r="A39" s="0" t="s">
        <v>133</v>
      </c>
      <c r="B39" s="4" t="n">
        <f aca="false">B38/Assumptions!$B$2-1</f>
        <v>0.113020408033301</v>
      </c>
    </row>
    <row r="41" customFormat="false" ht="15" hidden="false" customHeight="false" outlineLevel="0" collapsed="false">
      <c r="A41" s="0" t="s">
        <v>134</v>
      </c>
      <c r="B41" s="0" t="n">
        <f aca="false">SUMPRODUCT(-C10:L10/(1+$B$27/100)^C4:L4)</f>
        <v>836.470514733678</v>
      </c>
    </row>
    <row r="42" customFormat="false" ht="15" hidden="false" customHeight="false" outlineLevel="0" collapsed="false">
      <c r="A42" s="0" t="s">
        <v>135</v>
      </c>
      <c r="B42" s="0" t="n">
        <f aca="false">IF(B27&gt;B28,-L10*(1+B28/100)/((B27-B28)/100),-L10*20)/(1+B27/100)^L4</f>
        <v>1375.82413118283</v>
      </c>
    </row>
    <row r="43" customFormat="false" ht="15" hidden="false" customHeight="false" outlineLevel="0" collapsed="false">
      <c r="A43" s="0" t="s">
        <v>136</v>
      </c>
      <c r="B43" s="0" t="n">
        <f aca="false">(B37+B41+B42)/Assumptions!$B$3*Assumptions!$B$10</f>
        <v>46.4437017931518</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308025.739225916</v>
      </c>
    </row>
    <row r="47" customFormat="false" ht="15" hidden="false" customHeight="false" outlineLevel="0" collapsed="false">
      <c r="A47" s="0" t="s">
        <v>138</v>
      </c>
      <c r="B47" s="0" t="n">
        <f aca="false">(SUMPRODUCT(C19:L19/(1+B45/100)^C4:L4)+B46/(1+B45/100)^L4+Assumptions!$B$5-Assumptions!$B$4)/Assumptions!$B$3*Assumptions!$B$10</f>
        <v>21.7088798582179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23.7856650554697</v>
      </c>
      <c r="C4" s="0" t="n">
        <f aca="false">B4/Assumptions!$B$2-1</f>
        <v>-0.427127527565758</v>
      </c>
      <c r="D4" s="4" t="n">
        <f aca="false">Assumptions!$B$24</f>
        <v>0.2</v>
      </c>
      <c r="E4" s="4" t="n">
        <f aca="false">DCF_Bear!$B$43</f>
        <v>23.9258474380481</v>
      </c>
      <c r="F4" s="4" t="n">
        <f aca="false">DCF_Bear!$B$47</f>
        <v>12.9648287133217</v>
      </c>
    </row>
    <row r="5" customFormat="false" ht="15" hidden="false" customHeight="false" outlineLevel="0" collapsed="false">
      <c r="A5" s="0" t="s">
        <v>147</v>
      </c>
      <c r="B5" s="4" t="n">
        <f aca="false">DCF_Base!$B$38</f>
        <v>35.5023547571234</v>
      </c>
      <c r="C5" s="0" t="n">
        <f aca="false">B5/Assumptions!$B$2-1</f>
        <v>-0.144933652285081</v>
      </c>
      <c r="D5" s="4" t="n">
        <f aca="false">Assumptions!$B$38</f>
        <v>0.5</v>
      </c>
      <c r="E5" s="4" t="n">
        <f aca="false">DCF_Base!$B$43</f>
        <v>35.6909868928313</v>
      </c>
      <c r="F5" s="4" t="n">
        <f aca="false">DCF_Base!$B$47</f>
        <v>17.7916870447961</v>
      </c>
    </row>
    <row r="6" customFormat="false" ht="15" hidden="false" customHeight="false" outlineLevel="0" collapsed="false">
      <c r="A6" s="0" t="s">
        <v>148</v>
      </c>
      <c r="B6" s="4" t="n">
        <f aca="false">DCF_Bull!$B$38</f>
        <v>46.2126073415426</v>
      </c>
      <c r="C6" s="0" t="n">
        <f aca="false">B6/Assumptions!$B$2-1</f>
        <v>0.113020408033301</v>
      </c>
      <c r="D6" s="4" t="n">
        <f aca="false">Assumptions!$B$52</f>
        <v>0.3</v>
      </c>
      <c r="E6" s="4" t="n">
        <f aca="false">DCF_Bull!$B$43</f>
        <v>46.4437017931518</v>
      </c>
      <c r="F6" s="4" t="n">
        <f aca="false">DCF_Bull!$B$47</f>
        <v>21.7088798582179</v>
      </c>
    </row>
    <row r="8" customFormat="false" ht="15" hidden="false" customHeight="false" outlineLevel="0" collapsed="false">
      <c r="A8" s="0" t="s">
        <v>149</v>
      </c>
      <c r="B8" s="0" t="n">
        <f aca="false">SUMPRODUCT(B4:B6,D4:D6)</f>
        <v>36.3720925921185</v>
      </c>
    </row>
    <row r="9" customFormat="false" ht="15" hidden="false" customHeight="false" outlineLevel="0" collapsed="false">
      <c r="A9" s="0" t="s">
        <v>150</v>
      </c>
      <c r="B9" s="0" t="n">
        <f aca="false">SUMPRODUCT(E4:E6,D4:D6)</f>
        <v>36.5637734719708</v>
      </c>
    </row>
    <row r="10" customFormat="false" ht="15" hidden="false" customHeight="false" outlineLevel="0" collapsed="false">
      <c r="A10" s="0" t="s">
        <v>151</v>
      </c>
      <c r="B10" s="0" t="n">
        <f aca="false">1-Assumptions!$B$2/B8</f>
        <v>-0.141534540385423</v>
      </c>
    </row>
    <row r="11" customFormat="false" ht="15" hidden="false" customHeight="false" outlineLevel="0" collapsed="false">
      <c r="A11" s="0" t="s">
        <v>152</v>
      </c>
      <c r="B11" s="0" t="str">
        <f aca="false">IF(ABS(B9-B8)&gt;0.01*ABS(B8),(Assumptions!$B$2-B8)/(B9-B8)*100,"n/a")</f>
        <v>n/a</v>
      </c>
    </row>
    <row r="12" customFormat="false" ht="15" hidden="false" customHeight="false" outlineLevel="0" collapsed="false">
      <c r="A12" s="0" t="s">
        <v>153</v>
      </c>
      <c r="B12" s="0" t="n">
        <f aca="false">SUMPRODUCT(F4:F6,D4:D6)</f>
        <v>18.0014732225278</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35.5023547571234</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30.4173307166585</v>
      </c>
      <c r="C16" s="3" t="n">
        <v>10</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26.6129872808555</v>
      </c>
      <c r="C17" s="3" t="n">
        <v>11</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23.6619143140855</v>
      </c>
      <c r="C18" s="3" t="n">
        <v>12</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17.7916870447961</v>
      </c>
      <c r="C19" s="3" t="n">
        <v>15</v>
      </c>
    </row>
    <row r="21" customFormat="false" ht="15" hidden="false" customHeight="false" outlineLevel="0" collapsed="false">
      <c r="A21" s="2" t="s">
        <v>161</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45.1439794265674</v>
      </c>
      <c r="C23" s="0" t="n">
        <f aca="false">(SUMPRODUCT(DCF_Base!$C$19:$L$19/(1+$A$23/100)^DCF_Base!$C$4:$L$4)+MAX(0,MIN(IF($A$23&gt;$C$22,DCF_Base!$L$19*(1+$C$22/100)/(($A$23-$C$22)/100),DCF_Base!$L$19*DCF_Base!$B$29),DCF_Base!$L$19*DCF_Base!$B$29))/(1+$A$23/100)^DCF_Base!$L$4+Assumptions!$B$5-Assumptions!$B$4)/Assumptions!$B$3*Assumptions!$B$10</f>
        <v>45.1439794265674</v>
      </c>
      <c r="D23" s="0" t="n">
        <f aca="false">(SUMPRODUCT(DCF_Base!$C$19:$L$19/(1+$A$23/100)^DCF_Base!$C$4:$L$4)+MAX(0,MIN(IF($A$23&gt;$D$22,DCF_Base!$L$19*(1+$D$22/100)/(($A$23-$D$22)/100),DCF_Base!$L$19*DCF_Base!$B$29),DCF_Base!$L$19*DCF_Base!$B$29))/(1+$A$23/100)^DCF_Base!$L$4+Assumptions!$B$5-Assumptions!$B$4)/Assumptions!$B$3*Assumptions!$B$10</f>
        <v>45.1439794265674</v>
      </c>
      <c r="E23" s="0" t="n">
        <f aca="false">(SUMPRODUCT(DCF_Base!$C$19:$L$19/(1+$A$23/100)^DCF_Base!$C$4:$L$4)+MAX(0,MIN(IF($A$23&gt;$E$22,DCF_Base!$L$19*(1+$E$22/100)/(($A$23-$E$22)/100),DCF_Base!$L$19*DCF_Base!$B$29),DCF_Base!$L$19*DCF_Base!$B$29))/(1+$A$23/100)^DCF_Base!$L$4+Assumptions!$B$5-Assumptions!$B$4)/Assumptions!$B$3*Assumptions!$B$10</f>
        <v>45.1439794265674</v>
      </c>
      <c r="F23" s="0" t="n">
        <f aca="false">(SUMPRODUCT(DCF_Base!$C$19:$L$19/(1+$A$23/100)^DCF_Base!$C$4:$L$4)+MAX(0,MIN(IF($A$23&gt;$F$22,DCF_Base!$L$19*(1+$F$22/100)/(($A$23-$F$22)/100),DCF_Base!$L$19*DCF_Base!$B$29),DCF_Base!$L$19*DCF_Base!$B$29))/(1+$A$23/100)^DCF_Base!$L$4+Assumptions!$B$5-Assumptions!$B$4)/Assumptions!$B$3*Assumptions!$B$10</f>
        <v>45.1439794265674</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37.9495335800578</v>
      </c>
      <c r="C24" s="0" t="n">
        <f aca="false">(SUMPRODUCT(DCF_Base!$C$19:$L$19/(1+$A$24/100)^DCF_Base!$C$4:$L$4)+MAX(0,MIN(IF($A$24&gt;$C$22,DCF_Base!$L$19*(1+$C$22/100)/(($A$24-$C$22)/100),DCF_Base!$L$19*DCF_Base!$B$29),DCF_Base!$L$19*DCF_Base!$B$29))/(1+$A$24/100)^DCF_Base!$L$4+Assumptions!$B$5-Assumptions!$B$4)/Assumptions!$B$3*Assumptions!$B$10</f>
        <v>40.0804154794233</v>
      </c>
      <c r="D24" s="0" t="n">
        <f aca="false">(SUMPRODUCT(DCF_Base!$C$19:$L$19/(1+$A$24/100)^DCF_Base!$C$4:$L$4)+MAX(0,MIN(IF($A$24&gt;$D$22,DCF_Base!$L$19*(1+$D$22/100)/(($A$24-$D$22)/100),DCF_Base!$L$19*DCF_Base!$B$29),DCF_Base!$L$19*DCF_Base!$B$29))/(1+$A$24/100)^DCF_Base!$L$4+Assumptions!$B$5-Assumptions!$B$4)/Assumptions!$B$3*Assumptions!$B$10</f>
        <v>41.8561503955613</v>
      </c>
      <c r="E24" s="0" t="n">
        <f aca="false">(SUMPRODUCT(DCF_Base!$C$19:$L$19/(1+$A$24/100)^DCF_Base!$C$4:$L$4)+MAX(0,MIN(IF($A$24&gt;$E$22,DCF_Base!$L$19*(1+$E$22/100)/(($A$24-$E$22)/100),DCF_Base!$L$19*DCF_Base!$B$29),DCF_Base!$L$19*DCF_Base!$B$29))/(1+$A$24/100)^DCF_Base!$L$4+Assumptions!$B$5-Assumptions!$B$4)/Assumptions!$B$3*Assumptions!$B$10</f>
        <v>41.8561503955613</v>
      </c>
      <c r="F24" s="0" t="n">
        <f aca="false">(SUMPRODUCT(DCF_Base!$C$19:$L$19/(1+$A$24/100)^DCF_Base!$C$4:$L$4)+MAX(0,MIN(IF($A$24&gt;$F$22,DCF_Base!$L$19*(1+$F$22/100)/(($A$24-$F$22)/100),DCF_Base!$L$19*DCF_Base!$B$29),DCF_Base!$L$19*DCF_Base!$B$29))/(1+$A$24/100)^DCF_Base!$L$4+Assumptions!$B$5-Assumptions!$B$4)/Assumptions!$B$3*Assumptions!$B$10</f>
        <v>41.8561503955613</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32.4203781118355</v>
      </c>
      <c r="C25" s="0" t="n">
        <f aca="false">(SUMPRODUCT(DCF_Base!$C$19:$L$19/(1+$A$25/100)^DCF_Base!$C$4:$L$4)+MAX(0,MIN(IF($A$25&gt;$C$22,DCF_Base!$L$19*(1+$C$22/100)/(($A$25-$C$22)/100),DCF_Base!$L$19*DCF_Base!$B$29),DCF_Base!$L$19*DCF_Base!$B$29))/(1+$A$25/100)^DCF_Base!$L$4+Assumptions!$B$5-Assumptions!$B$4)/Assumptions!$B$3*Assumptions!$B$10</f>
        <v>33.8428288711992</v>
      </c>
      <c r="D25" s="0" t="n">
        <f aca="false">(SUMPRODUCT(DCF_Base!$C$19:$L$19/(1+$A$25/100)^DCF_Base!$C$4:$L$4)+MAX(0,MIN(IF($A$25&gt;$D$22,DCF_Base!$L$19*(1+$D$22/100)/(($A$25-$D$22)/100),DCF_Base!$L$19*DCF_Base!$B$29),DCF_Base!$L$19*DCF_Base!$B$29))/(1+$A$25/100)^DCF_Base!$L$4+Assumptions!$B$5-Assumptions!$B$4)/Assumptions!$B$3*Assumptions!$B$10</f>
        <v>35.5023547571234</v>
      </c>
      <c r="E25" s="0" t="n">
        <f aca="false">(SUMPRODUCT(DCF_Base!$C$19:$L$19/(1+$A$25/100)^DCF_Base!$C$4:$L$4)+MAX(0,MIN(IF($A$25&gt;$E$22,DCF_Base!$L$19*(1+$E$22/100)/(($A$25-$E$22)/100),DCF_Base!$L$19*DCF_Base!$B$29),DCF_Base!$L$19*DCF_Base!$B$29))/(1+$A$25/100)^DCF_Base!$L$4+Assumptions!$B$5-Assumptions!$B$4)/Assumptions!$B$3*Assumptions!$B$10</f>
        <v>37.4636126223067</v>
      </c>
      <c r="F25" s="0" t="n">
        <f aca="false">(SUMPRODUCT(DCF_Base!$C$19:$L$19/(1+$A$25/100)^DCF_Base!$C$4:$L$4)+MAX(0,MIN(IF($A$25&gt;$F$22,DCF_Base!$L$19*(1+$F$22/100)/(($A$25-$F$22)/100),DCF_Base!$L$19*DCF_Base!$B$29),DCF_Base!$L$19*DCF_Base!$B$29))/(1+$A$25/100)^DCF_Base!$L$4+Assumptions!$B$5-Assumptions!$B$4)/Assumptions!$B$3*Assumptions!$B$10</f>
        <v>38.8670815533553</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28.2882362962707</v>
      </c>
      <c r="C26" s="0" t="n">
        <f aca="false">(SUMPRODUCT(DCF_Base!$C$19:$L$19/(1+$A$26/100)^DCF_Base!$C$4:$L$4)+MAX(0,MIN(IF($A$26&gt;$C$22,DCF_Base!$L$19*(1+$C$22/100)/(($A$26-$C$22)/100),DCF_Base!$L$19*DCF_Base!$B$29),DCF_Base!$L$19*DCF_Base!$B$29))/(1+$A$26/100)^DCF_Base!$L$4+Assumptions!$B$5-Assumptions!$B$4)/Assumptions!$B$3*Assumptions!$B$10</f>
        <v>29.2818136924516</v>
      </c>
      <c r="D26" s="0" t="n">
        <f aca="false">(SUMPRODUCT(DCF_Base!$C$19:$L$19/(1+$A$26/100)^DCF_Base!$C$4:$L$4)+MAX(0,MIN(IF($A$26&gt;$D$22,DCF_Base!$L$19*(1+$D$22/100)/(($A$26-$D$22)/100),DCF_Base!$L$19*DCF_Base!$B$29),DCF_Base!$L$19*DCF_Base!$B$29))/(1+$A$26/100)^DCF_Base!$L$4+Assumptions!$B$5-Assumptions!$B$4)/Assumptions!$B$3*Assumptions!$B$10</f>
        <v>30.4173307166585</v>
      </c>
      <c r="E26" s="0" t="n">
        <f aca="false">(SUMPRODUCT(DCF_Base!$C$19:$L$19/(1+$A$26/100)^DCF_Base!$C$4:$L$4)+MAX(0,MIN(IF($A$26&gt;$E$22,DCF_Base!$L$19*(1+$E$22/100)/(($A$26-$E$22)/100),DCF_Base!$L$19*DCF_Base!$B$29),DCF_Base!$L$19*DCF_Base!$B$29))/(1+$A$26/100)^DCF_Base!$L$4+Assumptions!$B$5-Assumptions!$B$4)/Assumptions!$B$3*Assumptions!$B$10</f>
        <v>31.7275426676663</v>
      </c>
      <c r="F26" s="0" t="n">
        <f aca="false">(SUMPRODUCT(DCF_Base!$C$19:$L$19/(1+$A$26/100)^DCF_Base!$C$4:$L$4)+MAX(0,MIN(IF($A$26&gt;$F$22,DCF_Base!$L$19*(1+$F$22/100)/(($A$26-$F$22)/100),DCF_Base!$L$19*DCF_Base!$B$29),DCF_Base!$L$19*DCF_Base!$B$29))/(1+$A$26/100)^DCF_Base!$L$4+Assumptions!$B$5-Assumptions!$B$4)/Assumptions!$B$3*Assumptions!$B$10</f>
        <v>33.2561232771755</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25.0865540585539</v>
      </c>
      <c r="C27" s="0" t="n">
        <f aca="false">(SUMPRODUCT(DCF_Base!$C$19:$L$19/(1+$A$27/100)^DCF_Base!$C$4:$L$4)+MAX(0,MIN(IF($A$27&gt;$C$22,DCF_Base!$L$19*(1+$C$22/100)/(($A$27-$C$22)/100),DCF_Base!$L$19*DCF_Base!$B$29),DCF_Base!$L$19*DCF_Base!$B$29))/(1+$A$27/100)^DCF_Base!$L$4+Assumptions!$B$5-Assumptions!$B$4)/Assumptions!$B$3*Assumptions!$B$10</f>
        <v>25.8048755749311</v>
      </c>
      <c r="D27" s="0" t="n">
        <f aca="false">(SUMPRODUCT(DCF_Base!$C$19:$L$19/(1+$A$27/100)^DCF_Base!$C$4:$L$4)+MAX(0,MIN(IF($A$27&gt;$D$22,DCF_Base!$L$19*(1+$D$22/100)/(($A$27-$D$22)/100),DCF_Base!$L$19*DCF_Base!$B$29),DCF_Base!$L$19*DCF_Base!$B$29))/(1+$A$27/100)^DCF_Base!$L$4+Assumptions!$B$5-Assumptions!$B$4)/Assumptions!$B$3*Assumptions!$B$10</f>
        <v>26.6129872808555</v>
      </c>
      <c r="E27" s="0" t="n">
        <f aca="false">(SUMPRODUCT(DCF_Base!$C$19:$L$19/(1+$A$27/100)^DCF_Base!$C$4:$L$4)+MAX(0,MIN(IF($A$27&gt;$E$22,DCF_Base!$L$19*(1+$E$22/100)/(($A$27-$E$22)/100),DCF_Base!$L$19*DCF_Base!$B$29),DCF_Base!$L$19*DCF_Base!$B$29))/(1+$A$27/100)^DCF_Base!$L$4+Assumptions!$B$5-Assumptions!$B$4)/Assumptions!$B$3*Assumptions!$B$10</f>
        <v>27.5288472142365</v>
      </c>
      <c r="F27" s="0" t="n">
        <f aca="false">(SUMPRODUCT(DCF_Base!$C$19:$L$19/(1+$A$27/100)^DCF_Base!$C$4:$L$4)+MAX(0,MIN(IF($A$27&gt;$F$22,DCF_Base!$L$19*(1+$F$22/100)/(($A$27-$F$22)/100),DCF_Base!$L$19*DCF_Base!$B$29),DCF_Base!$L$19*DCF_Base!$B$29))/(1+$A$27/100)^DCF_Base!$L$4+Assumptions!$B$5-Assumptions!$B$4)/Assumptions!$B$3*Assumptions!$B$10</f>
        <v>28.5755442809576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2026-10-23T18:27:49Z</dcterms:created>
  <dc:creator>openpyxl</dc:creator>
  <dc:description/>
  <dc:language>en-NZ</dc:language>
  <cp:lastModifiedBy/>
  <dcterms:modified xsi:type="dcterms:W3CDTF">2026-10-23T18:27:49Z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