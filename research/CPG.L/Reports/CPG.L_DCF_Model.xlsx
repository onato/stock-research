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<sst xmlns="http://schemas.openxmlformats.org/spreadsheetml/2006/main" count="358" uniqueCount="171">
  <si>
    <t xml:space="preserve">Ticker</t>
  </si>
  <si>
    <t xml:space="preserve">CPG.L</t>
  </si>
  <si>
    <t xml:space="preserve">Company</t>
  </si>
  <si>
    <t xml:space="preserve">Compass Group PLC</t>
  </si>
  <si>
    <t xml:space="preserve">Valuation date</t>
  </si>
  <si>
    <t xml:space="preserve">2026-10-10</t>
  </si>
  <si>
    <t xml:space="preserve">Current price</t>
  </si>
  <si>
    <t xml:space="preserve">Price as of</t>
  </si>
  <si>
    <t xml:space="preserve">2026-10-09T15:35:17Z regular session (LSE), USD quote</t>
  </si>
  <si>
    <t xml:space="preserve">Balance sheet date</t>
  </si>
  <si>
    <t xml:space="preserve">2026-03-31</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</si>
  <si>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</si>
  <si>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</si>
  <si>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</si>
  <si>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</si>
  <si>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</si>
  <si>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</si>
  <si>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</si>
  <si>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</si>
  <si>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</si>
  <si>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</si>
  <si>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2026-10-09T22:45:38Z</t>
  </si>
  <si>
    <t xml:space="preserve">Drivers file</t>
  </si>
  <si>
    <t xml:space="preserve">CPG.L_Drivers.json</t>
  </si>
  <si>
    <t xml:space="preserve">Convention</t>
  </si>
  <si>
    <t xml:space="preserve">Percents stored as percents; formulas divide by 100. Blue = input, green = link, black = formula.</t>
  </si>
  <si>
    <t xml:space="preserve">Methodology</t>
  </si>
  <si>
    <t xml:space="preserve">summary: Value Compass on unlevered owner FCF with SBC expensed (immaterial at 0.18% of revenue), the full lease payment charged as an operating cost (leases therefore out of net debt), NCI deducted once in the bridge, and a USD WACC against USD flows and a USD quote. The thesis is a long-duration compounder: ~96% retention and 4-5% net new business make revenue highly visible, so the valuation is sensitive to the discount rate and terminal multiple rather than to any single year. The 20x FCF terminal cap binds in base and bull, so the model is deliberately not paying for multiple expansion beyond today's ~25x owner-FCF market multiple.
key_risks_to_valuation: Terminal value dominates (&gt;60% of EV): a 50bp move in WACC or terminal growth moves value by roughly 10%; Leverage 1.7x net debt/EBITDA post-Vermaat (policy 1.0-1.5x); net debt of $8.6bn incl. leases rises further if M&amp;A continues at the FY2026 pace of $2.4bn YTD; Operating margin of ~7.4% means a 50bp labour/food-cost miss is ~7% of profit; North America is 68% of revenue: US recession, return-to-office stall or healthcare/education funding cuts hit the largest sectors; Capex guided 'slightly elevated' at ~3.5% of sales on client mobilisations; if that is the new normal rather than timing, owner FCF is ~$100m/yr lower than base; Currency: USD reporting and USD quote since April 2026 remove the share-price FX noise, but sterling-based holders carry GBPUSD translation on both price and dividends</t>
  </si>
  <si>
    <t xml:space="preserve">Data sources</t>
  </si>
  <si>
    <t xml:space="preserve">price: Yahoo Finance chart API (CPG.L, LSE, USD quote since 1 April 2026) at inputs.price_as_of; 52-week range 26.00-35.23
financials: CPG.L_Metrics.csv / core_metrics (FY2019-FY2025 annual, H1 FY2025, H1 FY2026); FY2025 Annual Report (cash flow, operating costs note, net debt, NCI); H1 FY2026 interim (components of net debt at 31 Mar 2026, diluted shares, ROU depreciation); Q3 FY2026 trading update (guidance)
qualitative: CPG.L_Analysis.json (2026-10-10): business model, moat, guidance table, bull/bear cases</t>
  </si>
  <si>
    <t xml:space="preserve">Scenario narrative: bear</t>
  </si>
  <si>
    <t xml:space="preserve">Macro slowdown in the US (68% of revenue) and corporate occupancy weakness compress volumes; re-tendering pressure from Sodexo/Aramark and in-house reversals pull net new business below 4%; wage and food inflation outpace indexation; Vermaat integration and higher interest on $8.6bn of debt absorb cash. Growth 5% fading to 2.5%, margin back to ~7% operating, capex stuck at 3.5%, terminal growth 2.0% and a 16x exit cap.</t>
  </si>
  <si>
    <t xml:space="preserve">Scenario narrative: base</t>
  </si>
  <si>
    <t xml:space="preserve">Compass compounds as the scale leader in a ~$360bn, 75%-self-operated market: organic growth of 6-7% in the near years (net new business 4-5%, pricing ~2-3%, like-for-like volume ~1%) fading to 3%, operating margin progressing ~10bps/yr from 7.4% to ~8% by FY2032, capex normalising from the 3.5% mobilisation peak to 3.2%, cash tax 24%, leases charged as an operating cost at 0.8% of revenue, net debt from the 31 Mar 2026 balance sheet after Vermaat. Terminal growth 2.75% at a 7.75% USD WACC with the 20x FCF cap binding.</t>
  </si>
  <si>
    <t xml:space="preserve">Scenario narrative: bull</t>
  </si>
  <si>
    <t xml:space="preserve">First-time outsourcing accelerates (half of wins already), AI hyperscaler/data-centre, defence and Sports &amp; Leisure niches add a point of growth, the European platform (Vermaat, Dupont, 4Service, Pro Care) delivers North America-style M&amp;A returns and procurement/overhead leverage carries the operating margin to ~8.5%. Growth 9% fading to 3.5%, EBITDA margin to 11.8%, terminal growth 3.0%.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</si>
  <si>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</si>
  <si>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</si>
  <si>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</si>
  <si>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</si>
  <si>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</si>
  <si>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</si>
  <si>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</si>
  <si>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</si>
  <si>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</si>
  <si>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</si>
  <si>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</si>
  <si>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</si>
  <si>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</si>
  <si>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</si>
  <si>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</si>
  <si>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</si>
  <si>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</si>
  <si>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</si>
  <si>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</si>
  <si>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</si>
  <si>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</si>
  <si>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</si>
  <si>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</si>
  <si>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</si>
  <si>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</si>
  <si>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</si>
  <si>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</si>
  <si>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CustomerRetentionRate</t>
  </si>
  <si>
    <t xml:space="preserve">LeasePrincipalPaid</t>
  </si>
  <si>
    <t xml:space="preserve">NetProfitAttributable</t>
  </si>
  <si>
    <t xml:space="preserve">OrganicRevenueGrowth</t>
  </si>
  <si>
    <t xml:space="preserve">ShareAwardSettlement</t>
  </si>
  <si>
    <t xml:space="preserve">UnderlyingEBIT</t>
  </si>
  <si>
    <t xml:space="preserve">UnderlyingOperatingMargin</t>
  </si>
  <si>
    <t xml:space="preserve">FY2019</t>
  </si>
  <si>
    <t xml:space="preserve">GBP</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</si>
  <si>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</si>
  <si>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</si>
  <si>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</si>
  <si>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</si>
  <si>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</si>
  <si>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</si>
  <si>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</si>
  <si>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</si>
  <si>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</si>
  <si>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</si>
  <si>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</si>
  <si>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</si>
  <si>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</si>
  <si>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</si>
  <si>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</si>
  <si>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</si>
  <si>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</si>
  <si>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</si>
  <si>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</si>
  <si>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</si>
  <si>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</si>
  <si>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</si>
  <si>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</si>
  <si>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</si>
  <si>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</si>
  <si>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</si>
  <si>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</si>
  <si>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</si>
  <si>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</si>
  <si>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</si>
  <si>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</si>
  <si>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</si>
  <si>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</si>
  <si>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</si>
  <si>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</si>
  <si>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</si>
  <si>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</si>
  <si>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</si>
  <si>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</si>
  <si>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</si>
  <si>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</si>
  <si>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</si>
  <si>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</si>
  <si>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</si>
  <si>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CPG.L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</si>
  <si>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</si>
  <si>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</si>
  <si>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</si>
  <si>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</si>
  <si>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</si>
  <si>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</si>
  <si>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</si>
  <si>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</si>
  <si>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</si>
  <si>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</si>
  <si>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</si>
  <si>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</si>
  <si>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</si>
  <si>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</si>
  <si>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</si>
  <si>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</si>
  <si>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</si>
  <si>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</si>
  <si>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</si>
  <si>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</si>
  <si>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</si>
  <si>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</si>
  <si>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</si>
  <si>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</si>
  <si>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</si>
  <si>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</si>
  <si>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</si>
  <si>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</si>
  <si>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</si>
  <si>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</si>
  <si>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CPG.L owner-FCF component DCF: base case (millions, USD)</t>
  </si>
  <si>
    <t xml:space="preserve">CPG.L owner-FCF component DCF: bull case (millions, USD)</t>
  </si>
  <si>
    <t xml:space="preserve">CPG.L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</si>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</sst>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31.2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row>
    <row r="2" customFormat="false" ht="15" hidden="false" customHeight="false" outlineLevel="0" collapsed="false">
      <c r="A2" s="0" t="s">
        <v>70</v>
      </c>
      <c r="B2" s="0" t="n">
        <v>24878</v>
      </c>
      <c r="F2" s="0" t="n">
        <v>1626</v>
      </c>
      <c r="G2" s="0" t="n">
        <v>6.5</v>
      </c>
      <c r="I2" s="0" t="n">
        <v>1143</v>
      </c>
      <c r="J2" s="0" t="n">
        <v>4.6</v>
      </c>
      <c r="K2" s="0" t="n">
        <v>0.715</v>
      </c>
      <c r="L2" s="0" t="n">
        <v>1952</v>
      </c>
      <c r="M2" s="0" t="n">
        <v>823</v>
      </c>
      <c r="N2" s="0" t="n">
        <v>1129</v>
      </c>
      <c r="O2" s="0" t="n">
        <v>3387</v>
      </c>
      <c r="P2" s="0" t="n">
        <v>13335</v>
      </c>
      <c r="Q2" s="0" t="n">
        <v>9948</v>
      </c>
      <c r="R2" s="0" t="n">
        <v>3865</v>
      </c>
      <c r="S2" s="0" t="n">
        <v>398</v>
      </c>
      <c r="T2" s="0" t="n">
        <v>1587</v>
      </c>
      <c r="U2" s="0" t="n">
        <v>27</v>
      </c>
      <c r="AA2" s="0" t="s">
        <v>17</v>
      </c>
      <c r="AB2" s="0" t="s">
        <v>71</v>
      </c>
      <c r="AE2" s="0" t="n">
        <v>1135</v>
      </c>
      <c r="AG2" s="0" t="n">
        <v>4</v>
      </c>
      <c r="AH2" s="0" t="n">
        <v>1882</v>
      </c>
    </row>
    <row r="3" customFormat="false" ht="15" hidden="false" customHeight="false" outlineLevel="0" collapsed="false">
      <c r="A3" s="0" t="s">
        <v>72</v>
      </c>
      <c r="B3" s="0" t="n">
        <v>19940</v>
      </c>
      <c r="F3" s="0" t="n">
        <v>294</v>
      </c>
      <c r="G3" s="0" t="n">
        <v>1.5</v>
      </c>
      <c r="H3" s="0" t="n">
        <v>1418</v>
      </c>
      <c r="I3" s="0" t="n">
        <v>135</v>
      </c>
      <c r="J3" s="0" t="n">
        <v>0.7</v>
      </c>
      <c r="K3" s="0" t="n">
        <v>0.08</v>
      </c>
      <c r="L3" s="0" t="n">
        <v>845</v>
      </c>
      <c r="M3" s="0" t="n">
        <v>709</v>
      </c>
      <c r="N3" s="0" t="n">
        <v>136</v>
      </c>
      <c r="O3" s="0" t="n">
        <v>4813</v>
      </c>
      <c r="P3" s="0" t="n">
        <v>14734</v>
      </c>
      <c r="Q3" s="0" t="n">
        <v>9921</v>
      </c>
      <c r="R3" s="0" t="n">
        <v>3779</v>
      </c>
      <c r="S3" s="0" t="n">
        <v>1484</v>
      </c>
      <c r="T3" s="0" t="n">
        <v>1659</v>
      </c>
      <c r="U3" s="0" t="n">
        <v>-2</v>
      </c>
      <c r="AA3" s="0" t="s">
        <v>17</v>
      </c>
      <c r="AB3" s="0" t="s">
        <v>71</v>
      </c>
      <c r="AD3" s="0" t="n">
        <v>152</v>
      </c>
      <c r="AE3" s="0" t="n">
        <v>133</v>
      </c>
      <c r="AG3" s="0" t="n">
        <v>1</v>
      </c>
      <c r="AH3" s="0" t="n">
        <v>561</v>
      </c>
    </row>
    <row r="4" customFormat="false" ht="15" hidden="false" customHeight="false" outlineLevel="0" collapsed="false">
      <c r="A4" s="0" t="s">
        <v>73</v>
      </c>
      <c r="B4" s="0" t="n">
        <v>17908</v>
      </c>
      <c r="F4" s="0" t="n">
        <v>545</v>
      </c>
      <c r="G4" s="0" t="n">
        <v>3</v>
      </c>
      <c r="H4" s="0" t="n">
        <v>1554</v>
      </c>
      <c r="I4" s="0" t="n">
        <v>357</v>
      </c>
      <c r="J4" s="0" t="n">
        <v>2</v>
      </c>
      <c r="K4" s="0" t="n">
        <v>0.2</v>
      </c>
      <c r="L4" s="0" t="n">
        <v>1171</v>
      </c>
      <c r="M4" s="0" t="n">
        <v>614</v>
      </c>
      <c r="N4" s="0" t="n">
        <v>557</v>
      </c>
      <c r="O4" s="0" t="n">
        <v>4919</v>
      </c>
      <c r="P4" s="0" t="n">
        <v>14868</v>
      </c>
      <c r="Q4" s="0" t="n">
        <v>9949</v>
      </c>
      <c r="R4" s="0" t="n">
        <v>3635</v>
      </c>
      <c r="S4" s="0" t="n">
        <v>1840</v>
      </c>
      <c r="T4" s="0" t="n">
        <v>1785</v>
      </c>
      <c r="U4" s="0" t="n">
        <v>20</v>
      </c>
      <c r="AA4" s="0" t="s">
        <v>17</v>
      </c>
      <c r="AB4" s="0" t="s">
        <v>71</v>
      </c>
      <c r="AD4" s="0" t="n">
        <v>153</v>
      </c>
      <c r="AE4" s="0" t="n">
        <v>357</v>
      </c>
      <c r="AG4" s="0" t="n">
        <v>3</v>
      </c>
      <c r="AH4" s="0" t="n">
        <v>811</v>
      </c>
    </row>
    <row r="5" customFormat="false" ht="15" hidden="false" customHeight="false" outlineLevel="0" collapsed="false">
      <c r="A5" s="0" t="s">
        <v>74</v>
      </c>
      <c r="B5" s="0" t="n">
        <v>25512</v>
      </c>
      <c r="F5" s="0" t="n">
        <v>1500</v>
      </c>
      <c r="G5" s="0" t="n">
        <v>5.9</v>
      </c>
      <c r="H5" s="0" t="n">
        <v>2371</v>
      </c>
      <c r="I5" s="0" t="n">
        <v>1117</v>
      </c>
      <c r="J5" s="0" t="n">
        <v>4.4</v>
      </c>
      <c r="K5" s="0" t="n">
        <v>0.626</v>
      </c>
      <c r="L5" s="0" t="n">
        <v>1596</v>
      </c>
      <c r="M5" s="0" t="n">
        <v>677</v>
      </c>
      <c r="N5" s="0" t="n">
        <v>919</v>
      </c>
      <c r="O5" s="0" t="n">
        <v>5905</v>
      </c>
      <c r="P5" s="0" t="n">
        <v>18748</v>
      </c>
      <c r="Q5" s="0" t="n">
        <v>12843</v>
      </c>
      <c r="R5" s="0" t="n">
        <v>3964</v>
      </c>
      <c r="S5" s="0" t="n">
        <v>1983</v>
      </c>
      <c r="T5" s="0" t="n">
        <v>1779</v>
      </c>
      <c r="U5" s="0" t="n">
        <v>34</v>
      </c>
      <c r="AA5" s="0" t="s">
        <v>17</v>
      </c>
      <c r="AB5" s="0" t="s">
        <v>71</v>
      </c>
      <c r="AD5" s="0" t="n">
        <v>152</v>
      </c>
      <c r="AE5" s="0" t="n">
        <v>1113</v>
      </c>
      <c r="AG5" s="0" t="n">
        <v>6</v>
      </c>
      <c r="AH5" s="0" t="n">
        <v>1590</v>
      </c>
    </row>
    <row r="6" customFormat="false" ht="15" hidden="false" customHeight="false" outlineLevel="0" collapsed="false">
      <c r="A6" s="0" t="s">
        <v>75</v>
      </c>
      <c r="B6" s="0" t="n">
        <v>37907</v>
      </c>
      <c r="F6" s="0" t="n">
        <v>2313</v>
      </c>
      <c r="G6" s="0" t="n">
        <v>6.1</v>
      </c>
      <c r="H6" s="0" t="n">
        <v>3620</v>
      </c>
      <c r="I6" s="0" t="n">
        <v>1612</v>
      </c>
      <c r="J6" s="0" t="n">
        <v>4.3</v>
      </c>
      <c r="K6" s="0" t="n">
        <v>0.921</v>
      </c>
      <c r="L6" s="0" t="n">
        <v>2536</v>
      </c>
      <c r="M6" s="0" t="n">
        <v>1088</v>
      </c>
      <c r="N6" s="0" t="n">
        <v>1448</v>
      </c>
      <c r="O6" s="0" t="n">
        <v>6300</v>
      </c>
      <c r="P6" s="0" t="n">
        <v>21483</v>
      </c>
      <c r="Q6" s="0" t="n">
        <v>15183</v>
      </c>
      <c r="R6" s="0" t="n">
        <v>4114</v>
      </c>
      <c r="S6" s="0" t="n">
        <v>1029</v>
      </c>
      <c r="T6" s="0" t="n">
        <v>1745</v>
      </c>
      <c r="U6" s="0" t="n">
        <v>54</v>
      </c>
      <c r="AA6" s="0" t="s">
        <v>17</v>
      </c>
      <c r="AB6" s="0" t="s">
        <v>14</v>
      </c>
      <c r="AD6" s="0" t="n">
        <v>215</v>
      </c>
      <c r="AE6" s="0" t="n">
        <v>1607</v>
      </c>
      <c r="AG6" s="0" t="n">
        <v>19</v>
      </c>
      <c r="AH6" s="0" t="n">
        <v>2592</v>
      </c>
    </row>
    <row r="7" customFormat="false" ht="15" hidden="false" customHeight="false" outlineLevel="0" collapsed="false">
      <c r="A7" s="0" t="s">
        <v>76</v>
      </c>
      <c r="B7" s="0" t="n">
        <v>42002</v>
      </c>
      <c r="F7" s="0" t="n">
        <v>2584</v>
      </c>
      <c r="G7" s="0" t="n">
        <v>6.2</v>
      </c>
      <c r="H7" s="0" t="n">
        <v>4145</v>
      </c>
      <c r="I7" s="0" t="n">
        <v>1414</v>
      </c>
      <c r="J7" s="0" t="n">
        <v>3.4</v>
      </c>
      <c r="K7" s="0" t="n">
        <v>0.822</v>
      </c>
      <c r="L7" s="0" t="n">
        <v>3135</v>
      </c>
      <c r="M7" s="0" t="n">
        <v>1409</v>
      </c>
      <c r="N7" s="0" t="n">
        <v>1726</v>
      </c>
      <c r="O7" s="0" t="n">
        <v>6906</v>
      </c>
      <c r="P7" s="0" t="n">
        <v>24349</v>
      </c>
      <c r="Q7" s="0" t="n">
        <v>17443</v>
      </c>
      <c r="R7" s="0" t="n">
        <v>4596</v>
      </c>
      <c r="S7" s="0" t="n">
        <v>623</v>
      </c>
      <c r="T7" s="0" t="n">
        <v>1707</v>
      </c>
      <c r="U7" s="0" t="n">
        <v>68</v>
      </c>
      <c r="AA7" s="0" t="s">
        <v>17</v>
      </c>
      <c r="AB7" s="0" t="s">
        <v>14</v>
      </c>
      <c r="AD7" s="0" t="n">
        <v>227</v>
      </c>
      <c r="AE7" s="0" t="n">
        <v>1404</v>
      </c>
      <c r="AG7" s="0" t="n">
        <v>0</v>
      </c>
      <c r="AH7" s="0" t="n">
        <v>2998</v>
      </c>
      <c r="AI7" s="0" t="n">
        <v>7.1</v>
      </c>
    </row>
    <row r="8" customFormat="false" ht="15" hidden="false" customHeight="false" outlineLevel="0" collapsed="false">
      <c r="A8" s="0" t="s">
        <v>77</v>
      </c>
      <c r="B8" s="0" t="n">
        <v>46070</v>
      </c>
      <c r="F8" s="0" t="n">
        <v>2964</v>
      </c>
      <c r="G8" s="0" t="n">
        <v>6.4</v>
      </c>
      <c r="H8" s="0" t="n">
        <v>4645</v>
      </c>
      <c r="I8" s="0" t="n">
        <v>1880</v>
      </c>
      <c r="J8" s="0" t="n">
        <v>4.1</v>
      </c>
      <c r="K8" s="0" t="n">
        <v>1.099</v>
      </c>
      <c r="L8" s="0" t="n">
        <v>3366</v>
      </c>
      <c r="M8" s="0" t="n">
        <v>1384</v>
      </c>
      <c r="N8" s="0" t="n">
        <v>1982</v>
      </c>
      <c r="O8" s="0" t="n">
        <v>7760</v>
      </c>
      <c r="P8" s="0" t="n">
        <v>26715</v>
      </c>
      <c r="Q8" s="0" t="n">
        <v>18955</v>
      </c>
      <c r="R8" s="0" t="n">
        <v>5426</v>
      </c>
      <c r="S8" s="0" t="n">
        <v>575</v>
      </c>
      <c r="T8" s="0" t="n">
        <v>1699</v>
      </c>
      <c r="U8" s="0" t="n">
        <v>82</v>
      </c>
      <c r="AA8" s="0" t="s">
        <v>17</v>
      </c>
      <c r="AB8" s="0" t="s">
        <v>14</v>
      </c>
      <c r="AC8" s="0" t="n">
        <v>96.3</v>
      </c>
      <c r="AD8" s="0" t="n">
        <v>265</v>
      </c>
      <c r="AE8" s="0" t="n">
        <v>1868</v>
      </c>
      <c r="AF8" s="0" t="n">
        <v>8.7</v>
      </c>
      <c r="AH8" s="0" t="n">
        <v>3335</v>
      </c>
      <c r="AI8" s="0" t="n">
        <v>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78</v>
      </c>
      <c r="B1" s="2" t="s">
        <v>79</v>
      </c>
    </row>
    <row r="2" customFormat="false" ht="15" hidden="false" customHeight="false" outlineLevel="0" collapsed="false">
      <c r="A2" s="0" t="s">
        <v>80</v>
      </c>
      <c r="B2" s="3" t="n">
        <v>31.2</v>
      </c>
    </row>
    <row r="3" customFormat="false" ht="15" hidden="false" customHeight="false" outlineLevel="0" collapsed="false">
      <c r="A3" s="0" t="s">
        <v>81</v>
      </c>
      <c r="B3" s="3" t="n">
        <v>1699</v>
      </c>
    </row>
    <row r="4" customFormat="false" ht="15" hidden="false" customHeight="false" outlineLevel="0" collapsed="false">
      <c r="A4" s="0" t="s">
        <v>82</v>
      </c>
      <c r="B4" s="3" t="n">
        <v>6991</v>
      </c>
    </row>
    <row r="5" customFormat="false" ht="15" hidden="false" customHeight="false" outlineLevel="0" collapsed="false">
      <c r="A5" s="0" t="s">
        <v>83</v>
      </c>
      <c r="B5" s="3" t="n">
        <v>-107</v>
      </c>
    </row>
    <row r="6" customFormat="false" ht="15" hidden="false" customHeight="false" outlineLevel="0" collapsed="false">
      <c r="A6" s="0" t="s">
        <v>84</v>
      </c>
      <c r="B6" s="3" t="n">
        <v>15</v>
      </c>
    </row>
    <row r="7" customFormat="false" ht="15" hidden="false" customHeight="false" outlineLevel="0" collapsed="false">
      <c r="A7" s="0" t="s">
        <v>85</v>
      </c>
      <c r="B7" s="3" t="n">
        <v>50800</v>
      </c>
    </row>
    <row r="8" customFormat="false" ht="15" hidden="false" customHeight="false" outlineLevel="0" collapsed="false">
      <c r="A8" s="0" t="s">
        <v>86</v>
      </c>
      <c r="B8" s="3" t="s">
        <v>87</v>
      </c>
    </row>
    <row r="9" customFormat="false" ht="15" hidden="false" customHeight="false" outlineLevel="0" collapsed="false">
      <c r="A9" s="0" t="s">
        <v>88</v>
      </c>
      <c r="B9" s="3" t="s">
        <v>89</v>
      </c>
    </row>
    <row r="10" customFormat="false" ht="15" hidden="false" customHeight="false" outlineLevel="0" collapsed="false">
      <c r="A10" s="0" t="s">
        <v>90</v>
      </c>
      <c r="B10" s="3" t="n">
        <v>1</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5</v>
      </c>
      <c r="D13" s="3" t="n">
        <v>4</v>
      </c>
      <c r="E13" s="3" t="n">
        <v>3.5</v>
      </c>
      <c r="F13" s="3" t="n">
        <v>3</v>
      </c>
      <c r="G13" s="3" t="n">
        <v>3</v>
      </c>
      <c r="H13" s="3" t="n">
        <v>2.5</v>
      </c>
      <c r="I13" s="3" t="n">
        <v>2.5</v>
      </c>
      <c r="J13" s="3" t="n">
        <v>2.5</v>
      </c>
      <c r="K13" s="3" t="n">
        <v>2.5</v>
      </c>
      <c r="L13" s="3" t="n">
        <v>2.5</v>
      </c>
    </row>
    <row r="14" customFormat="false" ht="15" hidden="false" customHeight="false" outlineLevel="0" collapsed="false">
      <c r="A14" s="0" t="s">
        <v>103</v>
      </c>
      <c r="C14" s="3" t="n">
        <v>10.3</v>
      </c>
      <c r="D14" s="3" t="n">
        <v>10.2</v>
      </c>
      <c r="E14" s="3" t="n">
        <v>10.1</v>
      </c>
      <c r="F14" s="3" t="n">
        <v>10</v>
      </c>
      <c r="G14" s="3" t="n">
        <v>10</v>
      </c>
      <c r="H14" s="3" t="n">
        <v>10</v>
      </c>
      <c r="I14" s="3" t="n">
        <v>10</v>
      </c>
      <c r="J14" s="3" t="n">
        <v>10</v>
      </c>
      <c r="K14" s="3" t="n">
        <v>10</v>
      </c>
      <c r="L14" s="3" t="n">
        <v>10</v>
      </c>
    </row>
    <row r="15" customFormat="false" ht="15" hidden="false" customHeight="false" outlineLevel="0" collapsed="false">
      <c r="A15" s="0" t="s">
        <v>104</v>
      </c>
      <c r="C15" s="3" t="n">
        <v>0.18</v>
      </c>
      <c r="D15" s="3" t="n">
        <v>0.18</v>
      </c>
      <c r="E15" s="3" t="n">
        <v>0.18</v>
      </c>
      <c r="F15" s="3" t="n">
        <v>0.18</v>
      </c>
      <c r="G15" s="3" t="n">
        <v>0.18</v>
      </c>
      <c r="H15" s="3" t="n">
        <v>0.18</v>
      </c>
      <c r="I15" s="3" t="n">
        <v>0.18</v>
      </c>
      <c r="J15" s="3" t="n">
        <v>0.18</v>
      </c>
      <c r="K15" s="3" t="n">
        <v>0.18</v>
      </c>
      <c r="L15" s="3" t="n">
        <v>0.18</v>
      </c>
    </row>
    <row r="16" customFormat="false" ht="15" hidden="false" customHeight="false" outlineLevel="0" collapsed="false">
      <c r="A16" s="0" t="s">
        <v>105</v>
      </c>
      <c r="C16" s="3" t="n">
        <v>0.85</v>
      </c>
      <c r="D16" s="3" t="n">
        <v>0.85</v>
      </c>
      <c r="E16" s="3" t="n">
        <v>0.85</v>
      </c>
      <c r="F16" s="3" t="n">
        <v>0.85</v>
      </c>
      <c r="G16" s="3" t="n">
        <v>0.85</v>
      </c>
      <c r="H16" s="3" t="n">
        <v>0.85</v>
      </c>
      <c r="I16" s="3" t="n">
        <v>0.85</v>
      </c>
      <c r="J16" s="3" t="n">
        <v>0.85</v>
      </c>
      <c r="K16" s="3" t="n">
        <v>0.85</v>
      </c>
      <c r="L16" s="3" t="n">
        <v>0.85</v>
      </c>
    </row>
    <row r="17" customFormat="false" ht="15" hidden="false" customHeight="false" outlineLevel="0" collapsed="false">
      <c r="A17" s="0" t="s">
        <v>106</v>
      </c>
      <c r="C17" s="3" t="n">
        <v>2</v>
      </c>
      <c r="D17" s="3" t="n">
        <v>2</v>
      </c>
      <c r="E17" s="3" t="n">
        <v>2</v>
      </c>
      <c r="F17" s="3" t="n">
        <v>2</v>
      </c>
      <c r="G17" s="3" t="n">
        <v>2</v>
      </c>
      <c r="H17" s="3" t="n">
        <v>2</v>
      </c>
      <c r="I17" s="3" t="n">
        <v>2</v>
      </c>
      <c r="J17" s="3" t="n">
        <v>2</v>
      </c>
      <c r="K17" s="3" t="n">
        <v>2</v>
      </c>
      <c r="L17" s="3" t="n">
        <v>2</v>
      </c>
    </row>
    <row r="18" customFormat="false" ht="15" hidden="false" customHeight="false" outlineLevel="0" collapsed="false">
      <c r="A18" s="0" t="s">
        <v>107</v>
      </c>
      <c r="C18" s="3" t="n">
        <v>3.5</v>
      </c>
      <c r="D18" s="3" t="n">
        <v>3.5</v>
      </c>
      <c r="E18" s="3" t="n">
        <v>3.5</v>
      </c>
      <c r="F18" s="3" t="n">
        <v>3.4</v>
      </c>
      <c r="G18" s="3" t="n">
        <v>3.4</v>
      </c>
      <c r="H18" s="3" t="n">
        <v>3.4</v>
      </c>
      <c r="I18" s="3" t="n">
        <v>3.4</v>
      </c>
      <c r="J18" s="3" t="n">
        <v>3.4</v>
      </c>
      <c r="K18" s="3" t="n">
        <v>3.4</v>
      </c>
      <c r="L18" s="3" t="n">
        <v>3.4</v>
      </c>
    </row>
    <row r="19" customFormat="false" ht="15" hidden="false" customHeight="false" outlineLevel="0" collapsed="false">
      <c r="A19" s="0" t="s">
        <v>108</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109</v>
      </c>
      <c r="B20" s="3" t="n">
        <v>7.75</v>
      </c>
    </row>
    <row r="21" customFormat="false" ht="15" hidden="false" customHeight="false" outlineLevel="0" collapsed="false">
      <c r="A21" s="0" t="s">
        <v>110</v>
      </c>
      <c r="B21" s="3" t="n">
        <v>2</v>
      </c>
    </row>
    <row r="22" customFormat="false" ht="15" hidden="false" customHeight="false" outlineLevel="0" collapsed="false">
      <c r="A22" s="0" t="s">
        <v>111</v>
      </c>
      <c r="B22" s="3" t="n">
        <v>16</v>
      </c>
    </row>
    <row r="23" customFormat="false" ht="15" hidden="false" customHeight="false" outlineLevel="0" collapsed="false">
      <c r="A23" s="0" t="s">
        <v>112</v>
      </c>
      <c r="B23" s="3" t="n">
        <v>0</v>
      </c>
    </row>
    <row r="24" customFormat="false" ht="15" hidden="false" customHeight="false" outlineLevel="0" collapsed="false">
      <c r="A24" s="0" t="s">
        <v>113</v>
      </c>
      <c r="B24" s="3" t="n">
        <v>0.2</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7.5</v>
      </c>
      <c r="D27" s="3" t="n">
        <v>6.5</v>
      </c>
      <c r="E27" s="3" t="n">
        <v>6</v>
      </c>
      <c r="F27" s="3" t="n">
        <v>5.5</v>
      </c>
      <c r="G27" s="3" t="n">
        <v>5</v>
      </c>
      <c r="H27" s="3" t="n">
        <v>4.5</v>
      </c>
      <c r="I27" s="3" t="n">
        <v>4</v>
      </c>
      <c r="J27" s="3" t="n">
        <v>3.5</v>
      </c>
      <c r="K27" s="3" t="n">
        <v>3</v>
      </c>
      <c r="L27" s="3" t="n">
        <v>3</v>
      </c>
    </row>
    <row r="28" customFormat="false" ht="15" hidden="false" customHeight="false" outlineLevel="0" collapsed="false">
      <c r="A28" s="0" t="s">
        <v>103</v>
      </c>
      <c r="C28" s="3" t="n">
        <v>10.55</v>
      </c>
      <c r="D28" s="3" t="n">
        <v>10.65</v>
      </c>
      <c r="E28" s="3" t="n">
        <v>10.75</v>
      </c>
      <c r="F28" s="3" t="n">
        <v>10.85</v>
      </c>
      <c r="G28" s="3" t="n">
        <v>10.95</v>
      </c>
      <c r="H28" s="3" t="n">
        <v>11</v>
      </c>
      <c r="I28" s="3" t="n">
        <v>11</v>
      </c>
      <c r="J28" s="3" t="n">
        <v>11</v>
      </c>
      <c r="K28" s="3" t="n">
        <v>11</v>
      </c>
      <c r="L28" s="3" t="n">
        <v>11</v>
      </c>
    </row>
    <row r="29" customFormat="false" ht="15" hidden="false" customHeight="false" outlineLevel="0" collapsed="false">
      <c r="A29" s="0" t="s">
        <v>104</v>
      </c>
      <c r="C29" s="3" t="n">
        <v>0.18</v>
      </c>
      <c r="D29" s="3" t="n">
        <v>0.18</v>
      </c>
      <c r="E29" s="3" t="n">
        <v>0.18</v>
      </c>
      <c r="F29" s="3" t="n">
        <v>0.18</v>
      </c>
      <c r="G29" s="3" t="n">
        <v>0.18</v>
      </c>
      <c r="H29" s="3" t="n">
        <v>0.18</v>
      </c>
      <c r="I29" s="3" t="n">
        <v>0.18</v>
      </c>
      <c r="J29" s="3" t="n">
        <v>0.18</v>
      </c>
      <c r="K29" s="3" t="n">
        <v>0.18</v>
      </c>
      <c r="L29" s="3" t="n">
        <v>0.18</v>
      </c>
    </row>
    <row r="30" customFormat="false" ht="15" hidden="false" customHeight="false" outlineLevel="0" collapsed="false">
      <c r="A30" s="0" t="s">
        <v>105</v>
      </c>
      <c r="C30" s="3" t="n">
        <v>0.8</v>
      </c>
      <c r="D30" s="3" t="n">
        <v>0.8</v>
      </c>
      <c r="E30" s="3" t="n">
        <v>0.8</v>
      </c>
      <c r="F30" s="3" t="n">
        <v>0.8</v>
      </c>
      <c r="G30" s="3" t="n">
        <v>0.8</v>
      </c>
      <c r="H30" s="3" t="n">
        <v>0.8</v>
      </c>
      <c r="I30" s="3" t="n">
        <v>0.8</v>
      </c>
      <c r="J30" s="3" t="n">
        <v>0.8</v>
      </c>
      <c r="K30" s="3" t="n">
        <v>0.8</v>
      </c>
      <c r="L30" s="3" t="n">
        <v>0.8</v>
      </c>
    </row>
    <row r="31" customFormat="false" ht="15" hidden="false" customHeight="false" outlineLevel="0" collapsed="false">
      <c r="A31" s="0" t="s">
        <v>106</v>
      </c>
      <c r="C31" s="3" t="n">
        <v>2</v>
      </c>
      <c r="D31" s="3" t="n">
        <v>2</v>
      </c>
      <c r="E31" s="3" t="n">
        <v>2</v>
      </c>
      <c r="F31" s="3" t="n">
        <v>2</v>
      </c>
      <c r="G31" s="3" t="n">
        <v>2</v>
      </c>
      <c r="H31" s="3" t="n">
        <v>2</v>
      </c>
      <c r="I31" s="3" t="n">
        <v>2</v>
      </c>
      <c r="J31" s="3" t="n">
        <v>2</v>
      </c>
      <c r="K31" s="3" t="n">
        <v>2</v>
      </c>
      <c r="L31" s="3" t="n">
        <v>2</v>
      </c>
    </row>
    <row r="32" customFormat="false" ht="15" hidden="false" customHeight="false" outlineLevel="0" collapsed="false">
      <c r="A32" s="0" t="s">
        <v>107</v>
      </c>
      <c r="C32" s="3" t="n">
        <v>3.4</v>
      </c>
      <c r="D32" s="3" t="n">
        <v>3.4</v>
      </c>
      <c r="E32" s="3" t="n">
        <v>3.3</v>
      </c>
      <c r="F32" s="3" t="n">
        <v>3.3</v>
      </c>
      <c r="G32" s="3" t="n">
        <v>3.2</v>
      </c>
      <c r="H32" s="3" t="n">
        <v>3.2</v>
      </c>
      <c r="I32" s="3" t="n">
        <v>3.2</v>
      </c>
      <c r="J32" s="3" t="n">
        <v>3.2</v>
      </c>
      <c r="K32" s="3" t="n">
        <v>3.2</v>
      </c>
      <c r="L32" s="3" t="n">
        <v>3.2</v>
      </c>
    </row>
    <row r="33" customFormat="false" ht="15" hidden="false" customHeight="false" outlineLevel="0" collapsed="false">
      <c r="A33" s="0" t="s">
        <v>108</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109</v>
      </c>
      <c r="B34" s="3" t="n">
        <v>7.75</v>
      </c>
    </row>
    <row r="35" customFormat="false" ht="15" hidden="false" customHeight="false" outlineLevel="0" collapsed="false">
      <c r="A35" s="0" t="s">
        <v>110</v>
      </c>
      <c r="B35" s="3" t="n">
        <v>2.75</v>
      </c>
    </row>
    <row r="36" customFormat="false" ht="15" hidden="false" customHeight="false" outlineLevel="0" collapsed="false">
      <c r="A36" s="0" t="s">
        <v>111</v>
      </c>
      <c r="B36" s="3" t="n">
        <v>20</v>
      </c>
    </row>
    <row r="37" customFormat="false" ht="15" hidden="false" customHeight="false" outlineLevel="0" collapsed="false">
      <c r="A37" s="0" t="s">
        <v>112</v>
      </c>
      <c r="B37" s="3" t="n">
        <v>0</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9</v>
      </c>
      <c r="D41" s="3" t="n">
        <v>8.5</v>
      </c>
      <c r="E41" s="3" t="n">
        <v>8</v>
      </c>
      <c r="F41" s="3" t="n">
        <v>7</v>
      </c>
      <c r="G41" s="3" t="n">
        <v>6.5</v>
      </c>
      <c r="H41" s="3" t="n">
        <v>6</v>
      </c>
      <c r="I41" s="3" t="n">
        <v>5</v>
      </c>
      <c r="J41" s="3" t="n">
        <v>4.5</v>
      </c>
      <c r="K41" s="3" t="n">
        <v>4</v>
      </c>
      <c r="L41" s="3" t="n">
        <v>3.5</v>
      </c>
    </row>
    <row r="42" customFormat="false" ht="15" hidden="false" customHeight="false" outlineLevel="0" collapsed="false">
      <c r="A42" s="0" t="s">
        <v>103</v>
      </c>
      <c r="C42" s="3" t="n">
        <v>10.6</v>
      </c>
      <c r="D42" s="3" t="n">
        <v>10.8</v>
      </c>
      <c r="E42" s="3" t="n">
        <v>11</v>
      </c>
      <c r="F42" s="3" t="n">
        <v>11.2</v>
      </c>
      <c r="G42" s="3" t="n">
        <v>11.4</v>
      </c>
      <c r="H42" s="3" t="n">
        <v>11.6</v>
      </c>
      <c r="I42" s="3" t="n">
        <v>11.7</v>
      </c>
      <c r="J42" s="3" t="n">
        <v>11.8</v>
      </c>
      <c r="K42" s="3" t="n">
        <v>11.8</v>
      </c>
      <c r="L42" s="3" t="n">
        <v>11.8</v>
      </c>
    </row>
    <row r="43" customFormat="false" ht="15" hidden="false" customHeight="false" outlineLevel="0" collapsed="false">
      <c r="A43" s="0" t="s">
        <v>104</v>
      </c>
      <c r="C43" s="3" t="n">
        <v>0.18</v>
      </c>
      <c r="D43" s="3" t="n">
        <v>0.18</v>
      </c>
      <c r="E43" s="3" t="n">
        <v>0.18</v>
      </c>
      <c r="F43" s="3" t="n">
        <v>0.18</v>
      </c>
      <c r="G43" s="3" t="n">
        <v>0.18</v>
      </c>
      <c r="H43" s="3" t="n">
        <v>0.18</v>
      </c>
      <c r="I43" s="3" t="n">
        <v>0.18</v>
      </c>
      <c r="J43" s="3" t="n">
        <v>0.18</v>
      </c>
      <c r="K43" s="3" t="n">
        <v>0.18</v>
      </c>
      <c r="L43" s="3" t="n">
        <v>0.18</v>
      </c>
    </row>
    <row r="44" customFormat="false" ht="15" hidden="false" customHeight="false" outlineLevel="0" collapsed="false">
      <c r="A44" s="0" t="s">
        <v>105</v>
      </c>
      <c r="C44" s="3" t="n">
        <v>0.8</v>
      </c>
      <c r="D44" s="3" t="n">
        <v>0.8</v>
      </c>
      <c r="E44" s="3" t="n">
        <v>0.8</v>
      </c>
      <c r="F44" s="3" t="n">
        <v>0.8</v>
      </c>
      <c r="G44" s="3" t="n">
        <v>0.8</v>
      </c>
      <c r="H44" s="3" t="n">
        <v>0.8</v>
      </c>
      <c r="I44" s="3" t="n">
        <v>0.8</v>
      </c>
      <c r="J44" s="3" t="n">
        <v>0.8</v>
      </c>
      <c r="K44" s="3" t="n">
        <v>0.8</v>
      </c>
      <c r="L44" s="3" t="n">
        <v>0.8</v>
      </c>
    </row>
    <row r="45" customFormat="false" ht="15" hidden="false" customHeight="false" outlineLevel="0" collapsed="false">
      <c r="A45" s="0" t="s">
        <v>106</v>
      </c>
      <c r="C45" s="3" t="n">
        <v>2</v>
      </c>
      <c r="D45" s="3" t="n">
        <v>2</v>
      </c>
      <c r="E45" s="3" t="n">
        <v>2</v>
      </c>
      <c r="F45" s="3" t="n">
        <v>2</v>
      </c>
      <c r="G45" s="3" t="n">
        <v>2</v>
      </c>
      <c r="H45" s="3" t="n">
        <v>2</v>
      </c>
      <c r="I45" s="3" t="n">
        <v>2</v>
      </c>
      <c r="J45" s="3" t="n">
        <v>2</v>
      </c>
      <c r="K45" s="3" t="n">
        <v>2</v>
      </c>
      <c r="L45" s="3" t="n">
        <v>2</v>
      </c>
    </row>
    <row r="46" customFormat="false" ht="15" hidden="false" customHeight="false" outlineLevel="0" collapsed="false">
      <c r="A46" s="0" t="s">
        <v>107</v>
      </c>
      <c r="C46" s="3" t="n">
        <v>3.4</v>
      </c>
      <c r="D46" s="3" t="n">
        <v>3.3</v>
      </c>
      <c r="E46" s="3" t="n">
        <v>3.3</v>
      </c>
      <c r="F46" s="3" t="n">
        <v>3.2</v>
      </c>
      <c r="G46" s="3" t="n">
        <v>3.2</v>
      </c>
      <c r="H46" s="3" t="n">
        <v>3.1</v>
      </c>
      <c r="I46" s="3" t="n">
        <v>3.1</v>
      </c>
      <c r="J46" s="3" t="n">
        <v>3.1</v>
      </c>
      <c r="K46" s="3" t="n">
        <v>3.1</v>
      </c>
      <c r="L46" s="3" t="n">
        <v>3.1</v>
      </c>
    </row>
    <row r="47" customFormat="false" ht="15" hidden="false" customHeight="false" outlineLevel="0" collapsed="false">
      <c r="A47" s="0" t="s">
        <v>108</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109</v>
      </c>
      <c r="B48" s="3" t="n">
        <v>7.75</v>
      </c>
    </row>
    <row r="49" customFormat="false" ht="15" hidden="false" customHeight="false" outlineLevel="0" collapsed="false">
      <c r="A49" s="0" t="s">
        <v>110</v>
      </c>
      <c r="B49" s="3" t="n">
        <v>3</v>
      </c>
    </row>
    <row r="50" customFormat="false" ht="15" hidden="false" customHeight="false" outlineLevel="0" collapsed="false">
      <c r="A50" s="0" t="s">
        <v>111</v>
      </c>
      <c r="B50" s="3" t="n">
        <v>20</v>
      </c>
    </row>
    <row r="51" customFormat="false" ht="15" hidden="false" customHeight="false" outlineLevel="0" collapsed="false">
      <c r="A51" s="0" t="s">
        <v>112</v>
      </c>
      <c r="B51" s="3" t="n">
        <v>0</v>
      </c>
    </row>
    <row r="52" customFormat="false" ht="15" hidden="false" customHeight="false" outlineLevel="0" collapsed="false">
      <c r="A52" s="0" t="s">
        <v>113</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5</v>
      </c>
      <c r="D5" s="4" t="n">
        <f aca="false">Assumptions!D13</f>
        <v>4</v>
      </c>
      <c r="E5" s="4" t="n">
        <f aca="false">Assumptions!E13</f>
        <v>3.5</v>
      </c>
      <c r="F5" s="4" t="n">
        <f aca="false">Assumptions!F13</f>
        <v>3</v>
      </c>
      <c r="G5" s="4" t="n">
        <f aca="false">Assumptions!G13</f>
        <v>3</v>
      </c>
      <c r="H5" s="4" t="n">
        <f aca="false">Assumptions!H13</f>
        <v>2.5</v>
      </c>
      <c r="I5" s="4" t="n">
        <f aca="false">Assumptions!I13</f>
        <v>2.5</v>
      </c>
      <c r="J5" s="4" t="n">
        <f aca="false">Assumptions!J13</f>
        <v>2.5</v>
      </c>
      <c r="K5" s="4" t="n">
        <f aca="false">Assumptions!K13</f>
        <v>2.5</v>
      </c>
      <c r="L5" s="4" t="n">
        <f aca="false">Assumptions!L13</f>
        <v>2.5</v>
      </c>
    </row>
    <row r="6" customFormat="false" ht="15" hidden="false" customHeight="false" outlineLevel="0" collapsed="false">
      <c r="A6" s="0" t="s">
        <v>37</v>
      </c>
      <c r="B6" s="3" t="n">
        <v>50800</v>
      </c>
      <c r="C6" s="0" t="n">
        <f aca="false">B6*(1+C5/100)</f>
        <v>53340</v>
      </c>
      <c r="D6" s="0" t="n">
        <f aca="false">C6*(1+D5/100)</f>
        <v>55473.6</v>
      </c>
      <c r="E6" s="0" t="n">
        <f aca="false">D6*(1+E5/100)</f>
        <v>57415.176</v>
      </c>
      <c r="F6" s="0" t="n">
        <f aca="false">E6*(1+F5/100)</f>
        <v>59137.63128</v>
      </c>
      <c r="G6" s="0" t="n">
        <f aca="false">F6*(1+G5/100)</f>
        <v>60911.7602184</v>
      </c>
      <c r="H6" s="0" t="n">
        <f aca="false">G6*(1+H5/100)</f>
        <v>62434.55422386</v>
      </c>
      <c r="I6" s="0" t="n">
        <f aca="false">H6*(1+I5/100)</f>
        <v>63995.4180794565</v>
      </c>
      <c r="J6" s="0" t="n">
        <f aca="false">I6*(1+J5/100)</f>
        <v>65595.3035314429</v>
      </c>
      <c r="K6" s="0" t="n">
        <f aca="false">J6*(1+K5/100)</f>
        <v>67235.186119729</v>
      </c>
      <c r="L6" s="0" t="n">
        <f aca="false">K6*(1+L5/100)</f>
        <v>68916.0657727222</v>
      </c>
    </row>
    <row r="7" customFormat="false" ht="15" hidden="false" customHeight="false" outlineLevel="0" collapsed="false">
      <c r="A7" s="0" t="s">
        <v>103</v>
      </c>
      <c r="C7" s="4" t="n">
        <f aca="false">Assumptions!C14</f>
        <v>10.3</v>
      </c>
      <c r="D7" s="4" t="n">
        <f aca="false">Assumptions!D14</f>
        <v>10.2</v>
      </c>
      <c r="E7" s="4" t="n">
        <f aca="false">Assumptions!E14</f>
        <v>10.1</v>
      </c>
      <c r="F7" s="4" t="n">
        <f aca="false">Assumptions!F14</f>
        <v>10</v>
      </c>
      <c r="G7" s="4" t="n">
        <f aca="false">Assumptions!G14</f>
        <v>10</v>
      </c>
      <c r="H7" s="4" t="n">
        <f aca="false">Assumptions!H14</f>
        <v>10</v>
      </c>
      <c r="I7" s="4" t="n">
        <f aca="false">Assumptions!I14</f>
        <v>10</v>
      </c>
      <c r="J7" s="4" t="n">
        <f aca="false">Assumptions!J14</f>
        <v>10</v>
      </c>
      <c r="K7" s="4" t="n">
        <f aca="false">Assumptions!K14</f>
        <v>10</v>
      </c>
      <c r="L7" s="4" t="n">
        <f aca="false">Assumptions!L14</f>
        <v>10</v>
      </c>
    </row>
    <row r="8" customFormat="false" ht="15" hidden="false" customHeight="false" outlineLevel="0" collapsed="false">
      <c r="A8" s="0" t="s">
        <v>43</v>
      </c>
      <c r="C8" s="0" t="n">
        <f aca="false">C6*C7/100</f>
        <v>5494.02</v>
      </c>
      <c r="D8" s="0" t="n">
        <f aca="false">D6*D7/100</f>
        <v>5658.3072</v>
      </c>
      <c r="E8" s="0" t="n">
        <f aca="false">E6*E7/100</f>
        <v>5798.932776</v>
      </c>
      <c r="F8" s="0" t="n">
        <f aca="false">F6*F7/100</f>
        <v>5913.763128</v>
      </c>
      <c r="G8" s="0" t="n">
        <f aca="false">G6*G7/100</f>
        <v>6091.17602184</v>
      </c>
      <c r="H8" s="0" t="n">
        <f aca="false">H6*H7/100</f>
        <v>6243.455422386</v>
      </c>
      <c r="I8" s="0" t="n">
        <f aca="false">I6*I7/100</f>
        <v>6399.54180794565</v>
      </c>
      <c r="J8" s="0" t="n">
        <f aca="false">J6*J7/100</f>
        <v>6559.53035314429</v>
      </c>
      <c r="K8" s="0" t="n">
        <f aca="false">K6*K7/100</f>
        <v>6723.5186119729</v>
      </c>
      <c r="L8" s="0" t="n">
        <f aca="false">L6*L7/100</f>
        <v>6891.60657727222</v>
      </c>
    </row>
    <row r="9" customFormat="false" ht="15" hidden="false" customHeight="false" outlineLevel="0" collapsed="false">
      <c r="A9" s="0" t="s">
        <v>104</v>
      </c>
      <c r="C9" s="4" t="n">
        <f aca="false">Assumptions!C15</f>
        <v>0.18</v>
      </c>
      <c r="D9" s="4" t="n">
        <f aca="false">Assumptions!D15</f>
        <v>0.18</v>
      </c>
      <c r="E9" s="4" t="n">
        <f aca="false">Assumptions!E15</f>
        <v>0.18</v>
      </c>
      <c r="F9" s="4" t="n">
        <f aca="false">Assumptions!F15</f>
        <v>0.18</v>
      </c>
      <c r="G9" s="4" t="n">
        <f aca="false">Assumptions!G15</f>
        <v>0.18</v>
      </c>
      <c r="H9" s="4" t="n">
        <f aca="false">Assumptions!H15</f>
        <v>0.18</v>
      </c>
      <c r="I9" s="4" t="n">
        <f aca="false">Assumptions!I15</f>
        <v>0.18</v>
      </c>
      <c r="J9" s="4" t="n">
        <f aca="false">Assumptions!J15</f>
        <v>0.18</v>
      </c>
      <c r="K9" s="4" t="n">
        <f aca="false">Assumptions!K15</f>
        <v>0.18</v>
      </c>
      <c r="L9" s="4" t="n">
        <f aca="false">Assumptions!L15</f>
        <v>0.18</v>
      </c>
    </row>
    <row r="10" customFormat="false" ht="15" hidden="false" customHeight="false" outlineLevel="0" collapsed="false">
      <c r="A10" s="0" t="s">
        <v>119</v>
      </c>
      <c r="C10" s="0" t="n">
        <f aca="false">-C6*C9/100</f>
        <v>-96.012</v>
      </c>
      <c r="D10" s="0" t="n">
        <f aca="false">-D6*D9/100</f>
        <v>-99.85248</v>
      </c>
      <c r="E10" s="0" t="n">
        <f aca="false">-E6*E9/100</f>
        <v>-103.3473168</v>
      </c>
      <c r="F10" s="0" t="n">
        <f aca="false">-F6*F9/100</f>
        <v>-106.447736304</v>
      </c>
      <c r="G10" s="0" t="n">
        <f aca="false">-G6*G9/100</f>
        <v>-109.64116839312</v>
      </c>
      <c r="H10" s="0" t="n">
        <f aca="false">-H6*H9/100</f>
        <v>-112.382197602948</v>
      </c>
      <c r="I10" s="0" t="n">
        <f aca="false">-I6*I9/100</f>
        <v>-115.191752543022</v>
      </c>
      <c r="J10" s="0" t="n">
        <f aca="false">-J6*J9/100</f>
        <v>-118.071546356597</v>
      </c>
      <c r="K10" s="0" t="n">
        <f aca="false">-K6*K9/100</f>
        <v>-121.023335015512</v>
      </c>
      <c r="L10" s="0" t="n">
        <f aca="false">-L6*L9/100</f>
        <v>-124.0489183909</v>
      </c>
    </row>
    <row r="11" customFormat="false" ht="15" hidden="false" customHeight="false" outlineLevel="0" collapsed="false">
      <c r="A11" s="0" t="s">
        <v>120</v>
      </c>
      <c r="C11" s="0" t="n">
        <f aca="false">C8+C10+C24</f>
        <v>4944.618</v>
      </c>
      <c r="D11" s="0" t="n">
        <f aca="false">D8+D10+D24</f>
        <v>5086.92912</v>
      </c>
      <c r="E11" s="0" t="n">
        <f aca="false">E8+E10+E24</f>
        <v>5207.5564632</v>
      </c>
      <c r="F11" s="0" t="n">
        <f aca="false">F8+F10+F24</f>
        <v>5304.645525816</v>
      </c>
      <c r="G11" s="0" t="n">
        <f aca="false">G8+G10+G24</f>
        <v>5463.78489159048</v>
      </c>
      <c r="H11" s="0" t="n">
        <f aca="false">H8+H10+H24</f>
        <v>5600.37951388024</v>
      </c>
      <c r="I11" s="0" t="n">
        <f aca="false">I8+I10+I24</f>
        <v>5740.38900172725</v>
      </c>
      <c r="J11" s="0" t="n">
        <f aca="false">J8+J10+J24</f>
        <v>5883.89872677043</v>
      </c>
      <c r="K11" s="0" t="n">
        <f aca="false">K8+K10+K24</f>
        <v>6030.99619493969</v>
      </c>
      <c r="L11" s="0" t="n">
        <f aca="false">L8+L10+L24</f>
        <v>6181.77109981318</v>
      </c>
    </row>
    <row r="12" customFormat="false" ht="15" hidden="false" customHeight="false" outlineLevel="0" collapsed="false">
      <c r="A12" s="0" t="s">
        <v>121</v>
      </c>
      <c r="C12" s="4" t="n">
        <f aca="false">-C6*Assumptions!C17/100</f>
        <v>-1066.8</v>
      </c>
      <c r="D12" s="4" t="n">
        <f aca="false">-D6*Assumptions!D17/100</f>
        <v>-1109.472</v>
      </c>
      <c r="E12" s="4" t="n">
        <f aca="false">-E6*Assumptions!E17/100</f>
        <v>-1148.30352</v>
      </c>
      <c r="F12" s="4" t="n">
        <f aca="false">-F6*Assumptions!F17/100</f>
        <v>-1182.7526256</v>
      </c>
      <c r="G12" s="4" t="n">
        <f aca="false">-G6*Assumptions!G17/100</f>
        <v>-1218.235204368</v>
      </c>
      <c r="H12" s="4" t="n">
        <f aca="false">-H6*Assumptions!H17/100</f>
        <v>-1248.6910844772</v>
      </c>
      <c r="I12" s="4" t="n">
        <f aca="false">-I6*Assumptions!I17/100</f>
        <v>-1279.90836158913</v>
      </c>
      <c r="J12" s="4" t="n">
        <f aca="false">-J6*Assumptions!J17/100</f>
        <v>-1311.90607062886</v>
      </c>
      <c r="K12" s="4" t="n">
        <f aca="false">-K6*Assumptions!K17/100</f>
        <v>-1344.70372239458</v>
      </c>
      <c r="L12" s="4" t="n">
        <f aca="false">-L6*Assumptions!L17/100</f>
        <v>-1378.32131545444</v>
      </c>
    </row>
    <row r="13" customFormat="false" ht="15" hidden="false" customHeight="false" outlineLevel="0" collapsed="false">
      <c r="A13" s="0" t="s">
        <v>122</v>
      </c>
      <c r="C13" s="0" t="n">
        <f aca="false">C11+C12</f>
        <v>3877.818</v>
      </c>
      <c r="D13" s="0" t="n">
        <f aca="false">D11+D12</f>
        <v>3977.45712</v>
      </c>
      <c r="E13" s="0" t="n">
        <f aca="false">E11+E12</f>
        <v>4059.2529432</v>
      </c>
      <c r="F13" s="0" t="n">
        <f aca="false">F11+F12</f>
        <v>4121.892900216</v>
      </c>
      <c r="G13" s="0" t="n">
        <f aca="false">G11+G12</f>
        <v>4245.54968722248</v>
      </c>
      <c r="H13" s="0" t="n">
        <f aca="false">H11+H12</f>
        <v>4351.68842940304</v>
      </c>
      <c r="I13" s="0" t="n">
        <f aca="false">I11+I12</f>
        <v>4460.48064013812</v>
      </c>
      <c r="J13" s="0" t="n">
        <f aca="false">J11+J12</f>
        <v>4571.99265614157</v>
      </c>
      <c r="K13" s="0" t="n">
        <f aca="false">K11+K12</f>
        <v>4686.29247254511</v>
      </c>
      <c r="L13" s="0" t="n">
        <f aca="false">L11+L12</f>
        <v>4803.44978435874</v>
      </c>
    </row>
    <row r="14" customFormat="false" ht="15" hidden="false" customHeight="false" outlineLevel="0" collapsed="false">
      <c r="A14" s="0" t="s">
        <v>108</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123</v>
      </c>
      <c r="C15" s="0" t="n">
        <f aca="false">C13-MAX(0,C13)*C14/100</f>
        <v>2908.3635</v>
      </c>
      <c r="D15" s="0" t="n">
        <f aca="false">D13-MAX(0,D13)*D14/100</f>
        <v>2983.09284</v>
      </c>
      <c r="E15" s="0" t="n">
        <f aca="false">E13-MAX(0,E13)*E14/100</f>
        <v>3044.4397074</v>
      </c>
      <c r="F15" s="0" t="n">
        <f aca="false">F13-MAX(0,F13)*F14/100</f>
        <v>3091.419675162</v>
      </c>
      <c r="G15" s="0" t="n">
        <f aca="false">G13-MAX(0,G13)*G14/100</f>
        <v>3184.16226541686</v>
      </c>
      <c r="H15" s="0" t="n">
        <f aca="false">H13-MAX(0,H13)*H14/100</f>
        <v>3263.76632205228</v>
      </c>
      <c r="I15" s="0" t="n">
        <f aca="false">I13-MAX(0,I13)*I14/100</f>
        <v>3345.36048010359</v>
      </c>
      <c r="J15" s="0" t="n">
        <f aca="false">J13-MAX(0,J13)*J14/100</f>
        <v>3428.99449210618</v>
      </c>
      <c r="K15" s="0" t="n">
        <f aca="false">K13-MAX(0,K13)*K14/100</f>
        <v>3514.71935440883</v>
      </c>
      <c r="L15" s="0" t="n">
        <f aca="false">L13-MAX(0,L13)*L14/100</f>
        <v>3602.58733826905</v>
      </c>
    </row>
    <row r="16" customFormat="false" ht="15" hidden="false" customHeight="false" outlineLevel="0" collapsed="false">
      <c r="A16" s="0" t="s">
        <v>124</v>
      </c>
      <c r="C16" s="0" t="n">
        <f aca="false">-C12</f>
        <v>1066.8</v>
      </c>
      <c r="D16" s="0" t="n">
        <f aca="false">-D12</f>
        <v>1109.472</v>
      </c>
      <c r="E16" s="0" t="n">
        <f aca="false">-E12</f>
        <v>1148.30352</v>
      </c>
      <c r="F16" s="0" t="n">
        <f aca="false">-F12</f>
        <v>1182.7526256</v>
      </c>
      <c r="G16" s="0" t="n">
        <f aca="false">-G12</f>
        <v>1218.235204368</v>
      </c>
      <c r="H16" s="0" t="n">
        <f aca="false">-H12</f>
        <v>1248.6910844772</v>
      </c>
      <c r="I16" s="0" t="n">
        <f aca="false">-I12</f>
        <v>1279.90836158913</v>
      </c>
      <c r="J16" s="0" t="n">
        <f aca="false">-J12</f>
        <v>1311.90607062886</v>
      </c>
      <c r="K16" s="0" t="n">
        <f aca="false">-K12</f>
        <v>1344.70372239458</v>
      </c>
      <c r="L16" s="0" t="n">
        <f aca="false">-L12</f>
        <v>1378.32131545444</v>
      </c>
    </row>
    <row r="17" customFormat="false" ht="15" hidden="false" customHeight="false" outlineLevel="0" collapsed="false">
      <c r="A17" s="0" t="s">
        <v>125</v>
      </c>
      <c r="C17" s="4" t="n">
        <f aca="false">-C6*Assumptions!C18/100</f>
        <v>-1866.9</v>
      </c>
      <c r="D17" s="4" t="n">
        <f aca="false">-D6*Assumptions!D18/100</f>
        <v>-1941.576</v>
      </c>
      <c r="E17" s="4" t="n">
        <f aca="false">-E6*Assumptions!E18/100</f>
        <v>-2009.53116</v>
      </c>
      <c r="F17" s="4" t="n">
        <f aca="false">-F6*Assumptions!F18/100</f>
        <v>-2010.67946352</v>
      </c>
      <c r="G17" s="4" t="n">
        <f aca="false">-G6*Assumptions!G18/100</f>
        <v>-2070.9998474256</v>
      </c>
      <c r="H17" s="4" t="n">
        <f aca="false">-H6*Assumptions!H18/100</f>
        <v>-2122.77484361124</v>
      </c>
      <c r="I17" s="4" t="n">
        <f aca="false">-I6*Assumptions!I18/100</f>
        <v>-2175.84421470152</v>
      </c>
      <c r="J17" s="4" t="n">
        <f aca="false">-J6*Assumptions!J18/100</f>
        <v>-2230.24032006906</v>
      </c>
      <c r="K17" s="4" t="n">
        <f aca="false">-K6*Assumptions!K18/100</f>
        <v>-2285.99632807079</v>
      </c>
      <c r="L17" s="4" t="n">
        <f aca="false">-L6*Assumptions!L18/100</f>
        <v>-2343.14623627255</v>
      </c>
    </row>
    <row r="18" customFormat="false" ht="15" hidden="false" customHeight="false" outlineLevel="0" collapsed="false">
      <c r="A18" s="0" t="s">
        <v>126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127</v>
      </c>
      <c r="C19" s="0" t="n">
        <f aca="false">C15+C16+C17+C18</f>
        <v>2108.2635</v>
      </c>
      <c r="D19" s="0" t="n">
        <f aca="false">D15+D16+D17+D18</f>
        <v>2150.98884</v>
      </c>
      <c r="E19" s="0" t="n">
        <f aca="false">E15+E16+E17+E18</f>
        <v>2183.2120674</v>
      </c>
      <c r="F19" s="0" t="n">
        <f aca="false">F15+F16+F17+F18</f>
        <v>2263.492837242</v>
      </c>
      <c r="G19" s="0" t="n">
        <f aca="false">G15+G16+G17+G18</f>
        <v>2331.39762235926</v>
      </c>
      <c r="H19" s="0" t="n">
        <f aca="false">H15+H16+H17+H18</f>
        <v>2389.68256291824</v>
      </c>
      <c r="I19" s="0" t="n">
        <f aca="false">I15+I16+I17+I18</f>
        <v>2449.4246269912</v>
      </c>
      <c r="J19" s="0" t="n">
        <f aca="false">J15+J16+J17+J18</f>
        <v>2510.66024266598</v>
      </c>
      <c r="K19" s="0" t="n">
        <f aca="false">K15+K16+K17+K18</f>
        <v>2573.42674873263</v>
      </c>
      <c r="L19" s="0" t="n">
        <f aca="false">L15+L16+L17+L18</f>
        <v>2637.76241745094</v>
      </c>
    </row>
    <row r="20" customFormat="false" ht="15" hidden="false" customHeight="false" outlineLevel="0" collapsed="false">
      <c r="A20" s="0" t="s">
        <v>128</v>
      </c>
      <c r="C20" s="0" t="n">
        <f aca="false">1/(1+$B$27/100)^C4</f>
        <v>0.928074245939675</v>
      </c>
      <c r="D20" s="0" t="n">
        <f aca="false">1/(1+$B$27/100)^D4</f>
        <v>0.861321805976497</v>
      </c>
      <c r="E20" s="0" t="n">
        <f aca="false">1/(1+$B$27/100)^E4</f>
        <v>0.799370585593037</v>
      </c>
      <c r="F20" s="0" t="n">
        <f aca="false">1/(1+$B$27/100)^F4</f>
        <v>0.741875253450614</v>
      </c>
      <c r="G20" s="0" t="n">
        <f aca="false">1/(1+$B$27/100)^G4</f>
        <v>0.688515316427484</v>
      </c>
      <c r="H20" s="0" t="n">
        <f aca="false">1/(1+$B$27/100)^H4</f>
        <v>0.638993333111354</v>
      </c>
      <c r="I20" s="0" t="n">
        <f aca="false">1/(1+$B$27/100)^I4</f>
        <v>0.5930332557878</v>
      </c>
      <c r="J20" s="0" t="n">
        <f aca="false">1/(1+$B$27/100)^J4</f>
        <v>0.550378891682413</v>
      </c>
      <c r="K20" s="0" t="n">
        <f aca="false">1/(1+$B$27/100)^K4</f>
        <v>0.51079247487927</v>
      </c>
      <c r="L20" s="0" t="n">
        <f aca="false">1/(1+$B$27/100)^L4</f>
        <v>0.474053340955239</v>
      </c>
    </row>
    <row r="21" customFormat="false" ht="15" hidden="false" customHeight="false" outlineLevel="0" collapsed="false">
      <c r="A21" s="0" t="s">
        <v>129</v>
      </c>
      <c r="C21" s="0" t="n">
        <f aca="false">C19*C20</f>
        <v>1956.62505800464</v>
      </c>
      <c r="D21" s="0" t="n">
        <f aca="false">D19*D20</f>
        <v>1852.69359230409</v>
      </c>
      <c r="E21" s="0" t="n">
        <f aca="false">E19*E20</f>
        <v>1745.19550879132</v>
      </c>
      <c r="F21" s="0" t="n">
        <f aca="false">F19*F20</f>
        <v>1679.22932231256</v>
      </c>
      <c r="G21" s="0" t="n">
        <f aca="false">G19*G20</f>
        <v>1605.20297167697</v>
      </c>
      <c r="H21" s="0" t="n">
        <f aca="false">H19*H20</f>
        <v>1526.99122595721</v>
      </c>
      <c r="I21" s="0" t="n">
        <f aca="false">I19*I20</f>
        <v>1452.59026135141</v>
      </c>
      <c r="J21" s="0" t="n">
        <f aca="false">J19*J20</f>
        <v>1381.8144017496</v>
      </c>
      <c r="K21" s="0" t="n">
        <f aca="false">K19*K20</f>
        <v>1314.48701790565</v>
      </c>
      <c r="L21" s="0" t="n">
        <f aca="false">L19*L20</f>
        <v>1250.44008663879</v>
      </c>
    </row>
    <row r="23" customFormat="false" ht="15" hidden="false" customHeight="false" outlineLevel="0" collapsed="false">
      <c r="A23" s="0" t="s">
        <v>105</v>
      </c>
      <c r="C23" s="4" t="n">
        <f aca="false">Assumptions!C16</f>
        <v>0.85</v>
      </c>
      <c r="D23" s="4" t="n">
        <f aca="false">Assumptions!D16</f>
        <v>0.85</v>
      </c>
      <c r="E23" s="4" t="n">
        <f aca="false">Assumptions!E16</f>
        <v>0.85</v>
      </c>
      <c r="F23" s="4" t="n">
        <f aca="false">Assumptions!F16</f>
        <v>0.85</v>
      </c>
      <c r="G23" s="4" t="n">
        <f aca="false">Assumptions!G16</f>
        <v>0.85</v>
      </c>
      <c r="H23" s="4" t="n">
        <f aca="false">Assumptions!H16</f>
        <v>0.85</v>
      </c>
      <c r="I23" s="4" t="n">
        <f aca="false">Assumptions!I16</f>
        <v>0.85</v>
      </c>
      <c r="J23" s="4" t="n">
        <f aca="false">Assumptions!J16</f>
        <v>0.85</v>
      </c>
      <c r="K23" s="4" t="n">
        <f aca="false">Assumptions!K16</f>
        <v>0.85</v>
      </c>
      <c r="L23" s="4" t="n">
        <f aca="false">Assumptions!L16</f>
        <v>0.85</v>
      </c>
    </row>
    <row r="24" customFormat="false" ht="15" hidden="false" customHeight="false" outlineLevel="0" collapsed="false">
      <c r="A24" s="0" t="s">
        <v>130</v>
      </c>
      <c r="C24" s="0" t="n">
        <f aca="false">-C6*C23/100</f>
        <v>-453.39</v>
      </c>
      <c r="D24" s="0" t="n">
        <f aca="false">-D6*D23/100</f>
        <v>-471.5256</v>
      </c>
      <c r="E24" s="0" t="n">
        <f aca="false">-E6*E23/100</f>
        <v>-488.028996</v>
      </c>
      <c r="F24" s="0" t="n">
        <f aca="false">-F6*F23/100</f>
        <v>-502.66986588</v>
      </c>
      <c r="G24" s="0" t="n">
        <f aca="false">-G6*G23/100</f>
        <v>-517.7499618564</v>
      </c>
      <c r="H24" s="0" t="n">
        <f aca="false">-H6*H23/100</f>
        <v>-530.69371090281</v>
      </c>
      <c r="I24" s="0" t="n">
        <f aca="false">-I6*I23/100</f>
        <v>-543.96105367538</v>
      </c>
      <c r="J24" s="0" t="n">
        <f aca="false">-J6*J23/100</f>
        <v>-557.560080017265</v>
      </c>
      <c r="K24" s="0" t="n">
        <f aca="false">-K6*K23/100</f>
        <v>-571.499082017696</v>
      </c>
      <c r="L24" s="0" t="n">
        <f aca="false">-L6*L23/100</f>
        <v>-585.786559068139</v>
      </c>
    </row>
    <row r="26" customFormat="false" ht="15" hidden="false" customHeight="false" outlineLevel="0" collapsed="false">
      <c r="A26" s="2" t="s">
        <v>131</v>
      </c>
    </row>
    <row r="27" customFormat="false" ht="15" hidden="false" customHeight="false" outlineLevel="0" collapsed="false">
      <c r="A27" s="0" t="s">
        <v>109</v>
      </c>
      <c r="B27" s="4" t="n">
        <f aca="false">Assumptions!$B$20</f>
        <v>7.75</v>
      </c>
    </row>
    <row r="28" customFormat="false" ht="15" hidden="false" customHeight="false" outlineLevel="0" collapsed="false">
      <c r="A28" s="0" t="s">
        <v>110</v>
      </c>
      <c r="B28" s="4" t="n">
        <f aca="false">Assumptions!$B$21</f>
        <v>2</v>
      </c>
    </row>
    <row r="29" customFormat="false" ht="15" hidden="false" customHeight="false" outlineLevel="0" collapsed="false">
      <c r="A29" s="0" t="s">
        <v>111</v>
      </c>
      <c r="B29" s="4" t="n">
        <f aca="false">Assumptions!$B$22</f>
        <v>16</v>
      </c>
    </row>
    <row r="30" customFormat="false" ht="15" hidden="false" customHeight="false" outlineLevel="0" collapsed="false">
      <c r="A30" s="0" t="s">
        <v>132</v>
      </c>
      <c r="B30" s="0" t="n">
        <f aca="false">SUM(C21:L21)</f>
        <v>15765.2694466922</v>
      </c>
    </row>
    <row r="31" customFormat="false" ht="15" hidden="false" customHeight="false" outlineLevel="0" collapsed="false">
      <c r="A31" s="0" t="s">
        <v>133</v>
      </c>
      <c r="B31" s="0" t="n">
        <f aca="false">L19</f>
        <v>2637.76241745094</v>
      </c>
    </row>
    <row r="32" customFormat="false" ht="15" hidden="false" customHeight="false" outlineLevel="0" collapsed="false">
      <c r="A32" s="0" t="s">
        <v>134</v>
      </c>
      <c r="B32" s="0" t="n">
        <f aca="false">IF(B27&gt;B28,B31*(1+B28/100)/((B27-B28)/100),B31*B29)</f>
        <v>46791.6115791298</v>
      </c>
    </row>
    <row r="33" customFormat="false" ht="15" hidden="false" customHeight="false" outlineLevel="0" collapsed="false">
      <c r="A33" s="0" t="s">
        <v>135</v>
      </c>
      <c r="B33" s="0" t="n">
        <f aca="false">B31*B29</f>
        <v>42204.1986792151</v>
      </c>
    </row>
    <row r="34" customFormat="false" ht="15" hidden="false" customHeight="false" outlineLevel="0" collapsed="false">
      <c r="A34" s="0" t="s">
        <v>136</v>
      </c>
      <c r="B34" s="0" t="n">
        <f aca="false">MAX(0,MIN(B32,B33))</f>
        <v>42204.1986792151</v>
      </c>
    </row>
    <row r="35" customFormat="false" ht="15" hidden="false" customHeight="false" outlineLevel="0" collapsed="false">
      <c r="A35" s="0" t="s">
        <v>137</v>
      </c>
      <c r="B35" s="0" t="n">
        <f aca="false">B34/(1+B27/100)^L4</f>
        <v>20007.0413862206</v>
      </c>
    </row>
    <row r="36" customFormat="false" ht="15" hidden="false" customHeight="false" outlineLevel="0" collapsed="false">
      <c r="A36" s="0" t="s">
        <v>138</v>
      </c>
      <c r="B36" s="0" t="n">
        <f aca="false">B30+B35</f>
        <v>35772.3108329128</v>
      </c>
    </row>
    <row r="37" customFormat="false" ht="15" hidden="false" customHeight="false" outlineLevel="0" collapsed="false">
      <c r="A37" s="0" t="s">
        <v>139</v>
      </c>
      <c r="B37" s="0" t="n">
        <f aca="false">B36+Assumptions!$B$5-Assumptions!$B$4</f>
        <v>28674.3108329128</v>
      </c>
    </row>
    <row r="38" customFormat="false" ht="15" hidden="false" customHeight="false" outlineLevel="0" collapsed="false">
      <c r="A38" s="0" t="s">
        <v>140</v>
      </c>
      <c r="B38" s="0" t="n">
        <f aca="false">B37/Assumptions!$B$3*Assumptions!$B$10</f>
        <v>16.8771694131329</v>
      </c>
    </row>
    <row r="39" customFormat="false" ht="15" hidden="false" customHeight="false" outlineLevel="0" collapsed="false">
      <c r="A39" s="0" t="s">
        <v>141</v>
      </c>
      <c r="B39" s="4" t="n">
        <f aca="false">B38/Assumptions!$B$2-1</f>
        <v>-0.459065082912407</v>
      </c>
    </row>
    <row r="41" customFormat="false" ht="15" hidden="false" customHeight="false" outlineLevel="0" collapsed="false">
      <c r="A41" s="0" t="s">
        <v>142</v>
      </c>
      <c r="B41" s="0" t="n">
        <f aca="false">SUMPRODUCT(-C10:L10/(1+$B$27/100)^C4:L4)</f>
        <v>737.916468073276</v>
      </c>
    </row>
    <row r="42" customFormat="false" ht="15" hidden="false" customHeight="false" outlineLevel="0" collapsed="false">
      <c r="A42" s="0" t="s">
        <v>143</v>
      </c>
      <c r="B42" s="0" t="n">
        <f aca="false">IF(B27&gt;B28,-L10*(1+B28/100)/((B27-B28)/100),-L10*20)/(1+B27/100)^L4</f>
        <v>1043.16383111638</v>
      </c>
    </row>
    <row r="43" customFormat="false" ht="15" hidden="false" customHeight="false" outlineLevel="0" collapsed="false">
      <c r="A43" s="0" t="s">
        <v>144</v>
      </c>
      <c r="B43" s="0" t="n">
        <f aca="false">(B37+B41+B42)/Assumptions!$B$3*Assumptions!$B$10</f>
        <v>17.9254803602722</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20696.2897369228</v>
      </c>
    </row>
    <row r="47" customFormat="false" ht="15" hidden="false" customHeight="false" outlineLevel="0" collapsed="false">
      <c r="A47" s="0" t="s">
        <v>146</v>
      </c>
      <c r="B47" s="0" t="n">
        <f aca="false">(SUMPRODUCT(C19:L19/(1+B45/100)^C4:L4)+B46/(1+B45/100)^L4+Assumptions!$B$5-Assumptions!$B$4)/Assumptions!$B$3*Assumptions!$B$10</f>
        <v>5.60597196795301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7.5</v>
      </c>
      <c r="D5" s="4" t="n">
        <f aca="false">Assumptions!D27</f>
        <v>6.5</v>
      </c>
      <c r="E5" s="4" t="n">
        <f aca="false">Assumptions!E27</f>
        <v>6</v>
      </c>
      <c r="F5" s="4" t="n">
        <f aca="false">Assumptions!F27</f>
        <v>5.5</v>
      </c>
      <c r="G5" s="4" t="n">
        <f aca="false">Assumptions!G27</f>
        <v>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37</v>
      </c>
      <c r="B6" s="3" t="n">
        <v>50800</v>
      </c>
      <c r="C6" s="0" t="n">
        <f aca="false">B6*(1+C5/100)</f>
        <v>54610</v>
      </c>
      <c r="D6" s="0" t="n">
        <f aca="false">C6*(1+D5/100)</f>
        <v>58159.65</v>
      </c>
      <c r="E6" s="0" t="n">
        <f aca="false">D6*(1+E5/100)</f>
        <v>61649.229</v>
      </c>
      <c r="F6" s="0" t="n">
        <f aca="false">E6*(1+F5/100)</f>
        <v>65039.936595</v>
      </c>
      <c r="G6" s="0" t="n">
        <f aca="false">F6*(1+G5/100)</f>
        <v>68291.93342475</v>
      </c>
      <c r="H6" s="0" t="n">
        <f aca="false">G6*(1+H5/100)</f>
        <v>71365.0704288637</v>
      </c>
      <c r="I6" s="0" t="n">
        <f aca="false">H6*(1+I5/100)</f>
        <v>74219.6732460183</v>
      </c>
      <c r="J6" s="0" t="n">
        <f aca="false">I6*(1+J5/100)</f>
        <v>76817.3618096289</v>
      </c>
      <c r="K6" s="0" t="n">
        <f aca="false">J6*(1+K5/100)</f>
        <v>79121.8826639178</v>
      </c>
      <c r="L6" s="0" t="n">
        <f aca="false">K6*(1+L5/100)</f>
        <v>81495.5391438353</v>
      </c>
    </row>
    <row r="7" customFormat="false" ht="15" hidden="false" customHeight="false" outlineLevel="0" collapsed="false">
      <c r="A7" s="0" t="s">
        <v>103</v>
      </c>
      <c r="C7" s="4" t="n">
        <f aca="false">Assumptions!C28</f>
        <v>10.55</v>
      </c>
      <c r="D7" s="4" t="n">
        <f aca="false">Assumptions!D28</f>
        <v>10.65</v>
      </c>
      <c r="E7" s="4" t="n">
        <f aca="false">Assumptions!E28</f>
        <v>10.75</v>
      </c>
      <c r="F7" s="4" t="n">
        <f aca="false">Assumptions!F28</f>
        <v>10.85</v>
      </c>
      <c r="G7" s="4" t="n">
        <f aca="false">Assumptions!G28</f>
        <v>10.95</v>
      </c>
      <c r="H7" s="4" t="n">
        <f aca="false">Assumptions!H28</f>
        <v>11</v>
      </c>
      <c r="I7" s="4" t="n">
        <f aca="false">Assumptions!I28</f>
        <v>11</v>
      </c>
      <c r="J7" s="4" t="n">
        <f aca="false">Assumptions!J28</f>
        <v>11</v>
      </c>
      <c r="K7" s="4" t="n">
        <f aca="false">Assumptions!K28</f>
        <v>11</v>
      </c>
      <c r="L7" s="4" t="n">
        <f aca="false">Assumptions!L28</f>
        <v>11</v>
      </c>
    </row>
    <row r="8" customFormat="false" ht="15" hidden="false" customHeight="false" outlineLevel="0" collapsed="false">
      <c r="A8" s="0" t="s">
        <v>43</v>
      </c>
      <c r="C8" s="0" t="n">
        <f aca="false">C6*C7/100</f>
        <v>5761.355</v>
      </c>
      <c r="D8" s="0" t="n">
        <f aca="false">D6*D7/100</f>
        <v>6194.002725</v>
      </c>
      <c r="E8" s="0" t="n">
        <f aca="false">E6*E7/100</f>
        <v>6627.2921175</v>
      </c>
      <c r="F8" s="0" t="n">
        <f aca="false">F6*F7/100</f>
        <v>7056.8331205575</v>
      </c>
      <c r="G8" s="0" t="n">
        <f aca="false">G6*G7/100</f>
        <v>7477.96671001012</v>
      </c>
      <c r="H8" s="0" t="n">
        <f aca="false">H6*H7/100</f>
        <v>7850.15774717501</v>
      </c>
      <c r="I8" s="0" t="n">
        <f aca="false">I6*I7/100</f>
        <v>8164.16405706201</v>
      </c>
      <c r="J8" s="0" t="n">
        <f aca="false">J6*J7/100</f>
        <v>8449.90979905918</v>
      </c>
      <c r="K8" s="0" t="n">
        <f aca="false">K6*K7/100</f>
        <v>8703.40709303096</v>
      </c>
      <c r="L8" s="0" t="n">
        <f aca="false">L6*L7/100</f>
        <v>8964.50930582188</v>
      </c>
    </row>
    <row r="9" customFormat="false" ht="15" hidden="false" customHeight="false" outlineLevel="0" collapsed="false">
      <c r="A9" s="0" t="s">
        <v>104</v>
      </c>
      <c r="C9" s="4" t="n">
        <f aca="false">Assumptions!C29</f>
        <v>0.18</v>
      </c>
      <c r="D9" s="4" t="n">
        <f aca="false">Assumptions!D29</f>
        <v>0.18</v>
      </c>
      <c r="E9" s="4" t="n">
        <f aca="false">Assumptions!E29</f>
        <v>0.18</v>
      </c>
      <c r="F9" s="4" t="n">
        <f aca="false">Assumptions!F29</f>
        <v>0.18</v>
      </c>
      <c r="G9" s="4" t="n">
        <f aca="false">Assumptions!G29</f>
        <v>0.18</v>
      </c>
      <c r="H9" s="4" t="n">
        <f aca="false">Assumptions!H29</f>
        <v>0.18</v>
      </c>
      <c r="I9" s="4" t="n">
        <f aca="false">Assumptions!I29</f>
        <v>0.18</v>
      </c>
      <c r="J9" s="4" t="n">
        <f aca="false">Assumptions!J29</f>
        <v>0.18</v>
      </c>
      <c r="K9" s="4" t="n">
        <f aca="false">Assumptions!K29</f>
        <v>0.18</v>
      </c>
      <c r="L9" s="4" t="n">
        <f aca="false">Assumptions!L29</f>
        <v>0.18</v>
      </c>
    </row>
    <row r="10" customFormat="false" ht="15" hidden="false" customHeight="false" outlineLevel="0" collapsed="false">
      <c r="A10" s="0" t="s">
        <v>119</v>
      </c>
      <c r="C10" s="0" t="n">
        <f aca="false">-C6*C9/100</f>
        <v>-98.298</v>
      </c>
      <c r="D10" s="0" t="n">
        <f aca="false">-D6*D9/100</f>
        <v>-104.68737</v>
      </c>
      <c r="E10" s="0" t="n">
        <f aca="false">-E6*E9/100</f>
        <v>-110.9686122</v>
      </c>
      <c r="F10" s="0" t="n">
        <f aca="false">-F6*F9/100</f>
        <v>-117.071885871</v>
      </c>
      <c r="G10" s="0" t="n">
        <f aca="false">-G6*G9/100</f>
        <v>-122.92548016455</v>
      </c>
      <c r="H10" s="0" t="n">
        <f aca="false">-H6*H9/100</f>
        <v>-128.457126771955</v>
      </c>
      <c r="I10" s="0" t="n">
        <f aca="false">-I6*I9/100</f>
        <v>-133.595411842833</v>
      </c>
      <c r="J10" s="0" t="n">
        <f aca="false">-J6*J9/100</f>
        <v>-138.271251257332</v>
      </c>
      <c r="K10" s="0" t="n">
        <f aca="false">-K6*K9/100</f>
        <v>-142.419388795052</v>
      </c>
      <c r="L10" s="0" t="n">
        <f aca="false">-L6*L9/100</f>
        <v>-146.691970458904</v>
      </c>
    </row>
    <row r="11" customFormat="false" ht="15" hidden="false" customHeight="false" outlineLevel="0" collapsed="false">
      <c r="A11" s="0" t="s">
        <v>120</v>
      </c>
      <c r="C11" s="0" t="n">
        <f aca="false">C8+C10+C24</f>
        <v>5226.177</v>
      </c>
      <c r="D11" s="0" t="n">
        <f aca="false">D8+D10+D24</f>
        <v>5624.038155</v>
      </c>
      <c r="E11" s="0" t="n">
        <f aca="false">E8+E10+E24</f>
        <v>6023.1296733</v>
      </c>
      <c r="F11" s="0" t="n">
        <f aca="false">F8+F10+F24</f>
        <v>6419.4417419265</v>
      </c>
      <c r="G11" s="0" t="n">
        <f aca="false">G8+G10+G24</f>
        <v>6808.70576244757</v>
      </c>
      <c r="H11" s="0" t="n">
        <f aca="false">H8+H10+H24</f>
        <v>7150.78005697215</v>
      </c>
      <c r="I11" s="0" t="n">
        <f aca="false">I8+I10+I24</f>
        <v>7436.81125925103</v>
      </c>
      <c r="J11" s="0" t="n">
        <f aca="false">J8+J10+J24</f>
        <v>7697.09965332482</v>
      </c>
      <c r="K11" s="0" t="n">
        <f aca="false">K8+K10+K24</f>
        <v>7928.01264292456</v>
      </c>
      <c r="L11" s="0" t="n">
        <f aca="false">L8+L10+L24</f>
        <v>8165.8530222123</v>
      </c>
    </row>
    <row r="12" customFormat="false" ht="15" hidden="false" customHeight="false" outlineLevel="0" collapsed="false">
      <c r="A12" s="0" t="s">
        <v>121</v>
      </c>
      <c r="C12" s="4" t="n">
        <f aca="false">-C6*Assumptions!C31/100</f>
        <v>-1092.2</v>
      </c>
      <c r="D12" s="4" t="n">
        <f aca="false">-D6*Assumptions!D31/100</f>
        <v>-1163.193</v>
      </c>
      <c r="E12" s="4" t="n">
        <f aca="false">-E6*Assumptions!E31/100</f>
        <v>-1232.98458</v>
      </c>
      <c r="F12" s="4" t="n">
        <f aca="false">-F6*Assumptions!F31/100</f>
        <v>-1300.7987319</v>
      </c>
      <c r="G12" s="4" t="n">
        <f aca="false">-G6*Assumptions!G31/100</f>
        <v>-1365.838668495</v>
      </c>
      <c r="H12" s="4" t="n">
        <f aca="false">-H6*Assumptions!H31/100</f>
        <v>-1427.30140857727</v>
      </c>
      <c r="I12" s="4" t="n">
        <f aca="false">-I6*Assumptions!I31/100</f>
        <v>-1484.39346492037</v>
      </c>
      <c r="J12" s="4" t="n">
        <f aca="false">-J6*Assumptions!J31/100</f>
        <v>-1536.34723619258</v>
      </c>
      <c r="K12" s="4" t="n">
        <f aca="false">-K6*Assumptions!K31/100</f>
        <v>-1582.43765327836</v>
      </c>
      <c r="L12" s="4" t="n">
        <f aca="false">-L6*Assumptions!L31/100</f>
        <v>-1629.91078287671</v>
      </c>
    </row>
    <row r="13" customFormat="false" ht="15" hidden="false" customHeight="false" outlineLevel="0" collapsed="false">
      <c r="A13" s="0" t="s">
        <v>122</v>
      </c>
      <c r="C13" s="0" t="n">
        <f aca="false">C11+C12</f>
        <v>4133.977</v>
      </c>
      <c r="D13" s="0" t="n">
        <f aca="false">D11+D12</f>
        <v>4460.845155</v>
      </c>
      <c r="E13" s="0" t="n">
        <f aca="false">E11+E12</f>
        <v>4790.1450933</v>
      </c>
      <c r="F13" s="0" t="n">
        <f aca="false">F11+F12</f>
        <v>5118.6430100265</v>
      </c>
      <c r="G13" s="0" t="n">
        <f aca="false">G11+G12</f>
        <v>5442.86709395257</v>
      </c>
      <c r="H13" s="0" t="n">
        <f aca="false">H11+H12</f>
        <v>5723.47864839487</v>
      </c>
      <c r="I13" s="0" t="n">
        <f aca="false">I11+I12</f>
        <v>5952.41779433067</v>
      </c>
      <c r="J13" s="0" t="n">
        <f aca="false">J11+J12</f>
        <v>6160.75241713224</v>
      </c>
      <c r="K13" s="0" t="n">
        <f aca="false">K11+K12</f>
        <v>6345.57498964621</v>
      </c>
      <c r="L13" s="0" t="n">
        <f aca="false">L11+L12</f>
        <v>6535.94223933559</v>
      </c>
    </row>
    <row r="14" customFormat="false" ht="15" hidden="false" customHeight="false" outlineLevel="0" collapsed="false">
      <c r="A14" s="0" t="s">
        <v>108</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123</v>
      </c>
      <c r="C15" s="0" t="n">
        <f aca="false">C13-MAX(0,C13)*C14/100</f>
        <v>3141.82252</v>
      </c>
      <c r="D15" s="0" t="n">
        <f aca="false">D13-MAX(0,D13)*D14/100</f>
        <v>3390.2423178</v>
      </c>
      <c r="E15" s="0" t="n">
        <f aca="false">E13-MAX(0,E13)*E14/100</f>
        <v>3640.510270908</v>
      </c>
      <c r="F15" s="0" t="n">
        <f aca="false">F13-MAX(0,F13)*F14/100</f>
        <v>3890.16868762014</v>
      </c>
      <c r="G15" s="0" t="n">
        <f aca="false">G13-MAX(0,G13)*G14/100</f>
        <v>4136.57899140396</v>
      </c>
      <c r="H15" s="0" t="n">
        <f aca="false">H13-MAX(0,H13)*H14/100</f>
        <v>4349.8437727801</v>
      </c>
      <c r="I15" s="0" t="n">
        <f aca="false">I13-MAX(0,I13)*I14/100</f>
        <v>4523.83752369131</v>
      </c>
      <c r="J15" s="0" t="n">
        <f aca="false">J13-MAX(0,J13)*J14/100</f>
        <v>4682.1718370205</v>
      </c>
      <c r="K15" s="0" t="n">
        <f aca="false">K13-MAX(0,K13)*K14/100</f>
        <v>4822.63699213112</v>
      </c>
      <c r="L15" s="0" t="n">
        <f aca="false">L13-MAX(0,L13)*L14/100</f>
        <v>4967.31610189505</v>
      </c>
    </row>
    <row r="16" customFormat="false" ht="15" hidden="false" customHeight="false" outlineLevel="0" collapsed="false">
      <c r="A16" s="0" t="s">
        <v>124</v>
      </c>
      <c r="C16" s="0" t="n">
        <f aca="false">-C12</f>
        <v>1092.2</v>
      </c>
      <c r="D16" s="0" t="n">
        <f aca="false">-D12</f>
        <v>1163.193</v>
      </c>
      <c r="E16" s="0" t="n">
        <f aca="false">-E12</f>
        <v>1232.98458</v>
      </c>
      <c r="F16" s="0" t="n">
        <f aca="false">-F12</f>
        <v>1300.7987319</v>
      </c>
      <c r="G16" s="0" t="n">
        <f aca="false">-G12</f>
        <v>1365.838668495</v>
      </c>
      <c r="H16" s="0" t="n">
        <f aca="false">-H12</f>
        <v>1427.30140857727</v>
      </c>
      <c r="I16" s="0" t="n">
        <f aca="false">-I12</f>
        <v>1484.39346492037</v>
      </c>
      <c r="J16" s="0" t="n">
        <f aca="false">-J12</f>
        <v>1536.34723619258</v>
      </c>
      <c r="K16" s="0" t="n">
        <f aca="false">-K12</f>
        <v>1582.43765327836</v>
      </c>
      <c r="L16" s="0" t="n">
        <f aca="false">-L12</f>
        <v>1629.91078287671</v>
      </c>
    </row>
    <row r="17" customFormat="false" ht="15" hidden="false" customHeight="false" outlineLevel="0" collapsed="false">
      <c r="A17" s="0" t="s">
        <v>125</v>
      </c>
      <c r="C17" s="4" t="n">
        <f aca="false">-C6*Assumptions!C32/100</f>
        <v>-1856.74</v>
      </c>
      <c r="D17" s="4" t="n">
        <f aca="false">-D6*Assumptions!D32/100</f>
        <v>-1977.4281</v>
      </c>
      <c r="E17" s="4" t="n">
        <f aca="false">-E6*Assumptions!E32/100</f>
        <v>-2034.424557</v>
      </c>
      <c r="F17" s="4" t="n">
        <f aca="false">-F6*Assumptions!F32/100</f>
        <v>-2146.317907635</v>
      </c>
      <c r="G17" s="4" t="n">
        <f aca="false">-G6*Assumptions!G32/100</f>
        <v>-2185.341869592</v>
      </c>
      <c r="H17" s="4" t="n">
        <f aca="false">-H6*Assumptions!H32/100</f>
        <v>-2283.68225372364</v>
      </c>
      <c r="I17" s="4" t="n">
        <f aca="false">-I6*Assumptions!I32/100</f>
        <v>-2375.02954387259</v>
      </c>
      <c r="J17" s="4" t="n">
        <f aca="false">-J6*Assumptions!J32/100</f>
        <v>-2458.15557790813</v>
      </c>
      <c r="K17" s="4" t="n">
        <f aca="false">-K6*Assumptions!K32/100</f>
        <v>-2531.90024524537</v>
      </c>
      <c r="L17" s="4" t="n">
        <f aca="false">-L6*Assumptions!L32/100</f>
        <v>-2607.85725260273</v>
      </c>
    </row>
    <row r="18" customFormat="false" ht="15" hidden="false" customHeight="false" outlineLevel="0" collapsed="false">
      <c r="A18" s="0" t="s">
        <v>126</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127</v>
      </c>
      <c r="C19" s="0" t="n">
        <f aca="false">C15+C16+C17+C18</f>
        <v>2377.28252</v>
      </c>
      <c r="D19" s="0" t="n">
        <f aca="false">D15+D16+D17+D18</f>
        <v>2576.0072178</v>
      </c>
      <c r="E19" s="0" t="n">
        <f aca="false">E15+E16+E17+E18</f>
        <v>2839.070293908</v>
      </c>
      <c r="F19" s="0" t="n">
        <f aca="false">F15+F16+F17+F18</f>
        <v>3044.64951188514</v>
      </c>
      <c r="G19" s="0" t="n">
        <f aca="false">G15+G16+G17+G18</f>
        <v>3317.07579030696</v>
      </c>
      <c r="H19" s="0" t="n">
        <f aca="false">H15+H16+H17+H18</f>
        <v>3493.46292763374</v>
      </c>
      <c r="I19" s="0" t="n">
        <f aca="false">I15+I16+I17+I18</f>
        <v>3633.20144473909</v>
      </c>
      <c r="J19" s="0" t="n">
        <f aca="false">J15+J16+J17+J18</f>
        <v>3760.36349530495</v>
      </c>
      <c r="K19" s="0" t="n">
        <f aca="false">K15+K16+K17+K18</f>
        <v>3873.1744001641</v>
      </c>
      <c r="L19" s="0" t="n">
        <f aca="false">L15+L16+L17+L18</f>
        <v>3989.36963216903</v>
      </c>
    </row>
    <row r="20" customFormat="false" ht="15" hidden="false" customHeight="false" outlineLevel="0" collapsed="false">
      <c r="A20" s="0" t="s">
        <v>128</v>
      </c>
      <c r="C20" s="0" t="n">
        <f aca="false">1/(1+$B$27/100)^C4</f>
        <v>0.928074245939675</v>
      </c>
      <c r="D20" s="0" t="n">
        <f aca="false">1/(1+$B$27/100)^D4</f>
        <v>0.861321805976497</v>
      </c>
      <c r="E20" s="0" t="n">
        <f aca="false">1/(1+$B$27/100)^E4</f>
        <v>0.799370585593037</v>
      </c>
      <c r="F20" s="0" t="n">
        <f aca="false">1/(1+$B$27/100)^F4</f>
        <v>0.741875253450614</v>
      </c>
      <c r="G20" s="0" t="n">
        <f aca="false">1/(1+$B$27/100)^G4</f>
        <v>0.688515316427484</v>
      </c>
      <c r="H20" s="0" t="n">
        <f aca="false">1/(1+$B$27/100)^H4</f>
        <v>0.638993333111354</v>
      </c>
      <c r="I20" s="0" t="n">
        <f aca="false">1/(1+$B$27/100)^I4</f>
        <v>0.5930332557878</v>
      </c>
      <c r="J20" s="0" t="n">
        <f aca="false">1/(1+$B$27/100)^J4</f>
        <v>0.550378891682413</v>
      </c>
      <c r="K20" s="0" t="n">
        <f aca="false">1/(1+$B$27/100)^K4</f>
        <v>0.51079247487927</v>
      </c>
      <c r="L20" s="0" t="n">
        <f aca="false">1/(1+$B$27/100)^L4</f>
        <v>0.474053340955239</v>
      </c>
    </row>
    <row r="21" customFormat="false" ht="15" hidden="false" customHeight="false" outlineLevel="0" collapsed="false">
      <c r="A21" s="0" t="s">
        <v>129</v>
      </c>
      <c r="C21" s="0" t="n">
        <f aca="false">C19*C20</f>
        <v>2206.29468213457</v>
      </c>
      <c r="D21" s="0" t="n">
        <f aca="false">D19*D20</f>
        <v>2218.77118904399</v>
      </c>
      <c r="E21" s="0" t="n">
        <f aca="false">E19*E20</f>
        <v>2269.46928338103</v>
      </c>
      <c r="F21" s="0" t="n">
        <f aca="false">F19*F20</f>
        <v>2258.75012829808</v>
      </c>
      <c r="G21" s="0" t="n">
        <f aca="false">G19*G20</f>
        <v>2283.85748737714</v>
      </c>
      <c r="H21" s="0" t="n">
        <f aca="false">H19*H20</f>
        <v>2232.29952022963</v>
      </c>
      <c r="I21" s="0" t="n">
        <f aca="false">I19*I20</f>
        <v>2154.60928170656</v>
      </c>
      <c r="J21" s="0" t="n">
        <f aca="false">J19*J20</f>
        <v>2069.62469286894</v>
      </c>
      <c r="K21" s="0" t="n">
        <f aca="false">K19*K20</f>
        <v>1978.38833749885</v>
      </c>
      <c r="L21" s="0" t="n">
        <f aca="false">L19*L20</f>
        <v>1891.1740024351</v>
      </c>
    </row>
    <row r="23" customFormat="false" ht="15" hidden="false" customHeight="false" outlineLevel="0" collapsed="false">
      <c r="A23" s="0" t="s">
        <v>105</v>
      </c>
      <c r="C23" s="4" t="n">
        <f aca="false">Assumptions!C30</f>
        <v>0.8</v>
      </c>
      <c r="D23" s="4" t="n">
        <f aca="false">Assumptions!D30</f>
        <v>0.8</v>
      </c>
      <c r="E23" s="4" t="n">
        <f aca="false">Assumptions!E30</f>
        <v>0.8</v>
      </c>
      <c r="F23" s="4" t="n">
        <f aca="false">Assumptions!F30</f>
        <v>0.8</v>
      </c>
      <c r="G23" s="4" t="n">
        <f aca="false">Assumptions!G30</f>
        <v>0.8</v>
      </c>
      <c r="H23" s="4" t="n">
        <f aca="false">Assumptions!H30</f>
        <v>0.8</v>
      </c>
      <c r="I23" s="4" t="n">
        <f aca="false">Assumptions!I30</f>
        <v>0.8</v>
      </c>
      <c r="J23" s="4" t="n">
        <f aca="false">Assumptions!J30</f>
        <v>0.8</v>
      </c>
      <c r="K23" s="4" t="n">
        <f aca="false">Assumptions!K30</f>
        <v>0.8</v>
      </c>
      <c r="L23" s="4" t="n">
        <f aca="false">Assumptions!L30</f>
        <v>0.8</v>
      </c>
    </row>
    <row r="24" customFormat="false" ht="15" hidden="false" customHeight="false" outlineLevel="0" collapsed="false">
      <c r="A24" s="0" t="s">
        <v>130</v>
      </c>
      <c r="C24" s="0" t="n">
        <f aca="false">-C6*C23/100</f>
        <v>-436.88</v>
      </c>
      <c r="D24" s="0" t="n">
        <f aca="false">-D6*D23/100</f>
        <v>-465.2772</v>
      </c>
      <c r="E24" s="0" t="n">
        <f aca="false">-E6*E23/100</f>
        <v>-493.193832</v>
      </c>
      <c r="F24" s="0" t="n">
        <f aca="false">-F6*F23/100</f>
        <v>-520.31949276</v>
      </c>
      <c r="G24" s="0" t="n">
        <f aca="false">-G6*G23/100</f>
        <v>-546.335467398</v>
      </c>
      <c r="H24" s="0" t="n">
        <f aca="false">-H6*H23/100</f>
        <v>-570.92056343091</v>
      </c>
      <c r="I24" s="0" t="n">
        <f aca="false">-I6*I23/100</f>
        <v>-593.757385968146</v>
      </c>
      <c r="J24" s="0" t="n">
        <f aca="false">-J6*J23/100</f>
        <v>-614.538894477031</v>
      </c>
      <c r="K24" s="0" t="n">
        <f aca="false">-K6*K23/100</f>
        <v>-632.975061311342</v>
      </c>
      <c r="L24" s="0" t="n">
        <f aca="false">-L6*L23/100</f>
        <v>-651.964313150683</v>
      </c>
    </row>
    <row r="26" customFormat="false" ht="15" hidden="false" customHeight="false" outlineLevel="0" collapsed="false">
      <c r="A26" s="2" t="s">
        <v>131</v>
      </c>
    </row>
    <row r="27" customFormat="false" ht="15" hidden="false" customHeight="false" outlineLevel="0" collapsed="false">
      <c r="A27" s="0" t="s">
        <v>109</v>
      </c>
      <c r="B27" s="4" t="n">
        <f aca="false">Assumptions!$B$34</f>
        <v>7.75</v>
      </c>
    </row>
    <row r="28" customFormat="false" ht="15" hidden="false" customHeight="false" outlineLevel="0" collapsed="false">
      <c r="A28" s="0" t="s">
        <v>110</v>
      </c>
      <c r="B28" s="4" t="n">
        <f aca="false">Assumptions!$B$35</f>
        <v>2.75</v>
      </c>
    </row>
    <row r="29" customFormat="false" ht="15" hidden="false" customHeight="false" outlineLevel="0" collapsed="false">
      <c r="A29" s="0" t="s">
        <v>111</v>
      </c>
      <c r="B29" s="4" t="n">
        <f aca="false">Assumptions!$B$36</f>
        <v>20</v>
      </c>
    </row>
    <row r="30" customFormat="false" ht="15" hidden="false" customHeight="false" outlineLevel="0" collapsed="false">
      <c r="A30" s="0" t="s">
        <v>132</v>
      </c>
      <c r="B30" s="0" t="n">
        <f aca="false">SUM(C21:L21)</f>
        <v>21563.2386049739</v>
      </c>
    </row>
    <row r="31" customFormat="false" ht="15" hidden="false" customHeight="false" outlineLevel="0" collapsed="false">
      <c r="A31" s="0" t="s">
        <v>133</v>
      </c>
      <c r="B31" s="0" t="n">
        <f aca="false">L19</f>
        <v>3989.36963216903</v>
      </c>
    </row>
    <row r="32" customFormat="false" ht="15" hidden="false" customHeight="false" outlineLevel="0" collapsed="false">
      <c r="A32" s="0" t="s">
        <v>134</v>
      </c>
      <c r="B32" s="0" t="n">
        <f aca="false">IF(B27&gt;B28,B31*(1+B28/100)/((B27-B28)/100),B31*B29)</f>
        <v>81981.5459410735</v>
      </c>
    </row>
    <row r="33" customFormat="false" ht="15" hidden="false" customHeight="false" outlineLevel="0" collapsed="false">
      <c r="A33" s="0" t="s">
        <v>135</v>
      </c>
      <c r="B33" s="0" t="n">
        <f aca="false">B31*B29</f>
        <v>79787.3926433805</v>
      </c>
    </row>
    <row r="34" customFormat="false" ht="15" hidden="false" customHeight="false" outlineLevel="0" collapsed="false">
      <c r="A34" s="0" t="s">
        <v>136</v>
      </c>
      <c r="B34" s="0" t="n">
        <f aca="false">MAX(0,MIN(B32,B33))</f>
        <v>79787.3926433805</v>
      </c>
    </row>
    <row r="35" customFormat="false" ht="15" hidden="false" customHeight="false" outlineLevel="0" collapsed="false">
      <c r="A35" s="0" t="s">
        <v>137</v>
      </c>
      <c r="B35" s="0" t="n">
        <f aca="false">B34/(1+B27/100)^L4</f>
        <v>37823.480048702</v>
      </c>
    </row>
    <row r="36" customFormat="false" ht="15" hidden="false" customHeight="false" outlineLevel="0" collapsed="false">
      <c r="A36" s="0" t="s">
        <v>138</v>
      </c>
      <c r="B36" s="0" t="n">
        <f aca="false">B30+B35</f>
        <v>59386.7186536759</v>
      </c>
    </row>
    <row r="37" customFormat="false" ht="15" hidden="false" customHeight="false" outlineLevel="0" collapsed="false">
      <c r="A37" s="0" t="s">
        <v>139</v>
      </c>
      <c r="B37" s="0" t="n">
        <f aca="false">B36+Assumptions!$B$5-Assumptions!$B$4</f>
        <v>52288.7186536759</v>
      </c>
    </row>
    <row r="38" customFormat="false" ht="15" hidden="false" customHeight="false" outlineLevel="0" collapsed="false">
      <c r="A38" s="0" t="s">
        <v>140</v>
      </c>
      <c r="B38" s="0" t="n">
        <f aca="false">B37/Assumptions!$B$3*Assumptions!$B$10</f>
        <v>30.776173427708</v>
      </c>
    </row>
    <row r="39" customFormat="false" ht="15" hidden="false" customHeight="false" outlineLevel="0" collapsed="false">
      <c r="A39" s="0" t="s">
        <v>141</v>
      </c>
      <c r="B39" s="4" t="n">
        <f aca="false">B38/Assumptions!$B$2-1</f>
        <v>-0.0135841850093597</v>
      </c>
    </row>
    <row r="41" customFormat="false" ht="15" hidden="false" customHeight="false" outlineLevel="0" collapsed="false">
      <c r="A41" s="0" t="s">
        <v>142</v>
      </c>
      <c r="B41" s="0" t="n">
        <f aca="false">SUMPRODUCT(-C10:L10/(1+$B$27/100)^C4:L4)</f>
        <v>821.289130631159</v>
      </c>
    </row>
    <row r="42" customFormat="false" ht="15" hidden="false" customHeight="false" outlineLevel="0" collapsed="false">
      <c r="A42" s="0" t="s">
        <v>143</v>
      </c>
      <c r="B42" s="0" t="n">
        <f aca="false">IF(B27&gt;B28,-L10*(1+B28/100)/((B27-B28)/100),-L10*20)/(1+B27/100)^L4</f>
        <v>1429.04327402505</v>
      </c>
    </row>
    <row r="43" customFormat="false" ht="15" hidden="false" customHeight="false" outlineLevel="0" collapsed="false">
      <c r="A43" s="0" t="s">
        <v>144</v>
      </c>
      <c r="B43" s="0" t="n">
        <f aca="false">(B37+B41+B42)/Assumptions!$B$3*Assumptions!$B$10</f>
        <v>32.100677491661</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33461.8554861524</v>
      </c>
    </row>
    <row r="47" customFormat="false" ht="15" hidden="false" customHeight="false" outlineLevel="0" collapsed="false">
      <c r="A47" s="0" t="s">
        <v>146</v>
      </c>
      <c r="B47" s="0" t="n">
        <f aca="false">(SUMPRODUCT(C19:L19/(1+B45/100)^C4:L4)+B46/(1+B45/100)^L4+Assumptions!$B$5-Assumptions!$B$4)/Assumptions!$B$3*Assumptions!$B$10</f>
        <v>9.79255008000002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87</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9</v>
      </c>
      <c r="D5" s="4" t="n">
        <f aca="false">Assumptions!D41</f>
        <v>8.5</v>
      </c>
      <c r="E5" s="4" t="n">
        <f aca="false">Assumptions!E41</f>
        <v>8</v>
      </c>
      <c r="F5" s="4" t="n">
        <f aca="false">Assumptions!F41</f>
        <v>7</v>
      </c>
      <c r="G5" s="4" t="n">
        <f aca="false">Assumptions!G41</f>
        <v>6.5</v>
      </c>
      <c r="H5" s="4" t="n">
        <f aca="false">Assumptions!H41</f>
        <v>6</v>
      </c>
      <c r="I5" s="4" t="n">
        <f aca="false">Assumptions!I41</f>
        <v>5</v>
      </c>
      <c r="J5" s="4" t="n">
        <f aca="false">Assumptions!J41</f>
        <v>4.5</v>
      </c>
      <c r="K5" s="4" t="n">
        <f aca="false">Assumptions!K41</f>
        <v>4</v>
      </c>
      <c r="L5" s="4" t="n">
        <f aca="false">Assumptions!L41</f>
        <v>3.5</v>
      </c>
    </row>
    <row r="6" customFormat="false" ht="15" hidden="false" customHeight="false" outlineLevel="0" collapsed="false">
      <c r="A6" s="0" t="s">
        <v>37</v>
      </c>
      <c r="B6" s="3" t="n">
        <v>50800</v>
      </c>
      <c r="C6" s="0" t="n">
        <f aca="false">B6*(1+C5/100)</f>
        <v>55372</v>
      </c>
      <c r="D6" s="0" t="n">
        <f aca="false">C6*(1+D5/100)</f>
        <v>60078.62</v>
      </c>
      <c r="E6" s="0" t="n">
        <f aca="false">D6*(1+E5/100)</f>
        <v>64884.9096</v>
      </c>
      <c r="F6" s="0" t="n">
        <f aca="false">E6*(1+F5/100)</f>
        <v>69426.853272</v>
      </c>
      <c r="G6" s="0" t="n">
        <f aca="false">F6*(1+G5/100)</f>
        <v>73939.59873468</v>
      </c>
      <c r="H6" s="0" t="n">
        <f aca="false">G6*(1+H5/100)</f>
        <v>78375.9746587608</v>
      </c>
      <c r="I6" s="0" t="n">
        <f aca="false">H6*(1+I5/100)</f>
        <v>82294.7733916989</v>
      </c>
      <c r="J6" s="0" t="n">
        <f aca="false">I6*(1+J5/100)</f>
        <v>85998.0381943253</v>
      </c>
      <c r="K6" s="0" t="n">
        <f aca="false">J6*(1+K5/100)</f>
        <v>89437.9597220983</v>
      </c>
      <c r="L6" s="0" t="n">
        <f aca="false">K6*(1+L5/100)</f>
        <v>92568.2883123717</v>
      </c>
    </row>
    <row r="7" customFormat="false" ht="15" hidden="false" customHeight="false" outlineLevel="0" collapsed="false">
      <c r="A7" s="0" t="s">
        <v>103</v>
      </c>
      <c r="C7" s="4" t="n">
        <f aca="false">Assumptions!C42</f>
        <v>10.6</v>
      </c>
      <c r="D7" s="4" t="n">
        <f aca="false">Assumptions!D42</f>
        <v>10.8</v>
      </c>
      <c r="E7" s="4" t="n">
        <f aca="false">Assumptions!E42</f>
        <v>11</v>
      </c>
      <c r="F7" s="4" t="n">
        <f aca="false">Assumptions!F42</f>
        <v>11.2</v>
      </c>
      <c r="G7" s="4" t="n">
        <f aca="false">Assumptions!G42</f>
        <v>11.4</v>
      </c>
      <c r="H7" s="4" t="n">
        <f aca="false">Assumptions!H42</f>
        <v>11.6</v>
      </c>
      <c r="I7" s="4" t="n">
        <f aca="false">Assumptions!I42</f>
        <v>11.7</v>
      </c>
      <c r="J7" s="4" t="n">
        <f aca="false">Assumptions!J42</f>
        <v>11.8</v>
      </c>
      <c r="K7" s="4" t="n">
        <f aca="false">Assumptions!K42</f>
        <v>11.8</v>
      </c>
      <c r="L7" s="4" t="n">
        <f aca="false">Assumptions!L42</f>
        <v>11.8</v>
      </c>
    </row>
    <row r="8" customFormat="false" ht="15" hidden="false" customHeight="false" outlineLevel="0" collapsed="false">
      <c r="A8" s="0" t="s">
        <v>43</v>
      </c>
      <c r="C8" s="0" t="n">
        <f aca="false">C6*C7/100</f>
        <v>5869.432</v>
      </c>
      <c r="D8" s="0" t="n">
        <f aca="false">D6*D7/100</f>
        <v>6488.49096</v>
      </c>
      <c r="E8" s="0" t="n">
        <f aca="false">E6*E7/100</f>
        <v>7137.340056</v>
      </c>
      <c r="F8" s="0" t="n">
        <f aca="false">F6*F7/100</f>
        <v>7775.807566464</v>
      </c>
      <c r="G8" s="0" t="n">
        <f aca="false">G6*G7/100</f>
        <v>8429.11425575352</v>
      </c>
      <c r="H8" s="0" t="n">
        <f aca="false">H6*H7/100</f>
        <v>9091.61306041625</v>
      </c>
      <c r="I8" s="0" t="n">
        <f aca="false">I6*I7/100</f>
        <v>9628.48848682877</v>
      </c>
      <c r="J8" s="0" t="n">
        <f aca="false">J6*J7/100</f>
        <v>10147.7685069304</v>
      </c>
      <c r="K8" s="0" t="n">
        <f aca="false">K6*K7/100</f>
        <v>10553.6792472076</v>
      </c>
      <c r="L8" s="0" t="n">
        <f aca="false">L6*L7/100</f>
        <v>10923.0580208599</v>
      </c>
    </row>
    <row r="9" customFormat="false" ht="15" hidden="false" customHeight="false" outlineLevel="0" collapsed="false">
      <c r="A9" s="0" t="s">
        <v>104</v>
      </c>
      <c r="C9" s="4" t="n">
        <f aca="false">Assumptions!C43</f>
        <v>0.18</v>
      </c>
      <c r="D9" s="4" t="n">
        <f aca="false">Assumptions!D43</f>
        <v>0.18</v>
      </c>
      <c r="E9" s="4" t="n">
        <f aca="false">Assumptions!E43</f>
        <v>0.18</v>
      </c>
      <c r="F9" s="4" t="n">
        <f aca="false">Assumptions!F43</f>
        <v>0.18</v>
      </c>
      <c r="G9" s="4" t="n">
        <f aca="false">Assumptions!G43</f>
        <v>0.18</v>
      </c>
      <c r="H9" s="4" t="n">
        <f aca="false">Assumptions!H43</f>
        <v>0.18</v>
      </c>
      <c r="I9" s="4" t="n">
        <f aca="false">Assumptions!I43</f>
        <v>0.18</v>
      </c>
      <c r="J9" s="4" t="n">
        <f aca="false">Assumptions!J43</f>
        <v>0.18</v>
      </c>
      <c r="K9" s="4" t="n">
        <f aca="false">Assumptions!K43</f>
        <v>0.18</v>
      </c>
      <c r="L9" s="4" t="n">
        <f aca="false">Assumptions!L43</f>
        <v>0.18</v>
      </c>
    </row>
    <row r="10" customFormat="false" ht="15" hidden="false" customHeight="false" outlineLevel="0" collapsed="false">
      <c r="A10" s="0" t="s">
        <v>119</v>
      </c>
      <c r="C10" s="0" t="n">
        <f aca="false">-C6*C9/100</f>
        <v>-99.6696</v>
      </c>
      <c r="D10" s="0" t="n">
        <f aca="false">-D6*D9/100</f>
        <v>-108.141516</v>
      </c>
      <c r="E10" s="0" t="n">
        <f aca="false">-E6*E9/100</f>
        <v>-116.79283728</v>
      </c>
      <c r="F10" s="0" t="n">
        <f aca="false">-F6*F9/100</f>
        <v>-124.9683358896</v>
      </c>
      <c r="G10" s="0" t="n">
        <f aca="false">-G6*G9/100</f>
        <v>-133.091277722424</v>
      </c>
      <c r="H10" s="0" t="n">
        <f aca="false">-H6*H9/100</f>
        <v>-141.076754385769</v>
      </c>
      <c r="I10" s="0" t="n">
        <f aca="false">-I6*I9/100</f>
        <v>-148.130592105058</v>
      </c>
      <c r="J10" s="0" t="n">
        <f aca="false">-J6*J9/100</f>
        <v>-154.796468749786</v>
      </c>
      <c r="K10" s="0" t="n">
        <f aca="false">-K6*K9/100</f>
        <v>-160.988327499777</v>
      </c>
      <c r="L10" s="0" t="n">
        <f aca="false">-L6*L9/100</f>
        <v>-166.622918962269</v>
      </c>
    </row>
    <row r="11" customFormat="false" ht="15" hidden="false" customHeight="false" outlineLevel="0" collapsed="false">
      <c r="A11" s="0" t="s">
        <v>120</v>
      </c>
      <c r="C11" s="0" t="n">
        <f aca="false">C8+C10+C24</f>
        <v>5326.7864</v>
      </c>
      <c r="D11" s="0" t="n">
        <f aca="false">D8+D10+D24</f>
        <v>5899.720484</v>
      </c>
      <c r="E11" s="0" t="n">
        <f aca="false">E8+E10+E24</f>
        <v>6501.46794192</v>
      </c>
      <c r="F11" s="0" t="n">
        <f aca="false">F8+F10+F24</f>
        <v>7095.4244043984</v>
      </c>
      <c r="G11" s="0" t="n">
        <f aca="false">G8+G10+G24</f>
        <v>7704.50618815366</v>
      </c>
      <c r="H11" s="0" t="n">
        <f aca="false">H8+H10+H24</f>
        <v>8323.5285087604</v>
      </c>
      <c r="I11" s="0" t="n">
        <f aca="false">I8+I10+I24</f>
        <v>8821.99970759012</v>
      </c>
      <c r="J11" s="0" t="n">
        <f aca="false">J8+J10+J24</f>
        <v>9304.987732626</v>
      </c>
      <c r="K11" s="0" t="n">
        <f aca="false">K8+K10+K24</f>
        <v>9677.18724193104</v>
      </c>
      <c r="L11" s="0" t="n">
        <f aca="false">L8+L10+L24</f>
        <v>10015.8887953986</v>
      </c>
    </row>
    <row r="12" customFormat="false" ht="15" hidden="false" customHeight="false" outlineLevel="0" collapsed="false">
      <c r="A12" s="0" t="s">
        <v>121</v>
      </c>
      <c r="C12" s="4" t="n">
        <f aca="false">-C6*Assumptions!C45/100</f>
        <v>-1107.44</v>
      </c>
      <c r="D12" s="4" t="n">
        <f aca="false">-D6*Assumptions!D45/100</f>
        <v>-1201.5724</v>
      </c>
      <c r="E12" s="4" t="n">
        <f aca="false">-E6*Assumptions!E45/100</f>
        <v>-1297.698192</v>
      </c>
      <c r="F12" s="4" t="n">
        <f aca="false">-F6*Assumptions!F45/100</f>
        <v>-1388.53706544</v>
      </c>
      <c r="G12" s="4" t="n">
        <f aca="false">-G6*Assumptions!G45/100</f>
        <v>-1478.7919746936</v>
      </c>
      <c r="H12" s="4" t="n">
        <f aca="false">-H6*Assumptions!H45/100</f>
        <v>-1567.51949317522</v>
      </c>
      <c r="I12" s="4" t="n">
        <f aca="false">-I6*Assumptions!I45/100</f>
        <v>-1645.89546783398</v>
      </c>
      <c r="J12" s="4" t="n">
        <f aca="false">-J6*Assumptions!J45/100</f>
        <v>-1719.96076388651</v>
      </c>
      <c r="K12" s="4" t="n">
        <f aca="false">-K6*Assumptions!K45/100</f>
        <v>-1788.75919444197</v>
      </c>
      <c r="L12" s="4" t="n">
        <f aca="false">-L6*Assumptions!L45/100</f>
        <v>-1851.36576624743</v>
      </c>
    </row>
    <row r="13" customFormat="false" ht="15" hidden="false" customHeight="false" outlineLevel="0" collapsed="false">
      <c r="A13" s="0" t="s">
        <v>122</v>
      </c>
      <c r="C13" s="0" t="n">
        <f aca="false">C11+C12</f>
        <v>4219.3464</v>
      </c>
      <c r="D13" s="0" t="n">
        <f aca="false">D11+D12</f>
        <v>4698.148084</v>
      </c>
      <c r="E13" s="0" t="n">
        <f aca="false">E11+E12</f>
        <v>5203.76974992</v>
      </c>
      <c r="F13" s="0" t="n">
        <f aca="false">F11+F12</f>
        <v>5706.8873389584</v>
      </c>
      <c r="G13" s="0" t="n">
        <f aca="false">G11+G12</f>
        <v>6225.71421346006</v>
      </c>
      <c r="H13" s="0" t="n">
        <f aca="false">H11+H12</f>
        <v>6756.00901558518</v>
      </c>
      <c r="I13" s="0" t="n">
        <f aca="false">I11+I12</f>
        <v>7176.10423975614</v>
      </c>
      <c r="J13" s="0" t="n">
        <f aca="false">J11+J12</f>
        <v>7585.02696873949</v>
      </c>
      <c r="K13" s="0" t="n">
        <f aca="false">K11+K12</f>
        <v>7888.42804748907</v>
      </c>
      <c r="L13" s="0" t="n">
        <f aca="false">L11+L12</f>
        <v>8164.52302915119</v>
      </c>
    </row>
    <row r="14" customFormat="false" ht="15" hidden="false" customHeight="false" outlineLevel="0" collapsed="false">
      <c r="A14" s="0" t="s">
        <v>108</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123</v>
      </c>
      <c r="C15" s="0" t="n">
        <f aca="false">C13-MAX(0,C13)*C14/100</f>
        <v>3206.703264</v>
      </c>
      <c r="D15" s="0" t="n">
        <f aca="false">D13-MAX(0,D13)*D14/100</f>
        <v>3570.59254384</v>
      </c>
      <c r="E15" s="0" t="n">
        <f aca="false">E13-MAX(0,E13)*E14/100</f>
        <v>3954.8650099392</v>
      </c>
      <c r="F15" s="0" t="n">
        <f aca="false">F13-MAX(0,F13)*F14/100</f>
        <v>4337.23437760838</v>
      </c>
      <c r="G15" s="0" t="n">
        <f aca="false">G13-MAX(0,G13)*G14/100</f>
        <v>4731.54280222964</v>
      </c>
      <c r="H15" s="0" t="n">
        <f aca="false">H13-MAX(0,H13)*H14/100</f>
        <v>5134.56685184474</v>
      </c>
      <c r="I15" s="0" t="n">
        <f aca="false">I13-MAX(0,I13)*I14/100</f>
        <v>5453.83922221467</v>
      </c>
      <c r="J15" s="0" t="n">
        <f aca="false">J13-MAX(0,J13)*J14/100</f>
        <v>5764.62049624201</v>
      </c>
      <c r="K15" s="0" t="n">
        <f aca="false">K13-MAX(0,K13)*K14/100</f>
        <v>5995.20531609169</v>
      </c>
      <c r="L15" s="0" t="n">
        <f aca="false">L13-MAX(0,L13)*L14/100</f>
        <v>6205.0375021549</v>
      </c>
    </row>
    <row r="16" customFormat="false" ht="15" hidden="false" customHeight="false" outlineLevel="0" collapsed="false">
      <c r="A16" s="0" t="s">
        <v>124</v>
      </c>
      <c r="C16" s="0" t="n">
        <f aca="false">-C12</f>
        <v>1107.44</v>
      </c>
      <c r="D16" s="0" t="n">
        <f aca="false">-D12</f>
        <v>1201.5724</v>
      </c>
      <c r="E16" s="0" t="n">
        <f aca="false">-E12</f>
        <v>1297.698192</v>
      </c>
      <c r="F16" s="0" t="n">
        <f aca="false">-F12</f>
        <v>1388.53706544</v>
      </c>
      <c r="G16" s="0" t="n">
        <f aca="false">-G12</f>
        <v>1478.7919746936</v>
      </c>
      <c r="H16" s="0" t="n">
        <f aca="false">-H12</f>
        <v>1567.51949317522</v>
      </c>
      <c r="I16" s="0" t="n">
        <f aca="false">-I12</f>
        <v>1645.89546783398</v>
      </c>
      <c r="J16" s="0" t="n">
        <f aca="false">-J12</f>
        <v>1719.96076388651</v>
      </c>
      <c r="K16" s="0" t="n">
        <f aca="false">-K12</f>
        <v>1788.75919444197</v>
      </c>
      <c r="L16" s="0" t="n">
        <f aca="false">-L12</f>
        <v>1851.36576624743</v>
      </c>
    </row>
    <row r="17" customFormat="false" ht="15" hidden="false" customHeight="false" outlineLevel="0" collapsed="false">
      <c r="A17" s="0" t="s">
        <v>125</v>
      </c>
      <c r="C17" s="4" t="n">
        <f aca="false">-C6*Assumptions!C46/100</f>
        <v>-1882.648</v>
      </c>
      <c r="D17" s="4" t="n">
        <f aca="false">-D6*Assumptions!D46/100</f>
        <v>-1982.59446</v>
      </c>
      <c r="E17" s="4" t="n">
        <f aca="false">-E6*Assumptions!E46/100</f>
        <v>-2141.2020168</v>
      </c>
      <c r="F17" s="4" t="n">
        <f aca="false">-F6*Assumptions!F46/100</f>
        <v>-2221.659304704</v>
      </c>
      <c r="G17" s="4" t="n">
        <f aca="false">-G6*Assumptions!G46/100</f>
        <v>-2366.06715950976</v>
      </c>
      <c r="H17" s="4" t="n">
        <f aca="false">-H6*Assumptions!H46/100</f>
        <v>-2429.65521442159</v>
      </c>
      <c r="I17" s="4" t="n">
        <f aca="false">-I6*Assumptions!I46/100</f>
        <v>-2551.13797514266</v>
      </c>
      <c r="J17" s="4" t="n">
        <f aca="false">-J6*Assumptions!J46/100</f>
        <v>-2665.93918402408</v>
      </c>
      <c r="K17" s="4" t="n">
        <f aca="false">-K6*Assumptions!K46/100</f>
        <v>-2772.57675138505</v>
      </c>
      <c r="L17" s="4" t="n">
        <f aca="false">-L6*Assumptions!L46/100</f>
        <v>-2869.61693768352</v>
      </c>
    </row>
    <row r="18" customFormat="false" ht="15" hidden="false" customHeight="false" outlineLevel="0" collapsed="false">
      <c r="A18" s="0" t="s">
        <v>126</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127</v>
      </c>
      <c r="C19" s="0" t="n">
        <f aca="false">C15+C16+C17+C18</f>
        <v>2431.495264</v>
      </c>
      <c r="D19" s="0" t="n">
        <f aca="false">D15+D16+D17+D18</f>
        <v>2789.57048384</v>
      </c>
      <c r="E19" s="0" t="n">
        <f aca="false">E15+E16+E17+E18</f>
        <v>3111.3611851392</v>
      </c>
      <c r="F19" s="0" t="n">
        <f aca="false">F15+F16+F17+F18</f>
        <v>3504.11213834438</v>
      </c>
      <c r="G19" s="0" t="n">
        <f aca="false">G15+G16+G17+G18</f>
        <v>3844.26761741348</v>
      </c>
      <c r="H19" s="0" t="n">
        <f aca="false">H15+H16+H17+H18</f>
        <v>4272.43113059837</v>
      </c>
      <c r="I19" s="0" t="n">
        <f aca="false">I15+I16+I17+I18</f>
        <v>4548.59671490598</v>
      </c>
      <c r="J19" s="0" t="n">
        <f aca="false">J15+J16+J17+J18</f>
        <v>4818.64207610443</v>
      </c>
      <c r="K19" s="0" t="n">
        <f aca="false">K15+K16+K17+K18</f>
        <v>5011.38775914861</v>
      </c>
      <c r="L19" s="0" t="n">
        <f aca="false">L15+L16+L17+L18</f>
        <v>5186.78633071881</v>
      </c>
    </row>
    <row r="20" customFormat="false" ht="15" hidden="false" customHeight="false" outlineLevel="0" collapsed="false">
      <c r="A20" s="0" t="s">
        <v>128</v>
      </c>
      <c r="C20" s="0" t="n">
        <f aca="false">1/(1+$B$27/100)^C4</f>
        <v>0.928074245939675</v>
      </c>
      <c r="D20" s="0" t="n">
        <f aca="false">1/(1+$B$27/100)^D4</f>
        <v>0.861321805976497</v>
      </c>
      <c r="E20" s="0" t="n">
        <f aca="false">1/(1+$B$27/100)^E4</f>
        <v>0.799370585593037</v>
      </c>
      <c r="F20" s="0" t="n">
        <f aca="false">1/(1+$B$27/100)^F4</f>
        <v>0.741875253450614</v>
      </c>
      <c r="G20" s="0" t="n">
        <f aca="false">1/(1+$B$27/100)^G4</f>
        <v>0.688515316427484</v>
      </c>
      <c r="H20" s="0" t="n">
        <f aca="false">1/(1+$B$27/100)^H4</f>
        <v>0.638993333111354</v>
      </c>
      <c r="I20" s="0" t="n">
        <f aca="false">1/(1+$B$27/100)^I4</f>
        <v>0.5930332557878</v>
      </c>
      <c r="J20" s="0" t="n">
        <f aca="false">1/(1+$B$27/100)^J4</f>
        <v>0.550378891682413</v>
      </c>
      <c r="K20" s="0" t="n">
        <f aca="false">1/(1+$B$27/100)^K4</f>
        <v>0.51079247487927</v>
      </c>
      <c r="L20" s="0" t="n">
        <f aca="false">1/(1+$B$27/100)^L4</f>
        <v>0.474053340955239</v>
      </c>
    </row>
    <row r="21" customFormat="false" ht="15" hidden="false" customHeight="false" outlineLevel="0" collapsed="false">
      <c r="A21" s="0" t="s">
        <v>129</v>
      </c>
      <c r="C21" s="0" t="n">
        <f aca="false">C19*C20</f>
        <v>2256.60813364269</v>
      </c>
      <c r="D21" s="0" t="n">
        <f aca="false">D19*D20</f>
        <v>2402.7178870398</v>
      </c>
      <c r="E21" s="0" t="n">
        <f aca="false">E19*E20</f>
        <v>2487.13061255617</v>
      </c>
      <c r="F21" s="0" t="n">
        <f aca="false">F19*F20</f>
        <v>2599.61408075361</v>
      </c>
      <c r="G21" s="0" t="n">
        <f aca="false">G19*G20</f>
        <v>2646.83713503538</v>
      </c>
      <c r="H21" s="0" t="n">
        <f aca="false">H19*H20</f>
        <v>2730.05500862976</v>
      </c>
      <c r="I21" s="0" t="n">
        <f aca="false">I19*I20</f>
        <v>2697.46911910638</v>
      </c>
      <c r="J21" s="0" t="n">
        <f aca="false">J19*J20</f>
        <v>2652.0788852606</v>
      </c>
      <c r="K21" s="0" t="n">
        <f aca="false">K19*K20</f>
        <v>2559.7791560752</v>
      </c>
      <c r="L21" s="0" t="n">
        <f aca="false">L19*L20</f>
        <v>2458.81338889822</v>
      </c>
    </row>
    <row r="23" customFormat="false" ht="15" hidden="false" customHeight="false" outlineLevel="0" collapsed="false">
      <c r="A23" s="0" t="s">
        <v>105</v>
      </c>
      <c r="C23" s="4" t="n">
        <f aca="false">Assumptions!C44</f>
        <v>0.8</v>
      </c>
      <c r="D23" s="4" t="n">
        <f aca="false">Assumptions!D44</f>
        <v>0.8</v>
      </c>
      <c r="E23" s="4" t="n">
        <f aca="false">Assumptions!E44</f>
        <v>0.8</v>
      </c>
      <c r="F23" s="4" t="n">
        <f aca="false">Assumptions!F44</f>
        <v>0.8</v>
      </c>
      <c r="G23" s="4" t="n">
        <f aca="false">Assumptions!G44</f>
        <v>0.8</v>
      </c>
      <c r="H23" s="4" t="n">
        <f aca="false">Assumptions!H44</f>
        <v>0.8</v>
      </c>
      <c r="I23" s="4" t="n">
        <f aca="false">Assumptions!I44</f>
        <v>0.8</v>
      </c>
      <c r="J23" s="4" t="n">
        <f aca="false">Assumptions!J44</f>
        <v>0.8</v>
      </c>
      <c r="K23" s="4" t="n">
        <f aca="false">Assumptions!K44</f>
        <v>0.8</v>
      </c>
      <c r="L23" s="4" t="n">
        <f aca="false">Assumptions!L44</f>
        <v>0.8</v>
      </c>
    </row>
    <row r="24" customFormat="false" ht="15" hidden="false" customHeight="false" outlineLevel="0" collapsed="false">
      <c r="A24" s="0" t="s">
        <v>130</v>
      </c>
      <c r="C24" s="0" t="n">
        <f aca="false">-C6*C23/100</f>
        <v>-442.976</v>
      </c>
      <c r="D24" s="0" t="n">
        <f aca="false">-D6*D23/100</f>
        <v>-480.62896</v>
      </c>
      <c r="E24" s="0" t="n">
        <f aca="false">-E6*E23/100</f>
        <v>-519.0792768</v>
      </c>
      <c r="F24" s="0" t="n">
        <f aca="false">-F6*F23/100</f>
        <v>-555.414826176</v>
      </c>
      <c r="G24" s="0" t="n">
        <f aca="false">-G6*G23/100</f>
        <v>-591.51678987744</v>
      </c>
      <c r="H24" s="0" t="n">
        <f aca="false">-H6*H23/100</f>
        <v>-627.007797270087</v>
      </c>
      <c r="I24" s="0" t="n">
        <f aca="false">-I6*I23/100</f>
        <v>-658.358187133591</v>
      </c>
      <c r="J24" s="0" t="n">
        <f aca="false">-J6*J23/100</f>
        <v>-687.984305554602</v>
      </c>
      <c r="K24" s="0" t="n">
        <f aca="false">-K6*K23/100</f>
        <v>-715.503677776786</v>
      </c>
      <c r="L24" s="0" t="n">
        <f aca="false">-L6*L23/100</f>
        <v>-740.546306498974</v>
      </c>
    </row>
    <row r="26" customFormat="false" ht="15" hidden="false" customHeight="false" outlineLevel="0" collapsed="false">
      <c r="A26" s="2" t="s">
        <v>131</v>
      </c>
    </row>
    <row r="27" customFormat="false" ht="15" hidden="false" customHeight="false" outlineLevel="0" collapsed="false">
      <c r="A27" s="0" t="s">
        <v>109</v>
      </c>
      <c r="B27" s="4" t="n">
        <f aca="false">Assumptions!$B$48</f>
        <v>7.75</v>
      </c>
    </row>
    <row r="28" customFormat="false" ht="15" hidden="false" customHeight="false" outlineLevel="0" collapsed="false">
      <c r="A28" s="0" t="s">
        <v>110</v>
      </c>
      <c r="B28" s="4" t="n">
        <f aca="false">Assumptions!$B$49</f>
        <v>3</v>
      </c>
    </row>
    <row r="29" customFormat="false" ht="15" hidden="false" customHeight="false" outlineLevel="0" collapsed="false">
      <c r="A29" s="0" t="s">
        <v>111</v>
      </c>
      <c r="B29" s="4" t="n">
        <f aca="false">Assumptions!$B$50</f>
        <v>20</v>
      </c>
    </row>
    <row r="30" customFormat="false" ht="15" hidden="false" customHeight="false" outlineLevel="0" collapsed="false">
      <c r="A30" s="0" t="s">
        <v>132</v>
      </c>
      <c r="B30" s="0" t="n">
        <f aca="false">SUM(C21:L21)</f>
        <v>25491.1034069978</v>
      </c>
    </row>
    <row r="31" customFormat="false" ht="15" hidden="false" customHeight="false" outlineLevel="0" collapsed="false">
      <c r="A31" s="0" t="s">
        <v>133</v>
      </c>
      <c r="B31" s="0" t="n">
        <f aca="false">L19</f>
        <v>5186.78633071881</v>
      </c>
    </row>
    <row r="32" customFormat="false" ht="15" hidden="false" customHeight="false" outlineLevel="0" collapsed="false">
      <c r="A32" s="0" t="s">
        <v>134</v>
      </c>
      <c r="B32" s="0" t="n">
        <f aca="false">IF(B27&gt;B28,B31*(1+B28/100)/((B27-B28)/100),B31*B29)</f>
        <v>112471.366750324</v>
      </c>
    </row>
    <row r="33" customFormat="false" ht="15" hidden="false" customHeight="false" outlineLevel="0" collapsed="false">
      <c r="A33" s="0" t="s">
        <v>135</v>
      </c>
      <c r="B33" s="0" t="n">
        <f aca="false">B31*B29</f>
        <v>103735.726614376</v>
      </c>
    </row>
    <row r="34" customFormat="false" ht="15" hidden="false" customHeight="false" outlineLevel="0" collapsed="false">
      <c r="A34" s="0" t="s">
        <v>136</v>
      </c>
      <c r="B34" s="0" t="n">
        <f aca="false">MAX(0,MIN(B32,B33))</f>
        <v>103735.726614376</v>
      </c>
    </row>
    <row r="35" customFormat="false" ht="15" hidden="false" customHeight="false" outlineLevel="0" collapsed="false">
      <c r="A35" s="0" t="s">
        <v>137</v>
      </c>
      <c r="B35" s="0" t="n">
        <f aca="false">B34/(1+B27/100)^L4</f>
        <v>49176.2677779643</v>
      </c>
    </row>
    <row r="36" customFormat="false" ht="15" hidden="false" customHeight="false" outlineLevel="0" collapsed="false">
      <c r="A36" s="0" t="s">
        <v>138</v>
      </c>
      <c r="B36" s="0" t="n">
        <f aca="false">B30+B35</f>
        <v>74667.3711849621</v>
      </c>
    </row>
    <row r="37" customFormat="false" ht="15" hidden="false" customHeight="false" outlineLevel="0" collapsed="false">
      <c r="A37" s="0" t="s">
        <v>139</v>
      </c>
      <c r="B37" s="0" t="n">
        <f aca="false">B36+Assumptions!$B$5-Assumptions!$B$4</f>
        <v>67569.3711849621</v>
      </c>
    </row>
    <row r="38" customFormat="false" ht="15" hidden="false" customHeight="false" outlineLevel="0" collapsed="false">
      <c r="A38" s="0" t="s">
        <v>140</v>
      </c>
      <c r="B38" s="0" t="n">
        <f aca="false">B37/Assumptions!$B$3*Assumptions!$B$10</f>
        <v>39.7700830988594</v>
      </c>
    </row>
    <row r="39" customFormat="false" ht="15" hidden="false" customHeight="false" outlineLevel="0" collapsed="false">
      <c r="A39" s="0" t="s">
        <v>141</v>
      </c>
      <c r="B39" s="4" t="n">
        <f aca="false">B38/Assumptions!$B$2-1</f>
        <v>0.274682150604468</v>
      </c>
    </row>
    <row r="41" customFormat="false" ht="15" hidden="false" customHeight="false" outlineLevel="0" collapsed="false">
      <c r="A41" s="0" t="s">
        <v>142</v>
      </c>
      <c r="B41" s="0" t="n">
        <f aca="false">SUMPRODUCT(-C10:L10/(1+$B$27/100)^C4:L4)</f>
        <v>887.762451889296</v>
      </c>
    </row>
    <row r="42" customFormat="false" ht="15" hidden="false" customHeight="false" outlineLevel="0" collapsed="false">
      <c r="A42" s="0" t="s">
        <v>143</v>
      </c>
      <c r="B42" s="0" t="n">
        <f aca="false">IF(B27&gt;B28,-L10*(1+B28/100)/((B27-B28)/100),-L10*20)/(1+B27/100)^L4</f>
        <v>1712.79570434086</v>
      </c>
    </row>
    <row r="43" customFormat="false" ht="15" hidden="false" customHeight="false" outlineLevel="0" collapsed="false">
      <c r="A43" s="0" t="s">
        <v>144</v>
      </c>
      <c r="B43" s="0" t="n">
        <f aca="false">(B37+B41+B42)/Assumptions!$B$3*Assumptions!$B$10</f>
        <v>41.3007235675058</v>
      </c>
    </row>
    <row r="45" customFormat="false" ht="15" hidden="false" customHeight="false" outlineLevel="0" collapsed="false">
      <c r="A45" s="0" t="s">
        <v>84</v>
      </c>
      <c r="B45" s="4" t="n">
        <f aca="false">Assumptions!$B$6</f>
        <v>15</v>
      </c>
    </row>
    <row r="46" customFormat="false" ht="15" hidden="false" customHeight="false" outlineLevel="0" collapsed="false">
      <c r="A46" s="0" t="s">
        <v>145</v>
      </c>
      <c r="B46" s="0" t="n">
        <f aca="false">MAX(0,MIN(IF(B45&gt;B28,B31*(1+B28/100)/((B45-B28)/100),B31*B29),B31*B29))</f>
        <v>44519.9160053365</v>
      </c>
    </row>
    <row r="47" customFormat="false" ht="15" hidden="false" customHeight="false" outlineLevel="0" collapsed="false">
      <c r="A47" s="0" t="s">
        <v>146</v>
      </c>
      <c r="B47" s="0" t="n">
        <f aca="false">(SUMPRODUCT(C19:L19/(1+B45/100)^C4:L4)+B46/(1+B45/100)^L4+Assumptions!$B$5-Assumptions!$B$4)/Assumptions!$B$3*Assumptions!$B$10</f>
        <v>12.9074646540428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16.8771694131329</v>
      </c>
      <c r="C4" s="0" t="n">
        <f aca="false">B4/Assumptions!$B$2-1</f>
        <v>-0.459065082912407</v>
      </c>
      <c r="D4" s="4" t="n">
        <f aca="false">Assumptions!$B$24</f>
        <v>0.2</v>
      </c>
      <c r="E4" s="4" t="n">
        <f aca="false">DCF_Bear!$B$43</f>
        <v>17.9254803602722</v>
      </c>
      <c r="F4" s="4" t="n">
        <f aca="false">DCF_Bear!$B$47</f>
        <v>5.60597196795301</v>
      </c>
    </row>
    <row r="5" customFormat="false" ht="15" hidden="false" customHeight="false" outlineLevel="0" collapsed="false">
      <c r="A5" s="0" t="s">
        <v>155</v>
      </c>
      <c r="B5" s="4" t="n">
        <f aca="false">DCF_Base!$B$38</f>
        <v>30.776173427708</v>
      </c>
      <c r="C5" s="0" t="n">
        <f aca="false">B5/Assumptions!$B$2-1</f>
        <v>-0.0135841850093597</v>
      </c>
      <c r="D5" s="4" t="n">
        <f aca="false">Assumptions!$B$38</f>
        <v>0.5</v>
      </c>
      <c r="E5" s="4" t="n">
        <f aca="false">DCF_Base!$B$43</f>
        <v>32.100677491661</v>
      </c>
      <c r="F5" s="4" t="n">
        <f aca="false">DCF_Base!$B$47</f>
        <v>9.79255008000002</v>
      </c>
    </row>
    <row r="6" customFormat="false" ht="15" hidden="false" customHeight="false" outlineLevel="0" collapsed="false">
      <c r="A6" s="0" t="s">
        <v>156</v>
      </c>
      <c r="B6" s="4" t="n">
        <f aca="false">DCF_Bull!$B$38</f>
        <v>39.7700830988594</v>
      </c>
      <c r="C6" s="0" t="n">
        <f aca="false">B6/Assumptions!$B$2-1</f>
        <v>0.274682150604468</v>
      </c>
      <c r="D6" s="4" t="n">
        <f aca="false">Assumptions!$B$52</f>
        <v>0.3</v>
      </c>
      <c r="E6" s="4" t="n">
        <f aca="false">DCF_Bull!$B$43</f>
        <v>41.3007235675058</v>
      </c>
      <c r="F6" s="4" t="n">
        <f aca="false">DCF_Bull!$B$47</f>
        <v>12.9074646540428</v>
      </c>
    </row>
    <row r="8" customFormat="false" ht="15" hidden="false" customHeight="false" outlineLevel="0" collapsed="false">
      <c r="A8" s="0" t="s">
        <v>157</v>
      </c>
      <c r="B8" s="0" t="n">
        <f aca="false">SUMPRODUCT(B4:B6,D4:D6)</f>
        <v>30.6945455261384</v>
      </c>
    </row>
    <row r="9" customFormat="false" ht="15" hidden="false" customHeight="false" outlineLevel="0" collapsed="false">
      <c r="A9" s="0" t="s">
        <v>158</v>
      </c>
      <c r="B9" s="0" t="n">
        <f aca="false">SUMPRODUCT(E4:E6,D4:D6)</f>
        <v>32.0256518881367</v>
      </c>
    </row>
    <row r="10" customFormat="false" ht="15" hidden="false" customHeight="false" outlineLevel="0" collapsed="false">
      <c r="A10" s="0" t="s">
        <v>159</v>
      </c>
      <c r="B10" s="0" t="n">
        <f aca="false">1-Assumptions!$B$2/B8</f>
        <v>-0.0164672408467876</v>
      </c>
    </row>
    <row r="11" customFormat="false" ht="15" hidden="false" customHeight="false" outlineLevel="0" collapsed="false">
      <c r="A11" s="0" t="s">
        <v>160</v>
      </c>
      <c r="B11" s="0" t="n">
        <f aca="false">IF(ABS(B9-B8)&gt;0.01*ABS(B8),(Assumptions!$B$2-B8)/(B9-B8)*100,"n/a")</f>
        <v>37.9725083052573</v>
      </c>
    </row>
    <row r="12" customFormat="false" ht="15" hidden="false" customHeight="false" outlineLevel="0" collapsed="false">
      <c r="A12" s="0" t="s">
        <v>161</v>
      </c>
      <c r="B12" s="0" t="n">
        <f aca="false">SUMPRODUCT(F4:F6,D4:D6)</f>
        <v>9.88970882980345</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30.776173427708</v>
      </c>
      <c r="C15" s="3" t="n">
        <v>7.75</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24.0649405261704</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20.0316864600181</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16.9815071011711</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14.5952934173996</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9.79255008000002</v>
      </c>
      <c r="C20" s="3" t="n">
        <v>15</v>
      </c>
    </row>
    <row r="22" customFormat="false" ht="15" hidden="false" customHeight="false" outlineLevel="0" collapsed="false">
      <c r="A22" s="2" t="s">
        <v>170</v>
      </c>
    </row>
    <row r="23" customFormat="false" ht="15" hidden="false" customHeight="false" outlineLevel="0" collapsed="false">
      <c r="B23" s="3" t="n">
        <v>1.75</v>
      </c>
      <c r="C23" s="3" t="n">
        <v>2.25</v>
      </c>
      <c r="D23" s="3" t="n">
        <v>2.75</v>
      </c>
      <c r="E23" s="3" t="n">
        <v>3.25</v>
      </c>
      <c r="F23" s="3" t="n">
        <v>3.75</v>
      </c>
    </row>
    <row r="24" customFormat="false" ht="15" hidden="false" customHeight="false" outlineLevel="0" collapsed="false">
      <c r="A24" s="3" t="n">
        <v>5.75</v>
      </c>
      <c r="B24" s="0" t="n">
        <f aca="false">(SUMPRODUCT(DCF_Base!$C$19:$L$19/(1+$A$24/100)^DCF_Base!$C$4:$L$4)+MAX(0,MIN(IF($A$24&gt;$B$23,DCF_Base!$L$19*(1+$B$23/100)/(($A$24-$B$23)/100),DCF_Base!$L$19*DCF_Base!$B$29),DCF_Base!$L$19*DCF_Base!$B$29))/(1+$A$24/100)^DCF_Base!$L$4+Assumptions!$B$5-Assumptions!$B$4)/Assumptions!$B$3*Assumptions!$B$10</f>
        <v>36.7249290497719</v>
      </c>
      <c r="C24" s="0" t="n">
        <f aca="false">(SUMPRODUCT(DCF_Base!$C$19:$L$19/(1+$A$24/100)^DCF_Base!$C$4:$L$4)+MAX(0,MIN(IF($A$24&gt;$C$23,DCF_Base!$L$19*(1+$C$23/100)/(($A$24-$C$23)/100),DCF_Base!$L$19*DCF_Base!$B$29),DCF_Base!$L$19*DCF_Base!$B$29))/(1+$A$24/100)^DCF_Base!$L$4+Assumptions!$B$5-Assumptions!$B$4)/Assumptions!$B$3*Assumptions!$B$10</f>
        <v>36.7249290497719</v>
      </c>
      <c r="D24" s="0" t="n">
        <f aca="false">(SUMPRODUCT(DCF_Base!$C$19:$L$19/(1+$A$24/100)^DCF_Base!$C$4:$L$4)+MAX(0,MIN(IF($A$24&gt;$D$23,DCF_Base!$L$19*(1+$D$23/100)/(($A$24-$D$23)/100),DCF_Base!$L$19*DCF_Base!$B$29),DCF_Base!$L$19*DCF_Base!$B$29))/(1+$A$24/100)^DCF_Base!$L$4+Assumptions!$B$5-Assumptions!$B$4)/Assumptions!$B$3*Assumptions!$B$10</f>
        <v>36.7249290497719</v>
      </c>
      <c r="E24" s="0" t="n">
        <f aca="false">(SUMPRODUCT(DCF_Base!$C$19:$L$19/(1+$A$24/100)^DCF_Base!$C$4:$L$4)+MAX(0,MIN(IF($A$24&gt;$E$23,DCF_Base!$L$19*(1+$E$23/100)/(($A$24-$E$23)/100),DCF_Base!$L$19*DCF_Base!$B$29),DCF_Base!$L$19*DCF_Base!$B$29))/(1+$A$24/100)^DCF_Base!$L$4+Assumptions!$B$5-Assumptions!$B$4)/Assumptions!$B$3*Assumptions!$B$10</f>
        <v>36.7249290497719</v>
      </c>
      <c r="F24" s="0" t="n">
        <f aca="false">(SUMPRODUCT(DCF_Base!$C$19:$L$19/(1+$A$24/100)^DCF_Base!$C$4:$L$4)+MAX(0,MIN(IF($A$24&gt;$F$23,DCF_Base!$L$19*(1+$F$23/100)/(($A$24-$F$23)/100),DCF_Base!$L$19*DCF_Base!$B$29),DCF_Base!$L$19*DCF_Base!$B$29))/(1+$A$24/100)^DCF_Base!$L$4+Assumptions!$B$5-Assumptions!$B$4)/Assumptions!$B$3*Assumptions!$B$10</f>
        <v>36.7249290497719</v>
      </c>
    </row>
    <row r="25" customFormat="false" ht="15" hidden="false" customHeight="false" outlineLevel="0" collapsed="false">
      <c r="A25" s="3" t="n">
        <v>6.75</v>
      </c>
      <c r="B25" s="0" t="n">
        <f aca="false">(SUMPRODUCT(DCF_Base!$C$19:$L$19/(1+$A$25/100)^DCF_Base!$C$4:$L$4)+MAX(0,MIN(IF($A$25&gt;$B$23,DCF_Base!$L$19*(1+$B$23/100)/(($A$25-$B$23)/100),DCF_Base!$L$19*DCF_Base!$B$29),DCF_Base!$L$19*DCF_Base!$B$29))/(1+$A$25/100)^DCF_Base!$L$4+Assumptions!$B$5-Assumptions!$B$4)/Assumptions!$B$3*Assumptions!$B$10</f>
        <v>33.6072646349743</v>
      </c>
      <c r="C25" s="0" t="n">
        <f aca="false">(SUMPRODUCT(DCF_Base!$C$19:$L$19/(1+$A$25/100)^DCF_Base!$C$4:$L$4)+MAX(0,MIN(IF($A$25&gt;$C$23,DCF_Base!$L$19*(1+$C$23/100)/(($A$25-$C$23)/100),DCF_Base!$L$19*DCF_Base!$B$29),DCF_Base!$L$19*DCF_Base!$B$29))/(1+$A$25/100)^DCF_Base!$L$4+Assumptions!$B$5-Assumptions!$B$4)/Assumptions!$B$3*Assumptions!$B$10</f>
        <v>33.6072646349743</v>
      </c>
      <c r="D25" s="0" t="n">
        <f aca="false">(SUMPRODUCT(DCF_Base!$C$19:$L$19/(1+$A$25/100)^DCF_Base!$C$4:$L$4)+MAX(0,MIN(IF($A$25&gt;$D$23,DCF_Base!$L$19*(1+$D$23/100)/(($A$25-$D$23)/100),DCF_Base!$L$19*DCF_Base!$B$29),DCF_Base!$L$19*DCF_Base!$B$29))/(1+$A$25/100)^DCF_Base!$L$4+Assumptions!$B$5-Assumptions!$B$4)/Assumptions!$B$3*Assumptions!$B$10</f>
        <v>33.6072646349743</v>
      </c>
      <c r="E25" s="0" t="n">
        <f aca="false">(SUMPRODUCT(DCF_Base!$C$19:$L$19/(1+$A$25/100)^DCF_Base!$C$4:$L$4)+MAX(0,MIN(IF($A$25&gt;$E$23,DCF_Base!$L$19*(1+$E$23/100)/(($A$25-$E$23)/100),DCF_Base!$L$19*DCF_Base!$B$29),DCF_Base!$L$19*DCF_Base!$B$29))/(1+$A$25/100)^DCF_Base!$L$4+Assumptions!$B$5-Assumptions!$B$4)/Assumptions!$B$3*Assumptions!$B$10</f>
        <v>33.6072646349743</v>
      </c>
      <c r="F25" s="0" t="n">
        <f aca="false">(SUMPRODUCT(DCF_Base!$C$19:$L$19/(1+$A$25/100)^DCF_Base!$C$4:$L$4)+MAX(0,MIN(IF($A$25&gt;$F$23,DCF_Base!$L$19*(1+$F$23/100)/(($A$25-$F$23)/100),DCF_Base!$L$19*DCF_Base!$B$29),DCF_Base!$L$19*DCF_Base!$B$29))/(1+$A$25/100)^DCF_Base!$L$4+Assumptions!$B$5-Assumptions!$B$4)/Assumptions!$B$3*Assumptions!$B$10</f>
        <v>33.6072646349743</v>
      </c>
    </row>
    <row r="26" customFormat="false" ht="15" hidden="false" customHeight="false" outlineLevel="0" collapsed="false">
      <c r="A26" s="3" t="n">
        <v>7.75</v>
      </c>
      <c r="B26" s="0" t="n">
        <f aca="false">(SUMPRODUCT(DCF_Base!$C$19:$L$19/(1+$A$26/100)^DCF_Base!$C$4:$L$4)+MAX(0,MIN(IF($A$26&gt;$B$23,DCF_Base!$L$19*(1+$B$23/100)/(($A$26-$B$23)/100),DCF_Base!$L$19*DCF_Base!$B$29),DCF_Base!$L$19*DCF_Base!$B$29))/(1+$A$26/100)^DCF_Base!$L$4+Assumptions!$B$5-Assumptions!$B$4)/Assumptions!$B$3*Assumptions!$B$10</f>
        <v>27.3904636430856</v>
      </c>
      <c r="C26" s="0" t="n">
        <f aca="false">(SUMPRODUCT(DCF_Base!$C$19:$L$19/(1+$A$26/100)^DCF_Base!$C$4:$L$4)+MAX(0,MIN(IF($A$26&gt;$C$23,DCF_Base!$L$19*(1+$C$23/100)/(($A$26-$C$23)/100),DCF_Base!$L$19*DCF_Base!$B$29),DCF_Base!$L$19*DCF_Base!$B$29))/(1+$A$26/100)^DCF_Base!$L$4+Assumptions!$B$5-Assumptions!$B$4)/Assumptions!$B$3*Assumptions!$B$10</f>
        <v>29.2077001526401</v>
      </c>
      <c r="D26" s="0" t="n">
        <f aca="false">(SUMPRODUCT(DCF_Base!$C$19:$L$19/(1+$A$26/100)^DCF_Base!$C$4:$L$4)+MAX(0,MIN(IF($A$26&gt;$D$23,DCF_Base!$L$19*(1+$D$23/100)/(($A$26-$D$23)/100),DCF_Base!$L$19*DCF_Base!$B$29),DCF_Base!$L$19*DCF_Base!$B$29))/(1+$A$26/100)^DCF_Base!$L$4+Assumptions!$B$5-Assumptions!$B$4)/Assumptions!$B$3*Assumptions!$B$10</f>
        <v>30.776173427708</v>
      </c>
      <c r="E26" s="0" t="n">
        <f aca="false">(SUMPRODUCT(DCF_Base!$C$19:$L$19/(1+$A$26/100)^DCF_Base!$C$4:$L$4)+MAX(0,MIN(IF($A$26&gt;$E$23,DCF_Base!$L$19*(1+$E$23/100)/(($A$26-$E$23)/100),DCF_Base!$L$19*DCF_Base!$B$29),DCF_Base!$L$19*DCF_Base!$B$29))/(1+$A$26/100)^DCF_Base!$L$4+Assumptions!$B$5-Assumptions!$B$4)/Assumptions!$B$3*Assumptions!$B$10</f>
        <v>30.776173427708</v>
      </c>
      <c r="F26" s="0" t="n">
        <f aca="false">(SUMPRODUCT(DCF_Base!$C$19:$L$19/(1+$A$26/100)^DCF_Base!$C$4:$L$4)+MAX(0,MIN(IF($A$26&gt;$F$23,DCF_Base!$L$19*(1+$F$23/100)/(($A$26-$F$23)/100),DCF_Base!$L$19*DCF_Base!$B$29),DCF_Base!$L$19*DCF_Base!$B$29))/(1+$A$26/100)^DCF_Base!$L$4+Assumptions!$B$5-Assumptions!$B$4)/Assumptions!$B$3*Assumptions!$B$10</f>
        <v>30.776173427708</v>
      </c>
    </row>
    <row r="27" customFormat="false" ht="15" hidden="false" customHeight="false" outlineLevel="0" collapsed="false">
      <c r="A27" s="3" t="n">
        <v>8.75</v>
      </c>
      <c r="B27" s="0" t="n">
        <f aca="false">(SUMPRODUCT(DCF_Base!$C$19:$L$19/(1+$A$27/100)^DCF_Base!$C$4:$L$4)+MAX(0,MIN(IF($A$27&gt;$B$23,DCF_Base!$L$19*(1+$B$23/100)/(($A$27-$B$23)/100),DCF_Base!$L$19*DCF_Base!$B$29),DCF_Base!$L$19*DCF_Base!$B$29))/(1+$A$27/100)^DCF_Base!$L$4+Assumptions!$B$5-Assumptions!$B$4)/Assumptions!$B$3*Assumptions!$B$10</f>
        <v>22.656678283587</v>
      </c>
      <c r="C27" s="0" t="n">
        <f aca="false">(SUMPRODUCT(DCF_Base!$C$19:$L$19/(1+$A$27/100)^DCF_Base!$C$4:$L$4)+MAX(0,MIN(IF($A$27&gt;$C$23,DCF_Base!$L$19*(1+$C$23/100)/(($A$27-$C$23)/100),DCF_Base!$L$19*DCF_Base!$B$29),DCF_Base!$L$19*DCF_Base!$B$29))/(1+$A$27/100)^DCF_Base!$L$4+Assumptions!$B$5-Assumptions!$B$4)/Assumptions!$B$3*Assumptions!$B$10</f>
        <v>23.8695255552615</v>
      </c>
      <c r="D27" s="0" t="n">
        <f aca="false">(SUMPRODUCT(DCF_Base!$C$19:$L$19/(1+$A$27/100)^DCF_Base!$C$4:$L$4)+MAX(0,MIN(IF($A$27&gt;$D$23,DCF_Base!$L$19*(1+$D$23/100)/(($A$27-$D$23)/100),DCF_Base!$L$19*DCF_Base!$B$29),DCF_Base!$L$19*DCF_Base!$B$29))/(1+$A$27/100)^DCF_Base!$L$4+Assumptions!$B$5-Assumptions!$B$4)/Assumptions!$B$3*Assumptions!$B$10</f>
        <v>25.2845140388818</v>
      </c>
      <c r="E27" s="0" t="n">
        <f aca="false">(SUMPRODUCT(DCF_Base!$C$19:$L$19/(1+$A$27/100)^DCF_Base!$C$4:$L$4)+MAX(0,MIN(IF($A$27&gt;$E$23,DCF_Base!$L$19*(1+$E$23/100)/(($A$27-$E$23)/100),DCF_Base!$L$19*DCF_Base!$B$29),DCF_Base!$L$19*DCF_Base!$B$29))/(1+$A$27/100)^DCF_Base!$L$4+Assumptions!$B$5-Assumptions!$B$4)/Assumptions!$B$3*Assumptions!$B$10</f>
        <v>26.9567731558877</v>
      </c>
      <c r="F27" s="0" t="n">
        <f aca="false">(SUMPRODUCT(DCF_Base!$C$19:$L$19/(1+$A$27/100)^DCF_Base!$C$4:$L$4)+MAX(0,MIN(IF($A$27&gt;$F$23,DCF_Base!$L$19*(1+$F$23/100)/(($A$27-$F$23)/100),DCF_Base!$L$19*DCF_Base!$B$29),DCF_Base!$L$19*DCF_Base!$B$29))/(1+$A$27/100)^DCF_Base!$L$4+Assumptions!$B$5-Assumptions!$B$4)/Assumptions!$B$3*Assumptions!$B$10</f>
        <v>28.2023178775196</v>
      </c>
    </row>
    <row r="28" customFormat="false" ht="15" hidden="false" customHeight="false" outlineLevel="0" collapsed="false">
      <c r="A28" s="3" t="n">
        <v>9.75</v>
      </c>
      <c r="B28" s="0" t="n">
        <f aca="false">(SUMPRODUCT(DCF_Base!$C$19:$L$19/(1+$A$28/100)^DCF_Base!$C$4:$L$4)+MAX(0,MIN(IF($A$28&gt;$B$23,DCF_Base!$L$19*(1+$B$23/100)/(($A$28-$B$23)/100),DCF_Base!$L$19*DCF_Base!$B$29),DCF_Base!$L$19*DCF_Base!$B$29))/(1+$A$28/100)^DCF_Base!$L$4+Assumptions!$B$5-Assumptions!$B$4)/Assumptions!$B$3*Assumptions!$B$10</f>
        <v>19.1163413549885</v>
      </c>
      <c r="C28" s="0" t="n">
        <f aca="false">(SUMPRODUCT(DCF_Base!$C$19:$L$19/(1+$A$28/100)^DCF_Base!$C$4:$L$4)+MAX(0,MIN(IF($A$28&gt;$C$23,DCF_Base!$L$19*(1+$C$23/100)/(($A$28-$C$23)/100),DCF_Base!$L$19*DCF_Base!$B$29),DCF_Base!$L$19*DCF_Base!$B$29))/(1+$A$28/100)^DCF_Base!$L$4+Assumptions!$B$5-Assumptions!$B$4)/Assumptions!$B$3*Assumptions!$B$10</f>
        <v>19.9633520464296</v>
      </c>
      <c r="D28" s="0" t="n">
        <f aca="false">(SUMPRODUCT(DCF_Base!$C$19:$L$19/(1+$A$28/100)^DCF_Base!$C$4:$L$4)+MAX(0,MIN(IF($A$28&gt;$D$23,DCF_Base!$L$19*(1+$D$23/100)/(($A$28-$D$23)/100),DCF_Base!$L$19*DCF_Base!$B$29),DCF_Base!$L$19*DCF_Base!$B$29))/(1+$A$28/100)^DCF_Base!$L$4+Assumptions!$B$5-Assumptions!$B$4)/Assumptions!$B$3*Assumptions!$B$10</f>
        <v>20.9313642652194</v>
      </c>
      <c r="E28" s="0" t="n">
        <f aca="false">(SUMPRODUCT(DCF_Base!$C$19:$L$19/(1+$A$28/100)^DCF_Base!$C$4:$L$4)+MAX(0,MIN(IF($A$28&gt;$E$23,DCF_Base!$L$19*(1+$E$23/100)/(($A$28-$E$23)/100),DCF_Base!$L$19*DCF_Base!$B$29),DCF_Base!$L$19*DCF_Base!$B$29))/(1+$A$28/100)^DCF_Base!$L$4+Assumptions!$B$5-Assumptions!$B$4)/Assumptions!$B$3*Assumptions!$B$10</f>
        <v>22.0483014407461</v>
      </c>
      <c r="F28" s="0" t="n">
        <f aca="false">(SUMPRODUCT(DCF_Base!$C$19:$L$19/(1+$A$28/100)^DCF_Base!$C$4:$L$4)+MAX(0,MIN(IF($A$28&gt;$F$23,DCF_Base!$L$19*(1+$F$23/100)/(($A$28-$F$23)/100),DCF_Base!$L$19*DCF_Base!$B$29),DCF_Base!$L$19*DCF_Base!$B$29))/(1+$A$28/100)^DCF_Base!$L$4+Assumptions!$B$5-Assumptions!$B$4)/Assumptions!$B$3*Assumptions!$B$10</f>
        <v>23.351394812194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2026-10-09T22:45:38Z</dcterms:created>
  <dc:creator>openpyxl</dc:creator>
  <dc:description/>
  <dc:language>en-NZ</dc:language>
  <cp:lastModifiedBy/>
  <dcterms:modified xsi:type="dcterms:W3CDTF">2026-10-09T22:45:38Z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