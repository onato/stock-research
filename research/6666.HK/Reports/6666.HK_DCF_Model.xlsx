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<sst xmlns="http://schemas.openxmlformats.org/spreadsheetml/2006/main" count="350" uniqueCount="162">
  <si>
    <t xml:space="preserve">Ticker</t>
  </si>
  <si>
    <t xml:space="preserve">6666.HK</t>
  </si>
  <si>
    <t xml:space="preserve">Company</t>
  </si>
  <si>
    <t xml:space="preserve">Evergrande Property Services Group Limited</t>
  </si>
  <si>
    <t xml:space="preserve">Valuation date</t>
  </si>
  <si>
    <t xml:space="preserve">2026-10-24</t>
  </si>
  <si>
    <t xml:space="preserve">Current price</t>
  </si>
  <si>
    <t xml:space="preserve">Price as of</t>
  </si>
  <si>
    <t xml:space="preserve">2026-10-23T08:08:08Z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</si>
  <si>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</si>
  <si>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</si>
  <si>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</si>
  <si>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</si>
  <si>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</si>
  <si>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</si>
  <si>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</si>
  <si>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</si>
  <si>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</si>
  <si>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</si>
  <si>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</si>
  <si>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</si>
  <si>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</si>
  <si>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2026-10-23T15:22:38Z</t>
  </si>
  <si>
    <t xml:space="preserve">Drivers file</t>
  </si>
  <si>
    <t xml:space="preserve">6666.HK_Drivers.json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</si>
  <si>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</si>
  <si>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</si>
  <si>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</si>
  <si>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the fee stream the business actually produces, after every cash cost of collecting it (owner concessions, impairments, leases), at a CNY-built cost of equity, and add the unrestricted cash. Charge the Evergrande overhang once -- in the bear path and its 30% weight -- and give nothing for the RMB 13.4bn recovery claims or the stalled related-party pipeline. The result is a probability-weighted value in HKD comparable to the HKEX price.
key_risks_to_valuation: Change-of-control outcome: a PAG deal would trigger a mandatory general offer at an undisclosed stake price; a failed process prolongs the overhang. Neither is priced beyond the scenario weights.; Collections: owner concessions (RMB 78m in H1 FY2026, +98%) and impairments (RMB 144m, +111%) are both rising; the base margin assumes they plateau near 1% of revenue combined.; Float cash: RMB 3.7bn cash is added in full although net current assets are only RMB 645m; it is operating float as much as surplus.; Fee regulation caps pricing; growth depends on GFA conversion and value-added mix.; CNY/HKD: a 5% RMB depreciation moves the HKD value ~5%.; No dividend and 5-10% PRC withholding tax on any future upstreaming; the cash is trapped onshore until a payout policy exists.</t>
  </si>
  <si>
    <t xml:space="preserve">Data sources</t>
  </si>
  <si>
    <t xml:space="preserve">price: Yahoo Finance chart API at inputs.price_as_of; 52-week range HKD 0.72-1.70. FX: Yahoo CNYHKD=X at the date in inputs.fx_note.
financials: 6666.HK_Metrics.csv (FY2019-FY2025 annual, H1 FY2023-H1 FY2026 interim, RMB millions) built from the HKEX annual and interim reports in Extracted/; FY2025 annual report notes 13 (finance costs), 14 (income tax), 15 (EPS), 7 (segments); H1 FY2026 interim report (balance sheet 30 June 2026, note 9 finance costs, substantial-shareholder table, Potential Transaction section).
qualitative: 6666.HK_Analysis.json (2026-10-24): bull/bear axes, PAG exclusivity, stalled related-party GFA, Deposit Pledge Incident litigation.</t>
  </si>
  <si>
    <t xml:space="preserve">Scenario narrative: bear</t>
  </si>
  <si>
    <t xml:space="preserve">The sale process fails a second time or the buyer proves unable to restore confidence. Legacy Evergrande residential estates vote the manager out as owner committees form, taking revenue down ~7% over FY2027-29 before stabilising at 1% growth; concessions needed to collect arrears and impairments on lengthening receivables push the margin to 8.5%. Zero debt and RMB 3.7bn cash mean this is a shrinking annuity, not a solvency event.</t>
  </si>
  <si>
    <t xml:space="preserve">Scenario narrative: base</t>
  </si>
  <si>
    <t xml:space="preserve">A solvent fee business carrying a dead parent's name. Revenue compounds 3-4% near term from third-party signings and fee-collection programmes, fading to 2%; the after-concession EBITDA margin holds near 11% as cost control offsets labour inflation and the ~1% of revenue lost to owner concessions and receivables impairment persists. The liquidators' stake sale eventually completes but changes little operationally. No dividend is modelled; cash accumulates. Terminal value binds at the 12x cap.</t>
  </si>
  <si>
    <t xml:space="preserve">Scenario narrative: bull</t>
  </si>
  <si>
    <t xml:space="preserve">PAG (or a successor bidder) closes the 51% purchase in FY2026-27 and installs professional governance; the mandatory general offer passes and the brand is rebuilt. Stalled related-party contracted GFA partly converts, concessions and impairments normalise, value-added services grow double digits, and the margin recovers to 13% by FY2030. The RMB 13.4bn court judgments against the parent remain a free option valued at zero.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</si>
  <si>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</si>
  <si>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</si>
  <si>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</si>
  <si>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</si>
  <si>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</si>
  <si>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</si>
  <si>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</si>
  <si>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</si>
  <si>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</si>
  <si>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</si>
  <si>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</si>
  <si>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</si>
  <si>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</si>
  <si>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</si>
  <si>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</si>
  <si>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</si>
  <si>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</si>
  <si>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</si>
  <si>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</si>
  <si>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</si>
  <si>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</si>
  <si>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</si>
  <si>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</si>
  <si>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</si>
  <si>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</si>
  <si>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</si>
  <si>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</si>
  <si>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</si>
  <si>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</si>
  <si>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</si>
  <si>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</si>
  <si>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</si>
  <si>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</si>
  <si>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</si>
  <si>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</si>
  <si>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</si>
  <si>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</si>
  <si>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</si>
  <si>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</si>
  <si>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</si>
  <si>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</si>
  <si>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</si>
  <si>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</si>
  <si>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</si>
  <si>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</si>
  <si>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</si>
  <si>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</si>
  <si>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</si>
  <si>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</si>
  <si>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</si>
  <si>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</si>
  <si>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</si>
  <si>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</si>
  <si>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</si>
  <si>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</si>
  <si>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</si>
  <si>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</si>
  <si>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</si>
  <si>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</si>
  <si>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</si>
  <si>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</si>
  <si>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</si>
  <si>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</si>
  <si>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</si>
  <si>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</si>
  <si>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</si>
  <si>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</si>
  <si>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</si>
  <si>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</si>
  <si>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</si>
  <si>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</si>
  <si>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6666.HK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</si>
  <si>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</si>
  <si>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</si>
  <si>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</si>
  <si>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</si>
  <si>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</si>
  <si>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</si>
  <si>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</si>
  <si>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</si>
  <si>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</si>
  <si>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</si>
  <si>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</si>
  <si>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</si>
  <si>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</si>
  <si>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</si>
  <si>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</si>
  <si>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</si>
  <si>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</si>
  <si>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</si>
  <si>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</si>
  <si>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</si>
  <si>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</si>
  <si>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</si>
  <si>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</si>
  <si>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</si>
  <si>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</si>
  <si>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</si>
  <si>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</si>
  <si>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</si>
  <si>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</si>
  <si>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</si>
  <si>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6666.HK owner-FCF component DCF: base case (millions, CNY)</t>
  </si>
  <si>
    <t xml:space="preserve">6666.HK owner-FCF component DCF: bull case (millions, CNY)</t>
  </si>
  <si>
    <t xml:space="preserve">6666.HK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</si>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</sst>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1.065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7332.722</v>
      </c>
      <c r="C2" s="0" t="n">
        <v>5577.739</v>
      </c>
      <c r="D2" s="0" t="n">
        <v>1754.983</v>
      </c>
      <c r="E2" s="0" t="n">
        <v>23.9336</v>
      </c>
      <c r="F2" s="0" t="n">
        <v>1258.068</v>
      </c>
      <c r="G2" s="0" t="n">
        <v>17.1569</v>
      </c>
      <c r="I2" s="0" t="n">
        <v>930.232</v>
      </c>
      <c r="J2" s="0" t="n">
        <v>12.686</v>
      </c>
      <c r="K2" s="0" t="n">
        <v>0.09</v>
      </c>
      <c r="L2" s="0" t="n">
        <v>-368.237</v>
      </c>
      <c r="M2" s="0" t="n">
        <v>17.227</v>
      </c>
      <c r="N2" s="0" t="n">
        <v>-385.464</v>
      </c>
      <c r="O2" s="0" t="n">
        <v>1761.607</v>
      </c>
      <c r="P2" s="0" t="n">
        <v>7456.655</v>
      </c>
      <c r="Q2" s="0" t="n">
        <v>5682.198</v>
      </c>
      <c r="R2" s="0" t="n">
        <v>2.95</v>
      </c>
      <c r="S2" s="0" t="n">
        <v>684.348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10781.578</v>
      </c>
      <c r="C3" s="0" t="n">
        <v>6765.689</v>
      </c>
      <c r="D3" s="0" t="n">
        <v>4015.889</v>
      </c>
      <c r="E3" s="0" t="n">
        <v>37.2477</v>
      </c>
      <c r="F3" s="0" t="n">
        <v>3515.202</v>
      </c>
      <c r="G3" s="0" t="n">
        <v>32.6038</v>
      </c>
      <c r="H3" s="0" t="n">
        <v>3558.195</v>
      </c>
      <c r="I3" s="0" t="n">
        <v>2647.099</v>
      </c>
      <c r="J3" s="0" t="n">
        <v>24.5521</v>
      </c>
      <c r="K3" s="0" t="n">
        <v>0.26</v>
      </c>
      <c r="L3" s="0" t="n">
        <v>3127.048</v>
      </c>
      <c r="M3" s="0" t="n">
        <v>29.59</v>
      </c>
      <c r="N3" s="0" t="n">
        <v>3097.458</v>
      </c>
      <c r="O3" s="0" t="n">
        <v>9845.648</v>
      </c>
      <c r="P3" s="0" t="n">
        <v>17108.539</v>
      </c>
      <c r="Q3" s="0" t="n">
        <v>7251.929</v>
      </c>
      <c r="R3" s="0" t="n">
        <v>0</v>
      </c>
      <c r="S3" s="0" t="n">
        <v>10605.396</v>
      </c>
      <c r="T3" s="0" t="n">
        <v>10810.8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13193.464</v>
      </c>
      <c r="C4" s="0" t="n">
        <v>9529.531</v>
      </c>
      <c r="D4" s="0" t="n">
        <v>3663.933</v>
      </c>
      <c r="E4" s="0" t="n">
        <v>27.7708</v>
      </c>
      <c r="F4" s="0" t="n">
        <v>-156.627</v>
      </c>
      <c r="G4" s="0" t="n">
        <v>-1.1872</v>
      </c>
      <c r="H4" s="0" t="n">
        <v>229.524</v>
      </c>
      <c r="I4" s="0" t="n">
        <v>-316.294</v>
      </c>
      <c r="J4" s="0" t="n">
        <v>-2.3974</v>
      </c>
      <c r="K4" s="0" t="n">
        <v>-0.03</v>
      </c>
      <c r="L4" s="0" t="n">
        <v>4483.396</v>
      </c>
      <c r="M4" s="0" t="n">
        <v>20.19</v>
      </c>
      <c r="N4" s="0" t="n">
        <v>4463.206</v>
      </c>
      <c r="O4" s="0" t="n">
        <v>-3866.551</v>
      </c>
      <c r="P4" s="0" t="n">
        <v>6602.128</v>
      </c>
      <c r="Q4" s="0" t="n">
        <v>10104.658</v>
      </c>
      <c r="R4" s="0" t="n">
        <v>300</v>
      </c>
      <c r="S4" s="0" t="n">
        <v>1130.154</v>
      </c>
      <c r="T4" s="0" t="n">
        <v>10810.8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11809.176</v>
      </c>
      <c r="C5" s="0" t="n">
        <v>9090.093</v>
      </c>
      <c r="D5" s="0" t="n">
        <v>2719.083</v>
      </c>
      <c r="E5" s="0" t="n">
        <v>23.0252</v>
      </c>
      <c r="F5" s="0" t="n">
        <v>1986.097</v>
      </c>
      <c r="G5" s="0" t="n">
        <v>16.8183</v>
      </c>
      <c r="H5" s="0" t="n">
        <v>2341.17</v>
      </c>
      <c r="I5" s="0" t="n">
        <v>1422.679</v>
      </c>
      <c r="J5" s="0" t="n">
        <v>12.0472</v>
      </c>
      <c r="K5" s="0" t="n">
        <v>0.13</v>
      </c>
      <c r="L5" s="0" t="n">
        <v>756.438</v>
      </c>
      <c r="M5" s="0" t="n">
        <v>34.196</v>
      </c>
      <c r="N5" s="0" t="n">
        <v>722.242</v>
      </c>
      <c r="O5" s="0" t="n">
        <v>-2008.244</v>
      </c>
      <c r="P5" s="0" t="n">
        <v>7147.771</v>
      </c>
      <c r="Q5" s="0" t="n">
        <v>8660.536</v>
      </c>
      <c r="R5" s="0" t="n">
        <v>249.7</v>
      </c>
      <c r="S5" s="0" t="n">
        <v>1567.979</v>
      </c>
      <c r="T5" s="0" t="n">
        <v>10810.8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12486.544</v>
      </c>
      <c r="C6" s="0" t="n">
        <v>9378.096</v>
      </c>
      <c r="D6" s="0" t="n">
        <v>3108.448</v>
      </c>
      <c r="E6" s="0" t="n">
        <v>24.8944</v>
      </c>
      <c r="F6" s="0" t="n">
        <v>2111.77</v>
      </c>
      <c r="G6" s="0" t="n">
        <v>16.9124</v>
      </c>
      <c r="H6" s="0" t="n">
        <v>2334.24</v>
      </c>
      <c r="I6" s="0" t="n">
        <v>1541.199</v>
      </c>
      <c r="J6" s="0" t="n">
        <v>12.3429</v>
      </c>
      <c r="K6" s="0" t="n">
        <v>0.14</v>
      </c>
      <c r="L6" s="0" t="n">
        <v>1321.621</v>
      </c>
      <c r="M6" s="0" t="n">
        <v>36.5</v>
      </c>
      <c r="N6" s="0" t="n">
        <v>1285.121</v>
      </c>
      <c r="O6" s="0" t="n">
        <v>-467.575</v>
      </c>
      <c r="P6" s="0" t="n">
        <v>8246.416</v>
      </c>
      <c r="Q6" s="0" t="n">
        <v>8227.205</v>
      </c>
      <c r="R6" s="0" t="n">
        <v>0</v>
      </c>
      <c r="S6" s="0" t="n">
        <v>1880.85</v>
      </c>
      <c r="T6" s="0" t="n">
        <v>10810.8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12756.687</v>
      </c>
      <c r="C7" s="0" t="n">
        <v>10313.25</v>
      </c>
      <c r="D7" s="0" t="n">
        <v>2443.437</v>
      </c>
      <c r="E7" s="0" t="n">
        <v>19.1542</v>
      </c>
      <c r="F7" s="0" t="n">
        <v>1474.135</v>
      </c>
      <c r="G7" s="0" t="n">
        <v>11.5558</v>
      </c>
      <c r="H7" s="0" t="n">
        <v>1620.956</v>
      </c>
      <c r="I7" s="0" t="n">
        <v>1020.987</v>
      </c>
      <c r="J7" s="0" t="n">
        <v>8.0035</v>
      </c>
      <c r="K7" s="0" t="n">
        <v>0.09</v>
      </c>
      <c r="L7" s="0" t="n">
        <v>1124.593</v>
      </c>
      <c r="M7" s="0" t="n">
        <v>38.93</v>
      </c>
      <c r="N7" s="0" t="n">
        <v>1085.663</v>
      </c>
      <c r="O7" s="0" t="n">
        <v>554.606</v>
      </c>
      <c r="P7" s="0" t="n">
        <v>8710.343</v>
      </c>
      <c r="Q7" s="0" t="n">
        <v>7733.169</v>
      </c>
      <c r="R7" s="0" t="n">
        <v>0</v>
      </c>
      <c r="S7" s="0" t="n">
        <v>2697.369</v>
      </c>
      <c r="T7" s="0" t="n">
        <v>10810.8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13677.623</v>
      </c>
      <c r="C8" s="0" t="n">
        <v>11173.017</v>
      </c>
      <c r="D8" s="0" t="n">
        <v>2504.606</v>
      </c>
      <c r="E8" s="0" t="n">
        <v>18.3117</v>
      </c>
      <c r="F8" s="0" t="n">
        <v>1483.07</v>
      </c>
      <c r="G8" s="0" t="n">
        <v>10.843</v>
      </c>
      <c r="H8" s="0" t="n">
        <v>1612.757</v>
      </c>
      <c r="I8" s="0" t="n">
        <v>986.573</v>
      </c>
      <c r="J8" s="0" t="n">
        <v>7.213</v>
      </c>
      <c r="K8" s="0" t="n">
        <v>0.09</v>
      </c>
      <c r="L8" s="0" t="n">
        <v>1223.024</v>
      </c>
      <c r="M8" s="0" t="n">
        <v>42.705</v>
      </c>
      <c r="N8" s="0" t="n">
        <v>1180.319</v>
      </c>
      <c r="O8" s="0" t="n">
        <v>1603.637</v>
      </c>
      <c r="P8" s="0" t="n">
        <v>9614.622</v>
      </c>
      <c r="Q8" s="0" t="n">
        <v>7664.762</v>
      </c>
      <c r="R8" s="0" t="n">
        <v>0</v>
      </c>
      <c r="S8" s="0" t="n">
        <v>4189.546</v>
      </c>
      <c r="T8" s="0" t="n">
        <v>10810.8</v>
      </c>
      <c r="AA8" s="0" t="s">
        <v>18</v>
      </c>
      <c r="AB8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71</v>
      </c>
      <c r="B1" s="2" t="s">
        <v>72</v>
      </c>
    </row>
    <row r="2" customFormat="false" ht="15" hidden="false" customHeight="false" outlineLevel="0" collapsed="false">
      <c r="A2" s="0" t="s">
        <v>73</v>
      </c>
      <c r="B2" s="3" t="n">
        <v>1.065</v>
      </c>
    </row>
    <row r="3" customFormat="false" ht="15" hidden="false" customHeight="false" outlineLevel="0" collapsed="false">
      <c r="A3" s="0" t="s">
        <v>74</v>
      </c>
      <c r="B3" s="3" t="n">
        <v>10810.811</v>
      </c>
    </row>
    <row r="4" customFormat="false" ht="15" hidden="false" customHeight="false" outlineLevel="0" collapsed="false">
      <c r="A4" s="0" t="s">
        <v>75</v>
      </c>
      <c r="B4" s="3" t="n">
        <v>-3691.694</v>
      </c>
    </row>
    <row r="5" customFormat="false" ht="15" hidden="false" customHeight="false" outlineLevel="0" collapsed="false">
      <c r="A5" s="0" t="s">
        <v>76</v>
      </c>
      <c r="B5" s="3" t="n">
        <v>-332.13</v>
      </c>
    </row>
    <row r="6" customFormat="false" ht="15" hidden="false" customHeight="false" outlineLevel="0" collapsed="false">
      <c r="A6" s="0" t="s">
        <v>77</v>
      </c>
      <c r="B6" s="3" t="n">
        <v>15</v>
      </c>
    </row>
    <row r="7" customFormat="false" ht="15" hidden="false" customHeight="false" outlineLevel="0" collapsed="false">
      <c r="A7" s="0" t="s">
        <v>78</v>
      </c>
      <c r="B7" s="3" t="n">
        <v>13677.623</v>
      </c>
    </row>
    <row r="8" customFormat="false" ht="15" hidden="false" customHeight="false" outlineLevel="0" collapsed="false">
      <c r="A8" s="0" t="s">
        <v>79</v>
      </c>
      <c r="B8" s="3" t="s">
        <v>70</v>
      </c>
    </row>
    <row r="9" customFormat="false" ht="15" hidden="false" customHeight="false" outlineLevel="0" collapsed="false">
      <c r="A9" s="0" t="s">
        <v>80</v>
      </c>
      <c r="B9" s="3" t="s">
        <v>81</v>
      </c>
    </row>
    <row r="10" customFormat="false" ht="15" hidden="false" customHeight="false" outlineLevel="0" collapsed="false">
      <c r="A10" s="0" t="s">
        <v>82</v>
      </c>
      <c r="B10" s="3" t="n">
        <v>1.1746</v>
      </c>
    </row>
    <row r="12" customFormat="false" ht="15" hidden="false" customHeight="false" outlineLevel="0" collapsed="false">
      <c r="A12" s="2" t="s">
        <v>83</v>
      </c>
      <c r="C12" s="2" t="s">
        <v>84</v>
      </c>
      <c r="D12" s="2" t="s">
        <v>85</v>
      </c>
      <c r="E12" s="2" t="s">
        <v>86</v>
      </c>
      <c r="F12" s="2" t="s">
        <v>87</v>
      </c>
      <c r="G12" s="2" t="s">
        <v>88</v>
      </c>
      <c r="H12" s="2" t="s">
        <v>89</v>
      </c>
      <c r="I12" s="2" t="s">
        <v>90</v>
      </c>
      <c r="J12" s="2" t="s">
        <v>91</v>
      </c>
      <c r="K12" s="2" t="s">
        <v>92</v>
      </c>
      <c r="L12" s="2" t="s">
        <v>93</v>
      </c>
    </row>
    <row r="13" customFormat="false" ht="15" hidden="false" customHeight="false" outlineLevel="0" collapsed="false">
      <c r="A13" s="0" t="s">
        <v>94</v>
      </c>
      <c r="C13" s="3" t="n">
        <v>2</v>
      </c>
      <c r="D13" s="3" t="n">
        <v>-2</v>
      </c>
      <c r="E13" s="3" t="n">
        <v>-3</v>
      </c>
      <c r="F13" s="3" t="n">
        <v>-2</v>
      </c>
      <c r="G13" s="3" t="n">
        <v>0</v>
      </c>
      <c r="H13" s="3" t="n">
        <v>1</v>
      </c>
      <c r="I13" s="3" t="n">
        <v>1</v>
      </c>
      <c r="J13" s="3" t="n">
        <v>1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95</v>
      </c>
      <c r="C14" s="3" t="n">
        <v>10</v>
      </c>
      <c r="D14" s="3" t="n">
        <v>9.5</v>
      </c>
      <c r="E14" s="3" t="n">
        <v>9</v>
      </c>
      <c r="F14" s="3" t="n">
        <v>8.5</v>
      </c>
      <c r="G14" s="3" t="n">
        <v>8.5</v>
      </c>
      <c r="H14" s="3" t="n">
        <v>8.5</v>
      </c>
      <c r="I14" s="3" t="n">
        <v>8.5</v>
      </c>
      <c r="J14" s="3" t="n">
        <v>8.5</v>
      </c>
      <c r="K14" s="3" t="n">
        <v>8.5</v>
      </c>
      <c r="L14" s="3" t="n">
        <v>8.5</v>
      </c>
    </row>
    <row r="15" customFormat="false" ht="15" hidden="false" customHeight="false" outlineLevel="0" collapsed="false">
      <c r="A15" s="0" t="s">
        <v>96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97</v>
      </c>
      <c r="C16" s="3" t="n">
        <v>0.28</v>
      </c>
      <c r="D16" s="3" t="n">
        <v>0.28</v>
      </c>
      <c r="E16" s="3" t="n">
        <v>0.28</v>
      </c>
      <c r="F16" s="3" t="n">
        <v>0.28</v>
      </c>
      <c r="G16" s="3" t="n">
        <v>0.28</v>
      </c>
      <c r="H16" s="3" t="n">
        <v>0.28</v>
      </c>
      <c r="I16" s="3" t="n">
        <v>0.28</v>
      </c>
      <c r="J16" s="3" t="n">
        <v>0.28</v>
      </c>
      <c r="K16" s="3" t="n">
        <v>0.28</v>
      </c>
      <c r="L16" s="3" t="n">
        <v>0.28</v>
      </c>
    </row>
    <row r="17" customFormat="false" ht="15" hidden="false" customHeight="false" outlineLevel="0" collapsed="false">
      <c r="A17" s="0" t="s">
        <v>98</v>
      </c>
      <c r="C17" s="3" t="n">
        <v>0.7</v>
      </c>
      <c r="D17" s="3" t="n">
        <v>0.7</v>
      </c>
      <c r="E17" s="3" t="n">
        <v>0.7</v>
      </c>
      <c r="F17" s="3" t="n">
        <v>0.7</v>
      </c>
      <c r="G17" s="3" t="n">
        <v>0.7</v>
      </c>
      <c r="H17" s="3" t="n">
        <v>0.7</v>
      </c>
      <c r="I17" s="3" t="n">
        <v>0.7</v>
      </c>
      <c r="J17" s="3" t="n">
        <v>0.7</v>
      </c>
      <c r="K17" s="3" t="n">
        <v>0.7</v>
      </c>
      <c r="L17" s="3" t="n">
        <v>0.7</v>
      </c>
    </row>
    <row r="18" customFormat="false" ht="15" hidden="false" customHeight="false" outlineLevel="0" collapsed="false">
      <c r="A18" s="0" t="s">
        <v>99</v>
      </c>
      <c r="C18" s="3" t="n">
        <v>0.35</v>
      </c>
      <c r="D18" s="3" t="n">
        <v>0.35</v>
      </c>
      <c r="E18" s="3" t="n">
        <v>0.35</v>
      </c>
      <c r="F18" s="3" t="n">
        <v>0.35</v>
      </c>
      <c r="G18" s="3" t="n">
        <v>0.35</v>
      </c>
      <c r="H18" s="3" t="n">
        <v>0.35</v>
      </c>
      <c r="I18" s="3" t="n">
        <v>0.35</v>
      </c>
      <c r="J18" s="3" t="n">
        <v>0.35</v>
      </c>
      <c r="K18" s="3" t="n">
        <v>0.35</v>
      </c>
      <c r="L18" s="3" t="n">
        <v>0.35</v>
      </c>
    </row>
    <row r="19" customFormat="false" ht="15" hidden="false" customHeight="false" outlineLevel="0" collapsed="false">
      <c r="A19" s="0" t="s">
        <v>100</v>
      </c>
      <c r="C19" s="3" t="n">
        <v>26</v>
      </c>
      <c r="D19" s="3" t="n">
        <v>26</v>
      </c>
      <c r="E19" s="3" t="n">
        <v>26</v>
      </c>
      <c r="F19" s="3" t="n">
        <v>26</v>
      </c>
      <c r="G19" s="3" t="n">
        <v>26</v>
      </c>
      <c r="H19" s="3" t="n">
        <v>26</v>
      </c>
      <c r="I19" s="3" t="n">
        <v>26</v>
      </c>
      <c r="J19" s="3" t="n">
        <v>26</v>
      </c>
      <c r="K19" s="3" t="n">
        <v>26</v>
      </c>
      <c r="L19" s="3" t="n">
        <v>26</v>
      </c>
    </row>
    <row r="20" customFormat="false" ht="15" hidden="false" customHeight="false" outlineLevel="0" collapsed="false">
      <c r="A20" s="0" t="s">
        <v>101</v>
      </c>
      <c r="B20" s="3" t="n">
        <v>10</v>
      </c>
    </row>
    <row r="21" customFormat="false" ht="15" hidden="false" customHeight="false" outlineLevel="0" collapsed="false">
      <c r="A21" s="0" t="s">
        <v>102</v>
      </c>
      <c r="B21" s="3" t="n">
        <v>1.5</v>
      </c>
    </row>
    <row r="22" customFormat="false" ht="15" hidden="false" customHeight="false" outlineLevel="0" collapsed="false">
      <c r="A22" s="0" t="s">
        <v>103</v>
      </c>
      <c r="B22" s="3" t="n">
        <v>10</v>
      </c>
    </row>
    <row r="23" customFormat="false" ht="15" hidden="false" customHeight="false" outlineLevel="0" collapsed="false">
      <c r="A23" s="0" t="s">
        <v>104</v>
      </c>
      <c r="B23" s="3" t="n">
        <v>0</v>
      </c>
    </row>
    <row r="24" customFormat="false" ht="15" hidden="false" customHeight="false" outlineLevel="0" collapsed="false">
      <c r="A24" s="0" t="s">
        <v>105</v>
      </c>
      <c r="B24" s="3" t="n">
        <v>0.3</v>
      </c>
    </row>
    <row r="26" customFormat="false" ht="15" hidden="false" customHeight="false" outlineLevel="0" collapsed="false">
      <c r="A26" s="2" t="s">
        <v>106</v>
      </c>
      <c r="C26" s="2" t="s">
        <v>84</v>
      </c>
      <c r="D26" s="2" t="s">
        <v>85</v>
      </c>
      <c r="E26" s="2" t="s">
        <v>86</v>
      </c>
      <c r="F26" s="2" t="s">
        <v>87</v>
      </c>
      <c r="G26" s="2" t="s">
        <v>88</v>
      </c>
      <c r="H26" s="2" t="s">
        <v>89</v>
      </c>
      <c r="I26" s="2" t="s">
        <v>90</v>
      </c>
      <c r="J26" s="2" t="s">
        <v>91</v>
      </c>
      <c r="K26" s="2" t="s">
        <v>92</v>
      </c>
      <c r="L26" s="2" t="s">
        <v>93</v>
      </c>
    </row>
    <row r="27" customFormat="false" ht="15" hidden="false" customHeight="false" outlineLevel="0" collapsed="false">
      <c r="A27" s="0" t="s">
        <v>94</v>
      </c>
      <c r="C27" s="3" t="n">
        <v>4</v>
      </c>
      <c r="D27" s="3" t="n">
        <v>3.5</v>
      </c>
      <c r="E27" s="3" t="n">
        <v>3</v>
      </c>
      <c r="F27" s="3" t="n">
        <v>3</v>
      </c>
      <c r="G27" s="3" t="n">
        <v>3</v>
      </c>
      <c r="H27" s="3" t="n">
        <v>2.5</v>
      </c>
      <c r="I27" s="3" t="n">
        <v>2.5</v>
      </c>
      <c r="J27" s="3" t="n">
        <v>2.5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95</v>
      </c>
      <c r="C28" s="3" t="n">
        <v>10.8</v>
      </c>
      <c r="D28" s="3" t="n">
        <v>10.9</v>
      </c>
      <c r="E28" s="3" t="n">
        <v>11</v>
      </c>
      <c r="F28" s="3" t="n">
        <v>11</v>
      </c>
      <c r="G28" s="3" t="n">
        <v>11</v>
      </c>
      <c r="H28" s="3" t="n">
        <v>11</v>
      </c>
      <c r="I28" s="3" t="n">
        <v>11</v>
      </c>
      <c r="J28" s="3" t="n">
        <v>11</v>
      </c>
      <c r="K28" s="3" t="n">
        <v>11</v>
      </c>
      <c r="L28" s="3" t="n">
        <v>11</v>
      </c>
    </row>
    <row r="29" customFormat="false" ht="15" hidden="false" customHeight="false" outlineLevel="0" collapsed="false">
      <c r="A29" s="0" t="s">
        <v>96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97</v>
      </c>
      <c r="C30" s="3" t="n">
        <v>0.28</v>
      </c>
      <c r="D30" s="3" t="n">
        <v>0.28</v>
      </c>
      <c r="E30" s="3" t="n">
        <v>0.28</v>
      </c>
      <c r="F30" s="3" t="n">
        <v>0.28</v>
      </c>
      <c r="G30" s="3" t="n">
        <v>0.28</v>
      </c>
      <c r="H30" s="3" t="n">
        <v>0.28</v>
      </c>
      <c r="I30" s="3" t="n">
        <v>0.28</v>
      </c>
      <c r="J30" s="3" t="n">
        <v>0.28</v>
      </c>
      <c r="K30" s="3" t="n">
        <v>0.28</v>
      </c>
      <c r="L30" s="3" t="n">
        <v>0.28</v>
      </c>
    </row>
    <row r="31" customFormat="false" ht="15" hidden="false" customHeight="false" outlineLevel="0" collapsed="false">
      <c r="A31" s="0" t="s">
        <v>98</v>
      </c>
      <c r="C31" s="3" t="n">
        <v>0.7</v>
      </c>
      <c r="D31" s="3" t="n">
        <v>0.7</v>
      </c>
      <c r="E31" s="3" t="n">
        <v>0.7</v>
      </c>
      <c r="F31" s="3" t="n">
        <v>0.7</v>
      </c>
      <c r="G31" s="3" t="n">
        <v>0.7</v>
      </c>
      <c r="H31" s="3" t="n">
        <v>0.7</v>
      </c>
      <c r="I31" s="3" t="n">
        <v>0.7</v>
      </c>
      <c r="J31" s="3" t="n">
        <v>0.7</v>
      </c>
      <c r="K31" s="3" t="n">
        <v>0.7</v>
      </c>
      <c r="L31" s="3" t="n">
        <v>0.7</v>
      </c>
    </row>
    <row r="32" customFormat="false" ht="15" hidden="false" customHeight="false" outlineLevel="0" collapsed="false">
      <c r="A32" s="0" t="s">
        <v>99</v>
      </c>
      <c r="C32" s="3" t="n">
        <v>0.35</v>
      </c>
      <c r="D32" s="3" t="n">
        <v>0.35</v>
      </c>
      <c r="E32" s="3" t="n">
        <v>0.35</v>
      </c>
      <c r="F32" s="3" t="n">
        <v>0.35</v>
      </c>
      <c r="G32" s="3" t="n">
        <v>0.35</v>
      </c>
      <c r="H32" s="3" t="n">
        <v>0.35</v>
      </c>
      <c r="I32" s="3" t="n">
        <v>0.35</v>
      </c>
      <c r="J32" s="3" t="n">
        <v>0.35</v>
      </c>
      <c r="K32" s="3" t="n">
        <v>0.35</v>
      </c>
      <c r="L32" s="3" t="n">
        <v>0.35</v>
      </c>
    </row>
    <row r="33" customFormat="false" ht="15" hidden="false" customHeight="false" outlineLevel="0" collapsed="false">
      <c r="A33" s="0" t="s">
        <v>100</v>
      </c>
      <c r="C33" s="3" t="n">
        <v>26</v>
      </c>
      <c r="D33" s="3" t="n">
        <v>26</v>
      </c>
      <c r="E33" s="3" t="n">
        <v>26</v>
      </c>
      <c r="F33" s="3" t="n">
        <v>26</v>
      </c>
      <c r="G33" s="3" t="n">
        <v>26</v>
      </c>
      <c r="H33" s="3" t="n">
        <v>26</v>
      </c>
      <c r="I33" s="3" t="n">
        <v>26</v>
      </c>
      <c r="J33" s="3" t="n">
        <v>26</v>
      </c>
      <c r="K33" s="3" t="n">
        <v>26</v>
      </c>
      <c r="L33" s="3" t="n">
        <v>26</v>
      </c>
    </row>
    <row r="34" customFormat="false" ht="15" hidden="false" customHeight="false" outlineLevel="0" collapsed="false">
      <c r="A34" s="0" t="s">
        <v>101</v>
      </c>
      <c r="B34" s="3" t="n">
        <v>10</v>
      </c>
    </row>
    <row r="35" customFormat="false" ht="15" hidden="false" customHeight="false" outlineLevel="0" collapsed="false">
      <c r="A35" s="0" t="s">
        <v>102</v>
      </c>
      <c r="B35" s="3" t="n">
        <v>2</v>
      </c>
    </row>
    <row r="36" customFormat="false" ht="15" hidden="false" customHeight="false" outlineLevel="0" collapsed="false">
      <c r="A36" s="0" t="s">
        <v>103</v>
      </c>
      <c r="B36" s="3" t="n">
        <v>12</v>
      </c>
    </row>
    <row r="37" customFormat="false" ht="15" hidden="false" customHeight="false" outlineLevel="0" collapsed="false">
      <c r="A37" s="0" t="s">
        <v>104</v>
      </c>
      <c r="B37" s="3" t="n">
        <v>-10</v>
      </c>
    </row>
    <row r="38" customFormat="false" ht="15" hidden="false" customHeight="false" outlineLevel="0" collapsed="false">
      <c r="A38" s="0" t="s">
        <v>105</v>
      </c>
      <c r="B38" s="3" t="n">
        <v>0.5</v>
      </c>
    </row>
    <row r="40" customFormat="false" ht="15" hidden="false" customHeight="false" outlineLevel="0" collapsed="false">
      <c r="A40" s="2" t="s">
        <v>107</v>
      </c>
      <c r="C40" s="2" t="s">
        <v>84</v>
      </c>
      <c r="D40" s="2" t="s">
        <v>85</v>
      </c>
      <c r="E40" s="2" t="s">
        <v>86</v>
      </c>
      <c r="F40" s="2" t="s">
        <v>87</v>
      </c>
      <c r="G40" s="2" t="s">
        <v>88</v>
      </c>
      <c r="H40" s="2" t="s">
        <v>89</v>
      </c>
      <c r="I40" s="2" t="s">
        <v>90</v>
      </c>
      <c r="J40" s="2" t="s">
        <v>91</v>
      </c>
      <c r="K40" s="2" t="s">
        <v>92</v>
      </c>
      <c r="L40" s="2" t="s">
        <v>93</v>
      </c>
    </row>
    <row r="41" customFormat="false" ht="15" hidden="false" customHeight="false" outlineLevel="0" collapsed="false">
      <c r="A41" s="0" t="s">
        <v>94</v>
      </c>
      <c r="C41" s="3" t="n">
        <v>5</v>
      </c>
      <c r="D41" s="3" t="n">
        <v>6</v>
      </c>
      <c r="E41" s="3" t="n">
        <v>6</v>
      </c>
      <c r="F41" s="3" t="n">
        <v>5</v>
      </c>
      <c r="G41" s="3" t="n">
        <v>5</v>
      </c>
      <c r="H41" s="3" t="n">
        <v>4</v>
      </c>
      <c r="I41" s="3" t="n">
        <v>4</v>
      </c>
      <c r="J41" s="3" t="n">
        <v>3</v>
      </c>
      <c r="K41" s="3" t="n">
        <v>3</v>
      </c>
      <c r="L41" s="3" t="n">
        <v>2.5</v>
      </c>
    </row>
    <row r="42" customFormat="false" ht="15" hidden="false" customHeight="false" outlineLevel="0" collapsed="false">
      <c r="A42" s="0" t="s">
        <v>95</v>
      </c>
      <c r="C42" s="3" t="n">
        <v>11</v>
      </c>
      <c r="D42" s="3" t="n">
        <v>11.5</v>
      </c>
      <c r="E42" s="3" t="n">
        <v>12</v>
      </c>
      <c r="F42" s="3" t="n">
        <v>12.5</v>
      </c>
      <c r="G42" s="3" t="n">
        <v>13</v>
      </c>
      <c r="H42" s="3" t="n">
        <v>13</v>
      </c>
      <c r="I42" s="3" t="n">
        <v>13</v>
      </c>
      <c r="J42" s="3" t="n">
        <v>13</v>
      </c>
      <c r="K42" s="3" t="n">
        <v>13</v>
      </c>
      <c r="L42" s="3" t="n">
        <v>13</v>
      </c>
    </row>
    <row r="43" customFormat="false" ht="15" hidden="false" customHeight="false" outlineLevel="0" collapsed="false">
      <c r="A43" s="0" t="s">
        <v>96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97</v>
      </c>
      <c r="C44" s="3" t="n">
        <v>0.28</v>
      </c>
      <c r="D44" s="3" t="n">
        <v>0.28</v>
      </c>
      <c r="E44" s="3" t="n">
        <v>0.28</v>
      </c>
      <c r="F44" s="3" t="n">
        <v>0.28</v>
      </c>
      <c r="G44" s="3" t="n">
        <v>0.28</v>
      </c>
      <c r="H44" s="3" t="n">
        <v>0.28</v>
      </c>
      <c r="I44" s="3" t="n">
        <v>0.28</v>
      </c>
      <c r="J44" s="3" t="n">
        <v>0.28</v>
      </c>
      <c r="K44" s="3" t="n">
        <v>0.28</v>
      </c>
      <c r="L44" s="3" t="n">
        <v>0.28</v>
      </c>
    </row>
    <row r="45" customFormat="false" ht="15" hidden="false" customHeight="false" outlineLevel="0" collapsed="false">
      <c r="A45" s="0" t="s">
        <v>98</v>
      </c>
      <c r="C45" s="3" t="n">
        <v>0.7</v>
      </c>
      <c r="D45" s="3" t="n">
        <v>0.7</v>
      </c>
      <c r="E45" s="3" t="n">
        <v>0.7</v>
      </c>
      <c r="F45" s="3" t="n">
        <v>0.7</v>
      </c>
      <c r="G45" s="3" t="n">
        <v>0.7</v>
      </c>
      <c r="H45" s="3" t="n">
        <v>0.7</v>
      </c>
      <c r="I45" s="3" t="n">
        <v>0.7</v>
      </c>
      <c r="J45" s="3" t="n">
        <v>0.7</v>
      </c>
      <c r="K45" s="3" t="n">
        <v>0.7</v>
      </c>
      <c r="L45" s="3" t="n">
        <v>0.7</v>
      </c>
    </row>
    <row r="46" customFormat="false" ht="15" hidden="false" customHeight="false" outlineLevel="0" collapsed="false">
      <c r="A46" s="0" t="s">
        <v>99</v>
      </c>
      <c r="C46" s="3" t="n">
        <v>0.35</v>
      </c>
      <c r="D46" s="3" t="n">
        <v>0.35</v>
      </c>
      <c r="E46" s="3" t="n">
        <v>0.35</v>
      </c>
      <c r="F46" s="3" t="n">
        <v>0.35</v>
      </c>
      <c r="G46" s="3" t="n">
        <v>0.35</v>
      </c>
      <c r="H46" s="3" t="n">
        <v>0.35</v>
      </c>
      <c r="I46" s="3" t="n">
        <v>0.35</v>
      </c>
      <c r="J46" s="3" t="n">
        <v>0.35</v>
      </c>
      <c r="K46" s="3" t="n">
        <v>0.35</v>
      </c>
      <c r="L46" s="3" t="n">
        <v>0.35</v>
      </c>
    </row>
    <row r="47" customFormat="false" ht="15" hidden="false" customHeight="false" outlineLevel="0" collapsed="false">
      <c r="A47" s="0" t="s">
        <v>100</v>
      </c>
      <c r="C47" s="3" t="n">
        <v>25</v>
      </c>
      <c r="D47" s="3" t="n">
        <v>25</v>
      </c>
      <c r="E47" s="3" t="n">
        <v>25</v>
      </c>
      <c r="F47" s="3" t="n">
        <v>25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101</v>
      </c>
      <c r="B48" s="3" t="n">
        <v>10</v>
      </c>
    </row>
    <row r="49" customFormat="false" ht="15" hidden="false" customHeight="false" outlineLevel="0" collapsed="false">
      <c r="A49" s="0" t="s">
        <v>102</v>
      </c>
      <c r="B49" s="3" t="n">
        <v>2.5</v>
      </c>
    </row>
    <row r="50" customFormat="false" ht="15" hidden="false" customHeight="false" outlineLevel="0" collapsed="false">
      <c r="A50" s="0" t="s">
        <v>103</v>
      </c>
      <c r="B50" s="3" t="n">
        <v>14</v>
      </c>
    </row>
    <row r="51" customFormat="false" ht="15" hidden="false" customHeight="false" outlineLevel="0" collapsed="false">
      <c r="A51" s="0" t="s">
        <v>104</v>
      </c>
      <c r="B51" s="3" t="n">
        <v>-5</v>
      </c>
    </row>
    <row r="52" customFormat="false" ht="15" hidden="false" customHeight="false" outlineLevel="0" collapsed="false">
      <c r="A52" s="0" t="s">
        <v>105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108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Assumptions!C13</f>
        <v>2</v>
      </c>
      <c r="D5" s="4" t="n">
        <f aca="false">Assumptions!D13</f>
        <v>-2</v>
      </c>
      <c r="E5" s="4" t="n">
        <f aca="false">Assumptions!E13</f>
        <v>-3</v>
      </c>
      <c r="F5" s="4" t="n">
        <f aca="false">Assumptions!F13</f>
        <v>-2</v>
      </c>
      <c r="G5" s="4" t="n">
        <f aca="false">Assumptions!G13</f>
        <v>0</v>
      </c>
      <c r="H5" s="4" t="n">
        <f aca="false">Assumptions!H13</f>
        <v>1</v>
      </c>
      <c r="I5" s="4" t="n">
        <f aca="false">Assumptions!I13</f>
        <v>1</v>
      </c>
      <c r="J5" s="4" t="n">
        <f aca="false">Assumptions!J13</f>
        <v>1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38</v>
      </c>
      <c r="B6" s="3" t="n">
        <v>13677.623</v>
      </c>
      <c r="C6" s="0" t="n">
        <f aca="false">B6*(1+C5/100)</f>
        <v>13951.17546</v>
      </c>
      <c r="D6" s="0" t="n">
        <f aca="false">C6*(1+D5/100)</f>
        <v>13672.1519508</v>
      </c>
      <c r="E6" s="0" t="n">
        <f aca="false">D6*(1+E5/100)</f>
        <v>13261.987392276</v>
      </c>
      <c r="F6" s="0" t="n">
        <f aca="false">E6*(1+F5/100)</f>
        <v>12996.7476444305</v>
      </c>
      <c r="G6" s="0" t="n">
        <f aca="false">F6*(1+G5/100)</f>
        <v>12996.7476444305</v>
      </c>
      <c r="H6" s="0" t="n">
        <f aca="false">G6*(1+H5/100)</f>
        <v>13126.7151208748</v>
      </c>
      <c r="I6" s="0" t="n">
        <f aca="false">H6*(1+I5/100)</f>
        <v>13257.9822720835</v>
      </c>
      <c r="J6" s="0" t="n">
        <f aca="false">I6*(1+J5/100)</f>
        <v>13390.5620948044</v>
      </c>
      <c r="K6" s="0" t="n">
        <f aca="false">J6*(1+K5/100)</f>
        <v>13524.4677157524</v>
      </c>
      <c r="L6" s="0" t="n">
        <f aca="false">K6*(1+L5/100)</f>
        <v>13659.7123929099</v>
      </c>
    </row>
    <row r="7" customFormat="false" ht="15" hidden="false" customHeight="false" outlineLevel="0" collapsed="false">
      <c r="A7" s="0" t="s">
        <v>95</v>
      </c>
      <c r="C7" s="4" t="n">
        <f aca="false">Assumptions!C14</f>
        <v>10</v>
      </c>
      <c r="D7" s="4" t="n">
        <f aca="false">Assumptions!D14</f>
        <v>9.5</v>
      </c>
      <c r="E7" s="4" t="n">
        <f aca="false">Assumptions!E14</f>
        <v>9</v>
      </c>
      <c r="F7" s="4" t="n">
        <f aca="false">Assumptions!F14</f>
        <v>8.5</v>
      </c>
      <c r="G7" s="4" t="n">
        <f aca="false">Assumptions!G14</f>
        <v>8.5</v>
      </c>
      <c r="H7" s="4" t="n">
        <f aca="false">Assumptions!H14</f>
        <v>8.5</v>
      </c>
      <c r="I7" s="4" t="n">
        <f aca="false">Assumptions!I14</f>
        <v>8.5</v>
      </c>
      <c r="J7" s="4" t="n">
        <f aca="false">Assumptions!J14</f>
        <v>8.5</v>
      </c>
      <c r="K7" s="4" t="n">
        <f aca="false">Assumptions!K14</f>
        <v>8.5</v>
      </c>
      <c r="L7" s="4" t="n">
        <f aca="false">Assumptions!L14</f>
        <v>8.5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1395.117546</v>
      </c>
      <c r="D8" s="0" t="n">
        <f aca="false">D6*D7/100</f>
        <v>1298.854435326</v>
      </c>
      <c r="E8" s="0" t="n">
        <f aca="false">E6*E7/100</f>
        <v>1193.57886530484</v>
      </c>
      <c r="F8" s="0" t="n">
        <f aca="false">F6*F7/100</f>
        <v>1104.72354977659</v>
      </c>
      <c r="G8" s="0" t="n">
        <f aca="false">G6*G7/100</f>
        <v>1104.72354977659</v>
      </c>
      <c r="H8" s="0" t="n">
        <f aca="false">H6*H7/100</f>
        <v>1115.77078527436</v>
      </c>
      <c r="I8" s="0" t="n">
        <f aca="false">I6*I7/100</f>
        <v>1126.9284931271</v>
      </c>
      <c r="J8" s="0" t="n">
        <f aca="false">J6*J7/100</f>
        <v>1138.19777805837</v>
      </c>
      <c r="K8" s="0" t="n">
        <f aca="false">K6*K7/100</f>
        <v>1149.57975583896</v>
      </c>
      <c r="L8" s="0" t="n">
        <f aca="false">L6*L7/100</f>
        <v>1161.07555339734</v>
      </c>
    </row>
    <row r="9" customFormat="false" ht="15" hidden="false" customHeight="false" outlineLevel="0" collapsed="false">
      <c r="A9" s="0" t="s">
        <v>96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1356.054254712</v>
      </c>
      <c r="D11" s="0" t="n">
        <f aca="false">D8+D10+D24</f>
        <v>1260.57240986376</v>
      </c>
      <c r="E11" s="0" t="n">
        <f aca="false">E8+E10+E24</f>
        <v>1156.44530060647</v>
      </c>
      <c r="F11" s="0" t="n">
        <f aca="false">F8+F10+F24</f>
        <v>1068.33265637219</v>
      </c>
      <c r="G11" s="0" t="n">
        <f aca="false">G8+G10+G24</f>
        <v>1068.33265637219</v>
      </c>
      <c r="H11" s="0" t="n">
        <f aca="false">H8+H10+H24</f>
        <v>1079.01598293591</v>
      </c>
      <c r="I11" s="0" t="n">
        <f aca="false">I8+I10+I24</f>
        <v>1089.80614276527</v>
      </c>
      <c r="J11" s="0" t="n">
        <f aca="false">J8+J10+J24</f>
        <v>1100.70420419292</v>
      </c>
      <c r="K11" s="0" t="n">
        <f aca="false">K8+K10+K24</f>
        <v>1111.71124623485</v>
      </c>
      <c r="L11" s="0" t="n">
        <f aca="false">L8+L10+L24</f>
        <v>1122.8283586972</v>
      </c>
    </row>
    <row r="12" customFormat="false" ht="15" hidden="false" customHeight="false" outlineLevel="0" collapsed="false">
      <c r="A12" s="0" t="s">
        <v>113</v>
      </c>
      <c r="C12" s="4" t="n">
        <f aca="false">-C6*Assumptions!C17/100</f>
        <v>-97.65822822</v>
      </c>
      <c r="D12" s="4" t="n">
        <f aca="false">-D6*Assumptions!D17/100</f>
        <v>-95.7050636556</v>
      </c>
      <c r="E12" s="4" t="n">
        <f aca="false">-E6*Assumptions!E17/100</f>
        <v>-92.833911745932</v>
      </c>
      <c r="F12" s="4" t="n">
        <f aca="false">-F6*Assumptions!F17/100</f>
        <v>-90.9772335110134</v>
      </c>
      <c r="G12" s="4" t="n">
        <f aca="false">-G6*Assumptions!G17/100</f>
        <v>-90.9772335110134</v>
      </c>
      <c r="H12" s="4" t="n">
        <f aca="false">-H6*Assumptions!H17/100</f>
        <v>-91.8870058461235</v>
      </c>
      <c r="I12" s="4" t="n">
        <f aca="false">-I6*Assumptions!I17/100</f>
        <v>-92.8058759045847</v>
      </c>
      <c r="J12" s="4" t="n">
        <f aca="false">-J6*Assumptions!J17/100</f>
        <v>-93.7339346636306</v>
      </c>
      <c r="K12" s="4" t="n">
        <f aca="false">-K6*Assumptions!K17/100</f>
        <v>-94.6712740102669</v>
      </c>
      <c r="L12" s="4" t="n">
        <f aca="false">-L6*Assumptions!L17/100</f>
        <v>-95.6179867503695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1258.396026492</v>
      </c>
      <c r="D13" s="0" t="n">
        <f aca="false">D11+D12</f>
        <v>1164.86734620816</v>
      </c>
      <c r="E13" s="0" t="n">
        <f aca="false">E11+E12</f>
        <v>1063.61138886054</v>
      </c>
      <c r="F13" s="0" t="n">
        <f aca="false">F11+F12</f>
        <v>977.355422861172</v>
      </c>
      <c r="G13" s="0" t="n">
        <f aca="false">G11+G12</f>
        <v>977.355422861172</v>
      </c>
      <c r="H13" s="0" t="n">
        <f aca="false">H11+H12</f>
        <v>987.128977089784</v>
      </c>
      <c r="I13" s="0" t="n">
        <f aca="false">I11+I12</f>
        <v>997.000266860682</v>
      </c>
      <c r="J13" s="0" t="n">
        <f aca="false">J11+J12</f>
        <v>1006.97026952929</v>
      </c>
      <c r="K13" s="0" t="n">
        <f aca="false">K11+K12</f>
        <v>1017.03997222458</v>
      </c>
      <c r="L13" s="0" t="n">
        <f aca="false">L11+L12</f>
        <v>1027.21037194683</v>
      </c>
    </row>
    <row r="14" customFormat="false" ht="15" hidden="false" customHeight="false" outlineLevel="0" collapsed="false">
      <c r="A14" s="0" t="s">
        <v>100</v>
      </c>
      <c r="C14" s="4" t="n">
        <f aca="false">Assumptions!C19</f>
        <v>26</v>
      </c>
      <c r="D14" s="4" t="n">
        <f aca="false">Assumptions!D19</f>
        <v>26</v>
      </c>
      <c r="E14" s="4" t="n">
        <f aca="false">Assumptions!E19</f>
        <v>26</v>
      </c>
      <c r="F14" s="4" t="n">
        <f aca="false">Assumptions!F19</f>
        <v>26</v>
      </c>
      <c r="G14" s="4" t="n">
        <f aca="false">Assumptions!G19</f>
        <v>26</v>
      </c>
      <c r="H14" s="4" t="n">
        <f aca="false">Assumptions!H19</f>
        <v>26</v>
      </c>
      <c r="I14" s="4" t="n">
        <f aca="false">Assumptions!I19</f>
        <v>26</v>
      </c>
      <c r="J14" s="4" t="n">
        <f aca="false">Assumptions!J19</f>
        <v>26</v>
      </c>
      <c r="K14" s="4" t="n">
        <f aca="false">Assumptions!K19</f>
        <v>26</v>
      </c>
      <c r="L14" s="4" t="n">
        <f aca="false">Assumptions!L19</f>
        <v>26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931.21305960408</v>
      </c>
      <c r="D15" s="0" t="n">
        <f aca="false">D13-MAX(0,D13)*D14/100</f>
        <v>862.001836194038</v>
      </c>
      <c r="E15" s="0" t="n">
        <f aca="false">E13-MAX(0,E13)*E14/100</f>
        <v>787.072427756796</v>
      </c>
      <c r="F15" s="0" t="n">
        <f aca="false">F13-MAX(0,F13)*F14/100</f>
        <v>723.243012917267</v>
      </c>
      <c r="G15" s="0" t="n">
        <f aca="false">G13-MAX(0,G13)*G14/100</f>
        <v>723.243012917267</v>
      </c>
      <c r="H15" s="0" t="n">
        <f aca="false">H13-MAX(0,H13)*H14/100</f>
        <v>730.47544304644</v>
      </c>
      <c r="I15" s="0" t="n">
        <f aca="false">I13-MAX(0,I13)*I14/100</f>
        <v>737.780197476904</v>
      </c>
      <c r="J15" s="0" t="n">
        <f aca="false">J13-MAX(0,J13)*J14/100</f>
        <v>745.157999451673</v>
      </c>
      <c r="K15" s="0" t="n">
        <f aca="false">K13-MAX(0,K13)*K14/100</f>
        <v>752.60957944619</v>
      </c>
      <c r="L15" s="0" t="n">
        <f aca="false">L13-MAX(0,L13)*L14/100</f>
        <v>760.135675240652</v>
      </c>
    </row>
    <row r="16" customFormat="false" ht="15" hidden="false" customHeight="false" outlineLevel="0" collapsed="false">
      <c r="A16" s="0" t="s">
        <v>116</v>
      </c>
      <c r="C16" s="0" t="n">
        <f aca="false">-C12</f>
        <v>97.65822822</v>
      </c>
      <c r="D16" s="0" t="n">
        <f aca="false">-D12</f>
        <v>95.7050636556</v>
      </c>
      <c r="E16" s="0" t="n">
        <f aca="false">-E12</f>
        <v>92.833911745932</v>
      </c>
      <c r="F16" s="0" t="n">
        <f aca="false">-F12</f>
        <v>90.9772335110134</v>
      </c>
      <c r="G16" s="0" t="n">
        <f aca="false">-G12</f>
        <v>90.9772335110134</v>
      </c>
      <c r="H16" s="0" t="n">
        <f aca="false">-H12</f>
        <v>91.8870058461235</v>
      </c>
      <c r="I16" s="0" t="n">
        <f aca="false">-I12</f>
        <v>92.8058759045847</v>
      </c>
      <c r="J16" s="0" t="n">
        <f aca="false">-J12</f>
        <v>93.7339346636306</v>
      </c>
      <c r="K16" s="0" t="n">
        <f aca="false">-K12</f>
        <v>94.6712740102669</v>
      </c>
      <c r="L16" s="0" t="n">
        <f aca="false">-L12</f>
        <v>95.6179867503695</v>
      </c>
    </row>
    <row r="17" customFormat="false" ht="15" hidden="false" customHeight="false" outlineLevel="0" collapsed="false">
      <c r="A17" s="0" t="s">
        <v>117</v>
      </c>
      <c r="C17" s="4" t="n">
        <f aca="false">-C6*Assumptions!C18/100</f>
        <v>-48.82911411</v>
      </c>
      <c r="D17" s="4" t="n">
        <f aca="false">-D6*Assumptions!D18/100</f>
        <v>-47.8525318278</v>
      </c>
      <c r="E17" s="4" t="n">
        <f aca="false">-E6*Assumptions!E18/100</f>
        <v>-46.416955872966</v>
      </c>
      <c r="F17" s="4" t="n">
        <f aca="false">-F6*Assumptions!F18/100</f>
        <v>-45.4886167555067</v>
      </c>
      <c r="G17" s="4" t="n">
        <f aca="false">-G6*Assumptions!G18/100</f>
        <v>-45.4886167555067</v>
      </c>
      <c r="H17" s="4" t="n">
        <f aca="false">-H6*Assumptions!H18/100</f>
        <v>-45.9435029230617</v>
      </c>
      <c r="I17" s="4" t="n">
        <f aca="false">-I6*Assumptions!I18/100</f>
        <v>-46.4029379522924</v>
      </c>
      <c r="J17" s="4" t="n">
        <f aca="false">-J6*Assumptions!J18/100</f>
        <v>-46.8669673318153</v>
      </c>
      <c r="K17" s="4" t="n">
        <f aca="false">-K6*Assumptions!K18/100</f>
        <v>-47.3356370051334</v>
      </c>
      <c r="L17" s="4" t="n">
        <f aca="false">-L6*Assumptions!L18/100</f>
        <v>-47.8089933751848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(C6-B6)*Assumptions!$B$23/100</f>
        <v>0</v>
      </c>
      <c r="D18" s="4" t="n">
        <f aca="false">(D6-C6)*Assumptions!$B$23/100</f>
        <v>-0</v>
      </c>
      <c r="E18" s="4" t="n">
        <f aca="false">(E6-D6)*Assumptions!$B$23/100</f>
        <v>-0</v>
      </c>
      <c r="F18" s="4" t="n">
        <f aca="false">(F6-E6)*Assumptions!$B$23/100</f>
        <v>-0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980.04217371408</v>
      </c>
      <c r="D19" s="0" t="n">
        <f aca="false">D15+D16+D17+D18</f>
        <v>909.854368021838</v>
      </c>
      <c r="E19" s="0" t="n">
        <f aca="false">E15+E16+E17+E18</f>
        <v>833.489383629762</v>
      </c>
      <c r="F19" s="0" t="n">
        <f aca="false">F15+F16+F17+F18</f>
        <v>768.731629672774</v>
      </c>
      <c r="G19" s="0" t="n">
        <f aca="false">G15+G16+G17+G18</f>
        <v>768.731629672774</v>
      </c>
      <c r="H19" s="0" t="n">
        <f aca="false">H15+H16+H17+H18</f>
        <v>776.418945969502</v>
      </c>
      <c r="I19" s="0" t="n">
        <f aca="false">I15+I16+I17+I18</f>
        <v>784.183135429197</v>
      </c>
      <c r="J19" s="0" t="n">
        <f aca="false">J15+J16+J17+J18</f>
        <v>792.024966783489</v>
      </c>
      <c r="K19" s="0" t="n">
        <f aca="false">K15+K16+K17+K18</f>
        <v>799.945216451324</v>
      </c>
      <c r="L19" s="0" t="n">
        <f aca="false">L15+L16+L17+L18</f>
        <v>807.944668615837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890.947430649164</v>
      </c>
      <c r="D21" s="0" t="n">
        <f aca="false">D19*D20</f>
        <v>751.945758695734</v>
      </c>
      <c r="E21" s="0" t="n">
        <f aca="false">E19*E20</f>
        <v>626.212910315373</v>
      </c>
      <c r="F21" s="0" t="n">
        <f aca="false">F19*F20</f>
        <v>525.054046631223</v>
      </c>
      <c r="G21" s="0" t="n">
        <f aca="false">G19*G20</f>
        <v>477.321860573839</v>
      </c>
      <c r="H21" s="0" t="n">
        <f aca="false">H19*H20</f>
        <v>438.268253799616</v>
      </c>
      <c r="I21" s="0" t="n">
        <f aca="false">I19*I20</f>
        <v>402.409942125102</v>
      </c>
      <c r="J21" s="0" t="n">
        <f aca="false">J19*J20</f>
        <v>369.485492314866</v>
      </c>
      <c r="K21" s="0" t="n">
        <f aca="false">K19*K20</f>
        <v>339.254861125468</v>
      </c>
      <c r="L21" s="0" t="n">
        <f aca="false">L19*L20</f>
        <v>311.497645215203</v>
      </c>
    </row>
    <row r="23" customFormat="false" ht="15" hidden="false" customHeight="false" outlineLevel="0" collapsed="false">
      <c r="A23" s="0" t="s">
        <v>97</v>
      </c>
      <c r="C23" s="4" t="n">
        <f aca="false">Assumptions!C16</f>
        <v>0.28</v>
      </c>
      <c r="D23" s="4" t="n">
        <f aca="false">Assumptions!D16</f>
        <v>0.28</v>
      </c>
      <c r="E23" s="4" t="n">
        <f aca="false">Assumptions!E16</f>
        <v>0.28</v>
      </c>
      <c r="F23" s="4" t="n">
        <f aca="false">Assumptions!F16</f>
        <v>0.28</v>
      </c>
      <c r="G23" s="4" t="n">
        <f aca="false">Assumptions!G16</f>
        <v>0.28</v>
      </c>
      <c r="H23" s="4" t="n">
        <f aca="false">Assumptions!H16</f>
        <v>0.28</v>
      </c>
      <c r="I23" s="4" t="n">
        <f aca="false">Assumptions!I16</f>
        <v>0.28</v>
      </c>
      <c r="J23" s="4" t="n">
        <f aca="false">Assumptions!J16</f>
        <v>0.28</v>
      </c>
      <c r="K23" s="4" t="n">
        <f aca="false">Assumptions!K16</f>
        <v>0.28</v>
      </c>
      <c r="L23" s="4" t="n">
        <f aca="false">Assumptions!L16</f>
        <v>0.28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-39.063291288</v>
      </c>
      <c r="D24" s="0" t="n">
        <f aca="false">-D6*D23/100</f>
        <v>-38.28202546224</v>
      </c>
      <c r="E24" s="0" t="n">
        <f aca="false">-E6*E23/100</f>
        <v>-37.1335646983728</v>
      </c>
      <c r="F24" s="0" t="n">
        <f aca="false">-F6*F23/100</f>
        <v>-36.3908934044054</v>
      </c>
      <c r="G24" s="0" t="n">
        <f aca="false">-G6*G23/100</f>
        <v>-36.3908934044054</v>
      </c>
      <c r="H24" s="0" t="n">
        <f aca="false">-H6*H23/100</f>
        <v>-36.7548023384494</v>
      </c>
      <c r="I24" s="0" t="n">
        <f aca="false">-I6*I23/100</f>
        <v>-37.1223503618339</v>
      </c>
      <c r="J24" s="0" t="n">
        <f aca="false">-J6*J23/100</f>
        <v>-37.4935738654522</v>
      </c>
      <c r="K24" s="0" t="n">
        <f aca="false">-K6*K23/100</f>
        <v>-37.8685096041068</v>
      </c>
      <c r="L24" s="0" t="n">
        <f aca="false">-L6*L23/100</f>
        <v>-38.2471947001478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102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103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5132.39820144559</v>
      </c>
    </row>
    <row r="31" customFormat="false" ht="15" hidden="false" customHeight="false" outlineLevel="0" collapsed="false">
      <c r="A31" s="0" t="s">
        <v>125</v>
      </c>
      <c r="B31" s="0" t="n">
        <f aca="false">L19</f>
        <v>807.944668615837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9647.80986641264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8079.44668615837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8079.44668615837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3114.97645215203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8247.37465359761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11606.9386535976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1.26109966611346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0.184131141890576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1.26109966611346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6074.54695292648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0.987365150464536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139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Assumptions!C27</f>
        <v>4</v>
      </c>
      <c r="D5" s="4" t="n">
        <f aca="false">Assumptions!D27</f>
        <v>3.5</v>
      </c>
      <c r="E5" s="4" t="n">
        <f aca="false">Assumptions!E27</f>
        <v>3</v>
      </c>
      <c r="F5" s="4" t="n">
        <f aca="false">Assumptions!F27</f>
        <v>3</v>
      </c>
      <c r="G5" s="4" t="n">
        <f aca="false">Assumptions!G27</f>
        <v>3</v>
      </c>
      <c r="H5" s="4" t="n">
        <f aca="false">Assumptions!H27</f>
        <v>2.5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38</v>
      </c>
      <c r="B6" s="3" t="n">
        <v>13677.623</v>
      </c>
      <c r="C6" s="0" t="n">
        <f aca="false">B6*(1+C5/100)</f>
        <v>14224.72792</v>
      </c>
      <c r="D6" s="0" t="n">
        <f aca="false">C6*(1+D5/100)</f>
        <v>14722.5933972</v>
      </c>
      <c r="E6" s="0" t="n">
        <f aca="false">D6*(1+E5/100)</f>
        <v>15164.271199116</v>
      </c>
      <c r="F6" s="0" t="n">
        <f aca="false">E6*(1+F5/100)</f>
        <v>15619.1993350895</v>
      </c>
      <c r="G6" s="0" t="n">
        <f aca="false">F6*(1+G5/100)</f>
        <v>16087.7753151422</v>
      </c>
      <c r="H6" s="0" t="n">
        <f aca="false">G6*(1+H5/100)</f>
        <v>16489.9696980207</v>
      </c>
      <c r="I6" s="0" t="n">
        <f aca="false">H6*(1+I5/100)</f>
        <v>16902.2189404712</v>
      </c>
      <c r="J6" s="0" t="n">
        <f aca="false">I6*(1+J5/100)</f>
        <v>17324.774413983</v>
      </c>
      <c r="K6" s="0" t="n">
        <f aca="false">J6*(1+K5/100)</f>
        <v>17671.2699022627</v>
      </c>
      <c r="L6" s="0" t="n">
        <f aca="false">K6*(1+L5/100)</f>
        <v>18024.6953003079</v>
      </c>
    </row>
    <row r="7" customFormat="false" ht="15" hidden="false" customHeight="false" outlineLevel="0" collapsed="false">
      <c r="A7" s="0" t="s">
        <v>95</v>
      </c>
      <c r="C7" s="4" t="n">
        <f aca="false">Assumptions!C28</f>
        <v>10.8</v>
      </c>
      <c r="D7" s="4" t="n">
        <f aca="false">Assumptions!D28</f>
        <v>10.9</v>
      </c>
      <c r="E7" s="4" t="n">
        <f aca="false">Assumptions!E28</f>
        <v>11</v>
      </c>
      <c r="F7" s="4" t="n">
        <f aca="false">Assumptions!F28</f>
        <v>11</v>
      </c>
      <c r="G7" s="4" t="n">
        <f aca="false">Assumptions!G28</f>
        <v>11</v>
      </c>
      <c r="H7" s="4" t="n">
        <f aca="false">Assumptions!H28</f>
        <v>11</v>
      </c>
      <c r="I7" s="4" t="n">
        <f aca="false">Assumptions!I28</f>
        <v>11</v>
      </c>
      <c r="J7" s="4" t="n">
        <f aca="false">Assumptions!J28</f>
        <v>11</v>
      </c>
      <c r="K7" s="4" t="n">
        <f aca="false">Assumptions!K28</f>
        <v>11</v>
      </c>
      <c r="L7" s="4" t="n">
        <f aca="false">Assumptions!L28</f>
        <v>11</v>
      </c>
    </row>
    <row r="8" customFormat="false" ht="15" hidden="false" customHeight="false" outlineLevel="0" collapsed="false">
      <c r="A8" s="0" t="s">
        <v>44</v>
      </c>
      <c r="C8" s="0" t="n">
        <f aca="false">C6*C7/100</f>
        <v>1536.27061536</v>
      </c>
      <c r="D8" s="0" t="n">
        <f aca="false">D6*D7/100</f>
        <v>1604.7626802948</v>
      </c>
      <c r="E8" s="0" t="n">
        <f aca="false">E6*E7/100</f>
        <v>1668.06983190276</v>
      </c>
      <c r="F8" s="0" t="n">
        <f aca="false">F6*F7/100</f>
        <v>1718.11192685984</v>
      </c>
      <c r="G8" s="0" t="n">
        <f aca="false">G6*G7/100</f>
        <v>1769.65528466564</v>
      </c>
      <c r="H8" s="0" t="n">
        <f aca="false">H6*H7/100</f>
        <v>1813.89666678228</v>
      </c>
      <c r="I8" s="0" t="n">
        <f aca="false">I6*I7/100</f>
        <v>1859.24408345184</v>
      </c>
      <c r="J8" s="0" t="n">
        <f aca="false">J6*J7/100</f>
        <v>1905.72518553813</v>
      </c>
      <c r="K8" s="0" t="n">
        <f aca="false">K6*K7/100</f>
        <v>1943.83968924889</v>
      </c>
      <c r="L8" s="0" t="n">
        <f aca="false">L6*L7/100</f>
        <v>1982.71648303387</v>
      </c>
    </row>
    <row r="9" customFormat="false" ht="15" hidden="false" customHeight="false" outlineLevel="0" collapsed="false">
      <c r="A9" s="0" t="s">
        <v>96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1496.441377184</v>
      </c>
      <c r="D11" s="0" t="n">
        <f aca="false">D8+D10+D24</f>
        <v>1563.53941878264</v>
      </c>
      <c r="E11" s="0" t="n">
        <f aca="false">E8+E10+E24</f>
        <v>1625.60987254524</v>
      </c>
      <c r="F11" s="0" t="n">
        <f aca="false">F8+F10+F24</f>
        <v>1674.37816872159</v>
      </c>
      <c r="G11" s="0" t="n">
        <f aca="false">G8+G10+G24</f>
        <v>1724.60951378324</v>
      </c>
      <c r="H11" s="0" t="n">
        <f aca="false">H8+H10+H24</f>
        <v>1767.72475162782</v>
      </c>
      <c r="I11" s="0" t="n">
        <f aca="false">I8+I10+I24</f>
        <v>1811.91787041852</v>
      </c>
      <c r="J11" s="0" t="n">
        <f aca="false">J8+J10+J24</f>
        <v>1857.21581717898</v>
      </c>
      <c r="K11" s="0" t="n">
        <f aca="false">K8+K10+K24</f>
        <v>1894.36013352256</v>
      </c>
      <c r="L11" s="0" t="n">
        <f aca="false">L8+L10+L24</f>
        <v>1932.24733619301</v>
      </c>
    </row>
    <row r="12" customFormat="false" ht="15" hidden="false" customHeight="false" outlineLevel="0" collapsed="false">
      <c r="A12" s="0" t="s">
        <v>113</v>
      </c>
      <c r="C12" s="4" t="n">
        <f aca="false">-C6*Assumptions!C31/100</f>
        <v>-99.57309544</v>
      </c>
      <c r="D12" s="4" t="n">
        <f aca="false">-D6*Assumptions!D31/100</f>
        <v>-103.0581537804</v>
      </c>
      <c r="E12" s="4" t="n">
        <f aca="false">-E6*Assumptions!E31/100</f>
        <v>-106.149898393812</v>
      </c>
      <c r="F12" s="4" t="n">
        <f aca="false">-F6*Assumptions!F31/100</f>
        <v>-109.334395345626</v>
      </c>
      <c r="G12" s="4" t="n">
        <f aca="false">-G6*Assumptions!G31/100</f>
        <v>-112.614427205995</v>
      </c>
      <c r="H12" s="4" t="n">
        <f aca="false">-H6*Assumptions!H31/100</f>
        <v>-115.429787886145</v>
      </c>
      <c r="I12" s="4" t="n">
        <f aca="false">-I6*Assumptions!I31/100</f>
        <v>-118.315532583299</v>
      </c>
      <c r="J12" s="4" t="n">
        <f aca="false">-J6*Assumptions!J31/100</f>
        <v>-121.273420897881</v>
      </c>
      <c r="K12" s="4" t="n">
        <f aca="false">-K6*Assumptions!K31/100</f>
        <v>-123.698889315839</v>
      </c>
      <c r="L12" s="4" t="n">
        <f aca="false">-L6*Assumptions!L31/100</f>
        <v>-126.172867102155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1396.868281744</v>
      </c>
      <c r="D13" s="0" t="n">
        <f aca="false">D11+D12</f>
        <v>1460.48126500224</v>
      </c>
      <c r="E13" s="0" t="n">
        <f aca="false">E11+E12</f>
        <v>1519.45997415142</v>
      </c>
      <c r="F13" s="0" t="n">
        <f aca="false">F11+F12</f>
        <v>1565.04377337597</v>
      </c>
      <c r="G13" s="0" t="n">
        <f aca="false">G11+G12</f>
        <v>1611.99508657724</v>
      </c>
      <c r="H13" s="0" t="n">
        <f aca="false">H11+H12</f>
        <v>1652.29496374168</v>
      </c>
      <c r="I13" s="0" t="n">
        <f aca="false">I11+I12</f>
        <v>1693.60233783522</v>
      </c>
      <c r="J13" s="0" t="n">
        <f aca="false">J11+J12</f>
        <v>1735.9423962811</v>
      </c>
      <c r="K13" s="0" t="n">
        <f aca="false">K11+K12</f>
        <v>1770.66124420672</v>
      </c>
      <c r="L13" s="0" t="n">
        <f aca="false">L11+L12</f>
        <v>1806.07446909085</v>
      </c>
    </row>
    <row r="14" customFormat="false" ht="15" hidden="false" customHeight="false" outlineLevel="0" collapsed="false">
      <c r="A14" s="0" t="s">
        <v>100</v>
      </c>
      <c r="C14" s="4" t="n">
        <f aca="false">Assumptions!C33</f>
        <v>26</v>
      </c>
      <c r="D14" s="4" t="n">
        <f aca="false">Assumptions!D33</f>
        <v>26</v>
      </c>
      <c r="E14" s="4" t="n">
        <f aca="false">Assumptions!E33</f>
        <v>26</v>
      </c>
      <c r="F14" s="4" t="n">
        <f aca="false">Assumptions!F33</f>
        <v>26</v>
      </c>
      <c r="G14" s="4" t="n">
        <f aca="false">Assumptions!G33</f>
        <v>26</v>
      </c>
      <c r="H14" s="4" t="n">
        <f aca="false">Assumptions!H33</f>
        <v>26</v>
      </c>
      <c r="I14" s="4" t="n">
        <f aca="false">Assumptions!I33</f>
        <v>26</v>
      </c>
      <c r="J14" s="4" t="n">
        <f aca="false">Assumptions!J33</f>
        <v>26</v>
      </c>
      <c r="K14" s="4" t="n">
        <f aca="false">Assumptions!K33</f>
        <v>26</v>
      </c>
      <c r="L14" s="4" t="n">
        <f aca="false">Assumptions!L33</f>
        <v>26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1033.68252849056</v>
      </c>
      <c r="D15" s="0" t="n">
        <f aca="false">D13-MAX(0,D13)*D14/100</f>
        <v>1080.75613610166</v>
      </c>
      <c r="E15" s="0" t="n">
        <f aca="false">E13-MAX(0,E13)*E14/100</f>
        <v>1124.40038087205</v>
      </c>
      <c r="F15" s="0" t="n">
        <f aca="false">F13-MAX(0,F13)*F14/100</f>
        <v>1158.13239229821</v>
      </c>
      <c r="G15" s="0" t="n">
        <f aca="false">G13-MAX(0,G13)*G14/100</f>
        <v>1192.87636406716</v>
      </c>
      <c r="H15" s="0" t="n">
        <f aca="false">H13-MAX(0,H13)*H14/100</f>
        <v>1222.69827316884</v>
      </c>
      <c r="I15" s="0" t="n">
        <f aca="false">I13-MAX(0,I13)*I14/100</f>
        <v>1253.26572999806</v>
      </c>
      <c r="J15" s="0" t="n">
        <f aca="false">J13-MAX(0,J13)*J14/100</f>
        <v>1284.59737324801</v>
      </c>
      <c r="K15" s="0" t="n">
        <f aca="false">K13-MAX(0,K13)*K14/100</f>
        <v>1310.28932071297</v>
      </c>
      <c r="L15" s="0" t="n">
        <f aca="false">L13-MAX(0,L13)*L14/100</f>
        <v>1336.49510712723</v>
      </c>
    </row>
    <row r="16" customFormat="false" ht="15" hidden="false" customHeight="false" outlineLevel="0" collapsed="false">
      <c r="A16" s="0" t="s">
        <v>116</v>
      </c>
      <c r="C16" s="0" t="n">
        <f aca="false">-C12</f>
        <v>99.57309544</v>
      </c>
      <c r="D16" s="0" t="n">
        <f aca="false">-D12</f>
        <v>103.0581537804</v>
      </c>
      <c r="E16" s="0" t="n">
        <f aca="false">-E12</f>
        <v>106.149898393812</v>
      </c>
      <c r="F16" s="0" t="n">
        <f aca="false">-F12</f>
        <v>109.334395345626</v>
      </c>
      <c r="G16" s="0" t="n">
        <f aca="false">-G12</f>
        <v>112.614427205995</v>
      </c>
      <c r="H16" s="0" t="n">
        <f aca="false">-H12</f>
        <v>115.429787886145</v>
      </c>
      <c r="I16" s="0" t="n">
        <f aca="false">-I12</f>
        <v>118.315532583299</v>
      </c>
      <c r="J16" s="0" t="n">
        <f aca="false">-J12</f>
        <v>121.273420897881</v>
      </c>
      <c r="K16" s="0" t="n">
        <f aca="false">-K12</f>
        <v>123.698889315839</v>
      </c>
      <c r="L16" s="0" t="n">
        <f aca="false">-L12</f>
        <v>126.172867102155</v>
      </c>
    </row>
    <row r="17" customFormat="false" ht="15" hidden="false" customHeight="false" outlineLevel="0" collapsed="false">
      <c r="A17" s="0" t="s">
        <v>117</v>
      </c>
      <c r="C17" s="4" t="n">
        <f aca="false">-C6*Assumptions!C32/100</f>
        <v>-49.78654772</v>
      </c>
      <c r="D17" s="4" t="n">
        <f aca="false">-D6*Assumptions!D32/100</f>
        <v>-51.5290768902</v>
      </c>
      <c r="E17" s="4" t="n">
        <f aca="false">-E6*Assumptions!E32/100</f>
        <v>-53.074949196906</v>
      </c>
      <c r="F17" s="4" t="n">
        <f aca="false">-F6*Assumptions!F32/100</f>
        <v>-54.6671976728132</v>
      </c>
      <c r="G17" s="4" t="n">
        <f aca="false">-G6*Assumptions!G32/100</f>
        <v>-56.3072136029976</v>
      </c>
      <c r="H17" s="4" t="n">
        <f aca="false">-H6*Assumptions!H32/100</f>
        <v>-57.7148939430725</v>
      </c>
      <c r="I17" s="4" t="n">
        <f aca="false">-I6*Assumptions!I32/100</f>
        <v>-59.1577662916493</v>
      </c>
      <c r="J17" s="4" t="n">
        <f aca="false">-J6*Assumptions!J32/100</f>
        <v>-60.6367104489406</v>
      </c>
      <c r="K17" s="4" t="n">
        <f aca="false">-K6*Assumptions!K32/100</f>
        <v>-61.8494446579194</v>
      </c>
      <c r="L17" s="4" t="n">
        <f aca="false">-L6*Assumptions!L32/100</f>
        <v>-63.0864335510777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(C6-B6)*Assumptions!$B$37/100</f>
        <v>-54.710492</v>
      </c>
      <c r="D18" s="4" t="n">
        <f aca="false">(D6-C6)*Assumptions!$B$37/100</f>
        <v>-49.7865477199999</v>
      </c>
      <c r="E18" s="4" t="n">
        <f aca="false">(E6-D6)*Assumptions!$B$37/100</f>
        <v>-44.1677801916001</v>
      </c>
      <c r="F18" s="4" t="n">
        <f aca="false">(F6-E6)*Assumptions!$B$37/100</f>
        <v>-45.492813597348</v>
      </c>
      <c r="G18" s="4" t="n">
        <f aca="false">(G6-F6)*Assumptions!$B$37/100</f>
        <v>-46.8575980052685</v>
      </c>
      <c r="H18" s="4" t="n">
        <f aca="false">(H6-G6)*Assumptions!$B$37/100</f>
        <v>-40.2194382878552</v>
      </c>
      <c r="I18" s="4" t="n">
        <f aca="false">(I6-H6)*Assumptions!$B$37/100</f>
        <v>-41.2249242450518</v>
      </c>
      <c r="J18" s="4" t="n">
        <f aca="false">(J6-I6)*Assumptions!$B$37/100</f>
        <v>-42.255547351178</v>
      </c>
      <c r="K18" s="4" t="n">
        <f aca="false">(K6-J6)*Assumptions!$B$37/100</f>
        <v>-34.6495488279659</v>
      </c>
      <c r="L18" s="4" t="n">
        <f aca="false">(L6-K6)*Assumptions!$B$37/100</f>
        <v>-35.3425398045252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1028.75858421056</v>
      </c>
      <c r="D19" s="0" t="n">
        <f aca="false">D15+D16+D17+D18</f>
        <v>1082.49866527186</v>
      </c>
      <c r="E19" s="0" t="n">
        <f aca="false">E15+E16+E17+E18</f>
        <v>1133.30754987736</v>
      </c>
      <c r="F19" s="0" t="n">
        <f aca="false">F15+F16+F17+F18</f>
        <v>1167.30677637368</v>
      </c>
      <c r="G19" s="0" t="n">
        <f aca="false">G15+G16+G17+G18</f>
        <v>1202.32597966489</v>
      </c>
      <c r="H19" s="0" t="n">
        <f aca="false">H15+H16+H17+H18</f>
        <v>1240.19372882406</v>
      </c>
      <c r="I19" s="0" t="n">
        <f aca="false">I15+I16+I17+I18</f>
        <v>1271.19857204466</v>
      </c>
      <c r="J19" s="0" t="n">
        <f aca="false">J15+J16+J17+J18</f>
        <v>1302.97853634578</v>
      </c>
      <c r="K19" s="0" t="n">
        <f aca="false">K15+K16+K17+K18</f>
        <v>1337.48921654293</v>
      </c>
      <c r="L19" s="0" t="n">
        <f aca="false">L15+L16+L17+L18</f>
        <v>1364.23900087378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935.235076555055</v>
      </c>
      <c r="D21" s="0" t="n">
        <f aca="false">D19*D20</f>
        <v>894.626996092444</v>
      </c>
      <c r="E21" s="0" t="n">
        <f aca="false">E19*E20</f>
        <v>851.470736196363</v>
      </c>
      <c r="F21" s="0" t="n">
        <f aca="false">F19*F20</f>
        <v>797.286234802049</v>
      </c>
      <c r="G21" s="0" t="n">
        <f aca="false">G19*G20</f>
        <v>746.549838041918</v>
      </c>
      <c r="H21" s="0" t="n">
        <f aca="false">H19*H20</f>
        <v>700.057028137364</v>
      </c>
      <c r="I21" s="0" t="n">
        <f aca="false">I19*I20</f>
        <v>652.325867127998</v>
      </c>
      <c r="J21" s="0" t="n">
        <f aca="false">J19*J20</f>
        <v>607.84910346018</v>
      </c>
      <c r="K21" s="0" t="n">
        <f aca="false">K19*K20</f>
        <v>567.225991334735</v>
      </c>
      <c r="L21" s="0" t="n">
        <f aca="false">L19*L20</f>
        <v>525.973191964936</v>
      </c>
    </row>
    <row r="23" customFormat="false" ht="15" hidden="false" customHeight="false" outlineLevel="0" collapsed="false">
      <c r="A23" s="0" t="s">
        <v>97</v>
      </c>
      <c r="C23" s="4" t="n">
        <f aca="false">Assumptions!C30</f>
        <v>0.28</v>
      </c>
      <c r="D23" s="4" t="n">
        <f aca="false">Assumptions!D30</f>
        <v>0.28</v>
      </c>
      <c r="E23" s="4" t="n">
        <f aca="false">Assumptions!E30</f>
        <v>0.28</v>
      </c>
      <c r="F23" s="4" t="n">
        <f aca="false">Assumptions!F30</f>
        <v>0.28</v>
      </c>
      <c r="G23" s="4" t="n">
        <f aca="false">Assumptions!G30</f>
        <v>0.28</v>
      </c>
      <c r="H23" s="4" t="n">
        <f aca="false">Assumptions!H30</f>
        <v>0.28</v>
      </c>
      <c r="I23" s="4" t="n">
        <f aca="false">Assumptions!I30</f>
        <v>0.28</v>
      </c>
      <c r="J23" s="4" t="n">
        <f aca="false">Assumptions!J30</f>
        <v>0.28</v>
      </c>
      <c r="K23" s="4" t="n">
        <f aca="false">Assumptions!K30</f>
        <v>0.28</v>
      </c>
      <c r="L23" s="4" t="n">
        <f aca="false">Assumptions!L30</f>
        <v>0.28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-39.829238176</v>
      </c>
      <c r="D24" s="0" t="n">
        <f aca="false">-D6*D23/100</f>
        <v>-41.22326151216</v>
      </c>
      <c r="E24" s="0" t="n">
        <f aca="false">-E6*E23/100</f>
        <v>-42.4599593575248</v>
      </c>
      <c r="F24" s="0" t="n">
        <f aca="false">-F6*F23/100</f>
        <v>-43.7337581382505</v>
      </c>
      <c r="G24" s="0" t="n">
        <f aca="false">-G6*G23/100</f>
        <v>-45.0457708823981</v>
      </c>
      <c r="H24" s="0" t="n">
        <f aca="false">-H6*H23/100</f>
        <v>-46.171915154458</v>
      </c>
      <c r="I24" s="0" t="n">
        <f aca="false">-I6*I23/100</f>
        <v>-47.3262130333195</v>
      </c>
      <c r="J24" s="0" t="n">
        <f aca="false">-J6*J23/100</f>
        <v>-48.5093683591524</v>
      </c>
      <c r="K24" s="0" t="n">
        <f aca="false">-K6*K23/100</f>
        <v>-49.4795557263355</v>
      </c>
      <c r="L24" s="0" t="n">
        <f aca="false">-L6*L23/100</f>
        <v>-50.4691468408622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102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103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7278.60006371304</v>
      </c>
    </row>
    <row r="31" customFormat="false" ht="15" hidden="false" customHeight="false" outlineLevel="0" collapsed="false">
      <c r="A31" s="0" t="s">
        <v>125</v>
      </c>
      <c r="B31" s="0" t="n">
        <f aca="false">L19</f>
        <v>1364.23900087378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17394.0472611408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16370.8680104854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16370.8680104854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6311.67830357924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13590.2783672923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16949.8423672923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1.84160881589934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0.729210155774024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1.84160881589934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10704.0290837789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1.2914529645935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Assumptions!C41</f>
        <v>5</v>
      </c>
      <c r="D5" s="4" t="n">
        <f aca="false">Assumptions!D41</f>
        <v>6</v>
      </c>
      <c r="E5" s="4" t="n">
        <f aca="false">Assumptions!E41</f>
        <v>6</v>
      </c>
      <c r="F5" s="4" t="n">
        <f aca="false">Assumptions!F41</f>
        <v>5</v>
      </c>
      <c r="G5" s="4" t="n">
        <f aca="false">Assumptions!G41</f>
        <v>5</v>
      </c>
      <c r="H5" s="4" t="n">
        <f aca="false">Assumptions!H41</f>
        <v>4</v>
      </c>
      <c r="I5" s="4" t="n">
        <f aca="false">Assumptions!I41</f>
        <v>4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38</v>
      </c>
      <c r="B6" s="3" t="n">
        <v>13677.623</v>
      </c>
      <c r="C6" s="0" t="n">
        <f aca="false">B6*(1+C5/100)</f>
        <v>14361.50415</v>
      </c>
      <c r="D6" s="0" t="n">
        <f aca="false">C6*(1+D5/100)</f>
        <v>15223.194399</v>
      </c>
      <c r="E6" s="0" t="n">
        <f aca="false">D6*(1+E5/100)</f>
        <v>16136.58606294</v>
      </c>
      <c r="F6" s="0" t="n">
        <f aca="false">E6*(1+F5/100)</f>
        <v>16943.415366087</v>
      </c>
      <c r="G6" s="0" t="n">
        <f aca="false">F6*(1+G5/100)</f>
        <v>17790.5861343914</v>
      </c>
      <c r="H6" s="0" t="n">
        <f aca="false">G6*(1+H5/100)</f>
        <v>18502.209579767</v>
      </c>
      <c r="I6" s="0" t="n">
        <f aca="false">H6*(1+I5/100)</f>
        <v>19242.2979629577</v>
      </c>
      <c r="J6" s="0" t="n">
        <f aca="false">I6*(1+J5/100)</f>
        <v>19819.5669018464</v>
      </c>
      <c r="K6" s="0" t="n">
        <f aca="false">J6*(1+K5/100)</f>
        <v>20414.1539089018</v>
      </c>
      <c r="L6" s="0" t="n">
        <f aca="false">K6*(1+L5/100)</f>
        <v>20924.5077566244</v>
      </c>
    </row>
    <row r="7" customFormat="false" ht="15" hidden="false" customHeight="false" outlineLevel="0" collapsed="false">
      <c r="A7" s="0" t="s">
        <v>95</v>
      </c>
      <c r="C7" s="4" t="n">
        <f aca="false">Assumptions!C42</f>
        <v>11</v>
      </c>
      <c r="D7" s="4" t="n">
        <f aca="false">Assumptions!D42</f>
        <v>11.5</v>
      </c>
      <c r="E7" s="4" t="n">
        <f aca="false">Assumptions!E42</f>
        <v>12</v>
      </c>
      <c r="F7" s="4" t="n">
        <f aca="false">Assumptions!F42</f>
        <v>12.5</v>
      </c>
      <c r="G7" s="4" t="n">
        <f aca="false">Assumptions!G42</f>
        <v>13</v>
      </c>
      <c r="H7" s="4" t="n">
        <f aca="false">Assumptions!H42</f>
        <v>13</v>
      </c>
      <c r="I7" s="4" t="n">
        <f aca="false">Assumptions!I42</f>
        <v>13</v>
      </c>
      <c r="J7" s="4" t="n">
        <f aca="false">Assumptions!J42</f>
        <v>13</v>
      </c>
      <c r="K7" s="4" t="n">
        <f aca="false">Assumptions!K42</f>
        <v>13</v>
      </c>
      <c r="L7" s="4" t="n">
        <f aca="false">Assumptions!L42</f>
        <v>13</v>
      </c>
    </row>
    <row r="8" customFormat="false" ht="15" hidden="false" customHeight="false" outlineLevel="0" collapsed="false">
      <c r="A8" s="0" t="s">
        <v>44</v>
      </c>
      <c r="C8" s="0" t="n">
        <f aca="false">C6*C7/100</f>
        <v>1579.7654565</v>
      </c>
      <c r="D8" s="0" t="n">
        <f aca="false">D6*D7/100</f>
        <v>1750.667355885</v>
      </c>
      <c r="E8" s="0" t="n">
        <f aca="false">E6*E7/100</f>
        <v>1936.3903275528</v>
      </c>
      <c r="F8" s="0" t="n">
        <f aca="false">F6*F7/100</f>
        <v>2117.92692076088</v>
      </c>
      <c r="G8" s="0" t="n">
        <f aca="false">G6*G7/100</f>
        <v>2312.77619747088</v>
      </c>
      <c r="H8" s="0" t="n">
        <f aca="false">H6*H7/100</f>
        <v>2405.28724536971</v>
      </c>
      <c r="I8" s="0" t="n">
        <f aca="false">I6*I7/100</f>
        <v>2501.4987351845</v>
      </c>
      <c r="J8" s="0" t="n">
        <f aca="false">J6*J7/100</f>
        <v>2576.54369724003</v>
      </c>
      <c r="K8" s="0" t="n">
        <f aca="false">K6*K7/100</f>
        <v>2653.84000815724</v>
      </c>
      <c r="L8" s="0" t="n">
        <f aca="false">L6*L7/100</f>
        <v>2720.18600836117</v>
      </c>
    </row>
    <row r="9" customFormat="false" ht="15" hidden="false" customHeight="false" outlineLevel="0" collapsed="false">
      <c r="A9" s="0" t="s">
        <v>96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1539.55324488</v>
      </c>
      <c r="D11" s="0" t="n">
        <f aca="false">D8+D10+D24</f>
        <v>1708.0424115678</v>
      </c>
      <c r="E11" s="0" t="n">
        <f aca="false">E8+E10+E24</f>
        <v>1891.20788657657</v>
      </c>
      <c r="F11" s="0" t="n">
        <f aca="false">F8+F10+F24</f>
        <v>2070.48535773583</v>
      </c>
      <c r="G11" s="0" t="n">
        <f aca="false">G8+G10+G24</f>
        <v>2262.96255629458</v>
      </c>
      <c r="H11" s="0" t="n">
        <f aca="false">H8+H10+H24</f>
        <v>2353.48105854636</v>
      </c>
      <c r="I11" s="0" t="n">
        <f aca="false">I8+I10+I24</f>
        <v>2447.62030088822</v>
      </c>
      <c r="J11" s="0" t="n">
        <f aca="false">J8+J10+J24</f>
        <v>2521.04890991486</v>
      </c>
      <c r="K11" s="0" t="n">
        <f aca="false">K8+K10+K24</f>
        <v>2596.68037721231</v>
      </c>
      <c r="L11" s="0" t="n">
        <f aca="false">L8+L10+L24</f>
        <v>2661.59738664262</v>
      </c>
    </row>
    <row r="12" customFormat="false" ht="15" hidden="false" customHeight="false" outlineLevel="0" collapsed="false">
      <c r="A12" s="0" t="s">
        <v>113</v>
      </c>
      <c r="C12" s="4" t="n">
        <f aca="false">-C6*Assumptions!C45/100</f>
        <v>-100.53052905</v>
      </c>
      <c r="D12" s="4" t="n">
        <f aca="false">-D6*Assumptions!D45/100</f>
        <v>-106.562360793</v>
      </c>
      <c r="E12" s="4" t="n">
        <f aca="false">-E6*Assumptions!E45/100</f>
        <v>-112.95610244058</v>
      </c>
      <c r="F12" s="4" t="n">
        <f aca="false">-F6*Assumptions!F45/100</f>
        <v>-118.603907562609</v>
      </c>
      <c r="G12" s="4" t="n">
        <f aca="false">-G6*Assumptions!G45/100</f>
        <v>-124.534102940739</v>
      </c>
      <c r="H12" s="4" t="n">
        <f aca="false">-H6*Assumptions!H45/100</f>
        <v>-129.515467058369</v>
      </c>
      <c r="I12" s="4" t="n">
        <f aca="false">-I6*Assumptions!I45/100</f>
        <v>-134.696085740704</v>
      </c>
      <c r="J12" s="4" t="n">
        <f aca="false">-J6*Assumptions!J45/100</f>
        <v>-138.736968312925</v>
      </c>
      <c r="K12" s="4" t="n">
        <f aca="false">-K6*Assumptions!K45/100</f>
        <v>-142.899077362313</v>
      </c>
      <c r="L12" s="4" t="n">
        <f aca="false">-L6*Assumptions!L45/100</f>
        <v>-146.471554296371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1439.02271583</v>
      </c>
      <c r="D13" s="0" t="n">
        <f aca="false">D11+D12</f>
        <v>1601.4800507748</v>
      </c>
      <c r="E13" s="0" t="n">
        <f aca="false">E11+E12</f>
        <v>1778.25178413599</v>
      </c>
      <c r="F13" s="0" t="n">
        <f aca="false">F11+F12</f>
        <v>1951.88145017322</v>
      </c>
      <c r="G13" s="0" t="n">
        <f aca="false">G11+G12</f>
        <v>2138.42845335384</v>
      </c>
      <c r="H13" s="0" t="n">
        <f aca="false">H11+H12</f>
        <v>2223.96559148799</v>
      </c>
      <c r="I13" s="0" t="n">
        <f aca="false">I11+I12</f>
        <v>2312.92421514751</v>
      </c>
      <c r="J13" s="0" t="n">
        <f aca="false">J11+J12</f>
        <v>2382.31194160194</v>
      </c>
      <c r="K13" s="0" t="n">
        <f aca="false">K11+K12</f>
        <v>2453.78129985</v>
      </c>
      <c r="L13" s="0" t="n">
        <f aca="false">L11+L12</f>
        <v>2515.12583234625</v>
      </c>
    </row>
    <row r="14" customFormat="false" ht="15" hidden="false" customHeight="false" outlineLevel="0" collapsed="false">
      <c r="A14" s="0" t="s">
        <v>100</v>
      </c>
      <c r="C14" s="4" t="n">
        <f aca="false">Assumptions!C47</f>
        <v>25</v>
      </c>
      <c r="D14" s="4" t="n">
        <f aca="false">Assumptions!D47</f>
        <v>25</v>
      </c>
      <c r="E14" s="4" t="n">
        <f aca="false">Assumptions!E47</f>
        <v>25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1079.2670368725</v>
      </c>
      <c r="D15" s="0" t="n">
        <f aca="false">D13-MAX(0,D13)*D14/100</f>
        <v>1201.1100380811</v>
      </c>
      <c r="E15" s="0" t="n">
        <f aca="false">E13-MAX(0,E13)*E14/100</f>
        <v>1333.68883810199</v>
      </c>
      <c r="F15" s="0" t="n">
        <f aca="false">F13-MAX(0,F13)*F14/100</f>
        <v>1463.91108762992</v>
      </c>
      <c r="G15" s="0" t="n">
        <f aca="false">G13-MAX(0,G13)*G14/100</f>
        <v>1603.82134001538</v>
      </c>
      <c r="H15" s="0" t="n">
        <f aca="false">H13-MAX(0,H13)*H14/100</f>
        <v>1667.974193616</v>
      </c>
      <c r="I15" s="0" t="n">
        <f aca="false">I13-MAX(0,I13)*I14/100</f>
        <v>1734.69316136064</v>
      </c>
      <c r="J15" s="0" t="n">
        <f aca="false">J13-MAX(0,J13)*J14/100</f>
        <v>1786.73395620145</v>
      </c>
      <c r="K15" s="0" t="n">
        <f aca="false">K13-MAX(0,K13)*K14/100</f>
        <v>1840.3359748875</v>
      </c>
      <c r="L15" s="0" t="n">
        <f aca="false">L13-MAX(0,L13)*L14/100</f>
        <v>1886.34437425969</v>
      </c>
    </row>
    <row r="16" customFormat="false" ht="15" hidden="false" customHeight="false" outlineLevel="0" collapsed="false">
      <c r="A16" s="0" t="s">
        <v>116</v>
      </c>
      <c r="C16" s="0" t="n">
        <f aca="false">-C12</f>
        <v>100.53052905</v>
      </c>
      <c r="D16" s="0" t="n">
        <f aca="false">-D12</f>
        <v>106.562360793</v>
      </c>
      <c r="E16" s="0" t="n">
        <f aca="false">-E12</f>
        <v>112.95610244058</v>
      </c>
      <c r="F16" s="0" t="n">
        <f aca="false">-F12</f>
        <v>118.603907562609</v>
      </c>
      <c r="G16" s="0" t="n">
        <f aca="false">-G12</f>
        <v>124.534102940739</v>
      </c>
      <c r="H16" s="0" t="n">
        <f aca="false">-H12</f>
        <v>129.515467058369</v>
      </c>
      <c r="I16" s="0" t="n">
        <f aca="false">-I12</f>
        <v>134.696085740704</v>
      </c>
      <c r="J16" s="0" t="n">
        <f aca="false">-J12</f>
        <v>138.736968312925</v>
      </c>
      <c r="K16" s="0" t="n">
        <f aca="false">-K12</f>
        <v>142.899077362313</v>
      </c>
      <c r="L16" s="0" t="n">
        <f aca="false">-L12</f>
        <v>146.471554296371</v>
      </c>
    </row>
    <row r="17" customFormat="false" ht="15" hidden="false" customHeight="false" outlineLevel="0" collapsed="false">
      <c r="A17" s="0" t="s">
        <v>117</v>
      </c>
      <c r="C17" s="4" t="n">
        <f aca="false">-C6*Assumptions!C46/100</f>
        <v>-50.265264525</v>
      </c>
      <c r="D17" s="4" t="n">
        <f aca="false">-D6*Assumptions!D46/100</f>
        <v>-53.2811803965</v>
      </c>
      <c r="E17" s="4" t="n">
        <f aca="false">-E6*Assumptions!E46/100</f>
        <v>-56.47805122029</v>
      </c>
      <c r="F17" s="4" t="n">
        <f aca="false">-F6*Assumptions!F46/100</f>
        <v>-59.3019537813045</v>
      </c>
      <c r="G17" s="4" t="n">
        <f aca="false">-G6*Assumptions!G46/100</f>
        <v>-62.2670514703697</v>
      </c>
      <c r="H17" s="4" t="n">
        <f aca="false">-H6*Assumptions!H46/100</f>
        <v>-64.7577335291845</v>
      </c>
      <c r="I17" s="4" t="n">
        <f aca="false">-I6*Assumptions!I46/100</f>
        <v>-67.3480428703519</v>
      </c>
      <c r="J17" s="4" t="n">
        <f aca="false">-J6*Assumptions!J46/100</f>
        <v>-69.3684841564625</v>
      </c>
      <c r="K17" s="4" t="n">
        <f aca="false">-K6*Assumptions!K46/100</f>
        <v>-71.4495386811563</v>
      </c>
      <c r="L17" s="4" t="n">
        <f aca="false">-L6*Assumptions!L46/100</f>
        <v>-73.2357771481853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(C6-B6)*Assumptions!$B$51/100</f>
        <v>-34.1940575000001</v>
      </c>
      <c r="D18" s="4" t="n">
        <f aca="false">(D6-C6)*Assumptions!$B$51/100</f>
        <v>-43.0845124500001</v>
      </c>
      <c r="E18" s="4" t="n">
        <f aca="false">(E6-D6)*Assumptions!$B$51/100</f>
        <v>-45.6695831970001</v>
      </c>
      <c r="F18" s="4" t="n">
        <f aca="false">(F6-E6)*Assumptions!$B$51/100</f>
        <v>-40.34146515735</v>
      </c>
      <c r="G18" s="4" t="n">
        <f aca="false">(G6-F6)*Assumptions!$B$51/100</f>
        <v>-42.3585384152175</v>
      </c>
      <c r="H18" s="4" t="n">
        <f aca="false">(H6-G6)*Assumptions!$B$51/100</f>
        <v>-35.5811722687828</v>
      </c>
      <c r="I18" s="4" t="n">
        <f aca="false">(I6-H6)*Assumptions!$B$51/100</f>
        <v>-37.004419159534</v>
      </c>
      <c r="J18" s="4" t="n">
        <f aca="false">(J6-I6)*Assumptions!$B$51/100</f>
        <v>-28.8634469444365</v>
      </c>
      <c r="K18" s="4" t="n">
        <f aca="false">(K6-J6)*Assumptions!$B$51/100</f>
        <v>-29.7293503527697</v>
      </c>
      <c r="L18" s="4" t="n">
        <f aca="false">(L6-K6)*Assumptions!$B$51/100</f>
        <v>-25.5176923861272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1095.3382438975</v>
      </c>
      <c r="D19" s="0" t="n">
        <f aca="false">D15+D16+D17+D18</f>
        <v>1211.3067060276</v>
      </c>
      <c r="E19" s="0" t="n">
        <f aca="false">E15+E16+E17+E18</f>
        <v>1344.49730612528</v>
      </c>
      <c r="F19" s="0" t="n">
        <f aca="false">F15+F16+F17+F18</f>
        <v>1482.87157625387</v>
      </c>
      <c r="G19" s="0" t="n">
        <f aca="false">G15+G16+G17+G18</f>
        <v>1623.72985307053</v>
      </c>
      <c r="H19" s="0" t="n">
        <f aca="false">H15+H16+H17+H18</f>
        <v>1697.1507548764</v>
      </c>
      <c r="I19" s="0" t="n">
        <f aca="false">I15+I16+I17+I18</f>
        <v>1765.03678507145</v>
      </c>
      <c r="J19" s="0" t="n">
        <f aca="false">J15+J16+J17+J18</f>
        <v>1827.23899341348</v>
      </c>
      <c r="K19" s="0" t="n">
        <f aca="false">K15+K16+K17+K18</f>
        <v>1882.05616321589</v>
      </c>
      <c r="L19" s="0" t="n">
        <f aca="false">L15+L16+L17+L18</f>
        <v>1934.06245902174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995.762039906818</v>
      </c>
      <c r="D21" s="0" t="n">
        <f aca="false">D19*D20</f>
        <v>1001.07992233686</v>
      </c>
      <c r="E21" s="0" t="n">
        <f aca="false">E19*E20</f>
        <v>1010.14072586422</v>
      </c>
      <c r="F21" s="0" t="n">
        <f aca="false">F19*F20</f>
        <v>1012.82123915981</v>
      </c>
      <c r="G21" s="0" t="n">
        <f aca="false">G19*G20</f>
        <v>1008.2084886592</v>
      </c>
      <c r="H21" s="0" t="n">
        <f aca="false">H19*H20</f>
        <v>957.997356498815</v>
      </c>
      <c r="I21" s="0" t="n">
        <f aca="false">I19*I20</f>
        <v>905.742955235243</v>
      </c>
      <c r="J21" s="0" t="n">
        <f aca="false">J19*J20</f>
        <v>852.420475834393</v>
      </c>
      <c r="K21" s="0" t="n">
        <f aca="false">K19*K20</f>
        <v>798.175536463113</v>
      </c>
      <c r="L21" s="0" t="n">
        <f aca="false">L19*L20</f>
        <v>745.664802413412</v>
      </c>
    </row>
    <row r="23" customFormat="false" ht="15" hidden="false" customHeight="false" outlineLevel="0" collapsed="false">
      <c r="A23" s="0" t="s">
        <v>97</v>
      </c>
      <c r="C23" s="4" t="n">
        <f aca="false">Assumptions!C44</f>
        <v>0.28</v>
      </c>
      <c r="D23" s="4" t="n">
        <f aca="false">Assumptions!D44</f>
        <v>0.28</v>
      </c>
      <c r="E23" s="4" t="n">
        <f aca="false">Assumptions!E44</f>
        <v>0.28</v>
      </c>
      <c r="F23" s="4" t="n">
        <f aca="false">Assumptions!F44</f>
        <v>0.28</v>
      </c>
      <c r="G23" s="4" t="n">
        <f aca="false">Assumptions!G44</f>
        <v>0.28</v>
      </c>
      <c r="H23" s="4" t="n">
        <f aca="false">Assumptions!H44</f>
        <v>0.28</v>
      </c>
      <c r="I23" s="4" t="n">
        <f aca="false">Assumptions!I44</f>
        <v>0.28</v>
      </c>
      <c r="J23" s="4" t="n">
        <f aca="false">Assumptions!J44</f>
        <v>0.28</v>
      </c>
      <c r="K23" s="4" t="n">
        <f aca="false">Assumptions!K44</f>
        <v>0.28</v>
      </c>
      <c r="L23" s="4" t="n">
        <f aca="false">Assumptions!L44</f>
        <v>0.28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-40.21221162</v>
      </c>
      <c r="D24" s="0" t="n">
        <f aca="false">-D6*D23/100</f>
        <v>-42.6249443172</v>
      </c>
      <c r="E24" s="0" t="n">
        <f aca="false">-E6*E23/100</f>
        <v>-45.182440976232</v>
      </c>
      <c r="F24" s="0" t="n">
        <f aca="false">-F6*F23/100</f>
        <v>-47.4415630250436</v>
      </c>
      <c r="G24" s="0" t="n">
        <f aca="false">-G6*G23/100</f>
        <v>-49.8136411762958</v>
      </c>
      <c r="H24" s="0" t="n">
        <f aca="false">-H6*H23/100</f>
        <v>-51.8061868233476</v>
      </c>
      <c r="I24" s="0" t="n">
        <f aca="false">-I6*I23/100</f>
        <v>-53.8784342962815</v>
      </c>
      <c r="J24" s="0" t="n">
        <f aca="false">-J6*J23/100</f>
        <v>-55.49478732517</v>
      </c>
      <c r="K24" s="0" t="n">
        <f aca="false">-K6*K23/100</f>
        <v>-57.1596309449251</v>
      </c>
      <c r="L24" s="0" t="n">
        <f aca="false">-L6*L23/100</f>
        <v>-58.5886217185482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102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103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9288.01354237188</v>
      </c>
    </row>
    <row r="31" customFormat="false" ht="15" hidden="false" customHeight="false" outlineLevel="0" collapsed="false">
      <c r="A31" s="0" t="s">
        <v>125</v>
      </c>
      <c r="B31" s="0" t="n">
        <f aca="false">L19</f>
        <v>1934.06245902174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26432.1869399638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27076.8744263044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26432.1869399638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10190.75229965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19478.7658420218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22838.3298420218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2.48139591307617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1.32994921415602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2.48139591307617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15859.3121639783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1.5966129264747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2" t="s">
        <v>142</v>
      </c>
      <c r="B3" s="2" t="s">
        <v>143</v>
      </c>
      <c r="C3" s="2" t="s">
        <v>133</v>
      </c>
      <c r="D3" s="2" t="s">
        <v>144</v>
      </c>
      <c r="E3" s="2" t="s">
        <v>136</v>
      </c>
      <c r="F3" s="2" t="s">
        <v>145</v>
      </c>
    </row>
    <row r="4" customFormat="false" ht="15" hidden="false" customHeight="false" outlineLevel="0" collapsed="false">
      <c r="A4" s="0" t="s">
        <v>146</v>
      </c>
      <c r="B4" s="4" t="n">
        <f aca="false">DCF_Bear!$B$38</f>
        <v>1.26109966611346</v>
      </c>
      <c r="C4" s="0" t="n">
        <f aca="false">B4/Assumptions!$B$2-1</f>
        <v>0.184131141890576</v>
      </c>
      <c r="D4" s="4" t="n">
        <f aca="false">Assumptions!$B$24</f>
        <v>0.3</v>
      </c>
      <c r="E4" s="4" t="n">
        <f aca="false">DCF_Bear!$B$43</f>
        <v>1.26109966611346</v>
      </c>
      <c r="F4" s="4" t="n">
        <f aca="false">DCF_Bear!$B$47</f>
        <v>0.987365150464536</v>
      </c>
    </row>
    <row r="5" customFormat="false" ht="15" hidden="false" customHeight="false" outlineLevel="0" collapsed="false">
      <c r="A5" s="0" t="s">
        <v>147</v>
      </c>
      <c r="B5" s="4" t="n">
        <f aca="false">DCF_Base!$B$38</f>
        <v>1.84160881589934</v>
      </c>
      <c r="C5" s="0" t="n">
        <f aca="false">B5/Assumptions!$B$2-1</f>
        <v>0.729210155774024</v>
      </c>
      <c r="D5" s="4" t="n">
        <f aca="false">Assumptions!$B$38</f>
        <v>0.5</v>
      </c>
      <c r="E5" s="4" t="n">
        <f aca="false">DCF_Base!$B$43</f>
        <v>1.84160881589934</v>
      </c>
      <c r="F5" s="4" t="n">
        <f aca="false">DCF_Base!$B$47</f>
        <v>1.2914529645935</v>
      </c>
    </row>
    <row r="6" customFormat="false" ht="15" hidden="false" customHeight="false" outlineLevel="0" collapsed="false">
      <c r="A6" s="0" t="s">
        <v>148</v>
      </c>
      <c r="B6" s="4" t="n">
        <f aca="false">DCF_Bull!$B$38</f>
        <v>2.48139591307617</v>
      </c>
      <c r="C6" s="0" t="n">
        <f aca="false">B6/Assumptions!$B$2-1</f>
        <v>1.32994921415602</v>
      </c>
      <c r="D6" s="4" t="n">
        <f aca="false">Assumptions!$B$52</f>
        <v>0.2</v>
      </c>
      <c r="E6" s="4" t="n">
        <f aca="false">DCF_Bull!$B$43</f>
        <v>2.48139591307617</v>
      </c>
      <c r="F6" s="4" t="n">
        <f aca="false">DCF_Bull!$B$47</f>
        <v>1.5966129264747</v>
      </c>
    </row>
    <row r="8" customFormat="false" ht="15" hidden="false" customHeight="false" outlineLevel="0" collapsed="false">
      <c r="A8" s="0" t="s">
        <v>149</v>
      </c>
      <c r="B8" s="0" t="n">
        <f aca="false">SUMPRODUCT(B4:B6,D4:D6)</f>
        <v>1.79541349039894</v>
      </c>
    </row>
    <row r="9" customFormat="false" ht="15" hidden="false" customHeight="false" outlineLevel="0" collapsed="false">
      <c r="A9" s="0" t="s">
        <v>150</v>
      </c>
      <c r="B9" s="0" t="n">
        <f aca="false">SUMPRODUCT(E4:E6,D4:D6)</f>
        <v>1.79541349039894</v>
      </c>
    </row>
    <row r="10" customFormat="false" ht="15" hidden="false" customHeight="false" outlineLevel="0" collapsed="false">
      <c r="A10" s="0" t="s">
        <v>151</v>
      </c>
      <c r="B10" s="0" t="n">
        <f aca="false">1-Assumptions!$B$2/B8</f>
        <v>0.406821879363646</v>
      </c>
    </row>
    <row r="11" customFormat="false" ht="15" hidden="false" customHeight="false" outlineLevel="0" collapsed="false">
      <c r="A11" s="0" t="s">
        <v>152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153</v>
      </c>
      <c r="B12" s="0" t="n">
        <f aca="false">SUMPRODUCT(F4:F6,D4:D6)</f>
        <v>1.26125861273105</v>
      </c>
    </row>
    <row r="14" customFormat="false" ht="15" hidden="false" customHeight="false" outlineLevel="0" collapsed="false">
      <c r="A14" s="2" t="s">
        <v>154</v>
      </c>
      <c r="C14" s="0" t="s">
        <v>155</v>
      </c>
    </row>
    <row r="15" customFormat="false" ht="15" hidden="false" customHeight="false" outlineLevel="0" collapsed="false">
      <c r="A15" s="0" t="s">
        <v>156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1.94420420207085</v>
      </c>
      <c r="C15" s="3" t="n">
        <v>9</v>
      </c>
    </row>
    <row r="16" customFormat="false" ht="15" hidden="false" customHeight="false" outlineLevel="0" collapsed="false">
      <c r="A16" s="0" t="s">
        <v>157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1.84160881589934</v>
      </c>
      <c r="C16" s="3" t="n">
        <v>10</v>
      </c>
    </row>
    <row r="17" customFormat="false" ht="15" hidden="false" customHeight="false" outlineLevel="0" collapsed="false">
      <c r="A17" s="0" t="s">
        <v>158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1.71291834754649</v>
      </c>
      <c r="C17" s="3" t="n">
        <v>11</v>
      </c>
    </row>
    <row r="18" customFormat="false" ht="15" hidden="false" customHeight="false" outlineLevel="0" collapsed="false">
      <c r="A18" s="0" t="s">
        <v>159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1.5757901727704</v>
      </c>
      <c r="C18" s="3" t="n">
        <v>12</v>
      </c>
    </row>
    <row r="19" customFormat="false" ht="15" hidden="false" customHeight="false" outlineLevel="0" collapsed="false">
      <c r="A19" s="0" t="s">
        <v>160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1.2914529645935</v>
      </c>
      <c r="C19" s="3" t="n">
        <v>15</v>
      </c>
    </row>
    <row r="21" customFormat="false" ht="15" hidden="false" customHeight="false" outlineLevel="0" collapsed="false">
      <c r="A21" s="2" t="s">
        <v>161</v>
      </c>
    </row>
    <row r="22" customFormat="false" ht="15" hidden="false" customHeight="false" outlineLevel="0" collapsed="false">
      <c r="B22" s="3" t="n">
        <v>1</v>
      </c>
      <c r="C22" s="3" t="n">
        <v>1.5</v>
      </c>
      <c r="D22" s="3" t="n">
        <v>2</v>
      </c>
      <c r="E22" s="3" t="n">
        <v>2.5</v>
      </c>
      <c r="F22" s="3" t="n">
        <v>3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2.05645162494111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2.05645162494111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2.05645162494111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2.05645162494111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2.05645162494111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1.94420420207085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1.94420420207085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1.94420420207085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1.94420420207085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1.94420420207085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1.79716095533772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1.83824721299972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1.84160881589934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1.84160881589934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1.84160881589934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1.64853510222035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1.67903242895379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1.71291834754649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1.74772010177684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1.74772010177684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1.52719789094046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1.55033707276424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1.5757901727704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1.60392254646142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1.63518073945143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2026-10-23T15:22:38Z</dcterms:created>
  <dc:creator>openpyxl</dc:creator>
  <dc:description/>
  <dc:language>en-NZ</dc:language>
  <cp:lastModifiedBy/>
  <dcterms:modified xsi:type="dcterms:W3CDTF">2026-10-23T15:22:38Z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